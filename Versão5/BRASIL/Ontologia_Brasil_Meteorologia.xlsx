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ADBB0970-80F6-4917-B167-7C617E2809B6}"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W94" i="31"/>
  <c r="U94" i="31"/>
  <c r="T94" i="31"/>
  <c r="S94" i="31"/>
  <c r="O94" i="31"/>
  <c r="N94" i="31"/>
  <c r="M94" i="31"/>
  <c r="L94" i="31"/>
  <c r="W93" i="31"/>
  <c r="U93" i="31"/>
  <c r="T93" i="31"/>
  <c r="S93" i="31"/>
  <c r="O93" i="31"/>
  <c r="N93" i="31"/>
  <c r="M93" i="31"/>
  <c r="L93"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BE3" i="30"/>
  <c r="AA41" i="31"/>
  <c r="AA18" i="31"/>
  <c r="AA34" i="31"/>
  <c r="AA3" i="31"/>
  <c r="Q20" i="31"/>
  <c r="AA29" i="31"/>
  <c r="AA53" i="31"/>
  <c r="AA70" i="31"/>
  <c r="AA28" i="31"/>
  <c r="AA75" i="31"/>
  <c r="Q24" i="31"/>
  <c r="AA35" i="31"/>
  <c r="AA79" i="31"/>
  <c r="AA93" i="31"/>
  <c r="AA49" i="31"/>
  <c r="AA67" i="31"/>
  <c r="AA8" i="31"/>
  <c r="AA55" i="31"/>
  <c r="AA6" i="31"/>
  <c r="AA48" i="31"/>
  <c r="AA11" i="31"/>
  <c r="Q9" i="31"/>
  <c r="Q7" i="31"/>
  <c r="AA69" i="31"/>
  <c r="AA66" i="31"/>
  <c r="AA58" i="31"/>
  <c r="Q17" i="31"/>
  <c r="Q8" i="31"/>
  <c r="Q22" i="31"/>
  <c r="AA65" i="31"/>
  <c r="AA24" i="31"/>
  <c r="AA98" i="31"/>
  <c r="AA32" i="31"/>
  <c r="AA85" i="31"/>
  <c r="AA30" i="31"/>
  <c r="AA97" i="31"/>
  <c r="AA88" i="31"/>
  <c r="AA64" i="31"/>
  <c r="AA86" i="31"/>
  <c r="AA25" i="31"/>
  <c r="AA9" i="31"/>
  <c r="AA94" i="31"/>
  <c r="AA50" i="31"/>
  <c r="AA10" i="31"/>
  <c r="AA45" i="31"/>
  <c r="AA36" i="31"/>
  <c r="AA14" i="31"/>
  <c r="AA91" i="31"/>
  <c r="AA43" i="31"/>
  <c r="AA44" i="31"/>
  <c r="AA60" i="31"/>
  <c r="AA39" i="31"/>
  <c r="AA5" i="31"/>
  <c r="Q21" i="31"/>
  <c r="AA21" i="31"/>
  <c r="AA2" i="31"/>
  <c r="AA68" i="31"/>
  <c r="Q18" i="31"/>
  <c r="AA62" i="31"/>
  <c r="AA61" i="31"/>
  <c r="AA17" i="31"/>
  <c r="AA56" i="31"/>
  <c r="AA27" i="31"/>
  <c r="AA95" i="31"/>
  <c r="AA99" i="31"/>
  <c r="AA96" i="31"/>
  <c r="AA7" i="31"/>
  <c r="AA89" i="31"/>
  <c r="AA83" i="31"/>
  <c r="AA20" i="31"/>
  <c r="AA77" i="31"/>
  <c r="AA54" i="31"/>
  <c r="AA80" i="31"/>
  <c r="AA12" i="31"/>
  <c r="AA78" i="31"/>
  <c r="AA100" i="31"/>
  <c r="AA46" i="31"/>
  <c r="AA87" i="31"/>
  <c r="AA47" i="31"/>
  <c r="AA22" i="31"/>
  <c r="Q14" i="31"/>
  <c r="AA82" i="31"/>
  <c r="AA51" i="31"/>
  <c r="Q23" i="31"/>
  <c r="AA23" i="31"/>
  <c r="AA52" i="31"/>
  <c r="AA73" i="31"/>
  <c r="AA84" i="31"/>
  <c r="AA72" i="31"/>
  <c r="AA13" i="31"/>
  <c r="Q19" i="31"/>
  <c r="Q16" i="31"/>
  <c r="AA31" i="31"/>
  <c r="AA16" i="31"/>
  <c r="AA38" i="31"/>
  <c r="AA4" i="31"/>
  <c r="AA40" i="31"/>
  <c r="AA57" i="31"/>
  <c r="AA81" i="31"/>
  <c r="AA90" i="31"/>
  <c r="AA63" i="31"/>
  <c r="Q15" i="31"/>
  <c r="AA19" i="31"/>
  <c r="AA33" i="31"/>
  <c r="AA92" i="31"/>
  <c r="AA76" i="31"/>
  <c r="AA42" i="31"/>
  <c r="AA74" i="31"/>
  <c r="AA59" i="31"/>
  <c r="AA71" i="31"/>
  <c r="AA26" i="31"/>
  <c r="AA15" i="31"/>
  <c r="AA37"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<sst xmlns="http://schemas.openxmlformats.org/spreadsheetml/2006/main" count="46265" uniqueCount="3826">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</sst>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4">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3046875" defaultRowHeight="9.75" customHeight="1" x14ac:dyDescent="0.4"/>
  <cols>
    <col min="1" max="1" width="10.3828125" style="6" customWidth="1"/>
    <col min="2" max="2" width="88.3046875" style="6" customWidth="1"/>
    <col min="3" max="3" width="3.3828125" style="52" bestFit="1" customWidth="1"/>
    <col min="4" max="16384" width="3.3046875" style="6"/>
  </cols>
  <sheetData>
    <row r="1" spans="1:3" ht="36" customHeight="1" x14ac:dyDescent="0.4">
      <c r="A1" s="7" t="s">
        <v>36</v>
      </c>
      <c r="B1" s="7" t="s">
        <v>35</v>
      </c>
      <c r="C1" s="26" t="s">
        <v>3640</v>
      </c>
    </row>
    <row r="2" spans="1:3" ht="8.25" customHeight="1" x14ac:dyDescent="0.4">
      <c r="A2" s="8" t="s">
        <v>45</v>
      </c>
      <c r="B2" s="8" t="s">
        <v>61</v>
      </c>
      <c r="C2" s="51" t="s">
        <v>3641</v>
      </c>
    </row>
    <row r="3" spans="1:3" ht="8.25" customHeight="1" x14ac:dyDescent="0.4">
      <c r="A3" s="8" t="s">
        <v>46</v>
      </c>
      <c r="B3" s="9" t="s">
        <v>3699</v>
      </c>
      <c r="C3" s="51" t="s">
        <v>3641</v>
      </c>
    </row>
    <row r="4" spans="1:3" ht="8.25" customHeight="1" x14ac:dyDescent="0.4">
      <c r="A4" s="8" t="s">
        <v>37</v>
      </c>
      <c r="B4" s="8" t="s">
        <v>47</v>
      </c>
      <c r="C4" s="51" t="s">
        <v>3641</v>
      </c>
    </row>
    <row r="5" spans="1:3" ht="8.25" customHeight="1" x14ac:dyDescent="0.4">
      <c r="A5" s="8" t="s">
        <v>38</v>
      </c>
      <c r="B5" s="8" t="str">
        <f>_xlfn.CONCAT(B4,"Prop")</f>
        <v>BIMProp</v>
      </c>
      <c r="C5" s="51" t="s">
        <v>3641</v>
      </c>
    </row>
    <row r="6" spans="1:3" ht="8.25" customHeight="1" x14ac:dyDescent="0.4">
      <c r="A6" s="8" t="s">
        <v>39</v>
      </c>
      <c r="B6" s="8" t="str">
        <f>_xlfn.CONCAT(B4,"Data")</f>
        <v>BIMData</v>
      </c>
      <c r="C6" s="51" t="s">
        <v>3641</v>
      </c>
    </row>
    <row r="7" spans="1:3" ht="8.25" customHeight="1" x14ac:dyDescent="0.4">
      <c r="A7" s="8" t="s">
        <v>40</v>
      </c>
      <c r="B7" s="8" t="s">
        <v>48</v>
      </c>
      <c r="C7" s="51" t="s">
        <v>3641</v>
      </c>
    </row>
    <row r="8" spans="1:3" ht="8.25" customHeight="1" x14ac:dyDescent="0.4">
      <c r="A8" s="8" t="s">
        <v>41</v>
      </c>
      <c r="B8" s="8" t="s">
        <v>3638</v>
      </c>
      <c r="C8" s="51" t="s">
        <v>3641</v>
      </c>
    </row>
    <row r="9" spans="1:3" ht="8.25" customHeight="1" x14ac:dyDescent="0.4">
      <c r="A9" s="8" t="s">
        <v>49</v>
      </c>
      <c r="B9" s="8" t="s">
        <v>50</v>
      </c>
      <c r="C9" s="51" t="s">
        <v>3641</v>
      </c>
    </row>
    <row r="10" spans="1:3" ht="8.25" customHeight="1" x14ac:dyDescent="0.4">
      <c r="A10" s="8" t="s">
        <v>51</v>
      </c>
      <c r="B10" s="8" t="s">
        <v>23</v>
      </c>
      <c r="C10" s="51" t="s">
        <v>3641</v>
      </c>
    </row>
    <row r="11" spans="1:3" ht="8.25" customHeight="1" x14ac:dyDescent="0.4">
      <c r="A11" s="8" t="s">
        <v>42</v>
      </c>
      <c r="B11" s="8" t="s">
        <v>23</v>
      </c>
      <c r="C11" s="51" t="s">
        <v>3641</v>
      </c>
    </row>
    <row r="12" spans="1:3" ht="8.25" customHeight="1" x14ac:dyDescent="0.4">
      <c r="A12" s="8" t="s">
        <v>43</v>
      </c>
      <c r="B12" s="8" t="s">
        <v>23</v>
      </c>
      <c r="C12" s="51" t="s">
        <v>3641</v>
      </c>
    </row>
    <row r="13" spans="1:3" ht="8.25" customHeight="1" x14ac:dyDescent="0.4">
      <c r="A13" s="8" t="s">
        <v>52</v>
      </c>
      <c r="B13" s="8" t="s">
        <v>23</v>
      </c>
      <c r="C13" s="51" t="s">
        <v>3641</v>
      </c>
    </row>
    <row r="14" spans="1:3" ht="8.25" customHeight="1" x14ac:dyDescent="0.4">
      <c r="A14" s="8" t="s">
        <v>53</v>
      </c>
      <c r="B14" s="8" t="s">
        <v>23</v>
      </c>
      <c r="C14" s="51" t="s">
        <v>3641</v>
      </c>
    </row>
    <row r="15" spans="1:3" ht="8.25" customHeight="1" x14ac:dyDescent="0.4">
      <c r="A15" s="8" t="s">
        <v>54</v>
      </c>
      <c r="B15" s="8" t="s">
        <v>23</v>
      </c>
      <c r="C15" s="51" t="s">
        <v>3641</v>
      </c>
    </row>
    <row r="16" spans="1:3" ht="8.25" customHeight="1" x14ac:dyDescent="0.4">
      <c r="A16" s="8" t="s">
        <v>55</v>
      </c>
      <c r="B16" s="8" t="s">
        <v>23</v>
      </c>
      <c r="C16" s="51" t="s">
        <v>3641</v>
      </c>
    </row>
    <row r="17" spans="1:3" ht="8.25" customHeight="1" x14ac:dyDescent="0.4">
      <c r="A17" s="8" t="s">
        <v>44</v>
      </c>
      <c r="B17" s="10" t="s">
        <v>3698</v>
      </c>
      <c r="C17" s="51" t="s">
        <v>3641</v>
      </c>
    </row>
    <row r="18" spans="1:3" ht="8.25" customHeight="1" x14ac:dyDescent="0.4">
      <c r="A18" s="8" t="s">
        <v>56</v>
      </c>
      <c r="B18" s="11">
        <f ca="1">NOW()</f>
        <v>46249.395080902781</v>
      </c>
      <c r="C18" s="51" t="s">
        <v>3641</v>
      </c>
    </row>
    <row r="19" spans="1:3" ht="8.25" customHeight="1" x14ac:dyDescent="0.4">
      <c r="A19" s="10" t="s">
        <v>3645</v>
      </c>
      <c r="B19" s="53" t="s">
        <v>3646</v>
      </c>
      <c r="C19" s="51" t="s">
        <v>3641</v>
      </c>
    </row>
    <row r="20" spans="1:3" ht="8.25" customHeight="1" x14ac:dyDescent="0.4">
      <c r="A20" s="10" t="s">
        <v>3647</v>
      </c>
      <c r="B20" s="53" t="str">
        <f>_xlfn.TRANSLATE(B19,"pt","es")</f>
        <v>Traducciones integradas al español e inglés - Las traducciones deben revisarse constantemente</v>
      </c>
      <c r="C20" s="51" t="s">
        <v>3642</v>
      </c>
    </row>
    <row r="21" spans="1:3" ht="8.25" customHeight="1" x14ac:dyDescent="0.4">
      <c r="A21" s="10" t="s">
        <v>3648</v>
      </c>
      <c r="B21" s="53" t="str">
        <f>_xlfn.TRANSLATE(B19,"pt","en")</f>
        <v>Built-in Spanish and English Translations - Translations must be constantly reviewed</v>
      </c>
      <c r="C21" s="51" t="s">
        <v>3643</v>
      </c>
    </row>
    <row r="22" spans="1:3" ht="8.25" customHeight="1" x14ac:dyDescent="0.4">
      <c r="A22" s="8" t="s">
        <v>57</v>
      </c>
      <c r="B22" s="8" t="s">
        <v>23</v>
      </c>
      <c r="C22" s="51" t="s">
        <v>3641</v>
      </c>
    </row>
    <row r="23" spans="1:3" ht="8.25" customHeight="1" x14ac:dyDescent="0.4">
      <c r="A23" s="8" t="s">
        <v>58</v>
      </c>
      <c r="B23" s="8" t="s">
        <v>23</v>
      </c>
      <c r="C23" s="51" t="s">
        <v>3641</v>
      </c>
    </row>
    <row r="24" spans="1:3" ht="8.25" customHeight="1" x14ac:dyDescent="0.4">
      <c r="A24" s="10" t="s">
        <v>59</v>
      </c>
      <c r="B24" s="12" t="s">
        <v>3697</v>
      </c>
      <c r="C24" s="51" t="s">
        <v>3641</v>
      </c>
    </row>
    <row r="25" spans="1:3" ht="8.25" customHeight="1" x14ac:dyDescent="0.4">
      <c r="A25" s="10" t="s">
        <v>60</v>
      </c>
      <c r="B25" s="12" t="s">
        <v>3696</v>
      </c>
      <c r="C25" s="51" t="s">
        <v>3642</v>
      </c>
    </row>
    <row r="26" spans="1:3" ht="9.75" customHeight="1" x14ac:dyDescent="0.4">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0"/>
  <sheetViews>
    <sheetView tabSelected="1" zoomScale="220" zoomScaleNormal="220" workbookViewId="0">
      <pane ySplit="1" topLeftCell="A2" activePane="bottomLeft" state="frozen"/>
      <selection pane="bottomLeft"/>
    </sheetView>
  </sheetViews>
  <sheetFormatPr defaultColWidth="9.15234375" defaultRowHeight="8.6999999999999993" customHeight="1" x14ac:dyDescent="0.4"/>
  <cols>
    <col min="1" max="1" width="1.921875" style="62" bestFit="1" customWidth="1"/>
    <col min="2" max="2" width="4.23046875" style="30" bestFit="1" customWidth="1"/>
    <col min="3" max="3" width="5.921875" style="30" bestFit="1" customWidth="1"/>
    <col min="4" max="4" width="7.23046875" style="30" bestFit="1" customWidth="1"/>
    <col min="5" max="5" width="6.4609375" style="30" bestFit="1" customWidth="1"/>
    <col min="6" max="6" width="14.4609375" style="30" bestFit="1" customWidth="1"/>
    <col min="7" max="7" width="11.61328125" style="30" bestFit="1" customWidth="1"/>
    <col min="8" max="8" width="12.53515625" style="30" bestFit="1" customWidth="1"/>
    <col min="9" max="9" width="11.921875" style="30" bestFit="1" customWidth="1"/>
    <col min="10" max="10" width="17.15234375" style="30" bestFit="1" customWidth="1"/>
    <col min="11" max="11" width="16.84375" style="30" bestFit="1" customWidth="1"/>
    <col min="12" max="12" width="5.921875" style="30" bestFit="1" customWidth="1"/>
    <col min="13" max="13" width="7.23046875" style="30" bestFit="1" customWidth="1"/>
    <col min="14" max="14" width="6.53515625" style="30" bestFit="1" customWidth="1"/>
    <col min="15" max="15" width="14.53515625" style="30" bestFit="1" customWidth="1"/>
    <col min="16" max="16" width="170.3046875" style="30" bestFit="1" customWidth="1"/>
    <col min="17" max="17" width="171.07421875" style="30" bestFit="1" customWidth="1"/>
    <col min="18" max="18" width="3.69140625" style="30" bestFit="1" customWidth="1"/>
    <col min="19" max="19" width="5.921875" style="30" bestFit="1" customWidth="1"/>
    <col min="20" max="20" width="7.23046875" style="30" bestFit="1" customWidth="1"/>
    <col min="21" max="21" width="6.53515625" style="30" bestFit="1" customWidth="1"/>
    <col min="22" max="22" width="6.07421875" style="30" bestFit="1" customWidth="1"/>
    <col min="23" max="23" width="6.921875" style="30" bestFit="1" customWidth="1"/>
    <col min="24" max="24" width="36.84375" style="30" bestFit="1" customWidth="1"/>
    <col min="25" max="25" width="15.61328125" style="30" bestFit="1" customWidth="1"/>
    <col min="26" max="26" width="3" style="30" bestFit="1" customWidth="1"/>
    <col min="27" max="27" width="169.3828125" style="30" bestFit="1" customWidth="1"/>
    <col min="28" max="16384" width="9.15234375" style="30"/>
  </cols>
  <sheetData>
    <row r="1" spans="1:27" ht="42" customHeight="1" x14ac:dyDescent="0.4">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15" t="s">
        <v>72</v>
      </c>
      <c r="S1" s="15" t="s">
        <v>62</v>
      </c>
      <c r="T1" s="15" t="s">
        <v>73</v>
      </c>
      <c r="U1" s="16" t="s">
        <v>64</v>
      </c>
      <c r="V1" s="15" t="s">
        <v>63</v>
      </c>
      <c r="W1" s="54" t="s">
        <v>0</v>
      </c>
      <c r="X1" s="16" t="s">
        <v>80</v>
      </c>
      <c r="Y1" s="15" t="s">
        <v>79</v>
      </c>
      <c r="Z1" s="15" t="s">
        <v>3637</v>
      </c>
      <c r="AA1" s="50" t="s">
        <v>3636</v>
      </c>
    </row>
    <row r="2" spans="1:27" customFormat="1" ht="6.65" customHeight="1" x14ac:dyDescent="0.4">
      <c r="A2" s="63">
        <v>2</v>
      </c>
      <c r="B2" s="64" t="s">
        <v>3794</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1</v>
      </c>
      <c r="S2" s="67" t="str">
        <f t="shared" ref="S2:U12" si="1">SUBSTITUTE(C2, ".", " ")</f>
        <v>Fronteiras</v>
      </c>
      <c r="T2" s="67" t="str">
        <f t="shared" si="1"/>
        <v>Geográficas</v>
      </c>
      <c r="U2" s="67" t="str">
        <f t="shared" si="1"/>
        <v>Naturais</v>
      </c>
      <c r="V2" s="67" t="s">
        <v>3793</v>
      </c>
      <c r="W2" s="68" t="str">
        <f t="shared" ref="W2:W61" si="2">CONCATENATE("Key-BRASIL-",A2)</f>
        <v>Key-BRASIL-2</v>
      </c>
      <c r="X2" s="67" t="s">
        <v>1</v>
      </c>
      <c r="Y2" s="67" t="s">
        <v>1</v>
      </c>
      <c r="Z2" s="71" t="s">
        <v>1</v>
      </c>
      <c r="AA2" s="67" t="str">
        <f t="shared" ref="AA2:AA60" si="3">_xlfn.TRANSLATE(P2,"pt","en")</f>
        <v>Continent.</v>
      </c>
    </row>
    <row r="3" spans="1:27" customFormat="1" ht="6.65" customHeight="1" x14ac:dyDescent="0.4">
      <c r="A3" s="63">
        <v>3</v>
      </c>
      <c r="B3" s="64" t="s">
        <v>3794</v>
      </c>
      <c r="C3" s="28" t="s">
        <v>3518</v>
      </c>
      <c r="D3" s="28" t="s">
        <v>3517</v>
      </c>
      <c r="E3" s="28" t="s">
        <v>3519</v>
      </c>
      <c r="F3" s="28" t="s">
        <v>82</v>
      </c>
      <c r="G3" s="69" t="s">
        <v>1</v>
      </c>
      <c r="H3" s="69" t="s">
        <v>1</v>
      </c>
      <c r="I3" s="69" t="s">
        <v>1</v>
      </c>
      <c r="J3" s="69" t="s">
        <v>1</v>
      </c>
      <c r="K3" s="69" t="s">
        <v>1</v>
      </c>
      <c r="L3" s="70" t="str">
        <f t="shared" si="0"/>
        <v>Fronteiras</v>
      </c>
      <c r="M3" s="70" t="str">
        <f t="shared" ref="M3:O57" si="4">_xlfn.CONCAT(SUBSTITUTE(D3,"."," "))</f>
        <v>Geográficas</v>
      </c>
      <c r="N3" s="70" t="str">
        <f t="shared" si="4"/>
        <v>Naturais</v>
      </c>
      <c r="O3" s="70" t="str">
        <f t="shared" si="4"/>
        <v>SubContinente</v>
      </c>
      <c r="P3" s="70" t="s">
        <v>3576</v>
      </c>
      <c r="Q3" s="70" t="s">
        <v>82</v>
      </c>
      <c r="R3" s="67" t="s">
        <v>1</v>
      </c>
      <c r="S3" s="67" t="str">
        <f t="shared" si="1"/>
        <v>Fronteiras</v>
      </c>
      <c r="T3" s="67" t="str">
        <f t="shared" si="1"/>
        <v>Geográficas</v>
      </c>
      <c r="U3" s="67" t="str">
        <f t="shared" si="1"/>
        <v>Naturais</v>
      </c>
      <c r="V3" s="67" t="s">
        <v>3793</v>
      </c>
      <c r="W3" s="68" t="str">
        <f t="shared" si="2"/>
        <v>Key-BRASIL-3</v>
      </c>
      <c r="X3" s="67" t="s">
        <v>1</v>
      </c>
      <c r="Y3" s="67" t="s">
        <v>1</v>
      </c>
      <c r="Z3" s="71" t="s">
        <v>1</v>
      </c>
      <c r="AA3" s="67" t="str">
        <f t="shared" si="3"/>
        <v>SubContinent.</v>
      </c>
    </row>
    <row r="4" spans="1:27" customFormat="1" ht="6.65" customHeight="1" x14ac:dyDescent="0.4">
      <c r="A4" s="63">
        <v>4</v>
      </c>
      <c r="B4" s="64" t="s">
        <v>3794</v>
      </c>
      <c r="C4" s="28" t="s">
        <v>3518</v>
      </c>
      <c r="D4" s="28" t="s">
        <v>3517</v>
      </c>
      <c r="E4" s="28" t="s">
        <v>3519</v>
      </c>
      <c r="F4" s="28" t="s">
        <v>83</v>
      </c>
      <c r="G4" s="69" t="s">
        <v>1</v>
      </c>
      <c r="H4" s="69" t="s">
        <v>1</v>
      </c>
      <c r="I4" s="69" t="s">
        <v>1</v>
      </c>
      <c r="J4" s="69" t="s">
        <v>1</v>
      </c>
      <c r="K4" s="69" t="s">
        <v>1</v>
      </c>
      <c r="L4" s="70" t="str">
        <f t="shared" si="0"/>
        <v>Fronteiras</v>
      </c>
      <c r="M4" s="70" t="str">
        <f t="shared" si="4"/>
        <v>Geográficas</v>
      </c>
      <c r="N4" s="70" t="str">
        <f t="shared" si="4"/>
        <v>Naturais</v>
      </c>
      <c r="O4" s="70" t="str">
        <f t="shared" si="4"/>
        <v>Bioma</v>
      </c>
      <c r="P4" s="70" t="s">
        <v>3567</v>
      </c>
      <c r="Q4" s="70" t="s">
        <v>84</v>
      </c>
      <c r="R4" s="67" t="s">
        <v>1</v>
      </c>
      <c r="S4" s="67" t="str">
        <f t="shared" si="1"/>
        <v>Fronteiras</v>
      </c>
      <c r="T4" s="67" t="str">
        <f t="shared" si="1"/>
        <v>Geográficas</v>
      </c>
      <c r="U4" s="67" t="str">
        <f t="shared" si="1"/>
        <v>Naturais</v>
      </c>
      <c r="V4" s="67" t="s">
        <v>3793</v>
      </c>
      <c r="W4" s="68" t="str">
        <f t="shared" si="2"/>
        <v>Key-BRASIL-4</v>
      </c>
      <c r="X4" s="67" t="s">
        <v>1</v>
      </c>
      <c r="Y4" s="67" t="s">
        <v>1</v>
      </c>
      <c r="Z4" s="71" t="s">
        <v>1</v>
      </c>
      <c r="AA4" s="67" t="str">
        <f t="shared" si="3"/>
        <v>Region that defines characteristics of life in the natural environment.</v>
      </c>
    </row>
    <row r="5" spans="1:27" customFormat="1" ht="6.65" customHeight="1" x14ac:dyDescent="0.4">
      <c r="A5" s="63">
        <v>5</v>
      </c>
      <c r="B5" s="64" t="s">
        <v>3794</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4"/>
        <v>Geográficas</v>
      </c>
      <c r="N5" s="70" t="str">
        <f t="shared" si="4"/>
        <v>Políticas</v>
      </c>
      <c r="O5" s="70" t="str">
        <f t="shared" si="4"/>
        <v>País</v>
      </c>
      <c r="P5" s="70" t="s">
        <v>3568</v>
      </c>
      <c r="Q5" s="70" t="s">
        <v>85</v>
      </c>
      <c r="R5" s="67" t="s">
        <v>1</v>
      </c>
      <c r="S5" s="67" t="str">
        <f t="shared" si="1"/>
        <v>Fronteiras</v>
      </c>
      <c r="T5" s="67" t="str">
        <f t="shared" si="1"/>
        <v>Geográficas</v>
      </c>
      <c r="U5" s="67" t="str">
        <f t="shared" si="1"/>
        <v>Políticas</v>
      </c>
      <c r="V5" s="67" t="s">
        <v>3793</v>
      </c>
      <c r="W5" s="68" t="str">
        <f t="shared" si="2"/>
        <v>Key-BRASIL-5</v>
      </c>
      <c r="X5" s="67" t="s">
        <v>1</v>
      </c>
      <c r="Y5" s="67" t="s">
        <v>3649</v>
      </c>
      <c r="Z5" s="71" t="s">
        <v>1</v>
      </c>
      <c r="AA5" s="67" t="str">
        <f t="shared" si="3"/>
        <v>Country.</v>
      </c>
    </row>
    <row r="6" spans="1:27" customFormat="1" ht="6.65" customHeight="1" x14ac:dyDescent="0.4">
      <c r="A6" s="63">
        <v>6</v>
      </c>
      <c r="B6" s="64" t="s">
        <v>3794</v>
      </c>
      <c r="C6" s="28" t="s">
        <v>3518</v>
      </c>
      <c r="D6" s="28" t="s">
        <v>3517</v>
      </c>
      <c r="E6" s="28" t="s">
        <v>3520</v>
      </c>
      <c r="F6" s="28" t="s">
        <v>86</v>
      </c>
      <c r="G6" s="69" t="s">
        <v>1</v>
      </c>
      <c r="H6" s="69" t="s">
        <v>1</v>
      </c>
      <c r="I6" s="69" t="s">
        <v>1</v>
      </c>
      <c r="J6" s="69" t="s">
        <v>1</v>
      </c>
      <c r="K6" s="69" t="s">
        <v>1</v>
      </c>
      <c r="L6" s="70" t="str">
        <f t="shared" si="0"/>
        <v>Fronteiras</v>
      </c>
      <c r="M6" s="70" t="str">
        <f t="shared" si="4"/>
        <v>Geográficas</v>
      </c>
      <c r="N6" s="70" t="str">
        <f t="shared" si="4"/>
        <v>Políticas</v>
      </c>
      <c r="O6" s="70" t="str">
        <f t="shared" si="4"/>
        <v>Nação</v>
      </c>
      <c r="P6" s="70" t="s">
        <v>86</v>
      </c>
      <c r="Q6" s="70" t="s">
        <v>87</v>
      </c>
      <c r="R6" s="67" t="s">
        <v>1</v>
      </c>
      <c r="S6" s="67" t="str">
        <f t="shared" si="1"/>
        <v>Fronteiras</v>
      </c>
      <c r="T6" s="67" t="str">
        <f t="shared" si="1"/>
        <v>Geográficas</v>
      </c>
      <c r="U6" s="67" t="str">
        <f t="shared" si="1"/>
        <v>Políticas</v>
      </c>
      <c r="V6" s="67" t="s">
        <v>3793</v>
      </c>
      <c r="W6" s="68" t="str">
        <f t="shared" si="2"/>
        <v>Key-BRASIL-6</v>
      </c>
      <c r="X6" s="67" t="s">
        <v>1</v>
      </c>
      <c r="Y6" s="67" t="s">
        <v>3649</v>
      </c>
      <c r="Z6" s="71" t="s">
        <v>1</v>
      </c>
      <c r="AA6" s="67" t="str">
        <f t="shared" si="3"/>
        <v>Nation</v>
      </c>
    </row>
    <row r="7" spans="1:27" customFormat="1" ht="6.65" customHeight="1" x14ac:dyDescent="0.4">
      <c r="A7" s="63">
        <v>7</v>
      </c>
      <c r="B7" s="64" t="s">
        <v>3794</v>
      </c>
      <c r="C7" s="28" t="s">
        <v>3518</v>
      </c>
      <c r="D7" s="28" t="s">
        <v>3517</v>
      </c>
      <c r="E7" s="28" t="s">
        <v>3520</v>
      </c>
      <c r="F7" s="28" t="s">
        <v>88</v>
      </c>
      <c r="G7" s="69" t="s">
        <v>1</v>
      </c>
      <c r="H7" s="69" t="s">
        <v>1</v>
      </c>
      <c r="I7" s="69" t="s">
        <v>1</v>
      </c>
      <c r="J7" s="69" t="s">
        <v>1</v>
      </c>
      <c r="K7" s="69" t="s">
        <v>89</v>
      </c>
      <c r="L7" s="70" t="str">
        <f t="shared" si="0"/>
        <v>Fronteiras</v>
      </c>
      <c r="M7" s="70" t="str">
        <f t="shared" si="4"/>
        <v>Geográficas</v>
      </c>
      <c r="N7" s="70" t="str">
        <f t="shared" si="4"/>
        <v>Políticas</v>
      </c>
      <c r="O7" s="70" t="str">
        <f t="shared" si="4"/>
        <v>Região</v>
      </c>
      <c r="P7" s="72" t="s">
        <v>3694</v>
      </c>
      <c r="Q7" s="70" t="str">
        <f>_xlfn.TRANSLATE(P7,"pt","es")</f>
        <v>Región geográfica de Brasil. de Brasil hay 5 regiones geográficas principales.</v>
      </c>
      <c r="R7" s="67" t="s">
        <v>1</v>
      </c>
      <c r="S7" s="67" t="str">
        <f t="shared" si="1"/>
        <v>Fronteiras</v>
      </c>
      <c r="T7" s="67" t="str">
        <f t="shared" si="1"/>
        <v>Geográficas</v>
      </c>
      <c r="U7" s="67" t="str">
        <f t="shared" si="1"/>
        <v>Políticas</v>
      </c>
      <c r="V7" s="67" t="s">
        <v>3793</v>
      </c>
      <c r="W7" s="68" t="str">
        <f t="shared" si="2"/>
        <v>Key-BRASIL-7</v>
      </c>
      <c r="X7" s="67" t="s">
        <v>1</v>
      </c>
      <c r="Y7" s="67" t="s">
        <v>3649</v>
      </c>
      <c r="Z7" s="71" t="s">
        <v>1</v>
      </c>
      <c r="AA7" s="67" t="str">
        <f t="shared" si="3"/>
        <v>Geographic Region of Brazil. of Brazil there are 5 main Geographic Regions.</v>
      </c>
    </row>
    <row r="8" spans="1:27" customFormat="1" ht="6.65" customHeight="1" x14ac:dyDescent="0.4">
      <c r="A8" s="63">
        <v>8</v>
      </c>
      <c r="B8" s="64" t="s">
        <v>3794</v>
      </c>
      <c r="C8" s="28" t="s">
        <v>3518</v>
      </c>
      <c r="D8" s="28" t="s">
        <v>3517</v>
      </c>
      <c r="E8" s="28" t="s">
        <v>3520</v>
      </c>
      <c r="F8" s="28" t="s">
        <v>3693</v>
      </c>
      <c r="G8" s="69" t="s">
        <v>1</v>
      </c>
      <c r="H8" s="69" t="s">
        <v>1</v>
      </c>
      <c r="I8" s="69" t="s">
        <v>1</v>
      </c>
      <c r="J8" s="69" t="s">
        <v>1</v>
      </c>
      <c r="K8" s="69" t="s">
        <v>89</v>
      </c>
      <c r="L8" s="70" t="str">
        <f t="shared" si="0"/>
        <v>Fronteiras</v>
      </c>
      <c r="M8" s="70" t="str">
        <f t="shared" si="4"/>
        <v>Geográficas</v>
      </c>
      <c r="N8" s="70" t="str">
        <f t="shared" si="4"/>
        <v>Políticas</v>
      </c>
      <c r="O8" s="70" t="str">
        <f t="shared" si="4"/>
        <v>Região Intermediária</v>
      </c>
      <c r="P8" s="72" t="s">
        <v>3798</v>
      </c>
      <c r="Q8" s="70"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7" t="s">
        <v>1</v>
      </c>
      <c r="S8" s="67" t="str">
        <f t="shared" si="1"/>
        <v>Fronteiras</v>
      </c>
      <c r="T8" s="67" t="str">
        <f t="shared" si="1"/>
        <v>Geográficas</v>
      </c>
      <c r="U8" s="67" t="str">
        <f t="shared" si="1"/>
        <v>Políticas</v>
      </c>
      <c r="V8" s="67" t="s">
        <v>3793</v>
      </c>
      <c r="W8" s="68" t="str">
        <f t="shared" si="2"/>
        <v>Key-BRASIL-8</v>
      </c>
      <c r="X8" s="67" t="s">
        <v>1</v>
      </c>
      <c r="Y8" s="67" t="s">
        <v>3649</v>
      </c>
      <c r="Z8" s="71" t="s">
        <v>1</v>
      </c>
      <c r="AA8" s="67"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customFormat="1" ht="6.65" customHeight="1" x14ac:dyDescent="0.4">
      <c r="A9" s="63">
        <v>9</v>
      </c>
      <c r="B9" s="64" t="s">
        <v>3794</v>
      </c>
      <c r="C9" s="28" t="s">
        <v>3518</v>
      </c>
      <c r="D9" s="28" t="s">
        <v>3517</v>
      </c>
      <c r="E9" s="28" t="s">
        <v>3520</v>
      </c>
      <c r="F9" s="28" t="s">
        <v>3691</v>
      </c>
      <c r="G9" s="69" t="s">
        <v>1</v>
      </c>
      <c r="H9" s="69" t="s">
        <v>1</v>
      </c>
      <c r="I9" s="69" t="s">
        <v>1</v>
      </c>
      <c r="J9" s="69" t="s">
        <v>1</v>
      </c>
      <c r="K9" s="69" t="s">
        <v>89</v>
      </c>
      <c r="L9" s="70" t="str">
        <f t="shared" si="0"/>
        <v>Fronteiras</v>
      </c>
      <c r="M9" s="70" t="str">
        <f t="shared" si="4"/>
        <v>Geográficas</v>
      </c>
      <c r="N9" s="70" t="str">
        <f t="shared" si="4"/>
        <v>Políticas</v>
      </c>
      <c r="O9" s="70" t="str">
        <f t="shared" si="4"/>
        <v>Região Imediata</v>
      </c>
      <c r="P9" s="72" t="s">
        <v>3799</v>
      </c>
      <c r="Q9" s="70"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7" t="s">
        <v>1</v>
      </c>
      <c r="S9" s="67" t="str">
        <f t="shared" si="1"/>
        <v>Fronteiras</v>
      </c>
      <c r="T9" s="67" t="str">
        <f t="shared" si="1"/>
        <v>Geográficas</v>
      </c>
      <c r="U9" s="67" t="str">
        <f t="shared" si="1"/>
        <v>Políticas</v>
      </c>
      <c r="V9" s="67" t="s">
        <v>3793</v>
      </c>
      <c r="W9" s="68" t="str">
        <f t="shared" si="2"/>
        <v>Key-BRASIL-9</v>
      </c>
      <c r="X9" s="67" t="s">
        <v>1</v>
      </c>
      <c r="Y9" s="67" t="s">
        <v>3649</v>
      </c>
      <c r="Z9" s="71" t="s">
        <v>1</v>
      </c>
      <c r="AA9" s="67"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customFormat="1" ht="6.65" customHeight="1" x14ac:dyDescent="0.4">
      <c r="A10" s="63">
        <v>10</v>
      </c>
      <c r="B10" s="64" t="s">
        <v>3794</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4"/>
        <v>Geográficas</v>
      </c>
      <c r="N10" s="70" t="str">
        <f t="shared" si="4"/>
        <v>Políticas</v>
      </c>
      <c r="O10" s="70" t="str">
        <f t="shared" si="4"/>
        <v>Estado</v>
      </c>
      <c r="P10" s="70" t="s">
        <v>3569</v>
      </c>
      <c r="Q10" s="70" t="s">
        <v>90</v>
      </c>
      <c r="R10" s="67" t="s">
        <v>1</v>
      </c>
      <c r="S10" s="67" t="str">
        <f t="shared" si="1"/>
        <v>Fronteiras</v>
      </c>
      <c r="T10" s="67" t="str">
        <f t="shared" si="1"/>
        <v>Geográficas</v>
      </c>
      <c r="U10" s="67" t="str">
        <f t="shared" si="1"/>
        <v>Políticas</v>
      </c>
      <c r="V10" s="67" t="s">
        <v>3793</v>
      </c>
      <c r="W10" s="68" t="str">
        <f t="shared" si="2"/>
        <v>Key-BRASIL-10</v>
      </c>
      <c r="X10" s="67" t="s">
        <v>1</v>
      </c>
      <c r="Y10" s="67" t="s">
        <v>3649</v>
      </c>
      <c r="Z10" s="71" t="s">
        <v>1</v>
      </c>
      <c r="AA10" s="67" t="str">
        <f t="shared" si="3"/>
        <v>State.</v>
      </c>
    </row>
    <row r="11" spans="1:27" customFormat="1" ht="6.65" customHeight="1" x14ac:dyDescent="0.4">
      <c r="A11" s="63">
        <v>11</v>
      </c>
      <c r="B11" s="64" t="s">
        <v>3794</v>
      </c>
      <c r="C11" s="28" t="s">
        <v>3518</v>
      </c>
      <c r="D11" s="28" t="s">
        <v>3517</v>
      </c>
      <c r="E11" s="28" t="s">
        <v>3520</v>
      </c>
      <c r="F11" s="28" t="s">
        <v>91</v>
      </c>
      <c r="G11" s="69" t="s">
        <v>1</v>
      </c>
      <c r="H11" s="69" t="s">
        <v>1</v>
      </c>
      <c r="I11" s="69" t="s">
        <v>1</v>
      </c>
      <c r="J11" s="69" t="s">
        <v>1</v>
      </c>
      <c r="K11" s="69" t="s">
        <v>1</v>
      </c>
      <c r="L11" s="70" t="str">
        <f t="shared" si="0"/>
        <v>Fronteiras</v>
      </c>
      <c r="M11" s="70" t="str">
        <f t="shared" si="4"/>
        <v>Geográficas</v>
      </c>
      <c r="N11" s="70" t="str">
        <f t="shared" si="4"/>
        <v>Políticas</v>
      </c>
      <c r="O11" s="70" t="str">
        <f t="shared" si="4"/>
        <v>UF</v>
      </c>
      <c r="P11" s="70" t="s">
        <v>3570</v>
      </c>
      <c r="Q11" s="70" t="s">
        <v>92</v>
      </c>
      <c r="R11" s="67" t="s">
        <v>1</v>
      </c>
      <c r="S11" s="67" t="str">
        <f t="shared" si="1"/>
        <v>Fronteiras</v>
      </c>
      <c r="T11" s="67" t="str">
        <f t="shared" si="1"/>
        <v>Geográficas</v>
      </c>
      <c r="U11" s="67" t="str">
        <f t="shared" si="1"/>
        <v>Políticas</v>
      </c>
      <c r="V11" s="67" t="s">
        <v>3793</v>
      </c>
      <c r="W11" s="68" t="str">
        <f t="shared" si="2"/>
        <v>Key-BRASIL-11</v>
      </c>
      <c r="X11" s="67" t="s">
        <v>1</v>
      </c>
      <c r="Y11" s="67" t="s">
        <v>3649</v>
      </c>
      <c r="Z11" s="71" t="s">
        <v>1</v>
      </c>
      <c r="AA11" s="67" t="str">
        <f t="shared" si="3"/>
        <v>Federative Unit of Brazil.</v>
      </c>
    </row>
    <row r="12" spans="1:27" customFormat="1" ht="6.65" customHeight="1" x14ac:dyDescent="0.4">
      <c r="A12" s="63">
        <v>12</v>
      </c>
      <c r="B12" s="64" t="s">
        <v>3794</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4"/>
        <v>Geográficas</v>
      </c>
      <c r="N12" s="70" t="str">
        <f t="shared" si="4"/>
        <v>Políticas</v>
      </c>
      <c r="O12" s="70" t="str">
        <f t="shared" si="4"/>
        <v>Província</v>
      </c>
      <c r="P12" s="70" t="s">
        <v>3571</v>
      </c>
      <c r="Q12" s="70" t="s">
        <v>94</v>
      </c>
      <c r="R12" s="67" t="s">
        <v>1</v>
      </c>
      <c r="S12" s="67" t="str">
        <f t="shared" si="1"/>
        <v>Fronteiras</v>
      </c>
      <c r="T12" s="67" t="str">
        <f t="shared" si="1"/>
        <v>Geográficas</v>
      </c>
      <c r="U12" s="67" t="str">
        <f t="shared" si="1"/>
        <v>Políticas</v>
      </c>
      <c r="V12" s="67" t="s">
        <v>3793</v>
      </c>
      <c r="W12" s="68" t="str">
        <f t="shared" si="2"/>
        <v>Key-BRASIL-12</v>
      </c>
      <c r="X12" s="67" t="s">
        <v>1</v>
      </c>
      <c r="Y12" s="67" t="s">
        <v>3649</v>
      </c>
      <c r="Z12" s="71" t="s">
        <v>1</v>
      </c>
      <c r="AA12" s="67" t="str">
        <f t="shared" si="3"/>
        <v>Province.</v>
      </c>
    </row>
    <row r="13" spans="1:27" customFormat="1" ht="6.65" customHeight="1" x14ac:dyDescent="0.4">
      <c r="A13" s="63">
        <v>13</v>
      </c>
      <c r="B13" s="64" t="s">
        <v>3794</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4"/>
        <v>Geográficas</v>
      </c>
      <c r="N13" s="70" t="str">
        <f t="shared" si="4"/>
        <v>Políticas</v>
      </c>
      <c r="O13" s="70" t="str">
        <f t="shared" si="4"/>
        <v>Capital</v>
      </c>
      <c r="P13" s="70" t="s">
        <v>3800</v>
      </c>
      <c r="Q13" s="70" t="s">
        <v>95</v>
      </c>
      <c r="R13" s="67" t="s">
        <v>1</v>
      </c>
      <c r="S13" s="67" t="str">
        <f t="shared" ref="S13:U100" si="6">SUBSTITUTE(C13, ".", " ")</f>
        <v>Fronteiras</v>
      </c>
      <c r="T13" s="67" t="str">
        <f t="shared" si="6"/>
        <v>Geográficas</v>
      </c>
      <c r="U13" s="67" t="str">
        <f t="shared" si="6"/>
        <v>Políticas</v>
      </c>
      <c r="V13" s="67" t="s">
        <v>3793</v>
      </c>
      <c r="W13" s="68" t="str">
        <f t="shared" si="2"/>
        <v>Key-BRASIL-13</v>
      </c>
      <c r="X13" s="67" t="s">
        <v>1</v>
      </c>
      <c r="Y13" s="67" t="s">
        <v>3649</v>
      </c>
      <c r="Z13" s="71" t="s">
        <v>1</v>
      </c>
      <c r="AA13" s="67" t="str">
        <f t="shared" si="3"/>
        <v>Capital of a State in Brazil.</v>
      </c>
    </row>
    <row r="14" spans="1:27" customFormat="1" ht="6.65" customHeight="1" x14ac:dyDescent="0.4">
      <c r="A14" s="63">
        <v>14</v>
      </c>
      <c r="B14" s="64" t="s">
        <v>3794</v>
      </c>
      <c r="C14" s="28" t="s">
        <v>3518</v>
      </c>
      <c r="D14" s="28" t="s">
        <v>3517</v>
      </c>
      <c r="E14" s="28" t="s">
        <v>3520</v>
      </c>
      <c r="F14" s="28" t="s">
        <v>3801</v>
      </c>
      <c r="G14" s="69" t="s">
        <v>1</v>
      </c>
      <c r="H14" s="69" t="s">
        <v>1</v>
      </c>
      <c r="I14" s="69" t="s">
        <v>1</v>
      </c>
      <c r="J14" s="69" t="s">
        <v>1</v>
      </c>
      <c r="K14" s="69" t="str">
        <f>_xlfn.CONCAT("é.dentro.de some ",F3)</f>
        <v>é.dentro.de some SubContinente</v>
      </c>
      <c r="L14" s="70" t="str">
        <f t="shared" si="0"/>
        <v>Fronteiras</v>
      </c>
      <c r="M14" s="70" t="str">
        <f t="shared" si="4"/>
        <v>Geográficas</v>
      </c>
      <c r="N14" s="70" t="str">
        <f t="shared" si="4"/>
        <v>Políticas</v>
      </c>
      <c r="O14" s="70" t="str">
        <f t="shared" si="4"/>
        <v>Capital do Sul</v>
      </c>
      <c r="P14" s="70" t="s">
        <v>3802</v>
      </c>
      <c r="Q14" s="70" t="str">
        <f t="shared" ref="Q14:Q24" si="7">_xlfn.TRANSLATE(P14,"pt","es")</f>
        <v>Ciudad capital de un estado situado en la región sur de Brasil.</v>
      </c>
      <c r="R14" s="67" t="s">
        <v>1</v>
      </c>
      <c r="S14" s="67" t="str">
        <f t="shared" si="6"/>
        <v>Fronteiras</v>
      </c>
      <c r="T14" s="67" t="str">
        <f t="shared" si="6"/>
        <v>Geográficas</v>
      </c>
      <c r="U14" s="67" t="str">
        <f t="shared" si="6"/>
        <v>Políticas</v>
      </c>
      <c r="V14" s="67" t="s">
        <v>3793</v>
      </c>
      <c r="W14" s="68" t="str">
        <f t="shared" si="2"/>
        <v>Key-BRASIL-14</v>
      </c>
      <c r="X14" s="67" t="s">
        <v>1</v>
      </c>
      <c r="Y14" s="67" t="s">
        <v>3649</v>
      </c>
      <c r="Z14" s="71" t="s">
        <v>1</v>
      </c>
      <c r="AA14" s="67" t="str">
        <f t="shared" si="3"/>
        <v>Capital City of a state located in the southern region of Brazil.</v>
      </c>
    </row>
    <row r="15" spans="1:27" customFormat="1" ht="6.65" customHeight="1" x14ac:dyDescent="0.4">
      <c r="A15" s="63">
        <v>15</v>
      </c>
      <c r="B15" s="64" t="s">
        <v>3794</v>
      </c>
      <c r="C15" s="28" t="s">
        <v>3518</v>
      </c>
      <c r="D15" s="28" t="s">
        <v>3517</v>
      </c>
      <c r="E15" s="28" t="s">
        <v>3520</v>
      </c>
      <c r="F15" s="28" t="s">
        <v>3803</v>
      </c>
      <c r="G15" s="69" t="s">
        <v>1</v>
      </c>
      <c r="H15" s="69" t="s">
        <v>1</v>
      </c>
      <c r="I15" s="69" t="s">
        <v>1</v>
      </c>
      <c r="J15" s="69" t="s">
        <v>1</v>
      </c>
      <c r="K15" s="69" t="str">
        <f>_xlfn.CONCAT("é.dentro.de some ",F3)</f>
        <v>é.dentro.de some SubContinente</v>
      </c>
      <c r="L15" s="70" t="str">
        <f t="shared" si="0"/>
        <v>Fronteiras</v>
      </c>
      <c r="M15" s="70" t="str">
        <f t="shared" si="4"/>
        <v>Geográficas</v>
      </c>
      <c r="N15" s="70" t="str">
        <f t="shared" si="4"/>
        <v>Políticas</v>
      </c>
      <c r="O15" s="70" t="str">
        <f t="shared" si="4"/>
        <v>Capital do Sudeste</v>
      </c>
      <c r="P15" s="70" t="s">
        <v>3804</v>
      </c>
      <c r="Q15" s="70" t="str">
        <f t="shared" si="7"/>
        <v>Ciudad capital de un estado situado en la región sureste de Brasil.</v>
      </c>
      <c r="R15" s="67" t="s">
        <v>1</v>
      </c>
      <c r="S15" s="67" t="str">
        <f t="shared" si="6"/>
        <v>Fronteiras</v>
      </c>
      <c r="T15" s="67" t="str">
        <f t="shared" si="6"/>
        <v>Geográficas</v>
      </c>
      <c r="U15" s="67" t="str">
        <f t="shared" si="6"/>
        <v>Políticas</v>
      </c>
      <c r="V15" s="67" t="s">
        <v>3793</v>
      </c>
      <c r="W15" s="68" t="str">
        <f t="shared" si="2"/>
        <v>Key-BRASIL-15</v>
      </c>
      <c r="X15" s="67" t="s">
        <v>1</v>
      </c>
      <c r="Y15" s="67" t="s">
        <v>3649</v>
      </c>
      <c r="Z15" s="71" t="s">
        <v>1</v>
      </c>
      <c r="AA15" s="67" t="str">
        <f t="shared" si="3"/>
        <v>Capital City of a State located in the Southeast region of Brazil.</v>
      </c>
    </row>
    <row r="16" spans="1:27" customFormat="1" ht="6.65" customHeight="1" x14ac:dyDescent="0.4">
      <c r="A16" s="63">
        <v>16</v>
      </c>
      <c r="B16" s="64" t="s">
        <v>3794</v>
      </c>
      <c r="C16" s="28" t="s">
        <v>3518</v>
      </c>
      <c r="D16" s="28" t="s">
        <v>3517</v>
      </c>
      <c r="E16" s="28" t="s">
        <v>3520</v>
      </c>
      <c r="F16" s="28" t="s">
        <v>3805</v>
      </c>
      <c r="G16" s="69" t="s">
        <v>1</v>
      </c>
      <c r="H16" s="69" t="s">
        <v>1</v>
      </c>
      <c r="I16" s="69" t="s">
        <v>1</v>
      </c>
      <c r="J16" s="69" t="s">
        <v>1</v>
      </c>
      <c r="K16" s="69" t="str">
        <f>_xlfn.CONCAT("é.dentro.de some ",F3)</f>
        <v>é.dentro.de some SubContinente</v>
      </c>
      <c r="L16" s="70" t="str">
        <f t="shared" si="0"/>
        <v>Fronteiras</v>
      </c>
      <c r="M16" s="70" t="str">
        <f t="shared" si="4"/>
        <v>Geográficas</v>
      </c>
      <c r="N16" s="70" t="str">
        <f t="shared" si="4"/>
        <v>Políticas</v>
      </c>
      <c r="O16" s="70" t="str">
        <f t="shared" si="4"/>
        <v>Capital do Norte</v>
      </c>
      <c r="P16" s="70" t="s">
        <v>3806</v>
      </c>
      <c r="Q16" s="70" t="str">
        <f t="shared" si="7"/>
        <v>Ciudad capital de un Estado situado en la región norte de Brasil.</v>
      </c>
      <c r="R16" s="67" t="s">
        <v>1</v>
      </c>
      <c r="S16" s="67" t="str">
        <f t="shared" si="6"/>
        <v>Fronteiras</v>
      </c>
      <c r="T16" s="67" t="str">
        <f t="shared" si="6"/>
        <v>Geográficas</v>
      </c>
      <c r="U16" s="67" t="str">
        <f t="shared" si="6"/>
        <v>Políticas</v>
      </c>
      <c r="V16" s="67" t="s">
        <v>3793</v>
      </c>
      <c r="W16" s="68" t="str">
        <f t="shared" si="2"/>
        <v>Key-BRASIL-16</v>
      </c>
      <c r="X16" s="67" t="s">
        <v>1</v>
      </c>
      <c r="Y16" s="67" t="s">
        <v>3649</v>
      </c>
      <c r="Z16" s="71" t="s">
        <v>1</v>
      </c>
      <c r="AA16" s="67" t="str">
        <f t="shared" si="3"/>
        <v>Capital City of a State located in the Northern region of Brazil.</v>
      </c>
    </row>
    <row r="17" spans="1:27" customFormat="1" ht="6.65" customHeight="1" x14ac:dyDescent="0.4">
      <c r="A17" s="63">
        <v>17</v>
      </c>
      <c r="B17" s="64" t="s">
        <v>3794</v>
      </c>
      <c r="C17" s="28" t="s">
        <v>3518</v>
      </c>
      <c r="D17" s="28" t="s">
        <v>3517</v>
      </c>
      <c r="E17" s="28" t="s">
        <v>3520</v>
      </c>
      <c r="F17" s="28" t="s">
        <v>3807</v>
      </c>
      <c r="G17" s="69" t="s">
        <v>1</v>
      </c>
      <c r="H17" s="69" t="s">
        <v>1</v>
      </c>
      <c r="I17" s="69" t="s">
        <v>1</v>
      </c>
      <c r="J17" s="69" t="s">
        <v>1</v>
      </c>
      <c r="K17" s="69" t="str">
        <f>_xlfn.CONCAT("é.dentro.de some ",F3)</f>
        <v>é.dentro.de some SubContinente</v>
      </c>
      <c r="L17" s="70" t="str">
        <f t="shared" si="0"/>
        <v>Fronteiras</v>
      </c>
      <c r="M17" s="70" t="str">
        <f t="shared" si="4"/>
        <v>Geográficas</v>
      </c>
      <c r="N17" s="70" t="str">
        <f t="shared" si="4"/>
        <v>Políticas</v>
      </c>
      <c r="O17" s="70" t="str">
        <f t="shared" si="4"/>
        <v>Capital do Nordeste</v>
      </c>
      <c r="P17" s="70" t="s">
        <v>3808</v>
      </c>
      <c r="Q17" s="70" t="str">
        <f t="shared" si="7"/>
        <v>Ciudad capital de un estado situado en la región noreste de Brasil.</v>
      </c>
      <c r="R17" s="67" t="s">
        <v>1</v>
      </c>
      <c r="S17" s="67" t="str">
        <f t="shared" si="6"/>
        <v>Fronteiras</v>
      </c>
      <c r="T17" s="67" t="str">
        <f t="shared" si="6"/>
        <v>Geográficas</v>
      </c>
      <c r="U17" s="67" t="str">
        <f t="shared" si="6"/>
        <v>Políticas</v>
      </c>
      <c r="V17" s="67" t="s">
        <v>3793</v>
      </c>
      <c r="W17" s="68" t="str">
        <f t="shared" si="2"/>
        <v>Key-BRASIL-17</v>
      </c>
      <c r="X17" s="67" t="s">
        <v>1</v>
      </c>
      <c r="Y17" s="67" t="s">
        <v>3649</v>
      </c>
      <c r="Z17" s="71" t="s">
        <v>1</v>
      </c>
      <c r="AA17" s="67" t="str">
        <f t="shared" si="3"/>
        <v>Capital City of a state located in the Northeast region of Brazil.</v>
      </c>
    </row>
    <row r="18" spans="1:27" customFormat="1" ht="6.65" customHeight="1" x14ac:dyDescent="0.4">
      <c r="A18" s="63">
        <v>18</v>
      </c>
      <c r="B18" s="64" t="s">
        <v>3794</v>
      </c>
      <c r="C18" s="28" t="s">
        <v>3518</v>
      </c>
      <c r="D18" s="28" t="s">
        <v>3517</v>
      </c>
      <c r="E18" s="28" t="s">
        <v>3520</v>
      </c>
      <c r="F18" s="28" t="s">
        <v>3809</v>
      </c>
      <c r="G18" s="69" t="s">
        <v>1</v>
      </c>
      <c r="H18" s="69" t="s">
        <v>1</v>
      </c>
      <c r="I18" s="69" t="s">
        <v>1</v>
      </c>
      <c r="J18" s="69" t="s">
        <v>1</v>
      </c>
      <c r="K18" s="69" t="str">
        <f>_xlfn.CONCAT("é.dentro.de some ",F4)</f>
        <v>é.dentro.de some Bioma</v>
      </c>
      <c r="L18" s="70" t="str">
        <f t="shared" si="0"/>
        <v>Fronteiras</v>
      </c>
      <c r="M18" s="70" t="str">
        <f t="shared" si="4"/>
        <v>Geográficas</v>
      </c>
      <c r="N18" s="70" t="str">
        <f t="shared" si="4"/>
        <v>Políticas</v>
      </c>
      <c r="O18" s="70" t="str">
        <f t="shared" si="4"/>
        <v>Capital do CentroOeste</v>
      </c>
      <c r="P18" s="70" t="s">
        <v>3810</v>
      </c>
      <c r="Q18" s="70" t="str">
        <f t="shared" si="7"/>
        <v>Ciudad capital de un estado situado en la región del Medio Oeste de Brasil.</v>
      </c>
      <c r="R18" s="67" t="s">
        <v>1</v>
      </c>
      <c r="S18" s="67" t="str">
        <f t="shared" si="6"/>
        <v>Fronteiras</v>
      </c>
      <c r="T18" s="67" t="str">
        <f t="shared" si="6"/>
        <v>Geográficas</v>
      </c>
      <c r="U18" s="67" t="str">
        <f t="shared" si="6"/>
        <v>Políticas</v>
      </c>
      <c r="V18" s="67" t="s">
        <v>3793</v>
      </c>
      <c r="W18" s="68" t="str">
        <f t="shared" si="2"/>
        <v>Key-BRASIL-18</v>
      </c>
      <c r="X18" s="67" t="s">
        <v>1</v>
      </c>
      <c r="Y18" s="67" t="s">
        <v>3649</v>
      </c>
      <c r="Z18" s="71" t="s">
        <v>1</v>
      </c>
      <c r="AA18" s="67" t="str">
        <f t="shared" si="3"/>
        <v>Capital City of a state located in the Midwest region of Brazil.</v>
      </c>
    </row>
    <row r="19" spans="1:27" customFormat="1" ht="6.65" customHeight="1" x14ac:dyDescent="0.4">
      <c r="A19" s="63">
        <v>19</v>
      </c>
      <c r="B19" s="64" t="s">
        <v>3794</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4"/>
        <v>Geográficas</v>
      </c>
      <c r="N19" s="70" t="str">
        <f t="shared" si="4"/>
        <v>Políticas</v>
      </c>
      <c r="O19" s="70" t="str">
        <f t="shared" si="4"/>
        <v>Cidade</v>
      </c>
      <c r="P19" s="70" t="s">
        <v>3811</v>
      </c>
      <c r="Q19" s="70" t="str">
        <f t="shared" si="7"/>
        <v>Ciudad de Brasil.</v>
      </c>
      <c r="R19" s="67" t="s">
        <v>1</v>
      </c>
      <c r="S19" s="67" t="str">
        <f t="shared" si="6"/>
        <v>Fronteiras</v>
      </c>
      <c r="T19" s="67" t="str">
        <f t="shared" si="6"/>
        <v>Geográficas</v>
      </c>
      <c r="U19" s="67" t="str">
        <f t="shared" si="6"/>
        <v>Políticas</v>
      </c>
      <c r="V19" s="67" t="s">
        <v>3793</v>
      </c>
      <c r="W19" s="68" t="str">
        <f t="shared" si="2"/>
        <v>Key-BRASIL-19</v>
      </c>
      <c r="X19" s="67" t="s">
        <v>1</v>
      </c>
      <c r="Y19" s="67" t="s">
        <v>3649</v>
      </c>
      <c r="Z19" s="71" t="s">
        <v>1</v>
      </c>
      <c r="AA19" s="67" t="str">
        <f t="shared" si="3"/>
        <v>City of Brazil.</v>
      </c>
    </row>
    <row r="20" spans="1:27" customFormat="1" ht="6.65" customHeight="1" x14ac:dyDescent="0.4">
      <c r="A20" s="63">
        <v>20</v>
      </c>
      <c r="B20" s="64" t="s">
        <v>3794</v>
      </c>
      <c r="C20" s="28" t="s">
        <v>3518</v>
      </c>
      <c r="D20" s="28" t="s">
        <v>3517</v>
      </c>
      <c r="E20" s="28" t="s">
        <v>3520</v>
      </c>
      <c r="F20" s="28" t="s">
        <v>3812</v>
      </c>
      <c r="G20" s="69" t="s">
        <v>1</v>
      </c>
      <c r="H20" s="69" t="s">
        <v>1</v>
      </c>
      <c r="I20" s="69" t="s">
        <v>1</v>
      </c>
      <c r="J20" s="69" t="s">
        <v>1</v>
      </c>
      <c r="K20" s="69" t="str">
        <f>_xlfn.CONCAT("é.dentro.de some ",F9)</f>
        <v>é.dentro.de some Região.Imediata</v>
      </c>
      <c r="L20" s="70" t="str">
        <f t="shared" si="0"/>
        <v>Fronteiras</v>
      </c>
      <c r="M20" s="70" t="str">
        <f t="shared" si="4"/>
        <v>Geográficas</v>
      </c>
      <c r="N20" s="70" t="str">
        <f t="shared" si="4"/>
        <v>Políticas</v>
      </c>
      <c r="O20" s="70" t="str">
        <f t="shared" si="4"/>
        <v>Cidade do Sul</v>
      </c>
      <c r="P20" s="70" t="s">
        <v>3813</v>
      </c>
      <c r="Q20" s="70" t="str">
        <f t="shared" si="7"/>
        <v>Ciudad situada en la región sur de Brasil.</v>
      </c>
      <c r="R20" s="67" t="s">
        <v>1</v>
      </c>
      <c r="S20" s="67" t="str">
        <f t="shared" si="6"/>
        <v>Fronteiras</v>
      </c>
      <c r="T20" s="67" t="str">
        <f t="shared" si="6"/>
        <v>Geográficas</v>
      </c>
      <c r="U20" s="67" t="str">
        <f t="shared" si="6"/>
        <v>Políticas</v>
      </c>
      <c r="V20" s="67" t="s">
        <v>3793</v>
      </c>
      <c r="W20" s="68" t="str">
        <f t="shared" si="2"/>
        <v>Key-BRASIL-20</v>
      </c>
      <c r="X20" s="67" t="s">
        <v>1</v>
      </c>
      <c r="Y20" s="67" t="s">
        <v>3649</v>
      </c>
      <c r="Z20" s="71" t="s">
        <v>1</v>
      </c>
      <c r="AA20" s="67" t="str">
        <f t="shared" si="3"/>
        <v>City located in the southern region of Brazil.</v>
      </c>
    </row>
    <row r="21" spans="1:27" customFormat="1" ht="6.65" customHeight="1" x14ac:dyDescent="0.4">
      <c r="A21" s="63">
        <v>21</v>
      </c>
      <c r="B21" s="64" t="s">
        <v>3794</v>
      </c>
      <c r="C21" s="28" t="s">
        <v>3518</v>
      </c>
      <c r="D21" s="28" t="s">
        <v>3517</v>
      </c>
      <c r="E21" s="28" t="s">
        <v>3520</v>
      </c>
      <c r="F21" s="28" t="s">
        <v>3814</v>
      </c>
      <c r="G21" s="69" t="s">
        <v>1</v>
      </c>
      <c r="H21" s="69" t="s">
        <v>1</v>
      </c>
      <c r="I21" s="69" t="s">
        <v>1</v>
      </c>
      <c r="J21" s="69" t="s">
        <v>1</v>
      </c>
      <c r="K21" s="69" t="str">
        <f>_xlfn.CONCAT("é.dentro.de some ",F9)</f>
        <v>é.dentro.de some Região.Imediata</v>
      </c>
      <c r="L21" s="70" t="str">
        <f t="shared" si="0"/>
        <v>Fronteiras</v>
      </c>
      <c r="M21" s="70" t="str">
        <f t="shared" si="4"/>
        <v>Geográficas</v>
      </c>
      <c r="N21" s="70" t="str">
        <f t="shared" si="4"/>
        <v>Políticas</v>
      </c>
      <c r="O21" s="70" t="str">
        <f t="shared" si="4"/>
        <v>Cidade do Sudeste</v>
      </c>
      <c r="P21" s="70" t="s">
        <v>3815</v>
      </c>
      <c r="Q21" s="70" t="str">
        <f t="shared" si="7"/>
        <v>Ciudad situada en la región sureste de Brasil.</v>
      </c>
      <c r="R21" s="67" t="s">
        <v>1</v>
      </c>
      <c r="S21" s="67" t="str">
        <f t="shared" si="6"/>
        <v>Fronteiras</v>
      </c>
      <c r="T21" s="67" t="str">
        <f t="shared" si="6"/>
        <v>Geográficas</v>
      </c>
      <c r="U21" s="67" t="str">
        <f t="shared" si="6"/>
        <v>Políticas</v>
      </c>
      <c r="V21" s="67" t="s">
        <v>3793</v>
      </c>
      <c r="W21" s="68" t="str">
        <f t="shared" si="2"/>
        <v>Key-BRASIL-21</v>
      </c>
      <c r="X21" s="67" t="s">
        <v>1</v>
      </c>
      <c r="Y21" s="67" t="s">
        <v>3649</v>
      </c>
      <c r="Z21" s="71" t="s">
        <v>1</v>
      </c>
      <c r="AA21" s="67" t="str">
        <f t="shared" si="3"/>
        <v>City located in the Southeast region of Brazil.</v>
      </c>
    </row>
    <row r="22" spans="1:27" customFormat="1" ht="6.65" customHeight="1" x14ac:dyDescent="0.4">
      <c r="A22" s="63">
        <v>22</v>
      </c>
      <c r="B22" s="64" t="s">
        <v>3794</v>
      </c>
      <c r="C22" s="28" t="s">
        <v>3518</v>
      </c>
      <c r="D22" s="28" t="s">
        <v>3517</v>
      </c>
      <c r="E22" s="28" t="s">
        <v>3520</v>
      </c>
      <c r="F22" s="28" t="s">
        <v>3816</v>
      </c>
      <c r="G22" s="69" t="s">
        <v>1</v>
      </c>
      <c r="H22" s="69" t="s">
        <v>1</v>
      </c>
      <c r="I22" s="69" t="s">
        <v>1</v>
      </c>
      <c r="J22" s="69" t="s">
        <v>1</v>
      </c>
      <c r="K22" s="69" t="str">
        <f>_xlfn.CONCAT("é.dentro.de some ",F9)</f>
        <v>é.dentro.de some Região.Imediata</v>
      </c>
      <c r="L22" s="70" t="str">
        <f t="shared" si="0"/>
        <v>Fronteiras</v>
      </c>
      <c r="M22" s="70" t="str">
        <f t="shared" si="4"/>
        <v>Geográficas</v>
      </c>
      <c r="N22" s="70" t="str">
        <f t="shared" si="4"/>
        <v>Políticas</v>
      </c>
      <c r="O22" s="70" t="str">
        <f t="shared" si="4"/>
        <v>Cidade do Norte</v>
      </c>
      <c r="P22" s="70" t="s">
        <v>3817</v>
      </c>
      <c r="Q22" s="70" t="str">
        <f t="shared" si="7"/>
        <v>Ciudad situada en la región norte de Brasil.</v>
      </c>
      <c r="R22" s="67" t="s">
        <v>1</v>
      </c>
      <c r="S22" s="67" t="str">
        <f t="shared" si="6"/>
        <v>Fronteiras</v>
      </c>
      <c r="T22" s="67" t="str">
        <f t="shared" si="6"/>
        <v>Geográficas</v>
      </c>
      <c r="U22" s="67" t="str">
        <f t="shared" si="6"/>
        <v>Políticas</v>
      </c>
      <c r="V22" s="67" t="s">
        <v>3793</v>
      </c>
      <c r="W22" s="68" t="str">
        <f t="shared" si="2"/>
        <v>Key-BRASIL-22</v>
      </c>
      <c r="X22" s="67" t="s">
        <v>1</v>
      </c>
      <c r="Y22" s="67" t="s">
        <v>3649</v>
      </c>
      <c r="Z22" s="71" t="s">
        <v>1</v>
      </c>
      <c r="AA22" s="67" t="str">
        <f t="shared" si="3"/>
        <v>City located in the North region of Brazil.</v>
      </c>
    </row>
    <row r="23" spans="1:27" customFormat="1" ht="6.65" customHeight="1" x14ac:dyDescent="0.4">
      <c r="A23" s="63">
        <v>23</v>
      </c>
      <c r="B23" s="64" t="s">
        <v>3794</v>
      </c>
      <c r="C23" s="28" t="s">
        <v>3518</v>
      </c>
      <c r="D23" s="28" t="s">
        <v>3517</v>
      </c>
      <c r="E23" s="28" t="s">
        <v>3520</v>
      </c>
      <c r="F23" s="28" t="s">
        <v>3818</v>
      </c>
      <c r="G23" s="69" t="s">
        <v>1</v>
      </c>
      <c r="H23" s="69" t="s">
        <v>1</v>
      </c>
      <c r="I23" s="69" t="s">
        <v>1</v>
      </c>
      <c r="J23" s="69" t="s">
        <v>1</v>
      </c>
      <c r="K23" s="69" t="str">
        <f>_xlfn.CONCAT("é.dentro.de some ",F9)</f>
        <v>é.dentro.de some Região.Imediata</v>
      </c>
      <c r="L23" s="70" t="str">
        <f t="shared" si="0"/>
        <v>Fronteiras</v>
      </c>
      <c r="M23" s="70" t="str">
        <f t="shared" si="4"/>
        <v>Geográficas</v>
      </c>
      <c r="N23" s="70" t="str">
        <f t="shared" si="4"/>
        <v>Políticas</v>
      </c>
      <c r="O23" s="70" t="str">
        <f t="shared" si="4"/>
        <v>Cidade do Nordeste</v>
      </c>
      <c r="P23" s="70" t="s">
        <v>3819</v>
      </c>
      <c r="Q23" s="70" t="str">
        <f t="shared" si="7"/>
        <v>Ciudad situada en la región noreste de Brasil.</v>
      </c>
      <c r="R23" s="67" t="s">
        <v>1</v>
      </c>
      <c r="S23" s="67" t="str">
        <f t="shared" si="6"/>
        <v>Fronteiras</v>
      </c>
      <c r="T23" s="67" t="str">
        <f t="shared" si="6"/>
        <v>Geográficas</v>
      </c>
      <c r="U23" s="67" t="str">
        <f t="shared" si="6"/>
        <v>Políticas</v>
      </c>
      <c r="V23" s="67" t="s">
        <v>3793</v>
      </c>
      <c r="W23" s="68" t="str">
        <f t="shared" si="2"/>
        <v>Key-BRASIL-23</v>
      </c>
      <c r="X23" s="67" t="s">
        <v>1</v>
      </c>
      <c r="Y23" s="67" t="s">
        <v>3649</v>
      </c>
      <c r="Z23" s="71" t="s">
        <v>1</v>
      </c>
      <c r="AA23" s="67" t="str">
        <f t="shared" si="3"/>
        <v>City located in the Northeast region of Brazil.</v>
      </c>
    </row>
    <row r="24" spans="1:27" customFormat="1" ht="6.65" customHeight="1" x14ac:dyDescent="0.4">
      <c r="A24" s="63">
        <v>24</v>
      </c>
      <c r="B24" s="64" t="s">
        <v>3794</v>
      </c>
      <c r="C24" s="28" t="s">
        <v>3518</v>
      </c>
      <c r="D24" s="28" t="s">
        <v>3517</v>
      </c>
      <c r="E24" s="28" t="s">
        <v>3520</v>
      </c>
      <c r="F24" s="28" t="s">
        <v>3820</v>
      </c>
      <c r="G24" s="69" t="s">
        <v>1</v>
      </c>
      <c r="H24" s="69" t="s">
        <v>1</v>
      </c>
      <c r="I24" s="69" t="s">
        <v>1</v>
      </c>
      <c r="J24" s="69" t="s">
        <v>1</v>
      </c>
      <c r="K24" s="69" t="str">
        <f>_xlfn.CONCAT("é.dentro.de some ",F10)</f>
        <v>é.dentro.de some Estado</v>
      </c>
      <c r="L24" s="70" t="str">
        <f t="shared" si="0"/>
        <v>Fronteiras</v>
      </c>
      <c r="M24" s="70" t="str">
        <f t="shared" si="4"/>
        <v>Geográficas</v>
      </c>
      <c r="N24" s="70" t="str">
        <f t="shared" si="4"/>
        <v>Políticas</v>
      </c>
      <c r="O24" s="70" t="str">
        <f t="shared" si="4"/>
        <v>Cidade do CentroOeste</v>
      </c>
      <c r="P24" s="70" t="s">
        <v>3821</v>
      </c>
      <c r="Q24" s="70" t="str">
        <f t="shared" si="7"/>
        <v>Ciudad situada en la región del Medio Oeste de Brasil.</v>
      </c>
      <c r="R24" s="67" t="s">
        <v>1</v>
      </c>
      <c r="S24" s="67" t="str">
        <f t="shared" si="6"/>
        <v>Fronteiras</v>
      </c>
      <c r="T24" s="67" t="str">
        <f t="shared" si="6"/>
        <v>Geográficas</v>
      </c>
      <c r="U24" s="67" t="str">
        <f t="shared" si="6"/>
        <v>Políticas</v>
      </c>
      <c r="V24" s="67" t="s">
        <v>3793</v>
      </c>
      <c r="W24" s="68" t="str">
        <f t="shared" si="2"/>
        <v>Key-BRASIL-24</v>
      </c>
      <c r="X24" s="67" t="s">
        <v>1</v>
      </c>
      <c r="Y24" s="67" t="s">
        <v>3649</v>
      </c>
      <c r="Z24" s="71" t="s">
        <v>1</v>
      </c>
      <c r="AA24" s="67" t="str">
        <f t="shared" si="3"/>
        <v>City located in the Midwest region of Brazil.</v>
      </c>
    </row>
    <row r="25" spans="1:27" customFormat="1" ht="6.65" customHeight="1" x14ac:dyDescent="0.4">
      <c r="A25" s="63">
        <v>25</v>
      </c>
      <c r="B25" s="64" t="s">
        <v>3794</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4"/>
        <v>Geográficas</v>
      </c>
      <c r="N25" s="70" t="str">
        <f t="shared" si="4"/>
        <v>Políticas</v>
      </c>
      <c r="O25" s="70" t="str">
        <f t="shared" si="4"/>
        <v>Metrópoli</v>
      </c>
      <c r="P25" s="70" t="s">
        <v>3572</v>
      </c>
      <c r="Q25" s="70" t="s">
        <v>96</v>
      </c>
      <c r="R25" s="67" t="s">
        <v>1</v>
      </c>
      <c r="S25" s="67" t="str">
        <f t="shared" si="6"/>
        <v>Fronteiras</v>
      </c>
      <c r="T25" s="67" t="str">
        <f t="shared" si="6"/>
        <v>Geográficas</v>
      </c>
      <c r="U25" s="67" t="str">
        <f t="shared" si="6"/>
        <v>Políticas</v>
      </c>
      <c r="V25" s="67" t="s">
        <v>3793</v>
      </c>
      <c r="W25" s="68" t="str">
        <f t="shared" si="2"/>
        <v>Key-BRASIL-25</v>
      </c>
      <c r="X25" s="67" t="s">
        <v>1</v>
      </c>
      <c r="Y25" s="67" t="s">
        <v>3649</v>
      </c>
      <c r="Z25" s="71" t="s">
        <v>1</v>
      </c>
      <c r="AA25" s="67" t="str">
        <f t="shared" si="3"/>
        <v>Metropolis.</v>
      </c>
    </row>
    <row r="26" spans="1:27" customFormat="1" ht="6.65" customHeight="1" x14ac:dyDescent="0.4">
      <c r="A26" s="63">
        <v>26</v>
      </c>
      <c r="B26" s="64" t="s">
        <v>3794</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4"/>
        <v>Geográficas</v>
      </c>
      <c r="N26" s="70" t="str">
        <f t="shared" si="4"/>
        <v>Políticas</v>
      </c>
      <c r="O26" s="70" t="str">
        <f t="shared" si="4"/>
        <v>Município</v>
      </c>
      <c r="P26" s="70" t="s">
        <v>3573</v>
      </c>
      <c r="Q26" s="70" t="s">
        <v>98</v>
      </c>
      <c r="R26" s="67" t="s">
        <v>1</v>
      </c>
      <c r="S26" s="67" t="str">
        <f t="shared" si="6"/>
        <v>Fronteiras</v>
      </c>
      <c r="T26" s="67" t="str">
        <f t="shared" si="6"/>
        <v>Geográficas</v>
      </c>
      <c r="U26" s="67" t="str">
        <f t="shared" si="6"/>
        <v>Políticas</v>
      </c>
      <c r="V26" s="67" t="s">
        <v>3793</v>
      </c>
      <c r="W26" s="68" t="str">
        <f t="shared" si="2"/>
        <v>Key-BRASIL-26</v>
      </c>
      <c r="X26" s="67" t="s">
        <v>1</v>
      </c>
      <c r="Y26" s="67" t="s">
        <v>3649</v>
      </c>
      <c r="Z26" s="71" t="s">
        <v>1</v>
      </c>
      <c r="AA26" s="67" t="str">
        <f t="shared" si="3"/>
        <v>Municipality.</v>
      </c>
    </row>
    <row r="27" spans="1:27" customFormat="1" ht="6.65" customHeight="1" x14ac:dyDescent="0.4">
      <c r="A27" s="63">
        <v>27</v>
      </c>
      <c r="B27" s="64" t="s">
        <v>3794</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4"/>
        <v>Térmicas</v>
      </c>
      <c r="N27" s="70" t="str">
        <f t="shared" si="4"/>
        <v>Bioclimáticas</v>
      </c>
      <c r="O27" s="70" t="str">
        <f t="shared" si="4"/>
        <v>Região Climática</v>
      </c>
      <c r="P27" s="70" t="s">
        <v>3574</v>
      </c>
      <c r="Q27" s="70" t="s">
        <v>100</v>
      </c>
      <c r="R27" s="67" t="s">
        <v>1</v>
      </c>
      <c r="S27" s="67" t="str">
        <f t="shared" si="6"/>
        <v>Fronteiras</v>
      </c>
      <c r="T27" s="67" t="str">
        <f t="shared" si="6"/>
        <v>Térmicas</v>
      </c>
      <c r="U27" s="67" t="str">
        <f t="shared" si="6"/>
        <v>Bioclimáticas</v>
      </c>
      <c r="V27" s="67" t="s">
        <v>3793</v>
      </c>
      <c r="W27" s="68" t="str">
        <f t="shared" si="2"/>
        <v>Key-BRASIL-27</v>
      </c>
      <c r="X27" s="67" t="s">
        <v>3650</v>
      </c>
      <c r="Y27" s="67" t="s">
        <v>3649</v>
      </c>
      <c r="Z27" s="71" t="s">
        <v>1</v>
      </c>
      <c r="AA27" s="67" t="str">
        <f t="shared" si="3"/>
        <v>Climatic region.</v>
      </c>
    </row>
    <row r="28" spans="1:27" customFormat="1" ht="6.65" customHeight="1" x14ac:dyDescent="0.4">
      <c r="A28" s="63">
        <v>28</v>
      </c>
      <c r="B28" s="64" t="s">
        <v>3794</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4"/>
        <v>Térmicas</v>
      </c>
      <c r="N28" s="70" t="str">
        <f t="shared" si="4"/>
        <v>Bioclimáticas</v>
      </c>
      <c r="O28" s="70" t="str">
        <f t="shared" si="4"/>
        <v>Zona Climática</v>
      </c>
      <c r="P28" s="70" t="s">
        <v>3575</v>
      </c>
      <c r="Q28" s="70" t="s">
        <v>102</v>
      </c>
      <c r="R28" s="67" t="s">
        <v>1</v>
      </c>
      <c r="S28" s="67" t="str">
        <f t="shared" si="6"/>
        <v>Fronteiras</v>
      </c>
      <c r="T28" s="67" t="str">
        <f t="shared" si="6"/>
        <v>Térmicas</v>
      </c>
      <c r="U28" s="67" t="str">
        <f t="shared" si="6"/>
        <v>Bioclimáticas</v>
      </c>
      <c r="V28" s="67" t="s">
        <v>3793</v>
      </c>
      <c r="W28" s="68" t="str">
        <f t="shared" si="2"/>
        <v>Key-BRASIL-28</v>
      </c>
      <c r="X28" s="67" t="s">
        <v>3650</v>
      </c>
      <c r="Y28" s="67" t="s">
        <v>3649</v>
      </c>
      <c r="Z28" s="71" t="s">
        <v>1</v>
      </c>
      <c r="AA28" s="67" t="str">
        <f t="shared" si="3"/>
        <v>Climate zone.</v>
      </c>
    </row>
    <row r="29" spans="1:27" customFormat="1" ht="6.65" customHeight="1" x14ac:dyDescent="0.4">
      <c r="A29" s="63">
        <v>29</v>
      </c>
      <c r="B29" s="64" t="s">
        <v>3794</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4"/>
        <v>Térmicas</v>
      </c>
      <c r="N29" s="70" t="str">
        <f t="shared" si="4"/>
        <v>Ilhas de Calor</v>
      </c>
      <c r="O29" s="70" t="str">
        <f t="shared" si="4"/>
        <v>Zona Climática Local</v>
      </c>
      <c r="P29" s="70" t="s">
        <v>3577</v>
      </c>
      <c r="Q29" s="70" t="s">
        <v>104</v>
      </c>
      <c r="R29" s="67" t="s">
        <v>1</v>
      </c>
      <c r="S29" s="67" t="str">
        <f t="shared" si="6"/>
        <v>Fronteiras</v>
      </c>
      <c r="T29" s="67" t="str">
        <f t="shared" si="6"/>
        <v>Térmicas</v>
      </c>
      <c r="U29" s="67" t="str">
        <f t="shared" si="6"/>
        <v>Ilhas de Calor</v>
      </c>
      <c r="V29" s="67" t="s">
        <v>3793</v>
      </c>
      <c r="W29" s="68" t="str">
        <f t="shared" si="2"/>
        <v>Key-BRASIL-29</v>
      </c>
      <c r="X29" s="67" t="s">
        <v>3650</v>
      </c>
      <c r="Y29" s="67" t="s">
        <v>3649</v>
      </c>
      <c r="Z29" s="71" t="s">
        <v>1</v>
      </c>
      <c r="AA29" s="67" t="str">
        <f t="shared" si="3"/>
        <v>Local climate zone (FTZ) according to Stewart and Oke's methodology for qualifying heat islands in urban areas.</v>
      </c>
    </row>
    <row r="30" spans="1:27" customFormat="1" ht="6.65" customHeight="1" x14ac:dyDescent="0.4">
      <c r="A30" s="63">
        <v>30</v>
      </c>
      <c r="B30" s="64" t="s">
        <v>3794</v>
      </c>
      <c r="C30" s="28" t="s">
        <v>3518</v>
      </c>
      <c r="D30" s="28" t="s">
        <v>3550</v>
      </c>
      <c r="E30" s="64" t="s">
        <v>3551</v>
      </c>
      <c r="F30" s="65" t="s">
        <v>3512</v>
      </c>
      <c r="G30" s="69" t="s">
        <v>1</v>
      </c>
      <c r="H30" s="69" t="s">
        <v>1</v>
      </c>
      <c r="I30" s="69" t="s">
        <v>1</v>
      </c>
      <c r="J30" s="69" t="s">
        <v>1</v>
      </c>
      <c r="K30" s="69" t="s">
        <v>1</v>
      </c>
      <c r="L30" s="66" t="str">
        <f t="shared" ref="L30:M40" si="8">CONCATENATE("", C30)</f>
        <v>Fronteiras</v>
      </c>
      <c r="M30" s="66" t="str">
        <f t="shared" si="8"/>
        <v>Demarcadas</v>
      </c>
      <c r="N30" s="66" t="str">
        <f t="shared" ref="N30:N40" si="9">(SUBSTITUTE(SUBSTITUTE(CONCATENATE("",E30),"."," ")," De "," de "))</f>
        <v>Marcos</v>
      </c>
      <c r="O30" s="67" t="str">
        <f t="shared" ref="O30:O40" si="10">F30</f>
        <v>Marco.Referencial</v>
      </c>
      <c r="P30" s="67" t="s">
        <v>3487</v>
      </c>
      <c r="Q30" s="67" t="s">
        <v>3488</v>
      </c>
      <c r="R30" s="67" t="s">
        <v>1</v>
      </c>
      <c r="S30" s="67" t="str">
        <f t="shared" ref="S30:T40" si="11">SUBSTITUTE(C30, "_", " ")</f>
        <v>Fronteiras</v>
      </c>
      <c r="T30" s="67" t="str">
        <f t="shared" si="11"/>
        <v>Demarcadas</v>
      </c>
      <c r="U30" s="67" t="str">
        <f t="shared" si="6"/>
        <v>Marcos</v>
      </c>
      <c r="V30" s="67" t="s">
        <v>3793</v>
      </c>
      <c r="W30" s="68" t="str">
        <f t="shared" si="2"/>
        <v>Key-BRASIL-30</v>
      </c>
      <c r="X30" s="67" t="s">
        <v>1</v>
      </c>
      <c r="Y30" s="71" t="s">
        <v>3667</v>
      </c>
      <c r="Z30" s="71" t="s">
        <v>1</v>
      </c>
      <c r="AA30" s="67" t="str">
        <f t="shared" si="3"/>
        <v>Ifcreferent defines a position at a specific offset along an alignment curve.</v>
      </c>
    </row>
    <row r="31" spans="1:27" customFormat="1" ht="6.65" customHeight="1" x14ac:dyDescent="0.4">
      <c r="A31" s="63">
        <v>31</v>
      </c>
      <c r="B31" s="64" t="s">
        <v>3794</v>
      </c>
      <c r="C31" s="28" t="s">
        <v>3518</v>
      </c>
      <c r="D31" s="28" t="s">
        <v>3550</v>
      </c>
      <c r="E31" s="64" t="s">
        <v>3551</v>
      </c>
      <c r="F31" s="65" t="s">
        <v>3513</v>
      </c>
      <c r="G31" s="69" t="s">
        <v>1</v>
      </c>
      <c r="H31" s="69" t="s">
        <v>1</v>
      </c>
      <c r="I31" s="69" t="s">
        <v>1</v>
      </c>
      <c r="J31" s="69" t="s">
        <v>1</v>
      </c>
      <c r="K31" s="69" t="s">
        <v>1</v>
      </c>
      <c r="L31" s="66" t="str">
        <f t="shared" si="8"/>
        <v>Fronteiras</v>
      </c>
      <c r="M31" s="66" t="str">
        <f t="shared" si="8"/>
        <v>Demarcadas</v>
      </c>
      <c r="N31" s="66" t="str">
        <f t="shared" si="9"/>
        <v>Marcos</v>
      </c>
      <c r="O31" s="67" t="str">
        <f t="shared" si="10"/>
        <v>Marco.de.Fronteira</v>
      </c>
      <c r="P31" s="67" t="s">
        <v>3489</v>
      </c>
      <c r="Q31" s="67" t="s">
        <v>3490</v>
      </c>
      <c r="R31" s="67" t="s">
        <v>1</v>
      </c>
      <c r="S31" s="67" t="str">
        <f t="shared" si="11"/>
        <v>Fronteiras</v>
      </c>
      <c r="T31" s="67" t="str">
        <f t="shared" si="11"/>
        <v>Demarcadas</v>
      </c>
      <c r="U31" s="67" t="str">
        <f t="shared" si="6"/>
        <v>Marcos</v>
      </c>
      <c r="V31" s="67" t="s">
        <v>3793</v>
      </c>
      <c r="W31" s="68" t="str">
        <f t="shared" si="2"/>
        <v>Key-BRASIL-31</v>
      </c>
      <c r="X31" s="67" t="s">
        <v>1</v>
      </c>
      <c r="Y31" s="71" t="s">
        <v>3668</v>
      </c>
      <c r="Z31" s="71" t="s">
        <v>1</v>
      </c>
      <c r="AA31" s="67" t="str">
        <f t="shared" si="3"/>
        <v>Represents where an administrative (city or state) or maintenance boundary (different companies or regionals) intersects the linear element (rails or roads) being measured.</v>
      </c>
    </row>
    <row r="32" spans="1:27" customFormat="1" ht="6.65" customHeight="1" x14ac:dyDescent="0.4">
      <c r="A32" s="63">
        <v>32</v>
      </c>
      <c r="B32" s="64" t="s">
        <v>3794</v>
      </c>
      <c r="C32" s="28" t="s">
        <v>3518</v>
      </c>
      <c r="D32" s="28" t="s">
        <v>3550</v>
      </c>
      <c r="E32" s="64" t="s">
        <v>3551</v>
      </c>
      <c r="F32" s="65" t="s">
        <v>3514</v>
      </c>
      <c r="G32" s="69" t="s">
        <v>1</v>
      </c>
      <c r="H32" s="69" t="s">
        <v>1</v>
      </c>
      <c r="I32" s="69" t="s">
        <v>1</v>
      </c>
      <c r="J32" s="69" t="s">
        <v>1</v>
      </c>
      <c r="K32" s="69" t="s">
        <v>1</v>
      </c>
      <c r="L32" s="66" t="str">
        <f t="shared" si="8"/>
        <v>Fronteiras</v>
      </c>
      <c r="M32" s="66" t="str">
        <f t="shared" si="8"/>
        <v>Demarcadas</v>
      </c>
      <c r="N32" s="66" t="str">
        <f t="shared" si="9"/>
        <v>Marcos</v>
      </c>
      <c r="O32" s="67" t="str">
        <f t="shared" si="10"/>
        <v>Marco.de.Cruzamento</v>
      </c>
      <c r="P32" s="67" t="s">
        <v>3491</v>
      </c>
      <c r="Q32" s="67" t="s">
        <v>3492</v>
      </c>
      <c r="R32" s="67" t="s">
        <v>1</v>
      </c>
      <c r="S32" s="67" t="str">
        <f t="shared" si="11"/>
        <v>Fronteiras</v>
      </c>
      <c r="T32" s="67" t="str">
        <f t="shared" si="11"/>
        <v>Demarcadas</v>
      </c>
      <c r="U32" s="67" t="str">
        <f t="shared" si="6"/>
        <v>Marcos</v>
      </c>
      <c r="V32" s="67" t="s">
        <v>3793</v>
      </c>
      <c r="W32" s="68" t="str">
        <f t="shared" si="2"/>
        <v>Key-BRASIL-32</v>
      </c>
      <c r="X32" s="67" t="s">
        <v>1</v>
      </c>
      <c r="Y32" s="71" t="s">
        <v>3669</v>
      </c>
      <c r="Z32" s="71" t="s">
        <v>1</v>
      </c>
      <c r="AA32" s="67" t="str">
        <f t="shared" si="3"/>
        <v>It is the location of an intersection specified by the name of the referent. the intersection location of the intersection's street reference lines. it is not precise or deterministic.</v>
      </c>
    </row>
    <row r="33" spans="1:27" customFormat="1" ht="6.65" customHeight="1" x14ac:dyDescent="0.4">
      <c r="A33" s="63">
        <v>33</v>
      </c>
      <c r="B33" s="64" t="s">
        <v>3794</v>
      </c>
      <c r="C33" s="28" t="s">
        <v>3518</v>
      </c>
      <c r="D33" s="28" t="s">
        <v>3550</v>
      </c>
      <c r="E33" s="64" t="s">
        <v>3551</v>
      </c>
      <c r="F33" s="65" t="s">
        <v>3515</v>
      </c>
      <c r="G33" s="69" t="s">
        <v>1</v>
      </c>
      <c r="H33" s="69" t="s">
        <v>1</v>
      </c>
      <c r="I33" s="69" t="s">
        <v>1</v>
      </c>
      <c r="J33" s="69" t="s">
        <v>1</v>
      </c>
      <c r="K33" s="69" t="s">
        <v>1</v>
      </c>
      <c r="L33" s="66" t="str">
        <f t="shared" si="8"/>
        <v>Fronteiras</v>
      </c>
      <c r="M33" s="66" t="str">
        <f t="shared" si="8"/>
        <v>Demarcadas</v>
      </c>
      <c r="N33" s="66" t="str">
        <f t="shared" si="9"/>
        <v>Marcos</v>
      </c>
      <c r="O33" s="67" t="str">
        <f t="shared" si="10"/>
        <v>Marco.de.Localização</v>
      </c>
      <c r="P33" s="67" t="s">
        <v>3499</v>
      </c>
      <c r="Q33" s="67" t="s">
        <v>3500</v>
      </c>
      <c r="R33" s="67" t="s">
        <v>1</v>
      </c>
      <c r="S33" s="67" t="str">
        <f t="shared" si="11"/>
        <v>Fronteiras</v>
      </c>
      <c r="T33" s="67" t="str">
        <f t="shared" si="11"/>
        <v>Demarcadas</v>
      </c>
      <c r="U33" s="67" t="str">
        <f t="shared" si="6"/>
        <v>Marcos</v>
      </c>
      <c r="V33" s="67" t="s">
        <v>3793</v>
      </c>
      <c r="W33" s="68" t="str">
        <f t="shared" si="2"/>
        <v>Key-BRASIL-33</v>
      </c>
      <c r="X33" s="67" t="s">
        <v>1</v>
      </c>
      <c r="Y33" s="71" t="s">
        <v>3670</v>
      </c>
      <c r="Z33" s="71" t="s">
        <v>1</v>
      </c>
      <c r="AA33" s="67" t="str">
        <f t="shared" si="3"/>
        <v>Used to completely describe a linearly referenced location, given by the line element.</v>
      </c>
    </row>
    <row r="34" spans="1:27" customFormat="1" ht="6.65" customHeight="1" x14ac:dyDescent="0.4">
      <c r="A34" s="63">
        <v>34</v>
      </c>
      <c r="B34" s="64" t="s">
        <v>3794</v>
      </c>
      <c r="C34" s="28" t="s">
        <v>3518</v>
      </c>
      <c r="D34" s="28" t="s">
        <v>3550</v>
      </c>
      <c r="E34" s="64" t="s">
        <v>3551</v>
      </c>
      <c r="F34" s="65" t="s">
        <v>3509</v>
      </c>
      <c r="G34" s="69" t="s">
        <v>1</v>
      </c>
      <c r="H34" s="69" t="s">
        <v>1</v>
      </c>
      <c r="I34" s="69" t="s">
        <v>1</v>
      </c>
      <c r="J34" s="69" t="s">
        <v>1</v>
      </c>
      <c r="K34" s="69" t="s">
        <v>1</v>
      </c>
      <c r="L34" s="66" t="str">
        <f t="shared" si="8"/>
        <v>Fronteiras</v>
      </c>
      <c r="M34" s="66" t="str">
        <f t="shared" si="8"/>
        <v>Demarcadas</v>
      </c>
      <c r="N34" s="66" t="str">
        <f t="shared" si="9"/>
        <v>Marcos</v>
      </c>
      <c r="O34" s="67" t="str">
        <f t="shared" si="10"/>
        <v>Marco.Quilométrico</v>
      </c>
      <c r="P34" s="67" t="s">
        <v>3493</v>
      </c>
      <c r="Q34" s="67" t="s">
        <v>3494</v>
      </c>
      <c r="R34" s="67" t="s">
        <v>1</v>
      </c>
      <c r="S34" s="67" t="str">
        <f t="shared" si="11"/>
        <v>Fronteiras</v>
      </c>
      <c r="T34" s="67" t="str">
        <f t="shared" si="11"/>
        <v>Demarcadas</v>
      </c>
      <c r="U34" s="67" t="str">
        <f t="shared" si="6"/>
        <v>Marcos</v>
      </c>
      <c r="V34" s="67" t="s">
        <v>3793</v>
      </c>
      <c r="W34" s="68" t="str">
        <f t="shared" si="2"/>
        <v>Key-BRASIL-34</v>
      </c>
      <c r="X34" s="67" t="s">
        <v>1</v>
      </c>
      <c r="Y34" s="71" t="s">
        <v>3671</v>
      </c>
      <c r="Z34" s="71" t="s">
        <v>1</v>
      </c>
      <c r="AA34" s="67" t="str">
        <f t="shared" si="3"/>
        <v>Point in kilometer.</v>
      </c>
    </row>
    <row r="35" spans="1:27" customFormat="1" ht="6.65" customHeight="1" x14ac:dyDescent="0.4">
      <c r="A35" s="63">
        <v>35</v>
      </c>
      <c r="B35" s="64" t="s">
        <v>3794</v>
      </c>
      <c r="C35" s="28" t="s">
        <v>3518</v>
      </c>
      <c r="D35" s="28" t="s">
        <v>3550</v>
      </c>
      <c r="E35" s="64" t="s">
        <v>3551</v>
      </c>
      <c r="F35" s="65" t="s">
        <v>3510</v>
      </c>
      <c r="G35" s="69" t="s">
        <v>1</v>
      </c>
      <c r="H35" s="69" t="s">
        <v>1</v>
      </c>
      <c r="I35" s="69" t="s">
        <v>1</v>
      </c>
      <c r="J35" s="69" t="s">
        <v>1</v>
      </c>
      <c r="K35" s="69" t="s">
        <v>1</v>
      </c>
      <c r="L35" s="66" t="str">
        <f t="shared" si="8"/>
        <v>Fronteiras</v>
      </c>
      <c r="M35" s="66" t="str">
        <f t="shared" si="8"/>
        <v>Demarcadas</v>
      </c>
      <c r="N35" s="66" t="str">
        <f t="shared" si="9"/>
        <v>Marcos</v>
      </c>
      <c r="O35" s="67" t="str">
        <f t="shared" si="10"/>
        <v>Marco.Geográfico</v>
      </c>
      <c r="P35" s="67" t="s">
        <v>3495</v>
      </c>
      <c r="Q35" s="67" t="s">
        <v>3496</v>
      </c>
      <c r="R35" s="67" t="s">
        <v>1</v>
      </c>
      <c r="S35" s="67" t="str">
        <f t="shared" si="11"/>
        <v>Fronteiras</v>
      </c>
      <c r="T35" s="67" t="str">
        <f t="shared" si="11"/>
        <v>Demarcadas</v>
      </c>
      <c r="U35" s="67" t="str">
        <f t="shared" si="6"/>
        <v>Marcos</v>
      </c>
      <c r="V35" s="67" t="s">
        <v>3793</v>
      </c>
      <c r="W35" s="68" t="str">
        <f t="shared" si="2"/>
        <v>Key-BRASIL-35</v>
      </c>
      <c r="X35" s="67" t="s">
        <v>1</v>
      </c>
      <c r="Y35" s="71" t="s">
        <v>3672</v>
      </c>
      <c r="Z35" s="71" t="s">
        <v>1</v>
      </c>
      <c r="AA35" s="67" t="str">
        <f t="shared" si="3"/>
        <v>The reference is the location of a visible physical reference point in the field.</v>
      </c>
    </row>
    <row r="36" spans="1:27" customFormat="1" ht="6.65" customHeight="1" x14ac:dyDescent="0.4">
      <c r="A36" s="63">
        <v>36</v>
      </c>
      <c r="B36" s="64" t="s">
        <v>3794</v>
      </c>
      <c r="C36" s="28" t="s">
        <v>3518</v>
      </c>
      <c r="D36" s="28" t="s">
        <v>3550</v>
      </c>
      <c r="E36" s="64" t="s">
        <v>3551</v>
      </c>
      <c r="F36" s="65" t="s">
        <v>3524</v>
      </c>
      <c r="G36" s="69" t="s">
        <v>1</v>
      </c>
      <c r="H36" s="69" t="s">
        <v>1</v>
      </c>
      <c r="I36" s="69" t="s">
        <v>1</v>
      </c>
      <c r="J36" s="69" t="s">
        <v>1</v>
      </c>
      <c r="K36" s="69" t="s">
        <v>1</v>
      </c>
      <c r="L36" s="66" t="str">
        <f t="shared" si="8"/>
        <v>Fronteiras</v>
      </c>
      <c r="M36" s="66" t="str">
        <f t="shared" si="8"/>
        <v>Demarcadas</v>
      </c>
      <c r="N36" s="66" t="str">
        <f t="shared" si="9"/>
        <v>Marcos</v>
      </c>
      <c r="O36" s="67" t="str">
        <f t="shared" si="10"/>
        <v>Marco.de.Milha</v>
      </c>
      <c r="P36" s="67" t="s">
        <v>3497</v>
      </c>
      <c r="Q36" s="67" t="s">
        <v>3498</v>
      </c>
      <c r="R36" s="67" t="s">
        <v>1</v>
      </c>
      <c r="S36" s="67" t="str">
        <f t="shared" si="11"/>
        <v>Fronteiras</v>
      </c>
      <c r="T36" s="67" t="str">
        <f t="shared" si="11"/>
        <v>Demarcadas</v>
      </c>
      <c r="U36" s="67" t="str">
        <f t="shared" si="6"/>
        <v>Marcos</v>
      </c>
      <c r="V36" s="67" t="s">
        <v>3793</v>
      </c>
      <c r="W36" s="68" t="str">
        <f t="shared" si="2"/>
        <v>Key-BRASIL-36</v>
      </c>
      <c r="X36" s="67" t="s">
        <v>1</v>
      </c>
      <c r="Y36" s="71" t="s">
        <v>3673</v>
      </c>
      <c r="Z36" s="71" t="s">
        <v>1</v>
      </c>
      <c r="AA36" s="67" t="str">
        <f t="shared" si="3"/>
        <v>Point in mile.</v>
      </c>
    </row>
    <row r="37" spans="1:27" customFormat="1" ht="6.65" customHeight="1" x14ac:dyDescent="0.4">
      <c r="A37" s="63">
        <v>37</v>
      </c>
      <c r="B37" s="64" t="s">
        <v>3794</v>
      </c>
      <c r="C37" s="28" t="s">
        <v>3518</v>
      </c>
      <c r="D37" s="28" t="s">
        <v>3550</v>
      </c>
      <c r="E37" s="64" t="s">
        <v>3551</v>
      </c>
      <c r="F37" s="65" t="s">
        <v>3525</v>
      </c>
      <c r="G37" s="69" t="s">
        <v>1</v>
      </c>
      <c r="H37" s="69" t="s">
        <v>1</v>
      </c>
      <c r="I37" s="69" t="s">
        <v>1</v>
      </c>
      <c r="J37" s="69" t="s">
        <v>1</v>
      </c>
      <c r="K37" s="69" t="s">
        <v>1</v>
      </c>
      <c r="L37" s="66" t="str">
        <f t="shared" si="8"/>
        <v>Fronteiras</v>
      </c>
      <c r="M37" s="66" t="str">
        <f t="shared" si="8"/>
        <v>Demarcadas</v>
      </c>
      <c r="N37" s="66" t="str">
        <f t="shared" si="9"/>
        <v>Marcos</v>
      </c>
      <c r="O37" s="67" t="str">
        <f t="shared" si="10"/>
        <v>Estaca.de.Controle</v>
      </c>
      <c r="P37" s="67" t="s">
        <v>3501</v>
      </c>
      <c r="Q37" s="67" t="s">
        <v>3502</v>
      </c>
      <c r="R37" s="67" t="s">
        <v>1</v>
      </c>
      <c r="S37" s="67" t="str">
        <f t="shared" si="11"/>
        <v>Fronteiras</v>
      </c>
      <c r="T37" s="67" t="str">
        <f t="shared" si="11"/>
        <v>Demarcadas</v>
      </c>
      <c r="U37" s="67" t="str">
        <f t="shared" si="6"/>
        <v>Marcos</v>
      </c>
      <c r="V37" s="67" t="s">
        <v>3793</v>
      </c>
      <c r="W37" s="68" t="str">
        <f t="shared" si="2"/>
        <v>Key-BRASIL-37</v>
      </c>
      <c r="X37" s="67" t="s">
        <v>1</v>
      </c>
      <c r="Y37" s="71" t="s">
        <v>3674</v>
      </c>
      <c r="Z37" s="71" t="s">
        <v>1</v>
      </c>
      <c r="AA37" s="67" t="str">
        <f t="shared" si="3"/>
        <v>A reference marker is a notation referent, located in the right-of-way of a highway, railroad or other transportation system spaced at uniform distances.</v>
      </c>
    </row>
    <row r="38" spans="1:27" customFormat="1" ht="6.65" customHeight="1" x14ac:dyDescent="0.4">
      <c r="A38" s="63">
        <v>38</v>
      </c>
      <c r="B38" s="64" t="s">
        <v>3794</v>
      </c>
      <c r="C38" s="28" t="s">
        <v>3518</v>
      </c>
      <c r="D38" s="28" t="s">
        <v>3550</v>
      </c>
      <c r="E38" s="64" t="s">
        <v>3551</v>
      </c>
      <c r="F38" s="65" t="s">
        <v>3526</v>
      </c>
      <c r="G38" s="69" t="s">
        <v>1</v>
      </c>
      <c r="H38" s="69" t="s">
        <v>1</v>
      </c>
      <c r="I38" s="69" t="s">
        <v>1</v>
      </c>
      <c r="J38" s="69" t="s">
        <v>1</v>
      </c>
      <c r="K38" s="69" t="s">
        <v>1</v>
      </c>
      <c r="L38" s="66" t="str">
        <f t="shared" si="8"/>
        <v>Fronteiras</v>
      </c>
      <c r="M38" s="66" t="str">
        <f t="shared" si="8"/>
        <v>Demarcadas</v>
      </c>
      <c r="N38" s="66" t="str">
        <f t="shared" si="9"/>
        <v>Marcos</v>
      </c>
      <c r="O38" s="67" t="str">
        <f t="shared" si="10"/>
        <v>Estação.de.Medição</v>
      </c>
      <c r="P38" s="67" t="s">
        <v>3503</v>
      </c>
      <c r="Q38" s="67" t="s">
        <v>3504</v>
      </c>
      <c r="R38" s="67" t="s">
        <v>1</v>
      </c>
      <c r="S38" s="67" t="str">
        <f t="shared" si="11"/>
        <v>Fronteiras</v>
      </c>
      <c r="T38" s="67" t="str">
        <f t="shared" si="11"/>
        <v>Demarcadas</v>
      </c>
      <c r="U38" s="67" t="str">
        <f t="shared" si="6"/>
        <v>Marcos</v>
      </c>
      <c r="V38" s="67" t="s">
        <v>3793</v>
      </c>
      <c r="W38" s="68" t="str">
        <f t="shared" si="2"/>
        <v>Key-BRASIL-38</v>
      </c>
      <c r="X38" s="67" t="s">
        <v>1</v>
      </c>
      <c r="Y38" s="71" t="s">
        <v>3675</v>
      </c>
      <c r="Z38" s="71" t="s">
        <v>1</v>
      </c>
      <c r="AA38" s="67" t="str">
        <f t="shared" si="3"/>
        <v>Season.</v>
      </c>
    </row>
    <row r="39" spans="1:27" customFormat="1" ht="6.65" customHeight="1" x14ac:dyDescent="0.4">
      <c r="A39" s="63">
        <v>39</v>
      </c>
      <c r="B39" s="64" t="s">
        <v>3794</v>
      </c>
      <c r="C39" s="28" t="s">
        <v>3518</v>
      </c>
      <c r="D39" s="28" t="s">
        <v>3550</v>
      </c>
      <c r="E39" s="64" t="s">
        <v>3551</v>
      </c>
      <c r="F39" s="65" t="s">
        <v>3511</v>
      </c>
      <c r="G39" s="69" t="s">
        <v>1</v>
      </c>
      <c r="H39" s="69" t="s">
        <v>1</v>
      </c>
      <c r="I39" s="69" t="s">
        <v>1</v>
      </c>
      <c r="J39" s="69" t="s">
        <v>1</v>
      </c>
      <c r="K39" s="69" t="s">
        <v>1</v>
      </c>
      <c r="L39" s="66" t="str">
        <f t="shared" si="8"/>
        <v>Fronteiras</v>
      </c>
      <c r="M39" s="66" t="str">
        <f t="shared" si="8"/>
        <v>Demarcadas</v>
      </c>
      <c r="N39" s="66" t="str">
        <f t="shared" si="9"/>
        <v>Marcos</v>
      </c>
      <c r="O39" s="67" t="str">
        <f t="shared" si="10"/>
        <v xml:space="preserve">Superelevação </v>
      </c>
      <c r="P39" s="67" t="s">
        <v>3505</v>
      </c>
      <c r="Q39" s="67" t="s">
        <v>3506</v>
      </c>
      <c r="R39" s="67" t="s">
        <v>1</v>
      </c>
      <c r="S39" s="67" t="str">
        <f t="shared" si="11"/>
        <v>Fronteiras</v>
      </c>
      <c r="T39" s="67" t="str">
        <f t="shared" si="11"/>
        <v>Demarcadas</v>
      </c>
      <c r="U39" s="67" t="str">
        <f t="shared" si="6"/>
        <v>Marcos</v>
      </c>
      <c r="V39" s="67" t="s">
        <v>3793</v>
      </c>
      <c r="W39" s="68" t="str">
        <f t="shared" si="2"/>
        <v>Key-BRASIL-39</v>
      </c>
      <c r="X39" s="67" t="s">
        <v>1</v>
      </c>
      <c r="Y39" s="71" t="s">
        <v>3676</v>
      </c>
      <c r="Z39" s="71" t="s">
        <v>1</v>
      </c>
      <c r="AA39" s="67" t="str">
        <f t="shared" si="3"/>
        <v>Specifies the superelevation (transverse slope) at a specific location along a road alignment, and the type of transition from the previous location.</v>
      </c>
    </row>
    <row r="40" spans="1:27" customFormat="1" ht="6.65" customHeight="1" x14ac:dyDescent="0.4">
      <c r="A40" s="63">
        <v>40</v>
      </c>
      <c r="B40" s="64" t="s">
        <v>3794</v>
      </c>
      <c r="C40" s="28" t="s">
        <v>3518</v>
      </c>
      <c r="D40" s="28" t="s">
        <v>3550</v>
      </c>
      <c r="E40" s="64" t="s">
        <v>3551</v>
      </c>
      <c r="F40" s="65" t="s">
        <v>3516</v>
      </c>
      <c r="G40" s="69" t="s">
        <v>1</v>
      </c>
      <c r="H40" s="69" t="s">
        <v>1</v>
      </c>
      <c r="I40" s="69" t="s">
        <v>1</v>
      </c>
      <c r="J40" s="69" t="s">
        <v>1</v>
      </c>
      <c r="K40" s="69" t="s">
        <v>1</v>
      </c>
      <c r="L40" s="66" t="str">
        <f t="shared" si="8"/>
        <v>Fronteiras</v>
      </c>
      <c r="M40" s="66" t="str">
        <f t="shared" si="8"/>
        <v>Demarcadas</v>
      </c>
      <c r="N40" s="66" t="str">
        <f t="shared" si="9"/>
        <v>Marcos</v>
      </c>
      <c r="O40" s="67" t="str">
        <f t="shared" si="10"/>
        <v>Largura.de.Pista</v>
      </c>
      <c r="P40" s="67" t="s">
        <v>3507</v>
      </c>
      <c r="Q40" s="67" t="s">
        <v>3508</v>
      </c>
      <c r="R40" s="67" t="s">
        <v>1</v>
      </c>
      <c r="S40" s="67" t="str">
        <f t="shared" si="11"/>
        <v>Fronteiras</v>
      </c>
      <c r="T40" s="67" t="str">
        <f t="shared" si="11"/>
        <v>Demarcadas</v>
      </c>
      <c r="U40" s="67" t="str">
        <f t="shared" si="6"/>
        <v>Marcos</v>
      </c>
      <c r="V40" s="67" t="s">
        <v>3793</v>
      </c>
      <c r="W40" s="68" t="str">
        <f t="shared" si="2"/>
        <v>Key-BRASIL-40</v>
      </c>
      <c r="X40" s="67" t="s">
        <v>1</v>
      </c>
      <c r="Y40" s="71" t="s">
        <v>3677</v>
      </c>
      <c r="Z40" s="71" t="s">
        <v>1</v>
      </c>
      <c r="AA40" s="67" t="str">
        <f t="shared" si="3"/>
        <v>Event type that specifies the width at a specific location along a road alignment.</v>
      </c>
    </row>
    <row r="41" spans="1:27" customFormat="1" ht="6.65" customHeight="1" x14ac:dyDescent="0.4">
      <c r="A41" s="63">
        <v>41</v>
      </c>
      <c r="B41" s="64" t="s">
        <v>3794</v>
      </c>
      <c r="C41" s="28" t="s">
        <v>3795</v>
      </c>
      <c r="D41" s="28" t="s">
        <v>3538</v>
      </c>
      <c r="E41" s="28" t="s">
        <v>3563</v>
      </c>
      <c r="F41" s="28" t="s">
        <v>3541</v>
      </c>
      <c r="G41" s="69" t="s">
        <v>1</v>
      </c>
      <c r="H41" s="69" t="s">
        <v>1</v>
      </c>
      <c r="I41" s="69" t="s">
        <v>1</v>
      </c>
      <c r="J41" s="69" t="s">
        <v>1</v>
      </c>
      <c r="K41" s="69" t="s">
        <v>1</v>
      </c>
      <c r="L41" s="70" t="str">
        <f t="shared" ref="L41:L43" si="12">_xlfn.CONCAT(SUBSTITUTE(C41,"1.",""))</f>
        <v>Topográficos</v>
      </c>
      <c r="M41" s="70" t="str">
        <f t="shared" ref="M41:O54" si="13">_xlfn.CONCAT(SUBSTITUTE(D41,"."," "))</f>
        <v>Altimetrias</v>
      </c>
      <c r="N41" s="70" t="str">
        <f t="shared" si="13"/>
        <v>Pontos Cotados</v>
      </c>
      <c r="O41" s="70" t="str">
        <f t="shared" si="13"/>
        <v>Ponto Interno</v>
      </c>
      <c r="P41" s="70" t="s">
        <v>3564</v>
      </c>
      <c r="Q41" s="70" t="s">
        <v>3615</v>
      </c>
      <c r="R41" s="67" t="s">
        <v>1</v>
      </c>
      <c r="S41" s="67" t="str">
        <f t="shared" ref="S41:T43" si="14">SUBSTITUTE(C41, ".", " ")</f>
        <v>Topográficos</v>
      </c>
      <c r="T41" s="67" t="str">
        <f t="shared" si="14"/>
        <v>Altimetrias</v>
      </c>
      <c r="U41" s="67" t="str">
        <f t="shared" si="6"/>
        <v>Pontos Cotados</v>
      </c>
      <c r="V41" s="67" t="s">
        <v>3793</v>
      </c>
      <c r="W41" s="68" t="str">
        <f t="shared" si="2"/>
        <v>Key-BRASIL-41</v>
      </c>
      <c r="X41" s="67" t="s">
        <v>3651</v>
      </c>
      <c r="Y41" s="67" t="s">
        <v>3677</v>
      </c>
      <c r="Z41" s="71" t="s">
        <v>1</v>
      </c>
      <c r="AA41" s="67" t="str">
        <f t="shared" si="3"/>
        <v>Elevation points positioned inside the land.</v>
      </c>
    </row>
    <row r="42" spans="1:27" customFormat="1" ht="6.65" customHeight="1" x14ac:dyDescent="0.4">
      <c r="A42" s="63">
        <v>42</v>
      </c>
      <c r="B42" s="64" t="s">
        <v>3794</v>
      </c>
      <c r="C42" s="28" t="s">
        <v>3795</v>
      </c>
      <c r="D42" s="28" t="s">
        <v>3538</v>
      </c>
      <c r="E42" s="28" t="s">
        <v>3563</v>
      </c>
      <c r="F42" s="28" t="s">
        <v>3562</v>
      </c>
      <c r="G42" s="69" t="s">
        <v>1</v>
      </c>
      <c r="H42" s="69" t="s">
        <v>1</v>
      </c>
      <c r="I42" s="69" t="s">
        <v>1</v>
      </c>
      <c r="J42" s="69" t="s">
        <v>1</v>
      </c>
      <c r="K42" s="69" t="s">
        <v>1</v>
      </c>
      <c r="L42" s="70" t="str">
        <f t="shared" si="12"/>
        <v>Topográficos</v>
      </c>
      <c r="M42" s="70" t="str">
        <f t="shared" si="13"/>
        <v>Altimetrias</v>
      </c>
      <c r="N42" s="70" t="str">
        <f t="shared" si="13"/>
        <v>Pontos Cotados</v>
      </c>
      <c r="O42" s="70" t="str">
        <f t="shared" si="13"/>
        <v>Ponto Perimetral</v>
      </c>
      <c r="P42" s="70" t="s">
        <v>3565</v>
      </c>
      <c r="Q42" s="70" t="s">
        <v>3616</v>
      </c>
      <c r="R42" s="67" t="s">
        <v>1</v>
      </c>
      <c r="S42" s="67" t="str">
        <f t="shared" si="14"/>
        <v>Topográficos</v>
      </c>
      <c r="T42" s="67" t="str">
        <f t="shared" si="14"/>
        <v>Altimetrias</v>
      </c>
      <c r="U42" s="67" t="str">
        <f t="shared" si="6"/>
        <v>Pontos Cotados</v>
      </c>
      <c r="V42" s="67" t="s">
        <v>3793</v>
      </c>
      <c r="W42" s="68" t="str">
        <f t="shared" si="2"/>
        <v>Key-BRASIL-42</v>
      </c>
      <c r="X42" s="67" t="s">
        <v>3652</v>
      </c>
      <c r="Y42" s="67" t="s">
        <v>3678</v>
      </c>
      <c r="Z42" s="71" t="s">
        <v>1</v>
      </c>
      <c r="AA42" s="67" t="str">
        <f t="shared" si="3"/>
        <v>Altimetric elevation points positioned on the perimeter of the land.</v>
      </c>
    </row>
    <row r="43" spans="1:27" customFormat="1" ht="6.65" customHeight="1" x14ac:dyDescent="0.4">
      <c r="A43" s="63">
        <v>43</v>
      </c>
      <c r="B43" s="64" t="s">
        <v>3794</v>
      </c>
      <c r="C43" s="28" t="s">
        <v>3795</v>
      </c>
      <c r="D43" s="28" t="s">
        <v>3538</v>
      </c>
      <c r="E43" s="28" t="s">
        <v>3537</v>
      </c>
      <c r="F43" s="28" t="s">
        <v>3560</v>
      </c>
      <c r="G43" s="69" t="s">
        <v>1</v>
      </c>
      <c r="H43" s="69" t="s">
        <v>1</v>
      </c>
      <c r="I43" s="69" t="s">
        <v>1</v>
      </c>
      <c r="J43" s="69" t="s">
        <v>1</v>
      </c>
      <c r="K43" s="69" t="s">
        <v>1</v>
      </c>
      <c r="L43" s="70" t="str">
        <f t="shared" si="12"/>
        <v>Topográficos</v>
      </c>
      <c r="M43" s="70" t="str">
        <f t="shared" si="13"/>
        <v>Altimetrias</v>
      </c>
      <c r="N43" s="70" t="str">
        <f t="shared" si="13"/>
        <v>Terrenos</v>
      </c>
      <c r="O43" s="70" t="str">
        <f t="shared" si="13"/>
        <v>Terreno 3D Sólido</v>
      </c>
      <c r="P43" s="70" t="s">
        <v>3558</v>
      </c>
      <c r="Q43" s="70" t="s">
        <v>3617</v>
      </c>
      <c r="R43" s="67" t="s">
        <v>1</v>
      </c>
      <c r="S43" s="67" t="str">
        <f t="shared" si="14"/>
        <v>Topográficos</v>
      </c>
      <c r="T43" s="67" t="str">
        <f t="shared" si="14"/>
        <v>Altimetrias</v>
      </c>
      <c r="U43" s="67" t="str">
        <f t="shared" si="6"/>
        <v>Terrenos</v>
      </c>
      <c r="V43" s="67" t="s">
        <v>3793</v>
      </c>
      <c r="W43" s="68" t="str">
        <f t="shared" si="2"/>
        <v>Key-BRASIL-43</v>
      </c>
      <c r="X43" s="67" t="s">
        <v>3653</v>
      </c>
      <c r="Y43" s="67" t="s">
        <v>3678</v>
      </c>
      <c r="Z43" s="71" t="s">
        <v>1</v>
      </c>
      <c r="AA43" s="67" t="str">
        <f t="shared" si="3"/>
        <v>Three-dimensional solid terrain. Revit models above 2024 use solid terrain models, while still maintaining the terrain mesh scheme.</v>
      </c>
    </row>
    <row r="44" spans="1:27" customFormat="1" ht="6.65" customHeight="1" x14ac:dyDescent="0.4">
      <c r="A44" s="63">
        <v>44</v>
      </c>
      <c r="B44" s="64" t="s">
        <v>3794</v>
      </c>
      <c r="C44" s="28" t="s">
        <v>3795</v>
      </c>
      <c r="D44" s="28" t="s">
        <v>3538</v>
      </c>
      <c r="E44" s="28" t="s">
        <v>3537</v>
      </c>
      <c r="F44" s="28" t="s">
        <v>3561</v>
      </c>
      <c r="G44" s="69" t="s">
        <v>1</v>
      </c>
      <c r="H44" s="69" t="s">
        <v>1</v>
      </c>
      <c r="I44" s="69" t="s">
        <v>1</v>
      </c>
      <c r="J44" s="69" t="s">
        <v>1</v>
      </c>
      <c r="K44" s="69" t="s">
        <v>1</v>
      </c>
      <c r="L44" s="70" t="str">
        <f t="shared" si="0"/>
        <v>Topográficos</v>
      </c>
      <c r="M44" s="70" t="str">
        <f t="shared" si="4"/>
        <v>Altimetrias</v>
      </c>
      <c r="N44" s="70" t="str">
        <f t="shared" si="4"/>
        <v>Terrenos</v>
      </c>
      <c r="O44" s="70" t="str">
        <f t="shared" si="13"/>
        <v>Terreno 3D Superficial</v>
      </c>
      <c r="P44" s="70" t="s">
        <v>3559</v>
      </c>
      <c r="Q44" s="70" t="s">
        <v>3618</v>
      </c>
      <c r="R44" s="67" t="s">
        <v>1</v>
      </c>
      <c r="S44" s="67" t="str">
        <f t="shared" si="6"/>
        <v>Topográficos</v>
      </c>
      <c r="T44" s="67" t="str">
        <f t="shared" si="6"/>
        <v>Altimetrias</v>
      </c>
      <c r="U44" s="67" t="str">
        <f t="shared" si="6"/>
        <v>Terrenos</v>
      </c>
      <c r="V44" s="67" t="s">
        <v>3793</v>
      </c>
      <c r="W44" s="68" t="str">
        <f t="shared" si="2"/>
        <v>Key-BRASIL-44</v>
      </c>
      <c r="X44" s="67" t="s">
        <v>3654</v>
      </c>
      <c r="Y44" s="67" t="s">
        <v>3678</v>
      </c>
      <c r="Z44" s="71" t="s">
        <v>1</v>
      </c>
      <c r="AA44" s="67" t="str">
        <f t="shared" si="3"/>
        <v>Three-dimensional maha of the terrain. Revit models prior to 2024 use surface terrain models.</v>
      </c>
    </row>
    <row r="45" spans="1:27" customFormat="1" ht="6.65" customHeight="1" x14ac:dyDescent="0.4">
      <c r="A45" s="63">
        <v>45</v>
      </c>
      <c r="B45" s="64" t="s">
        <v>3794</v>
      </c>
      <c r="C45" s="28" t="s">
        <v>3795</v>
      </c>
      <c r="D45" s="28" t="s">
        <v>3538</v>
      </c>
      <c r="E45" s="28" t="s">
        <v>3537</v>
      </c>
      <c r="F45" s="28" t="s">
        <v>3553</v>
      </c>
      <c r="G45" s="69" t="s">
        <v>1</v>
      </c>
      <c r="H45" s="69" t="s">
        <v>1</v>
      </c>
      <c r="I45" s="69" t="s">
        <v>1</v>
      </c>
      <c r="J45" s="69" t="s">
        <v>1</v>
      </c>
      <c r="K45" s="69" t="s">
        <v>1</v>
      </c>
      <c r="L45" s="70" t="str">
        <f t="shared" si="0"/>
        <v>Topográficos</v>
      </c>
      <c r="M45" s="70" t="str">
        <f t="shared" si="4"/>
        <v>Altimetrias</v>
      </c>
      <c r="N45" s="70" t="str">
        <f t="shared" si="4"/>
        <v>Terrenos</v>
      </c>
      <c r="O45" s="70" t="str">
        <f t="shared" si="13"/>
        <v>MDT Camada Núcleo</v>
      </c>
      <c r="P45" s="70" t="s">
        <v>3578</v>
      </c>
      <c r="Q45" s="70" t="s">
        <v>3619</v>
      </c>
      <c r="R45" s="67" t="s">
        <v>1</v>
      </c>
      <c r="S45" s="67" t="str">
        <f t="shared" si="6"/>
        <v>Topográficos</v>
      </c>
      <c r="T45" s="67" t="str">
        <f t="shared" si="6"/>
        <v>Altimetrias</v>
      </c>
      <c r="U45" s="67" t="str">
        <f t="shared" si="6"/>
        <v>Terrenos</v>
      </c>
      <c r="V45" s="67" t="s">
        <v>3793</v>
      </c>
      <c r="W45" s="68" t="str">
        <f t="shared" si="2"/>
        <v>Key-BRASIL-45</v>
      </c>
      <c r="X45" s="67" t="s">
        <v>3655</v>
      </c>
      <c r="Y45" s="67" t="s">
        <v>3678</v>
      </c>
      <c r="Z45" s="71" t="s">
        <v>1</v>
      </c>
      <c r="AA45" s="67" t="str">
        <f t="shared" si="3"/>
        <v>Three-dimensional terrain solid: core layer.</v>
      </c>
    </row>
    <row r="46" spans="1:27" customFormat="1" ht="6.65" customHeight="1" x14ac:dyDescent="0.4">
      <c r="A46" s="63">
        <v>46</v>
      </c>
      <c r="B46" s="64" t="s">
        <v>3794</v>
      </c>
      <c r="C46" s="28" t="s">
        <v>3795</v>
      </c>
      <c r="D46" s="28" t="s">
        <v>3538</v>
      </c>
      <c r="E46" s="28" t="s">
        <v>3537</v>
      </c>
      <c r="F46" s="28" t="s">
        <v>3557</v>
      </c>
      <c r="G46" s="69" t="s">
        <v>1</v>
      </c>
      <c r="H46" s="69" t="s">
        <v>1</v>
      </c>
      <c r="I46" s="69" t="s">
        <v>1</v>
      </c>
      <c r="J46" s="69" t="s">
        <v>1</v>
      </c>
      <c r="K46" s="69" t="s">
        <v>1</v>
      </c>
      <c r="L46" s="70" t="str">
        <f t="shared" si="0"/>
        <v>Topográficos</v>
      </c>
      <c r="M46" s="70" t="str">
        <f t="shared" si="4"/>
        <v>Altimetrias</v>
      </c>
      <c r="N46" s="70" t="str">
        <f t="shared" si="4"/>
        <v>Terrenos</v>
      </c>
      <c r="O46" s="70" t="str">
        <f t="shared" si="13"/>
        <v>MDT Camada Substrato</v>
      </c>
      <c r="P46" s="70" t="s">
        <v>3580</v>
      </c>
      <c r="Q46" s="70" t="s">
        <v>3620</v>
      </c>
      <c r="R46" s="67" t="s">
        <v>1</v>
      </c>
      <c r="S46" s="67" t="str">
        <f t="shared" si="6"/>
        <v>Topográficos</v>
      </c>
      <c r="T46" s="67" t="str">
        <f t="shared" si="6"/>
        <v>Altimetrias</v>
      </c>
      <c r="U46" s="67" t="str">
        <f t="shared" si="6"/>
        <v>Terrenos</v>
      </c>
      <c r="V46" s="67" t="s">
        <v>3793</v>
      </c>
      <c r="W46" s="68" t="str">
        <f t="shared" si="2"/>
        <v>Key-BRASIL-46</v>
      </c>
      <c r="X46" s="67" t="s">
        <v>3656</v>
      </c>
      <c r="Y46" s="67" t="s">
        <v>3678</v>
      </c>
      <c r="Z46" s="71" t="s">
        <v>1</v>
      </c>
      <c r="AA46" s="67" t="str">
        <f t="shared" si="3"/>
        <v>Three-dimensional solid of the terrain: substrate layer.</v>
      </c>
    </row>
    <row r="47" spans="1:27" customFormat="1" ht="6.65" customHeight="1" x14ac:dyDescent="0.4">
      <c r="A47" s="63">
        <v>47</v>
      </c>
      <c r="B47" s="64" t="s">
        <v>3794</v>
      </c>
      <c r="C47" s="28" t="s">
        <v>3795</v>
      </c>
      <c r="D47" s="28" t="s">
        <v>3538</v>
      </c>
      <c r="E47" s="28" t="s">
        <v>3537</v>
      </c>
      <c r="F47" s="28" t="s">
        <v>3556</v>
      </c>
      <c r="G47" s="69" t="s">
        <v>1</v>
      </c>
      <c r="H47" s="69" t="s">
        <v>1</v>
      </c>
      <c r="I47" s="69" t="s">
        <v>1</v>
      </c>
      <c r="J47" s="69" t="s">
        <v>1</v>
      </c>
      <c r="K47" s="69" t="s">
        <v>1</v>
      </c>
      <c r="L47" s="70" t="str">
        <f t="shared" si="0"/>
        <v>Topográficos</v>
      </c>
      <c r="M47" s="70" t="str">
        <f t="shared" si="4"/>
        <v>Altimetrias</v>
      </c>
      <c r="N47" s="70" t="str">
        <f t="shared" si="4"/>
        <v>Terrenos</v>
      </c>
      <c r="O47" s="70" t="str">
        <f t="shared" si="13"/>
        <v>MDT Camada Membrana</v>
      </c>
      <c r="P47" s="70" t="s">
        <v>3579</v>
      </c>
      <c r="Q47" s="70" t="s">
        <v>3621</v>
      </c>
      <c r="R47" s="67" t="s">
        <v>1</v>
      </c>
      <c r="S47" s="67" t="str">
        <f t="shared" si="6"/>
        <v>Topográficos</v>
      </c>
      <c r="T47" s="67" t="str">
        <f t="shared" si="6"/>
        <v>Altimetrias</v>
      </c>
      <c r="U47" s="67" t="str">
        <f t="shared" si="6"/>
        <v>Terrenos</v>
      </c>
      <c r="V47" s="67" t="s">
        <v>3793</v>
      </c>
      <c r="W47" s="68" t="str">
        <f t="shared" si="2"/>
        <v>Key-BRASIL-47</v>
      </c>
      <c r="X47" s="67" t="s">
        <v>3685</v>
      </c>
      <c r="Y47" s="67" t="s">
        <v>3678</v>
      </c>
      <c r="Z47" s="71" t="s">
        <v>1</v>
      </c>
      <c r="AA47" s="67" t="str">
        <f t="shared" si="3"/>
        <v>Three-dimensional solid of the terrain: membrane layer.</v>
      </c>
    </row>
    <row r="48" spans="1:27" customFormat="1" ht="6.65" customHeight="1" x14ac:dyDescent="0.4">
      <c r="A48" s="63">
        <v>48</v>
      </c>
      <c r="B48" s="64" t="s">
        <v>3794</v>
      </c>
      <c r="C48" s="28" t="s">
        <v>3795</v>
      </c>
      <c r="D48" s="28" t="s">
        <v>3538</v>
      </c>
      <c r="E48" s="28" t="s">
        <v>3537</v>
      </c>
      <c r="F48" s="28" t="s">
        <v>3555</v>
      </c>
      <c r="G48" s="69" t="s">
        <v>1</v>
      </c>
      <c r="H48" s="69" t="s">
        <v>1</v>
      </c>
      <c r="I48" s="69" t="s">
        <v>1</v>
      </c>
      <c r="J48" s="69" t="s">
        <v>1</v>
      </c>
      <c r="K48" s="69" t="s">
        <v>1</v>
      </c>
      <c r="L48" s="70" t="str">
        <f t="shared" si="0"/>
        <v>Topográficos</v>
      </c>
      <c r="M48" s="70" t="str">
        <f t="shared" si="4"/>
        <v>Altimetrias</v>
      </c>
      <c r="N48" s="70" t="str">
        <f t="shared" si="4"/>
        <v>Terrenos</v>
      </c>
      <c r="O48" s="70" t="str">
        <f t="shared" si="13"/>
        <v>MDT Camada Isolamento</v>
      </c>
      <c r="P48" s="70" t="s">
        <v>3582</v>
      </c>
      <c r="Q48" s="70" t="s">
        <v>3622</v>
      </c>
      <c r="R48" s="67" t="s">
        <v>1</v>
      </c>
      <c r="S48" s="67" t="str">
        <f t="shared" si="6"/>
        <v>Topográficos</v>
      </c>
      <c r="T48" s="67" t="str">
        <f t="shared" si="6"/>
        <v>Altimetrias</v>
      </c>
      <c r="U48" s="67" t="str">
        <f t="shared" si="6"/>
        <v>Terrenos</v>
      </c>
      <c r="V48" s="67" t="s">
        <v>3793</v>
      </c>
      <c r="W48" s="68" t="str">
        <f t="shared" si="2"/>
        <v>Key-BRASIL-48</v>
      </c>
      <c r="X48" s="67" t="s">
        <v>3657</v>
      </c>
      <c r="Y48" s="67" t="s">
        <v>3678</v>
      </c>
      <c r="Z48" s="71" t="s">
        <v>1</v>
      </c>
      <c r="AA48" s="67" t="str">
        <f t="shared" si="3"/>
        <v>Three-dimensional solid terrain: insulation layer.</v>
      </c>
    </row>
    <row r="49" spans="1:27" customFormat="1" ht="6.65" customHeight="1" x14ac:dyDescent="0.4">
      <c r="A49" s="63">
        <v>49</v>
      </c>
      <c r="B49" s="64" t="s">
        <v>3794</v>
      </c>
      <c r="C49" s="28" t="s">
        <v>3795</v>
      </c>
      <c r="D49" s="28" t="s">
        <v>3538</v>
      </c>
      <c r="E49" s="28" t="s">
        <v>3537</v>
      </c>
      <c r="F49" s="28" t="s">
        <v>3554</v>
      </c>
      <c r="G49" s="69" t="s">
        <v>1</v>
      </c>
      <c r="H49" s="69" t="s">
        <v>1</v>
      </c>
      <c r="I49" s="69" t="s">
        <v>1</v>
      </c>
      <c r="J49" s="69" t="s">
        <v>1</v>
      </c>
      <c r="K49" s="69" t="s">
        <v>1</v>
      </c>
      <c r="L49" s="70" t="str">
        <f t="shared" si="0"/>
        <v>Topográficos</v>
      </c>
      <c r="M49" s="70" t="str">
        <f t="shared" si="4"/>
        <v>Altimetrias</v>
      </c>
      <c r="N49" s="70" t="str">
        <f t="shared" si="4"/>
        <v>Terrenos</v>
      </c>
      <c r="O49" s="70" t="str">
        <f t="shared" si="13"/>
        <v>MDT Camada Superficial</v>
      </c>
      <c r="P49" s="70" t="s">
        <v>3581</v>
      </c>
      <c r="Q49" s="70" t="s">
        <v>3623</v>
      </c>
      <c r="R49" s="67" t="s">
        <v>1</v>
      </c>
      <c r="S49" s="67" t="str">
        <f t="shared" si="6"/>
        <v>Topográficos</v>
      </c>
      <c r="T49" s="67" t="str">
        <f t="shared" si="6"/>
        <v>Altimetrias</v>
      </c>
      <c r="U49" s="67" t="str">
        <f t="shared" si="6"/>
        <v>Terrenos</v>
      </c>
      <c r="V49" s="67" t="s">
        <v>3793</v>
      </c>
      <c r="W49" s="68" t="str">
        <f t="shared" si="2"/>
        <v>Key-BRASIL-49</v>
      </c>
      <c r="X49" s="67" t="s">
        <v>3658</v>
      </c>
      <c r="Y49" s="67" t="s">
        <v>3679</v>
      </c>
      <c r="Z49" s="71" t="s">
        <v>1</v>
      </c>
      <c r="AA49" s="67" t="str">
        <f t="shared" si="3"/>
        <v>Three-dimensional solid of the terrain: surface layer.</v>
      </c>
    </row>
    <row r="50" spans="1:27" customFormat="1" ht="6.65" customHeight="1" x14ac:dyDescent="0.4">
      <c r="A50" s="63">
        <v>50</v>
      </c>
      <c r="B50" s="64" t="s">
        <v>3794</v>
      </c>
      <c r="C50" s="28" t="s">
        <v>3795</v>
      </c>
      <c r="D50" s="28" t="s">
        <v>3538</v>
      </c>
      <c r="E50" s="28" t="s">
        <v>3539</v>
      </c>
      <c r="F50" s="28" t="s">
        <v>3542</v>
      </c>
      <c r="G50" s="69" t="s">
        <v>1</v>
      </c>
      <c r="H50" s="69" t="s">
        <v>1</v>
      </c>
      <c r="I50" s="69" t="s">
        <v>1</v>
      </c>
      <c r="J50" s="69" t="s">
        <v>1</v>
      </c>
      <c r="K50" s="69" t="s">
        <v>1</v>
      </c>
      <c r="L50" s="70" t="str">
        <f t="shared" si="0"/>
        <v>Topográficos</v>
      </c>
      <c r="M50" s="70" t="str">
        <f t="shared" si="4"/>
        <v>Altimetrias</v>
      </c>
      <c r="N50" s="70" t="str">
        <f t="shared" si="4"/>
        <v>Curvas de Nível</v>
      </c>
      <c r="O50" s="70" t="str">
        <f t="shared" si="13"/>
        <v>Curva de Nível 10m</v>
      </c>
      <c r="P50" s="70" t="s">
        <v>3583</v>
      </c>
      <c r="Q50" s="70" t="s">
        <v>3624</v>
      </c>
      <c r="R50" s="67" t="s">
        <v>1</v>
      </c>
      <c r="S50" s="67" t="str">
        <f t="shared" si="6"/>
        <v>Topográficos</v>
      </c>
      <c r="T50" s="67" t="str">
        <f t="shared" si="6"/>
        <v>Altimetrias</v>
      </c>
      <c r="U50" s="67" t="str">
        <f t="shared" si="6"/>
        <v>Curvas de Nível</v>
      </c>
      <c r="V50" s="67" t="s">
        <v>3793</v>
      </c>
      <c r="W50" s="68" t="str">
        <f t="shared" si="2"/>
        <v>Key-BRASIL-50</v>
      </c>
      <c r="X50" s="67" t="s">
        <v>3659</v>
      </c>
      <c r="Y50" s="67" t="s">
        <v>3679</v>
      </c>
      <c r="Z50" s="71" t="s">
        <v>1</v>
      </c>
      <c r="AA50" s="67" t="str">
        <f t="shared" si="3"/>
        <v>10-meter level curve.</v>
      </c>
    </row>
    <row r="51" spans="1:27" customFormat="1" ht="6.65" customHeight="1" x14ac:dyDescent="0.4">
      <c r="A51" s="63">
        <v>51</v>
      </c>
      <c r="B51" s="64" t="s">
        <v>3794</v>
      </c>
      <c r="C51" s="28" t="s">
        <v>3795</v>
      </c>
      <c r="D51" s="28" t="s">
        <v>3538</v>
      </c>
      <c r="E51" s="28" t="s">
        <v>3539</v>
      </c>
      <c r="F51" s="28" t="s">
        <v>3543</v>
      </c>
      <c r="G51" s="69" t="s">
        <v>1</v>
      </c>
      <c r="H51" s="69" t="s">
        <v>1</v>
      </c>
      <c r="I51" s="69" t="s">
        <v>1</v>
      </c>
      <c r="J51" s="69" t="s">
        <v>1</v>
      </c>
      <c r="K51" s="69" t="s">
        <v>1</v>
      </c>
      <c r="L51" s="70" t="str">
        <f t="shared" si="0"/>
        <v>Topográficos</v>
      </c>
      <c r="M51" s="70" t="str">
        <f t="shared" si="4"/>
        <v>Altimetrias</v>
      </c>
      <c r="N51" s="70" t="str">
        <f t="shared" si="4"/>
        <v>Curvas de Nível</v>
      </c>
      <c r="O51" s="70" t="str">
        <f t="shared" si="13"/>
        <v>Curva de Nível 05m</v>
      </c>
      <c r="P51" s="70" t="s">
        <v>3584</v>
      </c>
      <c r="Q51" s="70" t="s">
        <v>3625</v>
      </c>
      <c r="R51" s="67" t="s">
        <v>1</v>
      </c>
      <c r="S51" s="67" t="str">
        <f t="shared" si="6"/>
        <v>Topográficos</v>
      </c>
      <c r="T51" s="67" t="str">
        <f t="shared" si="6"/>
        <v>Altimetrias</v>
      </c>
      <c r="U51" s="67" t="str">
        <f t="shared" si="6"/>
        <v>Curvas de Nível</v>
      </c>
      <c r="V51" s="67" t="s">
        <v>3793</v>
      </c>
      <c r="W51" s="68" t="str">
        <f t="shared" si="2"/>
        <v>Key-BRASIL-51</v>
      </c>
      <c r="X51" s="67" t="s">
        <v>3659</v>
      </c>
      <c r="Y51" s="67" t="s">
        <v>3679</v>
      </c>
      <c r="Z51" s="71" t="s">
        <v>1</v>
      </c>
      <c r="AA51" s="67" t="str">
        <f t="shared" si="3"/>
        <v>5 meter level curve.</v>
      </c>
    </row>
    <row r="52" spans="1:27" customFormat="1" ht="6.65" customHeight="1" x14ac:dyDescent="0.4">
      <c r="A52" s="63">
        <v>52</v>
      </c>
      <c r="B52" s="64" t="s">
        <v>3794</v>
      </c>
      <c r="C52" s="28" t="s">
        <v>3795</v>
      </c>
      <c r="D52" s="28" t="s">
        <v>3538</v>
      </c>
      <c r="E52" s="28" t="s">
        <v>3539</v>
      </c>
      <c r="F52" s="28" t="s">
        <v>3544</v>
      </c>
      <c r="G52" s="69" t="s">
        <v>1</v>
      </c>
      <c r="H52" s="69" t="s">
        <v>1</v>
      </c>
      <c r="I52" s="69" t="s">
        <v>1</v>
      </c>
      <c r="J52" s="69" t="s">
        <v>1</v>
      </c>
      <c r="K52" s="69" t="s">
        <v>1</v>
      </c>
      <c r="L52" s="70" t="str">
        <f t="shared" si="0"/>
        <v>Topográficos</v>
      </c>
      <c r="M52" s="70" t="str">
        <f t="shared" si="4"/>
        <v>Altimetrias</v>
      </c>
      <c r="N52" s="70" t="str">
        <f t="shared" si="4"/>
        <v>Curvas de Nível</v>
      </c>
      <c r="O52" s="70" t="str">
        <f t="shared" si="13"/>
        <v>Curva de Nível 01m</v>
      </c>
      <c r="P52" s="70" t="s">
        <v>3546</v>
      </c>
      <c r="Q52" s="70" t="s">
        <v>3626</v>
      </c>
      <c r="R52" s="67" t="s">
        <v>1</v>
      </c>
      <c r="S52" s="67" t="str">
        <f t="shared" si="6"/>
        <v>Topográficos</v>
      </c>
      <c r="T52" s="67" t="str">
        <f t="shared" si="6"/>
        <v>Altimetrias</v>
      </c>
      <c r="U52" s="67" t="str">
        <f t="shared" si="6"/>
        <v>Curvas de Nível</v>
      </c>
      <c r="V52" s="67" t="s">
        <v>3793</v>
      </c>
      <c r="W52" s="68" t="str">
        <f t="shared" si="2"/>
        <v>Key-BRASIL-52</v>
      </c>
      <c r="X52" s="67" t="s">
        <v>3659</v>
      </c>
      <c r="Y52" s="67" t="s">
        <v>3679</v>
      </c>
      <c r="Z52" s="71" t="s">
        <v>1</v>
      </c>
      <c r="AA52" s="67" t="str">
        <f t="shared" si="3"/>
        <v>Level curve of 1 meter.</v>
      </c>
    </row>
    <row r="53" spans="1:27" customFormat="1" ht="6.65" customHeight="1" x14ac:dyDescent="0.4">
      <c r="A53" s="63">
        <v>53</v>
      </c>
      <c r="B53" s="64" t="s">
        <v>3794</v>
      </c>
      <c r="C53" s="28" t="s">
        <v>3795</v>
      </c>
      <c r="D53" s="28" t="s">
        <v>3538</v>
      </c>
      <c r="E53" s="28" t="s">
        <v>3539</v>
      </c>
      <c r="F53" s="28" t="s">
        <v>3545</v>
      </c>
      <c r="G53" s="69" t="s">
        <v>1</v>
      </c>
      <c r="H53" s="69" t="s">
        <v>1</v>
      </c>
      <c r="I53" s="69" t="s">
        <v>1</v>
      </c>
      <c r="J53" s="69" t="s">
        <v>1</v>
      </c>
      <c r="K53" s="69" t="s">
        <v>1</v>
      </c>
      <c r="L53" s="70" t="str">
        <f t="shared" si="0"/>
        <v>Topográficos</v>
      </c>
      <c r="M53" s="70" t="str">
        <f t="shared" si="4"/>
        <v>Altimetrias</v>
      </c>
      <c r="N53" s="70" t="str">
        <f t="shared" si="4"/>
        <v>Curvas de Nível</v>
      </c>
      <c r="O53" s="70" t="str">
        <f t="shared" si="13"/>
        <v>Curva de Nível Submétrica</v>
      </c>
      <c r="P53" s="70" t="s">
        <v>3547</v>
      </c>
      <c r="Q53" s="70" t="s">
        <v>3627</v>
      </c>
      <c r="R53" s="67" t="s">
        <v>1</v>
      </c>
      <c r="S53" s="67" t="str">
        <f t="shared" si="6"/>
        <v>Topográficos</v>
      </c>
      <c r="T53" s="67" t="str">
        <f t="shared" si="6"/>
        <v>Altimetrias</v>
      </c>
      <c r="U53" s="67" t="str">
        <f t="shared" si="6"/>
        <v>Curvas de Nível</v>
      </c>
      <c r="V53" s="67" t="s">
        <v>3793</v>
      </c>
      <c r="W53" s="68" t="str">
        <f t="shared" si="2"/>
        <v>Key-BRASIL-53</v>
      </c>
      <c r="X53" s="67" t="s">
        <v>3659</v>
      </c>
      <c r="Y53" s="67" t="s">
        <v>3677</v>
      </c>
      <c r="Z53" s="71" t="s">
        <v>1</v>
      </c>
      <c r="AA53" s="67" t="str">
        <f t="shared" si="3"/>
        <v>Submetric contour line, its value must be less than 1m and can be 5 cm, 10 cm, 25 cm, etc. For adjustments of boxes or poles on the ground.</v>
      </c>
    </row>
    <row r="54" spans="1:27" customFormat="1" ht="6.65" customHeight="1" x14ac:dyDescent="0.4">
      <c r="A54" s="63">
        <v>54</v>
      </c>
      <c r="B54" s="64" t="s">
        <v>3794</v>
      </c>
      <c r="C54" s="28" t="s">
        <v>3795</v>
      </c>
      <c r="D54" s="28" t="s">
        <v>3538</v>
      </c>
      <c r="E54" s="28" t="s">
        <v>3540</v>
      </c>
      <c r="F54" s="28" t="s">
        <v>3527</v>
      </c>
      <c r="G54" s="69" t="s">
        <v>1</v>
      </c>
      <c r="H54" s="69" t="s">
        <v>1</v>
      </c>
      <c r="I54" s="69" t="s">
        <v>1</v>
      </c>
      <c r="J54" s="69" t="s">
        <v>1</v>
      </c>
      <c r="K54" s="69" t="s">
        <v>1</v>
      </c>
      <c r="L54" s="70" t="str">
        <f t="shared" si="0"/>
        <v>Topográficos</v>
      </c>
      <c r="M54" s="70" t="str">
        <f t="shared" si="4"/>
        <v>Altimetrias</v>
      </c>
      <c r="N54" s="70" t="str">
        <f t="shared" si="4"/>
        <v>Sondagens</v>
      </c>
      <c r="O54" s="70" t="str">
        <f t="shared" si="13"/>
        <v>Ponto de Sondagem</v>
      </c>
      <c r="P54" s="70" t="s">
        <v>3585</v>
      </c>
      <c r="Q54" s="70" t="s">
        <v>3628</v>
      </c>
      <c r="R54" s="67" t="s">
        <v>1</v>
      </c>
      <c r="S54" s="67" t="str">
        <f t="shared" si="6"/>
        <v>Topográficos</v>
      </c>
      <c r="T54" s="67" t="str">
        <f t="shared" si="6"/>
        <v>Altimetrias</v>
      </c>
      <c r="U54" s="67" t="str">
        <f t="shared" si="6"/>
        <v>Sondagens</v>
      </c>
      <c r="V54" s="67" t="s">
        <v>3793</v>
      </c>
      <c r="W54" s="68" t="str">
        <f t="shared" si="2"/>
        <v>Key-BRASIL-54</v>
      </c>
      <c r="X54" s="67" t="s">
        <v>3651</v>
      </c>
      <c r="Y54" s="67" t="s">
        <v>3649</v>
      </c>
      <c r="Z54" s="71" t="s">
        <v>1</v>
      </c>
      <c r="AA54" s="67" t="str">
        <f t="shared" si="3"/>
        <v>Land polling point.</v>
      </c>
    </row>
    <row r="55" spans="1:27" customFormat="1" ht="6.65" customHeight="1" x14ac:dyDescent="0.4">
      <c r="A55" s="63">
        <v>55</v>
      </c>
      <c r="B55" s="64" t="s">
        <v>3794</v>
      </c>
      <c r="C55" s="28" t="s">
        <v>3528</v>
      </c>
      <c r="D55" s="28" t="s">
        <v>3796</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4"/>
        <v>De Planejamento</v>
      </c>
      <c r="N55" s="70" t="str">
        <f t="shared" si="4"/>
        <v>Zonificações</v>
      </c>
      <c r="O55" s="70" t="str">
        <f t="shared" si="4"/>
        <v>Area de Planejamento</v>
      </c>
      <c r="P55" s="70" t="s">
        <v>3587</v>
      </c>
      <c r="Q55" s="70" t="s">
        <v>106</v>
      </c>
      <c r="R55" s="67" t="s">
        <v>1</v>
      </c>
      <c r="S55" s="67" t="str">
        <f t="shared" si="6"/>
        <v>Urbanísticos</v>
      </c>
      <c r="T55" s="67" t="str">
        <f t="shared" si="6"/>
        <v>De Planejamento</v>
      </c>
      <c r="U55" s="67" t="str">
        <f t="shared" si="6"/>
        <v>Zonificações</v>
      </c>
      <c r="V55" s="67" t="s">
        <v>3793</v>
      </c>
      <c r="W55" s="68" t="str">
        <f t="shared" si="2"/>
        <v>Key-BRASIL-55</v>
      </c>
      <c r="X55" s="67" t="s">
        <v>3650</v>
      </c>
      <c r="Y55" s="67" t="s">
        <v>3649</v>
      </c>
      <c r="Z55" s="71" t="s">
        <v>1</v>
      </c>
      <c r="AA55" s="67" t="str">
        <f t="shared" si="3"/>
        <v>AP stands for Planning Area.</v>
      </c>
    </row>
    <row r="56" spans="1:27" customFormat="1" ht="6.65" customHeight="1" x14ac:dyDescent="0.4">
      <c r="A56" s="63">
        <v>56</v>
      </c>
      <c r="B56" s="64" t="s">
        <v>3794</v>
      </c>
      <c r="C56" s="28" t="s">
        <v>3528</v>
      </c>
      <c r="D56" s="28" t="s">
        <v>3796</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4"/>
        <v>De Planejamento</v>
      </c>
      <c r="N56" s="70" t="str">
        <f t="shared" si="4"/>
        <v>Zonificações</v>
      </c>
      <c r="O56" s="70" t="str">
        <f t="shared" si="4"/>
        <v>Região Administrativa</v>
      </c>
      <c r="P56" s="70" t="s">
        <v>3586</v>
      </c>
      <c r="Q56" s="70" t="s">
        <v>108</v>
      </c>
      <c r="R56" s="67" t="s">
        <v>1</v>
      </c>
      <c r="S56" s="67" t="str">
        <f t="shared" si="6"/>
        <v>Urbanísticos</v>
      </c>
      <c r="T56" s="67" t="str">
        <f t="shared" si="6"/>
        <v>De Planejamento</v>
      </c>
      <c r="U56" s="67" t="str">
        <f t="shared" si="6"/>
        <v>Zonificações</v>
      </c>
      <c r="V56" s="67" t="s">
        <v>3793</v>
      </c>
      <c r="W56" s="68" t="str">
        <f t="shared" si="2"/>
        <v>Key-BRASIL-56</v>
      </c>
      <c r="X56" s="67" t="s">
        <v>3650</v>
      </c>
      <c r="Y56" s="67" t="s">
        <v>3649</v>
      </c>
      <c r="Z56" s="71" t="s">
        <v>1</v>
      </c>
      <c r="AA56" s="67" t="str">
        <f t="shared" si="3"/>
        <v>RA stands for Administrative Region.</v>
      </c>
    </row>
    <row r="57" spans="1:27" customFormat="1" ht="6.65" customHeight="1" x14ac:dyDescent="0.4">
      <c r="A57" s="63">
        <v>57</v>
      </c>
      <c r="B57" s="64" t="s">
        <v>3794</v>
      </c>
      <c r="C57" s="28" t="s">
        <v>3528</v>
      </c>
      <c r="D57" s="28" t="s">
        <v>3796</v>
      </c>
      <c r="E57" s="28" t="s">
        <v>3535</v>
      </c>
      <c r="F57" s="28" t="s">
        <v>3552</v>
      </c>
      <c r="G57" s="69" t="s">
        <v>1</v>
      </c>
      <c r="H57" s="69" t="s">
        <v>1</v>
      </c>
      <c r="I57" s="69" t="s">
        <v>1</v>
      </c>
      <c r="J57" s="69" t="s">
        <v>1</v>
      </c>
      <c r="K57" s="69" t="s">
        <v>1</v>
      </c>
      <c r="L57" s="70" t="str">
        <f t="shared" si="0"/>
        <v>Urbanísticos</v>
      </c>
      <c r="M57" s="70" t="str">
        <f t="shared" si="4"/>
        <v>De Planejamento</v>
      </c>
      <c r="N57" s="70" t="str">
        <f t="shared" si="4"/>
        <v>Zonificações</v>
      </c>
      <c r="O57" s="70" t="str">
        <f t="shared" si="4"/>
        <v>Area de Interesse Especial</v>
      </c>
      <c r="P57" s="70" t="s">
        <v>3588</v>
      </c>
      <c r="Q57" s="70" t="s">
        <v>109</v>
      </c>
      <c r="R57" s="67" t="s">
        <v>1</v>
      </c>
      <c r="S57" s="67" t="str">
        <f t="shared" si="6"/>
        <v>Urbanísticos</v>
      </c>
      <c r="T57" s="67" t="str">
        <f t="shared" si="6"/>
        <v>De Planejamento</v>
      </c>
      <c r="U57" s="67" t="str">
        <f t="shared" si="6"/>
        <v>Zonificações</v>
      </c>
      <c r="V57" s="67" t="s">
        <v>3793</v>
      </c>
      <c r="W57" s="68" t="str">
        <f t="shared" si="2"/>
        <v>Key-BRASIL-57</v>
      </c>
      <c r="X57" s="67" t="s">
        <v>3650</v>
      </c>
      <c r="Y57" s="67" t="s">
        <v>3649</v>
      </c>
      <c r="Z57" s="71" t="s">
        <v>1</v>
      </c>
      <c r="AA57" s="67" t="str">
        <f t="shared" si="3"/>
        <v>Area of Special Interest.</v>
      </c>
    </row>
    <row r="58" spans="1:27" customFormat="1" ht="6.65" customHeight="1" x14ac:dyDescent="0.4">
      <c r="A58" s="63">
        <v>58</v>
      </c>
      <c r="B58" s="64" t="s">
        <v>3794</v>
      </c>
      <c r="C58" s="28" t="s">
        <v>3528</v>
      </c>
      <c r="D58" s="28" t="s">
        <v>3796</v>
      </c>
      <c r="E58" s="28" t="s">
        <v>3535</v>
      </c>
      <c r="F58" s="28" t="s">
        <v>110</v>
      </c>
      <c r="G58" s="69" t="s">
        <v>1</v>
      </c>
      <c r="H58" s="69" t="s">
        <v>1</v>
      </c>
      <c r="I58" s="69" t="s">
        <v>1</v>
      </c>
      <c r="J58" s="69" t="s">
        <v>1</v>
      </c>
      <c r="K58" s="69" t="s">
        <v>1</v>
      </c>
      <c r="L58" s="70" t="str">
        <f t="shared" si="0"/>
        <v>Urbanísticos</v>
      </c>
      <c r="M58" s="70" t="str">
        <f t="shared" ref="M58:O73" si="15">_xlfn.CONCAT(SUBSTITUTE(D58,"."," "))</f>
        <v>De Planejamento</v>
      </c>
      <c r="N58" s="70" t="str">
        <f t="shared" si="15"/>
        <v>Zonificações</v>
      </c>
      <c r="O58" s="70" t="str">
        <f t="shared" si="15"/>
        <v>Area Restringida</v>
      </c>
      <c r="P58" s="70" t="s">
        <v>111</v>
      </c>
      <c r="Q58" s="70" t="s">
        <v>112</v>
      </c>
      <c r="R58" s="67" t="s">
        <v>1</v>
      </c>
      <c r="S58" s="67" t="str">
        <f t="shared" si="6"/>
        <v>Urbanísticos</v>
      </c>
      <c r="T58" s="67" t="str">
        <f t="shared" si="6"/>
        <v>De Planejamento</v>
      </c>
      <c r="U58" s="67" t="str">
        <f t="shared" si="6"/>
        <v>Zonificações</v>
      </c>
      <c r="V58" s="67" t="s">
        <v>3793</v>
      </c>
      <c r="W58" s="68" t="str">
        <f t="shared" si="2"/>
        <v>Key-BRASIL-58</v>
      </c>
      <c r="X58" s="67" t="s">
        <v>3650</v>
      </c>
      <c r="Y58" s="67" t="s">
        <v>3649</v>
      </c>
      <c r="Z58" s="71" t="s">
        <v>1</v>
      </c>
      <c r="AA58" s="67" t="str">
        <f t="shared" si="3"/>
        <v>Area with occupancy restrictions</v>
      </c>
    </row>
    <row r="59" spans="1:27" customFormat="1" ht="6.65" customHeight="1" x14ac:dyDescent="0.4">
      <c r="A59" s="63">
        <v>59</v>
      </c>
      <c r="B59" s="64" t="s">
        <v>3794</v>
      </c>
      <c r="C59" s="28" t="s">
        <v>3528</v>
      </c>
      <c r="D59" s="28" t="s">
        <v>3796</v>
      </c>
      <c r="E59" s="28" t="s">
        <v>3535</v>
      </c>
      <c r="F59" s="28" t="s">
        <v>113</v>
      </c>
      <c r="G59" s="69" t="s">
        <v>1</v>
      </c>
      <c r="H59" s="69" t="s">
        <v>1</v>
      </c>
      <c r="I59" s="69" t="s">
        <v>1</v>
      </c>
      <c r="J59" s="69" t="s">
        <v>1</v>
      </c>
      <c r="K59" s="69" t="s">
        <v>114</v>
      </c>
      <c r="L59" s="70" t="str">
        <f t="shared" si="0"/>
        <v>Urbanísticos</v>
      </c>
      <c r="M59" s="70" t="str">
        <f t="shared" si="15"/>
        <v>De Planejamento</v>
      </c>
      <c r="N59" s="70" t="str">
        <f t="shared" si="15"/>
        <v>Zonificações</v>
      </c>
      <c r="O59" s="70" t="str">
        <f t="shared" si="15"/>
        <v>Zona</v>
      </c>
      <c r="P59" s="70" t="s">
        <v>3589</v>
      </c>
      <c r="Q59" s="70" t="s">
        <v>115</v>
      </c>
      <c r="R59" s="67" t="s">
        <v>1</v>
      </c>
      <c r="S59" s="67" t="str">
        <f t="shared" si="6"/>
        <v>Urbanísticos</v>
      </c>
      <c r="T59" s="67" t="str">
        <f t="shared" si="6"/>
        <v>De Planejamento</v>
      </c>
      <c r="U59" s="67" t="str">
        <f t="shared" si="6"/>
        <v>Zonificações</v>
      </c>
      <c r="V59" s="67" t="s">
        <v>3793</v>
      </c>
      <c r="W59" s="68" t="str">
        <f t="shared" si="2"/>
        <v>Key-BRASIL-59</v>
      </c>
      <c r="X59" s="67" t="s">
        <v>3650</v>
      </c>
      <c r="Y59" s="67" t="s">
        <v>3649</v>
      </c>
      <c r="Z59" s="71" t="s">
        <v>1</v>
      </c>
      <c r="AA59" s="67" t="str">
        <f t="shared" si="3"/>
        <v>Areas of the city of Rio de Janeiro.</v>
      </c>
    </row>
    <row r="60" spans="1:27" customFormat="1" ht="6.65" customHeight="1" x14ac:dyDescent="0.4">
      <c r="A60" s="63">
        <v>60</v>
      </c>
      <c r="B60" s="64" t="s">
        <v>3794</v>
      </c>
      <c r="C60" s="28" t="s">
        <v>3528</v>
      </c>
      <c r="D60" s="28" t="s">
        <v>3796</v>
      </c>
      <c r="E60" s="28" t="s">
        <v>3535</v>
      </c>
      <c r="F60" s="28" t="s">
        <v>116</v>
      </c>
      <c r="G60" s="69" t="s">
        <v>1</v>
      </c>
      <c r="H60" s="69" t="s">
        <v>1</v>
      </c>
      <c r="I60" s="69" t="s">
        <v>1</v>
      </c>
      <c r="J60" s="69" t="s">
        <v>1</v>
      </c>
      <c r="K60" s="69" t="s">
        <v>114</v>
      </c>
      <c r="L60" s="70" t="str">
        <f t="shared" si="0"/>
        <v>Urbanísticos</v>
      </c>
      <c r="M60" s="70" t="str">
        <f t="shared" si="15"/>
        <v>De Planejamento</v>
      </c>
      <c r="N60" s="70" t="str">
        <f t="shared" si="15"/>
        <v>Zonificações</v>
      </c>
      <c r="O60" s="70" t="str">
        <f t="shared" si="15"/>
        <v>Bairro</v>
      </c>
      <c r="P60" s="70" t="s">
        <v>117</v>
      </c>
      <c r="Q60" s="70" t="s">
        <v>118</v>
      </c>
      <c r="R60" s="67" t="s">
        <v>1</v>
      </c>
      <c r="S60" s="67" t="str">
        <f t="shared" si="6"/>
        <v>Urbanísticos</v>
      </c>
      <c r="T60" s="67" t="str">
        <f t="shared" si="6"/>
        <v>De Planejamento</v>
      </c>
      <c r="U60" s="67" t="str">
        <f t="shared" si="6"/>
        <v>Zonificações</v>
      </c>
      <c r="V60" s="67" t="s">
        <v>3793</v>
      </c>
      <c r="W60" s="68" t="str">
        <f t="shared" si="2"/>
        <v>Key-BRASIL-60</v>
      </c>
      <c r="X60" s="67" t="s">
        <v>3650</v>
      </c>
      <c r="Y60" s="67" t="s">
        <v>3649</v>
      </c>
      <c r="Z60" s="71" t="s">
        <v>1</v>
      </c>
      <c r="AA60" s="67" t="str">
        <f t="shared" si="3"/>
        <v>City Neighborhood</v>
      </c>
    </row>
    <row r="61" spans="1:27" customFormat="1" ht="6.65" customHeight="1" x14ac:dyDescent="0.4">
      <c r="A61" s="63">
        <v>61</v>
      </c>
      <c r="B61" s="64" t="s">
        <v>3794</v>
      </c>
      <c r="C61" s="28" t="s">
        <v>3528</v>
      </c>
      <c r="D61" s="28" t="s">
        <v>3796</v>
      </c>
      <c r="E61" s="28" t="s">
        <v>3535</v>
      </c>
      <c r="F61" s="28" t="s">
        <v>3536</v>
      </c>
      <c r="G61" s="69" t="s">
        <v>1</v>
      </c>
      <c r="H61" s="69" t="s">
        <v>1</v>
      </c>
      <c r="I61" s="69" t="s">
        <v>1</v>
      </c>
      <c r="J61" s="69" t="s">
        <v>1</v>
      </c>
      <c r="K61" s="69" t="s">
        <v>114</v>
      </c>
      <c r="L61" s="70" t="str">
        <f t="shared" si="0"/>
        <v>Urbanísticos</v>
      </c>
      <c r="M61" s="70" t="str">
        <f t="shared" si="15"/>
        <v>De Planejamento</v>
      </c>
      <c r="N61" s="70" t="str">
        <f t="shared" si="15"/>
        <v>Zonificações</v>
      </c>
      <c r="O61" s="70" t="str">
        <f t="shared" si="15"/>
        <v>Zona de Uso</v>
      </c>
      <c r="P61" s="70" t="s">
        <v>3590</v>
      </c>
      <c r="Q61" s="70" t="s">
        <v>119</v>
      </c>
      <c r="R61" s="67" t="s">
        <v>1</v>
      </c>
      <c r="S61" s="67" t="str">
        <f t="shared" si="6"/>
        <v>Urbanísticos</v>
      </c>
      <c r="T61" s="67" t="str">
        <f t="shared" si="6"/>
        <v>De Planejamento</v>
      </c>
      <c r="U61" s="67" t="str">
        <f t="shared" si="6"/>
        <v>Zonificações</v>
      </c>
      <c r="V61" s="67" t="s">
        <v>3793</v>
      </c>
      <c r="W61" s="68" t="str">
        <f t="shared" si="2"/>
        <v>Key-BRASIL-61</v>
      </c>
      <c r="X61" s="67" t="s">
        <v>3650</v>
      </c>
      <c r="Y61" s="67" t="s">
        <v>3649</v>
      </c>
      <c r="Z61" s="71" t="s">
        <v>1</v>
      </c>
      <c r="AA61" s="67" t="str">
        <f t="shared" ref="AA61:AA100" si="16">_xlfn.TRANSLATE(P61,"pt","en")</f>
        <v>Zone of use of the municipal zoning of the city of Rio de Janeiro.</v>
      </c>
    </row>
    <row r="62" spans="1:27" customFormat="1" ht="6.65" customHeight="1" x14ac:dyDescent="0.4">
      <c r="A62" s="63">
        <v>62</v>
      </c>
      <c r="B62" s="64" t="s">
        <v>3794</v>
      </c>
      <c r="C62" s="28" t="s">
        <v>3528</v>
      </c>
      <c r="D62" s="28" t="s">
        <v>3796</v>
      </c>
      <c r="E62" s="28" t="s">
        <v>3535</v>
      </c>
      <c r="F62" s="28" t="s">
        <v>120</v>
      </c>
      <c r="G62" s="69" t="s">
        <v>1</v>
      </c>
      <c r="H62" s="69" t="s">
        <v>1</v>
      </c>
      <c r="I62" s="69" t="s">
        <v>1</v>
      </c>
      <c r="J62" s="69" t="s">
        <v>1</v>
      </c>
      <c r="K62" s="69" t="s">
        <v>114</v>
      </c>
      <c r="L62" s="70" t="str">
        <f t="shared" si="0"/>
        <v>Urbanísticos</v>
      </c>
      <c r="M62" s="70" t="str">
        <f t="shared" si="15"/>
        <v>De Planejamento</v>
      </c>
      <c r="N62" s="70" t="str">
        <f t="shared" si="15"/>
        <v>Zonificações</v>
      </c>
      <c r="O62" s="70" t="str">
        <f t="shared" si="15"/>
        <v>Macrozona</v>
      </c>
      <c r="P62" s="70" t="s">
        <v>117</v>
      </c>
      <c r="Q62" s="70" t="s">
        <v>118</v>
      </c>
      <c r="R62" s="67" t="s">
        <v>1</v>
      </c>
      <c r="S62" s="67" t="str">
        <f t="shared" si="6"/>
        <v>Urbanísticos</v>
      </c>
      <c r="T62" s="67" t="str">
        <f t="shared" si="6"/>
        <v>De Planejamento</v>
      </c>
      <c r="U62" s="67" t="str">
        <f t="shared" si="6"/>
        <v>Zonificações</v>
      </c>
      <c r="V62" s="67" t="s">
        <v>3793</v>
      </c>
      <c r="W62" s="68" t="str">
        <f t="shared" ref="W62:W100" si="17">CONCATENATE("Key-BRASIL-",A62)</f>
        <v>Key-BRASIL-62</v>
      </c>
      <c r="X62" s="67" t="s">
        <v>3650</v>
      </c>
      <c r="Y62" s="67" t="s">
        <v>3680</v>
      </c>
      <c r="Z62" s="71" t="s">
        <v>1</v>
      </c>
      <c r="AA62" s="67" t="str">
        <f t="shared" si="16"/>
        <v>City Neighborhood</v>
      </c>
    </row>
    <row r="63" spans="1:27" customFormat="1" ht="6.65" customHeight="1" x14ac:dyDescent="0.4">
      <c r="A63" s="63">
        <v>63</v>
      </c>
      <c r="B63" s="64" t="s">
        <v>3794</v>
      </c>
      <c r="C63" s="28" t="s">
        <v>3528</v>
      </c>
      <c r="D63" s="28" t="s">
        <v>3796</v>
      </c>
      <c r="E63" s="28" t="s">
        <v>3534</v>
      </c>
      <c r="F63" s="28" t="s">
        <v>121</v>
      </c>
      <c r="G63" s="69" t="s">
        <v>1</v>
      </c>
      <c r="H63" s="69" t="s">
        <v>1</v>
      </c>
      <c r="I63" s="69" t="s">
        <v>1</v>
      </c>
      <c r="J63" s="69" t="s">
        <v>1</v>
      </c>
      <c r="K63" s="69" t="s">
        <v>122</v>
      </c>
      <c r="L63" s="70" t="str">
        <f t="shared" si="0"/>
        <v>Urbanísticos</v>
      </c>
      <c r="M63" s="70" t="str">
        <f t="shared" si="15"/>
        <v>De Planejamento</v>
      </c>
      <c r="N63" s="70" t="str">
        <f t="shared" si="15"/>
        <v>Frações</v>
      </c>
      <c r="O63" s="70" t="str">
        <f t="shared" si="15"/>
        <v>Quadra</v>
      </c>
      <c r="P63" s="70" t="s">
        <v>3591</v>
      </c>
      <c r="Q63" s="70" t="s">
        <v>123</v>
      </c>
      <c r="R63" s="67" t="s">
        <v>1</v>
      </c>
      <c r="S63" s="67" t="str">
        <f t="shared" si="6"/>
        <v>Urbanísticos</v>
      </c>
      <c r="T63" s="67" t="str">
        <f t="shared" si="6"/>
        <v>De Planejamento</v>
      </c>
      <c r="U63" s="67" t="str">
        <f t="shared" si="6"/>
        <v>Frações</v>
      </c>
      <c r="V63" s="67" t="s">
        <v>3793</v>
      </c>
      <c r="W63" s="68" t="str">
        <f t="shared" si="17"/>
        <v>Key-BRASIL-63</v>
      </c>
      <c r="X63" s="67" t="s">
        <v>3660</v>
      </c>
      <c r="Y63" s="67" t="s">
        <v>3680</v>
      </c>
      <c r="Z63" s="71" t="s">
        <v>1</v>
      </c>
      <c r="AA63" s="67" t="str">
        <f t="shared" si="16"/>
        <v>Block of a neighborhood.</v>
      </c>
    </row>
    <row r="64" spans="1:27" customFormat="1" ht="6.65" customHeight="1" x14ac:dyDescent="0.4">
      <c r="A64" s="63">
        <v>64</v>
      </c>
      <c r="B64" s="64" t="s">
        <v>3794</v>
      </c>
      <c r="C64" s="28" t="s">
        <v>3528</v>
      </c>
      <c r="D64" s="28" t="s">
        <v>3796</v>
      </c>
      <c r="E64" s="28" t="s">
        <v>3534</v>
      </c>
      <c r="F64" s="28" t="s">
        <v>124</v>
      </c>
      <c r="G64" s="69" t="s">
        <v>1</v>
      </c>
      <c r="H64" s="69" t="s">
        <v>1</v>
      </c>
      <c r="I64" s="69" t="s">
        <v>1</v>
      </c>
      <c r="J64" s="69" t="s">
        <v>1</v>
      </c>
      <c r="K64" s="69" t="s">
        <v>1</v>
      </c>
      <c r="L64" s="70" t="str">
        <f t="shared" si="0"/>
        <v>Urbanísticos</v>
      </c>
      <c r="M64" s="70" t="str">
        <f t="shared" si="15"/>
        <v>De Planejamento</v>
      </c>
      <c r="N64" s="70" t="str">
        <f t="shared" si="15"/>
        <v>Frações</v>
      </c>
      <c r="O64" s="70" t="str">
        <f t="shared" si="15"/>
        <v>Gleba</v>
      </c>
      <c r="P64" s="70" t="s">
        <v>3592</v>
      </c>
      <c r="Q64" s="70" t="s">
        <v>125</v>
      </c>
      <c r="R64" s="67" t="s">
        <v>1</v>
      </c>
      <c r="S64" s="67" t="str">
        <f t="shared" si="6"/>
        <v>Urbanísticos</v>
      </c>
      <c r="T64" s="67" t="str">
        <f t="shared" si="6"/>
        <v>De Planejamento</v>
      </c>
      <c r="U64" s="67" t="str">
        <f t="shared" si="6"/>
        <v>Frações</v>
      </c>
      <c r="V64" s="67" t="s">
        <v>3793</v>
      </c>
      <c r="W64" s="68" t="str">
        <f t="shared" si="17"/>
        <v>Key-BRASIL-64</v>
      </c>
      <c r="X64" s="67" t="s">
        <v>3660</v>
      </c>
      <c r="Y64" s="67" t="s">
        <v>3681</v>
      </c>
      <c r="Z64" s="71" t="s">
        <v>1</v>
      </c>
      <c r="AA64" s="67" t="str">
        <f t="shared" si="16"/>
        <v>Large land that has not yet been subdivided.</v>
      </c>
    </row>
    <row r="65" spans="1:27" customFormat="1" ht="6.65" customHeight="1" x14ac:dyDescent="0.4">
      <c r="A65" s="63">
        <v>65</v>
      </c>
      <c r="B65" s="64" t="s">
        <v>3794</v>
      </c>
      <c r="C65" s="28" t="s">
        <v>3528</v>
      </c>
      <c r="D65" s="28" t="s">
        <v>3796</v>
      </c>
      <c r="E65" s="28" t="s">
        <v>3534</v>
      </c>
      <c r="F65" s="28" t="s">
        <v>126</v>
      </c>
      <c r="G65" s="69" t="s">
        <v>1</v>
      </c>
      <c r="H65" s="69" t="s">
        <v>1</v>
      </c>
      <c r="I65" s="69" t="s">
        <v>1</v>
      </c>
      <c r="J65" s="69" t="s">
        <v>1</v>
      </c>
      <c r="K65" s="69" t="s">
        <v>1</v>
      </c>
      <c r="L65" s="70" t="str">
        <f t="shared" si="0"/>
        <v>Urbanísticos</v>
      </c>
      <c r="M65" s="70" t="str">
        <f t="shared" si="15"/>
        <v>De Planejamento</v>
      </c>
      <c r="N65" s="70" t="str">
        <f t="shared" si="15"/>
        <v>Frações</v>
      </c>
      <c r="O65" s="70" t="str">
        <f t="shared" si="15"/>
        <v>Loteamento</v>
      </c>
      <c r="P65" s="70" t="s">
        <v>3597</v>
      </c>
      <c r="Q65" s="70" t="s">
        <v>127</v>
      </c>
      <c r="R65" s="67" t="s">
        <v>1</v>
      </c>
      <c r="S65" s="67" t="str">
        <f t="shared" si="6"/>
        <v>Urbanísticos</v>
      </c>
      <c r="T65" s="67" t="str">
        <f t="shared" si="6"/>
        <v>De Planejamento</v>
      </c>
      <c r="U65" s="67" t="str">
        <f t="shared" si="6"/>
        <v>Frações</v>
      </c>
      <c r="V65" s="67" t="s">
        <v>3793</v>
      </c>
      <c r="W65" s="68" t="str">
        <f t="shared" si="17"/>
        <v>Key-BRASIL-65</v>
      </c>
      <c r="X65" s="67" t="s">
        <v>3661</v>
      </c>
      <c r="Y65" s="67" t="s">
        <v>3681</v>
      </c>
      <c r="Z65" s="71" t="s">
        <v>1</v>
      </c>
      <c r="AA65" s="67" t="str">
        <f t="shared" si="16"/>
        <v>Urban allotment.</v>
      </c>
    </row>
    <row r="66" spans="1:27" customFormat="1" ht="6.65" customHeight="1" x14ac:dyDescent="0.4">
      <c r="A66" s="63">
        <v>66</v>
      </c>
      <c r="B66" s="64" t="s">
        <v>3794</v>
      </c>
      <c r="C66" s="28" t="s">
        <v>3528</v>
      </c>
      <c r="D66" s="28" t="s">
        <v>3796</v>
      </c>
      <c r="E66" s="28" t="s">
        <v>3534</v>
      </c>
      <c r="F66" s="28" t="s">
        <v>128</v>
      </c>
      <c r="G66" s="69" t="s">
        <v>1</v>
      </c>
      <c r="H66" s="69" t="s">
        <v>1</v>
      </c>
      <c r="I66" s="69" t="s">
        <v>1</v>
      </c>
      <c r="J66" s="69" t="s">
        <v>1</v>
      </c>
      <c r="K66" s="69" t="s">
        <v>1</v>
      </c>
      <c r="L66" s="70" t="str">
        <f t="shared" si="0"/>
        <v>Urbanísticos</v>
      </c>
      <c r="M66" s="70" t="str">
        <f t="shared" si="15"/>
        <v>De Planejamento</v>
      </c>
      <c r="N66" s="70" t="str">
        <f t="shared" si="15"/>
        <v>Frações</v>
      </c>
      <c r="O66" s="70" t="str">
        <f t="shared" si="15"/>
        <v>Parcela</v>
      </c>
      <c r="P66" s="70" t="s">
        <v>3593</v>
      </c>
      <c r="Q66" s="70" t="s">
        <v>129</v>
      </c>
      <c r="R66" s="67" t="s">
        <v>1</v>
      </c>
      <c r="S66" s="67" t="str">
        <f t="shared" si="6"/>
        <v>Urbanísticos</v>
      </c>
      <c r="T66" s="67" t="str">
        <f t="shared" si="6"/>
        <v>De Planejamento</v>
      </c>
      <c r="U66" s="67" t="str">
        <f t="shared" si="6"/>
        <v>Frações</v>
      </c>
      <c r="V66" s="67" t="s">
        <v>3793</v>
      </c>
      <c r="W66" s="68" t="str">
        <f t="shared" si="17"/>
        <v>Key-BRASIL-66</v>
      </c>
      <c r="X66" s="67" t="s">
        <v>3661</v>
      </c>
      <c r="Y66" s="67" t="s">
        <v>3681</v>
      </c>
      <c r="Z66" s="71" t="s">
        <v>1</v>
      </c>
      <c r="AA66" s="67" t="str">
        <f t="shared" si="16"/>
        <v>Urban parcel.</v>
      </c>
    </row>
    <row r="67" spans="1:27" customFormat="1" ht="6.65" customHeight="1" x14ac:dyDescent="0.4">
      <c r="A67" s="63">
        <v>67</v>
      </c>
      <c r="B67" s="64" t="s">
        <v>3794</v>
      </c>
      <c r="C67" s="28" t="s">
        <v>3528</v>
      </c>
      <c r="D67" s="28" t="s">
        <v>3796</v>
      </c>
      <c r="E67" s="28" t="s">
        <v>3534</v>
      </c>
      <c r="F67" s="28" t="s">
        <v>130</v>
      </c>
      <c r="G67" s="69" t="s">
        <v>1</v>
      </c>
      <c r="H67" s="69" t="s">
        <v>1</v>
      </c>
      <c r="I67" s="69" t="s">
        <v>1</v>
      </c>
      <c r="J67" s="69" t="s">
        <v>1</v>
      </c>
      <c r="K67" s="69" t="s">
        <v>1</v>
      </c>
      <c r="L67" s="70" t="str">
        <f t="shared" si="0"/>
        <v>Urbanísticos</v>
      </c>
      <c r="M67" s="70" t="str">
        <f t="shared" si="15"/>
        <v>De Planejamento</v>
      </c>
      <c r="N67" s="70" t="str">
        <f t="shared" si="15"/>
        <v>Frações</v>
      </c>
      <c r="O67" s="70" t="str">
        <f t="shared" si="15"/>
        <v>Lote</v>
      </c>
      <c r="P67" s="70" t="s">
        <v>3594</v>
      </c>
      <c r="Q67" s="70" t="s">
        <v>131</v>
      </c>
      <c r="R67" s="67" t="s">
        <v>1</v>
      </c>
      <c r="S67" s="67" t="str">
        <f t="shared" si="6"/>
        <v>Urbanísticos</v>
      </c>
      <c r="T67" s="67" t="str">
        <f t="shared" si="6"/>
        <v>De Planejamento</v>
      </c>
      <c r="U67" s="67" t="str">
        <f t="shared" si="6"/>
        <v>Frações</v>
      </c>
      <c r="V67" s="67" t="s">
        <v>3793</v>
      </c>
      <c r="W67" s="68" t="str">
        <f t="shared" si="17"/>
        <v>Key-BRASIL-67</v>
      </c>
      <c r="X67" s="67" t="s">
        <v>3661</v>
      </c>
      <c r="Y67" s="67" t="s">
        <v>3649</v>
      </c>
      <c r="Z67" s="71" t="s">
        <v>1</v>
      </c>
      <c r="AA67" s="67" t="str">
        <f t="shared" si="16"/>
        <v>Urban lot.</v>
      </c>
    </row>
    <row r="68" spans="1:27" customFormat="1" ht="6.65" customHeight="1" x14ac:dyDescent="0.4">
      <c r="A68" s="63">
        <v>68</v>
      </c>
      <c r="B68" s="64" t="s">
        <v>3794</v>
      </c>
      <c r="C68" s="28" t="s">
        <v>3797</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5"/>
        <v>Prediais</v>
      </c>
      <c r="N68" s="70" t="str">
        <f t="shared" si="15"/>
        <v>Construídas</v>
      </c>
      <c r="O68" s="70" t="str">
        <f t="shared" si="15"/>
        <v>Prédio</v>
      </c>
      <c r="P68" s="70" t="s">
        <v>3596</v>
      </c>
      <c r="Q68" s="70" t="s">
        <v>3629</v>
      </c>
      <c r="R68" s="67" t="s">
        <v>1</v>
      </c>
      <c r="S68" s="67" t="str">
        <f t="shared" si="6"/>
        <v>Arquitetônicos</v>
      </c>
      <c r="T68" s="67" t="str">
        <f t="shared" si="6"/>
        <v>Prediais</v>
      </c>
      <c r="U68" s="67" t="str">
        <f t="shared" si="6"/>
        <v>Construídas</v>
      </c>
      <c r="V68" s="67" t="s">
        <v>3793</v>
      </c>
      <c r="W68" s="68" t="str">
        <f t="shared" si="17"/>
        <v>Key-BRASIL-68</v>
      </c>
      <c r="X68" s="67" t="s">
        <v>3650</v>
      </c>
      <c r="Y68" s="67" t="s">
        <v>3649</v>
      </c>
      <c r="Z68" s="71" t="s">
        <v>1</v>
      </c>
      <c r="AA68" s="67" t="str">
        <f t="shared" si="16"/>
        <v>Building.</v>
      </c>
    </row>
    <row r="69" spans="1:27" customFormat="1" ht="6.65" customHeight="1" x14ac:dyDescent="0.4">
      <c r="A69" s="63">
        <v>69</v>
      </c>
      <c r="B69" s="64" t="s">
        <v>3794</v>
      </c>
      <c r="C69" s="28" t="s">
        <v>3797</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5"/>
        <v>Prediais</v>
      </c>
      <c r="N69" s="70" t="str">
        <f t="shared" si="15"/>
        <v>Construídas</v>
      </c>
      <c r="O69" s="70" t="str">
        <f t="shared" si="15"/>
        <v>Bloco</v>
      </c>
      <c r="P69" s="70" t="s">
        <v>3595</v>
      </c>
      <c r="Q69" s="70" t="s">
        <v>133</v>
      </c>
      <c r="R69" s="67" t="s">
        <v>1</v>
      </c>
      <c r="S69" s="67" t="str">
        <f t="shared" si="6"/>
        <v>Arquitetônicos</v>
      </c>
      <c r="T69" s="67" t="str">
        <f t="shared" si="6"/>
        <v>Prediais</v>
      </c>
      <c r="U69" s="67" t="str">
        <f t="shared" si="6"/>
        <v>Construídas</v>
      </c>
      <c r="V69" s="67" t="s">
        <v>3793</v>
      </c>
      <c r="W69" s="68" t="str">
        <f t="shared" si="17"/>
        <v>Key-BRASIL-69</v>
      </c>
      <c r="X69" s="67" t="s">
        <v>3650</v>
      </c>
      <c r="Y69" s="67" t="s">
        <v>3649</v>
      </c>
      <c r="Z69" s="71" t="s">
        <v>1</v>
      </c>
      <c r="AA69" s="67" t="str">
        <f t="shared" si="16"/>
        <v>Built block.</v>
      </c>
    </row>
    <row r="70" spans="1:27" customFormat="1" ht="6.65" customHeight="1" x14ac:dyDescent="0.4">
      <c r="A70" s="63">
        <v>70</v>
      </c>
      <c r="B70" s="64" t="s">
        <v>3794</v>
      </c>
      <c r="C70" s="28" t="s">
        <v>3797</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5"/>
        <v>Prediais</v>
      </c>
      <c r="N70" s="70" t="str">
        <f t="shared" si="15"/>
        <v>Construídas</v>
      </c>
      <c r="O70" s="70" t="str">
        <f t="shared" si="15"/>
        <v>Edifício</v>
      </c>
      <c r="P70" s="70" t="s">
        <v>3598</v>
      </c>
      <c r="Q70" s="70" t="s">
        <v>135</v>
      </c>
      <c r="R70" s="67" t="s">
        <v>1</v>
      </c>
      <c r="S70" s="67" t="str">
        <f t="shared" si="6"/>
        <v>Arquitetônicos</v>
      </c>
      <c r="T70" s="67" t="str">
        <f t="shared" si="6"/>
        <v>Prediais</v>
      </c>
      <c r="U70" s="67" t="str">
        <f t="shared" si="6"/>
        <v>Construídas</v>
      </c>
      <c r="V70" s="67" t="s">
        <v>3793</v>
      </c>
      <c r="W70" s="68" t="str">
        <f t="shared" si="17"/>
        <v>Key-BRASIL-70</v>
      </c>
      <c r="X70" s="67" t="s">
        <v>3650</v>
      </c>
      <c r="Y70" s="67" t="s">
        <v>3649</v>
      </c>
      <c r="Z70" s="71" t="s">
        <v>1</v>
      </c>
      <c r="AA70" s="67" t="str">
        <f t="shared" si="16"/>
        <v>Building.</v>
      </c>
    </row>
    <row r="71" spans="1:27" customFormat="1" ht="6.65" customHeight="1" x14ac:dyDescent="0.4">
      <c r="A71" s="63">
        <v>71</v>
      </c>
      <c r="B71" s="64" t="s">
        <v>3794</v>
      </c>
      <c r="C71" s="28" t="s">
        <v>3797</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5"/>
        <v>Prediais</v>
      </c>
      <c r="N71" s="70" t="str">
        <f t="shared" si="15"/>
        <v>Construídas</v>
      </c>
      <c r="O71" s="70" t="str">
        <f t="shared" si="15"/>
        <v>Casa</v>
      </c>
      <c r="P71" s="70" t="s">
        <v>3601</v>
      </c>
      <c r="Q71" s="70" t="s">
        <v>136</v>
      </c>
      <c r="R71" s="67" t="s">
        <v>1</v>
      </c>
      <c r="S71" s="67" t="str">
        <f t="shared" si="6"/>
        <v>Arquitetônicos</v>
      </c>
      <c r="T71" s="67" t="str">
        <f t="shared" si="6"/>
        <v>Prediais</v>
      </c>
      <c r="U71" s="67" t="str">
        <f t="shared" si="6"/>
        <v>Construídas</v>
      </c>
      <c r="V71" s="67" t="s">
        <v>3793</v>
      </c>
      <c r="W71" s="68" t="str">
        <f t="shared" si="17"/>
        <v>Key-BRASIL-71</v>
      </c>
      <c r="X71" s="67" t="s">
        <v>3650</v>
      </c>
      <c r="Y71" s="67" t="s">
        <v>3649</v>
      </c>
      <c r="Z71" s="71" t="s">
        <v>1</v>
      </c>
      <c r="AA71" s="67" t="str">
        <f t="shared" si="16"/>
        <v>Home.</v>
      </c>
    </row>
    <row r="72" spans="1:27" customFormat="1" ht="6.65" customHeight="1" x14ac:dyDescent="0.4">
      <c r="A72" s="63">
        <v>72</v>
      </c>
      <c r="B72" s="64" t="s">
        <v>3794</v>
      </c>
      <c r="C72" s="28" t="s">
        <v>3797</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5"/>
        <v>Prediais</v>
      </c>
      <c r="N72" s="70" t="str">
        <f t="shared" si="15"/>
        <v>Construídas</v>
      </c>
      <c r="O72" s="70" t="str">
        <f t="shared" si="15"/>
        <v>HIS</v>
      </c>
      <c r="P72" s="70" t="s">
        <v>3599</v>
      </c>
      <c r="Q72" s="70" t="s">
        <v>138</v>
      </c>
      <c r="R72" s="67" t="s">
        <v>1</v>
      </c>
      <c r="S72" s="67" t="str">
        <f t="shared" si="6"/>
        <v>Arquitetônicos</v>
      </c>
      <c r="T72" s="67" t="str">
        <f t="shared" si="6"/>
        <v>Prediais</v>
      </c>
      <c r="U72" s="67" t="str">
        <f t="shared" si="6"/>
        <v>Construídas</v>
      </c>
      <c r="V72" s="67" t="s">
        <v>3793</v>
      </c>
      <c r="W72" s="68" t="str">
        <f t="shared" si="17"/>
        <v>Key-BRASIL-72</v>
      </c>
      <c r="X72" s="67" t="s">
        <v>3650</v>
      </c>
      <c r="Y72" s="67" t="s">
        <v>3649</v>
      </c>
      <c r="Z72" s="71" t="s">
        <v>1</v>
      </c>
      <c r="AA72" s="67" t="str">
        <f t="shared" si="16"/>
        <v>Social Interest Housing.</v>
      </c>
    </row>
    <row r="73" spans="1:27" customFormat="1" ht="6.65" customHeight="1" x14ac:dyDescent="0.4">
      <c r="A73" s="63">
        <v>73</v>
      </c>
      <c r="B73" s="64" t="s">
        <v>3794</v>
      </c>
      <c r="C73" s="28" t="s">
        <v>3797</v>
      </c>
      <c r="D73" s="28" t="s">
        <v>3529</v>
      </c>
      <c r="E73" s="28" t="s">
        <v>3548</v>
      </c>
      <c r="F73" s="28" t="s">
        <v>139</v>
      </c>
      <c r="G73" s="69" t="s">
        <v>1</v>
      </c>
      <c r="H73" s="69" t="s">
        <v>1</v>
      </c>
      <c r="I73" s="69" t="s">
        <v>1</v>
      </c>
      <c r="J73" s="69" t="s">
        <v>1</v>
      </c>
      <c r="K73" s="69" t="s">
        <v>140</v>
      </c>
      <c r="L73" s="70" t="str">
        <f t="shared" si="0"/>
        <v>Arquitetônicos</v>
      </c>
      <c r="M73" s="70" t="str">
        <f t="shared" si="15"/>
        <v>Prediais</v>
      </c>
      <c r="N73" s="70" t="str">
        <f t="shared" si="15"/>
        <v>Construídas</v>
      </c>
      <c r="O73" s="70" t="str">
        <f t="shared" si="15"/>
        <v>Galpão</v>
      </c>
      <c r="P73" s="70" t="s">
        <v>3602</v>
      </c>
      <c r="Q73" s="70" t="s">
        <v>141</v>
      </c>
      <c r="R73" s="67" t="s">
        <v>1</v>
      </c>
      <c r="S73" s="67" t="str">
        <f t="shared" si="6"/>
        <v>Arquitetônicos</v>
      </c>
      <c r="T73" s="67" t="str">
        <f t="shared" si="6"/>
        <v>Prediais</v>
      </c>
      <c r="U73" s="67" t="str">
        <f t="shared" si="6"/>
        <v>Construídas</v>
      </c>
      <c r="V73" s="67" t="s">
        <v>3793</v>
      </c>
      <c r="W73" s="68" t="str">
        <f t="shared" si="17"/>
        <v>Key-BRASIL-73</v>
      </c>
      <c r="X73" s="67" t="s">
        <v>3650</v>
      </c>
      <c r="Y73" s="67" t="s">
        <v>3649</v>
      </c>
      <c r="Z73" s="71" t="s">
        <v>1</v>
      </c>
      <c r="AA73" s="67" t="str">
        <f t="shared" si="16"/>
        <v>Shed.</v>
      </c>
    </row>
    <row r="74" spans="1:27" customFormat="1" ht="6.65" customHeight="1" x14ac:dyDescent="0.4">
      <c r="A74" s="63">
        <v>74</v>
      </c>
      <c r="B74" s="64" t="s">
        <v>3794</v>
      </c>
      <c r="C74" s="28" t="s">
        <v>3797</v>
      </c>
      <c r="D74" s="28" t="s">
        <v>3529</v>
      </c>
      <c r="E74" s="28" t="s">
        <v>3548</v>
      </c>
      <c r="F74" s="28" t="s">
        <v>142</v>
      </c>
      <c r="G74" s="69" t="s">
        <v>1</v>
      </c>
      <c r="H74" s="69" t="s">
        <v>1</v>
      </c>
      <c r="I74" s="69" t="s">
        <v>1</v>
      </c>
      <c r="J74" s="69" t="s">
        <v>1</v>
      </c>
      <c r="K74" s="69" t="s">
        <v>140</v>
      </c>
      <c r="L74" s="70" t="str">
        <f t="shared" si="0"/>
        <v>Arquitetônicos</v>
      </c>
      <c r="M74" s="70" t="str">
        <f t="shared" ref="M74:O89" si="18">_xlfn.CONCAT(SUBSTITUTE(D74,"."," "))</f>
        <v>Prediais</v>
      </c>
      <c r="N74" s="70" t="str">
        <f t="shared" si="18"/>
        <v>Construídas</v>
      </c>
      <c r="O74" s="70" t="str">
        <f t="shared" si="18"/>
        <v>Edícula</v>
      </c>
      <c r="P74" s="70" t="s">
        <v>3600</v>
      </c>
      <c r="Q74" s="70" t="s">
        <v>142</v>
      </c>
      <c r="R74" s="67" t="s">
        <v>1</v>
      </c>
      <c r="S74" s="67" t="str">
        <f t="shared" si="6"/>
        <v>Arquitetônicos</v>
      </c>
      <c r="T74" s="67" t="str">
        <f t="shared" si="6"/>
        <v>Prediais</v>
      </c>
      <c r="U74" s="67" t="str">
        <f t="shared" si="6"/>
        <v>Construídas</v>
      </c>
      <c r="V74" s="67" t="s">
        <v>3793</v>
      </c>
      <c r="W74" s="68" t="str">
        <f t="shared" si="17"/>
        <v>Key-BRASIL-74</v>
      </c>
      <c r="X74" s="67" t="s">
        <v>3650</v>
      </c>
      <c r="Y74" s="67" t="s">
        <v>3681</v>
      </c>
      <c r="Z74" s="71" t="s">
        <v>1</v>
      </c>
      <c r="AA74" s="67" t="str">
        <f t="shared" si="16"/>
        <v>Edicule.</v>
      </c>
    </row>
    <row r="75" spans="1:27" customFormat="1" ht="6.65" customHeight="1" x14ac:dyDescent="0.4">
      <c r="A75" s="63">
        <v>75</v>
      </c>
      <c r="B75" s="64" t="s">
        <v>3794</v>
      </c>
      <c r="C75" s="28" t="s">
        <v>3797</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8"/>
        <v>Funcionais</v>
      </c>
      <c r="N75" s="70" t="str">
        <f t="shared" si="18"/>
        <v>Organizativas</v>
      </c>
      <c r="O75" s="70" t="str">
        <f t="shared" si="18"/>
        <v>Unidade</v>
      </c>
      <c r="P75" s="70" t="s">
        <v>3603</v>
      </c>
      <c r="Q75" s="70" t="s">
        <v>145</v>
      </c>
      <c r="R75" s="67" t="s">
        <v>1</v>
      </c>
      <c r="S75" s="67" t="str">
        <f t="shared" si="6"/>
        <v>Arquitetônicos</v>
      </c>
      <c r="T75" s="67" t="str">
        <f t="shared" si="6"/>
        <v>Funcionais</v>
      </c>
      <c r="U75" s="67" t="str">
        <f t="shared" si="6"/>
        <v>Organizativas</v>
      </c>
      <c r="V75" s="67" t="s">
        <v>3793</v>
      </c>
      <c r="W75" s="68" t="str">
        <f t="shared" si="17"/>
        <v>Key-BRASIL-75</v>
      </c>
      <c r="X75" s="67" t="s">
        <v>3650</v>
      </c>
      <c r="Y75" s="67" t="s">
        <v>3681</v>
      </c>
      <c r="Z75" s="71" t="s">
        <v>1</v>
      </c>
      <c r="AA75" s="67" t="str">
        <f t="shared" si="16"/>
        <v>Unity.</v>
      </c>
    </row>
    <row r="76" spans="1:27" customFormat="1" ht="6.65" customHeight="1" x14ac:dyDescent="0.4">
      <c r="A76" s="63">
        <v>76</v>
      </c>
      <c r="B76" s="64" t="s">
        <v>3794</v>
      </c>
      <c r="C76" s="28" t="s">
        <v>3797</v>
      </c>
      <c r="D76" s="28" t="s">
        <v>3530</v>
      </c>
      <c r="E76" s="28" t="s">
        <v>3549</v>
      </c>
      <c r="F76" s="28" t="s">
        <v>3531</v>
      </c>
      <c r="G76" s="69" t="s">
        <v>1</v>
      </c>
      <c r="H76" s="69" t="s">
        <v>1</v>
      </c>
      <c r="I76" s="69" t="s">
        <v>1</v>
      </c>
      <c r="J76" s="69" t="s">
        <v>1</v>
      </c>
      <c r="K76" s="69" t="s">
        <v>144</v>
      </c>
      <c r="L76" s="70" t="str">
        <f t="shared" si="0"/>
        <v>Arquitetônicos</v>
      </c>
      <c r="M76" s="70" t="str">
        <f t="shared" si="18"/>
        <v>Funcionais</v>
      </c>
      <c r="N76" s="70" t="str">
        <f t="shared" si="18"/>
        <v>Organizativas</v>
      </c>
      <c r="O76" s="70" t="str">
        <f t="shared" si="18"/>
        <v>Setor Urbano</v>
      </c>
      <c r="P76" s="70" t="s">
        <v>3608</v>
      </c>
      <c r="Q76" s="70" t="s">
        <v>146</v>
      </c>
      <c r="R76" s="67" t="s">
        <v>1</v>
      </c>
      <c r="S76" s="67" t="str">
        <f t="shared" si="6"/>
        <v>Arquitetônicos</v>
      </c>
      <c r="T76" s="67" t="str">
        <f t="shared" si="6"/>
        <v>Funcionais</v>
      </c>
      <c r="U76" s="67" t="str">
        <f t="shared" si="6"/>
        <v>Organizativas</v>
      </c>
      <c r="V76" s="67" t="s">
        <v>3793</v>
      </c>
      <c r="W76" s="68" t="str">
        <f t="shared" si="17"/>
        <v>Key-BRASIL-76</v>
      </c>
      <c r="X76" s="67" t="s">
        <v>3662</v>
      </c>
      <c r="Y76" s="67" t="s">
        <v>3681</v>
      </c>
      <c r="Z76" s="71" t="s">
        <v>1</v>
      </c>
      <c r="AA76" s="67" t="str">
        <f t="shared" si="16"/>
        <v>Sector.</v>
      </c>
    </row>
    <row r="77" spans="1:27" customFormat="1" ht="6.65" customHeight="1" x14ac:dyDescent="0.4">
      <c r="A77" s="63">
        <v>77</v>
      </c>
      <c r="B77" s="64" t="s">
        <v>3794</v>
      </c>
      <c r="C77" s="28" t="s">
        <v>3797</v>
      </c>
      <c r="D77" s="28" t="s">
        <v>3530</v>
      </c>
      <c r="E77" s="28" t="s">
        <v>3549</v>
      </c>
      <c r="F77" s="28" t="s">
        <v>147</v>
      </c>
      <c r="G77" s="69" t="s">
        <v>1</v>
      </c>
      <c r="H77" s="69" t="s">
        <v>1</v>
      </c>
      <c r="I77" s="69" t="s">
        <v>1</v>
      </c>
      <c r="J77" s="69" t="s">
        <v>1</v>
      </c>
      <c r="K77" s="69" t="s">
        <v>144</v>
      </c>
      <c r="L77" s="70" t="str">
        <f t="shared" si="0"/>
        <v>Arquitetônicos</v>
      </c>
      <c r="M77" s="70" t="str">
        <f t="shared" si="18"/>
        <v>Funcionais</v>
      </c>
      <c r="N77" s="70" t="str">
        <f t="shared" si="18"/>
        <v>Organizativas</v>
      </c>
      <c r="O77" s="70" t="str">
        <f t="shared" si="18"/>
        <v>Divisão</v>
      </c>
      <c r="P77" s="70" t="s">
        <v>3604</v>
      </c>
      <c r="Q77" s="70" t="s">
        <v>148</v>
      </c>
      <c r="R77" s="67" t="s">
        <v>1</v>
      </c>
      <c r="S77" s="67" t="str">
        <f t="shared" si="6"/>
        <v>Arquitetônicos</v>
      </c>
      <c r="T77" s="67" t="str">
        <f t="shared" si="6"/>
        <v>Funcionais</v>
      </c>
      <c r="U77" s="67" t="str">
        <f t="shared" si="6"/>
        <v>Organizativas</v>
      </c>
      <c r="V77" s="67" t="s">
        <v>3793</v>
      </c>
      <c r="W77" s="68" t="str">
        <f t="shared" si="17"/>
        <v>Key-BRASIL-77</v>
      </c>
      <c r="X77" s="67" t="s">
        <v>3662</v>
      </c>
      <c r="Y77" s="67" t="s">
        <v>3681</v>
      </c>
      <c r="Z77" s="71" t="s">
        <v>1</v>
      </c>
      <c r="AA77" s="67" t="str">
        <f t="shared" si="16"/>
        <v>Division.</v>
      </c>
    </row>
    <row r="78" spans="1:27" customFormat="1" ht="6.65" customHeight="1" x14ac:dyDescent="0.4">
      <c r="A78" s="63">
        <v>78</v>
      </c>
      <c r="B78" s="64" t="s">
        <v>3794</v>
      </c>
      <c r="C78" s="28" t="s">
        <v>3797</v>
      </c>
      <c r="D78" s="28" t="s">
        <v>3530</v>
      </c>
      <c r="E78" s="28" t="s">
        <v>3549</v>
      </c>
      <c r="F78" s="28" t="s">
        <v>149</v>
      </c>
      <c r="G78" s="69" t="s">
        <v>1</v>
      </c>
      <c r="H78" s="69" t="s">
        <v>1</v>
      </c>
      <c r="I78" s="69" t="s">
        <v>1</v>
      </c>
      <c r="J78" s="69" t="s">
        <v>1</v>
      </c>
      <c r="K78" s="69" t="s">
        <v>144</v>
      </c>
      <c r="L78" s="70" t="str">
        <f t="shared" si="0"/>
        <v>Arquitetônicos</v>
      </c>
      <c r="M78" s="70" t="str">
        <f t="shared" si="18"/>
        <v>Funcionais</v>
      </c>
      <c r="N78" s="70" t="str">
        <f t="shared" si="18"/>
        <v>Organizativas</v>
      </c>
      <c r="O78" s="70" t="str">
        <f t="shared" si="18"/>
        <v>Departamento</v>
      </c>
      <c r="P78" s="70" t="s">
        <v>149</v>
      </c>
      <c r="Q78" s="70" t="s">
        <v>149</v>
      </c>
      <c r="R78" s="67" t="s">
        <v>1</v>
      </c>
      <c r="S78" s="67" t="str">
        <f t="shared" si="6"/>
        <v>Arquitetônicos</v>
      </c>
      <c r="T78" s="67" t="str">
        <f t="shared" si="6"/>
        <v>Funcionais</v>
      </c>
      <c r="U78" s="67" t="str">
        <f t="shared" si="6"/>
        <v>Organizativas</v>
      </c>
      <c r="V78" s="67" t="s">
        <v>3793</v>
      </c>
      <c r="W78" s="68" t="str">
        <f t="shared" si="17"/>
        <v>Key-BRASIL-78</v>
      </c>
      <c r="X78" s="67" t="s">
        <v>3662</v>
      </c>
      <c r="Y78" s="67" t="s">
        <v>3682</v>
      </c>
      <c r="Z78" s="71" t="s">
        <v>1</v>
      </c>
      <c r="AA78" s="67" t="str">
        <f t="shared" si="16"/>
        <v>Department</v>
      </c>
    </row>
    <row r="79" spans="1:27" customFormat="1" ht="6.65" customHeight="1" x14ac:dyDescent="0.4">
      <c r="A79" s="63">
        <v>79</v>
      </c>
      <c r="B79" s="64" t="s">
        <v>3794</v>
      </c>
      <c r="C79" s="28" t="s">
        <v>3797</v>
      </c>
      <c r="D79" s="28" t="s">
        <v>3530</v>
      </c>
      <c r="E79" s="28" t="s">
        <v>3532</v>
      </c>
      <c r="F79" s="28" t="s">
        <v>150</v>
      </c>
      <c r="G79" s="69" t="s">
        <v>1</v>
      </c>
      <c r="H79" s="69" t="s">
        <v>1</v>
      </c>
      <c r="I79" s="69" t="s">
        <v>1</v>
      </c>
      <c r="J79" s="69" t="s">
        <v>1</v>
      </c>
      <c r="K79" s="69" t="s">
        <v>144</v>
      </c>
      <c r="L79" s="70" t="str">
        <f t="shared" si="0"/>
        <v>Arquitetônicos</v>
      </c>
      <c r="M79" s="70" t="str">
        <f t="shared" si="18"/>
        <v>Funcionais</v>
      </c>
      <c r="N79" s="70" t="str">
        <f t="shared" si="18"/>
        <v>Distribuição</v>
      </c>
      <c r="O79" s="70" t="str">
        <f t="shared" si="18"/>
        <v>Ambiente</v>
      </c>
      <c r="P79" s="70" t="s">
        <v>3605</v>
      </c>
      <c r="Q79" s="70" t="s">
        <v>150</v>
      </c>
      <c r="R79" s="67" t="s">
        <v>1</v>
      </c>
      <c r="S79" s="67" t="str">
        <f t="shared" si="6"/>
        <v>Arquitetônicos</v>
      </c>
      <c r="T79" s="67" t="str">
        <f t="shared" si="6"/>
        <v>Funcionais</v>
      </c>
      <c r="U79" s="67" t="str">
        <f t="shared" si="6"/>
        <v>Distribuição</v>
      </c>
      <c r="V79" s="67" t="s">
        <v>3793</v>
      </c>
      <c r="W79" s="68" t="str">
        <f t="shared" si="17"/>
        <v>Key-BRASIL-79</v>
      </c>
      <c r="X79" s="67" t="s">
        <v>3663</v>
      </c>
      <c r="Y79" s="67" t="s">
        <v>3681</v>
      </c>
      <c r="Z79" s="71" t="s">
        <v>1</v>
      </c>
      <c r="AA79" s="67" t="str">
        <f t="shared" si="16"/>
        <v>Environment.</v>
      </c>
    </row>
    <row r="80" spans="1:27" customFormat="1" ht="6.65" customHeight="1" x14ac:dyDescent="0.4">
      <c r="A80" s="63">
        <v>80</v>
      </c>
      <c r="B80" s="64" t="s">
        <v>3794</v>
      </c>
      <c r="C80" s="28" t="s">
        <v>3797</v>
      </c>
      <c r="D80" s="28" t="s">
        <v>3530</v>
      </c>
      <c r="E80" s="28" t="s">
        <v>3532</v>
      </c>
      <c r="F80" s="28" t="s">
        <v>151</v>
      </c>
      <c r="G80" s="69" t="s">
        <v>1</v>
      </c>
      <c r="H80" s="69" t="s">
        <v>1</v>
      </c>
      <c r="I80" s="69" t="s">
        <v>1</v>
      </c>
      <c r="J80" s="69" t="s">
        <v>1</v>
      </c>
      <c r="K80" s="69" t="s">
        <v>144</v>
      </c>
      <c r="L80" s="70" t="str">
        <f t="shared" si="0"/>
        <v>Arquitetônicos</v>
      </c>
      <c r="M80" s="70" t="str">
        <f t="shared" si="18"/>
        <v>Funcionais</v>
      </c>
      <c r="N80" s="70" t="str">
        <f t="shared" si="18"/>
        <v>Distribuição</v>
      </c>
      <c r="O80" s="70" t="str">
        <f t="shared" si="18"/>
        <v>Apartamento</v>
      </c>
      <c r="P80" s="70" t="s">
        <v>151</v>
      </c>
      <c r="Q80" s="70" t="s">
        <v>151</v>
      </c>
      <c r="R80" s="67" t="s">
        <v>1</v>
      </c>
      <c r="S80" s="67" t="str">
        <f t="shared" si="6"/>
        <v>Arquitetônicos</v>
      </c>
      <c r="T80" s="67" t="str">
        <f t="shared" si="6"/>
        <v>Funcionais</v>
      </c>
      <c r="U80" s="67" t="str">
        <f t="shared" si="6"/>
        <v>Distribuição</v>
      </c>
      <c r="V80" s="67" t="s">
        <v>3793</v>
      </c>
      <c r="W80" s="68" t="str">
        <f t="shared" si="17"/>
        <v>Key-BRASIL-80</v>
      </c>
      <c r="X80" s="67" t="s">
        <v>3662</v>
      </c>
      <c r="Y80" s="67" t="s">
        <v>3681</v>
      </c>
      <c r="Z80" s="71" t="s">
        <v>1</v>
      </c>
      <c r="AA80" s="67" t="str">
        <f t="shared" si="16"/>
        <v>Apartment</v>
      </c>
    </row>
    <row r="81" spans="1:27" customFormat="1" ht="6.65" customHeight="1" x14ac:dyDescent="0.4">
      <c r="A81" s="63">
        <v>81</v>
      </c>
      <c r="B81" s="64" t="s">
        <v>3794</v>
      </c>
      <c r="C81" s="28" t="s">
        <v>3797</v>
      </c>
      <c r="D81" s="28" t="s">
        <v>3530</v>
      </c>
      <c r="E81" s="28" t="s">
        <v>3532</v>
      </c>
      <c r="F81" s="28" t="s">
        <v>152</v>
      </c>
      <c r="G81" s="69" t="s">
        <v>1</v>
      </c>
      <c r="H81" s="69" t="s">
        <v>1</v>
      </c>
      <c r="I81" s="69" t="s">
        <v>1</v>
      </c>
      <c r="J81" s="69" t="s">
        <v>1</v>
      </c>
      <c r="K81" s="69" t="s">
        <v>144</v>
      </c>
      <c r="L81" s="70" t="str">
        <f t="shared" si="0"/>
        <v>Arquitetônicos</v>
      </c>
      <c r="M81" s="70" t="str">
        <f t="shared" si="18"/>
        <v>Funcionais</v>
      </c>
      <c r="N81" s="70" t="str">
        <f t="shared" si="18"/>
        <v>Distribuição</v>
      </c>
      <c r="O81" s="70" t="str">
        <f t="shared" si="18"/>
        <v>Núcleo de Circulação</v>
      </c>
      <c r="P81" s="70" t="s">
        <v>3606</v>
      </c>
      <c r="Q81" s="70" t="s">
        <v>153</v>
      </c>
      <c r="R81" s="67" t="s">
        <v>1</v>
      </c>
      <c r="S81" s="67" t="str">
        <f t="shared" si="6"/>
        <v>Arquitetônicos</v>
      </c>
      <c r="T81" s="67" t="str">
        <f t="shared" si="6"/>
        <v>Funcionais</v>
      </c>
      <c r="U81" s="67" t="str">
        <f t="shared" si="6"/>
        <v>Distribuição</v>
      </c>
      <c r="V81" s="67" t="s">
        <v>3793</v>
      </c>
      <c r="W81" s="68" t="str">
        <f t="shared" si="17"/>
        <v>Key-BRASIL-81</v>
      </c>
      <c r="X81" s="67" t="s">
        <v>3662</v>
      </c>
      <c r="Y81" s="67" t="s">
        <v>3683</v>
      </c>
      <c r="Z81" s="71" t="s">
        <v>1</v>
      </c>
      <c r="AA81" s="67" t="str">
        <f t="shared" si="16"/>
        <v>Circulation Center.</v>
      </c>
    </row>
    <row r="82" spans="1:27" customFormat="1" ht="6.65" customHeight="1" x14ac:dyDescent="0.4">
      <c r="A82" s="63">
        <v>82</v>
      </c>
      <c r="B82" s="64" t="s">
        <v>3794</v>
      </c>
      <c r="C82" s="28" t="s">
        <v>3822</v>
      </c>
      <c r="D82" s="28" t="s">
        <v>3823</v>
      </c>
      <c r="E82" s="28" t="s">
        <v>154</v>
      </c>
      <c r="F82" s="28" t="s">
        <v>155</v>
      </c>
      <c r="G82" s="69" t="s">
        <v>1</v>
      </c>
      <c r="H82" s="69" t="s">
        <v>1</v>
      </c>
      <c r="I82" s="69" t="s">
        <v>1</v>
      </c>
      <c r="J82" s="69" t="s">
        <v>1</v>
      </c>
      <c r="K82" s="69" t="s">
        <v>1</v>
      </c>
      <c r="L82" s="70" t="str">
        <f t="shared" si="0"/>
        <v>Institucionais</v>
      </c>
      <c r="M82" s="70" t="str">
        <f t="shared" si="18"/>
        <v>Serviços Públicos</v>
      </c>
      <c r="N82" s="70" t="str">
        <f t="shared" si="18"/>
        <v>Saúde</v>
      </c>
      <c r="O82" s="70" t="str">
        <f t="shared" si="18"/>
        <v>Hospital Federal</v>
      </c>
      <c r="P82" s="70" t="s">
        <v>3609</v>
      </c>
      <c r="Q82" s="70" t="s">
        <v>156</v>
      </c>
      <c r="R82" s="67" t="s">
        <v>1</v>
      </c>
      <c r="S82" s="67" t="str">
        <f t="shared" si="6"/>
        <v>Institucionais</v>
      </c>
      <c r="T82" s="67" t="str">
        <f t="shared" si="6"/>
        <v>Serviços Públicos</v>
      </c>
      <c r="U82" s="67" t="str">
        <f t="shared" si="6"/>
        <v>Saúde</v>
      </c>
      <c r="V82" s="67" t="s">
        <v>3793</v>
      </c>
      <c r="W82" s="68" t="str">
        <f t="shared" si="17"/>
        <v>Key-BRASIL-82</v>
      </c>
      <c r="X82" s="67" t="s">
        <v>3664</v>
      </c>
      <c r="Y82" s="67" t="s">
        <v>3683</v>
      </c>
      <c r="Z82" s="71" t="s">
        <v>1</v>
      </c>
      <c r="AA82" s="67" t="str">
        <f t="shared" si="16"/>
        <v>National Hospital.</v>
      </c>
    </row>
    <row r="83" spans="1:27" customFormat="1" ht="6.65" customHeight="1" x14ac:dyDescent="0.4">
      <c r="A83" s="63">
        <v>83</v>
      </c>
      <c r="B83" s="64" t="s">
        <v>3794</v>
      </c>
      <c r="C83" s="28" t="s">
        <v>3822</v>
      </c>
      <c r="D83" s="28" t="s">
        <v>3823</v>
      </c>
      <c r="E83" s="28" t="s">
        <v>154</v>
      </c>
      <c r="F83" s="28" t="s">
        <v>157</v>
      </c>
      <c r="G83" s="69" t="s">
        <v>1</v>
      </c>
      <c r="H83" s="69" t="s">
        <v>1</v>
      </c>
      <c r="I83" s="69" t="s">
        <v>1</v>
      </c>
      <c r="J83" s="69" t="s">
        <v>1</v>
      </c>
      <c r="K83" s="69" t="s">
        <v>1</v>
      </c>
      <c r="L83" s="70" t="str">
        <f t="shared" si="0"/>
        <v>Institucionais</v>
      </c>
      <c r="M83" s="70" t="str">
        <f t="shared" si="18"/>
        <v>Serviços Públicos</v>
      </c>
      <c r="N83" s="70" t="str">
        <f t="shared" si="18"/>
        <v>Saúde</v>
      </c>
      <c r="O83" s="70" t="str">
        <f t="shared" si="18"/>
        <v>Hospital Estadual</v>
      </c>
      <c r="P83" s="70" t="s">
        <v>3607</v>
      </c>
      <c r="Q83" s="70" t="s">
        <v>158</v>
      </c>
      <c r="R83" s="67" t="s">
        <v>1</v>
      </c>
      <c r="S83" s="67" t="str">
        <f t="shared" si="6"/>
        <v>Institucionais</v>
      </c>
      <c r="T83" s="67" t="str">
        <f t="shared" si="6"/>
        <v>Serviços Públicos</v>
      </c>
      <c r="U83" s="67" t="str">
        <f t="shared" si="6"/>
        <v>Saúde</v>
      </c>
      <c r="V83" s="67" t="s">
        <v>3793</v>
      </c>
      <c r="W83" s="68" t="str">
        <f t="shared" si="17"/>
        <v>Key-BRASIL-83</v>
      </c>
      <c r="X83" s="67" t="s">
        <v>3664</v>
      </c>
      <c r="Y83" s="67" t="s">
        <v>3683</v>
      </c>
      <c r="Z83" s="71" t="s">
        <v>1</v>
      </c>
      <c r="AA83" s="67" t="str">
        <f t="shared" si="16"/>
        <v>State Hospital.</v>
      </c>
    </row>
    <row r="84" spans="1:27" customFormat="1" ht="6.65" customHeight="1" x14ac:dyDescent="0.4">
      <c r="A84" s="63">
        <v>84</v>
      </c>
      <c r="B84" s="64" t="s">
        <v>3794</v>
      </c>
      <c r="C84" s="28" t="s">
        <v>3822</v>
      </c>
      <c r="D84" s="28" t="s">
        <v>3823</v>
      </c>
      <c r="E84" s="28" t="s">
        <v>154</v>
      </c>
      <c r="F84" s="28" t="s">
        <v>159</v>
      </c>
      <c r="G84" s="69" t="s">
        <v>1</v>
      </c>
      <c r="H84" s="69" t="s">
        <v>1</v>
      </c>
      <c r="I84" s="69" t="s">
        <v>1</v>
      </c>
      <c r="J84" s="69" t="s">
        <v>1</v>
      </c>
      <c r="K84" s="69" t="s">
        <v>1</v>
      </c>
      <c r="L84" s="70" t="str">
        <f t="shared" si="0"/>
        <v>Institucionais</v>
      </c>
      <c r="M84" s="70" t="str">
        <f t="shared" si="18"/>
        <v>Serviços Públicos</v>
      </c>
      <c r="N84" s="70" t="str">
        <f t="shared" si="18"/>
        <v>Saúde</v>
      </c>
      <c r="O84" s="70" t="str">
        <f t="shared" si="18"/>
        <v>Hospital Municipal</v>
      </c>
      <c r="P84" s="70" t="s">
        <v>3611</v>
      </c>
      <c r="Q84" s="70" t="s">
        <v>160</v>
      </c>
      <c r="R84" s="67" t="s">
        <v>1</v>
      </c>
      <c r="S84" s="67" t="str">
        <f t="shared" si="6"/>
        <v>Institucionais</v>
      </c>
      <c r="T84" s="67" t="str">
        <f t="shared" si="6"/>
        <v>Serviços Públicos</v>
      </c>
      <c r="U84" s="67" t="str">
        <f t="shared" si="6"/>
        <v>Saúde</v>
      </c>
      <c r="V84" s="67" t="s">
        <v>3793</v>
      </c>
      <c r="W84" s="68" t="str">
        <f t="shared" si="17"/>
        <v>Key-BRASIL-84</v>
      </c>
      <c r="X84" s="67" t="s">
        <v>3664</v>
      </c>
      <c r="Y84" s="67" t="s">
        <v>3683</v>
      </c>
      <c r="Z84" s="71" t="s">
        <v>1</v>
      </c>
      <c r="AA84" s="67" t="str">
        <f t="shared" si="16"/>
        <v>Municipal Hospital.</v>
      </c>
    </row>
    <row r="85" spans="1:27" customFormat="1" ht="6.65" customHeight="1" x14ac:dyDescent="0.4">
      <c r="A85" s="63">
        <v>85</v>
      </c>
      <c r="B85" s="64" t="s">
        <v>3794</v>
      </c>
      <c r="C85" s="28" t="s">
        <v>3822</v>
      </c>
      <c r="D85" s="28" t="s">
        <v>3823</v>
      </c>
      <c r="E85" s="28" t="s">
        <v>154</v>
      </c>
      <c r="F85" s="28" t="s">
        <v>161</v>
      </c>
      <c r="G85" s="69" t="s">
        <v>1</v>
      </c>
      <c r="H85" s="69" t="s">
        <v>1</v>
      </c>
      <c r="I85" s="69" t="s">
        <v>1</v>
      </c>
      <c r="J85" s="69" t="s">
        <v>1</v>
      </c>
      <c r="K85" s="69" t="s">
        <v>1</v>
      </c>
      <c r="L85" s="70" t="str">
        <f t="shared" si="0"/>
        <v>Institucionais</v>
      </c>
      <c r="M85" s="70" t="str">
        <f t="shared" si="18"/>
        <v>Serviços Públicos</v>
      </c>
      <c r="N85" s="70" t="str">
        <f t="shared" si="18"/>
        <v>Saúde</v>
      </c>
      <c r="O85" s="70" t="str">
        <f t="shared" si="18"/>
        <v>UBS</v>
      </c>
      <c r="P85" s="70" t="s">
        <v>162</v>
      </c>
      <c r="Q85" s="70" t="s">
        <v>163</v>
      </c>
      <c r="R85" s="67" t="s">
        <v>1</v>
      </c>
      <c r="S85" s="67" t="str">
        <f t="shared" si="6"/>
        <v>Institucionais</v>
      </c>
      <c r="T85" s="67" t="str">
        <f t="shared" si="6"/>
        <v>Serviços Públicos</v>
      </c>
      <c r="U85" s="67" t="str">
        <f t="shared" si="6"/>
        <v>Saúde</v>
      </c>
      <c r="V85" s="67" t="s">
        <v>3793</v>
      </c>
      <c r="W85" s="68" t="str">
        <f t="shared" si="17"/>
        <v>Key-BRASIL-85</v>
      </c>
      <c r="X85" s="67" t="s">
        <v>3664</v>
      </c>
      <c r="Y85" s="67" t="s">
        <v>3683</v>
      </c>
      <c r="Z85" s="71" t="s">
        <v>1</v>
      </c>
      <c r="AA85" s="67" t="str">
        <f t="shared" si="16"/>
        <v>UBS Basic Health Unit. Primary and preventive health care offered by the SUS.</v>
      </c>
    </row>
    <row r="86" spans="1:27" customFormat="1" ht="6.65" customHeight="1" x14ac:dyDescent="0.4">
      <c r="A86" s="63">
        <v>86</v>
      </c>
      <c r="B86" s="64" t="s">
        <v>3794</v>
      </c>
      <c r="C86" s="28" t="s">
        <v>3822</v>
      </c>
      <c r="D86" s="28" t="s">
        <v>3823</v>
      </c>
      <c r="E86" s="28" t="s">
        <v>154</v>
      </c>
      <c r="F86" s="28" t="s">
        <v>164</v>
      </c>
      <c r="G86" s="69" t="s">
        <v>1</v>
      </c>
      <c r="H86" s="69" t="s">
        <v>1</v>
      </c>
      <c r="I86" s="69" t="s">
        <v>1</v>
      </c>
      <c r="J86" s="69" t="s">
        <v>1</v>
      </c>
      <c r="K86" s="69" t="s">
        <v>1</v>
      </c>
      <c r="L86" s="70" t="str">
        <f t="shared" si="0"/>
        <v>Institucionais</v>
      </c>
      <c r="M86" s="70" t="str">
        <f t="shared" si="18"/>
        <v>Serviços Públicos</v>
      </c>
      <c r="N86" s="70" t="str">
        <f t="shared" si="18"/>
        <v>Saúde</v>
      </c>
      <c r="O86" s="70" t="str">
        <f t="shared" si="18"/>
        <v>UPA</v>
      </c>
      <c r="P86" s="70" t="s">
        <v>165</v>
      </c>
      <c r="Q86" s="70" t="s">
        <v>166</v>
      </c>
      <c r="R86" s="67" t="s">
        <v>1</v>
      </c>
      <c r="S86" s="67" t="str">
        <f t="shared" si="6"/>
        <v>Institucionais</v>
      </c>
      <c r="T86" s="67" t="str">
        <f t="shared" si="6"/>
        <v>Serviços Públicos</v>
      </c>
      <c r="U86" s="67" t="str">
        <f t="shared" si="6"/>
        <v>Saúde</v>
      </c>
      <c r="V86" s="67" t="s">
        <v>3793</v>
      </c>
      <c r="W86" s="68" t="str">
        <f t="shared" si="17"/>
        <v>Key-BRASIL-86</v>
      </c>
      <c r="X86" s="67" t="s">
        <v>3664</v>
      </c>
      <c r="Y86" s="67" t="s">
        <v>3683</v>
      </c>
      <c r="Z86" s="71" t="s">
        <v>1</v>
      </c>
      <c r="AA86" s="67" t="str">
        <f t="shared" si="16"/>
        <v>UPA Emergency Health Care Unit. Urgencies and emergencies 24x7.</v>
      </c>
    </row>
    <row r="87" spans="1:27" customFormat="1" ht="6.65" customHeight="1" x14ac:dyDescent="0.4">
      <c r="A87" s="63">
        <v>87</v>
      </c>
      <c r="B87" s="64" t="s">
        <v>3794</v>
      </c>
      <c r="C87" s="28" t="s">
        <v>3822</v>
      </c>
      <c r="D87" s="28" t="s">
        <v>3823</v>
      </c>
      <c r="E87" s="28" t="s">
        <v>3533</v>
      </c>
      <c r="F87" s="28" t="s">
        <v>167</v>
      </c>
      <c r="G87" s="69" t="s">
        <v>1</v>
      </c>
      <c r="H87" s="69" t="s">
        <v>1</v>
      </c>
      <c r="I87" s="69" t="s">
        <v>1</v>
      </c>
      <c r="J87" s="69" t="s">
        <v>1</v>
      </c>
      <c r="K87" s="69" t="s">
        <v>1</v>
      </c>
      <c r="L87" s="70" t="str">
        <f t="shared" si="0"/>
        <v>Institucionais</v>
      </c>
      <c r="M87" s="70" t="str">
        <f t="shared" si="18"/>
        <v>Serviços Públicos</v>
      </c>
      <c r="N87" s="70" t="str">
        <f t="shared" si="18"/>
        <v>Educacionais</v>
      </c>
      <c r="O87" s="70" t="str">
        <f t="shared" si="18"/>
        <v>Universidade Federal</v>
      </c>
      <c r="P87" s="70" t="s">
        <v>3610</v>
      </c>
      <c r="Q87" s="70" t="s">
        <v>168</v>
      </c>
      <c r="R87" s="67" t="s">
        <v>1</v>
      </c>
      <c r="S87" s="67" t="str">
        <f t="shared" si="6"/>
        <v>Institucionais</v>
      </c>
      <c r="T87" s="67" t="str">
        <f t="shared" si="6"/>
        <v>Serviços Públicos</v>
      </c>
      <c r="U87" s="67" t="str">
        <f t="shared" si="6"/>
        <v>Educacionais</v>
      </c>
      <c r="V87" s="67" t="s">
        <v>3793</v>
      </c>
      <c r="W87" s="68" t="str">
        <f t="shared" si="17"/>
        <v>Key-BRASIL-87</v>
      </c>
      <c r="X87" s="67" t="s">
        <v>3664</v>
      </c>
      <c r="Y87" s="67" t="s">
        <v>3683</v>
      </c>
      <c r="Z87" s="71" t="s">
        <v>1</v>
      </c>
      <c r="AA87" s="67" t="str">
        <f t="shared" si="16"/>
        <v>Federal University.</v>
      </c>
    </row>
    <row r="88" spans="1:27" customFormat="1" ht="6.65" customHeight="1" x14ac:dyDescent="0.4">
      <c r="A88" s="63">
        <v>88</v>
      </c>
      <c r="B88" s="64" t="s">
        <v>3794</v>
      </c>
      <c r="C88" s="28" t="s">
        <v>3822</v>
      </c>
      <c r="D88" s="28" t="s">
        <v>3823</v>
      </c>
      <c r="E88" s="28" t="s">
        <v>3533</v>
      </c>
      <c r="F88" s="28" t="s">
        <v>169</v>
      </c>
      <c r="G88" s="69" t="s">
        <v>1</v>
      </c>
      <c r="H88" s="69" t="s">
        <v>1</v>
      </c>
      <c r="I88" s="69" t="s">
        <v>1</v>
      </c>
      <c r="J88" s="69" t="s">
        <v>1</v>
      </c>
      <c r="K88" s="69" t="s">
        <v>1</v>
      </c>
      <c r="L88" s="70" t="str">
        <f t="shared" si="0"/>
        <v>Institucionais</v>
      </c>
      <c r="M88" s="70" t="str">
        <f t="shared" si="18"/>
        <v>Serviços Públicos</v>
      </c>
      <c r="N88" s="70" t="str">
        <f t="shared" si="18"/>
        <v>Educacionais</v>
      </c>
      <c r="O88" s="70" t="str">
        <f t="shared" si="18"/>
        <v>Universidade Estadual</v>
      </c>
      <c r="P88" s="70" t="s">
        <v>3612</v>
      </c>
      <c r="Q88" s="70" t="s">
        <v>170</v>
      </c>
      <c r="R88" s="67" t="s">
        <v>1</v>
      </c>
      <c r="S88" s="67" t="str">
        <f t="shared" si="6"/>
        <v>Institucionais</v>
      </c>
      <c r="T88" s="67" t="str">
        <f t="shared" si="6"/>
        <v>Serviços Públicos</v>
      </c>
      <c r="U88" s="67" t="str">
        <f t="shared" si="6"/>
        <v>Educacionais</v>
      </c>
      <c r="V88" s="67" t="s">
        <v>3793</v>
      </c>
      <c r="W88" s="68" t="str">
        <f t="shared" si="17"/>
        <v>Key-BRASIL-88</v>
      </c>
      <c r="X88" s="67" t="s">
        <v>3664</v>
      </c>
      <c r="Y88" s="67" t="s">
        <v>3683</v>
      </c>
      <c r="Z88" s="71" t="s">
        <v>1</v>
      </c>
      <c r="AA88" s="67" t="str">
        <f t="shared" si="16"/>
        <v>State University.</v>
      </c>
    </row>
    <row r="89" spans="1:27" customFormat="1" ht="6.65" customHeight="1" x14ac:dyDescent="0.4">
      <c r="A89" s="63">
        <v>89</v>
      </c>
      <c r="B89" s="64" t="s">
        <v>3794</v>
      </c>
      <c r="C89" s="28" t="s">
        <v>3822</v>
      </c>
      <c r="D89" s="28" t="s">
        <v>3823</v>
      </c>
      <c r="E89" s="28" t="s">
        <v>3533</v>
      </c>
      <c r="F89" s="28" t="s">
        <v>171</v>
      </c>
      <c r="G89" s="69" t="s">
        <v>1</v>
      </c>
      <c r="H89" s="69" t="s">
        <v>1</v>
      </c>
      <c r="I89" s="69" t="s">
        <v>1</v>
      </c>
      <c r="J89" s="69" t="s">
        <v>1</v>
      </c>
      <c r="K89" s="69" t="s">
        <v>1</v>
      </c>
      <c r="L89" s="70" t="str">
        <f t="shared" si="0"/>
        <v>Institucionais</v>
      </c>
      <c r="M89" s="70" t="str">
        <f t="shared" si="18"/>
        <v>Serviços Públicos</v>
      </c>
      <c r="N89" s="70" t="str">
        <f t="shared" si="18"/>
        <v>Educacionais</v>
      </c>
      <c r="O89" s="70" t="str">
        <f t="shared" si="18"/>
        <v>Escola Estadual</v>
      </c>
      <c r="P89" s="70" t="s">
        <v>3614</v>
      </c>
      <c r="Q89" s="70" t="s">
        <v>172</v>
      </c>
      <c r="R89" s="67" t="s">
        <v>1</v>
      </c>
      <c r="S89" s="67" t="str">
        <f t="shared" si="6"/>
        <v>Institucionais</v>
      </c>
      <c r="T89" s="67" t="str">
        <f t="shared" si="6"/>
        <v>Serviços Públicos</v>
      </c>
      <c r="U89" s="67" t="str">
        <f t="shared" si="6"/>
        <v>Educacionais</v>
      </c>
      <c r="V89" s="67" t="s">
        <v>3793</v>
      </c>
      <c r="W89" s="68" t="str">
        <f t="shared" si="17"/>
        <v>Key-BRASIL-89</v>
      </c>
      <c r="X89" s="67" t="s">
        <v>3664</v>
      </c>
      <c r="Y89" s="67" t="s">
        <v>3683</v>
      </c>
      <c r="Z89" s="71" t="s">
        <v>1</v>
      </c>
      <c r="AA89" s="67" t="str">
        <f t="shared" si="16"/>
        <v>State School.</v>
      </c>
    </row>
    <row r="90" spans="1:27" customFormat="1" ht="6.65" customHeight="1" x14ac:dyDescent="0.4">
      <c r="A90" s="63">
        <v>90</v>
      </c>
      <c r="B90" s="64" t="s">
        <v>3794</v>
      </c>
      <c r="C90" s="28" t="s">
        <v>3822</v>
      </c>
      <c r="D90" s="28" t="s">
        <v>3823</v>
      </c>
      <c r="E90" s="28" t="s">
        <v>3533</v>
      </c>
      <c r="F90" s="28" t="s">
        <v>173</v>
      </c>
      <c r="G90" s="69" t="s">
        <v>1</v>
      </c>
      <c r="H90" s="69" t="s">
        <v>1</v>
      </c>
      <c r="I90" s="69" t="s">
        <v>1</v>
      </c>
      <c r="J90" s="69" t="s">
        <v>1</v>
      </c>
      <c r="K90" s="69" t="s">
        <v>1</v>
      </c>
      <c r="L90" s="70" t="str">
        <f t="shared" si="0"/>
        <v>Institucionais</v>
      </c>
      <c r="M90" s="70" t="str">
        <f t="shared" ref="M90:O100" si="19">_xlfn.CONCAT(SUBSTITUTE(D90,"."," "))</f>
        <v>Serviços Públicos</v>
      </c>
      <c r="N90" s="70" t="str">
        <f t="shared" si="19"/>
        <v>Educacionais</v>
      </c>
      <c r="O90" s="70" t="str">
        <f t="shared" si="19"/>
        <v>Escola Municipal</v>
      </c>
      <c r="P90" s="70" t="s">
        <v>3613</v>
      </c>
      <c r="Q90" s="70" t="s">
        <v>174</v>
      </c>
      <c r="R90" s="67" t="s">
        <v>1</v>
      </c>
      <c r="S90" s="67" t="str">
        <f t="shared" si="6"/>
        <v>Institucionais</v>
      </c>
      <c r="T90" s="67" t="str">
        <f t="shared" si="6"/>
        <v>Serviços Públicos</v>
      </c>
      <c r="U90" s="67" t="str">
        <f t="shared" si="6"/>
        <v>Educacionais</v>
      </c>
      <c r="V90" s="67" t="s">
        <v>3793</v>
      </c>
      <c r="W90" s="68" t="str">
        <f t="shared" si="17"/>
        <v>Key-BRASIL-90</v>
      </c>
      <c r="X90" s="67" t="s">
        <v>3664</v>
      </c>
      <c r="Y90" s="67" t="s">
        <v>3683</v>
      </c>
      <c r="Z90" s="71" t="s">
        <v>1</v>
      </c>
      <c r="AA90" s="67" t="str">
        <f t="shared" si="16"/>
        <v>Municipal School.</v>
      </c>
    </row>
    <row r="91" spans="1:27" customFormat="1" ht="6.65" customHeight="1" x14ac:dyDescent="0.4">
      <c r="A91" s="63">
        <v>91</v>
      </c>
      <c r="B91" s="64" t="s">
        <v>3794</v>
      </c>
      <c r="C91" s="28" t="s">
        <v>3822</v>
      </c>
      <c r="D91" s="28" t="s">
        <v>3823</v>
      </c>
      <c r="E91" s="28" t="s">
        <v>3533</v>
      </c>
      <c r="F91" s="28" t="s">
        <v>3631</v>
      </c>
      <c r="G91" s="69" t="s">
        <v>1</v>
      </c>
      <c r="H91" s="69" t="s">
        <v>1</v>
      </c>
      <c r="I91" s="69" t="s">
        <v>1</v>
      </c>
      <c r="J91" s="69" t="s">
        <v>1</v>
      </c>
      <c r="K91" s="69" t="s">
        <v>1</v>
      </c>
      <c r="L91" s="70" t="str">
        <f t="shared" si="0"/>
        <v>Institucionais</v>
      </c>
      <c r="M91" s="70" t="str">
        <f t="shared" si="19"/>
        <v>Serviços Públicos</v>
      </c>
      <c r="N91" s="70" t="str">
        <f t="shared" si="19"/>
        <v>Educacionais</v>
      </c>
      <c r="O91" s="70" t="str">
        <f t="shared" si="19"/>
        <v>Colégio de Aplicação</v>
      </c>
      <c r="P91" s="70" t="s">
        <v>3630</v>
      </c>
      <c r="Q91" s="70" t="s">
        <v>3632</v>
      </c>
      <c r="R91" s="67" t="s">
        <v>1</v>
      </c>
      <c r="S91" s="67" t="str">
        <f t="shared" si="6"/>
        <v>Institucionais</v>
      </c>
      <c r="T91" s="67" t="str">
        <f t="shared" si="6"/>
        <v>Serviços Públicos</v>
      </c>
      <c r="U91" s="67" t="str">
        <f t="shared" si="6"/>
        <v>Educacionais</v>
      </c>
      <c r="V91" s="67" t="s">
        <v>3793</v>
      </c>
      <c r="W91" s="68" t="str">
        <f t="shared" si="17"/>
        <v>Key-BRASIL-91</v>
      </c>
      <c r="X91" s="67" t="s">
        <v>3664</v>
      </c>
      <c r="Y91" s="67" t="s">
        <v>3683</v>
      </c>
      <c r="Z91" s="71" t="s">
        <v>1</v>
      </c>
      <c r="AA91" s="67" t="str">
        <f t="shared" si="16"/>
        <v>The application colleges are educational institutions linked to universities, with the mission of integrating theory and practice in the training of students and teachers.</v>
      </c>
    </row>
    <row r="92" spans="1:27" customFormat="1" ht="6.65" customHeight="1" x14ac:dyDescent="0.4">
      <c r="A92" s="63">
        <v>92</v>
      </c>
      <c r="B92" s="64" t="s">
        <v>3794</v>
      </c>
      <c r="C92" s="28" t="s">
        <v>3822</v>
      </c>
      <c r="D92" s="28" t="s">
        <v>3823</v>
      </c>
      <c r="E92" s="28" t="s">
        <v>3533</v>
      </c>
      <c r="F92" s="28" t="s">
        <v>3633</v>
      </c>
      <c r="G92" s="69" t="s">
        <v>1</v>
      </c>
      <c r="H92" s="69" t="s">
        <v>1</v>
      </c>
      <c r="I92" s="69" t="s">
        <v>1</v>
      </c>
      <c r="J92" s="69" t="s">
        <v>1</v>
      </c>
      <c r="K92" s="69" t="s">
        <v>1</v>
      </c>
      <c r="L92" s="70" t="str">
        <f t="shared" si="0"/>
        <v>Institucionais</v>
      </c>
      <c r="M92" s="70" t="str">
        <f t="shared" si="19"/>
        <v>Serviços Públicos</v>
      </c>
      <c r="N92" s="70" t="str">
        <f t="shared" si="19"/>
        <v>Educacionais</v>
      </c>
      <c r="O92" s="70" t="str">
        <f t="shared" si="19"/>
        <v>Instituiçao de Ensino Militar</v>
      </c>
      <c r="P92" s="70" t="s">
        <v>3634</v>
      </c>
      <c r="Q92" s="70" t="s">
        <v>3635</v>
      </c>
      <c r="R92" s="67" t="s">
        <v>1</v>
      </c>
      <c r="S92" s="67" t="str">
        <f t="shared" si="6"/>
        <v>Institucionais</v>
      </c>
      <c r="T92" s="67" t="str">
        <f t="shared" si="6"/>
        <v>Serviços Públicos</v>
      </c>
      <c r="U92" s="67" t="str">
        <f t="shared" si="6"/>
        <v>Educacionais</v>
      </c>
      <c r="V92" s="67" t="s">
        <v>3793</v>
      </c>
      <c r="W92" s="68" t="str">
        <f t="shared" si="17"/>
        <v>Key-BRASIL-92</v>
      </c>
      <c r="X92" s="67" t="s">
        <v>3664</v>
      </c>
      <c r="Y92" s="67" t="s">
        <v>3677</v>
      </c>
      <c r="Z92" s="71" t="s">
        <v>1</v>
      </c>
      <c r="AA92" s="67" t="str">
        <f t="shared" si="16"/>
        <v>Military education institutions include military elementary and secondary education colleges as well as the vocational schools of the Armed Forces.</v>
      </c>
    </row>
    <row r="93" spans="1:27" customFormat="1" ht="6.65" customHeight="1" x14ac:dyDescent="0.4">
      <c r="A93" s="63">
        <v>93</v>
      </c>
      <c r="B93" s="64" t="s">
        <v>3794</v>
      </c>
      <c r="C93" s="28" t="s">
        <v>3822</v>
      </c>
      <c r="D93" s="28" t="s">
        <v>3823</v>
      </c>
      <c r="E93" s="28" t="s">
        <v>175</v>
      </c>
      <c r="F93" s="28" t="s">
        <v>176</v>
      </c>
      <c r="G93" s="69" t="s">
        <v>1</v>
      </c>
      <c r="H93" s="69" t="s">
        <v>1</v>
      </c>
      <c r="I93" s="69" t="s">
        <v>1</v>
      </c>
      <c r="J93" s="69" t="s">
        <v>1</v>
      </c>
      <c r="K93" s="69" t="s">
        <v>1</v>
      </c>
      <c r="L93" s="70" t="str">
        <f t="shared" ref="L93:L94" si="20">_xlfn.CONCAT(SUBSTITUTE(C93,"1.",""))</f>
        <v>Institucionais</v>
      </c>
      <c r="M93" s="70" t="str">
        <f t="shared" ref="M93:M94" si="21">_xlfn.CONCAT(SUBSTITUTE(D93,"."," "))</f>
        <v>Serviços Públicos</v>
      </c>
      <c r="N93" s="70" t="str">
        <f t="shared" ref="N93:N94" si="22">_xlfn.CONCAT(SUBSTITUTE(E93,"."," "))</f>
        <v>INMET</v>
      </c>
      <c r="O93" s="70" t="str">
        <f t="shared" ref="O93:O94" si="23">_xlfn.CONCAT(SUBSTITUTE(F93,"."," "))</f>
        <v>Estação Meteorológica</v>
      </c>
      <c r="P93" s="70" t="s">
        <v>177</v>
      </c>
      <c r="Q93" s="70" t="s">
        <v>178</v>
      </c>
      <c r="R93" s="67" t="s">
        <v>1</v>
      </c>
      <c r="S93" s="67" t="str">
        <f t="shared" ref="S93:S94" si="24">SUBSTITUTE(C93, ".", " ")</f>
        <v>Institucionais</v>
      </c>
      <c r="T93" s="67" t="str">
        <f t="shared" ref="T93:T94" si="25">SUBSTITUTE(D93, ".", " ")</f>
        <v>Serviços Públicos</v>
      </c>
      <c r="U93" s="67" t="str">
        <f t="shared" ref="U93:U94" si="26">SUBSTITUTE(E93, ".", " ")</f>
        <v>INMET</v>
      </c>
      <c r="V93" s="67" t="s">
        <v>3793</v>
      </c>
      <c r="W93" s="68" t="str">
        <f t="shared" ref="W93:W94" si="27">CONCATENATE("Key-BRASIL-",A93)</f>
        <v>Key-BRASIL-93</v>
      </c>
      <c r="X93" s="67" t="s">
        <v>3665</v>
      </c>
      <c r="Y93" s="67" t="s">
        <v>3677</v>
      </c>
      <c r="Z93" s="71" t="s">
        <v>1</v>
      </c>
      <c r="AA93" s="67" t="str">
        <f t="shared" ref="AA93:AA94" si="28">_xlfn.TRANSLATE(P93,"pt","en")</f>
        <v>Meteorological station managed by the National Institute of Meteorology (INMET) dependent on the Ministry of Agriculture and Livestock.</v>
      </c>
    </row>
    <row r="94" spans="1:27" customFormat="1" ht="6.65" customHeight="1" x14ac:dyDescent="0.4">
      <c r="A94" s="63">
        <v>94</v>
      </c>
      <c r="B94" s="64" t="s">
        <v>3794</v>
      </c>
      <c r="C94" s="28" t="s">
        <v>3822</v>
      </c>
      <c r="D94" s="28" t="s">
        <v>3823</v>
      </c>
      <c r="E94" s="28" t="s">
        <v>175</v>
      </c>
      <c r="F94" s="34" t="s">
        <v>3789</v>
      </c>
      <c r="G94" s="69" t="s">
        <v>1</v>
      </c>
      <c r="H94" s="69" t="s">
        <v>1</v>
      </c>
      <c r="I94" s="69" t="s">
        <v>1</v>
      </c>
      <c r="J94" s="69" t="s">
        <v>1</v>
      </c>
      <c r="K94" s="69" t="s">
        <v>1</v>
      </c>
      <c r="L94" s="70" t="str">
        <f t="shared" si="20"/>
        <v>Institucionais</v>
      </c>
      <c r="M94" s="70" t="str">
        <f t="shared" si="21"/>
        <v>Serviços Públicos</v>
      </c>
      <c r="N94" s="70" t="str">
        <f t="shared" si="22"/>
        <v>INMET</v>
      </c>
      <c r="O94" s="70" t="str">
        <f t="shared" si="23"/>
        <v>Estação Meteorológica Automática</v>
      </c>
      <c r="P94" s="70" t="s">
        <v>3824</v>
      </c>
      <c r="Q94" s="70" t="s">
        <v>178</v>
      </c>
      <c r="R94" s="67" t="s">
        <v>1</v>
      </c>
      <c r="S94" s="67" t="str">
        <f t="shared" si="24"/>
        <v>Institucionais</v>
      </c>
      <c r="T94" s="67" t="str">
        <f t="shared" si="25"/>
        <v>Serviços Públicos</v>
      </c>
      <c r="U94" s="67" t="str">
        <f t="shared" si="26"/>
        <v>INMET</v>
      </c>
      <c r="V94" s="67" t="s">
        <v>3793</v>
      </c>
      <c r="W94" s="68" t="str">
        <f t="shared" si="27"/>
        <v>Key-BRASIL-94</v>
      </c>
      <c r="X94" s="67" t="s">
        <v>3665</v>
      </c>
      <c r="Y94" s="67" t="s">
        <v>3677</v>
      </c>
      <c r="Z94" s="71" t="s">
        <v>1</v>
      </c>
      <c r="AA94" s="67" t="str">
        <f t="shared" si="28"/>
        <v>Automatic meteorological station managed by the National Institute of Meteorology (INMET) dependent on the Ministry of Agriculture and Livestock.</v>
      </c>
    </row>
    <row r="95" spans="1:27" customFormat="1" ht="6.65" customHeight="1" x14ac:dyDescent="0.4">
      <c r="A95" s="63">
        <v>95</v>
      </c>
      <c r="B95" s="64" t="s">
        <v>3794</v>
      </c>
      <c r="C95" s="28" t="s">
        <v>3822</v>
      </c>
      <c r="D95" s="28" t="s">
        <v>3823</v>
      </c>
      <c r="E95" s="28" t="s">
        <v>175</v>
      </c>
      <c r="F95" s="34" t="s">
        <v>3790</v>
      </c>
      <c r="G95" s="69" t="s">
        <v>1</v>
      </c>
      <c r="H95" s="69" t="s">
        <v>1</v>
      </c>
      <c r="I95" s="69" t="s">
        <v>1</v>
      </c>
      <c r="J95" s="69" t="s">
        <v>1</v>
      </c>
      <c r="K95" s="69" t="s">
        <v>1</v>
      </c>
      <c r="L95" s="70" t="str">
        <f t="shared" si="0"/>
        <v>Institucionais</v>
      </c>
      <c r="M95" s="70" t="str">
        <f t="shared" si="19"/>
        <v>Serviços Públicos</v>
      </c>
      <c r="N95" s="70" t="str">
        <f t="shared" si="19"/>
        <v>INMET</v>
      </c>
      <c r="O95" s="70" t="str">
        <f t="shared" si="19"/>
        <v>Estação Meteorológica Convencional</v>
      </c>
      <c r="P95" s="70" t="s">
        <v>3825</v>
      </c>
      <c r="Q95" s="70" t="s">
        <v>178</v>
      </c>
      <c r="R95" s="67" t="s">
        <v>1</v>
      </c>
      <c r="S95" s="67" t="str">
        <f t="shared" si="6"/>
        <v>Institucionais</v>
      </c>
      <c r="T95" s="67" t="str">
        <f t="shared" si="6"/>
        <v>Serviços Públicos</v>
      </c>
      <c r="U95" s="67" t="str">
        <f t="shared" si="6"/>
        <v>INMET</v>
      </c>
      <c r="V95" s="67" t="s">
        <v>3793</v>
      </c>
      <c r="W95" s="68" t="str">
        <f t="shared" si="17"/>
        <v>Key-BRASIL-95</v>
      </c>
      <c r="X95" s="67" t="s">
        <v>3665</v>
      </c>
      <c r="Y95" s="67" t="s">
        <v>3677</v>
      </c>
      <c r="Z95" s="71" t="s">
        <v>1</v>
      </c>
      <c r="AA95" s="67" t="str">
        <f t="shared" si="16"/>
        <v>Conventional meteorological station managed by the National Institute of Meteorology (INMET) dependent on the Ministry of Agriculture and Livestock.</v>
      </c>
    </row>
    <row r="96" spans="1:27" customFormat="1" ht="6.65" customHeight="1" x14ac:dyDescent="0.4">
      <c r="A96" s="63">
        <v>96</v>
      </c>
      <c r="B96" s="64" t="s">
        <v>3794</v>
      </c>
      <c r="C96" s="28" t="s">
        <v>3822</v>
      </c>
      <c r="D96" s="28" t="s">
        <v>3823</v>
      </c>
      <c r="E96" s="28" t="s">
        <v>179</v>
      </c>
      <c r="F96" s="28" t="s">
        <v>180</v>
      </c>
      <c r="G96" s="69" t="s">
        <v>1</v>
      </c>
      <c r="H96" s="69" t="s">
        <v>1</v>
      </c>
      <c r="I96" s="69" t="s">
        <v>1</v>
      </c>
      <c r="J96" s="69" t="s">
        <v>1</v>
      </c>
      <c r="K96" s="69" t="s">
        <v>1</v>
      </c>
      <c r="L96" s="70" t="str">
        <f t="shared" si="0"/>
        <v>Institucionais</v>
      </c>
      <c r="M96" s="70" t="str">
        <f t="shared" si="19"/>
        <v>Serviços Públicos</v>
      </c>
      <c r="N96" s="70" t="str">
        <f t="shared" si="19"/>
        <v>IBGE</v>
      </c>
      <c r="O96" s="70" t="str">
        <f t="shared" si="19"/>
        <v>Area Densa</v>
      </c>
      <c r="P96" s="70" t="s">
        <v>181</v>
      </c>
      <c r="Q96" s="70" t="s">
        <v>182</v>
      </c>
      <c r="R96" s="67" t="s">
        <v>1</v>
      </c>
      <c r="S96" s="67" t="str">
        <f t="shared" si="6"/>
        <v>Institucionais</v>
      </c>
      <c r="T96" s="67" t="str">
        <f t="shared" si="6"/>
        <v>Serviços Públicos</v>
      </c>
      <c r="U96" s="67" t="str">
        <f t="shared" si="6"/>
        <v>IBGE</v>
      </c>
      <c r="V96" s="67" t="s">
        <v>3793</v>
      </c>
      <c r="W96" s="68" t="str">
        <f t="shared" si="17"/>
        <v>Key-BRASIL-96</v>
      </c>
      <c r="X96" s="67" t="s">
        <v>3666</v>
      </c>
      <c r="Y96" s="67" t="s">
        <v>3684</v>
      </c>
      <c r="Z96" s="71" t="s">
        <v>1</v>
      </c>
      <c r="AA96" s="67" t="str">
        <f t="shared" si="16"/>
        <v>IBGE Index - Number of inhabitants per square kilometer measured by the Brazilian Institute of Geography and Statistics.</v>
      </c>
    </row>
    <row r="97" spans="1:27" customFormat="1" ht="6.65" customHeight="1" x14ac:dyDescent="0.4">
      <c r="A97" s="63">
        <v>97</v>
      </c>
      <c r="B97" s="64" t="s">
        <v>3794</v>
      </c>
      <c r="C97" s="28" t="s">
        <v>3822</v>
      </c>
      <c r="D97" s="28" t="s">
        <v>3823</v>
      </c>
      <c r="E97" s="28" t="s">
        <v>179</v>
      </c>
      <c r="F97" s="28" t="s">
        <v>183</v>
      </c>
      <c r="G97" s="69" t="s">
        <v>1</v>
      </c>
      <c r="H97" s="69" t="s">
        <v>1</v>
      </c>
      <c r="I97" s="69" t="s">
        <v>1</v>
      </c>
      <c r="J97" s="69" t="s">
        <v>1</v>
      </c>
      <c r="K97" s="69" t="s">
        <v>1</v>
      </c>
      <c r="L97" s="70" t="str">
        <f t="shared" si="0"/>
        <v>Institucionais</v>
      </c>
      <c r="M97" s="70" t="str">
        <f t="shared" si="19"/>
        <v>Serviços Públicos</v>
      </c>
      <c r="N97" s="70" t="str">
        <f t="shared" si="19"/>
        <v>IBGE</v>
      </c>
      <c r="O97" s="70" t="str">
        <f>_xlfn.CONCAT(SUBSTITUTE(F97,"."," "))</f>
        <v>Area Pouco Densa</v>
      </c>
      <c r="P97" s="70" t="s">
        <v>181</v>
      </c>
      <c r="Q97" s="70" t="s">
        <v>182</v>
      </c>
      <c r="R97" s="67" t="s">
        <v>1</v>
      </c>
      <c r="S97" s="67" t="str">
        <f t="shared" si="6"/>
        <v>Institucionais</v>
      </c>
      <c r="T97" s="67" t="str">
        <f t="shared" si="6"/>
        <v>Serviços Públicos</v>
      </c>
      <c r="U97" s="67" t="str">
        <f t="shared" si="6"/>
        <v>IBGE</v>
      </c>
      <c r="V97" s="67" t="s">
        <v>3793</v>
      </c>
      <c r="W97" s="68" t="str">
        <f t="shared" si="17"/>
        <v>Key-BRASIL-97</v>
      </c>
      <c r="X97" s="67" t="s">
        <v>3666</v>
      </c>
      <c r="Y97" s="67" t="s">
        <v>3684</v>
      </c>
      <c r="Z97" s="71" t="s">
        <v>1</v>
      </c>
      <c r="AA97" s="67" t="str">
        <f t="shared" si="16"/>
        <v>IBGE Index - Number of inhabitants per square kilometer measured by the Brazilian Institute of Geography and Statistics.</v>
      </c>
    </row>
    <row r="98" spans="1:27" customFormat="1" ht="6.65" customHeight="1" x14ac:dyDescent="0.4">
      <c r="A98" s="63">
        <v>98</v>
      </c>
      <c r="B98" s="64" t="s">
        <v>3794</v>
      </c>
      <c r="C98" s="28" t="s">
        <v>3822</v>
      </c>
      <c r="D98" s="28" t="s">
        <v>3823</v>
      </c>
      <c r="E98" s="28" t="s">
        <v>179</v>
      </c>
      <c r="F98" s="28" t="s">
        <v>184</v>
      </c>
      <c r="G98" s="69" t="s">
        <v>1</v>
      </c>
      <c r="H98" s="69" t="s">
        <v>1</v>
      </c>
      <c r="I98" s="69" t="s">
        <v>1</v>
      </c>
      <c r="J98" s="69" t="s">
        <v>1</v>
      </c>
      <c r="K98" s="69" t="s">
        <v>1</v>
      </c>
      <c r="L98" s="70" t="str">
        <f t="shared" si="0"/>
        <v>Institucionais</v>
      </c>
      <c r="M98" s="70" t="str">
        <f t="shared" si="19"/>
        <v>Serviços Públicos</v>
      </c>
      <c r="N98" s="70" t="str">
        <f t="shared" si="19"/>
        <v>IBGE</v>
      </c>
      <c r="O98" s="70" t="str">
        <f t="shared" si="19"/>
        <v>IDU</v>
      </c>
      <c r="P98" s="70" t="s">
        <v>185</v>
      </c>
      <c r="Q98" s="70" t="s">
        <v>186</v>
      </c>
      <c r="R98" s="67" t="s">
        <v>1</v>
      </c>
      <c r="S98" s="67" t="str">
        <f t="shared" si="6"/>
        <v>Institucionais</v>
      </c>
      <c r="T98" s="67" t="str">
        <f t="shared" si="6"/>
        <v>Serviços Públicos</v>
      </c>
      <c r="U98" s="67" t="str">
        <f t="shared" si="6"/>
        <v>IBGE</v>
      </c>
      <c r="V98" s="67" t="s">
        <v>3793</v>
      </c>
      <c r="W98" s="68" t="str">
        <f t="shared" si="17"/>
        <v>Key-BRASIL-98</v>
      </c>
      <c r="X98" s="67" t="s">
        <v>3666</v>
      </c>
      <c r="Y98" s="67" t="s">
        <v>3684</v>
      </c>
      <c r="Z98" s="71" t="s">
        <v>1</v>
      </c>
      <c r="AA98" s="67" t="str">
        <f t="shared" si="16"/>
        <v>IBGE Index - IDU (Urban Development Index) evaluates the quality of life and access to urban services measured by the Brazilian Institute of Geography and Statistics.</v>
      </c>
    </row>
    <row r="99" spans="1:27" customFormat="1" ht="6.65" customHeight="1" x14ac:dyDescent="0.4">
      <c r="A99" s="63">
        <v>99</v>
      </c>
      <c r="B99" s="64" t="s">
        <v>3794</v>
      </c>
      <c r="C99" s="28" t="s">
        <v>3822</v>
      </c>
      <c r="D99" s="28" t="s">
        <v>3823</v>
      </c>
      <c r="E99" s="28" t="s">
        <v>179</v>
      </c>
      <c r="F99" s="28" t="s">
        <v>187</v>
      </c>
      <c r="G99" s="69" t="s">
        <v>1</v>
      </c>
      <c r="H99" s="69" t="s">
        <v>1</v>
      </c>
      <c r="I99" s="69" t="s">
        <v>1</v>
      </c>
      <c r="J99" s="69" t="s">
        <v>1</v>
      </c>
      <c r="K99" s="69" t="s">
        <v>1</v>
      </c>
      <c r="L99" s="70" t="str">
        <f t="shared" si="0"/>
        <v>Institucionais</v>
      </c>
      <c r="M99" s="70" t="str">
        <f t="shared" si="19"/>
        <v>Serviços Públicos</v>
      </c>
      <c r="N99" s="70" t="str">
        <f t="shared" si="19"/>
        <v>IBGE</v>
      </c>
      <c r="O99" s="70" t="str">
        <f t="shared" si="19"/>
        <v>Taxa Urbanização</v>
      </c>
      <c r="P99" s="70" t="s">
        <v>188</v>
      </c>
      <c r="Q99" s="70" t="s">
        <v>189</v>
      </c>
      <c r="R99" s="67" t="s">
        <v>1</v>
      </c>
      <c r="S99" s="67" t="str">
        <f t="shared" si="6"/>
        <v>Institucionais</v>
      </c>
      <c r="T99" s="67" t="str">
        <f t="shared" si="6"/>
        <v>Serviços Públicos</v>
      </c>
      <c r="U99" s="67" t="str">
        <f t="shared" si="6"/>
        <v>IBGE</v>
      </c>
      <c r="V99" s="67" t="s">
        <v>3793</v>
      </c>
      <c r="W99" s="68" t="str">
        <f t="shared" si="17"/>
        <v>Key-BRASIL-99</v>
      </c>
      <c r="X99" s="67" t="s">
        <v>3666</v>
      </c>
      <c r="Y99" s="67" t="s">
        <v>3684</v>
      </c>
      <c r="Z99" s="71" t="s">
        <v>1</v>
      </c>
      <c r="AA99" s="67" t="str">
        <f t="shared" si="16"/>
        <v>IBGE Index - Proportion between urban and rural population measured by the Brazilian Institute of Geography and Statistics.</v>
      </c>
    </row>
    <row r="100" spans="1:27" customFormat="1" ht="6.65" customHeight="1" x14ac:dyDescent="0.4">
      <c r="A100" s="63">
        <v>100</v>
      </c>
      <c r="B100" s="64" t="s">
        <v>3794</v>
      </c>
      <c r="C100" s="28" t="s">
        <v>3822</v>
      </c>
      <c r="D100" s="28" t="s">
        <v>3823</v>
      </c>
      <c r="E100" s="28" t="s">
        <v>179</v>
      </c>
      <c r="F100" s="28" t="s">
        <v>190</v>
      </c>
      <c r="G100" s="69" t="s">
        <v>1</v>
      </c>
      <c r="H100" s="69" t="s">
        <v>1</v>
      </c>
      <c r="I100" s="69" t="s">
        <v>1</v>
      </c>
      <c r="J100" s="69" t="s">
        <v>1</v>
      </c>
      <c r="K100" s="69" t="s">
        <v>1</v>
      </c>
      <c r="L100" s="70" t="str">
        <f t="shared" si="0"/>
        <v>Institucionais</v>
      </c>
      <c r="M100" s="70" t="str">
        <f t="shared" si="19"/>
        <v>Serviços Públicos</v>
      </c>
      <c r="N100" s="70" t="str">
        <f t="shared" si="19"/>
        <v>IBGE</v>
      </c>
      <c r="O100" s="70" t="str">
        <f t="shared" si="19"/>
        <v>Expansão Urbana</v>
      </c>
      <c r="P100" s="70" t="s">
        <v>191</v>
      </c>
      <c r="Q100" s="70" t="s">
        <v>192</v>
      </c>
      <c r="R100" s="67" t="s">
        <v>1</v>
      </c>
      <c r="S100" s="67" t="str">
        <f t="shared" si="6"/>
        <v>Institucionais</v>
      </c>
      <c r="T100" s="67" t="str">
        <f t="shared" si="6"/>
        <v>Serviços Públicos</v>
      </c>
      <c r="U100" s="67" t="str">
        <f t="shared" si="6"/>
        <v>IBGE</v>
      </c>
      <c r="V100" s="67" t="s">
        <v>3793</v>
      </c>
      <c r="W100" s="68" t="str">
        <f t="shared" si="17"/>
        <v>Key-BRASIL-100</v>
      </c>
      <c r="X100" s="67" t="s">
        <v>3666</v>
      </c>
      <c r="Y100" s="67" t="s">
        <v>3684</v>
      </c>
      <c r="Z100" s="71" t="s">
        <v>1</v>
      </c>
      <c r="AA100" s="67" t="str">
        <f t="shared" si="16"/>
        <v>IBGE Index - Measure of physical growth of cities established by the Brazilian Institute of Geography and Statistics.</v>
      </c>
    </row>
  </sheetData>
  <phoneticPr fontId="1" type="noConversion"/>
  <conditionalFormatting sqref="F1 F101:F1048576 A1:D1 S1:W1 A101:D1048576 S101:W1048576 AA101:XFD1048576">
    <cfRule type="cellIs" dxfId="33" priority="404" operator="equal">
      <formula>"null"</formula>
    </cfRule>
  </conditionalFormatting>
  <conditionalFormatting sqref="F1">
    <cfRule type="duplicateValues" dxfId="32" priority="1442"/>
  </conditionalFormatting>
  <conditionalFormatting sqref="F2:F29 F41:F93 F96:F100 L1:Q6 AB1:XFD29 S2:U28 C2:D100 L7:O9 Q7:Q9 L10:Q29 S29:T29 U29:U40 O30:O40 S41:U100 AB41:XFD100 L41:Q1048576">
    <cfRule type="cellIs" dxfId="31" priority="11" operator="equal">
      <formula>"null"</formula>
    </cfRule>
  </conditionalFormatting>
  <conditionalFormatting sqref="F2:F29 F41:F93 F96:F100">
    <cfRule type="duplicateValues" dxfId="30" priority="12"/>
    <cfRule type="duplicateValues" dxfId="29" priority="13"/>
    <cfRule type="duplicateValues" dxfId="28" priority="19"/>
  </conditionalFormatting>
  <conditionalFormatting sqref="F2:F93 F96:F100">
    <cfRule type="duplicateValues" dxfId="27" priority="7"/>
    <cfRule type="duplicateValues" dxfId="26" priority="8"/>
  </conditionalFormatting>
  <conditionalFormatting sqref="F30:F31">
    <cfRule type="duplicateValues" dxfId="25" priority="9"/>
    <cfRule type="duplicateValues" dxfId="24" priority="10"/>
  </conditionalFormatting>
  <conditionalFormatting sqref="F30:F40">
    <cfRule type="duplicateValues" dxfId="23" priority="14"/>
  </conditionalFormatting>
  <conditionalFormatting sqref="F32:F40">
    <cfRule type="duplicateValues" dxfId="22" priority="15"/>
    <cfRule type="duplicateValues" dxfId="21" priority="16"/>
    <cfRule type="duplicateValues" dxfId="20" priority="17"/>
    <cfRule type="duplicateValues" dxfId="19" priority="18"/>
  </conditionalFormatting>
  <conditionalFormatting sqref="F96:F100 F2:F93">
    <cfRule type="duplicateValues" dxfId="18" priority="1"/>
  </conditionalFormatting>
  <conditionalFormatting sqref="F101:F1048576 F1">
    <cfRule type="duplicateValues" dxfId="17" priority="107"/>
    <cfRule type="duplicateValues" dxfId="16" priority="108"/>
    <cfRule type="duplicateValues" dxfId="15" priority="921"/>
    <cfRule type="duplicateValues" dxfId="14" priority="936"/>
    <cfRule type="duplicateValues" dxfId="13" priority="940"/>
  </conditionalFormatting>
  <conditionalFormatting sqref="F101:F1048576">
    <cfRule type="duplicateValues" dxfId="12" priority="924"/>
    <cfRule type="duplicateValues" dxfId="11" priority="928"/>
    <cfRule type="duplicateValues" dxfId="10" priority="932"/>
  </conditionalFormatting>
  <conditionalFormatting sqref="AA1:AA100 A2:B100 V2:V100">
    <cfRule type="cellIs" dxfId="9" priority="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5234375" defaultRowHeight="6" customHeight="1" x14ac:dyDescent="0.4"/>
  <cols>
    <col min="1" max="1" width="2.69140625" bestFit="1" customWidth="1"/>
    <col min="2" max="2" width="6.69140625" bestFit="1" customWidth="1"/>
    <col min="3" max="3" width="7.84375" bestFit="1" customWidth="1"/>
    <col min="4" max="4" width="11" bestFit="1" customWidth="1"/>
  </cols>
  <sheetData>
    <row r="1" spans="1:4" ht="12.65" customHeight="1" x14ac:dyDescent="0.4">
      <c r="A1" s="20">
        <v>1</v>
      </c>
      <c r="B1" s="21" t="s">
        <v>76</v>
      </c>
      <c r="C1" s="21" t="s">
        <v>77</v>
      </c>
      <c r="D1" s="21" t="s">
        <v>77</v>
      </c>
    </row>
    <row r="2" spans="1:4" s="33" customFormat="1" ht="6" customHeight="1" x14ac:dyDescent="0.2">
      <c r="A2" s="13">
        <v>3</v>
      </c>
      <c r="B2" s="48" t="s">
        <v>85</v>
      </c>
      <c r="C2" s="49" t="s">
        <v>86</v>
      </c>
      <c r="D2" s="49" t="s">
        <v>1</v>
      </c>
    </row>
    <row r="3" spans="1:4" s="33" customFormat="1" ht="6" customHeight="1" x14ac:dyDescent="0.2">
      <c r="A3" s="13">
        <v>4</v>
      </c>
      <c r="B3" s="48" t="s">
        <v>90</v>
      </c>
      <c r="C3" s="49" t="s">
        <v>91</v>
      </c>
      <c r="D3" s="49" t="s">
        <v>93</v>
      </c>
    </row>
    <row r="4" spans="1:4" s="33" customFormat="1" ht="6" customHeight="1" x14ac:dyDescent="0.2">
      <c r="A4" s="13">
        <v>5</v>
      </c>
      <c r="B4" s="48" t="s">
        <v>58</v>
      </c>
      <c r="C4" s="28" t="s">
        <v>96</v>
      </c>
      <c r="D4" s="28" t="s">
        <v>97</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5234375" defaultRowHeight="7.5" customHeight="1" x14ac:dyDescent="0.4"/>
  <cols>
    <col min="1" max="1" width="3.15234375" style="55" bestFit="1" customWidth="1"/>
    <col min="2" max="2" width="11.84375" style="24" bestFit="1" customWidth="1"/>
    <col min="3" max="3" width="20.53515625" style="24" bestFit="1" customWidth="1"/>
    <col min="4" max="4" width="6.84375" style="24" bestFit="1" customWidth="1"/>
    <col min="5" max="5" width="8.69140625" style="24" bestFit="1" customWidth="1"/>
    <col min="6" max="6" width="8.84375" style="24" bestFit="1" customWidth="1"/>
    <col min="7" max="7" width="12.3828125" style="24" bestFit="1" customWidth="1"/>
    <col min="8" max="8" width="9.3046875" style="24" bestFit="1" customWidth="1"/>
    <col min="9" max="9" width="11.84375" style="24" bestFit="1" customWidth="1"/>
    <col min="10" max="10" width="9.3046875" style="24" bestFit="1" customWidth="1"/>
    <col min="11" max="11" width="11.84375" style="24" bestFit="1" customWidth="1"/>
    <col min="12" max="12" width="4.3046875" style="24" bestFit="1" customWidth="1"/>
    <col min="13" max="13" width="3.84375" style="24" bestFit="1" customWidth="1"/>
    <col min="14" max="14" width="6" style="24" bestFit="1" customWidth="1"/>
    <col min="15" max="15" width="55.3828125" style="24" bestFit="1" customWidth="1"/>
    <col min="16" max="16" width="5.3046875" style="24" bestFit="1" customWidth="1"/>
    <col min="17" max="17" width="6.84375" style="24" bestFit="1" customWidth="1"/>
    <col min="18" max="18" width="9.3828125" style="24" bestFit="1" customWidth="1"/>
    <col min="19" max="19" width="23.84375" style="24" bestFit="1" customWidth="1"/>
    <col min="20" max="20" width="12.69140625" style="24" bestFit="1" customWidth="1"/>
    <col min="21" max="21" width="5.69140625" style="24" bestFit="1" customWidth="1"/>
    <col min="22" max="22" width="4.53515625" style="24" bestFit="1" customWidth="1"/>
    <col min="23" max="23" width="28.69140625" style="24" bestFit="1" customWidth="1"/>
    <col min="24" max="24" width="4.84375" style="24" bestFit="1" customWidth="1"/>
    <col min="25" max="25" width="9.3046875" style="47" bestFit="1" customWidth="1"/>
    <col min="26" max="26" width="5.84375" style="24" bestFit="1" customWidth="1"/>
    <col min="27" max="27" width="9.3046875" style="47" bestFit="1" customWidth="1"/>
    <col min="28" max="28" width="4.84375" style="24" bestFit="1" customWidth="1"/>
    <col min="29" max="29" width="5.3046875" style="47" bestFit="1" customWidth="1"/>
    <col min="30" max="30" width="4.3046875" style="24" bestFit="1" customWidth="1"/>
    <col min="31" max="31" width="3.84375" style="56" bestFit="1" customWidth="1"/>
    <col min="32" max="32" width="4.3046875" style="24" bestFit="1" customWidth="1"/>
    <col min="33" max="33" width="3.84375" style="56" bestFit="1" customWidth="1"/>
    <col min="34" max="34" width="4.3046875" style="24" bestFit="1" customWidth="1"/>
    <col min="35" max="35" width="3.84375" style="56" bestFit="1" customWidth="1"/>
    <col min="36" max="36" width="4.3046875" style="24" bestFit="1" customWidth="1"/>
    <col min="37" max="37" width="3.84375" style="56" bestFit="1" customWidth="1"/>
    <col min="38" max="38" width="4.3046875" style="24" bestFit="1" customWidth="1"/>
    <col min="39" max="39" width="3.84375" style="24" bestFit="1" customWidth="1"/>
    <col min="40" max="40" width="4.3046875" style="24" bestFit="1" customWidth="1"/>
    <col min="41" max="41" width="3.84375" style="24" bestFit="1" customWidth="1"/>
    <col min="42" max="42" width="4.3046875" style="24" bestFit="1" customWidth="1"/>
    <col min="43" max="43" width="3.84375" style="56" bestFit="1" customWidth="1"/>
    <col min="44" max="44" width="4.3046875" style="24" bestFit="1" customWidth="1"/>
    <col min="45" max="45" width="3.84375" style="47" bestFit="1" customWidth="1"/>
    <col min="46" max="46" width="4.3046875" style="24" bestFit="1" customWidth="1"/>
    <col min="47" max="47" width="3.84375" style="47" bestFit="1" customWidth="1"/>
    <col min="48" max="48" width="8.3828125" style="24" bestFit="1" customWidth="1"/>
    <col min="49" max="49" width="17.3046875" style="47" bestFit="1" customWidth="1"/>
    <col min="50" max="50" width="5.69140625" style="24" bestFit="1" customWidth="1"/>
    <col min="51" max="51" width="12.69140625" style="47" bestFit="1" customWidth="1"/>
    <col min="52" max="52" width="7.3046875" style="24" bestFit="1" customWidth="1"/>
    <col min="53" max="53" width="15.69140625" style="47" bestFit="1" customWidth="1"/>
    <col min="54" max="54" width="4.3046875" style="24" bestFit="1" customWidth="1"/>
    <col min="55" max="55" width="5.84375" style="47" bestFit="1" customWidth="1"/>
    <col min="56" max="56" width="5.3046875" style="24" bestFit="1" customWidth="1"/>
    <col min="57" max="57" width="15.53515625" style="47" bestFit="1" customWidth="1"/>
    <col min="58" max="16384" width="9.15234375" style="24"/>
  </cols>
  <sheetData>
    <row r="1" spans="1:57" ht="24.75" customHeight="1" x14ac:dyDescent="0.4">
      <c r="A1" s="26" t="s">
        <v>74</v>
      </c>
      <c r="B1" s="18" t="s">
        <v>34</v>
      </c>
      <c r="C1" s="18" t="s">
        <v>3692</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4">
      <c r="A2" s="35">
        <v>2</v>
      </c>
      <c r="B2" s="59" t="s">
        <v>3785</v>
      </c>
      <c r="C2" s="34" t="s">
        <v>81</v>
      </c>
      <c r="D2" s="17" t="s">
        <v>1</v>
      </c>
      <c r="E2" s="19" t="s">
        <v>1</v>
      </c>
      <c r="F2" s="17" t="s">
        <v>1</v>
      </c>
      <c r="G2" s="19" t="s">
        <v>1</v>
      </c>
      <c r="H2" s="17" t="s">
        <v>1</v>
      </c>
      <c r="I2" s="19" t="s">
        <v>1</v>
      </c>
      <c r="J2" s="17" t="s">
        <v>1</v>
      </c>
      <c r="K2" s="19" t="s">
        <v>1</v>
      </c>
      <c r="L2" s="17" t="s">
        <v>1</v>
      </c>
      <c r="M2" s="19" t="s">
        <v>1</v>
      </c>
      <c r="N2" s="36" t="s">
        <v>78</v>
      </c>
      <c r="O2" s="27" t="s">
        <v>3786</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3689</v>
      </c>
      <c r="AX2" s="29" t="s">
        <v>3486</v>
      </c>
      <c r="AY2" s="37" t="s">
        <v>3689</v>
      </c>
      <c r="AZ2" s="29" t="s">
        <v>3700</v>
      </c>
      <c r="BA2" s="37" t="s">
        <v>3689</v>
      </c>
      <c r="BB2" s="29" t="s">
        <v>3686</v>
      </c>
      <c r="BC2" s="37" t="s">
        <v>3688</v>
      </c>
      <c r="BD2" s="29" t="s">
        <v>3687</v>
      </c>
      <c r="BE2" s="37" t="str">
        <f t="shared" ref="BE2" si="0">_xlfn.CONCAT("""",C2,"""")</f>
        <v>"Continente"</v>
      </c>
    </row>
    <row r="3" spans="1:57" ht="7.5" customHeight="1" x14ac:dyDescent="0.4">
      <c r="A3" s="35">
        <v>3</v>
      </c>
      <c r="B3" s="59" t="s">
        <v>193</v>
      </c>
      <c r="C3" s="34" t="s">
        <v>82</v>
      </c>
      <c r="D3" s="17" t="s">
        <v>194</v>
      </c>
      <c r="E3" s="19" t="s">
        <v>3785</v>
      </c>
      <c r="F3" s="17" t="s">
        <v>3787</v>
      </c>
      <c r="G3" s="19" t="s">
        <v>3785</v>
      </c>
      <c r="H3" s="17" t="s">
        <v>1</v>
      </c>
      <c r="I3" s="19" t="s">
        <v>1</v>
      </c>
      <c r="J3" s="17" t="s">
        <v>1</v>
      </c>
      <c r="K3" s="19" t="s">
        <v>1</v>
      </c>
      <c r="L3" s="17" t="s">
        <v>1</v>
      </c>
      <c r="M3" s="19" t="s">
        <v>1</v>
      </c>
      <c r="N3" s="36" t="s">
        <v>78</v>
      </c>
      <c r="O3" s="27" t="s">
        <v>3788</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3689</v>
      </c>
      <c r="AX3" s="29" t="s">
        <v>3486</v>
      </c>
      <c r="AY3" s="37" t="s">
        <v>3689</v>
      </c>
      <c r="AZ3" s="29" t="s">
        <v>3700</v>
      </c>
      <c r="BA3" s="37" t="s">
        <v>3689</v>
      </c>
      <c r="BB3" s="29" t="s">
        <v>3686</v>
      </c>
      <c r="BC3" s="37" t="s">
        <v>3688</v>
      </c>
      <c r="BD3" s="29" t="s">
        <v>3687</v>
      </c>
      <c r="BE3" s="37" t="str">
        <f t="shared" ref="BE3" si="1">_xlfn.CONCAT("""",C3,"""")</f>
        <v>"SubContinente"</v>
      </c>
    </row>
    <row r="4" spans="1:57" ht="7.5" customHeight="1" x14ac:dyDescent="0.4">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3689</v>
      </c>
      <c r="AX4" s="29" t="s">
        <v>3486</v>
      </c>
      <c r="AY4" s="37" t="s">
        <v>3689</v>
      </c>
      <c r="AZ4" s="29" t="s">
        <v>3700</v>
      </c>
      <c r="BA4" s="37" t="s">
        <v>3689</v>
      </c>
      <c r="BB4" s="29" t="s">
        <v>3686</v>
      </c>
      <c r="BC4" s="37" t="s">
        <v>3688</v>
      </c>
      <c r="BD4" s="29" t="s">
        <v>3687</v>
      </c>
      <c r="BE4" s="37" t="str">
        <f t="shared" ref="BE4:BE120" si="2">_xlfn.CONCAT("""",C4,"""")</f>
        <v>"País"</v>
      </c>
    </row>
    <row r="5" spans="1:57" ht="7.5" customHeight="1" x14ac:dyDescent="0.4">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3704</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3689</v>
      </c>
      <c r="AX5" s="29" t="s">
        <v>3486</v>
      </c>
      <c r="AY5" s="37" t="s">
        <v>3689</v>
      </c>
      <c r="AZ5" s="29" t="s">
        <v>3700</v>
      </c>
      <c r="BA5" s="37" t="s">
        <v>3689</v>
      </c>
      <c r="BB5" s="29" t="s">
        <v>3686</v>
      </c>
      <c r="BC5" s="37" t="s">
        <v>3688</v>
      </c>
      <c r="BD5" s="29" t="s">
        <v>3687</v>
      </c>
      <c r="BE5" s="37" t="str">
        <f t="shared" si="2"/>
        <v>"Estado"</v>
      </c>
    </row>
    <row r="6" spans="1:57" ht="7.5" customHeight="1" x14ac:dyDescent="0.4">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3716</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3689</v>
      </c>
      <c r="AX6" s="29" t="s">
        <v>3486</v>
      </c>
      <c r="AY6" s="37" t="s">
        <v>3689</v>
      </c>
      <c r="AZ6" s="29" t="s">
        <v>3700</v>
      </c>
      <c r="BA6" s="37" t="s">
        <v>3689</v>
      </c>
      <c r="BB6" s="29" t="s">
        <v>3686</v>
      </c>
      <c r="BC6" s="37" t="s">
        <v>3688</v>
      </c>
      <c r="BD6" s="29" t="s">
        <v>3687</v>
      </c>
      <c r="BE6" s="37" t="str">
        <f t="shared" si="2"/>
        <v>"Estado"</v>
      </c>
    </row>
    <row r="7" spans="1:57" ht="7.5" customHeight="1" x14ac:dyDescent="0.4">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3708</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3689</v>
      </c>
      <c r="AX7" s="29" t="s">
        <v>3486</v>
      </c>
      <c r="AY7" s="37" t="s">
        <v>3689</v>
      </c>
      <c r="AZ7" s="29" t="s">
        <v>3700</v>
      </c>
      <c r="BA7" s="37" t="s">
        <v>3689</v>
      </c>
      <c r="BB7" s="29" t="s">
        <v>3686</v>
      </c>
      <c r="BC7" s="37" t="s">
        <v>3688</v>
      </c>
      <c r="BD7" s="29" t="s">
        <v>3687</v>
      </c>
      <c r="BE7" s="37" t="str">
        <f t="shared" si="2"/>
        <v>"Estado"</v>
      </c>
    </row>
    <row r="8" spans="1:57" ht="7.5" customHeight="1" x14ac:dyDescent="0.4">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3705</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3689</v>
      </c>
      <c r="AX8" s="29" t="s">
        <v>3486</v>
      </c>
      <c r="AY8" s="37" t="s">
        <v>3689</v>
      </c>
      <c r="AZ8" s="29" t="s">
        <v>3700</v>
      </c>
      <c r="BA8" s="37" t="s">
        <v>3689</v>
      </c>
      <c r="BB8" s="29" t="s">
        <v>3686</v>
      </c>
      <c r="BC8" s="37" t="s">
        <v>3688</v>
      </c>
      <c r="BD8" s="29" t="s">
        <v>3687</v>
      </c>
      <c r="BE8" s="37" t="str">
        <f t="shared" si="2"/>
        <v>"Estado"</v>
      </c>
    </row>
    <row r="9" spans="1:57" ht="7.5" customHeight="1" x14ac:dyDescent="0.4">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3718</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3689</v>
      </c>
      <c r="AX9" s="29" t="s">
        <v>3486</v>
      </c>
      <c r="AY9" s="37" t="s">
        <v>3689</v>
      </c>
      <c r="AZ9" s="29" t="s">
        <v>3700</v>
      </c>
      <c r="BA9" s="37" t="s">
        <v>3689</v>
      </c>
      <c r="BB9" s="29" t="s">
        <v>3686</v>
      </c>
      <c r="BC9" s="37" t="s">
        <v>3688</v>
      </c>
      <c r="BD9" s="29" t="s">
        <v>3687</v>
      </c>
      <c r="BE9" s="37" t="str">
        <f t="shared" si="2"/>
        <v>"Estado"</v>
      </c>
    </row>
    <row r="10" spans="1:57" ht="7.5" customHeight="1" x14ac:dyDescent="0.4">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3712</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3689</v>
      </c>
      <c r="AX10" s="29" t="s">
        <v>3486</v>
      </c>
      <c r="AY10" s="37" t="s">
        <v>3689</v>
      </c>
      <c r="AZ10" s="29" t="s">
        <v>3700</v>
      </c>
      <c r="BA10" s="37" t="s">
        <v>3689</v>
      </c>
      <c r="BB10" s="29" t="s">
        <v>3686</v>
      </c>
      <c r="BC10" s="37" t="s">
        <v>3688</v>
      </c>
      <c r="BD10" s="29" t="s">
        <v>3687</v>
      </c>
      <c r="BE10" s="37" t="str">
        <f t="shared" si="2"/>
        <v>"Estado"</v>
      </c>
    </row>
    <row r="11" spans="1:57" ht="7.5" customHeight="1" x14ac:dyDescent="0.4">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3756</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3689</v>
      </c>
      <c r="AX11" s="29" t="s">
        <v>3486</v>
      </c>
      <c r="AY11" s="37" t="s">
        <v>3689</v>
      </c>
      <c r="AZ11" s="29" t="s">
        <v>3700</v>
      </c>
      <c r="BA11" s="37" t="s">
        <v>3689</v>
      </c>
      <c r="BB11" s="29" t="s">
        <v>3686</v>
      </c>
      <c r="BC11" s="37" t="s">
        <v>3688</v>
      </c>
      <c r="BD11" s="29" t="s">
        <v>3687</v>
      </c>
      <c r="BE11" s="37" t="str">
        <f t="shared" si="2"/>
        <v>"Estado"</v>
      </c>
    </row>
    <row r="12" spans="1:57" ht="7.5" customHeight="1" x14ac:dyDescent="0.4">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3720</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3689</v>
      </c>
      <c r="AX12" s="29" t="s">
        <v>3486</v>
      </c>
      <c r="AY12" s="37" t="s">
        <v>3689</v>
      </c>
      <c r="AZ12" s="29" t="s">
        <v>3700</v>
      </c>
      <c r="BA12" s="37" t="s">
        <v>3689</v>
      </c>
      <c r="BB12" s="29" t="s">
        <v>3686</v>
      </c>
      <c r="BC12" s="37" t="s">
        <v>3688</v>
      </c>
      <c r="BD12" s="29" t="s">
        <v>3687</v>
      </c>
      <c r="BE12" s="37" t="str">
        <f t="shared" si="2"/>
        <v>"Estado"</v>
      </c>
    </row>
    <row r="13" spans="1:57" ht="7.5" customHeight="1" x14ac:dyDescent="0.4">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3728</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3689</v>
      </c>
      <c r="AX13" s="29" t="s">
        <v>3486</v>
      </c>
      <c r="AY13" s="37" t="s">
        <v>3689</v>
      </c>
      <c r="AZ13" s="29" t="s">
        <v>3700</v>
      </c>
      <c r="BA13" s="37" t="s">
        <v>3689</v>
      </c>
      <c r="BB13" s="29" t="s">
        <v>3686</v>
      </c>
      <c r="BC13" s="37" t="s">
        <v>3688</v>
      </c>
      <c r="BD13" s="29" t="s">
        <v>3687</v>
      </c>
      <c r="BE13" s="37" t="str">
        <f t="shared" si="2"/>
        <v>"Estado"</v>
      </c>
    </row>
    <row r="14" spans="1:57" ht="7.5" customHeight="1" x14ac:dyDescent="0.4">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3710</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3689</v>
      </c>
      <c r="AX14" s="29" t="s">
        <v>3486</v>
      </c>
      <c r="AY14" s="37" t="s">
        <v>3689</v>
      </c>
      <c r="AZ14" s="29" t="s">
        <v>3700</v>
      </c>
      <c r="BA14" s="37" t="s">
        <v>3689</v>
      </c>
      <c r="BB14" s="29" t="s">
        <v>3686</v>
      </c>
      <c r="BC14" s="37" t="s">
        <v>3688</v>
      </c>
      <c r="BD14" s="29" t="s">
        <v>3687</v>
      </c>
      <c r="BE14" s="37" t="str">
        <f t="shared" si="2"/>
        <v>"Estado"</v>
      </c>
    </row>
    <row r="15" spans="1:57" ht="7.5" customHeight="1" x14ac:dyDescent="0.4">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3727</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3689</v>
      </c>
      <c r="AX15" s="29" t="s">
        <v>3486</v>
      </c>
      <c r="AY15" s="37" t="s">
        <v>3689</v>
      </c>
      <c r="AZ15" s="29" t="s">
        <v>3700</v>
      </c>
      <c r="BA15" s="37" t="s">
        <v>3689</v>
      </c>
      <c r="BB15" s="29" t="s">
        <v>3686</v>
      </c>
      <c r="BC15" s="37" t="s">
        <v>3688</v>
      </c>
      <c r="BD15" s="29" t="s">
        <v>3687</v>
      </c>
      <c r="BE15" s="37" t="str">
        <f t="shared" si="2"/>
        <v>"Estado"</v>
      </c>
    </row>
    <row r="16" spans="1:57" ht="7.5" customHeight="1" x14ac:dyDescent="0.4">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3726</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3689</v>
      </c>
      <c r="AX16" s="29" t="s">
        <v>3486</v>
      </c>
      <c r="AY16" s="37" t="s">
        <v>3689</v>
      </c>
      <c r="AZ16" s="29" t="s">
        <v>3700</v>
      </c>
      <c r="BA16" s="37" t="s">
        <v>3689</v>
      </c>
      <c r="BB16" s="29" t="s">
        <v>3686</v>
      </c>
      <c r="BC16" s="37" t="s">
        <v>3688</v>
      </c>
      <c r="BD16" s="29" t="s">
        <v>3687</v>
      </c>
      <c r="BE16" s="37" t="str">
        <f t="shared" si="2"/>
        <v>"Estado"</v>
      </c>
    </row>
    <row r="17" spans="1:57" ht="7.5" customHeight="1" x14ac:dyDescent="0.4">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3719</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3689</v>
      </c>
      <c r="AX17" s="29" t="s">
        <v>3486</v>
      </c>
      <c r="AY17" s="37" t="s">
        <v>3689</v>
      </c>
      <c r="AZ17" s="29" t="s">
        <v>3700</v>
      </c>
      <c r="BA17" s="37" t="s">
        <v>3689</v>
      </c>
      <c r="BB17" s="29" t="s">
        <v>3686</v>
      </c>
      <c r="BC17" s="37" t="s">
        <v>3688</v>
      </c>
      <c r="BD17" s="29" t="s">
        <v>3687</v>
      </c>
      <c r="BE17" s="37" t="str">
        <f t="shared" si="2"/>
        <v>"Estado"</v>
      </c>
    </row>
    <row r="18" spans="1:57" ht="7.5" customHeight="1" x14ac:dyDescent="0.4">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3707</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3689</v>
      </c>
      <c r="AX18" s="29" t="s">
        <v>3486</v>
      </c>
      <c r="AY18" s="37" t="s">
        <v>3689</v>
      </c>
      <c r="AZ18" s="29" t="s">
        <v>3700</v>
      </c>
      <c r="BA18" s="37" t="s">
        <v>3689</v>
      </c>
      <c r="BB18" s="29" t="s">
        <v>3686</v>
      </c>
      <c r="BC18" s="37" t="s">
        <v>3688</v>
      </c>
      <c r="BD18" s="29" t="s">
        <v>3687</v>
      </c>
      <c r="BE18" s="37" t="str">
        <f t="shared" si="2"/>
        <v>"Estado"</v>
      </c>
    </row>
    <row r="19" spans="1:57" ht="7.5" customHeight="1" x14ac:dyDescent="0.4">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3714</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3689</v>
      </c>
      <c r="AX19" s="29" t="s">
        <v>3486</v>
      </c>
      <c r="AY19" s="37" t="s">
        <v>3689</v>
      </c>
      <c r="AZ19" s="29" t="s">
        <v>3700</v>
      </c>
      <c r="BA19" s="37" t="s">
        <v>3689</v>
      </c>
      <c r="BB19" s="29" t="s">
        <v>3686</v>
      </c>
      <c r="BC19" s="37" t="s">
        <v>3688</v>
      </c>
      <c r="BD19" s="29" t="s">
        <v>3687</v>
      </c>
      <c r="BE19" s="37" t="str">
        <f t="shared" si="2"/>
        <v>"Estado"</v>
      </c>
    </row>
    <row r="20" spans="1:57" ht="7.5" customHeight="1" x14ac:dyDescent="0.4">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3723</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3689</v>
      </c>
      <c r="AX20" s="29" t="s">
        <v>3486</v>
      </c>
      <c r="AY20" s="37" t="s">
        <v>3689</v>
      </c>
      <c r="AZ20" s="29" t="s">
        <v>3700</v>
      </c>
      <c r="BA20" s="37" t="s">
        <v>3689</v>
      </c>
      <c r="BB20" s="29" t="s">
        <v>3686</v>
      </c>
      <c r="BC20" s="37" t="s">
        <v>3688</v>
      </c>
      <c r="BD20" s="29" t="s">
        <v>3687</v>
      </c>
      <c r="BE20" s="37" t="str">
        <f t="shared" si="2"/>
        <v>"Estado"</v>
      </c>
    </row>
    <row r="21" spans="1:57" ht="7.5" customHeight="1" x14ac:dyDescent="0.4">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3715</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3689</v>
      </c>
      <c r="AX21" s="29" t="s">
        <v>3486</v>
      </c>
      <c r="AY21" s="37" t="s">
        <v>3689</v>
      </c>
      <c r="AZ21" s="29" t="s">
        <v>3700</v>
      </c>
      <c r="BA21" s="37" t="s">
        <v>3689</v>
      </c>
      <c r="BB21" s="29" t="s">
        <v>3686</v>
      </c>
      <c r="BC21" s="37" t="s">
        <v>3688</v>
      </c>
      <c r="BD21" s="29" t="s">
        <v>3687</v>
      </c>
      <c r="BE21" s="37" t="str">
        <f t="shared" si="2"/>
        <v>"Estado"</v>
      </c>
    </row>
    <row r="22" spans="1:57" ht="7.5" customHeight="1" x14ac:dyDescent="0.4">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3711</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3689</v>
      </c>
      <c r="AX22" s="29" t="s">
        <v>3486</v>
      </c>
      <c r="AY22" s="37" t="s">
        <v>3689</v>
      </c>
      <c r="AZ22" s="29" t="s">
        <v>3700</v>
      </c>
      <c r="BA22" s="37" t="s">
        <v>3689</v>
      </c>
      <c r="BB22" s="29" t="s">
        <v>3686</v>
      </c>
      <c r="BC22" s="37" t="s">
        <v>3688</v>
      </c>
      <c r="BD22" s="29" t="s">
        <v>3687</v>
      </c>
      <c r="BE22" s="37" t="str">
        <f t="shared" si="2"/>
        <v>"Estado"</v>
      </c>
    </row>
    <row r="23" spans="1:57" ht="7.5" customHeight="1" x14ac:dyDescent="0.4">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3721</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3689</v>
      </c>
      <c r="AX23" s="29" t="s">
        <v>3486</v>
      </c>
      <c r="AY23" s="37" t="s">
        <v>3689</v>
      </c>
      <c r="AZ23" s="29" t="s">
        <v>3700</v>
      </c>
      <c r="BA23" s="37" t="s">
        <v>3689</v>
      </c>
      <c r="BB23" s="29" t="s">
        <v>3686</v>
      </c>
      <c r="BC23" s="37" t="s">
        <v>3688</v>
      </c>
      <c r="BD23" s="29" t="s">
        <v>3687</v>
      </c>
      <c r="BE23" s="37" t="str">
        <f t="shared" si="2"/>
        <v>"Estado"</v>
      </c>
    </row>
    <row r="24" spans="1:57" ht="7.5" customHeight="1" x14ac:dyDescent="0.4">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3713</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3689</v>
      </c>
      <c r="AX24" s="29" t="s">
        <v>3486</v>
      </c>
      <c r="AY24" s="37" t="s">
        <v>3689</v>
      </c>
      <c r="AZ24" s="29" t="s">
        <v>3700</v>
      </c>
      <c r="BA24" s="37" t="s">
        <v>3689</v>
      </c>
      <c r="BB24" s="29" t="s">
        <v>3686</v>
      </c>
      <c r="BC24" s="37" t="s">
        <v>3688</v>
      </c>
      <c r="BD24" s="29" t="s">
        <v>3687</v>
      </c>
      <c r="BE24" s="37" t="str">
        <f t="shared" si="2"/>
        <v>"Estado"</v>
      </c>
    </row>
    <row r="25" spans="1:57" ht="7.5" customHeight="1" x14ac:dyDescent="0.4">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3725</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3689</v>
      </c>
      <c r="AX25" s="29" t="s">
        <v>3486</v>
      </c>
      <c r="AY25" s="37" t="s">
        <v>3689</v>
      </c>
      <c r="AZ25" s="29" t="s">
        <v>3700</v>
      </c>
      <c r="BA25" s="37" t="s">
        <v>3689</v>
      </c>
      <c r="BB25" s="29" t="s">
        <v>3686</v>
      </c>
      <c r="BC25" s="37" t="s">
        <v>3688</v>
      </c>
      <c r="BD25" s="29" t="s">
        <v>3687</v>
      </c>
      <c r="BE25" s="37" t="str">
        <f t="shared" si="2"/>
        <v>"Estado"</v>
      </c>
    </row>
    <row r="26" spans="1:57" ht="7.5" customHeight="1" x14ac:dyDescent="0.4">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3703</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3689</v>
      </c>
      <c r="AX26" s="29" t="s">
        <v>3486</v>
      </c>
      <c r="AY26" s="37" t="s">
        <v>3689</v>
      </c>
      <c r="AZ26" s="29" t="s">
        <v>3700</v>
      </c>
      <c r="BA26" s="37" t="s">
        <v>3689</v>
      </c>
      <c r="BB26" s="29" t="s">
        <v>3686</v>
      </c>
      <c r="BC26" s="37" t="s">
        <v>3688</v>
      </c>
      <c r="BD26" s="29" t="s">
        <v>3687</v>
      </c>
      <c r="BE26" s="37" t="str">
        <f t="shared" si="2"/>
        <v>"Estado"</v>
      </c>
    </row>
    <row r="27" spans="1:57" ht="7.5" customHeight="1" x14ac:dyDescent="0.4">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3706</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3689</v>
      </c>
      <c r="AX27" s="29" t="s">
        <v>3486</v>
      </c>
      <c r="AY27" s="37" t="s">
        <v>3689</v>
      </c>
      <c r="AZ27" s="29" t="s">
        <v>3700</v>
      </c>
      <c r="BA27" s="37" t="s">
        <v>3689</v>
      </c>
      <c r="BB27" s="29" t="s">
        <v>3686</v>
      </c>
      <c r="BC27" s="37" t="s">
        <v>3688</v>
      </c>
      <c r="BD27" s="29" t="s">
        <v>3687</v>
      </c>
      <c r="BE27" s="37" t="str">
        <f t="shared" si="2"/>
        <v>"Estado"</v>
      </c>
    </row>
    <row r="28" spans="1:57" ht="7.5" customHeight="1" x14ac:dyDescent="0.4">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3724</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3689</v>
      </c>
      <c r="AX28" s="29" t="s">
        <v>3486</v>
      </c>
      <c r="AY28" s="37" t="s">
        <v>3689</v>
      </c>
      <c r="AZ28" s="29" t="s">
        <v>3700</v>
      </c>
      <c r="BA28" s="37" t="s">
        <v>3689</v>
      </c>
      <c r="BB28" s="29" t="s">
        <v>3686</v>
      </c>
      <c r="BC28" s="37" t="s">
        <v>3688</v>
      </c>
      <c r="BD28" s="29" t="s">
        <v>3687</v>
      </c>
      <c r="BE28" s="37" t="str">
        <f t="shared" si="2"/>
        <v>"Estado"</v>
      </c>
    </row>
    <row r="29" spans="1:57" ht="7.5" customHeight="1" x14ac:dyDescent="0.4">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3722</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3689</v>
      </c>
      <c r="AX29" s="29" t="s">
        <v>3486</v>
      </c>
      <c r="AY29" s="37" t="s">
        <v>3689</v>
      </c>
      <c r="AZ29" s="29" t="s">
        <v>3700</v>
      </c>
      <c r="BA29" s="37" t="s">
        <v>3689</v>
      </c>
      <c r="BB29" s="29" t="s">
        <v>3686</v>
      </c>
      <c r="BC29" s="37" t="s">
        <v>3688</v>
      </c>
      <c r="BD29" s="29" t="s">
        <v>3687</v>
      </c>
      <c r="BE29" s="37" t="str">
        <f t="shared" si="2"/>
        <v>"Estado"</v>
      </c>
    </row>
    <row r="30" spans="1:57" ht="7.5" customHeight="1" x14ac:dyDescent="0.4">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3717</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3689</v>
      </c>
      <c r="AX30" s="29" t="s">
        <v>3486</v>
      </c>
      <c r="AY30" s="37" t="s">
        <v>3689</v>
      </c>
      <c r="AZ30" s="29" t="s">
        <v>3700</v>
      </c>
      <c r="BA30" s="37" t="s">
        <v>3689</v>
      </c>
      <c r="BB30" s="29" t="s">
        <v>3686</v>
      </c>
      <c r="BC30" s="37" t="s">
        <v>3688</v>
      </c>
      <c r="BD30" s="29" t="s">
        <v>3687</v>
      </c>
      <c r="BE30" s="37" t="str">
        <f t="shared" si="2"/>
        <v>"Estado"</v>
      </c>
    </row>
    <row r="31" spans="1:57" ht="7.5" customHeight="1" x14ac:dyDescent="0.4">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3709</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3689</v>
      </c>
      <c r="AX31" s="29" t="s">
        <v>3486</v>
      </c>
      <c r="AY31" s="37" t="s">
        <v>3689</v>
      </c>
      <c r="AZ31" s="29" t="s">
        <v>3700</v>
      </c>
      <c r="BA31" s="37" t="s">
        <v>3689</v>
      </c>
      <c r="BB31" s="29" t="s">
        <v>3686</v>
      </c>
      <c r="BC31" s="37" t="s">
        <v>3688</v>
      </c>
      <c r="BD31" s="29" t="s">
        <v>3687</v>
      </c>
      <c r="BE31" s="37" t="str">
        <f t="shared" si="2"/>
        <v>"Estado"</v>
      </c>
    </row>
    <row r="32" spans="1:57" ht="7.5" customHeight="1" x14ac:dyDescent="0.4">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3729</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3689</v>
      </c>
      <c r="AX32" s="29" t="s">
        <v>3486</v>
      </c>
      <c r="AY32" s="37" t="s">
        <v>3689</v>
      </c>
      <c r="AZ32" s="29" t="s">
        <v>3700</v>
      </c>
      <c r="BA32" s="37" t="s">
        <v>3689</v>
      </c>
      <c r="BB32" s="29" t="s">
        <v>3686</v>
      </c>
      <c r="BC32" s="37" t="s">
        <v>3688</v>
      </c>
      <c r="BD32" s="29" t="s">
        <v>3687</v>
      </c>
      <c r="BE32" s="37" t="str">
        <f t="shared" si="2"/>
        <v>"UF"</v>
      </c>
    </row>
    <row r="33" spans="1:57" ht="7.5" customHeight="1" x14ac:dyDescent="0.4">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3730</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3689</v>
      </c>
      <c r="AX33" s="29" t="s">
        <v>3486</v>
      </c>
      <c r="AY33" s="37" t="s">
        <v>3689</v>
      </c>
      <c r="AZ33" s="29" t="s">
        <v>3700</v>
      </c>
      <c r="BA33" s="37" t="s">
        <v>3689</v>
      </c>
      <c r="BB33" s="29" t="s">
        <v>3686</v>
      </c>
      <c r="BC33" s="37" t="s">
        <v>3688</v>
      </c>
      <c r="BD33" s="29" t="s">
        <v>3687</v>
      </c>
      <c r="BE33" s="37" t="str">
        <f t="shared" si="2"/>
        <v>"UF"</v>
      </c>
    </row>
    <row r="34" spans="1:57" ht="7.5" customHeight="1" x14ac:dyDescent="0.4">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3731</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3689</v>
      </c>
      <c r="AX34" s="29" t="s">
        <v>3486</v>
      </c>
      <c r="AY34" s="37" t="s">
        <v>3689</v>
      </c>
      <c r="AZ34" s="29" t="s">
        <v>3700</v>
      </c>
      <c r="BA34" s="37" t="s">
        <v>3689</v>
      </c>
      <c r="BB34" s="29" t="s">
        <v>3686</v>
      </c>
      <c r="BC34" s="37" t="s">
        <v>3688</v>
      </c>
      <c r="BD34" s="29" t="s">
        <v>3687</v>
      </c>
      <c r="BE34" s="37" t="str">
        <f t="shared" si="2"/>
        <v>"UF"</v>
      </c>
    </row>
    <row r="35" spans="1:57" ht="7.5" customHeight="1" x14ac:dyDescent="0.4">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3732</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3689</v>
      </c>
      <c r="AX35" s="29" t="s">
        <v>3486</v>
      </c>
      <c r="AY35" s="37" t="s">
        <v>3689</v>
      </c>
      <c r="AZ35" s="29" t="s">
        <v>3700</v>
      </c>
      <c r="BA35" s="37" t="s">
        <v>3689</v>
      </c>
      <c r="BB35" s="29" t="s">
        <v>3686</v>
      </c>
      <c r="BC35" s="37" t="s">
        <v>3688</v>
      </c>
      <c r="BD35" s="29" t="s">
        <v>3687</v>
      </c>
      <c r="BE35" s="37" t="str">
        <f t="shared" si="2"/>
        <v>"UF"</v>
      </c>
    </row>
    <row r="36" spans="1:57" ht="7.5" customHeight="1" x14ac:dyDescent="0.4">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3733</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3689</v>
      </c>
      <c r="AX36" s="29" t="s">
        <v>3486</v>
      </c>
      <c r="AY36" s="37" t="s">
        <v>3689</v>
      </c>
      <c r="AZ36" s="29" t="s">
        <v>3700</v>
      </c>
      <c r="BA36" s="37" t="s">
        <v>3689</v>
      </c>
      <c r="BB36" s="29" t="s">
        <v>3686</v>
      </c>
      <c r="BC36" s="37" t="s">
        <v>3688</v>
      </c>
      <c r="BD36" s="29" t="s">
        <v>3687</v>
      </c>
      <c r="BE36" s="37" t="str">
        <f t="shared" si="2"/>
        <v>"UF"</v>
      </c>
    </row>
    <row r="37" spans="1:57" ht="7.5" customHeight="1" x14ac:dyDescent="0.4">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3734</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3689</v>
      </c>
      <c r="AX37" s="29" t="s">
        <v>3486</v>
      </c>
      <c r="AY37" s="37" t="s">
        <v>3689</v>
      </c>
      <c r="AZ37" s="29" t="s">
        <v>3700</v>
      </c>
      <c r="BA37" s="37" t="s">
        <v>3689</v>
      </c>
      <c r="BB37" s="29" t="s">
        <v>3686</v>
      </c>
      <c r="BC37" s="37" t="s">
        <v>3688</v>
      </c>
      <c r="BD37" s="29" t="s">
        <v>3687</v>
      </c>
      <c r="BE37" s="37" t="str">
        <f t="shared" si="2"/>
        <v>"UF"</v>
      </c>
    </row>
    <row r="38" spans="1:57" ht="7.5" customHeight="1" x14ac:dyDescent="0.4">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3755</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3689</v>
      </c>
      <c r="AX38" s="29" t="s">
        <v>3486</v>
      </c>
      <c r="AY38" s="37" t="s">
        <v>3689</v>
      </c>
      <c r="AZ38" s="29" t="s">
        <v>3700</v>
      </c>
      <c r="BA38" s="37" t="s">
        <v>3689</v>
      </c>
      <c r="BB38" s="29" t="s">
        <v>3686</v>
      </c>
      <c r="BC38" s="37" t="s">
        <v>3688</v>
      </c>
      <c r="BD38" s="29" t="s">
        <v>3687</v>
      </c>
      <c r="BE38" s="37" t="str">
        <f t="shared" si="2"/>
        <v>"UF"</v>
      </c>
    </row>
    <row r="39" spans="1:57" ht="7.5" customHeight="1" x14ac:dyDescent="0.4">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3735</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3689</v>
      </c>
      <c r="AX39" s="29" t="s">
        <v>3486</v>
      </c>
      <c r="AY39" s="37" t="s">
        <v>3689</v>
      </c>
      <c r="AZ39" s="29" t="s">
        <v>3700</v>
      </c>
      <c r="BA39" s="37" t="s">
        <v>3689</v>
      </c>
      <c r="BB39" s="29" t="s">
        <v>3686</v>
      </c>
      <c r="BC39" s="37" t="s">
        <v>3688</v>
      </c>
      <c r="BD39" s="29" t="s">
        <v>3687</v>
      </c>
      <c r="BE39" s="37" t="str">
        <f t="shared" si="2"/>
        <v>"UF"</v>
      </c>
    </row>
    <row r="40" spans="1:57" ht="7.5" customHeight="1" x14ac:dyDescent="0.4">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3736</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3689</v>
      </c>
      <c r="AX40" s="29" t="s">
        <v>3486</v>
      </c>
      <c r="AY40" s="37" t="s">
        <v>3689</v>
      </c>
      <c r="AZ40" s="29" t="s">
        <v>3700</v>
      </c>
      <c r="BA40" s="37" t="s">
        <v>3689</v>
      </c>
      <c r="BB40" s="29" t="s">
        <v>3686</v>
      </c>
      <c r="BC40" s="37" t="s">
        <v>3688</v>
      </c>
      <c r="BD40" s="29" t="s">
        <v>3687</v>
      </c>
      <c r="BE40" s="37" t="str">
        <f t="shared" si="2"/>
        <v>"UF"</v>
      </c>
    </row>
    <row r="41" spans="1:57" ht="7.5" customHeight="1" x14ac:dyDescent="0.4">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3737</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3689</v>
      </c>
      <c r="AX41" s="29" t="s">
        <v>3486</v>
      </c>
      <c r="AY41" s="37" t="s">
        <v>3689</v>
      </c>
      <c r="AZ41" s="29" t="s">
        <v>3700</v>
      </c>
      <c r="BA41" s="37" t="s">
        <v>3689</v>
      </c>
      <c r="BB41" s="29" t="s">
        <v>3686</v>
      </c>
      <c r="BC41" s="37" t="s">
        <v>3688</v>
      </c>
      <c r="BD41" s="29" t="s">
        <v>3687</v>
      </c>
      <c r="BE41" s="37" t="str">
        <f t="shared" si="2"/>
        <v>"UF"</v>
      </c>
    </row>
    <row r="42" spans="1:57" ht="7.5" customHeight="1" x14ac:dyDescent="0.4">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3738</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3689</v>
      </c>
      <c r="AX42" s="29" t="s">
        <v>3486</v>
      </c>
      <c r="AY42" s="37" t="s">
        <v>3689</v>
      </c>
      <c r="AZ42" s="29" t="s">
        <v>3700</v>
      </c>
      <c r="BA42" s="37" t="s">
        <v>3689</v>
      </c>
      <c r="BB42" s="29" t="s">
        <v>3686</v>
      </c>
      <c r="BC42" s="37" t="s">
        <v>3688</v>
      </c>
      <c r="BD42" s="29" t="s">
        <v>3687</v>
      </c>
      <c r="BE42" s="37" t="str">
        <f t="shared" si="2"/>
        <v>"UF"</v>
      </c>
    </row>
    <row r="43" spans="1:57" ht="7.5" customHeight="1" x14ac:dyDescent="0.4">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3739</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3689</v>
      </c>
      <c r="AX43" s="29" t="s">
        <v>3486</v>
      </c>
      <c r="AY43" s="37" t="s">
        <v>3689</v>
      </c>
      <c r="AZ43" s="29" t="s">
        <v>3700</v>
      </c>
      <c r="BA43" s="37" t="s">
        <v>3689</v>
      </c>
      <c r="BB43" s="29" t="s">
        <v>3686</v>
      </c>
      <c r="BC43" s="37" t="s">
        <v>3688</v>
      </c>
      <c r="BD43" s="29" t="s">
        <v>3687</v>
      </c>
      <c r="BE43" s="37" t="str">
        <f t="shared" si="2"/>
        <v>"UF"</v>
      </c>
    </row>
    <row r="44" spans="1:57" ht="7.5" customHeight="1" x14ac:dyDescent="0.4">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3740</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3689</v>
      </c>
      <c r="AX44" s="29" t="s">
        <v>3486</v>
      </c>
      <c r="AY44" s="37" t="s">
        <v>3689</v>
      </c>
      <c r="AZ44" s="29" t="s">
        <v>3700</v>
      </c>
      <c r="BA44" s="37" t="s">
        <v>3689</v>
      </c>
      <c r="BB44" s="29" t="s">
        <v>3686</v>
      </c>
      <c r="BC44" s="37" t="s">
        <v>3688</v>
      </c>
      <c r="BD44" s="29" t="s">
        <v>3687</v>
      </c>
      <c r="BE44" s="37" t="str">
        <f t="shared" si="2"/>
        <v>"UF"</v>
      </c>
    </row>
    <row r="45" spans="1:57" ht="7.5" customHeight="1" x14ac:dyDescent="0.4">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3741</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3689</v>
      </c>
      <c r="AX45" s="29" t="s">
        <v>3486</v>
      </c>
      <c r="AY45" s="37" t="s">
        <v>3689</v>
      </c>
      <c r="AZ45" s="29" t="s">
        <v>3700</v>
      </c>
      <c r="BA45" s="37" t="s">
        <v>3689</v>
      </c>
      <c r="BB45" s="29" t="s">
        <v>3686</v>
      </c>
      <c r="BC45" s="37" t="s">
        <v>3688</v>
      </c>
      <c r="BD45" s="29" t="s">
        <v>3687</v>
      </c>
      <c r="BE45" s="37" t="str">
        <f t="shared" si="2"/>
        <v>"UF"</v>
      </c>
    </row>
    <row r="46" spans="1:57" ht="7.5" customHeight="1" x14ac:dyDescent="0.4">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3742</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3689</v>
      </c>
      <c r="AX46" s="29" t="s">
        <v>3486</v>
      </c>
      <c r="AY46" s="37" t="s">
        <v>3689</v>
      </c>
      <c r="AZ46" s="29" t="s">
        <v>3700</v>
      </c>
      <c r="BA46" s="37" t="s">
        <v>3689</v>
      </c>
      <c r="BB46" s="29" t="s">
        <v>3686</v>
      </c>
      <c r="BC46" s="37" t="s">
        <v>3688</v>
      </c>
      <c r="BD46" s="29" t="s">
        <v>3687</v>
      </c>
      <c r="BE46" s="37" t="str">
        <f t="shared" si="2"/>
        <v>"UF"</v>
      </c>
    </row>
    <row r="47" spans="1:57" ht="7.5" customHeight="1" x14ac:dyDescent="0.4">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3743</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3689</v>
      </c>
      <c r="AX47" s="29" t="s">
        <v>3486</v>
      </c>
      <c r="AY47" s="37" t="s">
        <v>3689</v>
      </c>
      <c r="AZ47" s="29" t="s">
        <v>3700</v>
      </c>
      <c r="BA47" s="37" t="s">
        <v>3689</v>
      </c>
      <c r="BB47" s="29" t="s">
        <v>3686</v>
      </c>
      <c r="BC47" s="37" t="s">
        <v>3688</v>
      </c>
      <c r="BD47" s="29" t="s">
        <v>3687</v>
      </c>
      <c r="BE47" s="37" t="str">
        <f t="shared" si="2"/>
        <v>"UF"</v>
      </c>
    </row>
    <row r="48" spans="1:57" ht="7.5" customHeight="1" x14ac:dyDescent="0.4">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3744</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3689</v>
      </c>
      <c r="AX48" s="29" t="s">
        <v>3486</v>
      </c>
      <c r="AY48" s="37" t="s">
        <v>3689</v>
      </c>
      <c r="AZ48" s="29" t="s">
        <v>3700</v>
      </c>
      <c r="BA48" s="37" t="s">
        <v>3689</v>
      </c>
      <c r="BB48" s="29" t="s">
        <v>3686</v>
      </c>
      <c r="BC48" s="37" t="s">
        <v>3688</v>
      </c>
      <c r="BD48" s="29" t="s">
        <v>3687</v>
      </c>
      <c r="BE48" s="37" t="str">
        <f t="shared" si="2"/>
        <v>"UF"</v>
      </c>
    </row>
    <row r="49" spans="1:57" ht="7.5" customHeight="1" x14ac:dyDescent="0.4">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3745</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3689</v>
      </c>
      <c r="AX49" s="29" t="s">
        <v>3486</v>
      </c>
      <c r="AY49" s="37" t="s">
        <v>3689</v>
      </c>
      <c r="AZ49" s="29" t="s">
        <v>3700</v>
      </c>
      <c r="BA49" s="37" t="s">
        <v>3689</v>
      </c>
      <c r="BB49" s="29" t="s">
        <v>3686</v>
      </c>
      <c r="BC49" s="37" t="s">
        <v>3688</v>
      </c>
      <c r="BD49" s="29" t="s">
        <v>3687</v>
      </c>
      <c r="BE49" s="37" t="str">
        <f t="shared" si="2"/>
        <v>"UF"</v>
      </c>
    </row>
    <row r="50" spans="1:57" ht="7.5" customHeight="1" x14ac:dyDescent="0.4">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3746</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3689</v>
      </c>
      <c r="AX50" s="29" t="s">
        <v>3486</v>
      </c>
      <c r="AY50" s="37" t="s">
        <v>3689</v>
      </c>
      <c r="AZ50" s="29" t="s">
        <v>3700</v>
      </c>
      <c r="BA50" s="37" t="s">
        <v>3689</v>
      </c>
      <c r="BB50" s="29" t="s">
        <v>3686</v>
      </c>
      <c r="BC50" s="37" t="s">
        <v>3688</v>
      </c>
      <c r="BD50" s="29" t="s">
        <v>3687</v>
      </c>
      <c r="BE50" s="37" t="str">
        <f t="shared" si="2"/>
        <v>"UF"</v>
      </c>
    </row>
    <row r="51" spans="1:57" ht="7.5" customHeight="1" x14ac:dyDescent="0.4">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3747</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3689</v>
      </c>
      <c r="AX51" s="29" t="s">
        <v>3486</v>
      </c>
      <c r="AY51" s="37" t="s">
        <v>3689</v>
      </c>
      <c r="AZ51" s="29" t="s">
        <v>3700</v>
      </c>
      <c r="BA51" s="37" t="s">
        <v>3689</v>
      </c>
      <c r="BB51" s="29" t="s">
        <v>3686</v>
      </c>
      <c r="BC51" s="37" t="s">
        <v>3688</v>
      </c>
      <c r="BD51" s="29" t="s">
        <v>3687</v>
      </c>
      <c r="BE51" s="37" t="str">
        <f t="shared" si="2"/>
        <v>"UF"</v>
      </c>
    </row>
    <row r="52" spans="1:57" ht="7.5" customHeight="1" x14ac:dyDescent="0.4">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3748</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3689</v>
      </c>
      <c r="AX52" s="29" t="s">
        <v>3486</v>
      </c>
      <c r="AY52" s="37" t="s">
        <v>3689</v>
      </c>
      <c r="AZ52" s="29" t="s">
        <v>3700</v>
      </c>
      <c r="BA52" s="37" t="s">
        <v>3689</v>
      </c>
      <c r="BB52" s="29" t="s">
        <v>3686</v>
      </c>
      <c r="BC52" s="37" t="s">
        <v>3688</v>
      </c>
      <c r="BD52" s="29" t="s">
        <v>3687</v>
      </c>
      <c r="BE52" s="37" t="str">
        <f t="shared" si="2"/>
        <v>"UF"</v>
      </c>
    </row>
    <row r="53" spans="1:57" ht="7.5" customHeight="1" x14ac:dyDescent="0.4">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3749</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3689</v>
      </c>
      <c r="AX53" s="29" t="s">
        <v>3486</v>
      </c>
      <c r="AY53" s="37" t="s">
        <v>3689</v>
      </c>
      <c r="AZ53" s="29" t="s">
        <v>3700</v>
      </c>
      <c r="BA53" s="37" t="s">
        <v>3689</v>
      </c>
      <c r="BB53" s="29" t="s">
        <v>3686</v>
      </c>
      <c r="BC53" s="37" t="s">
        <v>3688</v>
      </c>
      <c r="BD53" s="29" t="s">
        <v>3687</v>
      </c>
      <c r="BE53" s="37" t="str">
        <f t="shared" si="2"/>
        <v>"UF"</v>
      </c>
    </row>
    <row r="54" spans="1:57" ht="7.5" customHeight="1" x14ac:dyDescent="0.4">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3750</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3689</v>
      </c>
      <c r="AX54" s="29" t="s">
        <v>3486</v>
      </c>
      <c r="AY54" s="37" t="s">
        <v>3689</v>
      </c>
      <c r="AZ54" s="29" t="s">
        <v>3700</v>
      </c>
      <c r="BA54" s="37" t="s">
        <v>3689</v>
      </c>
      <c r="BB54" s="29" t="s">
        <v>3686</v>
      </c>
      <c r="BC54" s="37" t="s">
        <v>3688</v>
      </c>
      <c r="BD54" s="29" t="s">
        <v>3687</v>
      </c>
      <c r="BE54" s="37" t="str">
        <f t="shared" si="2"/>
        <v>"UF"</v>
      </c>
    </row>
    <row r="55" spans="1:57" ht="7.5" customHeight="1" x14ac:dyDescent="0.4">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3751</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3689</v>
      </c>
      <c r="AX55" s="29" t="s">
        <v>3486</v>
      </c>
      <c r="AY55" s="37" t="s">
        <v>3689</v>
      </c>
      <c r="AZ55" s="29" t="s">
        <v>3700</v>
      </c>
      <c r="BA55" s="37" t="s">
        <v>3689</v>
      </c>
      <c r="BB55" s="29" t="s">
        <v>3686</v>
      </c>
      <c r="BC55" s="37" t="s">
        <v>3688</v>
      </c>
      <c r="BD55" s="29" t="s">
        <v>3687</v>
      </c>
      <c r="BE55" s="37" t="str">
        <f t="shared" si="2"/>
        <v>"UF"</v>
      </c>
    </row>
    <row r="56" spans="1:57" ht="7.5" customHeight="1" x14ac:dyDescent="0.4">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3752</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3689</v>
      </c>
      <c r="AX56" s="29" t="s">
        <v>3486</v>
      </c>
      <c r="AY56" s="37" t="s">
        <v>3689</v>
      </c>
      <c r="AZ56" s="29" t="s">
        <v>3700</v>
      </c>
      <c r="BA56" s="37" t="s">
        <v>3689</v>
      </c>
      <c r="BB56" s="29" t="s">
        <v>3686</v>
      </c>
      <c r="BC56" s="37" t="s">
        <v>3688</v>
      </c>
      <c r="BD56" s="29" t="s">
        <v>3687</v>
      </c>
      <c r="BE56" s="37" t="str">
        <f t="shared" si="2"/>
        <v>"UF"</v>
      </c>
    </row>
    <row r="57" spans="1:57" ht="7.5" customHeight="1" x14ac:dyDescent="0.4">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3753</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3689</v>
      </c>
      <c r="AX57" s="29" t="s">
        <v>3486</v>
      </c>
      <c r="AY57" s="37" t="s">
        <v>3689</v>
      </c>
      <c r="AZ57" s="29" t="s">
        <v>3700</v>
      </c>
      <c r="BA57" s="37" t="s">
        <v>3689</v>
      </c>
      <c r="BB57" s="29" t="s">
        <v>3686</v>
      </c>
      <c r="BC57" s="37" t="s">
        <v>3688</v>
      </c>
      <c r="BD57" s="29" t="s">
        <v>3687</v>
      </c>
      <c r="BE57" s="37" t="str">
        <f t="shared" si="2"/>
        <v>"UF"</v>
      </c>
    </row>
    <row r="58" spans="1:57" ht="7.5" customHeight="1" x14ac:dyDescent="0.4">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3754</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3689</v>
      </c>
      <c r="AX58" s="29" t="s">
        <v>3486</v>
      </c>
      <c r="AY58" s="37" t="s">
        <v>3689</v>
      </c>
      <c r="AZ58" s="29" t="s">
        <v>3700</v>
      </c>
      <c r="BA58" s="37" t="s">
        <v>3689</v>
      </c>
      <c r="BB58" s="29" t="s">
        <v>3686</v>
      </c>
      <c r="BC58" s="37" t="s">
        <v>3688</v>
      </c>
      <c r="BD58" s="29" t="s">
        <v>3687</v>
      </c>
      <c r="BE58" s="37" t="str">
        <f t="shared" si="2"/>
        <v>"UF"</v>
      </c>
    </row>
    <row r="59" spans="1:57" ht="7.5" customHeight="1" x14ac:dyDescent="0.4">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3703</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3689</v>
      </c>
      <c r="AX59" s="29" t="s">
        <v>3486</v>
      </c>
      <c r="AY59" s="37" t="s">
        <v>3689</v>
      </c>
      <c r="AZ59" s="29" t="s">
        <v>3700</v>
      </c>
      <c r="BA59" s="37" t="s">
        <v>3689</v>
      </c>
      <c r="BB59" s="29" t="s">
        <v>3686</v>
      </c>
      <c r="BC59" s="37" t="s">
        <v>3688</v>
      </c>
      <c r="BD59" s="29" t="s">
        <v>3687</v>
      </c>
      <c r="BE59" s="37" t="str">
        <f t="shared" si="2"/>
        <v>"UF"</v>
      </c>
    </row>
    <row r="60" spans="1:57" ht="7.5" customHeight="1" x14ac:dyDescent="0.4">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3704</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3689</v>
      </c>
      <c r="AX60" s="29" t="s">
        <v>3486</v>
      </c>
      <c r="AY60" s="37" t="s">
        <v>3689</v>
      </c>
      <c r="AZ60" s="29" t="s">
        <v>3700</v>
      </c>
      <c r="BA60" s="37" t="s">
        <v>3689</v>
      </c>
      <c r="BB60" s="29" t="s">
        <v>3686</v>
      </c>
      <c r="BC60" s="37" t="s">
        <v>3688</v>
      </c>
      <c r="BD60" s="29" t="s">
        <v>3687</v>
      </c>
      <c r="BE60" s="37" t="str">
        <f t="shared" si="2"/>
        <v>"UF"</v>
      </c>
    </row>
    <row r="61" spans="1:57" ht="7.5" customHeight="1" x14ac:dyDescent="0.4">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3705</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3689</v>
      </c>
      <c r="AX61" s="29" t="s">
        <v>3486</v>
      </c>
      <c r="AY61" s="37" t="s">
        <v>3689</v>
      </c>
      <c r="AZ61" s="29" t="s">
        <v>3700</v>
      </c>
      <c r="BA61" s="37" t="s">
        <v>3689</v>
      </c>
      <c r="BB61" s="29" t="s">
        <v>3686</v>
      </c>
      <c r="BC61" s="37" t="s">
        <v>3688</v>
      </c>
      <c r="BD61" s="29" t="s">
        <v>3687</v>
      </c>
      <c r="BE61" s="37" t="str">
        <f t="shared" si="2"/>
        <v>"UF"</v>
      </c>
    </row>
    <row r="62" spans="1:57" ht="7.5" customHeight="1" x14ac:dyDescent="0.4">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3706</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3689</v>
      </c>
      <c r="AX62" s="29" t="s">
        <v>3486</v>
      </c>
      <c r="AY62" s="37" t="s">
        <v>3689</v>
      </c>
      <c r="AZ62" s="29" t="s">
        <v>3700</v>
      </c>
      <c r="BA62" s="37" t="s">
        <v>3689</v>
      </c>
      <c r="BB62" s="29" t="s">
        <v>3686</v>
      </c>
      <c r="BC62" s="37" t="s">
        <v>3688</v>
      </c>
      <c r="BD62" s="29" t="s">
        <v>3687</v>
      </c>
      <c r="BE62" s="37" t="str">
        <f t="shared" si="2"/>
        <v>"UF"</v>
      </c>
    </row>
    <row r="63" spans="1:57" ht="7.5" customHeight="1" x14ac:dyDescent="0.4">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3707</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3689</v>
      </c>
      <c r="AX63" s="29" t="s">
        <v>3486</v>
      </c>
      <c r="AY63" s="37" t="s">
        <v>3689</v>
      </c>
      <c r="AZ63" s="29" t="s">
        <v>3700</v>
      </c>
      <c r="BA63" s="37" t="s">
        <v>3689</v>
      </c>
      <c r="BB63" s="29" t="s">
        <v>3686</v>
      </c>
      <c r="BC63" s="37" t="s">
        <v>3688</v>
      </c>
      <c r="BD63" s="29" t="s">
        <v>3687</v>
      </c>
      <c r="BE63" s="37" t="str">
        <f t="shared" si="2"/>
        <v>"UF"</v>
      </c>
    </row>
    <row r="64" spans="1:57" ht="7.5" customHeight="1" x14ac:dyDescent="0.4">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3708</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3689</v>
      </c>
      <c r="AX64" s="29" t="s">
        <v>3486</v>
      </c>
      <c r="AY64" s="37" t="s">
        <v>3689</v>
      </c>
      <c r="AZ64" s="29" t="s">
        <v>3700</v>
      </c>
      <c r="BA64" s="37" t="s">
        <v>3689</v>
      </c>
      <c r="BB64" s="29" t="s">
        <v>3686</v>
      </c>
      <c r="BC64" s="37" t="s">
        <v>3688</v>
      </c>
      <c r="BD64" s="29" t="s">
        <v>3687</v>
      </c>
      <c r="BE64" s="37" t="str">
        <f t="shared" si="2"/>
        <v>"UF"</v>
      </c>
    </row>
    <row r="65" spans="1:57" ht="7.5" customHeight="1" x14ac:dyDescent="0.4">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3709</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3689</v>
      </c>
      <c r="AX65" s="29" t="s">
        <v>3486</v>
      </c>
      <c r="AY65" s="37" t="s">
        <v>3689</v>
      </c>
      <c r="AZ65" s="29" t="s">
        <v>3700</v>
      </c>
      <c r="BA65" s="37" t="s">
        <v>3689</v>
      </c>
      <c r="BB65" s="29" t="s">
        <v>3686</v>
      </c>
      <c r="BC65" s="37" t="s">
        <v>3688</v>
      </c>
      <c r="BD65" s="29" t="s">
        <v>3687</v>
      </c>
      <c r="BE65" s="37" t="str">
        <f t="shared" si="2"/>
        <v>"UF"</v>
      </c>
    </row>
    <row r="66" spans="1:57" ht="7.5" customHeight="1" x14ac:dyDescent="0.4">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3710</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3689</v>
      </c>
      <c r="AX66" s="29" t="s">
        <v>3486</v>
      </c>
      <c r="AY66" s="37" t="s">
        <v>3689</v>
      </c>
      <c r="AZ66" s="29" t="s">
        <v>3700</v>
      </c>
      <c r="BA66" s="37" t="s">
        <v>3689</v>
      </c>
      <c r="BB66" s="29" t="s">
        <v>3686</v>
      </c>
      <c r="BC66" s="37" t="s">
        <v>3688</v>
      </c>
      <c r="BD66" s="29" t="s">
        <v>3687</v>
      </c>
      <c r="BE66" s="37" t="str">
        <f t="shared" si="2"/>
        <v>"UF"</v>
      </c>
    </row>
    <row r="67" spans="1:57" ht="7.5" customHeight="1" x14ac:dyDescent="0.4">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3711</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3689</v>
      </c>
      <c r="AX67" s="29" t="s">
        <v>3486</v>
      </c>
      <c r="AY67" s="37" t="s">
        <v>3689</v>
      </c>
      <c r="AZ67" s="29" t="s">
        <v>3700</v>
      </c>
      <c r="BA67" s="37" t="s">
        <v>3689</v>
      </c>
      <c r="BB67" s="29" t="s">
        <v>3686</v>
      </c>
      <c r="BC67" s="37" t="s">
        <v>3688</v>
      </c>
      <c r="BD67" s="29" t="s">
        <v>3687</v>
      </c>
      <c r="BE67" s="37" t="str">
        <f t="shared" si="2"/>
        <v>"UF"</v>
      </c>
    </row>
    <row r="68" spans="1:57" ht="7.5" customHeight="1" x14ac:dyDescent="0.4">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3712</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3689</v>
      </c>
      <c r="AX68" s="29" t="s">
        <v>3486</v>
      </c>
      <c r="AY68" s="37" t="s">
        <v>3689</v>
      </c>
      <c r="AZ68" s="29" t="s">
        <v>3700</v>
      </c>
      <c r="BA68" s="37" t="s">
        <v>3689</v>
      </c>
      <c r="BB68" s="29" t="s">
        <v>3686</v>
      </c>
      <c r="BC68" s="37" t="s">
        <v>3688</v>
      </c>
      <c r="BD68" s="29" t="s">
        <v>3687</v>
      </c>
      <c r="BE68" s="37" t="str">
        <f t="shared" si="2"/>
        <v>"UF"</v>
      </c>
    </row>
    <row r="69" spans="1:57" ht="7.5" customHeight="1" x14ac:dyDescent="0.4">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3713</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3689</v>
      </c>
      <c r="AX69" s="29" t="s">
        <v>3486</v>
      </c>
      <c r="AY69" s="37" t="s">
        <v>3689</v>
      </c>
      <c r="AZ69" s="29" t="s">
        <v>3700</v>
      </c>
      <c r="BA69" s="37" t="s">
        <v>3689</v>
      </c>
      <c r="BB69" s="29" t="s">
        <v>3686</v>
      </c>
      <c r="BC69" s="37" t="s">
        <v>3688</v>
      </c>
      <c r="BD69" s="29" t="s">
        <v>3687</v>
      </c>
      <c r="BE69" s="37" t="str">
        <f t="shared" si="2"/>
        <v>"UF"</v>
      </c>
    </row>
    <row r="70" spans="1:57" ht="7.5" customHeight="1" x14ac:dyDescent="0.4">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3714</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3689</v>
      </c>
      <c r="AX70" s="29" t="s">
        <v>3486</v>
      </c>
      <c r="AY70" s="37" t="s">
        <v>3689</v>
      </c>
      <c r="AZ70" s="29" t="s">
        <v>3700</v>
      </c>
      <c r="BA70" s="37" t="s">
        <v>3689</v>
      </c>
      <c r="BB70" s="29" t="s">
        <v>3686</v>
      </c>
      <c r="BC70" s="37" t="s">
        <v>3688</v>
      </c>
      <c r="BD70" s="29" t="s">
        <v>3687</v>
      </c>
      <c r="BE70" s="37" t="str">
        <f t="shared" si="2"/>
        <v>"UF"</v>
      </c>
    </row>
    <row r="71" spans="1:57" ht="7.5" customHeight="1" x14ac:dyDescent="0.4">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3715</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3689</v>
      </c>
      <c r="AX71" s="29" t="s">
        <v>3486</v>
      </c>
      <c r="AY71" s="37" t="s">
        <v>3689</v>
      </c>
      <c r="AZ71" s="29" t="s">
        <v>3700</v>
      </c>
      <c r="BA71" s="37" t="s">
        <v>3689</v>
      </c>
      <c r="BB71" s="29" t="s">
        <v>3686</v>
      </c>
      <c r="BC71" s="37" t="s">
        <v>3688</v>
      </c>
      <c r="BD71" s="29" t="s">
        <v>3687</v>
      </c>
      <c r="BE71" s="37" t="str">
        <f t="shared" si="2"/>
        <v>"UF"</v>
      </c>
    </row>
    <row r="72" spans="1:57" ht="7.5" customHeight="1" x14ac:dyDescent="0.4">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3716</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3689</v>
      </c>
      <c r="AX72" s="29" t="s">
        <v>3486</v>
      </c>
      <c r="AY72" s="37" t="s">
        <v>3689</v>
      </c>
      <c r="AZ72" s="29" t="s">
        <v>3700</v>
      </c>
      <c r="BA72" s="37" t="s">
        <v>3689</v>
      </c>
      <c r="BB72" s="29" t="s">
        <v>3686</v>
      </c>
      <c r="BC72" s="37" t="s">
        <v>3688</v>
      </c>
      <c r="BD72" s="29" t="s">
        <v>3687</v>
      </c>
      <c r="BE72" s="37" t="str">
        <f t="shared" si="2"/>
        <v>"UF"</v>
      </c>
    </row>
    <row r="73" spans="1:57" ht="7.5" customHeight="1" x14ac:dyDescent="0.4">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3717</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3689</v>
      </c>
      <c r="AX73" s="29" t="s">
        <v>3486</v>
      </c>
      <c r="AY73" s="37" t="s">
        <v>3689</v>
      </c>
      <c r="AZ73" s="29" t="s">
        <v>3700</v>
      </c>
      <c r="BA73" s="37" t="s">
        <v>3689</v>
      </c>
      <c r="BB73" s="29" t="s">
        <v>3686</v>
      </c>
      <c r="BC73" s="37" t="s">
        <v>3688</v>
      </c>
      <c r="BD73" s="29" t="s">
        <v>3687</v>
      </c>
      <c r="BE73" s="37" t="str">
        <f t="shared" si="2"/>
        <v>"UF"</v>
      </c>
    </row>
    <row r="74" spans="1:57" ht="7.5" customHeight="1" x14ac:dyDescent="0.4">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3718</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3689</v>
      </c>
      <c r="AX74" s="29" t="s">
        <v>3486</v>
      </c>
      <c r="AY74" s="37" t="s">
        <v>3689</v>
      </c>
      <c r="AZ74" s="29" t="s">
        <v>3700</v>
      </c>
      <c r="BA74" s="37" t="s">
        <v>3689</v>
      </c>
      <c r="BB74" s="29" t="s">
        <v>3686</v>
      </c>
      <c r="BC74" s="37" t="s">
        <v>3688</v>
      </c>
      <c r="BD74" s="29" t="s">
        <v>3687</v>
      </c>
      <c r="BE74" s="37" t="str">
        <f t="shared" si="2"/>
        <v>"UF"</v>
      </c>
    </row>
    <row r="75" spans="1:57" ht="7.5" customHeight="1" x14ac:dyDescent="0.4">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3719</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3689</v>
      </c>
      <c r="AX75" s="29" t="s">
        <v>3486</v>
      </c>
      <c r="AY75" s="37" t="s">
        <v>3689</v>
      </c>
      <c r="AZ75" s="29" t="s">
        <v>3700</v>
      </c>
      <c r="BA75" s="37" t="s">
        <v>3689</v>
      </c>
      <c r="BB75" s="29" t="s">
        <v>3686</v>
      </c>
      <c r="BC75" s="37" t="s">
        <v>3688</v>
      </c>
      <c r="BD75" s="29" t="s">
        <v>3687</v>
      </c>
      <c r="BE75" s="37" t="str">
        <f t="shared" si="2"/>
        <v>"UF"</v>
      </c>
    </row>
    <row r="76" spans="1:57" ht="7.5" customHeight="1" x14ac:dyDescent="0.4">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3720</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3689</v>
      </c>
      <c r="AX76" s="29" t="s">
        <v>3486</v>
      </c>
      <c r="AY76" s="37" t="s">
        <v>3689</v>
      </c>
      <c r="AZ76" s="29" t="s">
        <v>3700</v>
      </c>
      <c r="BA76" s="37" t="s">
        <v>3689</v>
      </c>
      <c r="BB76" s="29" t="s">
        <v>3686</v>
      </c>
      <c r="BC76" s="37" t="s">
        <v>3688</v>
      </c>
      <c r="BD76" s="29" t="s">
        <v>3687</v>
      </c>
      <c r="BE76" s="37" t="str">
        <f t="shared" si="2"/>
        <v>"UF"</v>
      </c>
    </row>
    <row r="77" spans="1:57" ht="7.5" customHeight="1" x14ac:dyDescent="0.4">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3721</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3689</v>
      </c>
      <c r="AX77" s="29" t="s">
        <v>3486</v>
      </c>
      <c r="AY77" s="37" t="s">
        <v>3689</v>
      </c>
      <c r="AZ77" s="29" t="s">
        <v>3700</v>
      </c>
      <c r="BA77" s="37" t="s">
        <v>3689</v>
      </c>
      <c r="BB77" s="29" t="s">
        <v>3686</v>
      </c>
      <c r="BC77" s="37" t="s">
        <v>3688</v>
      </c>
      <c r="BD77" s="29" t="s">
        <v>3687</v>
      </c>
      <c r="BE77" s="37" t="str">
        <f t="shared" si="2"/>
        <v>"UF"</v>
      </c>
    </row>
    <row r="78" spans="1:57" ht="7.5" customHeight="1" x14ac:dyDescent="0.4">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3722</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3689</v>
      </c>
      <c r="AX78" s="29" t="s">
        <v>3486</v>
      </c>
      <c r="AY78" s="37" t="s">
        <v>3689</v>
      </c>
      <c r="AZ78" s="29" t="s">
        <v>3700</v>
      </c>
      <c r="BA78" s="37" t="s">
        <v>3689</v>
      </c>
      <c r="BB78" s="29" t="s">
        <v>3686</v>
      </c>
      <c r="BC78" s="37" t="s">
        <v>3688</v>
      </c>
      <c r="BD78" s="29" t="s">
        <v>3687</v>
      </c>
      <c r="BE78" s="37" t="str">
        <f t="shared" si="2"/>
        <v>"UF"</v>
      </c>
    </row>
    <row r="79" spans="1:57" ht="7.5" customHeight="1" x14ac:dyDescent="0.4">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3723</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3689</v>
      </c>
      <c r="AX79" s="29" t="s">
        <v>3486</v>
      </c>
      <c r="AY79" s="37" t="s">
        <v>3689</v>
      </c>
      <c r="AZ79" s="29" t="s">
        <v>3700</v>
      </c>
      <c r="BA79" s="37" t="s">
        <v>3689</v>
      </c>
      <c r="BB79" s="29" t="s">
        <v>3686</v>
      </c>
      <c r="BC79" s="37" t="s">
        <v>3688</v>
      </c>
      <c r="BD79" s="29" t="s">
        <v>3687</v>
      </c>
      <c r="BE79" s="37" t="str">
        <f t="shared" si="2"/>
        <v>"UF"</v>
      </c>
    </row>
    <row r="80" spans="1:57" ht="7.5" customHeight="1" x14ac:dyDescent="0.4">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3724</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3689</v>
      </c>
      <c r="AX80" s="29" t="s">
        <v>3486</v>
      </c>
      <c r="AY80" s="37" t="s">
        <v>3689</v>
      </c>
      <c r="AZ80" s="29" t="s">
        <v>3700</v>
      </c>
      <c r="BA80" s="37" t="s">
        <v>3689</v>
      </c>
      <c r="BB80" s="29" t="s">
        <v>3686</v>
      </c>
      <c r="BC80" s="37" t="s">
        <v>3688</v>
      </c>
      <c r="BD80" s="29" t="s">
        <v>3687</v>
      </c>
      <c r="BE80" s="37" t="str">
        <f t="shared" si="2"/>
        <v>"UF"</v>
      </c>
    </row>
    <row r="81" spans="1:57" ht="7.5" customHeight="1" x14ac:dyDescent="0.4">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3725</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3689</v>
      </c>
      <c r="AX81" s="29" t="s">
        <v>3486</v>
      </c>
      <c r="AY81" s="37" t="s">
        <v>3689</v>
      </c>
      <c r="AZ81" s="29" t="s">
        <v>3700</v>
      </c>
      <c r="BA81" s="37" t="s">
        <v>3689</v>
      </c>
      <c r="BB81" s="29" t="s">
        <v>3686</v>
      </c>
      <c r="BC81" s="37" t="s">
        <v>3688</v>
      </c>
      <c r="BD81" s="29" t="s">
        <v>3687</v>
      </c>
      <c r="BE81" s="37" t="str">
        <f t="shared" si="2"/>
        <v>"UF"</v>
      </c>
    </row>
    <row r="82" spans="1:57" ht="7.5" customHeight="1" x14ac:dyDescent="0.4">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3726</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3689</v>
      </c>
      <c r="AX82" s="29" t="s">
        <v>3486</v>
      </c>
      <c r="AY82" s="37" t="s">
        <v>3689</v>
      </c>
      <c r="AZ82" s="29" t="s">
        <v>3700</v>
      </c>
      <c r="BA82" s="37" t="s">
        <v>3689</v>
      </c>
      <c r="BB82" s="29" t="s">
        <v>3686</v>
      </c>
      <c r="BC82" s="37" t="s">
        <v>3688</v>
      </c>
      <c r="BD82" s="29" t="s">
        <v>3687</v>
      </c>
      <c r="BE82" s="37" t="str">
        <f t="shared" si="2"/>
        <v>"UF"</v>
      </c>
    </row>
    <row r="83" spans="1:57" ht="7.5" customHeight="1" x14ac:dyDescent="0.4">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3727</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3689</v>
      </c>
      <c r="AX83" s="29" t="s">
        <v>3486</v>
      </c>
      <c r="AY83" s="37" t="s">
        <v>3689</v>
      </c>
      <c r="AZ83" s="29" t="s">
        <v>3700</v>
      </c>
      <c r="BA83" s="37" t="s">
        <v>3689</v>
      </c>
      <c r="BB83" s="29" t="s">
        <v>3686</v>
      </c>
      <c r="BC83" s="37" t="s">
        <v>3688</v>
      </c>
      <c r="BD83" s="29" t="s">
        <v>3687</v>
      </c>
      <c r="BE83" s="37" t="str">
        <f t="shared" si="2"/>
        <v>"UF"</v>
      </c>
    </row>
    <row r="84" spans="1:57" ht="7.5" customHeight="1" x14ac:dyDescent="0.4">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3728</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3689</v>
      </c>
      <c r="AX84" s="29" t="s">
        <v>3486</v>
      </c>
      <c r="AY84" s="37" t="s">
        <v>3689</v>
      </c>
      <c r="AZ84" s="29" t="s">
        <v>3700</v>
      </c>
      <c r="BA84" s="37" t="s">
        <v>3689</v>
      </c>
      <c r="BB84" s="29" t="s">
        <v>3686</v>
      </c>
      <c r="BC84" s="37" t="s">
        <v>3688</v>
      </c>
      <c r="BD84" s="29" t="s">
        <v>3687</v>
      </c>
      <c r="BE84" s="37" t="str">
        <f t="shared" si="2"/>
        <v>"UF"</v>
      </c>
    </row>
    <row r="85" spans="1:57" ht="7.5" customHeight="1" x14ac:dyDescent="0.4">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3757</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3689</v>
      </c>
      <c r="AX85" s="29" t="s">
        <v>3486</v>
      </c>
      <c r="AY85" s="37" t="s">
        <v>3689</v>
      </c>
      <c r="AZ85" s="29" t="s">
        <v>3700</v>
      </c>
      <c r="BA85" s="37" t="s">
        <v>3689</v>
      </c>
      <c r="BB85" s="29" t="s">
        <v>3686</v>
      </c>
      <c r="BC85" s="37" t="s">
        <v>3688</v>
      </c>
      <c r="BD85" s="29" t="s">
        <v>3687</v>
      </c>
      <c r="BE85" s="37" t="str">
        <f t="shared" si="2"/>
        <v>"UF"</v>
      </c>
    </row>
    <row r="86" spans="1:57" ht="7.5" customHeight="1" x14ac:dyDescent="0.4">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3758</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3689</v>
      </c>
      <c r="AX86" s="29" t="s">
        <v>3486</v>
      </c>
      <c r="AY86" s="37" t="s">
        <v>3689</v>
      </c>
      <c r="AZ86" s="29" t="s">
        <v>3700</v>
      </c>
      <c r="BA86" s="37" t="s">
        <v>3689</v>
      </c>
      <c r="BB86" s="29" t="s">
        <v>3686</v>
      </c>
      <c r="BC86" s="37" t="s">
        <v>3688</v>
      </c>
      <c r="BD86" s="29" t="s">
        <v>3687</v>
      </c>
      <c r="BE86" s="37" t="str">
        <f t="shared" si="2"/>
        <v>"Capital"</v>
      </c>
    </row>
    <row r="87" spans="1:57" ht="7.5" customHeight="1" x14ac:dyDescent="0.4">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3759</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3689</v>
      </c>
      <c r="AX87" s="29" t="s">
        <v>3486</v>
      </c>
      <c r="AY87" s="37" t="s">
        <v>3689</v>
      </c>
      <c r="AZ87" s="29" t="s">
        <v>3700</v>
      </c>
      <c r="BA87" s="37" t="s">
        <v>3689</v>
      </c>
      <c r="BB87" s="29" t="s">
        <v>3686</v>
      </c>
      <c r="BC87" s="37" t="s">
        <v>3688</v>
      </c>
      <c r="BD87" s="29" t="s">
        <v>3687</v>
      </c>
      <c r="BE87" s="37" t="str">
        <f t="shared" si="2"/>
        <v>"Capital"</v>
      </c>
    </row>
    <row r="88" spans="1:57" ht="7.5" customHeight="1" x14ac:dyDescent="0.4">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3760</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3689</v>
      </c>
      <c r="AX88" s="29" t="s">
        <v>3486</v>
      </c>
      <c r="AY88" s="37" t="s">
        <v>3689</v>
      </c>
      <c r="AZ88" s="29" t="s">
        <v>3700</v>
      </c>
      <c r="BA88" s="37" t="s">
        <v>3689</v>
      </c>
      <c r="BB88" s="29" t="s">
        <v>3686</v>
      </c>
      <c r="BC88" s="37" t="s">
        <v>3688</v>
      </c>
      <c r="BD88" s="29" t="s">
        <v>3687</v>
      </c>
      <c r="BE88" s="37" t="str">
        <f t="shared" si="2"/>
        <v>"Capital"</v>
      </c>
    </row>
    <row r="89" spans="1:57" ht="7.5" customHeight="1" x14ac:dyDescent="0.4">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3761</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3689</v>
      </c>
      <c r="AX89" s="29" t="s">
        <v>3486</v>
      </c>
      <c r="AY89" s="37" t="s">
        <v>3689</v>
      </c>
      <c r="AZ89" s="29" t="s">
        <v>3700</v>
      </c>
      <c r="BA89" s="37" t="s">
        <v>3689</v>
      </c>
      <c r="BB89" s="29" t="s">
        <v>3686</v>
      </c>
      <c r="BC89" s="37" t="s">
        <v>3688</v>
      </c>
      <c r="BD89" s="29" t="s">
        <v>3687</v>
      </c>
      <c r="BE89" s="37" t="str">
        <f t="shared" si="2"/>
        <v>"Capital"</v>
      </c>
    </row>
    <row r="90" spans="1:57" ht="7.5" customHeight="1" x14ac:dyDescent="0.4">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3762</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3689</v>
      </c>
      <c r="AX90" s="29" t="s">
        <v>3486</v>
      </c>
      <c r="AY90" s="37" t="s">
        <v>3689</v>
      </c>
      <c r="AZ90" s="29" t="s">
        <v>3700</v>
      </c>
      <c r="BA90" s="37" t="s">
        <v>3689</v>
      </c>
      <c r="BB90" s="29" t="s">
        <v>3686</v>
      </c>
      <c r="BC90" s="37" t="s">
        <v>3688</v>
      </c>
      <c r="BD90" s="29" t="s">
        <v>3687</v>
      </c>
      <c r="BE90" s="37" t="str">
        <f t="shared" si="2"/>
        <v>"Capital"</v>
      </c>
    </row>
    <row r="91" spans="1:57" ht="7.5" customHeight="1" x14ac:dyDescent="0.4">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3763</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3689</v>
      </c>
      <c r="AX91" s="29" t="s">
        <v>3486</v>
      </c>
      <c r="AY91" s="37" t="s">
        <v>3689</v>
      </c>
      <c r="AZ91" s="29" t="s">
        <v>3700</v>
      </c>
      <c r="BA91" s="37" t="s">
        <v>3689</v>
      </c>
      <c r="BB91" s="29" t="s">
        <v>3686</v>
      </c>
      <c r="BC91" s="37" t="s">
        <v>3688</v>
      </c>
      <c r="BD91" s="29" t="s">
        <v>3687</v>
      </c>
      <c r="BE91" s="37" t="str">
        <f t="shared" si="2"/>
        <v>"Capital"</v>
      </c>
    </row>
    <row r="92" spans="1:57" ht="7.5" customHeight="1" x14ac:dyDescent="0.4">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3764</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3689</v>
      </c>
      <c r="AX92" s="29" t="s">
        <v>3486</v>
      </c>
      <c r="AY92" s="37" t="s">
        <v>3689</v>
      </c>
      <c r="AZ92" s="29" t="s">
        <v>3700</v>
      </c>
      <c r="BA92" s="37" t="s">
        <v>3689</v>
      </c>
      <c r="BB92" s="29" t="s">
        <v>3686</v>
      </c>
      <c r="BC92" s="37" t="s">
        <v>3688</v>
      </c>
      <c r="BD92" s="29" t="s">
        <v>3687</v>
      </c>
      <c r="BE92" s="37" t="str">
        <f t="shared" si="2"/>
        <v>"Capital"</v>
      </c>
    </row>
    <row r="93" spans="1:57" ht="7.5" customHeight="1" x14ac:dyDescent="0.4">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3765</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3689</v>
      </c>
      <c r="AX93" s="29" t="s">
        <v>3486</v>
      </c>
      <c r="AY93" s="37" t="s">
        <v>3689</v>
      </c>
      <c r="AZ93" s="29" t="s">
        <v>3700</v>
      </c>
      <c r="BA93" s="37" t="s">
        <v>3689</v>
      </c>
      <c r="BB93" s="29" t="s">
        <v>3686</v>
      </c>
      <c r="BC93" s="37" t="s">
        <v>3688</v>
      </c>
      <c r="BD93" s="29" t="s">
        <v>3687</v>
      </c>
      <c r="BE93" s="37" t="str">
        <f t="shared" si="2"/>
        <v>"Capital"</v>
      </c>
    </row>
    <row r="94" spans="1:57" ht="7.5" customHeight="1" x14ac:dyDescent="0.4">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3766</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3689</v>
      </c>
      <c r="AX94" s="29" t="s">
        <v>3486</v>
      </c>
      <c r="AY94" s="37" t="s">
        <v>3689</v>
      </c>
      <c r="AZ94" s="29" t="s">
        <v>3700</v>
      </c>
      <c r="BA94" s="37" t="s">
        <v>3689</v>
      </c>
      <c r="BB94" s="29" t="s">
        <v>3686</v>
      </c>
      <c r="BC94" s="37" t="s">
        <v>3688</v>
      </c>
      <c r="BD94" s="29" t="s">
        <v>3687</v>
      </c>
      <c r="BE94" s="37" t="str">
        <f t="shared" si="2"/>
        <v>"Capital"</v>
      </c>
    </row>
    <row r="95" spans="1:57" ht="7.5" customHeight="1" x14ac:dyDescent="0.4">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3767</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3689</v>
      </c>
      <c r="AX95" s="29" t="s">
        <v>3486</v>
      </c>
      <c r="AY95" s="37" t="s">
        <v>3689</v>
      </c>
      <c r="AZ95" s="29" t="s">
        <v>3700</v>
      </c>
      <c r="BA95" s="37" t="s">
        <v>3689</v>
      </c>
      <c r="BB95" s="29" t="s">
        <v>3686</v>
      </c>
      <c r="BC95" s="37" t="s">
        <v>3688</v>
      </c>
      <c r="BD95" s="29" t="s">
        <v>3687</v>
      </c>
      <c r="BE95" s="37" t="str">
        <f t="shared" si="2"/>
        <v>"Capital"</v>
      </c>
    </row>
    <row r="96" spans="1:57" ht="7.5" customHeight="1" x14ac:dyDescent="0.4">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3775</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3689</v>
      </c>
      <c r="AX96" s="29" t="s">
        <v>3486</v>
      </c>
      <c r="AY96" s="37" t="s">
        <v>3689</v>
      </c>
      <c r="AZ96" s="29" t="s">
        <v>3700</v>
      </c>
      <c r="BA96" s="37" t="s">
        <v>3689</v>
      </c>
      <c r="BB96" s="29" t="s">
        <v>3686</v>
      </c>
      <c r="BC96" s="37" t="s">
        <v>3688</v>
      </c>
      <c r="BD96" s="29" t="s">
        <v>3687</v>
      </c>
      <c r="BE96" s="37" t="str">
        <f t="shared" si="2"/>
        <v>"Capital"</v>
      </c>
    </row>
    <row r="97" spans="1:57" ht="7.5" customHeight="1" x14ac:dyDescent="0.4">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3768</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3689</v>
      </c>
      <c r="AX97" s="29" t="s">
        <v>3486</v>
      </c>
      <c r="AY97" s="37" t="s">
        <v>3689</v>
      </c>
      <c r="AZ97" s="29" t="s">
        <v>3700</v>
      </c>
      <c r="BA97" s="37" t="s">
        <v>3689</v>
      </c>
      <c r="BB97" s="29" t="s">
        <v>3686</v>
      </c>
      <c r="BC97" s="37" t="s">
        <v>3688</v>
      </c>
      <c r="BD97" s="29" t="s">
        <v>3687</v>
      </c>
      <c r="BE97" s="37" t="str">
        <f t="shared" si="2"/>
        <v>"Capital"</v>
      </c>
    </row>
    <row r="98" spans="1:57" ht="7.5" customHeight="1" x14ac:dyDescent="0.4">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3769</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3689</v>
      </c>
      <c r="AX98" s="29" t="s">
        <v>3486</v>
      </c>
      <c r="AY98" s="37" t="s">
        <v>3689</v>
      </c>
      <c r="AZ98" s="29" t="s">
        <v>3700</v>
      </c>
      <c r="BA98" s="37" t="s">
        <v>3689</v>
      </c>
      <c r="BB98" s="29" t="s">
        <v>3686</v>
      </c>
      <c r="BC98" s="37" t="s">
        <v>3688</v>
      </c>
      <c r="BD98" s="29" t="s">
        <v>3687</v>
      </c>
      <c r="BE98" s="37" t="str">
        <f t="shared" si="2"/>
        <v>"Capital"</v>
      </c>
    </row>
    <row r="99" spans="1:57" ht="7.5" customHeight="1" x14ac:dyDescent="0.4">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3770</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3689</v>
      </c>
      <c r="AX99" s="29" t="s">
        <v>3486</v>
      </c>
      <c r="AY99" s="37" t="s">
        <v>3689</v>
      </c>
      <c r="AZ99" s="29" t="s">
        <v>3700</v>
      </c>
      <c r="BA99" s="37" t="s">
        <v>3689</v>
      </c>
      <c r="BB99" s="29" t="s">
        <v>3686</v>
      </c>
      <c r="BC99" s="37" t="s">
        <v>3688</v>
      </c>
      <c r="BD99" s="29" t="s">
        <v>3687</v>
      </c>
      <c r="BE99" s="37" t="str">
        <f t="shared" si="2"/>
        <v>"Capital"</v>
      </c>
    </row>
    <row r="100" spans="1:57" ht="7.5" customHeight="1" x14ac:dyDescent="0.4">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3771</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3689</v>
      </c>
      <c r="AX100" s="29" t="s">
        <v>3486</v>
      </c>
      <c r="AY100" s="37" t="s">
        <v>3689</v>
      </c>
      <c r="AZ100" s="29" t="s">
        <v>3700</v>
      </c>
      <c r="BA100" s="37" t="s">
        <v>3689</v>
      </c>
      <c r="BB100" s="29" t="s">
        <v>3686</v>
      </c>
      <c r="BC100" s="37" t="s">
        <v>3688</v>
      </c>
      <c r="BD100" s="29" t="s">
        <v>3687</v>
      </c>
      <c r="BE100" s="37" t="str">
        <f t="shared" si="2"/>
        <v>"Capital"</v>
      </c>
    </row>
    <row r="101" spans="1:57" ht="7.5" customHeight="1" x14ac:dyDescent="0.4">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3772</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3689</v>
      </c>
      <c r="AX101" s="29" t="s">
        <v>3486</v>
      </c>
      <c r="AY101" s="37" t="s">
        <v>3689</v>
      </c>
      <c r="AZ101" s="29" t="s">
        <v>3700</v>
      </c>
      <c r="BA101" s="37" t="s">
        <v>3689</v>
      </c>
      <c r="BB101" s="29" t="s">
        <v>3686</v>
      </c>
      <c r="BC101" s="37" t="s">
        <v>3688</v>
      </c>
      <c r="BD101" s="29" t="s">
        <v>3687</v>
      </c>
      <c r="BE101" s="37" t="str">
        <f t="shared" si="2"/>
        <v>"Capital"</v>
      </c>
    </row>
    <row r="102" spans="1:57" ht="7.5" customHeight="1" x14ac:dyDescent="0.4">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3776</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3689</v>
      </c>
      <c r="AX102" s="29" t="s">
        <v>3486</v>
      </c>
      <c r="AY102" s="37" t="s">
        <v>3689</v>
      </c>
      <c r="AZ102" s="29" t="s">
        <v>3700</v>
      </c>
      <c r="BA102" s="37" t="s">
        <v>3689</v>
      </c>
      <c r="BB102" s="29" t="s">
        <v>3686</v>
      </c>
      <c r="BC102" s="37" t="s">
        <v>3688</v>
      </c>
      <c r="BD102" s="29" t="s">
        <v>3687</v>
      </c>
      <c r="BE102" s="37" t="str">
        <f t="shared" si="2"/>
        <v>"Capital"</v>
      </c>
    </row>
    <row r="103" spans="1:57" ht="7.5" customHeight="1" x14ac:dyDescent="0.4">
      <c r="A103" s="35">
        <v>103</v>
      </c>
      <c r="B103" s="58" t="s">
        <v>3695</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3773</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3689</v>
      </c>
      <c r="AX103" s="29" t="s">
        <v>3486</v>
      </c>
      <c r="AY103" s="37" t="s">
        <v>3689</v>
      </c>
      <c r="AZ103" s="29" t="s">
        <v>3700</v>
      </c>
      <c r="BA103" s="37" t="s">
        <v>3689</v>
      </c>
      <c r="BB103" s="29" t="s">
        <v>3686</v>
      </c>
      <c r="BC103" s="37" t="s">
        <v>3688</v>
      </c>
      <c r="BD103" s="29" t="s">
        <v>3687</v>
      </c>
      <c r="BE103" s="37" t="str">
        <f t="shared" si="2"/>
        <v>"Capital"</v>
      </c>
    </row>
    <row r="104" spans="1:57" ht="7.5" customHeight="1" x14ac:dyDescent="0.4">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3777</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3689</v>
      </c>
      <c r="AX104" s="29" t="s">
        <v>3486</v>
      </c>
      <c r="AY104" s="37" t="s">
        <v>3689</v>
      </c>
      <c r="AZ104" s="29" t="s">
        <v>3700</v>
      </c>
      <c r="BA104" s="37" t="s">
        <v>3689</v>
      </c>
      <c r="BB104" s="29" t="s">
        <v>3686</v>
      </c>
      <c r="BC104" s="37" t="s">
        <v>3688</v>
      </c>
      <c r="BD104" s="29" t="s">
        <v>3687</v>
      </c>
      <c r="BE104" s="37" t="str">
        <f t="shared" si="2"/>
        <v>"Capital"</v>
      </c>
    </row>
    <row r="105" spans="1:57" ht="7.5" customHeight="1" x14ac:dyDescent="0.4">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3778</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3689</v>
      </c>
      <c r="AX105" s="29" t="s">
        <v>3486</v>
      </c>
      <c r="AY105" s="37" t="s">
        <v>3689</v>
      </c>
      <c r="AZ105" s="29" t="s">
        <v>3700</v>
      </c>
      <c r="BA105" s="37" t="s">
        <v>3689</v>
      </c>
      <c r="BB105" s="29" t="s">
        <v>3686</v>
      </c>
      <c r="BC105" s="37" t="s">
        <v>3688</v>
      </c>
      <c r="BD105" s="29" t="s">
        <v>3687</v>
      </c>
      <c r="BE105" s="37" t="str">
        <f t="shared" si="2"/>
        <v>"Capital"</v>
      </c>
    </row>
    <row r="106" spans="1:57" ht="7.5" customHeight="1" x14ac:dyDescent="0.4">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3774</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3689</v>
      </c>
      <c r="AX106" s="29" t="s">
        <v>3486</v>
      </c>
      <c r="AY106" s="37" t="s">
        <v>3689</v>
      </c>
      <c r="AZ106" s="29" t="s">
        <v>3700</v>
      </c>
      <c r="BA106" s="37" t="s">
        <v>3689</v>
      </c>
      <c r="BB106" s="29" t="s">
        <v>3686</v>
      </c>
      <c r="BC106" s="37" t="s">
        <v>3688</v>
      </c>
      <c r="BD106" s="29" t="s">
        <v>3687</v>
      </c>
      <c r="BE106" s="37" t="str">
        <f t="shared" si="2"/>
        <v>"Capital"</v>
      </c>
    </row>
    <row r="107" spans="1:57" ht="7.5" customHeight="1" x14ac:dyDescent="0.4">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3779</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3689</v>
      </c>
      <c r="AX107" s="29" t="s">
        <v>3486</v>
      </c>
      <c r="AY107" s="37" t="s">
        <v>3689</v>
      </c>
      <c r="AZ107" s="29" t="s">
        <v>3700</v>
      </c>
      <c r="BA107" s="37" t="s">
        <v>3689</v>
      </c>
      <c r="BB107" s="29" t="s">
        <v>3686</v>
      </c>
      <c r="BC107" s="37" t="s">
        <v>3688</v>
      </c>
      <c r="BD107" s="29" t="s">
        <v>3687</v>
      </c>
      <c r="BE107" s="37" t="str">
        <f t="shared" si="2"/>
        <v>"Capital"</v>
      </c>
    </row>
    <row r="108" spans="1:57" ht="7.5" customHeight="1" x14ac:dyDescent="0.4">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3780</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3689</v>
      </c>
      <c r="AX108" s="29" t="s">
        <v>3486</v>
      </c>
      <c r="AY108" s="37" t="s">
        <v>3689</v>
      </c>
      <c r="AZ108" s="29" t="s">
        <v>3700</v>
      </c>
      <c r="BA108" s="37" t="s">
        <v>3689</v>
      </c>
      <c r="BB108" s="29" t="s">
        <v>3686</v>
      </c>
      <c r="BC108" s="37" t="s">
        <v>3688</v>
      </c>
      <c r="BD108" s="29" t="s">
        <v>3687</v>
      </c>
      <c r="BE108" s="37" t="str">
        <f t="shared" si="2"/>
        <v>"Capital"</v>
      </c>
    </row>
    <row r="109" spans="1:57" ht="7.5" customHeight="1" x14ac:dyDescent="0.4">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3781</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3689</v>
      </c>
      <c r="AX109" s="29" t="s">
        <v>3486</v>
      </c>
      <c r="AY109" s="37" t="s">
        <v>3689</v>
      </c>
      <c r="AZ109" s="29" t="s">
        <v>3700</v>
      </c>
      <c r="BA109" s="37" t="s">
        <v>3689</v>
      </c>
      <c r="BB109" s="29" t="s">
        <v>3686</v>
      </c>
      <c r="BC109" s="37" t="s">
        <v>3688</v>
      </c>
      <c r="BD109" s="29" t="s">
        <v>3687</v>
      </c>
      <c r="BE109" s="37" t="str">
        <f t="shared" si="2"/>
        <v>"Capital"</v>
      </c>
    </row>
    <row r="110" spans="1:57" ht="7.5" customHeight="1" x14ac:dyDescent="0.4">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3782</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3689</v>
      </c>
      <c r="AX110" s="29" t="s">
        <v>3486</v>
      </c>
      <c r="AY110" s="37" t="s">
        <v>3689</v>
      </c>
      <c r="AZ110" s="29" t="s">
        <v>3700</v>
      </c>
      <c r="BA110" s="37" t="s">
        <v>3689</v>
      </c>
      <c r="BB110" s="29" t="s">
        <v>3686</v>
      </c>
      <c r="BC110" s="37" t="s">
        <v>3688</v>
      </c>
      <c r="BD110" s="29" t="s">
        <v>3687</v>
      </c>
      <c r="BE110" s="37" t="str">
        <f t="shared" si="2"/>
        <v>"Capital"</v>
      </c>
    </row>
    <row r="111" spans="1:57" ht="7.5" customHeight="1" x14ac:dyDescent="0.4">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3783</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3689</v>
      </c>
      <c r="AX111" s="29" t="s">
        <v>3486</v>
      </c>
      <c r="AY111" s="37" t="s">
        <v>3689</v>
      </c>
      <c r="AZ111" s="29" t="s">
        <v>3700</v>
      </c>
      <c r="BA111" s="37" t="s">
        <v>3689</v>
      </c>
      <c r="BB111" s="29" t="s">
        <v>3686</v>
      </c>
      <c r="BC111" s="37" t="s">
        <v>3688</v>
      </c>
      <c r="BD111" s="29" t="s">
        <v>3687</v>
      </c>
      <c r="BE111" s="37" t="str">
        <f t="shared" si="2"/>
        <v>"Capital"</v>
      </c>
    </row>
    <row r="112" spans="1:57" ht="7.5" customHeight="1" x14ac:dyDescent="0.4">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3784</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3689</v>
      </c>
      <c r="AX112" s="29" t="s">
        <v>3486</v>
      </c>
      <c r="AY112" s="37" t="s">
        <v>3689</v>
      </c>
      <c r="AZ112" s="29" t="s">
        <v>3700</v>
      </c>
      <c r="BA112" s="37" t="s">
        <v>3689</v>
      </c>
      <c r="BB112" s="29" t="s">
        <v>3686</v>
      </c>
      <c r="BC112" s="37" t="s">
        <v>3688</v>
      </c>
      <c r="BD112" s="29" t="s">
        <v>3687</v>
      </c>
      <c r="BE112" s="37" t="str">
        <f t="shared" si="2"/>
        <v>"Capital"</v>
      </c>
    </row>
    <row r="113" spans="1:57" ht="7.5" customHeight="1" x14ac:dyDescent="0.4">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3689</v>
      </c>
      <c r="AX113" s="29" t="s">
        <v>3486</v>
      </c>
      <c r="AY113" s="37" t="s">
        <v>3689</v>
      </c>
      <c r="AZ113" s="29" t="s">
        <v>3700</v>
      </c>
      <c r="BA113" s="37" t="s">
        <v>3689</v>
      </c>
      <c r="BB113" s="29" t="s">
        <v>3686</v>
      </c>
      <c r="BC113" s="37" t="s">
        <v>3688</v>
      </c>
      <c r="BD113" s="29" t="s">
        <v>3687</v>
      </c>
      <c r="BE113" s="37" t="str">
        <f t="shared" si="2"/>
        <v>"Região"</v>
      </c>
    </row>
    <row r="114" spans="1:57" ht="7.5" customHeight="1" x14ac:dyDescent="0.4">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3689</v>
      </c>
      <c r="AX114" s="29" t="s">
        <v>3486</v>
      </c>
      <c r="AY114" s="37" t="s">
        <v>3689</v>
      </c>
      <c r="AZ114" s="29" t="s">
        <v>3700</v>
      </c>
      <c r="BA114" s="37" t="s">
        <v>3689</v>
      </c>
      <c r="BB114" s="29" t="s">
        <v>3686</v>
      </c>
      <c r="BC114" s="37" t="s">
        <v>3688</v>
      </c>
      <c r="BD114" s="29" t="s">
        <v>3687</v>
      </c>
      <c r="BE114" s="37" t="str">
        <f t="shared" si="2"/>
        <v>"Região"</v>
      </c>
    </row>
    <row r="115" spans="1:57" ht="7.5" customHeight="1" x14ac:dyDescent="0.4">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3689</v>
      </c>
      <c r="AX115" s="29" t="s">
        <v>3486</v>
      </c>
      <c r="AY115" s="37" t="s">
        <v>3689</v>
      </c>
      <c r="AZ115" s="29" t="s">
        <v>3700</v>
      </c>
      <c r="BA115" s="37" t="s">
        <v>3689</v>
      </c>
      <c r="BB115" s="29" t="s">
        <v>3686</v>
      </c>
      <c r="BC115" s="37" t="s">
        <v>3688</v>
      </c>
      <c r="BD115" s="29" t="s">
        <v>3687</v>
      </c>
      <c r="BE115" s="37" t="str">
        <f t="shared" si="2"/>
        <v>"Região"</v>
      </c>
    </row>
    <row r="116" spans="1:57" ht="7.5" customHeight="1" x14ac:dyDescent="0.4">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3689</v>
      </c>
      <c r="AX116" s="29" t="s">
        <v>3486</v>
      </c>
      <c r="AY116" s="37" t="s">
        <v>3689</v>
      </c>
      <c r="AZ116" s="29" t="s">
        <v>3700</v>
      </c>
      <c r="BA116" s="37" t="s">
        <v>3689</v>
      </c>
      <c r="BB116" s="29" t="s">
        <v>3686</v>
      </c>
      <c r="BC116" s="37" t="s">
        <v>3688</v>
      </c>
      <c r="BD116" s="29" t="s">
        <v>3687</v>
      </c>
      <c r="BE116" s="37" t="str">
        <f t="shared" si="2"/>
        <v>"Região"</v>
      </c>
    </row>
    <row r="117" spans="1:57" ht="7.5" customHeight="1" x14ac:dyDescent="0.4">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3689</v>
      </c>
      <c r="AX117" s="29" t="s">
        <v>3486</v>
      </c>
      <c r="AY117" s="37" t="s">
        <v>3689</v>
      </c>
      <c r="AZ117" s="29" t="s">
        <v>3700</v>
      </c>
      <c r="BA117" s="37" t="s">
        <v>3689</v>
      </c>
      <c r="BB117" s="29" t="s">
        <v>3686</v>
      </c>
      <c r="BC117" s="37" t="s">
        <v>3688</v>
      </c>
      <c r="BD117" s="29" t="s">
        <v>3687</v>
      </c>
      <c r="BE117" s="37" t="str">
        <f t="shared" si="2"/>
        <v>"Região"</v>
      </c>
    </row>
    <row r="118" spans="1:57" ht="7.5" customHeight="1" x14ac:dyDescent="0.4">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3689</v>
      </c>
      <c r="AX118" s="29" t="s">
        <v>3486</v>
      </c>
      <c r="AY118" s="37" t="s">
        <v>3689</v>
      </c>
      <c r="AZ118" s="29" t="s">
        <v>3700</v>
      </c>
      <c r="BA118" s="37" t="s">
        <v>3689</v>
      </c>
      <c r="BB118" s="29" t="s">
        <v>3686</v>
      </c>
      <c r="BC118" s="37" t="s">
        <v>3688</v>
      </c>
      <c r="BD118" s="29" t="s">
        <v>3687</v>
      </c>
      <c r="BE118" s="37" t="str">
        <f t="shared" si="2"/>
        <v>"Região"</v>
      </c>
    </row>
    <row r="119" spans="1:57" ht="7.5" customHeight="1" x14ac:dyDescent="0.4">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3689</v>
      </c>
      <c r="AX119" s="29" t="s">
        <v>3486</v>
      </c>
      <c r="AY119" s="37" t="s">
        <v>3689</v>
      </c>
      <c r="AZ119" s="29" t="s">
        <v>3700</v>
      </c>
      <c r="BA119" s="37" t="s">
        <v>3689</v>
      </c>
      <c r="BB119" s="29" t="s">
        <v>3686</v>
      </c>
      <c r="BC119" s="37" t="s">
        <v>3688</v>
      </c>
      <c r="BD119" s="29" t="s">
        <v>3687</v>
      </c>
      <c r="BE119" s="37" t="str">
        <f t="shared" si="2"/>
        <v>"Região"</v>
      </c>
    </row>
    <row r="120" spans="1:57" ht="7.5" customHeight="1" x14ac:dyDescent="0.4">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3689</v>
      </c>
      <c r="AX120" s="29" t="s">
        <v>3486</v>
      </c>
      <c r="AY120" s="37" t="s">
        <v>3689</v>
      </c>
      <c r="AZ120" s="29" t="s">
        <v>3700</v>
      </c>
      <c r="BA120" s="37" t="s">
        <v>3689</v>
      </c>
      <c r="BB120" s="29" t="s">
        <v>3686</v>
      </c>
      <c r="BC120" s="37" t="s">
        <v>3688</v>
      </c>
      <c r="BD120" s="29" t="s">
        <v>3687</v>
      </c>
      <c r="BE120" s="37" t="str">
        <f t="shared" si="2"/>
        <v>"Região"</v>
      </c>
    </row>
    <row r="121" spans="1:57" ht="7.5" customHeight="1" x14ac:dyDescent="0.4">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3689</v>
      </c>
      <c r="AX121" s="29" t="s">
        <v>3486</v>
      </c>
      <c r="AY121" s="37" t="s">
        <v>3689</v>
      </c>
      <c r="AZ121" s="29" t="s">
        <v>3700</v>
      </c>
      <c r="BA121" s="37" t="s">
        <v>3689</v>
      </c>
      <c r="BB121" s="29" t="s">
        <v>3686</v>
      </c>
      <c r="BC121" s="37" t="s">
        <v>3688</v>
      </c>
      <c r="BD121" s="29" t="s">
        <v>3687</v>
      </c>
      <c r="BE121" s="37" t="str">
        <f t="shared" ref="BE121:BE147" si="3">_xlfn.CONCAT("""",C121,"""")</f>
        <v>"Região"</v>
      </c>
    </row>
    <row r="122" spans="1:57" ht="7.5" customHeight="1" x14ac:dyDescent="0.4">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3689</v>
      </c>
      <c r="AX122" s="29" t="s">
        <v>3486</v>
      </c>
      <c r="AY122" s="37" t="s">
        <v>3689</v>
      </c>
      <c r="AZ122" s="29" t="s">
        <v>3700</v>
      </c>
      <c r="BA122" s="37" t="s">
        <v>3689</v>
      </c>
      <c r="BB122" s="29" t="s">
        <v>3686</v>
      </c>
      <c r="BC122" s="37" t="s">
        <v>3688</v>
      </c>
      <c r="BD122" s="29" t="s">
        <v>3687</v>
      </c>
      <c r="BE122" s="37" t="str">
        <f t="shared" si="3"/>
        <v>"Região"</v>
      </c>
    </row>
    <row r="123" spans="1:57" ht="7.5" customHeight="1" x14ac:dyDescent="0.4">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3689</v>
      </c>
      <c r="AX123" s="29" t="s">
        <v>3486</v>
      </c>
      <c r="AY123" s="37" t="s">
        <v>3689</v>
      </c>
      <c r="AZ123" s="29" t="s">
        <v>3700</v>
      </c>
      <c r="BA123" s="37" t="s">
        <v>3689</v>
      </c>
      <c r="BB123" s="29" t="s">
        <v>3686</v>
      </c>
      <c r="BC123" s="37" t="s">
        <v>3688</v>
      </c>
      <c r="BD123" s="29" t="s">
        <v>3687</v>
      </c>
      <c r="BE123" s="37" t="str">
        <f t="shared" si="3"/>
        <v>"Zona.Climática"</v>
      </c>
    </row>
    <row r="124" spans="1:57" ht="7.5" customHeight="1" x14ac:dyDescent="0.4">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3689</v>
      </c>
      <c r="AX124" s="29" t="s">
        <v>3486</v>
      </c>
      <c r="AY124" s="37" t="s">
        <v>3689</v>
      </c>
      <c r="AZ124" s="29" t="s">
        <v>3700</v>
      </c>
      <c r="BA124" s="37" t="s">
        <v>3689</v>
      </c>
      <c r="BB124" s="29" t="s">
        <v>3686</v>
      </c>
      <c r="BC124" s="37" t="s">
        <v>3688</v>
      </c>
      <c r="BD124" s="29" t="s">
        <v>3687</v>
      </c>
      <c r="BE124" s="37" t="str">
        <f t="shared" si="3"/>
        <v>"Zona.Climática"</v>
      </c>
    </row>
    <row r="125" spans="1:57" ht="7.5" customHeight="1" x14ac:dyDescent="0.4">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3689</v>
      </c>
      <c r="AX125" s="29" t="s">
        <v>3486</v>
      </c>
      <c r="AY125" s="37" t="s">
        <v>3689</v>
      </c>
      <c r="AZ125" s="29" t="s">
        <v>3700</v>
      </c>
      <c r="BA125" s="37" t="s">
        <v>3689</v>
      </c>
      <c r="BB125" s="29" t="s">
        <v>3686</v>
      </c>
      <c r="BC125" s="37" t="s">
        <v>3688</v>
      </c>
      <c r="BD125" s="29" t="s">
        <v>3687</v>
      </c>
      <c r="BE125" s="37" t="str">
        <f t="shared" si="3"/>
        <v>"Zona.Climática"</v>
      </c>
    </row>
    <row r="126" spans="1:57" ht="7.5" customHeight="1" x14ac:dyDescent="0.4">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3689</v>
      </c>
      <c r="AX126" s="29" t="s">
        <v>3486</v>
      </c>
      <c r="AY126" s="37" t="s">
        <v>3689</v>
      </c>
      <c r="AZ126" s="29" t="s">
        <v>3700</v>
      </c>
      <c r="BA126" s="37" t="s">
        <v>3689</v>
      </c>
      <c r="BB126" s="29" t="s">
        <v>3686</v>
      </c>
      <c r="BC126" s="37" t="s">
        <v>3688</v>
      </c>
      <c r="BD126" s="29" t="s">
        <v>3687</v>
      </c>
      <c r="BE126" s="37" t="str">
        <f t="shared" si="3"/>
        <v>"Zona.Climática"</v>
      </c>
    </row>
    <row r="127" spans="1:57" ht="7.5" customHeight="1" x14ac:dyDescent="0.4">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3689</v>
      </c>
      <c r="AX127" s="29" t="s">
        <v>3486</v>
      </c>
      <c r="AY127" s="37" t="s">
        <v>3689</v>
      </c>
      <c r="AZ127" s="29" t="s">
        <v>3700</v>
      </c>
      <c r="BA127" s="37" t="s">
        <v>3689</v>
      </c>
      <c r="BB127" s="29" t="s">
        <v>3686</v>
      </c>
      <c r="BC127" s="37" t="s">
        <v>3688</v>
      </c>
      <c r="BD127" s="29" t="s">
        <v>3687</v>
      </c>
      <c r="BE127" s="37" t="str">
        <f t="shared" si="3"/>
        <v>"Zona.Climática"</v>
      </c>
    </row>
    <row r="128" spans="1:57" ht="7.5" customHeight="1" x14ac:dyDescent="0.4">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3689</v>
      </c>
      <c r="AX128" s="29" t="s">
        <v>3486</v>
      </c>
      <c r="AY128" s="37" t="s">
        <v>3689</v>
      </c>
      <c r="AZ128" s="29" t="s">
        <v>3700</v>
      </c>
      <c r="BA128" s="37" t="s">
        <v>3689</v>
      </c>
      <c r="BB128" s="29" t="s">
        <v>3686</v>
      </c>
      <c r="BC128" s="37" t="s">
        <v>3688</v>
      </c>
      <c r="BD128" s="29" t="s">
        <v>3687</v>
      </c>
      <c r="BE128" s="37" t="str">
        <f t="shared" si="3"/>
        <v>"Zona.Climática"</v>
      </c>
    </row>
    <row r="129" spans="1:57" ht="7.5" customHeight="1" x14ac:dyDescent="0.4">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3689</v>
      </c>
      <c r="AX129" s="29" t="s">
        <v>3486</v>
      </c>
      <c r="AY129" s="37" t="s">
        <v>3689</v>
      </c>
      <c r="AZ129" s="29" t="s">
        <v>3700</v>
      </c>
      <c r="BA129" s="37" t="s">
        <v>3689</v>
      </c>
      <c r="BB129" s="29" t="s">
        <v>3686</v>
      </c>
      <c r="BC129" s="37" t="s">
        <v>3688</v>
      </c>
      <c r="BD129" s="29" t="s">
        <v>3687</v>
      </c>
      <c r="BE129" s="37" t="str">
        <f t="shared" si="3"/>
        <v>"Zona.Climática"</v>
      </c>
    </row>
    <row r="130" spans="1:57" ht="7.5" customHeight="1" x14ac:dyDescent="0.4">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3689</v>
      </c>
      <c r="AX130" s="29" t="s">
        <v>3486</v>
      </c>
      <c r="AY130" s="37" t="s">
        <v>3689</v>
      </c>
      <c r="AZ130" s="29" t="s">
        <v>3700</v>
      </c>
      <c r="BA130" s="37" t="s">
        <v>3689</v>
      </c>
      <c r="BB130" s="29" t="s">
        <v>3686</v>
      </c>
      <c r="BC130" s="37" t="s">
        <v>3688</v>
      </c>
      <c r="BD130" s="29" t="s">
        <v>3687</v>
      </c>
      <c r="BE130" s="37" t="str">
        <f t="shared" si="3"/>
        <v>"Zona.Climática"</v>
      </c>
    </row>
    <row r="131" spans="1:57" ht="7.5" customHeight="1" x14ac:dyDescent="0.4">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3689</v>
      </c>
      <c r="AX131" s="29" t="s">
        <v>3486</v>
      </c>
      <c r="AY131" s="37" t="s">
        <v>3689</v>
      </c>
      <c r="AZ131" s="29" t="s">
        <v>3700</v>
      </c>
      <c r="BA131" s="37" t="s">
        <v>3689</v>
      </c>
      <c r="BB131" s="29" t="s">
        <v>3686</v>
      </c>
      <c r="BC131" s="37" t="s">
        <v>3688</v>
      </c>
      <c r="BD131" s="29" t="s">
        <v>3687</v>
      </c>
      <c r="BE131" s="37" t="str">
        <f t="shared" si="3"/>
        <v>"Zona.Climática.Local"</v>
      </c>
    </row>
    <row r="132" spans="1:57" ht="7.5" customHeight="1" x14ac:dyDescent="0.4">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3689</v>
      </c>
      <c r="AX132" s="29" t="s">
        <v>3486</v>
      </c>
      <c r="AY132" s="37" t="s">
        <v>3689</v>
      </c>
      <c r="AZ132" s="29" t="s">
        <v>3700</v>
      </c>
      <c r="BA132" s="37" t="s">
        <v>3689</v>
      </c>
      <c r="BB132" s="29" t="s">
        <v>3686</v>
      </c>
      <c r="BC132" s="37" t="s">
        <v>3688</v>
      </c>
      <c r="BD132" s="29" t="s">
        <v>3687</v>
      </c>
      <c r="BE132" s="37" t="str">
        <f t="shared" si="3"/>
        <v>"Zona.Climática.Local"</v>
      </c>
    </row>
    <row r="133" spans="1:57" ht="7.5" customHeight="1" x14ac:dyDescent="0.4">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3689</v>
      </c>
      <c r="AX133" s="29" t="s">
        <v>3486</v>
      </c>
      <c r="AY133" s="37" t="s">
        <v>3689</v>
      </c>
      <c r="AZ133" s="29" t="s">
        <v>3700</v>
      </c>
      <c r="BA133" s="37" t="s">
        <v>3689</v>
      </c>
      <c r="BB133" s="29" t="s">
        <v>3686</v>
      </c>
      <c r="BC133" s="37" t="s">
        <v>3688</v>
      </c>
      <c r="BD133" s="29" t="s">
        <v>3687</v>
      </c>
      <c r="BE133" s="37" t="str">
        <f t="shared" si="3"/>
        <v>"Zona.Climática.Local"</v>
      </c>
    </row>
    <row r="134" spans="1:57" ht="7.5" customHeight="1" x14ac:dyDescent="0.4">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3689</v>
      </c>
      <c r="AX134" s="29" t="s">
        <v>3486</v>
      </c>
      <c r="AY134" s="37" t="s">
        <v>3689</v>
      </c>
      <c r="AZ134" s="29" t="s">
        <v>3700</v>
      </c>
      <c r="BA134" s="37" t="s">
        <v>3689</v>
      </c>
      <c r="BB134" s="29" t="s">
        <v>3686</v>
      </c>
      <c r="BC134" s="37" t="s">
        <v>3688</v>
      </c>
      <c r="BD134" s="29" t="s">
        <v>3687</v>
      </c>
      <c r="BE134" s="37" t="str">
        <f t="shared" si="3"/>
        <v>"Zona.Climática.Local"</v>
      </c>
    </row>
    <row r="135" spans="1:57" ht="7.5" customHeight="1" x14ac:dyDescent="0.4">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3689</v>
      </c>
      <c r="AX135" s="29" t="s">
        <v>3486</v>
      </c>
      <c r="AY135" s="37" t="s">
        <v>3689</v>
      </c>
      <c r="AZ135" s="29" t="s">
        <v>3700</v>
      </c>
      <c r="BA135" s="37" t="s">
        <v>3689</v>
      </c>
      <c r="BB135" s="29" t="s">
        <v>3686</v>
      </c>
      <c r="BC135" s="37" t="s">
        <v>3688</v>
      </c>
      <c r="BD135" s="29" t="s">
        <v>3687</v>
      </c>
      <c r="BE135" s="37" t="str">
        <f t="shared" si="3"/>
        <v>"Zona.Climática.Local"</v>
      </c>
    </row>
    <row r="136" spans="1:57" ht="7.5" customHeight="1" x14ac:dyDescent="0.4">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3689</v>
      </c>
      <c r="AX136" s="29" t="s">
        <v>3486</v>
      </c>
      <c r="AY136" s="37" t="s">
        <v>3689</v>
      </c>
      <c r="AZ136" s="29" t="s">
        <v>3700</v>
      </c>
      <c r="BA136" s="37" t="s">
        <v>3689</v>
      </c>
      <c r="BB136" s="29" t="s">
        <v>3686</v>
      </c>
      <c r="BC136" s="37" t="s">
        <v>3688</v>
      </c>
      <c r="BD136" s="29" t="s">
        <v>3687</v>
      </c>
      <c r="BE136" s="37" t="str">
        <f t="shared" si="3"/>
        <v>"Zona.Climática.Local"</v>
      </c>
    </row>
    <row r="137" spans="1:57" ht="7.5" customHeight="1" x14ac:dyDescent="0.4">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3689</v>
      </c>
      <c r="AX137" s="29" t="s">
        <v>3486</v>
      </c>
      <c r="AY137" s="37" t="s">
        <v>3689</v>
      </c>
      <c r="AZ137" s="29" t="s">
        <v>3700</v>
      </c>
      <c r="BA137" s="37" t="s">
        <v>3689</v>
      </c>
      <c r="BB137" s="29" t="s">
        <v>3686</v>
      </c>
      <c r="BC137" s="37" t="s">
        <v>3688</v>
      </c>
      <c r="BD137" s="29" t="s">
        <v>3687</v>
      </c>
      <c r="BE137" s="37" t="str">
        <f t="shared" si="3"/>
        <v>"Zona.Climática.Local"</v>
      </c>
    </row>
    <row r="138" spans="1:57" ht="7.5" customHeight="1" x14ac:dyDescent="0.4">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3689</v>
      </c>
      <c r="AX138" s="29" t="s">
        <v>3486</v>
      </c>
      <c r="AY138" s="37" t="s">
        <v>3689</v>
      </c>
      <c r="AZ138" s="29" t="s">
        <v>3700</v>
      </c>
      <c r="BA138" s="37" t="s">
        <v>3689</v>
      </c>
      <c r="BB138" s="29" t="s">
        <v>3686</v>
      </c>
      <c r="BC138" s="37" t="s">
        <v>3688</v>
      </c>
      <c r="BD138" s="29" t="s">
        <v>3687</v>
      </c>
      <c r="BE138" s="37" t="str">
        <f t="shared" si="3"/>
        <v>"Zona.Climática.Local"</v>
      </c>
    </row>
    <row r="139" spans="1:57" ht="7.5" customHeight="1" x14ac:dyDescent="0.4">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3689</v>
      </c>
      <c r="AX139" s="29" t="s">
        <v>3486</v>
      </c>
      <c r="AY139" s="37" t="s">
        <v>3689</v>
      </c>
      <c r="AZ139" s="29" t="s">
        <v>3700</v>
      </c>
      <c r="BA139" s="37" t="s">
        <v>3689</v>
      </c>
      <c r="BB139" s="29" t="s">
        <v>3686</v>
      </c>
      <c r="BC139" s="37" t="s">
        <v>3688</v>
      </c>
      <c r="BD139" s="29" t="s">
        <v>3687</v>
      </c>
      <c r="BE139" s="37" t="str">
        <f t="shared" si="3"/>
        <v>"Zona.Climática.Local"</v>
      </c>
    </row>
    <row r="140" spans="1:57" ht="7.5" customHeight="1" x14ac:dyDescent="0.4">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3689</v>
      </c>
      <c r="AX140" s="29" t="s">
        <v>3486</v>
      </c>
      <c r="AY140" s="37" t="s">
        <v>3689</v>
      </c>
      <c r="AZ140" s="29" t="s">
        <v>3700</v>
      </c>
      <c r="BA140" s="37" t="s">
        <v>3689</v>
      </c>
      <c r="BB140" s="29" t="s">
        <v>3686</v>
      </c>
      <c r="BC140" s="37" t="s">
        <v>3688</v>
      </c>
      <c r="BD140" s="29" t="s">
        <v>3687</v>
      </c>
      <c r="BE140" s="37" t="str">
        <f t="shared" si="3"/>
        <v>"Zona.Climática.Local"</v>
      </c>
    </row>
    <row r="141" spans="1:57" ht="7.5" customHeight="1" x14ac:dyDescent="0.4">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3689</v>
      </c>
      <c r="AX141" s="29" t="s">
        <v>3486</v>
      </c>
      <c r="AY141" s="37" t="s">
        <v>3689</v>
      </c>
      <c r="AZ141" s="29" t="s">
        <v>3700</v>
      </c>
      <c r="BA141" s="37" t="s">
        <v>3689</v>
      </c>
      <c r="BB141" s="29" t="s">
        <v>3686</v>
      </c>
      <c r="BC141" s="37" t="s">
        <v>3688</v>
      </c>
      <c r="BD141" s="29" t="s">
        <v>3687</v>
      </c>
      <c r="BE141" s="37" t="str">
        <f t="shared" si="3"/>
        <v>"Zona.Climática.Local"</v>
      </c>
    </row>
    <row r="142" spans="1:57" ht="7.5" customHeight="1" x14ac:dyDescent="0.4">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3689</v>
      </c>
      <c r="AX142" s="29" t="s">
        <v>3486</v>
      </c>
      <c r="AY142" s="37" t="s">
        <v>3689</v>
      </c>
      <c r="AZ142" s="29" t="s">
        <v>3700</v>
      </c>
      <c r="BA142" s="37" t="s">
        <v>3689</v>
      </c>
      <c r="BB142" s="29" t="s">
        <v>3686</v>
      </c>
      <c r="BC142" s="37" t="s">
        <v>3688</v>
      </c>
      <c r="BD142" s="29" t="s">
        <v>3687</v>
      </c>
      <c r="BE142" s="37" t="str">
        <f t="shared" si="3"/>
        <v>"Zona.Climática.Local"</v>
      </c>
    </row>
    <row r="143" spans="1:57" ht="7.5" customHeight="1" x14ac:dyDescent="0.4">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3689</v>
      </c>
      <c r="AX143" s="29" t="s">
        <v>3486</v>
      </c>
      <c r="AY143" s="37" t="s">
        <v>3689</v>
      </c>
      <c r="AZ143" s="29" t="s">
        <v>3700</v>
      </c>
      <c r="BA143" s="37" t="s">
        <v>3689</v>
      </c>
      <c r="BB143" s="29" t="s">
        <v>3686</v>
      </c>
      <c r="BC143" s="37" t="s">
        <v>3688</v>
      </c>
      <c r="BD143" s="29" t="s">
        <v>3687</v>
      </c>
      <c r="BE143" s="37" t="str">
        <f t="shared" si="3"/>
        <v>"Zona.Climática.Local"</v>
      </c>
    </row>
    <row r="144" spans="1:57" ht="7.5" customHeight="1" x14ac:dyDescent="0.4">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3689</v>
      </c>
      <c r="AX144" s="29" t="s">
        <v>3486</v>
      </c>
      <c r="AY144" s="37" t="s">
        <v>3689</v>
      </c>
      <c r="AZ144" s="29" t="s">
        <v>3700</v>
      </c>
      <c r="BA144" s="37" t="s">
        <v>3689</v>
      </c>
      <c r="BB144" s="29" t="s">
        <v>3686</v>
      </c>
      <c r="BC144" s="37" t="s">
        <v>3688</v>
      </c>
      <c r="BD144" s="29" t="s">
        <v>3687</v>
      </c>
      <c r="BE144" s="37" t="str">
        <f t="shared" si="3"/>
        <v>"Zona.Climática.Local"</v>
      </c>
    </row>
    <row r="145" spans="1:57" ht="7.5" customHeight="1" x14ac:dyDescent="0.4">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3689</v>
      </c>
      <c r="AX145" s="29" t="s">
        <v>3486</v>
      </c>
      <c r="AY145" s="37" t="s">
        <v>3689</v>
      </c>
      <c r="AZ145" s="29" t="s">
        <v>3700</v>
      </c>
      <c r="BA145" s="37" t="s">
        <v>3689</v>
      </c>
      <c r="BB145" s="29" t="s">
        <v>3686</v>
      </c>
      <c r="BC145" s="37" t="s">
        <v>3688</v>
      </c>
      <c r="BD145" s="29" t="s">
        <v>3687</v>
      </c>
      <c r="BE145" s="37" t="str">
        <f t="shared" si="3"/>
        <v>"Zona.Climática.Local"</v>
      </c>
    </row>
    <row r="146" spans="1:57" ht="7.5" customHeight="1" x14ac:dyDescent="0.4">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3689</v>
      </c>
      <c r="AX146" s="29" t="s">
        <v>3486</v>
      </c>
      <c r="AY146" s="37" t="s">
        <v>3689</v>
      </c>
      <c r="AZ146" s="29" t="s">
        <v>3700</v>
      </c>
      <c r="BA146" s="37" t="s">
        <v>3689</v>
      </c>
      <c r="BB146" s="29" t="s">
        <v>3686</v>
      </c>
      <c r="BC146" s="37" t="s">
        <v>3688</v>
      </c>
      <c r="BD146" s="29" t="s">
        <v>3687</v>
      </c>
      <c r="BE146" s="37" t="str">
        <f t="shared" si="3"/>
        <v>"Zona.Climática.Local"</v>
      </c>
    </row>
    <row r="147" spans="1:57" ht="7.5" customHeight="1" x14ac:dyDescent="0.4">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3689</v>
      </c>
      <c r="AX147" s="29" t="s">
        <v>3486</v>
      </c>
      <c r="AY147" s="37" t="s">
        <v>3689</v>
      </c>
      <c r="AZ147" s="29" t="s">
        <v>3700</v>
      </c>
      <c r="BA147" s="37" t="s">
        <v>3689</v>
      </c>
      <c r="BB147" s="29" t="s">
        <v>3686</v>
      </c>
      <c r="BC147" s="37" t="s">
        <v>3688</v>
      </c>
      <c r="BD147" s="29" t="s">
        <v>3687</v>
      </c>
      <c r="BE147" s="37" t="str">
        <f t="shared" si="3"/>
        <v>"Zona.Climática.Local"</v>
      </c>
    </row>
    <row r="148" spans="1:57" ht="7.5" customHeight="1" x14ac:dyDescent="0.4">
      <c r="A148" s="35">
        <v>148</v>
      </c>
      <c r="B148" s="57" t="s">
        <v>469</v>
      </c>
      <c r="C148" s="34" t="s">
        <v>3790</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3792</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3690</v>
      </c>
      <c r="AX148" s="29" t="s">
        <v>3486</v>
      </c>
      <c r="AY148" s="37" t="s">
        <v>3702</v>
      </c>
      <c r="AZ148" s="29" t="s">
        <v>3700</v>
      </c>
      <c r="BA148" s="37" t="s">
        <v>3701</v>
      </c>
      <c r="BB148" s="29" t="s">
        <v>3686</v>
      </c>
      <c r="BC148" s="37" t="s">
        <v>3688</v>
      </c>
      <c r="BD148" s="29" t="s">
        <v>3687</v>
      </c>
      <c r="BE148" s="37" t="s">
        <v>3791</v>
      </c>
    </row>
    <row r="149" spans="1:57" ht="7.5" customHeight="1" x14ac:dyDescent="0.4">
      <c r="A149" s="35">
        <v>149</v>
      </c>
      <c r="B149" s="57" t="s">
        <v>481</v>
      </c>
      <c r="C149" s="34" t="s">
        <v>3790</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3792</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3690</v>
      </c>
      <c r="AX149" s="29" t="s">
        <v>3486</v>
      </c>
      <c r="AY149" s="37" t="s">
        <v>3702</v>
      </c>
      <c r="AZ149" s="29" t="s">
        <v>3700</v>
      </c>
      <c r="BA149" s="37" t="s">
        <v>3701</v>
      </c>
      <c r="BB149" s="29" t="s">
        <v>3686</v>
      </c>
      <c r="BC149" s="37" t="s">
        <v>3688</v>
      </c>
      <c r="BD149" s="29" t="s">
        <v>3687</v>
      </c>
      <c r="BE149" s="37" t="s">
        <v>3791</v>
      </c>
    </row>
    <row r="150" spans="1:57" ht="7.5" customHeight="1" x14ac:dyDescent="0.4">
      <c r="A150" s="35">
        <v>150</v>
      </c>
      <c r="B150" s="57" t="s">
        <v>485</v>
      </c>
      <c r="C150" s="34" t="s">
        <v>3790</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3792</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3690</v>
      </c>
      <c r="AX150" s="29" t="s">
        <v>3486</v>
      </c>
      <c r="AY150" s="37" t="s">
        <v>3702</v>
      </c>
      <c r="AZ150" s="29" t="s">
        <v>3700</v>
      </c>
      <c r="BA150" s="37" t="s">
        <v>3701</v>
      </c>
      <c r="BB150" s="29" t="s">
        <v>3686</v>
      </c>
      <c r="BC150" s="37" t="s">
        <v>3688</v>
      </c>
      <c r="BD150" s="29" t="s">
        <v>3687</v>
      </c>
      <c r="BE150" s="37" t="s">
        <v>3791</v>
      </c>
    </row>
    <row r="151" spans="1:57" ht="7.5" customHeight="1" x14ac:dyDescent="0.4">
      <c r="A151" s="35">
        <v>151</v>
      </c>
      <c r="B151" s="57" t="s">
        <v>490</v>
      </c>
      <c r="C151" s="34" t="s">
        <v>3790</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3792</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3690</v>
      </c>
      <c r="AX151" s="29" t="s">
        <v>3486</v>
      </c>
      <c r="AY151" s="37" t="s">
        <v>3702</v>
      </c>
      <c r="AZ151" s="29" t="s">
        <v>3700</v>
      </c>
      <c r="BA151" s="37" t="s">
        <v>3701</v>
      </c>
      <c r="BB151" s="29" t="s">
        <v>3686</v>
      </c>
      <c r="BC151" s="37" t="s">
        <v>3688</v>
      </c>
      <c r="BD151" s="29" t="s">
        <v>3687</v>
      </c>
      <c r="BE151" s="37" t="s">
        <v>3791</v>
      </c>
    </row>
    <row r="152" spans="1:57" ht="7.5" customHeight="1" x14ac:dyDescent="0.4">
      <c r="A152" s="35">
        <v>152</v>
      </c>
      <c r="B152" s="57" t="s">
        <v>495</v>
      </c>
      <c r="C152" s="34" t="s">
        <v>3790</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3792</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3690</v>
      </c>
      <c r="AX152" s="29" t="s">
        <v>3486</v>
      </c>
      <c r="AY152" s="37" t="s">
        <v>3702</v>
      </c>
      <c r="AZ152" s="29" t="s">
        <v>3700</v>
      </c>
      <c r="BA152" s="37" t="s">
        <v>3701</v>
      </c>
      <c r="BB152" s="29" t="s">
        <v>3686</v>
      </c>
      <c r="BC152" s="37" t="s">
        <v>3688</v>
      </c>
      <c r="BD152" s="29" t="s">
        <v>3687</v>
      </c>
      <c r="BE152" s="37" t="s">
        <v>3791</v>
      </c>
    </row>
    <row r="153" spans="1:57" ht="7.5" customHeight="1" x14ac:dyDescent="0.4">
      <c r="A153" s="35">
        <v>153</v>
      </c>
      <c r="B153" s="57" t="s">
        <v>500</v>
      </c>
      <c r="C153" s="34" t="s">
        <v>3790</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3792</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3690</v>
      </c>
      <c r="AX153" s="29" t="s">
        <v>3486</v>
      </c>
      <c r="AY153" s="37" t="s">
        <v>3702</v>
      </c>
      <c r="AZ153" s="29" t="s">
        <v>3700</v>
      </c>
      <c r="BA153" s="37" t="s">
        <v>3701</v>
      </c>
      <c r="BB153" s="29" t="s">
        <v>3686</v>
      </c>
      <c r="BC153" s="37" t="s">
        <v>3688</v>
      </c>
      <c r="BD153" s="29" t="s">
        <v>3687</v>
      </c>
      <c r="BE153" s="37" t="s">
        <v>3791</v>
      </c>
    </row>
    <row r="154" spans="1:57" ht="7.5" customHeight="1" x14ac:dyDescent="0.4">
      <c r="A154" s="35">
        <v>154</v>
      </c>
      <c r="B154" s="57" t="s">
        <v>505</v>
      </c>
      <c r="C154" s="34" t="s">
        <v>3790</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3792</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3690</v>
      </c>
      <c r="AX154" s="29" t="s">
        <v>3486</v>
      </c>
      <c r="AY154" s="37" t="s">
        <v>3702</v>
      </c>
      <c r="AZ154" s="29" t="s">
        <v>3700</v>
      </c>
      <c r="BA154" s="37" t="s">
        <v>3701</v>
      </c>
      <c r="BB154" s="29" t="s">
        <v>3686</v>
      </c>
      <c r="BC154" s="37" t="s">
        <v>3688</v>
      </c>
      <c r="BD154" s="29" t="s">
        <v>3687</v>
      </c>
      <c r="BE154" s="37" t="s">
        <v>3791</v>
      </c>
    </row>
    <row r="155" spans="1:57" ht="7.5" customHeight="1" x14ac:dyDescent="0.4">
      <c r="A155" s="35">
        <v>155</v>
      </c>
      <c r="B155" s="57" t="s">
        <v>510</v>
      </c>
      <c r="C155" s="34" t="s">
        <v>3790</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3792</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3690</v>
      </c>
      <c r="AX155" s="29" t="s">
        <v>3486</v>
      </c>
      <c r="AY155" s="37" t="s">
        <v>3702</v>
      </c>
      <c r="AZ155" s="29" t="s">
        <v>3700</v>
      </c>
      <c r="BA155" s="37" t="s">
        <v>3701</v>
      </c>
      <c r="BB155" s="29" t="s">
        <v>3686</v>
      </c>
      <c r="BC155" s="37" t="s">
        <v>3688</v>
      </c>
      <c r="BD155" s="29" t="s">
        <v>3687</v>
      </c>
      <c r="BE155" s="37" t="s">
        <v>3791</v>
      </c>
    </row>
    <row r="156" spans="1:57" ht="7.5" customHeight="1" x14ac:dyDescent="0.4">
      <c r="A156" s="35">
        <v>156</v>
      </c>
      <c r="B156" s="57" t="s">
        <v>515</v>
      </c>
      <c r="C156" s="34" t="s">
        <v>3790</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3792</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3690</v>
      </c>
      <c r="AX156" s="29" t="s">
        <v>3486</v>
      </c>
      <c r="AY156" s="37" t="s">
        <v>3702</v>
      </c>
      <c r="AZ156" s="29" t="s">
        <v>3700</v>
      </c>
      <c r="BA156" s="37" t="s">
        <v>3701</v>
      </c>
      <c r="BB156" s="29" t="s">
        <v>3686</v>
      </c>
      <c r="BC156" s="37" t="s">
        <v>3688</v>
      </c>
      <c r="BD156" s="29" t="s">
        <v>3687</v>
      </c>
      <c r="BE156" s="37" t="s">
        <v>3791</v>
      </c>
    </row>
    <row r="157" spans="1:57" ht="7.5" customHeight="1" x14ac:dyDescent="0.4">
      <c r="A157" s="35">
        <v>157</v>
      </c>
      <c r="B157" s="57" t="s">
        <v>519</v>
      </c>
      <c r="C157" s="34" t="s">
        <v>3790</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3792</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3690</v>
      </c>
      <c r="AX157" s="29" t="s">
        <v>3486</v>
      </c>
      <c r="AY157" s="37" t="s">
        <v>3702</v>
      </c>
      <c r="AZ157" s="29" t="s">
        <v>3700</v>
      </c>
      <c r="BA157" s="37" t="s">
        <v>3701</v>
      </c>
      <c r="BB157" s="29" t="s">
        <v>3686</v>
      </c>
      <c r="BC157" s="37" t="s">
        <v>3688</v>
      </c>
      <c r="BD157" s="29" t="s">
        <v>3687</v>
      </c>
      <c r="BE157" s="37" t="s">
        <v>3791</v>
      </c>
    </row>
    <row r="158" spans="1:57" ht="7.5" customHeight="1" x14ac:dyDescent="0.4">
      <c r="A158" s="35">
        <v>158</v>
      </c>
      <c r="B158" s="57" t="s">
        <v>524</v>
      </c>
      <c r="C158" s="34" t="s">
        <v>3790</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3792</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3690</v>
      </c>
      <c r="AX158" s="29" t="s">
        <v>3486</v>
      </c>
      <c r="AY158" s="37" t="s">
        <v>3702</v>
      </c>
      <c r="AZ158" s="29" t="s">
        <v>3700</v>
      </c>
      <c r="BA158" s="37" t="s">
        <v>3701</v>
      </c>
      <c r="BB158" s="29" t="s">
        <v>3686</v>
      </c>
      <c r="BC158" s="37" t="s">
        <v>3688</v>
      </c>
      <c r="BD158" s="29" t="s">
        <v>3687</v>
      </c>
      <c r="BE158" s="37" t="s">
        <v>3791</v>
      </c>
    </row>
    <row r="159" spans="1:57" ht="7.5" customHeight="1" x14ac:dyDescent="0.4">
      <c r="A159" s="35">
        <v>159</v>
      </c>
      <c r="B159" s="57" t="s">
        <v>529</v>
      </c>
      <c r="C159" s="34" t="s">
        <v>3790</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3792</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3690</v>
      </c>
      <c r="AX159" s="29" t="s">
        <v>3486</v>
      </c>
      <c r="AY159" s="37" t="s">
        <v>3702</v>
      </c>
      <c r="AZ159" s="29" t="s">
        <v>3700</v>
      </c>
      <c r="BA159" s="37" t="s">
        <v>3701</v>
      </c>
      <c r="BB159" s="29" t="s">
        <v>3686</v>
      </c>
      <c r="BC159" s="37" t="s">
        <v>3688</v>
      </c>
      <c r="BD159" s="29" t="s">
        <v>3687</v>
      </c>
      <c r="BE159" s="37" t="s">
        <v>3791</v>
      </c>
    </row>
    <row r="160" spans="1:57" ht="7.5" customHeight="1" x14ac:dyDescent="0.4">
      <c r="A160" s="35">
        <v>160</v>
      </c>
      <c r="B160" s="57" t="s">
        <v>534</v>
      </c>
      <c r="C160" s="34" t="s">
        <v>3790</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3792</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3690</v>
      </c>
      <c r="AX160" s="29" t="s">
        <v>3486</v>
      </c>
      <c r="AY160" s="37" t="s">
        <v>3702</v>
      </c>
      <c r="AZ160" s="29" t="s">
        <v>3700</v>
      </c>
      <c r="BA160" s="37" t="s">
        <v>3701</v>
      </c>
      <c r="BB160" s="29" t="s">
        <v>3686</v>
      </c>
      <c r="BC160" s="37" t="s">
        <v>3688</v>
      </c>
      <c r="BD160" s="29" t="s">
        <v>3687</v>
      </c>
      <c r="BE160" s="37" t="s">
        <v>3791</v>
      </c>
    </row>
    <row r="161" spans="1:57" ht="7.5" customHeight="1" x14ac:dyDescent="0.4">
      <c r="A161" s="35">
        <v>161</v>
      </c>
      <c r="B161" s="57" t="s">
        <v>539</v>
      </c>
      <c r="C161" s="34" t="s">
        <v>3790</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3792</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3690</v>
      </c>
      <c r="AX161" s="29" t="s">
        <v>3486</v>
      </c>
      <c r="AY161" s="37" t="s">
        <v>3702</v>
      </c>
      <c r="AZ161" s="29" t="s">
        <v>3700</v>
      </c>
      <c r="BA161" s="37" t="s">
        <v>3701</v>
      </c>
      <c r="BB161" s="29" t="s">
        <v>3686</v>
      </c>
      <c r="BC161" s="37" t="s">
        <v>3688</v>
      </c>
      <c r="BD161" s="29" t="s">
        <v>3687</v>
      </c>
      <c r="BE161" s="37" t="s">
        <v>3791</v>
      </c>
    </row>
    <row r="162" spans="1:57" ht="7.5" customHeight="1" x14ac:dyDescent="0.4">
      <c r="A162" s="35">
        <v>162</v>
      </c>
      <c r="B162" s="57" t="s">
        <v>544</v>
      </c>
      <c r="C162" s="34" t="s">
        <v>3790</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3792</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3690</v>
      </c>
      <c r="AX162" s="29" t="s">
        <v>3486</v>
      </c>
      <c r="AY162" s="37" t="s">
        <v>3702</v>
      </c>
      <c r="AZ162" s="29" t="s">
        <v>3700</v>
      </c>
      <c r="BA162" s="37" t="s">
        <v>3701</v>
      </c>
      <c r="BB162" s="29" t="s">
        <v>3686</v>
      </c>
      <c r="BC162" s="37" t="s">
        <v>3688</v>
      </c>
      <c r="BD162" s="29" t="s">
        <v>3687</v>
      </c>
      <c r="BE162" s="37" t="s">
        <v>3791</v>
      </c>
    </row>
    <row r="163" spans="1:57" ht="7.5" customHeight="1" x14ac:dyDescent="0.4">
      <c r="A163" s="35">
        <v>163</v>
      </c>
      <c r="B163" s="57" t="s">
        <v>549</v>
      </c>
      <c r="C163" s="34" t="s">
        <v>3790</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3792</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3690</v>
      </c>
      <c r="AX163" s="29" t="s">
        <v>3486</v>
      </c>
      <c r="AY163" s="37" t="s">
        <v>3702</v>
      </c>
      <c r="AZ163" s="29" t="s">
        <v>3700</v>
      </c>
      <c r="BA163" s="37" t="s">
        <v>3701</v>
      </c>
      <c r="BB163" s="29" t="s">
        <v>3686</v>
      </c>
      <c r="BC163" s="37" t="s">
        <v>3688</v>
      </c>
      <c r="BD163" s="29" t="s">
        <v>3687</v>
      </c>
      <c r="BE163" s="37" t="s">
        <v>3791</v>
      </c>
    </row>
    <row r="164" spans="1:57" ht="7.5" customHeight="1" x14ac:dyDescent="0.4">
      <c r="A164" s="35">
        <v>164</v>
      </c>
      <c r="B164" s="57" t="s">
        <v>554</v>
      </c>
      <c r="C164" s="34" t="s">
        <v>3790</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3792</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3690</v>
      </c>
      <c r="AX164" s="29" t="s">
        <v>3486</v>
      </c>
      <c r="AY164" s="37" t="s">
        <v>3702</v>
      </c>
      <c r="AZ164" s="29" t="s">
        <v>3700</v>
      </c>
      <c r="BA164" s="37" t="s">
        <v>3701</v>
      </c>
      <c r="BB164" s="29" t="s">
        <v>3686</v>
      </c>
      <c r="BC164" s="37" t="s">
        <v>3688</v>
      </c>
      <c r="BD164" s="29" t="s">
        <v>3687</v>
      </c>
      <c r="BE164" s="37" t="s">
        <v>3791</v>
      </c>
    </row>
    <row r="165" spans="1:57" ht="7.5" customHeight="1" x14ac:dyDescent="0.4">
      <c r="A165" s="35">
        <v>165</v>
      </c>
      <c r="B165" s="57" t="s">
        <v>559</v>
      </c>
      <c r="C165" s="34" t="s">
        <v>3790</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3792</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3690</v>
      </c>
      <c r="AX165" s="29" t="s">
        <v>3486</v>
      </c>
      <c r="AY165" s="37" t="s">
        <v>3702</v>
      </c>
      <c r="AZ165" s="29" t="s">
        <v>3700</v>
      </c>
      <c r="BA165" s="37" t="s">
        <v>3701</v>
      </c>
      <c r="BB165" s="29" t="s">
        <v>3686</v>
      </c>
      <c r="BC165" s="37" t="s">
        <v>3688</v>
      </c>
      <c r="BD165" s="29" t="s">
        <v>3687</v>
      </c>
      <c r="BE165" s="37" t="s">
        <v>3791</v>
      </c>
    </row>
    <row r="166" spans="1:57" ht="7.5" customHeight="1" x14ac:dyDescent="0.4">
      <c r="A166" s="35">
        <v>166</v>
      </c>
      <c r="B166" s="57" t="s">
        <v>564</v>
      </c>
      <c r="C166" s="34" t="s">
        <v>3790</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3792</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3690</v>
      </c>
      <c r="AX166" s="29" t="s">
        <v>3486</v>
      </c>
      <c r="AY166" s="37" t="s">
        <v>3702</v>
      </c>
      <c r="AZ166" s="29" t="s">
        <v>3700</v>
      </c>
      <c r="BA166" s="37" t="s">
        <v>3701</v>
      </c>
      <c r="BB166" s="29" t="s">
        <v>3686</v>
      </c>
      <c r="BC166" s="37" t="s">
        <v>3688</v>
      </c>
      <c r="BD166" s="29" t="s">
        <v>3687</v>
      </c>
      <c r="BE166" s="37" t="s">
        <v>3791</v>
      </c>
    </row>
    <row r="167" spans="1:57" ht="7.5" customHeight="1" x14ac:dyDescent="0.4">
      <c r="A167" s="35">
        <v>167</v>
      </c>
      <c r="B167" s="57" t="s">
        <v>569</v>
      </c>
      <c r="C167" s="34" t="s">
        <v>3790</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3792</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3690</v>
      </c>
      <c r="AX167" s="29" t="s">
        <v>3486</v>
      </c>
      <c r="AY167" s="37" t="s">
        <v>3702</v>
      </c>
      <c r="AZ167" s="29" t="s">
        <v>3700</v>
      </c>
      <c r="BA167" s="37" t="s">
        <v>3701</v>
      </c>
      <c r="BB167" s="29" t="s">
        <v>3686</v>
      </c>
      <c r="BC167" s="37" t="s">
        <v>3688</v>
      </c>
      <c r="BD167" s="29" t="s">
        <v>3687</v>
      </c>
      <c r="BE167" s="37" t="s">
        <v>3791</v>
      </c>
    </row>
    <row r="168" spans="1:57" ht="7.5" customHeight="1" x14ac:dyDescent="0.4">
      <c r="A168" s="35">
        <v>168</v>
      </c>
      <c r="B168" s="57" t="s">
        <v>574</v>
      </c>
      <c r="C168" s="34" t="s">
        <v>3790</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3792</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3690</v>
      </c>
      <c r="AX168" s="29" t="s">
        <v>3486</v>
      </c>
      <c r="AY168" s="37" t="s">
        <v>3702</v>
      </c>
      <c r="AZ168" s="29" t="s">
        <v>3700</v>
      </c>
      <c r="BA168" s="37" t="s">
        <v>3701</v>
      </c>
      <c r="BB168" s="29" t="s">
        <v>3686</v>
      </c>
      <c r="BC168" s="37" t="s">
        <v>3688</v>
      </c>
      <c r="BD168" s="29" t="s">
        <v>3687</v>
      </c>
      <c r="BE168" s="37" t="s">
        <v>3791</v>
      </c>
    </row>
    <row r="169" spans="1:57" ht="7.5" customHeight="1" x14ac:dyDescent="0.4">
      <c r="A169" s="35">
        <v>169</v>
      </c>
      <c r="B169" s="57" t="s">
        <v>579</v>
      </c>
      <c r="C169" s="34" t="s">
        <v>3790</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3792</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3690</v>
      </c>
      <c r="AX169" s="29" t="s">
        <v>3486</v>
      </c>
      <c r="AY169" s="37" t="s">
        <v>3702</v>
      </c>
      <c r="AZ169" s="29" t="s">
        <v>3700</v>
      </c>
      <c r="BA169" s="37" t="s">
        <v>3701</v>
      </c>
      <c r="BB169" s="29" t="s">
        <v>3686</v>
      </c>
      <c r="BC169" s="37" t="s">
        <v>3688</v>
      </c>
      <c r="BD169" s="29" t="s">
        <v>3687</v>
      </c>
      <c r="BE169" s="37" t="s">
        <v>3791</v>
      </c>
    </row>
    <row r="170" spans="1:57" ht="7.5" customHeight="1" x14ac:dyDescent="0.4">
      <c r="A170" s="35">
        <v>170</v>
      </c>
      <c r="B170" s="57" t="s">
        <v>584</v>
      </c>
      <c r="C170" s="34" t="s">
        <v>3790</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3792</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3690</v>
      </c>
      <c r="AX170" s="29" t="s">
        <v>3486</v>
      </c>
      <c r="AY170" s="37" t="s">
        <v>3702</v>
      </c>
      <c r="AZ170" s="29" t="s">
        <v>3700</v>
      </c>
      <c r="BA170" s="37" t="s">
        <v>3701</v>
      </c>
      <c r="BB170" s="29" t="s">
        <v>3686</v>
      </c>
      <c r="BC170" s="37" t="s">
        <v>3688</v>
      </c>
      <c r="BD170" s="29" t="s">
        <v>3687</v>
      </c>
      <c r="BE170" s="37" t="s">
        <v>3791</v>
      </c>
    </row>
    <row r="171" spans="1:57" ht="7.5" customHeight="1" x14ac:dyDescent="0.4">
      <c r="A171" s="35">
        <v>171</v>
      </c>
      <c r="B171" s="57" t="s">
        <v>588</v>
      </c>
      <c r="C171" s="34" t="s">
        <v>3790</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3792</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3690</v>
      </c>
      <c r="AX171" s="29" t="s">
        <v>3486</v>
      </c>
      <c r="AY171" s="37" t="s">
        <v>3702</v>
      </c>
      <c r="AZ171" s="29" t="s">
        <v>3700</v>
      </c>
      <c r="BA171" s="37" t="s">
        <v>3701</v>
      </c>
      <c r="BB171" s="29" t="s">
        <v>3686</v>
      </c>
      <c r="BC171" s="37" t="s">
        <v>3688</v>
      </c>
      <c r="BD171" s="29" t="s">
        <v>3687</v>
      </c>
      <c r="BE171" s="37" t="s">
        <v>3791</v>
      </c>
    </row>
    <row r="172" spans="1:57" ht="7.5" customHeight="1" x14ac:dyDescent="0.4">
      <c r="A172" s="35">
        <v>172</v>
      </c>
      <c r="B172" s="57" t="s">
        <v>593</v>
      </c>
      <c r="C172" s="34" t="s">
        <v>3790</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3792</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3690</v>
      </c>
      <c r="AX172" s="29" t="s">
        <v>3486</v>
      </c>
      <c r="AY172" s="37" t="s">
        <v>3702</v>
      </c>
      <c r="AZ172" s="29" t="s">
        <v>3700</v>
      </c>
      <c r="BA172" s="37" t="s">
        <v>3701</v>
      </c>
      <c r="BB172" s="29" t="s">
        <v>3686</v>
      </c>
      <c r="BC172" s="37" t="s">
        <v>3688</v>
      </c>
      <c r="BD172" s="29" t="s">
        <v>3687</v>
      </c>
      <c r="BE172" s="37" t="s">
        <v>3791</v>
      </c>
    </row>
    <row r="173" spans="1:57" ht="7.5" customHeight="1" x14ac:dyDescent="0.4">
      <c r="A173" s="35">
        <v>173</v>
      </c>
      <c r="B173" s="57" t="s">
        <v>598</v>
      </c>
      <c r="C173" s="34" t="s">
        <v>3790</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3792</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3690</v>
      </c>
      <c r="AX173" s="29" t="s">
        <v>3486</v>
      </c>
      <c r="AY173" s="37" t="s">
        <v>3702</v>
      </c>
      <c r="AZ173" s="29" t="s">
        <v>3700</v>
      </c>
      <c r="BA173" s="37" t="s">
        <v>3701</v>
      </c>
      <c r="BB173" s="29" t="s">
        <v>3686</v>
      </c>
      <c r="BC173" s="37" t="s">
        <v>3688</v>
      </c>
      <c r="BD173" s="29" t="s">
        <v>3687</v>
      </c>
      <c r="BE173" s="37" t="s">
        <v>3791</v>
      </c>
    </row>
    <row r="174" spans="1:57" ht="7.5" customHeight="1" x14ac:dyDescent="0.4">
      <c r="A174" s="35">
        <v>174</v>
      </c>
      <c r="B174" s="57" t="s">
        <v>603</v>
      </c>
      <c r="C174" s="34" t="s">
        <v>3790</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3792</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3690</v>
      </c>
      <c r="AX174" s="29" t="s">
        <v>3486</v>
      </c>
      <c r="AY174" s="37" t="s">
        <v>3702</v>
      </c>
      <c r="AZ174" s="29" t="s">
        <v>3700</v>
      </c>
      <c r="BA174" s="37" t="s">
        <v>3701</v>
      </c>
      <c r="BB174" s="29" t="s">
        <v>3686</v>
      </c>
      <c r="BC174" s="37" t="s">
        <v>3688</v>
      </c>
      <c r="BD174" s="29" t="s">
        <v>3687</v>
      </c>
      <c r="BE174" s="37" t="s">
        <v>3791</v>
      </c>
    </row>
    <row r="175" spans="1:57" ht="7.5" customHeight="1" x14ac:dyDescent="0.4">
      <c r="A175" s="35">
        <v>175</v>
      </c>
      <c r="B175" s="57" t="s">
        <v>608</v>
      </c>
      <c r="C175" s="34" t="s">
        <v>3790</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3792</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3690</v>
      </c>
      <c r="AX175" s="29" t="s">
        <v>3486</v>
      </c>
      <c r="AY175" s="37" t="s">
        <v>3702</v>
      </c>
      <c r="AZ175" s="29" t="s">
        <v>3700</v>
      </c>
      <c r="BA175" s="37" t="s">
        <v>3701</v>
      </c>
      <c r="BB175" s="29" t="s">
        <v>3686</v>
      </c>
      <c r="BC175" s="37" t="s">
        <v>3688</v>
      </c>
      <c r="BD175" s="29" t="s">
        <v>3687</v>
      </c>
      <c r="BE175" s="37" t="s">
        <v>3791</v>
      </c>
    </row>
    <row r="176" spans="1:57" ht="7.5" customHeight="1" x14ac:dyDescent="0.4">
      <c r="A176" s="35">
        <v>176</v>
      </c>
      <c r="B176" s="57" t="s">
        <v>613</v>
      </c>
      <c r="C176" s="34" t="s">
        <v>3790</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3792</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3690</v>
      </c>
      <c r="AX176" s="29" t="s">
        <v>3486</v>
      </c>
      <c r="AY176" s="37" t="s">
        <v>3702</v>
      </c>
      <c r="AZ176" s="29" t="s">
        <v>3700</v>
      </c>
      <c r="BA176" s="37" t="s">
        <v>3701</v>
      </c>
      <c r="BB176" s="29" t="s">
        <v>3686</v>
      </c>
      <c r="BC176" s="37" t="s">
        <v>3688</v>
      </c>
      <c r="BD176" s="29" t="s">
        <v>3687</v>
      </c>
      <c r="BE176" s="37" t="s">
        <v>3791</v>
      </c>
    </row>
    <row r="177" spans="1:57" ht="7.5" customHeight="1" x14ac:dyDescent="0.4">
      <c r="A177" s="35">
        <v>177</v>
      </c>
      <c r="B177" s="57" t="s">
        <v>618</v>
      </c>
      <c r="C177" s="34" t="s">
        <v>3790</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3792</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3690</v>
      </c>
      <c r="AX177" s="29" t="s">
        <v>3486</v>
      </c>
      <c r="AY177" s="37" t="s">
        <v>3702</v>
      </c>
      <c r="AZ177" s="29" t="s">
        <v>3700</v>
      </c>
      <c r="BA177" s="37" t="s">
        <v>3701</v>
      </c>
      <c r="BB177" s="29" t="s">
        <v>3686</v>
      </c>
      <c r="BC177" s="37" t="s">
        <v>3688</v>
      </c>
      <c r="BD177" s="29" t="s">
        <v>3687</v>
      </c>
      <c r="BE177" s="37" t="s">
        <v>3791</v>
      </c>
    </row>
    <row r="178" spans="1:57" ht="7.5" customHeight="1" x14ac:dyDescent="0.4">
      <c r="A178" s="35">
        <v>178</v>
      </c>
      <c r="B178" s="57" t="s">
        <v>622</v>
      </c>
      <c r="C178" s="34" t="s">
        <v>3790</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3792</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3690</v>
      </c>
      <c r="AX178" s="29" t="s">
        <v>3486</v>
      </c>
      <c r="AY178" s="37" t="s">
        <v>3702</v>
      </c>
      <c r="AZ178" s="29" t="s">
        <v>3700</v>
      </c>
      <c r="BA178" s="37" t="s">
        <v>3701</v>
      </c>
      <c r="BB178" s="29" t="s">
        <v>3686</v>
      </c>
      <c r="BC178" s="37" t="s">
        <v>3688</v>
      </c>
      <c r="BD178" s="29" t="s">
        <v>3687</v>
      </c>
      <c r="BE178" s="37" t="s">
        <v>3791</v>
      </c>
    </row>
    <row r="179" spans="1:57" ht="7.5" customHeight="1" x14ac:dyDescent="0.4">
      <c r="A179" s="35">
        <v>179</v>
      </c>
      <c r="B179" s="57" t="s">
        <v>627</v>
      </c>
      <c r="C179" s="34" t="s">
        <v>3790</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3792</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3690</v>
      </c>
      <c r="AX179" s="29" t="s">
        <v>3486</v>
      </c>
      <c r="AY179" s="37" t="s">
        <v>3702</v>
      </c>
      <c r="AZ179" s="29" t="s">
        <v>3700</v>
      </c>
      <c r="BA179" s="37" t="s">
        <v>3701</v>
      </c>
      <c r="BB179" s="29" t="s">
        <v>3686</v>
      </c>
      <c r="BC179" s="37" t="s">
        <v>3688</v>
      </c>
      <c r="BD179" s="29" t="s">
        <v>3687</v>
      </c>
      <c r="BE179" s="37" t="s">
        <v>3791</v>
      </c>
    </row>
    <row r="180" spans="1:57" ht="7.5" customHeight="1" x14ac:dyDescent="0.4">
      <c r="A180" s="35">
        <v>180</v>
      </c>
      <c r="B180" s="57" t="s">
        <v>632</v>
      </c>
      <c r="C180" s="34" t="s">
        <v>3790</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3792</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3690</v>
      </c>
      <c r="AX180" s="29" t="s">
        <v>3486</v>
      </c>
      <c r="AY180" s="37" t="s">
        <v>3702</v>
      </c>
      <c r="AZ180" s="29" t="s">
        <v>3700</v>
      </c>
      <c r="BA180" s="37" t="s">
        <v>3701</v>
      </c>
      <c r="BB180" s="29" t="s">
        <v>3686</v>
      </c>
      <c r="BC180" s="37" t="s">
        <v>3688</v>
      </c>
      <c r="BD180" s="29" t="s">
        <v>3687</v>
      </c>
      <c r="BE180" s="37" t="s">
        <v>3791</v>
      </c>
    </row>
    <row r="181" spans="1:57" ht="7.5" customHeight="1" x14ac:dyDescent="0.4">
      <c r="A181" s="35">
        <v>181</v>
      </c>
      <c r="B181" s="57" t="s">
        <v>637</v>
      </c>
      <c r="C181" s="34" t="s">
        <v>3790</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3792</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3690</v>
      </c>
      <c r="AX181" s="29" t="s">
        <v>3486</v>
      </c>
      <c r="AY181" s="37" t="s">
        <v>3702</v>
      </c>
      <c r="AZ181" s="29" t="s">
        <v>3700</v>
      </c>
      <c r="BA181" s="37" t="s">
        <v>3701</v>
      </c>
      <c r="BB181" s="29" t="s">
        <v>3686</v>
      </c>
      <c r="BC181" s="37" t="s">
        <v>3688</v>
      </c>
      <c r="BD181" s="29" t="s">
        <v>3687</v>
      </c>
      <c r="BE181" s="37" t="s">
        <v>3791</v>
      </c>
    </row>
    <row r="182" spans="1:57" ht="7.5" customHeight="1" x14ac:dyDescent="0.4">
      <c r="A182" s="35">
        <v>182</v>
      </c>
      <c r="B182" s="57" t="s">
        <v>642</v>
      </c>
      <c r="C182" s="34" t="s">
        <v>3790</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3792</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3690</v>
      </c>
      <c r="AX182" s="29" t="s">
        <v>3486</v>
      </c>
      <c r="AY182" s="37" t="s">
        <v>3702</v>
      </c>
      <c r="AZ182" s="29" t="s">
        <v>3700</v>
      </c>
      <c r="BA182" s="37" t="s">
        <v>3701</v>
      </c>
      <c r="BB182" s="29" t="s">
        <v>3686</v>
      </c>
      <c r="BC182" s="37" t="s">
        <v>3688</v>
      </c>
      <c r="BD182" s="29" t="s">
        <v>3687</v>
      </c>
      <c r="BE182" s="37" t="s">
        <v>3791</v>
      </c>
    </row>
    <row r="183" spans="1:57" ht="7.5" customHeight="1" x14ac:dyDescent="0.4">
      <c r="A183" s="35">
        <v>183</v>
      </c>
      <c r="B183" s="57" t="s">
        <v>647</v>
      </c>
      <c r="C183" s="34" t="s">
        <v>3790</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3792</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3690</v>
      </c>
      <c r="AX183" s="29" t="s">
        <v>3486</v>
      </c>
      <c r="AY183" s="37" t="s">
        <v>3702</v>
      </c>
      <c r="AZ183" s="29" t="s">
        <v>3700</v>
      </c>
      <c r="BA183" s="37" t="s">
        <v>3701</v>
      </c>
      <c r="BB183" s="29" t="s">
        <v>3686</v>
      </c>
      <c r="BC183" s="37" t="s">
        <v>3688</v>
      </c>
      <c r="BD183" s="29" t="s">
        <v>3687</v>
      </c>
      <c r="BE183" s="37" t="s">
        <v>3791</v>
      </c>
    </row>
    <row r="184" spans="1:57" ht="7.5" customHeight="1" x14ac:dyDescent="0.4">
      <c r="A184" s="35">
        <v>184</v>
      </c>
      <c r="B184" s="57" t="s">
        <v>652</v>
      </c>
      <c r="C184" s="34" t="s">
        <v>3790</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3792</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3690</v>
      </c>
      <c r="AX184" s="29" t="s">
        <v>3486</v>
      </c>
      <c r="AY184" s="37" t="s">
        <v>3702</v>
      </c>
      <c r="AZ184" s="29" t="s">
        <v>3700</v>
      </c>
      <c r="BA184" s="37" t="s">
        <v>3701</v>
      </c>
      <c r="BB184" s="29" t="s">
        <v>3686</v>
      </c>
      <c r="BC184" s="37" t="s">
        <v>3688</v>
      </c>
      <c r="BD184" s="29" t="s">
        <v>3687</v>
      </c>
      <c r="BE184" s="37" t="s">
        <v>3791</v>
      </c>
    </row>
    <row r="185" spans="1:57" ht="7.5" customHeight="1" x14ac:dyDescent="0.4">
      <c r="A185" s="35">
        <v>185</v>
      </c>
      <c r="B185" s="57" t="s">
        <v>657</v>
      </c>
      <c r="C185" s="34" t="s">
        <v>3790</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3792</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3690</v>
      </c>
      <c r="AX185" s="29" t="s">
        <v>3486</v>
      </c>
      <c r="AY185" s="37" t="s">
        <v>3702</v>
      </c>
      <c r="AZ185" s="29" t="s">
        <v>3700</v>
      </c>
      <c r="BA185" s="37" t="s">
        <v>3701</v>
      </c>
      <c r="BB185" s="29" t="s">
        <v>3686</v>
      </c>
      <c r="BC185" s="37" t="s">
        <v>3688</v>
      </c>
      <c r="BD185" s="29" t="s">
        <v>3687</v>
      </c>
      <c r="BE185" s="37" t="s">
        <v>3791</v>
      </c>
    </row>
    <row r="186" spans="1:57" ht="7.5" customHeight="1" x14ac:dyDescent="0.4">
      <c r="A186" s="35">
        <v>186</v>
      </c>
      <c r="B186" s="57" t="s">
        <v>662</v>
      </c>
      <c r="C186" s="34" t="s">
        <v>3790</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3792</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3690</v>
      </c>
      <c r="AX186" s="29" t="s">
        <v>3486</v>
      </c>
      <c r="AY186" s="37" t="s">
        <v>3702</v>
      </c>
      <c r="AZ186" s="29" t="s">
        <v>3700</v>
      </c>
      <c r="BA186" s="37" t="s">
        <v>3701</v>
      </c>
      <c r="BB186" s="29" t="s">
        <v>3686</v>
      </c>
      <c r="BC186" s="37" t="s">
        <v>3688</v>
      </c>
      <c r="BD186" s="29" t="s">
        <v>3687</v>
      </c>
      <c r="BE186" s="37" t="s">
        <v>3791</v>
      </c>
    </row>
    <row r="187" spans="1:57" ht="7.5" customHeight="1" x14ac:dyDescent="0.4">
      <c r="A187" s="35">
        <v>187</v>
      </c>
      <c r="B187" s="57" t="s">
        <v>667</v>
      </c>
      <c r="C187" s="34" t="s">
        <v>3790</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3792</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3690</v>
      </c>
      <c r="AX187" s="29" t="s">
        <v>3486</v>
      </c>
      <c r="AY187" s="37" t="s">
        <v>3702</v>
      </c>
      <c r="AZ187" s="29" t="s">
        <v>3700</v>
      </c>
      <c r="BA187" s="37" t="s">
        <v>3701</v>
      </c>
      <c r="BB187" s="29" t="s">
        <v>3686</v>
      </c>
      <c r="BC187" s="37" t="s">
        <v>3688</v>
      </c>
      <c r="BD187" s="29" t="s">
        <v>3687</v>
      </c>
      <c r="BE187" s="37" t="s">
        <v>3791</v>
      </c>
    </row>
    <row r="188" spans="1:57" ht="7.5" customHeight="1" x14ac:dyDescent="0.4">
      <c r="A188" s="35">
        <v>188</v>
      </c>
      <c r="B188" s="57" t="s">
        <v>672</v>
      </c>
      <c r="C188" s="34" t="s">
        <v>3790</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3792</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3690</v>
      </c>
      <c r="AX188" s="29" t="s">
        <v>3486</v>
      </c>
      <c r="AY188" s="37" t="s">
        <v>3702</v>
      </c>
      <c r="AZ188" s="29" t="s">
        <v>3700</v>
      </c>
      <c r="BA188" s="37" t="s">
        <v>3701</v>
      </c>
      <c r="BB188" s="29" t="s">
        <v>3686</v>
      </c>
      <c r="BC188" s="37" t="s">
        <v>3688</v>
      </c>
      <c r="BD188" s="29" t="s">
        <v>3687</v>
      </c>
      <c r="BE188" s="37" t="s">
        <v>3791</v>
      </c>
    </row>
    <row r="189" spans="1:57" ht="7.5" customHeight="1" x14ac:dyDescent="0.4">
      <c r="A189" s="35">
        <v>189</v>
      </c>
      <c r="B189" s="57" t="s">
        <v>677</v>
      </c>
      <c r="C189" s="34" t="s">
        <v>3790</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3792</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3690</v>
      </c>
      <c r="AX189" s="29" t="s">
        <v>3486</v>
      </c>
      <c r="AY189" s="37" t="s">
        <v>3702</v>
      </c>
      <c r="AZ189" s="29" t="s">
        <v>3700</v>
      </c>
      <c r="BA189" s="37" t="s">
        <v>3701</v>
      </c>
      <c r="BB189" s="29" t="s">
        <v>3686</v>
      </c>
      <c r="BC189" s="37" t="s">
        <v>3688</v>
      </c>
      <c r="BD189" s="29" t="s">
        <v>3687</v>
      </c>
      <c r="BE189" s="37" t="s">
        <v>3791</v>
      </c>
    </row>
    <row r="190" spans="1:57" ht="7.5" customHeight="1" x14ac:dyDescent="0.4">
      <c r="A190" s="35">
        <v>190</v>
      </c>
      <c r="B190" s="57" t="s">
        <v>682</v>
      </c>
      <c r="C190" s="34" t="s">
        <v>3790</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3792</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3690</v>
      </c>
      <c r="AX190" s="29" t="s">
        <v>3486</v>
      </c>
      <c r="AY190" s="37" t="s">
        <v>3702</v>
      </c>
      <c r="AZ190" s="29" t="s">
        <v>3700</v>
      </c>
      <c r="BA190" s="37" t="s">
        <v>3701</v>
      </c>
      <c r="BB190" s="29" t="s">
        <v>3686</v>
      </c>
      <c r="BC190" s="37" t="s">
        <v>3688</v>
      </c>
      <c r="BD190" s="29" t="s">
        <v>3687</v>
      </c>
      <c r="BE190" s="37" t="s">
        <v>3791</v>
      </c>
    </row>
    <row r="191" spans="1:57" ht="7.5" customHeight="1" x14ac:dyDescent="0.4">
      <c r="A191" s="35">
        <v>191</v>
      </c>
      <c r="B191" s="57" t="s">
        <v>686</v>
      </c>
      <c r="C191" s="34" t="s">
        <v>3790</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3792</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3690</v>
      </c>
      <c r="AX191" s="29" t="s">
        <v>3486</v>
      </c>
      <c r="AY191" s="37" t="s">
        <v>3702</v>
      </c>
      <c r="AZ191" s="29" t="s">
        <v>3700</v>
      </c>
      <c r="BA191" s="37" t="s">
        <v>3701</v>
      </c>
      <c r="BB191" s="29" t="s">
        <v>3686</v>
      </c>
      <c r="BC191" s="37" t="s">
        <v>3688</v>
      </c>
      <c r="BD191" s="29" t="s">
        <v>3687</v>
      </c>
      <c r="BE191" s="37" t="s">
        <v>3791</v>
      </c>
    </row>
    <row r="192" spans="1:57" ht="7.5" customHeight="1" x14ac:dyDescent="0.4">
      <c r="A192" s="35">
        <v>192</v>
      </c>
      <c r="B192" s="57" t="s">
        <v>691</v>
      </c>
      <c r="C192" s="34" t="s">
        <v>3790</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3792</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3690</v>
      </c>
      <c r="AX192" s="29" t="s">
        <v>3486</v>
      </c>
      <c r="AY192" s="37" t="s">
        <v>3702</v>
      </c>
      <c r="AZ192" s="29" t="s">
        <v>3700</v>
      </c>
      <c r="BA192" s="37" t="s">
        <v>3701</v>
      </c>
      <c r="BB192" s="29" t="s">
        <v>3686</v>
      </c>
      <c r="BC192" s="37" t="s">
        <v>3688</v>
      </c>
      <c r="BD192" s="29" t="s">
        <v>3687</v>
      </c>
      <c r="BE192" s="37" t="s">
        <v>3791</v>
      </c>
    </row>
    <row r="193" spans="1:57" ht="7.5" customHeight="1" x14ac:dyDescent="0.4">
      <c r="A193" s="35">
        <v>193</v>
      </c>
      <c r="B193" s="57" t="s">
        <v>696</v>
      </c>
      <c r="C193" s="34" t="s">
        <v>3790</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3792</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3690</v>
      </c>
      <c r="AX193" s="29" t="s">
        <v>3486</v>
      </c>
      <c r="AY193" s="37" t="s">
        <v>3702</v>
      </c>
      <c r="AZ193" s="29" t="s">
        <v>3700</v>
      </c>
      <c r="BA193" s="37" t="s">
        <v>3701</v>
      </c>
      <c r="BB193" s="29" t="s">
        <v>3686</v>
      </c>
      <c r="BC193" s="37" t="s">
        <v>3688</v>
      </c>
      <c r="BD193" s="29" t="s">
        <v>3687</v>
      </c>
      <c r="BE193" s="37" t="s">
        <v>3791</v>
      </c>
    </row>
    <row r="194" spans="1:57" ht="7.5" customHeight="1" x14ac:dyDescent="0.4">
      <c r="A194" s="35">
        <v>194</v>
      </c>
      <c r="B194" s="57" t="s">
        <v>700</v>
      </c>
      <c r="C194" s="34" t="s">
        <v>3790</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3792</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3690</v>
      </c>
      <c r="AX194" s="29" t="s">
        <v>3486</v>
      </c>
      <c r="AY194" s="37" t="s">
        <v>3702</v>
      </c>
      <c r="AZ194" s="29" t="s">
        <v>3700</v>
      </c>
      <c r="BA194" s="37" t="s">
        <v>3701</v>
      </c>
      <c r="BB194" s="29" t="s">
        <v>3686</v>
      </c>
      <c r="BC194" s="37" t="s">
        <v>3688</v>
      </c>
      <c r="BD194" s="29" t="s">
        <v>3687</v>
      </c>
      <c r="BE194" s="37" t="s">
        <v>3791</v>
      </c>
    </row>
    <row r="195" spans="1:57" ht="7.5" customHeight="1" x14ac:dyDescent="0.4">
      <c r="A195" s="35">
        <v>195</v>
      </c>
      <c r="B195" s="57" t="s">
        <v>705</v>
      </c>
      <c r="C195" s="34" t="s">
        <v>3790</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3792</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3690</v>
      </c>
      <c r="AX195" s="29" t="s">
        <v>3486</v>
      </c>
      <c r="AY195" s="37" t="s">
        <v>3702</v>
      </c>
      <c r="AZ195" s="29" t="s">
        <v>3700</v>
      </c>
      <c r="BA195" s="37" t="s">
        <v>3701</v>
      </c>
      <c r="BB195" s="29" t="s">
        <v>3686</v>
      </c>
      <c r="BC195" s="37" t="s">
        <v>3688</v>
      </c>
      <c r="BD195" s="29" t="s">
        <v>3687</v>
      </c>
      <c r="BE195" s="37" t="s">
        <v>3791</v>
      </c>
    </row>
    <row r="196" spans="1:57" ht="7.5" customHeight="1" x14ac:dyDescent="0.4">
      <c r="A196" s="35">
        <v>196</v>
      </c>
      <c r="B196" s="57" t="s">
        <v>710</v>
      </c>
      <c r="C196" s="34" t="s">
        <v>3790</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3792</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3690</v>
      </c>
      <c r="AX196" s="29" t="s">
        <v>3486</v>
      </c>
      <c r="AY196" s="37" t="s">
        <v>3702</v>
      </c>
      <c r="AZ196" s="29" t="s">
        <v>3700</v>
      </c>
      <c r="BA196" s="37" t="s">
        <v>3701</v>
      </c>
      <c r="BB196" s="29" t="s">
        <v>3686</v>
      </c>
      <c r="BC196" s="37" t="s">
        <v>3688</v>
      </c>
      <c r="BD196" s="29" t="s">
        <v>3687</v>
      </c>
      <c r="BE196" s="37" t="s">
        <v>3791</v>
      </c>
    </row>
    <row r="197" spans="1:57" ht="7.5" customHeight="1" x14ac:dyDescent="0.4">
      <c r="A197" s="35">
        <v>197</v>
      </c>
      <c r="B197" s="57" t="s">
        <v>715</v>
      </c>
      <c r="C197" s="34" t="s">
        <v>3790</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3792</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3690</v>
      </c>
      <c r="AX197" s="29" t="s">
        <v>3486</v>
      </c>
      <c r="AY197" s="37" t="s">
        <v>3702</v>
      </c>
      <c r="AZ197" s="29" t="s">
        <v>3700</v>
      </c>
      <c r="BA197" s="37" t="s">
        <v>3701</v>
      </c>
      <c r="BB197" s="29" t="s">
        <v>3686</v>
      </c>
      <c r="BC197" s="37" t="s">
        <v>3688</v>
      </c>
      <c r="BD197" s="29" t="s">
        <v>3687</v>
      </c>
      <c r="BE197" s="37" t="s">
        <v>3791</v>
      </c>
    </row>
    <row r="198" spans="1:57" ht="7.5" customHeight="1" x14ac:dyDescent="0.4">
      <c r="A198" s="35">
        <v>198</v>
      </c>
      <c r="B198" s="57" t="s">
        <v>720</v>
      </c>
      <c r="C198" s="34" t="s">
        <v>3790</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3792</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3690</v>
      </c>
      <c r="AX198" s="29" t="s">
        <v>3486</v>
      </c>
      <c r="AY198" s="37" t="s">
        <v>3702</v>
      </c>
      <c r="AZ198" s="29" t="s">
        <v>3700</v>
      </c>
      <c r="BA198" s="37" t="s">
        <v>3701</v>
      </c>
      <c r="BB198" s="29" t="s">
        <v>3686</v>
      </c>
      <c r="BC198" s="37" t="s">
        <v>3688</v>
      </c>
      <c r="BD198" s="29" t="s">
        <v>3687</v>
      </c>
      <c r="BE198" s="37" t="s">
        <v>3791</v>
      </c>
    </row>
    <row r="199" spans="1:57" ht="7.5" customHeight="1" x14ac:dyDescent="0.4">
      <c r="A199" s="35">
        <v>199</v>
      </c>
      <c r="B199" s="57" t="s">
        <v>724</v>
      </c>
      <c r="C199" s="34" t="s">
        <v>3790</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3792</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3690</v>
      </c>
      <c r="AX199" s="29" t="s">
        <v>3486</v>
      </c>
      <c r="AY199" s="37" t="s">
        <v>3702</v>
      </c>
      <c r="AZ199" s="29" t="s">
        <v>3700</v>
      </c>
      <c r="BA199" s="37" t="s">
        <v>3701</v>
      </c>
      <c r="BB199" s="29" t="s">
        <v>3686</v>
      </c>
      <c r="BC199" s="37" t="s">
        <v>3688</v>
      </c>
      <c r="BD199" s="29" t="s">
        <v>3687</v>
      </c>
      <c r="BE199" s="37" t="s">
        <v>3791</v>
      </c>
    </row>
    <row r="200" spans="1:57" ht="7.5" customHeight="1" x14ac:dyDescent="0.4">
      <c r="A200" s="35">
        <v>200</v>
      </c>
      <c r="B200" s="57" t="s">
        <v>729</v>
      </c>
      <c r="C200" s="34" t="s">
        <v>3790</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3792</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3690</v>
      </c>
      <c r="AX200" s="29" t="s">
        <v>3486</v>
      </c>
      <c r="AY200" s="37" t="s">
        <v>3702</v>
      </c>
      <c r="AZ200" s="29" t="s">
        <v>3700</v>
      </c>
      <c r="BA200" s="37" t="s">
        <v>3701</v>
      </c>
      <c r="BB200" s="29" t="s">
        <v>3686</v>
      </c>
      <c r="BC200" s="37" t="s">
        <v>3688</v>
      </c>
      <c r="BD200" s="29" t="s">
        <v>3687</v>
      </c>
      <c r="BE200" s="37" t="s">
        <v>3791</v>
      </c>
    </row>
    <row r="201" spans="1:57" ht="7.5" customHeight="1" x14ac:dyDescent="0.4">
      <c r="A201" s="35">
        <v>201</v>
      </c>
      <c r="B201" s="57" t="s">
        <v>734</v>
      </c>
      <c r="C201" s="34" t="s">
        <v>3790</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3792</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3690</v>
      </c>
      <c r="AX201" s="29" t="s">
        <v>3486</v>
      </c>
      <c r="AY201" s="37" t="s">
        <v>3702</v>
      </c>
      <c r="AZ201" s="29" t="s">
        <v>3700</v>
      </c>
      <c r="BA201" s="37" t="s">
        <v>3701</v>
      </c>
      <c r="BB201" s="29" t="s">
        <v>3686</v>
      </c>
      <c r="BC201" s="37" t="s">
        <v>3688</v>
      </c>
      <c r="BD201" s="29" t="s">
        <v>3687</v>
      </c>
      <c r="BE201" s="37" t="s">
        <v>3791</v>
      </c>
    </row>
    <row r="202" spans="1:57" ht="7.5" customHeight="1" x14ac:dyDescent="0.4">
      <c r="A202" s="35">
        <v>202</v>
      </c>
      <c r="B202" s="57" t="s">
        <v>738</v>
      </c>
      <c r="C202" s="34" t="s">
        <v>3790</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3792</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3690</v>
      </c>
      <c r="AX202" s="29" t="s">
        <v>3486</v>
      </c>
      <c r="AY202" s="37" t="s">
        <v>3702</v>
      </c>
      <c r="AZ202" s="29" t="s">
        <v>3700</v>
      </c>
      <c r="BA202" s="37" t="s">
        <v>3701</v>
      </c>
      <c r="BB202" s="29" t="s">
        <v>3686</v>
      </c>
      <c r="BC202" s="37" t="s">
        <v>3688</v>
      </c>
      <c r="BD202" s="29" t="s">
        <v>3687</v>
      </c>
      <c r="BE202" s="37" t="s">
        <v>3791</v>
      </c>
    </row>
    <row r="203" spans="1:57" ht="7.5" customHeight="1" x14ac:dyDescent="0.4">
      <c r="A203" s="35">
        <v>203</v>
      </c>
      <c r="B203" s="57" t="s">
        <v>743</v>
      </c>
      <c r="C203" s="34" t="s">
        <v>3790</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3792</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3690</v>
      </c>
      <c r="AX203" s="29" t="s">
        <v>3486</v>
      </c>
      <c r="AY203" s="37" t="s">
        <v>3702</v>
      </c>
      <c r="AZ203" s="29" t="s">
        <v>3700</v>
      </c>
      <c r="BA203" s="37" t="s">
        <v>3701</v>
      </c>
      <c r="BB203" s="29" t="s">
        <v>3686</v>
      </c>
      <c r="BC203" s="37" t="s">
        <v>3688</v>
      </c>
      <c r="BD203" s="29" t="s">
        <v>3687</v>
      </c>
      <c r="BE203" s="37" t="s">
        <v>3791</v>
      </c>
    </row>
    <row r="204" spans="1:57" ht="7.5" customHeight="1" x14ac:dyDescent="0.4">
      <c r="A204" s="35">
        <v>204</v>
      </c>
      <c r="B204" s="57" t="s">
        <v>747</v>
      </c>
      <c r="C204" s="34" t="s">
        <v>3790</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3792</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3690</v>
      </c>
      <c r="AX204" s="29" t="s">
        <v>3486</v>
      </c>
      <c r="AY204" s="37" t="s">
        <v>3702</v>
      </c>
      <c r="AZ204" s="29" t="s">
        <v>3700</v>
      </c>
      <c r="BA204" s="37" t="s">
        <v>3701</v>
      </c>
      <c r="BB204" s="29" t="s">
        <v>3686</v>
      </c>
      <c r="BC204" s="37" t="s">
        <v>3688</v>
      </c>
      <c r="BD204" s="29" t="s">
        <v>3687</v>
      </c>
      <c r="BE204" s="37" t="s">
        <v>3791</v>
      </c>
    </row>
    <row r="205" spans="1:57" ht="7.5" customHeight="1" x14ac:dyDescent="0.4">
      <c r="A205" s="35">
        <v>205</v>
      </c>
      <c r="B205" s="57" t="s">
        <v>752</v>
      </c>
      <c r="C205" s="34" t="s">
        <v>3790</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3792</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3690</v>
      </c>
      <c r="AX205" s="29" t="s">
        <v>3486</v>
      </c>
      <c r="AY205" s="37" t="s">
        <v>3702</v>
      </c>
      <c r="AZ205" s="29" t="s">
        <v>3700</v>
      </c>
      <c r="BA205" s="37" t="s">
        <v>3701</v>
      </c>
      <c r="BB205" s="29" t="s">
        <v>3686</v>
      </c>
      <c r="BC205" s="37" t="s">
        <v>3688</v>
      </c>
      <c r="BD205" s="29" t="s">
        <v>3687</v>
      </c>
      <c r="BE205" s="37" t="s">
        <v>3791</v>
      </c>
    </row>
    <row r="206" spans="1:57" ht="7.5" customHeight="1" x14ac:dyDescent="0.4">
      <c r="A206" s="35">
        <v>206</v>
      </c>
      <c r="B206" s="57" t="s">
        <v>757</v>
      </c>
      <c r="C206" s="34" t="s">
        <v>3790</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3792</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3690</v>
      </c>
      <c r="AX206" s="29" t="s">
        <v>3486</v>
      </c>
      <c r="AY206" s="37" t="s">
        <v>3702</v>
      </c>
      <c r="AZ206" s="29" t="s">
        <v>3700</v>
      </c>
      <c r="BA206" s="37" t="s">
        <v>3701</v>
      </c>
      <c r="BB206" s="29" t="s">
        <v>3686</v>
      </c>
      <c r="BC206" s="37" t="s">
        <v>3688</v>
      </c>
      <c r="BD206" s="29" t="s">
        <v>3687</v>
      </c>
      <c r="BE206" s="37" t="s">
        <v>3791</v>
      </c>
    </row>
    <row r="207" spans="1:57" ht="7.5" customHeight="1" x14ac:dyDescent="0.4">
      <c r="A207" s="35">
        <v>207</v>
      </c>
      <c r="B207" s="57" t="s">
        <v>762</v>
      </c>
      <c r="C207" s="34" t="s">
        <v>3790</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3792</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3690</v>
      </c>
      <c r="AX207" s="29" t="s">
        <v>3486</v>
      </c>
      <c r="AY207" s="37" t="s">
        <v>3702</v>
      </c>
      <c r="AZ207" s="29" t="s">
        <v>3700</v>
      </c>
      <c r="BA207" s="37" t="s">
        <v>3701</v>
      </c>
      <c r="BB207" s="29" t="s">
        <v>3686</v>
      </c>
      <c r="BC207" s="37" t="s">
        <v>3688</v>
      </c>
      <c r="BD207" s="29" t="s">
        <v>3687</v>
      </c>
      <c r="BE207" s="37" t="s">
        <v>3791</v>
      </c>
    </row>
    <row r="208" spans="1:57" ht="7.5" customHeight="1" x14ac:dyDescent="0.4">
      <c r="A208" s="35">
        <v>208</v>
      </c>
      <c r="B208" s="57" t="s">
        <v>767</v>
      </c>
      <c r="C208" s="34" t="s">
        <v>3790</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3792</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3690</v>
      </c>
      <c r="AX208" s="29" t="s">
        <v>3486</v>
      </c>
      <c r="AY208" s="37" t="s">
        <v>3702</v>
      </c>
      <c r="AZ208" s="29" t="s">
        <v>3700</v>
      </c>
      <c r="BA208" s="37" t="s">
        <v>3701</v>
      </c>
      <c r="BB208" s="29" t="s">
        <v>3686</v>
      </c>
      <c r="BC208" s="37" t="s">
        <v>3688</v>
      </c>
      <c r="BD208" s="29" t="s">
        <v>3687</v>
      </c>
      <c r="BE208" s="37" t="s">
        <v>3791</v>
      </c>
    </row>
    <row r="209" spans="1:57" ht="7.5" customHeight="1" x14ac:dyDescent="0.4">
      <c r="A209" s="35">
        <v>209</v>
      </c>
      <c r="B209" s="57" t="s">
        <v>771</v>
      </c>
      <c r="C209" s="34" t="s">
        <v>3790</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3792</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3690</v>
      </c>
      <c r="AX209" s="29" t="s">
        <v>3486</v>
      </c>
      <c r="AY209" s="37" t="s">
        <v>3702</v>
      </c>
      <c r="AZ209" s="29" t="s">
        <v>3700</v>
      </c>
      <c r="BA209" s="37" t="s">
        <v>3701</v>
      </c>
      <c r="BB209" s="29" t="s">
        <v>3686</v>
      </c>
      <c r="BC209" s="37" t="s">
        <v>3688</v>
      </c>
      <c r="BD209" s="29" t="s">
        <v>3687</v>
      </c>
      <c r="BE209" s="37" t="s">
        <v>3791</v>
      </c>
    </row>
    <row r="210" spans="1:57" ht="7.5" customHeight="1" x14ac:dyDescent="0.4">
      <c r="A210" s="35">
        <v>210</v>
      </c>
      <c r="B210" s="57" t="s">
        <v>776</v>
      </c>
      <c r="C210" s="34" t="s">
        <v>3790</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3792</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3690</v>
      </c>
      <c r="AX210" s="29" t="s">
        <v>3486</v>
      </c>
      <c r="AY210" s="37" t="s">
        <v>3702</v>
      </c>
      <c r="AZ210" s="29" t="s">
        <v>3700</v>
      </c>
      <c r="BA210" s="37" t="s">
        <v>3701</v>
      </c>
      <c r="BB210" s="29" t="s">
        <v>3686</v>
      </c>
      <c r="BC210" s="37" t="s">
        <v>3688</v>
      </c>
      <c r="BD210" s="29" t="s">
        <v>3687</v>
      </c>
      <c r="BE210" s="37" t="s">
        <v>3791</v>
      </c>
    </row>
    <row r="211" spans="1:57" ht="7.5" customHeight="1" x14ac:dyDescent="0.4">
      <c r="A211" s="35">
        <v>211</v>
      </c>
      <c r="B211" s="57" t="s">
        <v>780</v>
      </c>
      <c r="C211" s="34" t="s">
        <v>3790</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3792</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3690</v>
      </c>
      <c r="AX211" s="29" t="s">
        <v>3486</v>
      </c>
      <c r="AY211" s="37" t="s">
        <v>3702</v>
      </c>
      <c r="AZ211" s="29" t="s">
        <v>3700</v>
      </c>
      <c r="BA211" s="37" t="s">
        <v>3701</v>
      </c>
      <c r="BB211" s="29" t="s">
        <v>3686</v>
      </c>
      <c r="BC211" s="37" t="s">
        <v>3688</v>
      </c>
      <c r="BD211" s="29" t="s">
        <v>3687</v>
      </c>
      <c r="BE211" s="37" t="s">
        <v>3791</v>
      </c>
    </row>
    <row r="212" spans="1:57" ht="7.5" customHeight="1" x14ac:dyDescent="0.4">
      <c r="A212" s="35">
        <v>212</v>
      </c>
      <c r="B212" s="57" t="s">
        <v>784</v>
      </c>
      <c r="C212" s="34" t="s">
        <v>3790</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3792</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3690</v>
      </c>
      <c r="AX212" s="29" t="s">
        <v>3486</v>
      </c>
      <c r="AY212" s="37" t="s">
        <v>3702</v>
      </c>
      <c r="AZ212" s="29" t="s">
        <v>3700</v>
      </c>
      <c r="BA212" s="37" t="s">
        <v>3701</v>
      </c>
      <c r="BB212" s="29" t="s">
        <v>3686</v>
      </c>
      <c r="BC212" s="37" t="s">
        <v>3688</v>
      </c>
      <c r="BD212" s="29" t="s">
        <v>3687</v>
      </c>
      <c r="BE212" s="37" t="s">
        <v>3791</v>
      </c>
    </row>
    <row r="213" spans="1:57" ht="7.5" customHeight="1" x14ac:dyDescent="0.4">
      <c r="A213" s="35">
        <v>213</v>
      </c>
      <c r="B213" s="57" t="s">
        <v>788</v>
      </c>
      <c r="C213" s="34" t="s">
        <v>3790</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3792</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3690</v>
      </c>
      <c r="AX213" s="29" t="s">
        <v>3486</v>
      </c>
      <c r="AY213" s="37" t="s">
        <v>3702</v>
      </c>
      <c r="AZ213" s="29" t="s">
        <v>3700</v>
      </c>
      <c r="BA213" s="37" t="s">
        <v>3701</v>
      </c>
      <c r="BB213" s="29" t="s">
        <v>3686</v>
      </c>
      <c r="BC213" s="37" t="s">
        <v>3688</v>
      </c>
      <c r="BD213" s="29" t="s">
        <v>3687</v>
      </c>
      <c r="BE213" s="37" t="s">
        <v>3791</v>
      </c>
    </row>
    <row r="214" spans="1:57" ht="7.5" customHeight="1" x14ac:dyDescent="0.4">
      <c r="A214" s="35">
        <v>214</v>
      </c>
      <c r="B214" s="57" t="s">
        <v>793</v>
      </c>
      <c r="C214" s="34" t="s">
        <v>3790</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3792</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3690</v>
      </c>
      <c r="AX214" s="29" t="s">
        <v>3486</v>
      </c>
      <c r="AY214" s="37" t="s">
        <v>3702</v>
      </c>
      <c r="AZ214" s="29" t="s">
        <v>3700</v>
      </c>
      <c r="BA214" s="37" t="s">
        <v>3701</v>
      </c>
      <c r="BB214" s="29" t="s">
        <v>3686</v>
      </c>
      <c r="BC214" s="37" t="s">
        <v>3688</v>
      </c>
      <c r="BD214" s="29" t="s">
        <v>3687</v>
      </c>
      <c r="BE214" s="37" t="s">
        <v>3791</v>
      </c>
    </row>
    <row r="215" spans="1:57" ht="7.5" customHeight="1" x14ac:dyDescent="0.4">
      <c r="A215" s="35">
        <v>215</v>
      </c>
      <c r="B215" s="57" t="s">
        <v>798</v>
      </c>
      <c r="C215" s="34" t="s">
        <v>3790</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3792</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3690</v>
      </c>
      <c r="AX215" s="29" t="s">
        <v>3486</v>
      </c>
      <c r="AY215" s="37" t="s">
        <v>3702</v>
      </c>
      <c r="AZ215" s="29" t="s">
        <v>3700</v>
      </c>
      <c r="BA215" s="37" t="s">
        <v>3701</v>
      </c>
      <c r="BB215" s="29" t="s">
        <v>3686</v>
      </c>
      <c r="BC215" s="37" t="s">
        <v>3688</v>
      </c>
      <c r="BD215" s="29" t="s">
        <v>3687</v>
      </c>
      <c r="BE215" s="37" t="s">
        <v>3791</v>
      </c>
    </row>
    <row r="216" spans="1:57" ht="7.5" customHeight="1" x14ac:dyDescent="0.4">
      <c r="A216" s="35">
        <v>216</v>
      </c>
      <c r="B216" s="57" t="s">
        <v>802</v>
      </c>
      <c r="C216" s="34" t="s">
        <v>3790</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3792</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3690</v>
      </c>
      <c r="AX216" s="29" t="s">
        <v>3486</v>
      </c>
      <c r="AY216" s="37" t="s">
        <v>3702</v>
      </c>
      <c r="AZ216" s="29" t="s">
        <v>3700</v>
      </c>
      <c r="BA216" s="37" t="s">
        <v>3701</v>
      </c>
      <c r="BB216" s="29" t="s">
        <v>3686</v>
      </c>
      <c r="BC216" s="37" t="s">
        <v>3688</v>
      </c>
      <c r="BD216" s="29" t="s">
        <v>3687</v>
      </c>
      <c r="BE216" s="37" t="s">
        <v>3791</v>
      </c>
    </row>
    <row r="217" spans="1:57" ht="7.5" customHeight="1" x14ac:dyDescent="0.4">
      <c r="A217" s="35">
        <v>217</v>
      </c>
      <c r="B217" s="57" t="s">
        <v>807</v>
      </c>
      <c r="C217" s="34" t="s">
        <v>3790</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3792</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3690</v>
      </c>
      <c r="AX217" s="29" t="s">
        <v>3486</v>
      </c>
      <c r="AY217" s="37" t="s">
        <v>3702</v>
      </c>
      <c r="AZ217" s="29" t="s">
        <v>3700</v>
      </c>
      <c r="BA217" s="37" t="s">
        <v>3701</v>
      </c>
      <c r="BB217" s="29" t="s">
        <v>3686</v>
      </c>
      <c r="BC217" s="37" t="s">
        <v>3688</v>
      </c>
      <c r="BD217" s="29" t="s">
        <v>3687</v>
      </c>
      <c r="BE217" s="37" t="s">
        <v>3791</v>
      </c>
    </row>
    <row r="218" spans="1:57" ht="7.5" customHeight="1" x14ac:dyDescent="0.4">
      <c r="A218" s="35">
        <v>218</v>
      </c>
      <c r="B218" s="57" t="s">
        <v>812</v>
      </c>
      <c r="C218" s="34" t="s">
        <v>3790</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3792</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3690</v>
      </c>
      <c r="AX218" s="29" t="s">
        <v>3486</v>
      </c>
      <c r="AY218" s="37" t="s">
        <v>3702</v>
      </c>
      <c r="AZ218" s="29" t="s">
        <v>3700</v>
      </c>
      <c r="BA218" s="37" t="s">
        <v>3701</v>
      </c>
      <c r="BB218" s="29" t="s">
        <v>3686</v>
      </c>
      <c r="BC218" s="37" t="s">
        <v>3688</v>
      </c>
      <c r="BD218" s="29" t="s">
        <v>3687</v>
      </c>
      <c r="BE218" s="37" t="s">
        <v>3791</v>
      </c>
    </row>
    <row r="219" spans="1:57" ht="7.5" customHeight="1" x14ac:dyDescent="0.4">
      <c r="A219" s="35">
        <v>219</v>
      </c>
      <c r="B219" s="57" t="s">
        <v>816</v>
      </c>
      <c r="C219" s="34" t="s">
        <v>3790</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3792</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3690</v>
      </c>
      <c r="AX219" s="29" t="s">
        <v>3486</v>
      </c>
      <c r="AY219" s="37" t="s">
        <v>3702</v>
      </c>
      <c r="AZ219" s="29" t="s">
        <v>3700</v>
      </c>
      <c r="BA219" s="37" t="s">
        <v>3701</v>
      </c>
      <c r="BB219" s="29" t="s">
        <v>3686</v>
      </c>
      <c r="BC219" s="37" t="s">
        <v>3688</v>
      </c>
      <c r="BD219" s="29" t="s">
        <v>3687</v>
      </c>
      <c r="BE219" s="37" t="s">
        <v>3791</v>
      </c>
    </row>
    <row r="220" spans="1:57" ht="7.5" customHeight="1" x14ac:dyDescent="0.4">
      <c r="A220" s="35">
        <v>220</v>
      </c>
      <c r="B220" s="57" t="s">
        <v>821</v>
      </c>
      <c r="C220" s="34" t="s">
        <v>3790</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3792</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3690</v>
      </c>
      <c r="AX220" s="29" t="s">
        <v>3486</v>
      </c>
      <c r="AY220" s="37" t="s">
        <v>3702</v>
      </c>
      <c r="AZ220" s="29" t="s">
        <v>3700</v>
      </c>
      <c r="BA220" s="37" t="s">
        <v>3701</v>
      </c>
      <c r="BB220" s="29" t="s">
        <v>3686</v>
      </c>
      <c r="BC220" s="37" t="s">
        <v>3688</v>
      </c>
      <c r="BD220" s="29" t="s">
        <v>3687</v>
      </c>
      <c r="BE220" s="37" t="s">
        <v>3791</v>
      </c>
    </row>
    <row r="221" spans="1:57" ht="7.5" customHeight="1" x14ac:dyDescent="0.4">
      <c r="A221" s="35">
        <v>221</v>
      </c>
      <c r="B221" s="57" t="s">
        <v>826</v>
      </c>
      <c r="C221" s="34" t="s">
        <v>3790</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3792</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3690</v>
      </c>
      <c r="AX221" s="29" t="s">
        <v>3486</v>
      </c>
      <c r="AY221" s="37" t="s">
        <v>3702</v>
      </c>
      <c r="AZ221" s="29" t="s">
        <v>3700</v>
      </c>
      <c r="BA221" s="37" t="s">
        <v>3701</v>
      </c>
      <c r="BB221" s="29" t="s">
        <v>3686</v>
      </c>
      <c r="BC221" s="37" t="s">
        <v>3688</v>
      </c>
      <c r="BD221" s="29" t="s">
        <v>3687</v>
      </c>
      <c r="BE221" s="37" t="s">
        <v>3791</v>
      </c>
    </row>
    <row r="222" spans="1:57" ht="7.5" customHeight="1" x14ac:dyDescent="0.4">
      <c r="A222" s="35">
        <v>222</v>
      </c>
      <c r="B222" s="57" t="s">
        <v>830</v>
      </c>
      <c r="C222" s="34" t="s">
        <v>3790</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3792</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3690</v>
      </c>
      <c r="AX222" s="29" t="s">
        <v>3486</v>
      </c>
      <c r="AY222" s="37" t="s">
        <v>3702</v>
      </c>
      <c r="AZ222" s="29" t="s">
        <v>3700</v>
      </c>
      <c r="BA222" s="37" t="s">
        <v>3701</v>
      </c>
      <c r="BB222" s="29" t="s">
        <v>3686</v>
      </c>
      <c r="BC222" s="37" t="s">
        <v>3688</v>
      </c>
      <c r="BD222" s="29" t="s">
        <v>3687</v>
      </c>
      <c r="BE222" s="37" t="s">
        <v>3791</v>
      </c>
    </row>
    <row r="223" spans="1:57" ht="7.5" customHeight="1" x14ac:dyDescent="0.4">
      <c r="A223" s="35">
        <v>223</v>
      </c>
      <c r="B223" s="57" t="s">
        <v>834</v>
      </c>
      <c r="C223" s="34" t="s">
        <v>3790</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3792</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3690</v>
      </c>
      <c r="AX223" s="29" t="s">
        <v>3486</v>
      </c>
      <c r="AY223" s="37" t="s">
        <v>3702</v>
      </c>
      <c r="AZ223" s="29" t="s">
        <v>3700</v>
      </c>
      <c r="BA223" s="37" t="s">
        <v>3701</v>
      </c>
      <c r="BB223" s="29" t="s">
        <v>3686</v>
      </c>
      <c r="BC223" s="37" t="s">
        <v>3688</v>
      </c>
      <c r="BD223" s="29" t="s">
        <v>3687</v>
      </c>
      <c r="BE223" s="37" t="s">
        <v>3791</v>
      </c>
    </row>
    <row r="224" spans="1:57" ht="7.5" customHeight="1" x14ac:dyDescent="0.4">
      <c r="A224" s="35">
        <v>224</v>
      </c>
      <c r="B224" s="57" t="s">
        <v>838</v>
      </c>
      <c r="C224" s="34" t="s">
        <v>3790</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3792</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3690</v>
      </c>
      <c r="AX224" s="29" t="s">
        <v>3486</v>
      </c>
      <c r="AY224" s="37" t="s">
        <v>3702</v>
      </c>
      <c r="AZ224" s="29" t="s">
        <v>3700</v>
      </c>
      <c r="BA224" s="37" t="s">
        <v>3701</v>
      </c>
      <c r="BB224" s="29" t="s">
        <v>3686</v>
      </c>
      <c r="BC224" s="37" t="s">
        <v>3688</v>
      </c>
      <c r="BD224" s="29" t="s">
        <v>3687</v>
      </c>
      <c r="BE224" s="37" t="s">
        <v>3791</v>
      </c>
    </row>
    <row r="225" spans="1:57" ht="7.5" customHeight="1" x14ac:dyDescent="0.4">
      <c r="A225" s="35">
        <v>225</v>
      </c>
      <c r="B225" s="57" t="s">
        <v>843</v>
      </c>
      <c r="C225" s="34" t="s">
        <v>3790</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3792</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3690</v>
      </c>
      <c r="AX225" s="29" t="s">
        <v>3486</v>
      </c>
      <c r="AY225" s="37" t="s">
        <v>3702</v>
      </c>
      <c r="AZ225" s="29" t="s">
        <v>3700</v>
      </c>
      <c r="BA225" s="37" t="s">
        <v>3701</v>
      </c>
      <c r="BB225" s="29" t="s">
        <v>3686</v>
      </c>
      <c r="BC225" s="37" t="s">
        <v>3688</v>
      </c>
      <c r="BD225" s="29" t="s">
        <v>3687</v>
      </c>
      <c r="BE225" s="37" t="s">
        <v>3791</v>
      </c>
    </row>
    <row r="226" spans="1:57" ht="7.5" customHeight="1" x14ac:dyDescent="0.4">
      <c r="A226" s="35">
        <v>226</v>
      </c>
      <c r="B226" s="57" t="s">
        <v>848</v>
      </c>
      <c r="C226" s="34" t="s">
        <v>3790</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3792</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3690</v>
      </c>
      <c r="AX226" s="29" t="s">
        <v>3486</v>
      </c>
      <c r="AY226" s="37" t="s">
        <v>3702</v>
      </c>
      <c r="AZ226" s="29" t="s">
        <v>3700</v>
      </c>
      <c r="BA226" s="37" t="s">
        <v>3701</v>
      </c>
      <c r="BB226" s="29" t="s">
        <v>3686</v>
      </c>
      <c r="BC226" s="37" t="s">
        <v>3688</v>
      </c>
      <c r="BD226" s="29" t="s">
        <v>3687</v>
      </c>
      <c r="BE226" s="37" t="s">
        <v>3791</v>
      </c>
    </row>
    <row r="227" spans="1:57" ht="7.5" customHeight="1" x14ac:dyDescent="0.4">
      <c r="A227" s="35">
        <v>227</v>
      </c>
      <c r="B227" s="57" t="s">
        <v>853</v>
      </c>
      <c r="C227" s="34" t="s">
        <v>3790</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3792</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3690</v>
      </c>
      <c r="AX227" s="29" t="s">
        <v>3486</v>
      </c>
      <c r="AY227" s="37" t="s">
        <v>3702</v>
      </c>
      <c r="AZ227" s="29" t="s">
        <v>3700</v>
      </c>
      <c r="BA227" s="37" t="s">
        <v>3701</v>
      </c>
      <c r="BB227" s="29" t="s">
        <v>3686</v>
      </c>
      <c r="BC227" s="37" t="s">
        <v>3688</v>
      </c>
      <c r="BD227" s="29" t="s">
        <v>3687</v>
      </c>
      <c r="BE227" s="37" t="s">
        <v>3791</v>
      </c>
    </row>
    <row r="228" spans="1:57" ht="7.5" customHeight="1" x14ac:dyDescent="0.4">
      <c r="A228" s="35">
        <v>228</v>
      </c>
      <c r="B228" s="57" t="s">
        <v>857</v>
      </c>
      <c r="C228" s="34" t="s">
        <v>3790</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3792</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3690</v>
      </c>
      <c r="AX228" s="29" t="s">
        <v>3486</v>
      </c>
      <c r="AY228" s="37" t="s">
        <v>3702</v>
      </c>
      <c r="AZ228" s="29" t="s">
        <v>3700</v>
      </c>
      <c r="BA228" s="37" t="s">
        <v>3701</v>
      </c>
      <c r="BB228" s="29" t="s">
        <v>3686</v>
      </c>
      <c r="BC228" s="37" t="s">
        <v>3688</v>
      </c>
      <c r="BD228" s="29" t="s">
        <v>3687</v>
      </c>
      <c r="BE228" s="37" t="s">
        <v>3791</v>
      </c>
    </row>
    <row r="229" spans="1:57" ht="7.5" customHeight="1" x14ac:dyDescent="0.4">
      <c r="A229" s="35">
        <v>229</v>
      </c>
      <c r="B229" s="57" t="s">
        <v>862</v>
      </c>
      <c r="C229" s="34" t="s">
        <v>3790</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3792</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3690</v>
      </c>
      <c r="AX229" s="29" t="s">
        <v>3486</v>
      </c>
      <c r="AY229" s="37" t="s">
        <v>3702</v>
      </c>
      <c r="AZ229" s="29" t="s">
        <v>3700</v>
      </c>
      <c r="BA229" s="37" t="s">
        <v>3701</v>
      </c>
      <c r="BB229" s="29" t="s">
        <v>3686</v>
      </c>
      <c r="BC229" s="37" t="s">
        <v>3688</v>
      </c>
      <c r="BD229" s="29" t="s">
        <v>3687</v>
      </c>
      <c r="BE229" s="37" t="s">
        <v>3791</v>
      </c>
    </row>
    <row r="230" spans="1:57" ht="7.5" customHeight="1" x14ac:dyDescent="0.4">
      <c r="A230" s="35">
        <v>230</v>
      </c>
      <c r="B230" s="57" t="s">
        <v>867</v>
      </c>
      <c r="C230" s="34" t="s">
        <v>3790</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3792</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3690</v>
      </c>
      <c r="AX230" s="29" t="s">
        <v>3486</v>
      </c>
      <c r="AY230" s="37" t="s">
        <v>3702</v>
      </c>
      <c r="AZ230" s="29" t="s">
        <v>3700</v>
      </c>
      <c r="BA230" s="37" t="s">
        <v>3701</v>
      </c>
      <c r="BB230" s="29" t="s">
        <v>3686</v>
      </c>
      <c r="BC230" s="37" t="s">
        <v>3688</v>
      </c>
      <c r="BD230" s="29" t="s">
        <v>3687</v>
      </c>
      <c r="BE230" s="37" t="s">
        <v>3791</v>
      </c>
    </row>
    <row r="231" spans="1:57" ht="7.5" customHeight="1" x14ac:dyDescent="0.4">
      <c r="A231" s="35">
        <v>231</v>
      </c>
      <c r="B231" s="57" t="s">
        <v>872</v>
      </c>
      <c r="C231" s="34" t="s">
        <v>3790</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3792</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3690</v>
      </c>
      <c r="AX231" s="29" t="s">
        <v>3486</v>
      </c>
      <c r="AY231" s="37" t="s">
        <v>3702</v>
      </c>
      <c r="AZ231" s="29" t="s">
        <v>3700</v>
      </c>
      <c r="BA231" s="37" t="s">
        <v>3701</v>
      </c>
      <c r="BB231" s="29" t="s">
        <v>3686</v>
      </c>
      <c r="BC231" s="37" t="s">
        <v>3688</v>
      </c>
      <c r="BD231" s="29" t="s">
        <v>3687</v>
      </c>
      <c r="BE231" s="37" t="s">
        <v>3791</v>
      </c>
    </row>
    <row r="232" spans="1:57" ht="7.5" customHeight="1" x14ac:dyDescent="0.4">
      <c r="A232" s="35">
        <v>232</v>
      </c>
      <c r="B232" s="57" t="s">
        <v>876</v>
      </c>
      <c r="C232" s="34" t="s">
        <v>3790</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3792</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3690</v>
      </c>
      <c r="AX232" s="29" t="s">
        <v>3486</v>
      </c>
      <c r="AY232" s="37" t="s">
        <v>3702</v>
      </c>
      <c r="AZ232" s="29" t="s">
        <v>3700</v>
      </c>
      <c r="BA232" s="37" t="s">
        <v>3701</v>
      </c>
      <c r="BB232" s="29" t="s">
        <v>3686</v>
      </c>
      <c r="BC232" s="37" t="s">
        <v>3688</v>
      </c>
      <c r="BD232" s="29" t="s">
        <v>3687</v>
      </c>
      <c r="BE232" s="37" t="s">
        <v>3791</v>
      </c>
    </row>
    <row r="233" spans="1:57" ht="7.5" customHeight="1" x14ac:dyDescent="0.4">
      <c r="A233" s="35">
        <v>233</v>
      </c>
      <c r="B233" s="57" t="s">
        <v>881</v>
      </c>
      <c r="C233" s="34" t="s">
        <v>3790</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3792</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3690</v>
      </c>
      <c r="AX233" s="29" t="s">
        <v>3486</v>
      </c>
      <c r="AY233" s="37" t="s">
        <v>3702</v>
      </c>
      <c r="AZ233" s="29" t="s">
        <v>3700</v>
      </c>
      <c r="BA233" s="37" t="s">
        <v>3701</v>
      </c>
      <c r="BB233" s="29" t="s">
        <v>3686</v>
      </c>
      <c r="BC233" s="37" t="s">
        <v>3688</v>
      </c>
      <c r="BD233" s="29" t="s">
        <v>3687</v>
      </c>
      <c r="BE233" s="37" t="s">
        <v>3791</v>
      </c>
    </row>
    <row r="234" spans="1:57" ht="7.5" customHeight="1" x14ac:dyDescent="0.4">
      <c r="A234" s="35">
        <v>234</v>
      </c>
      <c r="B234" s="57" t="s">
        <v>886</v>
      </c>
      <c r="C234" s="34" t="s">
        <v>3790</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3792</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3690</v>
      </c>
      <c r="AX234" s="29" t="s">
        <v>3486</v>
      </c>
      <c r="AY234" s="37" t="s">
        <v>3702</v>
      </c>
      <c r="AZ234" s="29" t="s">
        <v>3700</v>
      </c>
      <c r="BA234" s="37" t="s">
        <v>3701</v>
      </c>
      <c r="BB234" s="29" t="s">
        <v>3686</v>
      </c>
      <c r="BC234" s="37" t="s">
        <v>3688</v>
      </c>
      <c r="BD234" s="29" t="s">
        <v>3687</v>
      </c>
      <c r="BE234" s="37" t="s">
        <v>3791</v>
      </c>
    </row>
    <row r="235" spans="1:57" ht="7.5" customHeight="1" x14ac:dyDescent="0.4">
      <c r="A235" s="35">
        <v>235</v>
      </c>
      <c r="B235" s="57" t="s">
        <v>891</v>
      </c>
      <c r="C235" s="34" t="s">
        <v>3790</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3792</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3690</v>
      </c>
      <c r="AX235" s="29" t="s">
        <v>3486</v>
      </c>
      <c r="AY235" s="37" t="s">
        <v>3702</v>
      </c>
      <c r="AZ235" s="29" t="s">
        <v>3700</v>
      </c>
      <c r="BA235" s="37" t="s">
        <v>3701</v>
      </c>
      <c r="BB235" s="29" t="s">
        <v>3686</v>
      </c>
      <c r="BC235" s="37" t="s">
        <v>3688</v>
      </c>
      <c r="BD235" s="29" t="s">
        <v>3687</v>
      </c>
      <c r="BE235" s="37" t="s">
        <v>3791</v>
      </c>
    </row>
    <row r="236" spans="1:57" ht="7.5" customHeight="1" x14ac:dyDescent="0.4">
      <c r="A236" s="35">
        <v>236</v>
      </c>
      <c r="B236" s="57" t="s">
        <v>896</v>
      </c>
      <c r="C236" s="34" t="s">
        <v>3790</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3792</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3690</v>
      </c>
      <c r="AX236" s="29" t="s">
        <v>3486</v>
      </c>
      <c r="AY236" s="37" t="s">
        <v>3702</v>
      </c>
      <c r="AZ236" s="29" t="s">
        <v>3700</v>
      </c>
      <c r="BA236" s="37" t="s">
        <v>3701</v>
      </c>
      <c r="BB236" s="29" t="s">
        <v>3686</v>
      </c>
      <c r="BC236" s="37" t="s">
        <v>3688</v>
      </c>
      <c r="BD236" s="29" t="s">
        <v>3687</v>
      </c>
      <c r="BE236" s="37" t="s">
        <v>3791</v>
      </c>
    </row>
    <row r="237" spans="1:57" ht="7.5" customHeight="1" x14ac:dyDescent="0.4">
      <c r="A237" s="35">
        <v>237</v>
      </c>
      <c r="B237" s="57" t="s">
        <v>901</v>
      </c>
      <c r="C237" s="34" t="s">
        <v>3790</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3792</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3690</v>
      </c>
      <c r="AX237" s="29" t="s">
        <v>3486</v>
      </c>
      <c r="AY237" s="37" t="s">
        <v>3702</v>
      </c>
      <c r="AZ237" s="29" t="s">
        <v>3700</v>
      </c>
      <c r="BA237" s="37" t="s">
        <v>3701</v>
      </c>
      <c r="BB237" s="29" t="s">
        <v>3686</v>
      </c>
      <c r="BC237" s="37" t="s">
        <v>3688</v>
      </c>
      <c r="BD237" s="29" t="s">
        <v>3687</v>
      </c>
      <c r="BE237" s="37" t="s">
        <v>3791</v>
      </c>
    </row>
    <row r="238" spans="1:57" ht="7.5" customHeight="1" x14ac:dyDescent="0.4">
      <c r="A238" s="35">
        <v>238</v>
      </c>
      <c r="B238" s="57" t="s">
        <v>906</v>
      </c>
      <c r="C238" s="34" t="s">
        <v>3790</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3792</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3690</v>
      </c>
      <c r="AX238" s="29" t="s">
        <v>3486</v>
      </c>
      <c r="AY238" s="37" t="s">
        <v>3702</v>
      </c>
      <c r="AZ238" s="29" t="s">
        <v>3700</v>
      </c>
      <c r="BA238" s="37" t="s">
        <v>3701</v>
      </c>
      <c r="BB238" s="29" t="s">
        <v>3686</v>
      </c>
      <c r="BC238" s="37" t="s">
        <v>3688</v>
      </c>
      <c r="BD238" s="29" t="s">
        <v>3687</v>
      </c>
      <c r="BE238" s="37" t="s">
        <v>3791</v>
      </c>
    </row>
    <row r="239" spans="1:57" ht="7.5" customHeight="1" x14ac:dyDescent="0.4">
      <c r="A239" s="35">
        <v>239</v>
      </c>
      <c r="B239" s="57" t="s">
        <v>911</v>
      </c>
      <c r="C239" s="34" t="s">
        <v>3790</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3792</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3690</v>
      </c>
      <c r="AX239" s="29" t="s">
        <v>3486</v>
      </c>
      <c r="AY239" s="37" t="s">
        <v>3702</v>
      </c>
      <c r="AZ239" s="29" t="s">
        <v>3700</v>
      </c>
      <c r="BA239" s="37" t="s">
        <v>3701</v>
      </c>
      <c r="BB239" s="29" t="s">
        <v>3686</v>
      </c>
      <c r="BC239" s="37" t="s">
        <v>3688</v>
      </c>
      <c r="BD239" s="29" t="s">
        <v>3687</v>
      </c>
      <c r="BE239" s="37" t="s">
        <v>3791</v>
      </c>
    </row>
    <row r="240" spans="1:57" ht="7.5" customHeight="1" x14ac:dyDescent="0.4">
      <c r="A240" s="35">
        <v>240</v>
      </c>
      <c r="B240" s="57" t="s">
        <v>916</v>
      </c>
      <c r="C240" s="34" t="s">
        <v>3790</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3792</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3690</v>
      </c>
      <c r="AX240" s="29" t="s">
        <v>3486</v>
      </c>
      <c r="AY240" s="37" t="s">
        <v>3702</v>
      </c>
      <c r="AZ240" s="29" t="s">
        <v>3700</v>
      </c>
      <c r="BA240" s="37" t="s">
        <v>3701</v>
      </c>
      <c r="BB240" s="29" t="s">
        <v>3686</v>
      </c>
      <c r="BC240" s="37" t="s">
        <v>3688</v>
      </c>
      <c r="BD240" s="29" t="s">
        <v>3687</v>
      </c>
      <c r="BE240" s="37" t="s">
        <v>3791</v>
      </c>
    </row>
    <row r="241" spans="1:57" ht="7.5" customHeight="1" x14ac:dyDescent="0.4">
      <c r="A241" s="35">
        <v>241</v>
      </c>
      <c r="B241" s="57" t="s">
        <v>921</v>
      </c>
      <c r="C241" s="34" t="s">
        <v>3790</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3792</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3690</v>
      </c>
      <c r="AX241" s="29" t="s">
        <v>3486</v>
      </c>
      <c r="AY241" s="37" t="s">
        <v>3702</v>
      </c>
      <c r="AZ241" s="29" t="s">
        <v>3700</v>
      </c>
      <c r="BA241" s="37" t="s">
        <v>3701</v>
      </c>
      <c r="BB241" s="29" t="s">
        <v>3686</v>
      </c>
      <c r="BC241" s="37" t="s">
        <v>3688</v>
      </c>
      <c r="BD241" s="29" t="s">
        <v>3687</v>
      </c>
      <c r="BE241" s="37" t="s">
        <v>3791</v>
      </c>
    </row>
    <row r="242" spans="1:57" ht="7.5" customHeight="1" x14ac:dyDescent="0.4">
      <c r="A242" s="35">
        <v>242</v>
      </c>
      <c r="B242" s="57" t="s">
        <v>926</v>
      </c>
      <c r="C242" s="34" t="s">
        <v>3790</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3792</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3690</v>
      </c>
      <c r="AX242" s="29" t="s">
        <v>3486</v>
      </c>
      <c r="AY242" s="37" t="s">
        <v>3702</v>
      </c>
      <c r="AZ242" s="29" t="s">
        <v>3700</v>
      </c>
      <c r="BA242" s="37" t="s">
        <v>3701</v>
      </c>
      <c r="BB242" s="29" t="s">
        <v>3686</v>
      </c>
      <c r="BC242" s="37" t="s">
        <v>3688</v>
      </c>
      <c r="BD242" s="29" t="s">
        <v>3687</v>
      </c>
      <c r="BE242" s="37" t="s">
        <v>3791</v>
      </c>
    </row>
    <row r="243" spans="1:57" ht="7.5" customHeight="1" x14ac:dyDescent="0.4">
      <c r="A243" s="35">
        <v>243</v>
      </c>
      <c r="B243" s="57" t="s">
        <v>930</v>
      </c>
      <c r="C243" s="34" t="s">
        <v>3790</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3792</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3690</v>
      </c>
      <c r="AX243" s="29" t="s">
        <v>3486</v>
      </c>
      <c r="AY243" s="37" t="s">
        <v>3702</v>
      </c>
      <c r="AZ243" s="29" t="s">
        <v>3700</v>
      </c>
      <c r="BA243" s="37" t="s">
        <v>3701</v>
      </c>
      <c r="BB243" s="29" t="s">
        <v>3686</v>
      </c>
      <c r="BC243" s="37" t="s">
        <v>3688</v>
      </c>
      <c r="BD243" s="29" t="s">
        <v>3687</v>
      </c>
      <c r="BE243" s="37" t="s">
        <v>3791</v>
      </c>
    </row>
    <row r="244" spans="1:57" ht="7.5" customHeight="1" x14ac:dyDescent="0.4">
      <c r="A244" s="35">
        <v>244</v>
      </c>
      <c r="B244" s="57" t="s">
        <v>934</v>
      </c>
      <c r="C244" s="34" t="s">
        <v>3790</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3792</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3690</v>
      </c>
      <c r="AX244" s="29" t="s">
        <v>3486</v>
      </c>
      <c r="AY244" s="37" t="s">
        <v>3702</v>
      </c>
      <c r="AZ244" s="29" t="s">
        <v>3700</v>
      </c>
      <c r="BA244" s="37" t="s">
        <v>3701</v>
      </c>
      <c r="BB244" s="29" t="s">
        <v>3686</v>
      </c>
      <c r="BC244" s="37" t="s">
        <v>3688</v>
      </c>
      <c r="BD244" s="29" t="s">
        <v>3687</v>
      </c>
      <c r="BE244" s="37" t="s">
        <v>3791</v>
      </c>
    </row>
    <row r="245" spans="1:57" ht="7.5" customHeight="1" x14ac:dyDescent="0.4">
      <c r="A245" s="35">
        <v>245</v>
      </c>
      <c r="B245" s="57" t="s">
        <v>938</v>
      </c>
      <c r="C245" s="34" t="s">
        <v>3790</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3792</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3690</v>
      </c>
      <c r="AX245" s="29" t="s">
        <v>3486</v>
      </c>
      <c r="AY245" s="37" t="s">
        <v>3702</v>
      </c>
      <c r="AZ245" s="29" t="s">
        <v>3700</v>
      </c>
      <c r="BA245" s="37" t="s">
        <v>3701</v>
      </c>
      <c r="BB245" s="29" t="s">
        <v>3686</v>
      </c>
      <c r="BC245" s="37" t="s">
        <v>3688</v>
      </c>
      <c r="BD245" s="29" t="s">
        <v>3687</v>
      </c>
      <c r="BE245" s="37" t="s">
        <v>3791</v>
      </c>
    </row>
    <row r="246" spans="1:57" ht="7.5" customHeight="1" x14ac:dyDescent="0.4">
      <c r="A246" s="35">
        <v>246</v>
      </c>
      <c r="B246" s="57" t="s">
        <v>943</v>
      </c>
      <c r="C246" s="34" t="s">
        <v>3790</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3792</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3690</v>
      </c>
      <c r="AX246" s="29" t="s">
        <v>3486</v>
      </c>
      <c r="AY246" s="37" t="s">
        <v>3702</v>
      </c>
      <c r="AZ246" s="29" t="s">
        <v>3700</v>
      </c>
      <c r="BA246" s="37" t="s">
        <v>3701</v>
      </c>
      <c r="BB246" s="29" t="s">
        <v>3686</v>
      </c>
      <c r="BC246" s="37" t="s">
        <v>3688</v>
      </c>
      <c r="BD246" s="29" t="s">
        <v>3687</v>
      </c>
      <c r="BE246" s="37" t="s">
        <v>3791</v>
      </c>
    </row>
    <row r="247" spans="1:57" ht="7.5" customHeight="1" x14ac:dyDescent="0.4">
      <c r="A247" s="35">
        <v>247</v>
      </c>
      <c r="B247" s="57" t="s">
        <v>948</v>
      </c>
      <c r="C247" s="34" t="s">
        <v>3790</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3792</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3690</v>
      </c>
      <c r="AX247" s="29" t="s">
        <v>3486</v>
      </c>
      <c r="AY247" s="37" t="s">
        <v>3702</v>
      </c>
      <c r="AZ247" s="29" t="s">
        <v>3700</v>
      </c>
      <c r="BA247" s="37" t="s">
        <v>3701</v>
      </c>
      <c r="BB247" s="29" t="s">
        <v>3686</v>
      </c>
      <c r="BC247" s="37" t="s">
        <v>3688</v>
      </c>
      <c r="BD247" s="29" t="s">
        <v>3687</v>
      </c>
      <c r="BE247" s="37" t="s">
        <v>3791</v>
      </c>
    </row>
    <row r="248" spans="1:57" ht="7.5" customHeight="1" x14ac:dyDescent="0.4">
      <c r="A248" s="35">
        <v>248</v>
      </c>
      <c r="B248" s="57" t="s">
        <v>953</v>
      </c>
      <c r="C248" s="34" t="s">
        <v>3790</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3792</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3690</v>
      </c>
      <c r="AX248" s="29" t="s">
        <v>3486</v>
      </c>
      <c r="AY248" s="37" t="s">
        <v>3702</v>
      </c>
      <c r="AZ248" s="29" t="s">
        <v>3700</v>
      </c>
      <c r="BA248" s="37" t="s">
        <v>3701</v>
      </c>
      <c r="BB248" s="29" t="s">
        <v>3686</v>
      </c>
      <c r="BC248" s="37" t="s">
        <v>3688</v>
      </c>
      <c r="BD248" s="29" t="s">
        <v>3687</v>
      </c>
      <c r="BE248" s="37" t="s">
        <v>3791</v>
      </c>
    </row>
    <row r="249" spans="1:57" ht="7.5" customHeight="1" x14ac:dyDescent="0.4">
      <c r="A249" s="35">
        <v>249</v>
      </c>
      <c r="B249" s="57" t="s">
        <v>958</v>
      </c>
      <c r="C249" s="34" t="s">
        <v>3790</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3792</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3690</v>
      </c>
      <c r="AX249" s="29" t="s">
        <v>3486</v>
      </c>
      <c r="AY249" s="37" t="s">
        <v>3702</v>
      </c>
      <c r="AZ249" s="29" t="s">
        <v>3700</v>
      </c>
      <c r="BA249" s="37" t="s">
        <v>3701</v>
      </c>
      <c r="BB249" s="29" t="s">
        <v>3686</v>
      </c>
      <c r="BC249" s="37" t="s">
        <v>3688</v>
      </c>
      <c r="BD249" s="29" t="s">
        <v>3687</v>
      </c>
      <c r="BE249" s="37" t="s">
        <v>3791</v>
      </c>
    </row>
    <row r="250" spans="1:57" ht="7.5" customHeight="1" x14ac:dyDescent="0.4">
      <c r="A250" s="35">
        <v>250</v>
      </c>
      <c r="B250" s="57" t="s">
        <v>963</v>
      </c>
      <c r="C250" s="34" t="s">
        <v>3790</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3792</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3690</v>
      </c>
      <c r="AX250" s="29" t="s">
        <v>3486</v>
      </c>
      <c r="AY250" s="37" t="s">
        <v>3702</v>
      </c>
      <c r="AZ250" s="29" t="s">
        <v>3700</v>
      </c>
      <c r="BA250" s="37" t="s">
        <v>3701</v>
      </c>
      <c r="BB250" s="29" t="s">
        <v>3686</v>
      </c>
      <c r="BC250" s="37" t="s">
        <v>3688</v>
      </c>
      <c r="BD250" s="29" t="s">
        <v>3687</v>
      </c>
      <c r="BE250" s="37" t="s">
        <v>3791</v>
      </c>
    </row>
    <row r="251" spans="1:57" ht="7.5" customHeight="1" x14ac:dyDescent="0.4">
      <c r="A251" s="35">
        <v>251</v>
      </c>
      <c r="B251" s="57" t="s">
        <v>968</v>
      </c>
      <c r="C251" s="34" t="s">
        <v>3790</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3792</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3690</v>
      </c>
      <c r="AX251" s="29" t="s">
        <v>3486</v>
      </c>
      <c r="AY251" s="37" t="s">
        <v>3702</v>
      </c>
      <c r="AZ251" s="29" t="s">
        <v>3700</v>
      </c>
      <c r="BA251" s="37" t="s">
        <v>3701</v>
      </c>
      <c r="BB251" s="29" t="s">
        <v>3686</v>
      </c>
      <c r="BC251" s="37" t="s">
        <v>3688</v>
      </c>
      <c r="BD251" s="29" t="s">
        <v>3687</v>
      </c>
      <c r="BE251" s="37" t="s">
        <v>3791</v>
      </c>
    </row>
    <row r="252" spans="1:57" ht="7.5" customHeight="1" x14ac:dyDescent="0.4">
      <c r="A252" s="35">
        <v>252</v>
      </c>
      <c r="B252" s="57" t="s">
        <v>973</v>
      </c>
      <c r="C252" s="34" t="s">
        <v>3790</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3792</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3690</v>
      </c>
      <c r="AX252" s="29" t="s">
        <v>3486</v>
      </c>
      <c r="AY252" s="37" t="s">
        <v>3702</v>
      </c>
      <c r="AZ252" s="29" t="s">
        <v>3700</v>
      </c>
      <c r="BA252" s="37" t="s">
        <v>3701</v>
      </c>
      <c r="BB252" s="29" t="s">
        <v>3686</v>
      </c>
      <c r="BC252" s="37" t="s">
        <v>3688</v>
      </c>
      <c r="BD252" s="29" t="s">
        <v>3687</v>
      </c>
      <c r="BE252" s="37" t="s">
        <v>3791</v>
      </c>
    </row>
    <row r="253" spans="1:57" ht="7.5" customHeight="1" x14ac:dyDescent="0.4">
      <c r="A253" s="35">
        <v>253</v>
      </c>
      <c r="B253" s="57" t="s">
        <v>978</v>
      </c>
      <c r="C253" s="34" t="s">
        <v>3790</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3792</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3690</v>
      </c>
      <c r="AX253" s="29" t="s">
        <v>3486</v>
      </c>
      <c r="AY253" s="37" t="s">
        <v>3702</v>
      </c>
      <c r="AZ253" s="29" t="s">
        <v>3700</v>
      </c>
      <c r="BA253" s="37" t="s">
        <v>3701</v>
      </c>
      <c r="BB253" s="29" t="s">
        <v>3686</v>
      </c>
      <c r="BC253" s="37" t="s">
        <v>3688</v>
      </c>
      <c r="BD253" s="29" t="s">
        <v>3687</v>
      </c>
      <c r="BE253" s="37" t="s">
        <v>3791</v>
      </c>
    </row>
    <row r="254" spans="1:57" ht="7.5" customHeight="1" x14ac:dyDescent="0.4">
      <c r="A254" s="35">
        <v>254</v>
      </c>
      <c r="B254" s="57" t="s">
        <v>982</v>
      </c>
      <c r="C254" s="34" t="s">
        <v>3790</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3792</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3690</v>
      </c>
      <c r="AX254" s="29" t="s">
        <v>3486</v>
      </c>
      <c r="AY254" s="37" t="s">
        <v>3702</v>
      </c>
      <c r="AZ254" s="29" t="s">
        <v>3700</v>
      </c>
      <c r="BA254" s="37" t="s">
        <v>3701</v>
      </c>
      <c r="BB254" s="29" t="s">
        <v>3686</v>
      </c>
      <c r="BC254" s="37" t="s">
        <v>3688</v>
      </c>
      <c r="BD254" s="29" t="s">
        <v>3687</v>
      </c>
      <c r="BE254" s="37" t="s">
        <v>3791</v>
      </c>
    </row>
    <row r="255" spans="1:57" ht="7.5" customHeight="1" x14ac:dyDescent="0.4">
      <c r="A255" s="35">
        <v>255</v>
      </c>
      <c r="B255" s="57" t="s">
        <v>986</v>
      </c>
      <c r="C255" s="34" t="s">
        <v>3790</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3792</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3690</v>
      </c>
      <c r="AX255" s="29" t="s">
        <v>3486</v>
      </c>
      <c r="AY255" s="37" t="s">
        <v>3702</v>
      </c>
      <c r="AZ255" s="29" t="s">
        <v>3700</v>
      </c>
      <c r="BA255" s="37" t="s">
        <v>3701</v>
      </c>
      <c r="BB255" s="29" t="s">
        <v>3686</v>
      </c>
      <c r="BC255" s="37" t="s">
        <v>3688</v>
      </c>
      <c r="BD255" s="29" t="s">
        <v>3687</v>
      </c>
      <c r="BE255" s="37" t="s">
        <v>3791</v>
      </c>
    </row>
    <row r="256" spans="1:57" ht="7.5" customHeight="1" x14ac:dyDescent="0.4">
      <c r="A256" s="35">
        <v>256</v>
      </c>
      <c r="B256" s="57" t="s">
        <v>991</v>
      </c>
      <c r="C256" s="34" t="s">
        <v>3790</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3792</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3690</v>
      </c>
      <c r="AX256" s="29" t="s">
        <v>3486</v>
      </c>
      <c r="AY256" s="37" t="s">
        <v>3702</v>
      </c>
      <c r="AZ256" s="29" t="s">
        <v>3700</v>
      </c>
      <c r="BA256" s="37" t="s">
        <v>3701</v>
      </c>
      <c r="BB256" s="29" t="s">
        <v>3686</v>
      </c>
      <c r="BC256" s="37" t="s">
        <v>3688</v>
      </c>
      <c r="BD256" s="29" t="s">
        <v>3687</v>
      </c>
      <c r="BE256" s="37" t="s">
        <v>3791</v>
      </c>
    </row>
    <row r="257" spans="1:57" ht="7.5" customHeight="1" x14ac:dyDescent="0.4">
      <c r="A257" s="35">
        <v>257</v>
      </c>
      <c r="B257" s="57" t="s">
        <v>996</v>
      </c>
      <c r="C257" s="34" t="s">
        <v>3790</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3792</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3690</v>
      </c>
      <c r="AX257" s="29" t="s">
        <v>3486</v>
      </c>
      <c r="AY257" s="37" t="s">
        <v>3702</v>
      </c>
      <c r="AZ257" s="29" t="s">
        <v>3700</v>
      </c>
      <c r="BA257" s="37" t="s">
        <v>3701</v>
      </c>
      <c r="BB257" s="29" t="s">
        <v>3686</v>
      </c>
      <c r="BC257" s="37" t="s">
        <v>3688</v>
      </c>
      <c r="BD257" s="29" t="s">
        <v>3687</v>
      </c>
      <c r="BE257" s="37" t="s">
        <v>3791</v>
      </c>
    </row>
    <row r="258" spans="1:57" ht="7.5" customHeight="1" x14ac:dyDescent="0.4">
      <c r="A258" s="35">
        <v>258</v>
      </c>
      <c r="B258" s="57" t="s">
        <v>1001</v>
      </c>
      <c r="C258" s="34" t="s">
        <v>3790</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3792</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3690</v>
      </c>
      <c r="AX258" s="29" t="s">
        <v>3486</v>
      </c>
      <c r="AY258" s="37" t="s">
        <v>3702</v>
      </c>
      <c r="AZ258" s="29" t="s">
        <v>3700</v>
      </c>
      <c r="BA258" s="37" t="s">
        <v>3701</v>
      </c>
      <c r="BB258" s="29" t="s">
        <v>3686</v>
      </c>
      <c r="BC258" s="37" t="s">
        <v>3688</v>
      </c>
      <c r="BD258" s="29" t="s">
        <v>3687</v>
      </c>
      <c r="BE258" s="37" t="s">
        <v>3791</v>
      </c>
    </row>
    <row r="259" spans="1:57" ht="7.5" customHeight="1" x14ac:dyDescent="0.4">
      <c r="A259" s="35">
        <v>259</v>
      </c>
      <c r="B259" s="57" t="s">
        <v>1006</v>
      </c>
      <c r="C259" s="34" t="s">
        <v>3790</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3792</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3690</v>
      </c>
      <c r="AX259" s="29" t="s">
        <v>3486</v>
      </c>
      <c r="AY259" s="37" t="s">
        <v>3702</v>
      </c>
      <c r="AZ259" s="29" t="s">
        <v>3700</v>
      </c>
      <c r="BA259" s="37" t="s">
        <v>3701</v>
      </c>
      <c r="BB259" s="29" t="s">
        <v>3686</v>
      </c>
      <c r="BC259" s="37" t="s">
        <v>3688</v>
      </c>
      <c r="BD259" s="29" t="s">
        <v>3687</v>
      </c>
      <c r="BE259" s="37" t="s">
        <v>3791</v>
      </c>
    </row>
    <row r="260" spans="1:57" ht="7.5" customHeight="1" x14ac:dyDescent="0.4">
      <c r="A260" s="35">
        <v>260</v>
      </c>
      <c r="B260" s="57" t="s">
        <v>1011</v>
      </c>
      <c r="C260" s="34" t="s">
        <v>3789</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3792</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3690</v>
      </c>
      <c r="AX260" s="29" t="s">
        <v>3486</v>
      </c>
      <c r="AY260" s="37" t="s">
        <v>3702</v>
      </c>
      <c r="AZ260" s="29" t="s">
        <v>3700</v>
      </c>
      <c r="BA260" s="37" t="s">
        <v>3701</v>
      </c>
      <c r="BB260" s="29" t="s">
        <v>3686</v>
      </c>
      <c r="BC260" s="37" t="s">
        <v>3688</v>
      </c>
      <c r="BD260" s="29" t="s">
        <v>3687</v>
      </c>
      <c r="BE260" s="37" t="s">
        <v>3791</v>
      </c>
    </row>
    <row r="261" spans="1:57" ht="7.5" customHeight="1" x14ac:dyDescent="0.4">
      <c r="A261" s="35">
        <v>261</v>
      </c>
      <c r="B261" s="57" t="s">
        <v>1018</v>
      </c>
      <c r="C261" s="34" t="s">
        <v>3789</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3792</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3690</v>
      </c>
      <c r="AX261" s="29" t="s">
        <v>3486</v>
      </c>
      <c r="AY261" s="37" t="s">
        <v>3702</v>
      </c>
      <c r="AZ261" s="29" t="s">
        <v>3700</v>
      </c>
      <c r="BA261" s="37" t="s">
        <v>3701</v>
      </c>
      <c r="BB261" s="29" t="s">
        <v>3686</v>
      </c>
      <c r="BC261" s="37" t="s">
        <v>3688</v>
      </c>
      <c r="BD261" s="29" t="s">
        <v>3687</v>
      </c>
      <c r="BE261" s="37" t="s">
        <v>3791</v>
      </c>
    </row>
    <row r="262" spans="1:57" ht="7.5" customHeight="1" x14ac:dyDescent="0.4">
      <c r="A262" s="35">
        <v>262</v>
      </c>
      <c r="B262" s="57" t="s">
        <v>1023</v>
      </c>
      <c r="C262" s="34" t="s">
        <v>3789</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3792</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3690</v>
      </c>
      <c r="AX262" s="29" t="s">
        <v>3486</v>
      </c>
      <c r="AY262" s="37" t="s">
        <v>3702</v>
      </c>
      <c r="AZ262" s="29" t="s">
        <v>3700</v>
      </c>
      <c r="BA262" s="37" t="s">
        <v>3701</v>
      </c>
      <c r="BB262" s="29" t="s">
        <v>3686</v>
      </c>
      <c r="BC262" s="37" t="s">
        <v>3688</v>
      </c>
      <c r="BD262" s="29" t="s">
        <v>3687</v>
      </c>
      <c r="BE262" s="37" t="s">
        <v>3791</v>
      </c>
    </row>
    <row r="263" spans="1:57" ht="7.5" customHeight="1" x14ac:dyDescent="0.4">
      <c r="A263" s="35">
        <v>263</v>
      </c>
      <c r="B263" s="57" t="s">
        <v>1028</v>
      </c>
      <c r="C263" s="34" t="s">
        <v>3789</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3792</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3690</v>
      </c>
      <c r="AX263" s="29" t="s">
        <v>3486</v>
      </c>
      <c r="AY263" s="37" t="s">
        <v>3702</v>
      </c>
      <c r="AZ263" s="29" t="s">
        <v>3700</v>
      </c>
      <c r="BA263" s="37" t="s">
        <v>3701</v>
      </c>
      <c r="BB263" s="29" t="s">
        <v>3686</v>
      </c>
      <c r="BC263" s="37" t="s">
        <v>3688</v>
      </c>
      <c r="BD263" s="29" t="s">
        <v>3687</v>
      </c>
      <c r="BE263" s="37" t="s">
        <v>3791</v>
      </c>
    </row>
    <row r="264" spans="1:57" ht="7.5" customHeight="1" x14ac:dyDescent="0.4">
      <c r="A264" s="35">
        <v>264</v>
      </c>
      <c r="B264" s="57" t="s">
        <v>1032</v>
      </c>
      <c r="C264" s="34" t="s">
        <v>3789</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3792</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3690</v>
      </c>
      <c r="AX264" s="29" t="s">
        <v>3486</v>
      </c>
      <c r="AY264" s="37" t="s">
        <v>3702</v>
      </c>
      <c r="AZ264" s="29" t="s">
        <v>3700</v>
      </c>
      <c r="BA264" s="37" t="s">
        <v>3701</v>
      </c>
      <c r="BB264" s="29" t="s">
        <v>3686</v>
      </c>
      <c r="BC264" s="37" t="s">
        <v>3688</v>
      </c>
      <c r="BD264" s="29" t="s">
        <v>3687</v>
      </c>
      <c r="BE264" s="37" t="s">
        <v>3791</v>
      </c>
    </row>
    <row r="265" spans="1:57" ht="7.5" customHeight="1" x14ac:dyDescent="0.4">
      <c r="A265" s="35">
        <v>265</v>
      </c>
      <c r="B265" s="57" t="s">
        <v>1037</v>
      </c>
      <c r="C265" s="34" t="s">
        <v>3789</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3792</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3690</v>
      </c>
      <c r="AX265" s="29" t="s">
        <v>3486</v>
      </c>
      <c r="AY265" s="37" t="s">
        <v>3702</v>
      </c>
      <c r="AZ265" s="29" t="s">
        <v>3700</v>
      </c>
      <c r="BA265" s="37" t="s">
        <v>3701</v>
      </c>
      <c r="BB265" s="29" t="s">
        <v>3686</v>
      </c>
      <c r="BC265" s="37" t="s">
        <v>3688</v>
      </c>
      <c r="BD265" s="29" t="s">
        <v>3687</v>
      </c>
      <c r="BE265" s="37" t="s">
        <v>3791</v>
      </c>
    </row>
    <row r="266" spans="1:57" ht="7.5" customHeight="1" x14ac:dyDescent="0.4">
      <c r="A266" s="35">
        <v>266</v>
      </c>
      <c r="B266" s="57" t="s">
        <v>1042</v>
      </c>
      <c r="C266" s="34" t="s">
        <v>3789</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3792</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3690</v>
      </c>
      <c r="AX266" s="29" t="s">
        <v>3486</v>
      </c>
      <c r="AY266" s="37" t="s">
        <v>3702</v>
      </c>
      <c r="AZ266" s="29" t="s">
        <v>3700</v>
      </c>
      <c r="BA266" s="37" t="s">
        <v>3701</v>
      </c>
      <c r="BB266" s="29" t="s">
        <v>3686</v>
      </c>
      <c r="BC266" s="37" t="s">
        <v>3688</v>
      </c>
      <c r="BD266" s="29" t="s">
        <v>3687</v>
      </c>
      <c r="BE266" s="37" t="s">
        <v>3791</v>
      </c>
    </row>
    <row r="267" spans="1:57" ht="7.5" customHeight="1" x14ac:dyDescent="0.4">
      <c r="A267" s="35">
        <v>267</v>
      </c>
      <c r="B267" s="57" t="s">
        <v>1047</v>
      </c>
      <c r="C267" s="34" t="s">
        <v>3789</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3792</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3690</v>
      </c>
      <c r="AX267" s="29" t="s">
        <v>3486</v>
      </c>
      <c r="AY267" s="37" t="s">
        <v>3702</v>
      </c>
      <c r="AZ267" s="29" t="s">
        <v>3700</v>
      </c>
      <c r="BA267" s="37" t="s">
        <v>3701</v>
      </c>
      <c r="BB267" s="29" t="s">
        <v>3686</v>
      </c>
      <c r="BC267" s="37" t="s">
        <v>3688</v>
      </c>
      <c r="BD267" s="29" t="s">
        <v>3687</v>
      </c>
      <c r="BE267" s="37" t="s">
        <v>3791</v>
      </c>
    </row>
    <row r="268" spans="1:57" ht="7.5" customHeight="1" x14ac:dyDescent="0.4">
      <c r="A268" s="35">
        <v>268</v>
      </c>
      <c r="B268" s="57" t="s">
        <v>1051</v>
      </c>
      <c r="C268" s="34" t="s">
        <v>3789</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3792</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3690</v>
      </c>
      <c r="AX268" s="29" t="s">
        <v>3486</v>
      </c>
      <c r="AY268" s="37" t="s">
        <v>3702</v>
      </c>
      <c r="AZ268" s="29" t="s">
        <v>3700</v>
      </c>
      <c r="BA268" s="37" t="s">
        <v>3701</v>
      </c>
      <c r="BB268" s="29" t="s">
        <v>3686</v>
      </c>
      <c r="BC268" s="37" t="s">
        <v>3688</v>
      </c>
      <c r="BD268" s="29" t="s">
        <v>3687</v>
      </c>
      <c r="BE268" s="37" t="s">
        <v>3791</v>
      </c>
    </row>
    <row r="269" spans="1:57" ht="7.5" customHeight="1" x14ac:dyDescent="0.4">
      <c r="A269" s="35">
        <v>269</v>
      </c>
      <c r="B269" s="57" t="s">
        <v>1055</v>
      </c>
      <c r="C269" s="34" t="s">
        <v>3789</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3792</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3690</v>
      </c>
      <c r="AX269" s="29" t="s">
        <v>3486</v>
      </c>
      <c r="AY269" s="37" t="s">
        <v>3702</v>
      </c>
      <c r="AZ269" s="29" t="s">
        <v>3700</v>
      </c>
      <c r="BA269" s="37" t="s">
        <v>3701</v>
      </c>
      <c r="BB269" s="29" t="s">
        <v>3686</v>
      </c>
      <c r="BC269" s="37" t="s">
        <v>3688</v>
      </c>
      <c r="BD269" s="29" t="s">
        <v>3687</v>
      </c>
      <c r="BE269" s="37" t="s">
        <v>3791</v>
      </c>
    </row>
    <row r="270" spans="1:57" ht="7.5" customHeight="1" x14ac:dyDescent="0.4">
      <c r="A270" s="35">
        <v>270</v>
      </c>
      <c r="B270" s="57" t="s">
        <v>1060</v>
      </c>
      <c r="C270" s="34" t="s">
        <v>3789</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3792</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3690</v>
      </c>
      <c r="AX270" s="29" t="s">
        <v>3486</v>
      </c>
      <c r="AY270" s="37" t="s">
        <v>3702</v>
      </c>
      <c r="AZ270" s="29" t="s">
        <v>3700</v>
      </c>
      <c r="BA270" s="37" t="s">
        <v>3701</v>
      </c>
      <c r="BB270" s="29" t="s">
        <v>3686</v>
      </c>
      <c r="BC270" s="37" t="s">
        <v>3688</v>
      </c>
      <c r="BD270" s="29" t="s">
        <v>3687</v>
      </c>
      <c r="BE270" s="37" t="s">
        <v>3791</v>
      </c>
    </row>
    <row r="271" spans="1:57" ht="7.5" customHeight="1" x14ac:dyDescent="0.4">
      <c r="A271" s="35">
        <v>271</v>
      </c>
      <c r="B271" s="57" t="s">
        <v>1065</v>
      </c>
      <c r="C271" s="34" t="s">
        <v>3789</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3792</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3690</v>
      </c>
      <c r="AX271" s="29" t="s">
        <v>3486</v>
      </c>
      <c r="AY271" s="37" t="s">
        <v>3702</v>
      </c>
      <c r="AZ271" s="29" t="s">
        <v>3700</v>
      </c>
      <c r="BA271" s="37" t="s">
        <v>3701</v>
      </c>
      <c r="BB271" s="29" t="s">
        <v>3686</v>
      </c>
      <c r="BC271" s="37" t="s">
        <v>3688</v>
      </c>
      <c r="BD271" s="29" t="s">
        <v>3687</v>
      </c>
      <c r="BE271" s="37" t="s">
        <v>3791</v>
      </c>
    </row>
    <row r="272" spans="1:57" ht="7.5" customHeight="1" x14ac:dyDescent="0.4">
      <c r="A272" s="35">
        <v>272</v>
      </c>
      <c r="B272" s="57" t="s">
        <v>1069</v>
      </c>
      <c r="C272" s="34" t="s">
        <v>3789</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3792</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3690</v>
      </c>
      <c r="AX272" s="29" t="s">
        <v>3486</v>
      </c>
      <c r="AY272" s="37" t="s">
        <v>3702</v>
      </c>
      <c r="AZ272" s="29" t="s">
        <v>3700</v>
      </c>
      <c r="BA272" s="37" t="s">
        <v>3701</v>
      </c>
      <c r="BB272" s="29" t="s">
        <v>3686</v>
      </c>
      <c r="BC272" s="37" t="s">
        <v>3688</v>
      </c>
      <c r="BD272" s="29" t="s">
        <v>3687</v>
      </c>
      <c r="BE272" s="37" t="s">
        <v>3791</v>
      </c>
    </row>
    <row r="273" spans="1:57" ht="7.5" customHeight="1" x14ac:dyDescent="0.4">
      <c r="A273" s="35">
        <v>273</v>
      </c>
      <c r="B273" s="57" t="s">
        <v>1074</v>
      </c>
      <c r="C273" s="34" t="s">
        <v>3789</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3792</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3690</v>
      </c>
      <c r="AX273" s="29" t="s">
        <v>3486</v>
      </c>
      <c r="AY273" s="37" t="s">
        <v>3702</v>
      </c>
      <c r="AZ273" s="29" t="s">
        <v>3700</v>
      </c>
      <c r="BA273" s="37" t="s">
        <v>3701</v>
      </c>
      <c r="BB273" s="29" t="s">
        <v>3686</v>
      </c>
      <c r="BC273" s="37" t="s">
        <v>3688</v>
      </c>
      <c r="BD273" s="29" t="s">
        <v>3687</v>
      </c>
      <c r="BE273" s="37" t="s">
        <v>3791</v>
      </c>
    </row>
    <row r="274" spans="1:57" ht="7.5" customHeight="1" x14ac:dyDescent="0.4">
      <c r="A274" s="35">
        <v>274</v>
      </c>
      <c r="B274" s="57" t="s">
        <v>1079</v>
      </c>
      <c r="C274" s="34" t="s">
        <v>3789</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3792</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3690</v>
      </c>
      <c r="AX274" s="29" t="s">
        <v>3486</v>
      </c>
      <c r="AY274" s="37" t="s">
        <v>3702</v>
      </c>
      <c r="AZ274" s="29" t="s">
        <v>3700</v>
      </c>
      <c r="BA274" s="37" t="s">
        <v>3701</v>
      </c>
      <c r="BB274" s="29" t="s">
        <v>3686</v>
      </c>
      <c r="BC274" s="37" t="s">
        <v>3688</v>
      </c>
      <c r="BD274" s="29" t="s">
        <v>3687</v>
      </c>
      <c r="BE274" s="37" t="s">
        <v>3791</v>
      </c>
    </row>
    <row r="275" spans="1:57" ht="7.5" customHeight="1" x14ac:dyDescent="0.4">
      <c r="A275" s="35">
        <v>275</v>
      </c>
      <c r="B275" s="57" t="s">
        <v>1082</v>
      </c>
      <c r="C275" s="34" t="s">
        <v>3789</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3792</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3690</v>
      </c>
      <c r="AX275" s="29" t="s">
        <v>3486</v>
      </c>
      <c r="AY275" s="37" t="s">
        <v>3702</v>
      </c>
      <c r="AZ275" s="29" t="s">
        <v>3700</v>
      </c>
      <c r="BA275" s="37" t="s">
        <v>3701</v>
      </c>
      <c r="BB275" s="29" t="s">
        <v>3686</v>
      </c>
      <c r="BC275" s="37" t="s">
        <v>3688</v>
      </c>
      <c r="BD275" s="29" t="s">
        <v>3687</v>
      </c>
      <c r="BE275" s="37" t="s">
        <v>3791</v>
      </c>
    </row>
    <row r="276" spans="1:57" ht="7.5" customHeight="1" x14ac:dyDescent="0.4">
      <c r="A276" s="35">
        <v>276</v>
      </c>
      <c r="B276" s="57" t="s">
        <v>1087</v>
      </c>
      <c r="C276" s="34" t="s">
        <v>3789</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3792</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3690</v>
      </c>
      <c r="AX276" s="29" t="s">
        <v>3486</v>
      </c>
      <c r="AY276" s="37" t="s">
        <v>3702</v>
      </c>
      <c r="AZ276" s="29" t="s">
        <v>3700</v>
      </c>
      <c r="BA276" s="37" t="s">
        <v>3701</v>
      </c>
      <c r="BB276" s="29" t="s">
        <v>3686</v>
      </c>
      <c r="BC276" s="37" t="s">
        <v>3688</v>
      </c>
      <c r="BD276" s="29" t="s">
        <v>3687</v>
      </c>
      <c r="BE276" s="37" t="s">
        <v>3791</v>
      </c>
    </row>
    <row r="277" spans="1:57" ht="7.5" customHeight="1" x14ac:dyDescent="0.4">
      <c r="A277" s="35">
        <v>277</v>
      </c>
      <c r="B277" s="57" t="s">
        <v>1092</v>
      </c>
      <c r="C277" s="34" t="s">
        <v>3789</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3792</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3690</v>
      </c>
      <c r="AX277" s="29" t="s">
        <v>3486</v>
      </c>
      <c r="AY277" s="37" t="s">
        <v>3702</v>
      </c>
      <c r="AZ277" s="29" t="s">
        <v>3700</v>
      </c>
      <c r="BA277" s="37" t="s">
        <v>3701</v>
      </c>
      <c r="BB277" s="29" t="s">
        <v>3686</v>
      </c>
      <c r="BC277" s="37" t="s">
        <v>3688</v>
      </c>
      <c r="BD277" s="29" t="s">
        <v>3687</v>
      </c>
      <c r="BE277" s="37" t="s">
        <v>3791</v>
      </c>
    </row>
    <row r="278" spans="1:57" ht="7.5" customHeight="1" x14ac:dyDescent="0.4">
      <c r="A278" s="35">
        <v>278</v>
      </c>
      <c r="B278" s="57" t="s">
        <v>1097</v>
      </c>
      <c r="C278" s="34" t="s">
        <v>3789</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3792</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3690</v>
      </c>
      <c r="AX278" s="29" t="s">
        <v>3486</v>
      </c>
      <c r="AY278" s="37" t="s">
        <v>3702</v>
      </c>
      <c r="AZ278" s="29" t="s">
        <v>3700</v>
      </c>
      <c r="BA278" s="37" t="s">
        <v>3701</v>
      </c>
      <c r="BB278" s="29" t="s">
        <v>3686</v>
      </c>
      <c r="BC278" s="37" t="s">
        <v>3688</v>
      </c>
      <c r="BD278" s="29" t="s">
        <v>3687</v>
      </c>
      <c r="BE278" s="37" t="s">
        <v>3791</v>
      </c>
    </row>
    <row r="279" spans="1:57" ht="7.5" customHeight="1" x14ac:dyDescent="0.4">
      <c r="A279" s="35">
        <v>279</v>
      </c>
      <c r="B279" s="57" t="s">
        <v>1102</v>
      </c>
      <c r="C279" s="34" t="s">
        <v>3789</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3792</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3690</v>
      </c>
      <c r="AX279" s="29" t="s">
        <v>3486</v>
      </c>
      <c r="AY279" s="37" t="s">
        <v>3702</v>
      </c>
      <c r="AZ279" s="29" t="s">
        <v>3700</v>
      </c>
      <c r="BA279" s="37" t="s">
        <v>3701</v>
      </c>
      <c r="BB279" s="29" t="s">
        <v>3686</v>
      </c>
      <c r="BC279" s="37" t="s">
        <v>3688</v>
      </c>
      <c r="BD279" s="29" t="s">
        <v>3687</v>
      </c>
      <c r="BE279" s="37" t="s">
        <v>3791</v>
      </c>
    </row>
    <row r="280" spans="1:57" ht="7.5" customHeight="1" x14ac:dyDescent="0.4">
      <c r="A280" s="35">
        <v>280</v>
      </c>
      <c r="B280" s="57" t="s">
        <v>1106</v>
      </c>
      <c r="C280" s="34" t="s">
        <v>3789</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3792</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3690</v>
      </c>
      <c r="AX280" s="29" t="s">
        <v>3486</v>
      </c>
      <c r="AY280" s="37" t="s">
        <v>3702</v>
      </c>
      <c r="AZ280" s="29" t="s">
        <v>3700</v>
      </c>
      <c r="BA280" s="37" t="s">
        <v>3701</v>
      </c>
      <c r="BB280" s="29" t="s">
        <v>3686</v>
      </c>
      <c r="BC280" s="37" t="s">
        <v>3688</v>
      </c>
      <c r="BD280" s="29" t="s">
        <v>3687</v>
      </c>
      <c r="BE280" s="37" t="s">
        <v>3791</v>
      </c>
    </row>
    <row r="281" spans="1:57" ht="7.5" customHeight="1" x14ac:dyDescent="0.4">
      <c r="A281" s="35">
        <v>281</v>
      </c>
      <c r="B281" s="57" t="s">
        <v>1111</v>
      </c>
      <c r="C281" s="34" t="s">
        <v>3789</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3792</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3690</v>
      </c>
      <c r="AX281" s="29" t="s">
        <v>3486</v>
      </c>
      <c r="AY281" s="37" t="s">
        <v>3702</v>
      </c>
      <c r="AZ281" s="29" t="s">
        <v>3700</v>
      </c>
      <c r="BA281" s="37" t="s">
        <v>3701</v>
      </c>
      <c r="BB281" s="29" t="s">
        <v>3686</v>
      </c>
      <c r="BC281" s="37" t="s">
        <v>3688</v>
      </c>
      <c r="BD281" s="29" t="s">
        <v>3687</v>
      </c>
      <c r="BE281" s="37" t="s">
        <v>3791</v>
      </c>
    </row>
    <row r="282" spans="1:57" ht="7.5" customHeight="1" x14ac:dyDescent="0.4">
      <c r="A282" s="35">
        <v>282</v>
      </c>
      <c r="B282" s="57" t="s">
        <v>1116</v>
      </c>
      <c r="C282" s="34" t="s">
        <v>3789</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3792</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3690</v>
      </c>
      <c r="AX282" s="29" t="s">
        <v>3486</v>
      </c>
      <c r="AY282" s="37" t="s">
        <v>3702</v>
      </c>
      <c r="AZ282" s="29" t="s">
        <v>3700</v>
      </c>
      <c r="BA282" s="37" t="s">
        <v>3701</v>
      </c>
      <c r="BB282" s="29" t="s">
        <v>3686</v>
      </c>
      <c r="BC282" s="37" t="s">
        <v>3688</v>
      </c>
      <c r="BD282" s="29" t="s">
        <v>3687</v>
      </c>
      <c r="BE282" s="37" t="s">
        <v>3791</v>
      </c>
    </row>
    <row r="283" spans="1:57" ht="7.5" customHeight="1" x14ac:dyDescent="0.4">
      <c r="A283" s="35">
        <v>283</v>
      </c>
      <c r="B283" s="57" t="s">
        <v>1120</v>
      </c>
      <c r="C283" s="34" t="s">
        <v>3789</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3792</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3690</v>
      </c>
      <c r="AX283" s="29" t="s">
        <v>3486</v>
      </c>
      <c r="AY283" s="37" t="s">
        <v>3702</v>
      </c>
      <c r="AZ283" s="29" t="s">
        <v>3700</v>
      </c>
      <c r="BA283" s="37" t="s">
        <v>3701</v>
      </c>
      <c r="BB283" s="29" t="s">
        <v>3686</v>
      </c>
      <c r="BC283" s="37" t="s">
        <v>3688</v>
      </c>
      <c r="BD283" s="29" t="s">
        <v>3687</v>
      </c>
      <c r="BE283" s="37" t="s">
        <v>3791</v>
      </c>
    </row>
    <row r="284" spans="1:57" ht="7.5" customHeight="1" x14ac:dyDescent="0.4">
      <c r="A284" s="35">
        <v>284</v>
      </c>
      <c r="B284" s="57" t="s">
        <v>1124</v>
      </c>
      <c r="C284" s="34" t="s">
        <v>3789</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3792</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3690</v>
      </c>
      <c r="AX284" s="29" t="s">
        <v>3486</v>
      </c>
      <c r="AY284" s="37" t="s">
        <v>3702</v>
      </c>
      <c r="AZ284" s="29" t="s">
        <v>3700</v>
      </c>
      <c r="BA284" s="37" t="s">
        <v>3701</v>
      </c>
      <c r="BB284" s="29" t="s">
        <v>3686</v>
      </c>
      <c r="BC284" s="37" t="s">
        <v>3688</v>
      </c>
      <c r="BD284" s="29" t="s">
        <v>3687</v>
      </c>
      <c r="BE284" s="37" t="s">
        <v>3791</v>
      </c>
    </row>
    <row r="285" spans="1:57" ht="7.5" customHeight="1" x14ac:dyDescent="0.4">
      <c r="A285" s="35">
        <v>285</v>
      </c>
      <c r="B285" s="57" t="s">
        <v>1129</v>
      </c>
      <c r="C285" s="34" t="s">
        <v>3789</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3792</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3690</v>
      </c>
      <c r="AX285" s="29" t="s">
        <v>3486</v>
      </c>
      <c r="AY285" s="37" t="s">
        <v>3702</v>
      </c>
      <c r="AZ285" s="29" t="s">
        <v>3700</v>
      </c>
      <c r="BA285" s="37" t="s">
        <v>3701</v>
      </c>
      <c r="BB285" s="29" t="s">
        <v>3686</v>
      </c>
      <c r="BC285" s="37" t="s">
        <v>3688</v>
      </c>
      <c r="BD285" s="29" t="s">
        <v>3687</v>
      </c>
      <c r="BE285" s="37" t="s">
        <v>3791</v>
      </c>
    </row>
    <row r="286" spans="1:57" ht="7.5" customHeight="1" x14ac:dyDescent="0.4">
      <c r="A286" s="35">
        <v>286</v>
      </c>
      <c r="B286" s="57" t="s">
        <v>1133</v>
      </c>
      <c r="C286" s="34" t="s">
        <v>3789</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3792</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3690</v>
      </c>
      <c r="AX286" s="29" t="s">
        <v>3486</v>
      </c>
      <c r="AY286" s="37" t="s">
        <v>3702</v>
      </c>
      <c r="AZ286" s="29" t="s">
        <v>3700</v>
      </c>
      <c r="BA286" s="37" t="s">
        <v>3701</v>
      </c>
      <c r="BB286" s="29" t="s">
        <v>3686</v>
      </c>
      <c r="BC286" s="37" t="s">
        <v>3688</v>
      </c>
      <c r="BD286" s="29" t="s">
        <v>3687</v>
      </c>
      <c r="BE286" s="37" t="s">
        <v>3791</v>
      </c>
    </row>
    <row r="287" spans="1:57" ht="7.5" customHeight="1" x14ac:dyDescent="0.4">
      <c r="A287" s="35">
        <v>287</v>
      </c>
      <c r="B287" s="57" t="s">
        <v>1138</v>
      </c>
      <c r="C287" s="34" t="s">
        <v>3789</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3792</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3690</v>
      </c>
      <c r="AX287" s="29" t="s">
        <v>3486</v>
      </c>
      <c r="AY287" s="37" t="s">
        <v>3702</v>
      </c>
      <c r="AZ287" s="29" t="s">
        <v>3700</v>
      </c>
      <c r="BA287" s="37" t="s">
        <v>3701</v>
      </c>
      <c r="BB287" s="29" t="s">
        <v>3686</v>
      </c>
      <c r="BC287" s="37" t="s">
        <v>3688</v>
      </c>
      <c r="BD287" s="29" t="s">
        <v>3687</v>
      </c>
      <c r="BE287" s="37" t="s">
        <v>3791</v>
      </c>
    </row>
    <row r="288" spans="1:57" ht="7.5" customHeight="1" x14ac:dyDescent="0.4">
      <c r="A288" s="35">
        <v>288</v>
      </c>
      <c r="B288" s="57" t="s">
        <v>1143</v>
      </c>
      <c r="C288" s="34" t="s">
        <v>3789</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3792</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3690</v>
      </c>
      <c r="AX288" s="29" t="s">
        <v>3486</v>
      </c>
      <c r="AY288" s="37" t="s">
        <v>3702</v>
      </c>
      <c r="AZ288" s="29" t="s">
        <v>3700</v>
      </c>
      <c r="BA288" s="37" t="s">
        <v>3701</v>
      </c>
      <c r="BB288" s="29" t="s">
        <v>3686</v>
      </c>
      <c r="BC288" s="37" t="s">
        <v>3688</v>
      </c>
      <c r="BD288" s="29" t="s">
        <v>3687</v>
      </c>
      <c r="BE288" s="37" t="s">
        <v>3791</v>
      </c>
    </row>
    <row r="289" spans="1:57" ht="7.5" customHeight="1" x14ac:dyDescent="0.4">
      <c r="A289" s="35">
        <v>289</v>
      </c>
      <c r="B289" s="57" t="s">
        <v>1148</v>
      </c>
      <c r="C289" s="34" t="s">
        <v>3789</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3792</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3690</v>
      </c>
      <c r="AX289" s="29" t="s">
        <v>3486</v>
      </c>
      <c r="AY289" s="37" t="s">
        <v>3702</v>
      </c>
      <c r="AZ289" s="29" t="s">
        <v>3700</v>
      </c>
      <c r="BA289" s="37" t="s">
        <v>3701</v>
      </c>
      <c r="BB289" s="29" t="s">
        <v>3686</v>
      </c>
      <c r="BC289" s="37" t="s">
        <v>3688</v>
      </c>
      <c r="BD289" s="29" t="s">
        <v>3687</v>
      </c>
      <c r="BE289" s="37" t="s">
        <v>3791</v>
      </c>
    </row>
    <row r="290" spans="1:57" ht="7.5" customHeight="1" x14ac:dyDescent="0.4">
      <c r="A290" s="35">
        <v>290</v>
      </c>
      <c r="B290" s="57" t="s">
        <v>1151</v>
      </c>
      <c r="C290" s="34" t="s">
        <v>3789</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3792</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3690</v>
      </c>
      <c r="AX290" s="29" t="s">
        <v>3486</v>
      </c>
      <c r="AY290" s="37" t="s">
        <v>3702</v>
      </c>
      <c r="AZ290" s="29" t="s">
        <v>3700</v>
      </c>
      <c r="BA290" s="37" t="s">
        <v>3701</v>
      </c>
      <c r="BB290" s="29" t="s">
        <v>3686</v>
      </c>
      <c r="BC290" s="37" t="s">
        <v>3688</v>
      </c>
      <c r="BD290" s="29" t="s">
        <v>3687</v>
      </c>
      <c r="BE290" s="37" t="s">
        <v>3791</v>
      </c>
    </row>
    <row r="291" spans="1:57" ht="7.5" customHeight="1" x14ac:dyDescent="0.4">
      <c r="A291" s="35">
        <v>291</v>
      </c>
      <c r="B291" s="57" t="s">
        <v>1156</v>
      </c>
      <c r="C291" s="34" t="s">
        <v>3789</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3792</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3690</v>
      </c>
      <c r="AX291" s="29" t="s">
        <v>3486</v>
      </c>
      <c r="AY291" s="37" t="s">
        <v>3702</v>
      </c>
      <c r="AZ291" s="29" t="s">
        <v>3700</v>
      </c>
      <c r="BA291" s="37" t="s">
        <v>3701</v>
      </c>
      <c r="BB291" s="29" t="s">
        <v>3686</v>
      </c>
      <c r="BC291" s="37" t="s">
        <v>3688</v>
      </c>
      <c r="BD291" s="29" t="s">
        <v>3687</v>
      </c>
      <c r="BE291" s="37" t="s">
        <v>3791</v>
      </c>
    </row>
    <row r="292" spans="1:57" ht="7.5" customHeight="1" x14ac:dyDescent="0.4">
      <c r="A292" s="35">
        <v>292</v>
      </c>
      <c r="B292" s="57" t="s">
        <v>1160</v>
      </c>
      <c r="C292" s="34" t="s">
        <v>3789</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3792</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3690</v>
      </c>
      <c r="AX292" s="29" t="s">
        <v>3486</v>
      </c>
      <c r="AY292" s="37" t="s">
        <v>3702</v>
      </c>
      <c r="AZ292" s="29" t="s">
        <v>3700</v>
      </c>
      <c r="BA292" s="37" t="s">
        <v>3701</v>
      </c>
      <c r="BB292" s="29" t="s">
        <v>3686</v>
      </c>
      <c r="BC292" s="37" t="s">
        <v>3688</v>
      </c>
      <c r="BD292" s="29" t="s">
        <v>3687</v>
      </c>
      <c r="BE292" s="37" t="s">
        <v>3791</v>
      </c>
    </row>
    <row r="293" spans="1:57" ht="7.5" customHeight="1" x14ac:dyDescent="0.4">
      <c r="A293" s="35">
        <v>293</v>
      </c>
      <c r="B293" s="57" t="s">
        <v>1164</v>
      </c>
      <c r="C293" s="34" t="s">
        <v>3789</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3792</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3690</v>
      </c>
      <c r="AX293" s="29" t="s">
        <v>3486</v>
      </c>
      <c r="AY293" s="37" t="s">
        <v>3702</v>
      </c>
      <c r="AZ293" s="29" t="s">
        <v>3700</v>
      </c>
      <c r="BA293" s="37" t="s">
        <v>3701</v>
      </c>
      <c r="BB293" s="29" t="s">
        <v>3686</v>
      </c>
      <c r="BC293" s="37" t="s">
        <v>3688</v>
      </c>
      <c r="BD293" s="29" t="s">
        <v>3687</v>
      </c>
      <c r="BE293" s="37" t="s">
        <v>3791</v>
      </c>
    </row>
    <row r="294" spans="1:57" ht="7.5" customHeight="1" x14ac:dyDescent="0.4">
      <c r="A294" s="35">
        <v>294</v>
      </c>
      <c r="B294" s="57" t="s">
        <v>1169</v>
      </c>
      <c r="C294" s="34" t="s">
        <v>3789</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3792</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3690</v>
      </c>
      <c r="AX294" s="29" t="s">
        <v>3486</v>
      </c>
      <c r="AY294" s="37" t="s">
        <v>3702</v>
      </c>
      <c r="AZ294" s="29" t="s">
        <v>3700</v>
      </c>
      <c r="BA294" s="37" t="s">
        <v>3701</v>
      </c>
      <c r="BB294" s="29" t="s">
        <v>3686</v>
      </c>
      <c r="BC294" s="37" t="s">
        <v>3688</v>
      </c>
      <c r="BD294" s="29" t="s">
        <v>3687</v>
      </c>
      <c r="BE294" s="37" t="s">
        <v>3791</v>
      </c>
    </row>
    <row r="295" spans="1:57" ht="7.5" customHeight="1" x14ac:dyDescent="0.4">
      <c r="A295" s="35">
        <v>295</v>
      </c>
      <c r="B295" s="57" t="s">
        <v>1174</v>
      </c>
      <c r="C295" s="34" t="s">
        <v>3789</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3792</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3690</v>
      </c>
      <c r="AX295" s="29" t="s">
        <v>3486</v>
      </c>
      <c r="AY295" s="37" t="s">
        <v>3702</v>
      </c>
      <c r="AZ295" s="29" t="s">
        <v>3700</v>
      </c>
      <c r="BA295" s="37" t="s">
        <v>3701</v>
      </c>
      <c r="BB295" s="29" t="s">
        <v>3686</v>
      </c>
      <c r="BC295" s="37" t="s">
        <v>3688</v>
      </c>
      <c r="BD295" s="29" t="s">
        <v>3687</v>
      </c>
      <c r="BE295" s="37" t="s">
        <v>3791</v>
      </c>
    </row>
    <row r="296" spans="1:57" ht="7.5" customHeight="1" x14ac:dyDescent="0.4">
      <c r="A296" s="35">
        <v>296</v>
      </c>
      <c r="B296" s="57" t="s">
        <v>1178</v>
      </c>
      <c r="C296" s="34" t="s">
        <v>3789</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3792</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3690</v>
      </c>
      <c r="AX296" s="29" t="s">
        <v>3486</v>
      </c>
      <c r="AY296" s="37" t="s">
        <v>3702</v>
      </c>
      <c r="AZ296" s="29" t="s">
        <v>3700</v>
      </c>
      <c r="BA296" s="37" t="s">
        <v>3701</v>
      </c>
      <c r="BB296" s="29" t="s">
        <v>3686</v>
      </c>
      <c r="BC296" s="37" t="s">
        <v>3688</v>
      </c>
      <c r="BD296" s="29" t="s">
        <v>3687</v>
      </c>
      <c r="BE296" s="37" t="s">
        <v>3791</v>
      </c>
    </row>
    <row r="297" spans="1:57" ht="7.5" customHeight="1" x14ac:dyDescent="0.4">
      <c r="A297" s="35">
        <v>297</v>
      </c>
      <c r="B297" s="57" t="s">
        <v>1182</v>
      </c>
      <c r="C297" s="34" t="s">
        <v>3789</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3792</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3690</v>
      </c>
      <c r="AX297" s="29" t="s">
        <v>3486</v>
      </c>
      <c r="AY297" s="37" t="s">
        <v>3702</v>
      </c>
      <c r="AZ297" s="29" t="s">
        <v>3700</v>
      </c>
      <c r="BA297" s="37" t="s">
        <v>3701</v>
      </c>
      <c r="BB297" s="29" t="s">
        <v>3686</v>
      </c>
      <c r="BC297" s="37" t="s">
        <v>3688</v>
      </c>
      <c r="BD297" s="29" t="s">
        <v>3687</v>
      </c>
      <c r="BE297" s="37" t="s">
        <v>3791</v>
      </c>
    </row>
    <row r="298" spans="1:57" ht="7.5" customHeight="1" x14ac:dyDescent="0.4">
      <c r="A298" s="35">
        <v>298</v>
      </c>
      <c r="B298" s="57" t="s">
        <v>1186</v>
      </c>
      <c r="C298" s="34" t="s">
        <v>3789</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3792</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3690</v>
      </c>
      <c r="AX298" s="29" t="s">
        <v>3486</v>
      </c>
      <c r="AY298" s="37" t="s">
        <v>3702</v>
      </c>
      <c r="AZ298" s="29" t="s">
        <v>3700</v>
      </c>
      <c r="BA298" s="37" t="s">
        <v>3701</v>
      </c>
      <c r="BB298" s="29" t="s">
        <v>3686</v>
      </c>
      <c r="BC298" s="37" t="s">
        <v>3688</v>
      </c>
      <c r="BD298" s="29" t="s">
        <v>3687</v>
      </c>
      <c r="BE298" s="37" t="s">
        <v>3791</v>
      </c>
    </row>
    <row r="299" spans="1:57" ht="7.5" customHeight="1" x14ac:dyDescent="0.4">
      <c r="A299" s="35">
        <v>299</v>
      </c>
      <c r="B299" s="57" t="s">
        <v>1190</v>
      </c>
      <c r="C299" s="34" t="s">
        <v>3789</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3792</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3690</v>
      </c>
      <c r="AX299" s="29" t="s">
        <v>3486</v>
      </c>
      <c r="AY299" s="37" t="s">
        <v>3702</v>
      </c>
      <c r="AZ299" s="29" t="s">
        <v>3700</v>
      </c>
      <c r="BA299" s="37" t="s">
        <v>3701</v>
      </c>
      <c r="BB299" s="29" t="s">
        <v>3686</v>
      </c>
      <c r="BC299" s="37" t="s">
        <v>3688</v>
      </c>
      <c r="BD299" s="29" t="s">
        <v>3687</v>
      </c>
      <c r="BE299" s="37" t="s">
        <v>3791</v>
      </c>
    </row>
    <row r="300" spans="1:57" ht="7.5" customHeight="1" x14ac:dyDescent="0.4">
      <c r="A300" s="35">
        <v>300</v>
      </c>
      <c r="B300" s="57" t="s">
        <v>1195</v>
      </c>
      <c r="C300" s="34" t="s">
        <v>3789</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3792</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3690</v>
      </c>
      <c r="AX300" s="29" t="s">
        <v>3486</v>
      </c>
      <c r="AY300" s="37" t="s">
        <v>3702</v>
      </c>
      <c r="AZ300" s="29" t="s">
        <v>3700</v>
      </c>
      <c r="BA300" s="37" t="s">
        <v>3701</v>
      </c>
      <c r="BB300" s="29" t="s">
        <v>3686</v>
      </c>
      <c r="BC300" s="37" t="s">
        <v>3688</v>
      </c>
      <c r="BD300" s="29" t="s">
        <v>3687</v>
      </c>
      <c r="BE300" s="37" t="s">
        <v>3791</v>
      </c>
    </row>
    <row r="301" spans="1:57" ht="7.5" customHeight="1" x14ac:dyDescent="0.4">
      <c r="A301" s="35">
        <v>301</v>
      </c>
      <c r="B301" s="57" t="s">
        <v>1200</v>
      </c>
      <c r="C301" s="34" t="s">
        <v>3789</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3792</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3690</v>
      </c>
      <c r="AX301" s="29" t="s">
        <v>3486</v>
      </c>
      <c r="AY301" s="37" t="s">
        <v>3702</v>
      </c>
      <c r="AZ301" s="29" t="s">
        <v>3700</v>
      </c>
      <c r="BA301" s="37" t="s">
        <v>3701</v>
      </c>
      <c r="BB301" s="29" t="s">
        <v>3686</v>
      </c>
      <c r="BC301" s="37" t="s">
        <v>3688</v>
      </c>
      <c r="BD301" s="29" t="s">
        <v>3687</v>
      </c>
      <c r="BE301" s="37" t="s">
        <v>3791</v>
      </c>
    </row>
    <row r="302" spans="1:57" ht="7.5" customHeight="1" x14ac:dyDescent="0.4">
      <c r="A302" s="35">
        <v>302</v>
      </c>
      <c r="B302" s="57" t="s">
        <v>1204</v>
      </c>
      <c r="C302" s="34" t="s">
        <v>3789</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3792</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3690</v>
      </c>
      <c r="AX302" s="29" t="s">
        <v>3486</v>
      </c>
      <c r="AY302" s="37" t="s">
        <v>3702</v>
      </c>
      <c r="AZ302" s="29" t="s">
        <v>3700</v>
      </c>
      <c r="BA302" s="37" t="s">
        <v>3701</v>
      </c>
      <c r="BB302" s="29" t="s">
        <v>3686</v>
      </c>
      <c r="BC302" s="37" t="s">
        <v>3688</v>
      </c>
      <c r="BD302" s="29" t="s">
        <v>3687</v>
      </c>
      <c r="BE302" s="37" t="s">
        <v>3791</v>
      </c>
    </row>
    <row r="303" spans="1:57" ht="7.5" customHeight="1" x14ac:dyDescent="0.4">
      <c r="A303" s="35">
        <v>303</v>
      </c>
      <c r="B303" s="57" t="s">
        <v>1209</v>
      </c>
      <c r="C303" s="34" t="s">
        <v>3789</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3792</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3690</v>
      </c>
      <c r="AX303" s="29" t="s">
        <v>3486</v>
      </c>
      <c r="AY303" s="37" t="s">
        <v>3702</v>
      </c>
      <c r="AZ303" s="29" t="s">
        <v>3700</v>
      </c>
      <c r="BA303" s="37" t="s">
        <v>3701</v>
      </c>
      <c r="BB303" s="29" t="s">
        <v>3686</v>
      </c>
      <c r="BC303" s="37" t="s">
        <v>3688</v>
      </c>
      <c r="BD303" s="29" t="s">
        <v>3687</v>
      </c>
      <c r="BE303" s="37" t="s">
        <v>3791</v>
      </c>
    </row>
    <row r="304" spans="1:57" ht="7.5" customHeight="1" x14ac:dyDescent="0.4">
      <c r="A304" s="35">
        <v>304</v>
      </c>
      <c r="B304" s="57" t="s">
        <v>1213</v>
      </c>
      <c r="C304" s="34" t="s">
        <v>3789</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3792</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3690</v>
      </c>
      <c r="AX304" s="29" t="s">
        <v>3486</v>
      </c>
      <c r="AY304" s="37" t="s">
        <v>3702</v>
      </c>
      <c r="AZ304" s="29" t="s">
        <v>3700</v>
      </c>
      <c r="BA304" s="37" t="s">
        <v>3701</v>
      </c>
      <c r="BB304" s="29" t="s">
        <v>3686</v>
      </c>
      <c r="BC304" s="37" t="s">
        <v>3688</v>
      </c>
      <c r="BD304" s="29" t="s">
        <v>3687</v>
      </c>
      <c r="BE304" s="37" t="s">
        <v>3791</v>
      </c>
    </row>
    <row r="305" spans="1:57" ht="7.5" customHeight="1" x14ac:dyDescent="0.4">
      <c r="A305" s="35">
        <v>305</v>
      </c>
      <c r="B305" s="57" t="s">
        <v>1218</v>
      </c>
      <c r="C305" s="34" t="s">
        <v>3789</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3792</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3690</v>
      </c>
      <c r="AX305" s="29" t="s">
        <v>3486</v>
      </c>
      <c r="AY305" s="37" t="s">
        <v>3702</v>
      </c>
      <c r="AZ305" s="29" t="s">
        <v>3700</v>
      </c>
      <c r="BA305" s="37" t="s">
        <v>3701</v>
      </c>
      <c r="BB305" s="29" t="s">
        <v>3686</v>
      </c>
      <c r="BC305" s="37" t="s">
        <v>3688</v>
      </c>
      <c r="BD305" s="29" t="s">
        <v>3687</v>
      </c>
      <c r="BE305" s="37" t="s">
        <v>3791</v>
      </c>
    </row>
    <row r="306" spans="1:57" ht="7.5" customHeight="1" x14ac:dyDescent="0.4">
      <c r="A306" s="35">
        <v>306</v>
      </c>
      <c r="B306" s="57" t="s">
        <v>1222</v>
      </c>
      <c r="C306" s="34" t="s">
        <v>3789</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3792</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3690</v>
      </c>
      <c r="AX306" s="29" t="s">
        <v>3486</v>
      </c>
      <c r="AY306" s="37" t="s">
        <v>3702</v>
      </c>
      <c r="AZ306" s="29" t="s">
        <v>3700</v>
      </c>
      <c r="BA306" s="37" t="s">
        <v>3701</v>
      </c>
      <c r="BB306" s="29" t="s">
        <v>3686</v>
      </c>
      <c r="BC306" s="37" t="s">
        <v>3688</v>
      </c>
      <c r="BD306" s="29" t="s">
        <v>3687</v>
      </c>
      <c r="BE306" s="37" t="s">
        <v>3791</v>
      </c>
    </row>
    <row r="307" spans="1:57" ht="7.5" customHeight="1" x14ac:dyDescent="0.4">
      <c r="A307" s="35">
        <v>307</v>
      </c>
      <c r="B307" s="57" t="s">
        <v>1226</v>
      </c>
      <c r="C307" s="34" t="s">
        <v>3789</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3792</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3690</v>
      </c>
      <c r="AX307" s="29" t="s">
        <v>3486</v>
      </c>
      <c r="AY307" s="37" t="s">
        <v>3702</v>
      </c>
      <c r="AZ307" s="29" t="s">
        <v>3700</v>
      </c>
      <c r="BA307" s="37" t="s">
        <v>3701</v>
      </c>
      <c r="BB307" s="29" t="s">
        <v>3686</v>
      </c>
      <c r="BC307" s="37" t="s">
        <v>3688</v>
      </c>
      <c r="BD307" s="29" t="s">
        <v>3687</v>
      </c>
      <c r="BE307" s="37" t="s">
        <v>3791</v>
      </c>
    </row>
    <row r="308" spans="1:57" ht="7.5" customHeight="1" x14ac:dyDescent="0.4">
      <c r="A308" s="35">
        <v>308</v>
      </c>
      <c r="B308" s="57" t="s">
        <v>1230</v>
      </c>
      <c r="C308" s="34" t="s">
        <v>3789</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3792</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3690</v>
      </c>
      <c r="AX308" s="29" t="s">
        <v>3486</v>
      </c>
      <c r="AY308" s="37" t="s">
        <v>3702</v>
      </c>
      <c r="AZ308" s="29" t="s">
        <v>3700</v>
      </c>
      <c r="BA308" s="37" t="s">
        <v>3701</v>
      </c>
      <c r="BB308" s="29" t="s">
        <v>3686</v>
      </c>
      <c r="BC308" s="37" t="s">
        <v>3688</v>
      </c>
      <c r="BD308" s="29" t="s">
        <v>3687</v>
      </c>
      <c r="BE308" s="37" t="s">
        <v>3791</v>
      </c>
    </row>
    <row r="309" spans="1:57" ht="7.5" customHeight="1" x14ac:dyDescent="0.4">
      <c r="A309" s="35">
        <v>309</v>
      </c>
      <c r="B309" s="57" t="s">
        <v>1235</v>
      </c>
      <c r="C309" s="34" t="s">
        <v>3789</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3792</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3690</v>
      </c>
      <c r="AX309" s="29" t="s">
        <v>3486</v>
      </c>
      <c r="AY309" s="37" t="s">
        <v>3702</v>
      </c>
      <c r="AZ309" s="29" t="s">
        <v>3700</v>
      </c>
      <c r="BA309" s="37" t="s">
        <v>3701</v>
      </c>
      <c r="BB309" s="29" t="s">
        <v>3686</v>
      </c>
      <c r="BC309" s="37" t="s">
        <v>3688</v>
      </c>
      <c r="BD309" s="29" t="s">
        <v>3687</v>
      </c>
      <c r="BE309" s="37" t="s">
        <v>3791</v>
      </c>
    </row>
    <row r="310" spans="1:57" ht="7.5" customHeight="1" x14ac:dyDescent="0.4">
      <c r="A310" s="35">
        <v>310</v>
      </c>
      <c r="B310" s="57" t="s">
        <v>1240</v>
      </c>
      <c r="C310" s="34" t="s">
        <v>3789</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3792</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3690</v>
      </c>
      <c r="AX310" s="29" t="s">
        <v>3486</v>
      </c>
      <c r="AY310" s="37" t="s">
        <v>3702</v>
      </c>
      <c r="AZ310" s="29" t="s">
        <v>3700</v>
      </c>
      <c r="BA310" s="37" t="s">
        <v>3701</v>
      </c>
      <c r="BB310" s="29" t="s">
        <v>3686</v>
      </c>
      <c r="BC310" s="37" t="s">
        <v>3688</v>
      </c>
      <c r="BD310" s="29" t="s">
        <v>3687</v>
      </c>
      <c r="BE310" s="37" t="s">
        <v>3791</v>
      </c>
    </row>
    <row r="311" spans="1:57" ht="7.5" customHeight="1" x14ac:dyDescent="0.4">
      <c r="A311" s="35">
        <v>311</v>
      </c>
      <c r="B311" s="57" t="s">
        <v>1245</v>
      </c>
      <c r="C311" s="34" t="s">
        <v>3789</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3792</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3690</v>
      </c>
      <c r="AX311" s="29" t="s">
        <v>3486</v>
      </c>
      <c r="AY311" s="37" t="s">
        <v>3702</v>
      </c>
      <c r="AZ311" s="29" t="s">
        <v>3700</v>
      </c>
      <c r="BA311" s="37" t="s">
        <v>3701</v>
      </c>
      <c r="BB311" s="29" t="s">
        <v>3686</v>
      </c>
      <c r="BC311" s="37" t="s">
        <v>3688</v>
      </c>
      <c r="BD311" s="29" t="s">
        <v>3687</v>
      </c>
      <c r="BE311" s="37" t="s">
        <v>3791</v>
      </c>
    </row>
    <row r="312" spans="1:57" ht="7.5" customHeight="1" x14ac:dyDescent="0.4">
      <c r="A312" s="35">
        <v>312</v>
      </c>
      <c r="B312" s="57" t="s">
        <v>1248</v>
      </c>
      <c r="C312" s="34" t="s">
        <v>3789</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3792</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3690</v>
      </c>
      <c r="AX312" s="29" t="s">
        <v>3486</v>
      </c>
      <c r="AY312" s="37" t="s">
        <v>3702</v>
      </c>
      <c r="AZ312" s="29" t="s">
        <v>3700</v>
      </c>
      <c r="BA312" s="37" t="s">
        <v>3701</v>
      </c>
      <c r="BB312" s="29" t="s">
        <v>3686</v>
      </c>
      <c r="BC312" s="37" t="s">
        <v>3688</v>
      </c>
      <c r="BD312" s="29" t="s">
        <v>3687</v>
      </c>
      <c r="BE312" s="37" t="s">
        <v>3791</v>
      </c>
    </row>
    <row r="313" spans="1:57" ht="7.5" customHeight="1" x14ac:dyDescent="0.4">
      <c r="A313" s="35">
        <v>313</v>
      </c>
      <c r="B313" s="57" t="s">
        <v>1253</v>
      </c>
      <c r="C313" s="34" t="s">
        <v>3789</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3792</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3690</v>
      </c>
      <c r="AX313" s="29" t="s">
        <v>3486</v>
      </c>
      <c r="AY313" s="37" t="s">
        <v>3702</v>
      </c>
      <c r="AZ313" s="29" t="s">
        <v>3700</v>
      </c>
      <c r="BA313" s="37" t="s">
        <v>3701</v>
      </c>
      <c r="BB313" s="29" t="s">
        <v>3686</v>
      </c>
      <c r="BC313" s="37" t="s">
        <v>3688</v>
      </c>
      <c r="BD313" s="29" t="s">
        <v>3687</v>
      </c>
      <c r="BE313" s="37" t="s">
        <v>3791</v>
      </c>
    </row>
    <row r="314" spans="1:57" ht="7.5" customHeight="1" x14ac:dyDescent="0.4">
      <c r="A314" s="35">
        <v>314</v>
      </c>
      <c r="B314" s="57" t="s">
        <v>1258</v>
      </c>
      <c r="C314" s="34" t="s">
        <v>3789</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3792</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3690</v>
      </c>
      <c r="AX314" s="29" t="s">
        <v>3486</v>
      </c>
      <c r="AY314" s="37" t="s">
        <v>3702</v>
      </c>
      <c r="AZ314" s="29" t="s">
        <v>3700</v>
      </c>
      <c r="BA314" s="37" t="s">
        <v>3701</v>
      </c>
      <c r="BB314" s="29" t="s">
        <v>3686</v>
      </c>
      <c r="BC314" s="37" t="s">
        <v>3688</v>
      </c>
      <c r="BD314" s="29" t="s">
        <v>3687</v>
      </c>
      <c r="BE314" s="37" t="s">
        <v>3791</v>
      </c>
    </row>
    <row r="315" spans="1:57" ht="7.5" customHeight="1" x14ac:dyDescent="0.4">
      <c r="A315" s="35">
        <v>315</v>
      </c>
      <c r="B315" s="57" t="s">
        <v>1263</v>
      </c>
      <c r="C315" s="34" t="s">
        <v>3789</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3792</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3690</v>
      </c>
      <c r="AX315" s="29" t="s">
        <v>3486</v>
      </c>
      <c r="AY315" s="37" t="s">
        <v>3702</v>
      </c>
      <c r="AZ315" s="29" t="s">
        <v>3700</v>
      </c>
      <c r="BA315" s="37" t="s">
        <v>3701</v>
      </c>
      <c r="BB315" s="29" t="s">
        <v>3686</v>
      </c>
      <c r="BC315" s="37" t="s">
        <v>3688</v>
      </c>
      <c r="BD315" s="29" t="s">
        <v>3687</v>
      </c>
      <c r="BE315" s="37" t="s">
        <v>3791</v>
      </c>
    </row>
    <row r="316" spans="1:57" ht="7.5" customHeight="1" x14ac:dyDescent="0.4">
      <c r="A316" s="35">
        <v>316</v>
      </c>
      <c r="B316" s="57" t="s">
        <v>1267</v>
      </c>
      <c r="C316" s="34" t="s">
        <v>3789</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3792</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3690</v>
      </c>
      <c r="AX316" s="29" t="s">
        <v>3486</v>
      </c>
      <c r="AY316" s="37" t="s">
        <v>3702</v>
      </c>
      <c r="AZ316" s="29" t="s">
        <v>3700</v>
      </c>
      <c r="BA316" s="37" t="s">
        <v>3701</v>
      </c>
      <c r="BB316" s="29" t="s">
        <v>3686</v>
      </c>
      <c r="BC316" s="37" t="s">
        <v>3688</v>
      </c>
      <c r="BD316" s="29" t="s">
        <v>3687</v>
      </c>
      <c r="BE316" s="37" t="s">
        <v>3791</v>
      </c>
    </row>
    <row r="317" spans="1:57" ht="7.5" customHeight="1" x14ac:dyDescent="0.4">
      <c r="A317" s="35">
        <v>317</v>
      </c>
      <c r="B317" s="57" t="s">
        <v>1272</v>
      </c>
      <c r="C317" s="34" t="s">
        <v>3789</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3792</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3690</v>
      </c>
      <c r="AX317" s="29" t="s">
        <v>3486</v>
      </c>
      <c r="AY317" s="37" t="s">
        <v>3702</v>
      </c>
      <c r="AZ317" s="29" t="s">
        <v>3700</v>
      </c>
      <c r="BA317" s="37" t="s">
        <v>3701</v>
      </c>
      <c r="BB317" s="29" t="s">
        <v>3686</v>
      </c>
      <c r="BC317" s="37" t="s">
        <v>3688</v>
      </c>
      <c r="BD317" s="29" t="s">
        <v>3687</v>
      </c>
      <c r="BE317" s="37" t="s">
        <v>3791</v>
      </c>
    </row>
    <row r="318" spans="1:57" ht="7.5" customHeight="1" x14ac:dyDescent="0.4">
      <c r="A318" s="35">
        <v>318</v>
      </c>
      <c r="B318" s="57" t="s">
        <v>1277</v>
      </c>
      <c r="C318" s="34" t="s">
        <v>3789</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3792</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3690</v>
      </c>
      <c r="AX318" s="29" t="s">
        <v>3486</v>
      </c>
      <c r="AY318" s="37" t="s">
        <v>3702</v>
      </c>
      <c r="AZ318" s="29" t="s">
        <v>3700</v>
      </c>
      <c r="BA318" s="37" t="s">
        <v>3701</v>
      </c>
      <c r="BB318" s="29" t="s">
        <v>3686</v>
      </c>
      <c r="BC318" s="37" t="s">
        <v>3688</v>
      </c>
      <c r="BD318" s="29" t="s">
        <v>3687</v>
      </c>
      <c r="BE318" s="37" t="s">
        <v>3791</v>
      </c>
    </row>
    <row r="319" spans="1:57" ht="7.5" customHeight="1" x14ac:dyDescent="0.4">
      <c r="A319" s="35">
        <v>319</v>
      </c>
      <c r="B319" s="57" t="s">
        <v>1282</v>
      </c>
      <c r="C319" s="34" t="s">
        <v>3789</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3792</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3690</v>
      </c>
      <c r="AX319" s="29" t="s">
        <v>3486</v>
      </c>
      <c r="AY319" s="37" t="s">
        <v>3702</v>
      </c>
      <c r="AZ319" s="29" t="s">
        <v>3700</v>
      </c>
      <c r="BA319" s="37" t="s">
        <v>3701</v>
      </c>
      <c r="BB319" s="29" t="s">
        <v>3686</v>
      </c>
      <c r="BC319" s="37" t="s">
        <v>3688</v>
      </c>
      <c r="BD319" s="29" t="s">
        <v>3687</v>
      </c>
      <c r="BE319" s="37" t="s">
        <v>3791</v>
      </c>
    </row>
    <row r="320" spans="1:57" ht="7.5" customHeight="1" x14ac:dyDescent="0.4">
      <c r="A320" s="35">
        <v>320</v>
      </c>
      <c r="B320" s="57" t="s">
        <v>1287</v>
      </c>
      <c r="C320" s="34" t="s">
        <v>3789</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3792</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3690</v>
      </c>
      <c r="AX320" s="29" t="s">
        <v>3486</v>
      </c>
      <c r="AY320" s="37" t="s">
        <v>3702</v>
      </c>
      <c r="AZ320" s="29" t="s">
        <v>3700</v>
      </c>
      <c r="BA320" s="37" t="s">
        <v>3701</v>
      </c>
      <c r="BB320" s="29" t="s">
        <v>3686</v>
      </c>
      <c r="BC320" s="37" t="s">
        <v>3688</v>
      </c>
      <c r="BD320" s="29" t="s">
        <v>3687</v>
      </c>
      <c r="BE320" s="37" t="s">
        <v>3791</v>
      </c>
    </row>
    <row r="321" spans="1:57" ht="7.5" customHeight="1" x14ac:dyDescent="0.4">
      <c r="A321" s="35">
        <v>321</v>
      </c>
      <c r="B321" s="57" t="s">
        <v>1291</v>
      </c>
      <c r="C321" s="34" t="s">
        <v>3789</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3792</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3690</v>
      </c>
      <c r="AX321" s="29" t="s">
        <v>3486</v>
      </c>
      <c r="AY321" s="37" t="s">
        <v>3702</v>
      </c>
      <c r="AZ321" s="29" t="s">
        <v>3700</v>
      </c>
      <c r="BA321" s="37" t="s">
        <v>3701</v>
      </c>
      <c r="BB321" s="29" t="s">
        <v>3686</v>
      </c>
      <c r="BC321" s="37" t="s">
        <v>3688</v>
      </c>
      <c r="BD321" s="29" t="s">
        <v>3687</v>
      </c>
      <c r="BE321" s="37" t="s">
        <v>3791</v>
      </c>
    </row>
    <row r="322" spans="1:57" ht="7.5" customHeight="1" x14ac:dyDescent="0.4">
      <c r="A322" s="35">
        <v>322</v>
      </c>
      <c r="B322" s="57" t="s">
        <v>1295</v>
      </c>
      <c r="C322" s="34" t="s">
        <v>3789</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3792</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3690</v>
      </c>
      <c r="AX322" s="29" t="s">
        <v>3486</v>
      </c>
      <c r="AY322" s="37" t="s">
        <v>3702</v>
      </c>
      <c r="AZ322" s="29" t="s">
        <v>3700</v>
      </c>
      <c r="BA322" s="37" t="s">
        <v>3701</v>
      </c>
      <c r="BB322" s="29" t="s">
        <v>3686</v>
      </c>
      <c r="BC322" s="37" t="s">
        <v>3688</v>
      </c>
      <c r="BD322" s="29" t="s">
        <v>3687</v>
      </c>
      <c r="BE322" s="37" t="s">
        <v>3791</v>
      </c>
    </row>
    <row r="323" spans="1:57" ht="7.5" customHeight="1" x14ac:dyDescent="0.4">
      <c r="A323" s="35">
        <v>323</v>
      </c>
      <c r="B323" s="57" t="s">
        <v>1300</v>
      </c>
      <c r="C323" s="34" t="s">
        <v>3789</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3792</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3690</v>
      </c>
      <c r="AX323" s="29" t="s">
        <v>3486</v>
      </c>
      <c r="AY323" s="37" t="s">
        <v>3702</v>
      </c>
      <c r="AZ323" s="29" t="s">
        <v>3700</v>
      </c>
      <c r="BA323" s="37" t="s">
        <v>3701</v>
      </c>
      <c r="BB323" s="29" t="s">
        <v>3686</v>
      </c>
      <c r="BC323" s="37" t="s">
        <v>3688</v>
      </c>
      <c r="BD323" s="29" t="s">
        <v>3687</v>
      </c>
      <c r="BE323" s="37" t="s">
        <v>3791</v>
      </c>
    </row>
    <row r="324" spans="1:57" ht="7.5" customHeight="1" x14ac:dyDescent="0.4">
      <c r="A324" s="35">
        <v>324</v>
      </c>
      <c r="B324" s="57" t="s">
        <v>1305</v>
      </c>
      <c r="C324" s="34" t="s">
        <v>3789</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3792</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3690</v>
      </c>
      <c r="AX324" s="29" t="s">
        <v>3486</v>
      </c>
      <c r="AY324" s="37" t="s">
        <v>3702</v>
      </c>
      <c r="AZ324" s="29" t="s">
        <v>3700</v>
      </c>
      <c r="BA324" s="37" t="s">
        <v>3701</v>
      </c>
      <c r="BB324" s="29" t="s">
        <v>3686</v>
      </c>
      <c r="BC324" s="37" t="s">
        <v>3688</v>
      </c>
      <c r="BD324" s="29" t="s">
        <v>3687</v>
      </c>
      <c r="BE324" s="37" t="s">
        <v>3791</v>
      </c>
    </row>
    <row r="325" spans="1:57" ht="7.5" customHeight="1" x14ac:dyDescent="0.4">
      <c r="A325" s="35">
        <v>325</v>
      </c>
      <c r="B325" s="57" t="s">
        <v>1310</v>
      </c>
      <c r="C325" s="34" t="s">
        <v>3789</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3792</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3690</v>
      </c>
      <c r="AX325" s="29" t="s">
        <v>3486</v>
      </c>
      <c r="AY325" s="37" t="s">
        <v>3702</v>
      </c>
      <c r="AZ325" s="29" t="s">
        <v>3700</v>
      </c>
      <c r="BA325" s="37" t="s">
        <v>3701</v>
      </c>
      <c r="BB325" s="29" t="s">
        <v>3686</v>
      </c>
      <c r="BC325" s="37" t="s">
        <v>3688</v>
      </c>
      <c r="BD325" s="29" t="s">
        <v>3687</v>
      </c>
      <c r="BE325" s="37" t="s">
        <v>3791</v>
      </c>
    </row>
    <row r="326" spans="1:57" ht="7.5" customHeight="1" x14ac:dyDescent="0.4">
      <c r="A326" s="35">
        <v>326</v>
      </c>
      <c r="B326" s="57" t="s">
        <v>1314</v>
      </c>
      <c r="C326" s="34" t="s">
        <v>3789</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3792</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3690</v>
      </c>
      <c r="AX326" s="29" t="s">
        <v>3486</v>
      </c>
      <c r="AY326" s="37" t="s">
        <v>3702</v>
      </c>
      <c r="AZ326" s="29" t="s">
        <v>3700</v>
      </c>
      <c r="BA326" s="37" t="s">
        <v>3701</v>
      </c>
      <c r="BB326" s="29" t="s">
        <v>3686</v>
      </c>
      <c r="BC326" s="37" t="s">
        <v>3688</v>
      </c>
      <c r="BD326" s="29" t="s">
        <v>3687</v>
      </c>
      <c r="BE326" s="37" t="s">
        <v>3791</v>
      </c>
    </row>
    <row r="327" spans="1:57" ht="7.5" customHeight="1" x14ac:dyDescent="0.4">
      <c r="A327" s="35">
        <v>327</v>
      </c>
      <c r="B327" s="57" t="s">
        <v>1319</v>
      </c>
      <c r="C327" s="34" t="s">
        <v>3789</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3792</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3690</v>
      </c>
      <c r="AX327" s="29" t="s">
        <v>3486</v>
      </c>
      <c r="AY327" s="37" t="s">
        <v>3702</v>
      </c>
      <c r="AZ327" s="29" t="s">
        <v>3700</v>
      </c>
      <c r="BA327" s="37" t="s">
        <v>3701</v>
      </c>
      <c r="BB327" s="29" t="s">
        <v>3686</v>
      </c>
      <c r="BC327" s="37" t="s">
        <v>3688</v>
      </c>
      <c r="BD327" s="29" t="s">
        <v>3687</v>
      </c>
      <c r="BE327" s="37" t="s">
        <v>3791</v>
      </c>
    </row>
    <row r="328" spans="1:57" ht="7.5" customHeight="1" x14ac:dyDescent="0.4">
      <c r="A328" s="35">
        <v>328</v>
      </c>
      <c r="B328" s="57" t="s">
        <v>1323</v>
      </c>
      <c r="C328" s="34" t="s">
        <v>3789</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3792</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3690</v>
      </c>
      <c r="AX328" s="29" t="s">
        <v>3486</v>
      </c>
      <c r="AY328" s="37" t="s">
        <v>3702</v>
      </c>
      <c r="AZ328" s="29" t="s">
        <v>3700</v>
      </c>
      <c r="BA328" s="37" t="s">
        <v>3701</v>
      </c>
      <c r="BB328" s="29" t="s">
        <v>3686</v>
      </c>
      <c r="BC328" s="37" t="s">
        <v>3688</v>
      </c>
      <c r="BD328" s="29" t="s">
        <v>3687</v>
      </c>
      <c r="BE328" s="37" t="s">
        <v>3791</v>
      </c>
    </row>
    <row r="329" spans="1:57" ht="7.5" customHeight="1" x14ac:dyDescent="0.4">
      <c r="A329" s="35">
        <v>329</v>
      </c>
      <c r="B329" s="57" t="s">
        <v>1327</v>
      </c>
      <c r="C329" s="34" t="s">
        <v>3789</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3792</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3690</v>
      </c>
      <c r="AX329" s="29" t="s">
        <v>3486</v>
      </c>
      <c r="AY329" s="37" t="s">
        <v>3702</v>
      </c>
      <c r="AZ329" s="29" t="s">
        <v>3700</v>
      </c>
      <c r="BA329" s="37" t="s">
        <v>3701</v>
      </c>
      <c r="BB329" s="29" t="s">
        <v>3686</v>
      </c>
      <c r="BC329" s="37" t="s">
        <v>3688</v>
      </c>
      <c r="BD329" s="29" t="s">
        <v>3687</v>
      </c>
      <c r="BE329" s="37" t="s">
        <v>3791</v>
      </c>
    </row>
    <row r="330" spans="1:57" ht="7.5" customHeight="1" x14ac:dyDescent="0.4">
      <c r="A330" s="35">
        <v>330</v>
      </c>
      <c r="B330" s="57" t="s">
        <v>1332</v>
      </c>
      <c r="C330" s="34" t="s">
        <v>3789</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3792</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3690</v>
      </c>
      <c r="AX330" s="29" t="s">
        <v>3486</v>
      </c>
      <c r="AY330" s="37" t="s">
        <v>3702</v>
      </c>
      <c r="AZ330" s="29" t="s">
        <v>3700</v>
      </c>
      <c r="BA330" s="37" t="s">
        <v>3701</v>
      </c>
      <c r="BB330" s="29" t="s">
        <v>3686</v>
      </c>
      <c r="BC330" s="37" t="s">
        <v>3688</v>
      </c>
      <c r="BD330" s="29" t="s">
        <v>3687</v>
      </c>
      <c r="BE330" s="37" t="s">
        <v>3791</v>
      </c>
    </row>
    <row r="331" spans="1:57" ht="7.5" customHeight="1" x14ac:dyDescent="0.4">
      <c r="A331" s="35">
        <v>331</v>
      </c>
      <c r="B331" s="57" t="s">
        <v>1337</v>
      </c>
      <c r="C331" s="34" t="s">
        <v>3789</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3792</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3690</v>
      </c>
      <c r="AX331" s="29" t="s">
        <v>3486</v>
      </c>
      <c r="AY331" s="37" t="s">
        <v>3702</v>
      </c>
      <c r="AZ331" s="29" t="s">
        <v>3700</v>
      </c>
      <c r="BA331" s="37" t="s">
        <v>3701</v>
      </c>
      <c r="BB331" s="29" t="s">
        <v>3686</v>
      </c>
      <c r="BC331" s="37" t="s">
        <v>3688</v>
      </c>
      <c r="BD331" s="29" t="s">
        <v>3687</v>
      </c>
      <c r="BE331" s="37" t="s">
        <v>3791</v>
      </c>
    </row>
    <row r="332" spans="1:57" ht="7.5" customHeight="1" x14ac:dyDescent="0.4">
      <c r="A332" s="35">
        <v>332</v>
      </c>
      <c r="B332" s="57" t="s">
        <v>1342</v>
      </c>
      <c r="C332" s="34" t="s">
        <v>3789</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3792</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3690</v>
      </c>
      <c r="AX332" s="29" t="s">
        <v>3486</v>
      </c>
      <c r="AY332" s="37" t="s">
        <v>3702</v>
      </c>
      <c r="AZ332" s="29" t="s">
        <v>3700</v>
      </c>
      <c r="BA332" s="37" t="s">
        <v>3701</v>
      </c>
      <c r="BB332" s="29" t="s">
        <v>3686</v>
      </c>
      <c r="BC332" s="37" t="s">
        <v>3688</v>
      </c>
      <c r="BD332" s="29" t="s">
        <v>3687</v>
      </c>
      <c r="BE332" s="37" t="s">
        <v>3791</v>
      </c>
    </row>
    <row r="333" spans="1:57" ht="7.5" customHeight="1" x14ac:dyDescent="0.4">
      <c r="A333" s="35">
        <v>333</v>
      </c>
      <c r="B333" s="57" t="s">
        <v>1346</v>
      </c>
      <c r="C333" s="34" t="s">
        <v>3789</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3792</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3690</v>
      </c>
      <c r="AX333" s="29" t="s">
        <v>3486</v>
      </c>
      <c r="AY333" s="37" t="s">
        <v>3702</v>
      </c>
      <c r="AZ333" s="29" t="s">
        <v>3700</v>
      </c>
      <c r="BA333" s="37" t="s">
        <v>3701</v>
      </c>
      <c r="BB333" s="29" t="s">
        <v>3686</v>
      </c>
      <c r="BC333" s="37" t="s">
        <v>3688</v>
      </c>
      <c r="BD333" s="29" t="s">
        <v>3687</v>
      </c>
      <c r="BE333" s="37" t="s">
        <v>3791</v>
      </c>
    </row>
    <row r="334" spans="1:57" ht="7.5" customHeight="1" x14ac:dyDescent="0.4">
      <c r="A334" s="35">
        <v>334</v>
      </c>
      <c r="B334" s="57" t="s">
        <v>1351</v>
      </c>
      <c r="C334" s="34" t="s">
        <v>3789</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3792</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3690</v>
      </c>
      <c r="AX334" s="29" t="s">
        <v>3486</v>
      </c>
      <c r="AY334" s="37" t="s">
        <v>3702</v>
      </c>
      <c r="AZ334" s="29" t="s">
        <v>3700</v>
      </c>
      <c r="BA334" s="37" t="s">
        <v>3701</v>
      </c>
      <c r="BB334" s="29" t="s">
        <v>3686</v>
      </c>
      <c r="BC334" s="37" t="s">
        <v>3688</v>
      </c>
      <c r="BD334" s="29" t="s">
        <v>3687</v>
      </c>
      <c r="BE334" s="37" t="s">
        <v>3791</v>
      </c>
    </row>
    <row r="335" spans="1:57" ht="7.5" customHeight="1" x14ac:dyDescent="0.4">
      <c r="A335" s="35">
        <v>335</v>
      </c>
      <c r="B335" s="57" t="s">
        <v>1355</v>
      </c>
      <c r="C335" s="34" t="s">
        <v>3789</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3792</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3690</v>
      </c>
      <c r="AX335" s="29" t="s">
        <v>3486</v>
      </c>
      <c r="AY335" s="37" t="s">
        <v>3702</v>
      </c>
      <c r="AZ335" s="29" t="s">
        <v>3700</v>
      </c>
      <c r="BA335" s="37" t="s">
        <v>3701</v>
      </c>
      <c r="BB335" s="29" t="s">
        <v>3686</v>
      </c>
      <c r="BC335" s="37" t="s">
        <v>3688</v>
      </c>
      <c r="BD335" s="29" t="s">
        <v>3687</v>
      </c>
      <c r="BE335" s="37" t="s">
        <v>3791</v>
      </c>
    </row>
    <row r="336" spans="1:57" ht="7.5" customHeight="1" x14ac:dyDescent="0.4">
      <c r="A336" s="35">
        <v>336</v>
      </c>
      <c r="B336" s="57" t="s">
        <v>1359</v>
      </c>
      <c r="C336" s="34" t="s">
        <v>3789</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3792</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3690</v>
      </c>
      <c r="AX336" s="29" t="s">
        <v>3486</v>
      </c>
      <c r="AY336" s="37" t="s">
        <v>3702</v>
      </c>
      <c r="AZ336" s="29" t="s">
        <v>3700</v>
      </c>
      <c r="BA336" s="37" t="s">
        <v>3701</v>
      </c>
      <c r="BB336" s="29" t="s">
        <v>3686</v>
      </c>
      <c r="BC336" s="37" t="s">
        <v>3688</v>
      </c>
      <c r="BD336" s="29" t="s">
        <v>3687</v>
      </c>
      <c r="BE336" s="37" t="s">
        <v>3791</v>
      </c>
    </row>
    <row r="337" spans="1:57" ht="7.5" customHeight="1" x14ac:dyDescent="0.4">
      <c r="A337" s="35">
        <v>337</v>
      </c>
      <c r="B337" s="57" t="s">
        <v>1364</v>
      </c>
      <c r="C337" s="34" t="s">
        <v>3789</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3792</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3690</v>
      </c>
      <c r="AX337" s="29" t="s">
        <v>3486</v>
      </c>
      <c r="AY337" s="37" t="s">
        <v>3702</v>
      </c>
      <c r="AZ337" s="29" t="s">
        <v>3700</v>
      </c>
      <c r="BA337" s="37" t="s">
        <v>3701</v>
      </c>
      <c r="BB337" s="29" t="s">
        <v>3686</v>
      </c>
      <c r="BC337" s="37" t="s">
        <v>3688</v>
      </c>
      <c r="BD337" s="29" t="s">
        <v>3687</v>
      </c>
      <c r="BE337" s="37" t="s">
        <v>3791</v>
      </c>
    </row>
    <row r="338" spans="1:57" ht="7.5" customHeight="1" x14ac:dyDescent="0.4">
      <c r="A338" s="35">
        <v>338</v>
      </c>
      <c r="B338" s="57" t="s">
        <v>1368</v>
      </c>
      <c r="C338" s="34" t="s">
        <v>3789</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3792</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3690</v>
      </c>
      <c r="AX338" s="29" t="s">
        <v>3486</v>
      </c>
      <c r="AY338" s="37" t="s">
        <v>3702</v>
      </c>
      <c r="AZ338" s="29" t="s">
        <v>3700</v>
      </c>
      <c r="BA338" s="37" t="s">
        <v>3701</v>
      </c>
      <c r="BB338" s="29" t="s">
        <v>3686</v>
      </c>
      <c r="BC338" s="37" t="s">
        <v>3688</v>
      </c>
      <c r="BD338" s="29" t="s">
        <v>3687</v>
      </c>
      <c r="BE338" s="37" t="s">
        <v>3791</v>
      </c>
    </row>
    <row r="339" spans="1:57" ht="7.5" customHeight="1" x14ac:dyDescent="0.4">
      <c r="A339" s="35">
        <v>339</v>
      </c>
      <c r="B339" s="57" t="s">
        <v>1373</v>
      </c>
      <c r="C339" s="34" t="s">
        <v>3789</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3792</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3690</v>
      </c>
      <c r="AX339" s="29" t="s">
        <v>3486</v>
      </c>
      <c r="AY339" s="37" t="s">
        <v>3702</v>
      </c>
      <c r="AZ339" s="29" t="s">
        <v>3700</v>
      </c>
      <c r="BA339" s="37" t="s">
        <v>3701</v>
      </c>
      <c r="BB339" s="29" t="s">
        <v>3686</v>
      </c>
      <c r="BC339" s="37" t="s">
        <v>3688</v>
      </c>
      <c r="BD339" s="29" t="s">
        <v>3687</v>
      </c>
      <c r="BE339" s="37" t="s">
        <v>3791</v>
      </c>
    </row>
    <row r="340" spans="1:57" ht="7.5" customHeight="1" x14ac:dyDescent="0.4">
      <c r="A340" s="35">
        <v>340</v>
      </c>
      <c r="B340" s="57" t="s">
        <v>1376</v>
      </c>
      <c r="C340" s="34" t="s">
        <v>3789</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3792</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3690</v>
      </c>
      <c r="AX340" s="29" t="s">
        <v>3486</v>
      </c>
      <c r="AY340" s="37" t="s">
        <v>3702</v>
      </c>
      <c r="AZ340" s="29" t="s">
        <v>3700</v>
      </c>
      <c r="BA340" s="37" t="s">
        <v>3701</v>
      </c>
      <c r="BB340" s="29" t="s">
        <v>3686</v>
      </c>
      <c r="BC340" s="37" t="s">
        <v>3688</v>
      </c>
      <c r="BD340" s="29" t="s">
        <v>3687</v>
      </c>
      <c r="BE340" s="37" t="s">
        <v>3791</v>
      </c>
    </row>
    <row r="341" spans="1:57" ht="7.5" customHeight="1" x14ac:dyDescent="0.4">
      <c r="A341" s="35">
        <v>341</v>
      </c>
      <c r="B341" s="57" t="s">
        <v>1381</v>
      </c>
      <c r="C341" s="34" t="s">
        <v>3789</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3792</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3690</v>
      </c>
      <c r="AX341" s="29" t="s">
        <v>3486</v>
      </c>
      <c r="AY341" s="37" t="s">
        <v>3702</v>
      </c>
      <c r="AZ341" s="29" t="s">
        <v>3700</v>
      </c>
      <c r="BA341" s="37" t="s">
        <v>3701</v>
      </c>
      <c r="BB341" s="29" t="s">
        <v>3686</v>
      </c>
      <c r="BC341" s="37" t="s">
        <v>3688</v>
      </c>
      <c r="BD341" s="29" t="s">
        <v>3687</v>
      </c>
      <c r="BE341" s="37" t="s">
        <v>3791</v>
      </c>
    </row>
    <row r="342" spans="1:57" ht="7.5" customHeight="1" x14ac:dyDescent="0.4">
      <c r="A342" s="35">
        <v>342</v>
      </c>
      <c r="B342" s="57" t="s">
        <v>1386</v>
      </c>
      <c r="C342" s="34" t="s">
        <v>3789</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3792</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3690</v>
      </c>
      <c r="AX342" s="29" t="s">
        <v>3486</v>
      </c>
      <c r="AY342" s="37" t="s">
        <v>3702</v>
      </c>
      <c r="AZ342" s="29" t="s">
        <v>3700</v>
      </c>
      <c r="BA342" s="37" t="s">
        <v>3701</v>
      </c>
      <c r="BB342" s="29" t="s">
        <v>3686</v>
      </c>
      <c r="BC342" s="37" t="s">
        <v>3688</v>
      </c>
      <c r="BD342" s="29" t="s">
        <v>3687</v>
      </c>
      <c r="BE342" s="37" t="s">
        <v>3791</v>
      </c>
    </row>
    <row r="343" spans="1:57" ht="7.5" customHeight="1" x14ac:dyDescent="0.4">
      <c r="A343" s="35">
        <v>343</v>
      </c>
      <c r="B343" s="57" t="s">
        <v>1391</v>
      </c>
      <c r="C343" s="34" t="s">
        <v>3789</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3792</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3690</v>
      </c>
      <c r="AX343" s="29" t="s">
        <v>3486</v>
      </c>
      <c r="AY343" s="37" t="s">
        <v>3702</v>
      </c>
      <c r="AZ343" s="29" t="s">
        <v>3700</v>
      </c>
      <c r="BA343" s="37" t="s">
        <v>3701</v>
      </c>
      <c r="BB343" s="29" t="s">
        <v>3686</v>
      </c>
      <c r="BC343" s="37" t="s">
        <v>3688</v>
      </c>
      <c r="BD343" s="29" t="s">
        <v>3687</v>
      </c>
      <c r="BE343" s="37" t="s">
        <v>3791</v>
      </c>
    </row>
    <row r="344" spans="1:57" ht="7.5" customHeight="1" x14ac:dyDescent="0.4">
      <c r="A344" s="35">
        <v>344</v>
      </c>
      <c r="B344" s="57" t="s">
        <v>1395</v>
      </c>
      <c r="C344" s="34" t="s">
        <v>3789</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3792</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3690</v>
      </c>
      <c r="AX344" s="29" t="s">
        <v>3486</v>
      </c>
      <c r="AY344" s="37" t="s">
        <v>3702</v>
      </c>
      <c r="AZ344" s="29" t="s">
        <v>3700</v>
      </c>
      <c r="BA344" s="37" t="s">
        <v>3701</v>
      </c>
      <c r="BB344" s="29" t="s">
        <v>3686</v>
      </c>
      <c r="BC344" s="37" t="s">
        <v>3688</v>
      </c>
      <c r="BD344" s="29" t="s">
        <v>3687</v>
      </c>
      <c r="BE344" s="37" t="s">
        <v>3791</v>
      </c>
    </row>
    <row r="345" spans="1:57" ht="7.5" customHeight="1" x14ac:dyDescent="0.4">
      <c r="A345" s="35">
        <v>345</v>
      </c>
      <c r="B345" s="57" t="s">
        <v>1400</v>
      </c>
      <c r="C345" s="34" t="s">
        <v>3789</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3792</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3690</v>
      </c>
      <c r="AX345" s="29" t="s">
        <v>3486</v>
      </c>
      <c r="AY345" s="37" t="s">
        <v>3702</v>
      </c>
      <c r="AZ345" s="29" t="s">
        <v>3700</v>
      </c>
      <c r="BA345" s="37" t="s">
        <v>3701</v>
      </c>
      <c r="BB345" s="29" t="s">
        <v>3686</v>
      </c>
      <c r="BC345" s="37" t="s">
        <v>3688</v>
      </c>
      <c r="BD345" s="29" t="s">
        <v>3687</v>
      </c>
      <c r="BE345" s="37" t="s">
        <v>3791</v>
      </c>
    </row>
    <row r="346" spans="1:57" ht="7.5" customHeight="1" x14ac:dyDescent="0.4">
      <c r="A346" s="35">
        <v>346</v>
      </c>
      <c r="B346" s="57" t="s">
        <v>1405</v>
      </c>
      <c r="C346" s="34" t="s">
        <v>3789</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3792</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3690</v>
      </c>
      <c r="AX346" s="29" t="s">
        <v>3486</v>
      </c>
      <c r="AY346" s="37" t="s">
        <v>3702</v>
      </c>
      <c r="AZ346" s="29" t="s">
        <v>3700</v>
      </c>
      <c r="BA346" s="37" t="s">
        <v>3701</v>
      </c>
      <c r="BB346" s="29" t="s">
        <v>3686</v>
      </c>
      <c r="BC346" s="37" t="s">
        <v>3688</v>
      </c>
      <c r="BD346" s="29" t="s">
        <v>3687</v>
      </c>
      <c r="BE346" s="37" t="s">
        <v>3791</v>
      </c>
    </row>
    <row r="347" spans="1:57" ht="7.5" customHeight="1" x14ac:dyDescent="0.4">
      <c r="A347" s="35">
        <v>347</v>
      </c>
      <c r="B347" s="57" t="s">
        <v>1410</v>
      </c>
      <c r="C347" s="34" t="s">
        <v>3789</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3792</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3690</v>
      </c>
      <c r="AX347" s="29" t="s">
        <v>3486</v>
      </c>
      <c r="AY347" s="37" t="s">
        <v>3702</v>
      </c>
      <c r="AZ347" s="29" t="s">
        <v>3700</v>
      </c>
      <c r="BA347" s="37" t="s">
        <v>3701</v>
      </c>
      <c r="BB347" s="29" t="s">
        <v>3686</v>
      </c>
      <c r="BC347" s="37" t="s">
        <v>3688</v>
      </c>
      <c r="BD347" s="29" t="s">
        <v>3687</v>
      </c>
      <c r="BE347" s="37" t="s">
        <v>3791</v>
      </c>
    </row>
    <row r="348" spans="1:57" ht="7.5" customHeight="1" x14ac:dyDescent="0.4">
      <c r="A348" s="35">
        <v>348</v>
      </c>
      <c r="B348" s="57" t="s">
        <v>1413</v>
      </c>
      <c r="C348" s="34" t="s">
        <v>3789</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3792</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3690</v>
      </c>
      <c r="AX348" s="29" t="s">
        <v>3486</v>
      </c>
      <c r="AY348" s="37" t="s">
        <v>3702</v>
      </c>
      <c r="AZ348" s="29" t="s">
        <v>3700</v>
      </c>
      <c r="BA348" s="37" t="s">
        <v>3701</v>
      </c>
      <c r="BB348" s="29" t="s">
        <v>3686</v>
      </c>
      <c r="BC348" s="37" t="s">
        <v>3688</v>
      </c>
      <c r="BD348" s="29" t="s">
        <v>3687</v>
      </c>
      <c r="BE348" s="37" t="s">
        <v>3791</v>
      </c>
    </row>
    <row r="349" spans="1:57" ht="7.5" customHeight="1" x14ac:dyDescent="0.4">
      <c r="A349" s="35">
        <v>349</v>
      </c>
      <c r="B349" s="57" t="s">
        <v>1417</v>
      </c>
      <c r="C349" s="34" t="s">
        <v>3789</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3792</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3690</v>
      </c>
      <c r="AX349" s="29" t="s">
        <v>3486</v>
      </c>
      <c r="AY349" s="37" t="s">
        <v>3702</v>
      </c>
      <c r="AZ349" s="29" t="s">
        <v>3700</v>
      </c>
      <c r="BA349" s="37" t="s">
        <v>3701</v>
      </c>
      <c r="BB349" s="29" t="s">
        <v>3686</v>
      </c>
      <c r="BC349" s="37" t="s">
        <v>3688</v>
      </c>
      <c r="BD349" s="29" t="s">
        <v>3687</v>
      </c>
      <c r="BE349" s="37" t="s">
        <v>3791</v>
      </c>
    </row>
    <row r="350" spans="1:57" ht="7.5" customHeight="1" x14ac:dyDescent="0.4">
      <c r="A350" s="35">
        <v>350</v>
      </c>
      <c r="B350" s="57" t="s">
        <v>1422</v>
      </c>
      <c r="C350" s="34" t="s">
        <v>3789</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3792</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3690</v>
      </c>
      <c r="AX350" s="29" t="s">
        <v>3486</v>
      </c>
      <c r="AY350" s="37" t="s">
        <v>3702</v>
      </c>
      <c r="AZ350" s="29" t="s">
        <v>3700</v>
      </c>
      <c r="BA350" s="37" t="s">
        <v>3701</v>
      </c>
      <c r="BB350" s="29" t="s">
        <v>3686</v>
      </c>
      <c r="BC350" s="37" t="s">
        <v>3688</v>
      </c>
      <c r="BD350" s="29" t="s">
        <v>3687</v>
      </c>
      <c r="BE350" s="37" t="s">
        <v>3791</v>
      </c>
    </row>
    <row r="351" spans="1:57" ht="7.5" customHeight="1" x14ac:dyDescent="0.4">
      <c r="A351" s="35">
        <v>351</v>
      </c>
      <c r="B351" s="57" t="s">
        <v>1427</v>
      </c>
      <c r="C351" s="34" t="s">
        <v>3789</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3792</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3690</v>
      </c>
      <c r="AX351" s="29" t="s">
        <v>3486</v>
      </c>
      <c r="AY351" s="37" t="s">
        <v>3702</v>
      </c>
      <c r="AZ351" s="29" t="s">
        <v>3700</v>
      </c>
      <c r="BA351" s="37" t="s">
        <v>3701</v>
      </c>
      <c r="BB351" s="29" t="s">
        <v>3686</v>
      </c>
      <c r="BC351" s="37" t="s">
        <v>3688</v>
      </c>
      <c r="BD351" s="29" t="s">
        <v>3687</v>
      </c>
      <c r="BE351" s="37" t="s">
        <v>3791</v>
      </c>
    </row>
    <row r="352" spans="1:57" ht="7.5" customHeight="1" x14ac:dyDescent="0.4">
      <c r="A352" s="35">
        <v>352</v>
      </c>
      <c r="B352" s="57" t="s">
        <v>1431</v>
      </c>
      <c r="C352" s="34" t="s">
        <v>3789</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3792</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3690</v>
      </c>
      <c r="AX352" s="29" t="s">
        <v>3486</v>
      </c>
      <c r="AY352" s="37" t="s">
        <v>3702</v>
      </c>
      <c r="AZ352" s="29" t="s">
        <v>3700</v>
      </c>
      <c r="BA352" s="37" t="s">
        <v>3701</v>
      </c>
      <c r="BB352" s="29" t="s">
        <v>3686</v>
      </c>
      <c r="BC352" s="37" t="s">
        <v>3688</v>
      </c>
      <c r="BD352" s="29" t="s">
        <v>3687</v>
      </c>
      <c r="BE352" s="37" t="s">
        <v>3791</v>
      </c>
    </row>
    <row r="353" spans="1:57" ht="7.5" customHeight="1" x14ac:dyDescent="0.4">
      <c r="A353" s="35">
        <v>353</v>
      </c>
      <c r="B353" s="57" t="s">
        <v>1436</v>
      </c>
      <c r="C353" s="34" t="s">
        <v>3789</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3792</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3690</v>
      </c>
      <c r="AX353" s="29" t="s">
        <v>3486</v>
      </c>
      <c r="AY353" s="37" t="s">
        <v>3702</v>
      </c>
      <c r="AZ353" s="29" t="s">
        <v>3700</v>
      </c>
      <c r="BA353" s="37" t="s">
        <v>3701</v>
      </c>
      <c r="BB353" s="29" t="s">
        <v>3686</v>
      </c>
      <c r="BC353" s="37" t="s">
        <v>3688</v>
      </c>
      <c r="BD353" s="29" t="s">
        <v>3687</v>
      </c>
      <c r="BE353" s="37" t="s">
        <v>3791</v>
      </c>
    </row>
    <row r="354" spans="1:57" ht="7.5" customHeight="1" x14ac:dyDescent="0.4">
      <c r="A354" s="35">
        <v>354</v>
      </c>
      <c r="B354" s="57" t="s">
        <v>1441</v>
      </c>
      <c r="C354" s="34" t="s">
        <v>3789</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3792</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3690</v>
      </c>
      <c r="AX354" s="29" t="s">
        <v>3486</v>
      </c>
      <c r="AY354" s="37" t="s">
        <v>3702</v>
      </c>
      <c r="AZ354" s="29" t="s">
        <v>3700</v>
      </c>
      <c r="BA354" s="37" t="s">
        <v>3701</v>
      </c>
      <c r="BB354" s="29" t="s">
        <v>3686</v>
      </c>
      <c r="BC354" s="37" t="s">
        <v>3688</v>
      </c>
      <c r="BD354" s="29" t="s">
        <v>3687</v>
      </c>
      <c r="BE354" s="37" t="s">
        <v>3791</v>
      </c>
    </row>
    <row r="355" spans="1:57" ht="7.5" customHeight="1" x14ac:dyDescent="0.4">
      <c r="A355" s="35">
        <v>355</v>
      </c>
      <c r="B355" s="57" t="s">
        <v>1446</v>
      </c>
      <c r="C355" s="34" t="s">
        <v>3789</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3792</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3690</v>
      </c>
      <c r="AX355" s="29" t="s">
        <v>3486</v>
      </c>
      <c r="AY355" s="37" t="s">
        <v>3702</v>
      </c>
      <c r="AZ355" s="29" t="s">
        <v>3700</v>
      </c>
      <c r="BA355" s="37" t="s">
        <v>3701</v>
      </c>
      <c r="BB355" s="29" t="s">
        <v>3686</v>
      </c>
      <c r="BC355" s="37" t="s">
        <v>3688</v>
      </c>
      <c r="BD355" s="29" t="s">
        <v>3687</v>
      </c>
      <c r="BE355" s="37" t="s">
        <v>3791</v>
      </c>
    </row>
    <row r="356" spans="1:57" ht="7.5" customHeight="1" x14ac:dyDescent="0.4">
      <c r="A356" s="35">
        <v>356</v>
      </c>
      <c r="B356" s="57" t="s">
        <v>1450</v>
      </c>
      <c r="C356" s="34" t="s">
        <v>3789</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3792</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3690</v>
      </c>
      <c r="AX356" s="29" t="s">
        <v>3486</v>
      </c>
      <c r="AY356" s="37" t="s">
        <v>3702</v>
      </c>
      <c r="AZ356" s="29" t="s">
        <v>3700</v>
      </c>
      <c r="BA356" s="37" t="s">
        <v>3701</v>
      </c>
      <c r="BB356" s="29" t="s">
        <v>3686</v>
      </c>
      <c r="BC356" s="37" t="s">
        <v>3688</v>
      </c>
      <c r="BD356" s="29" t="s">
        <v>3687</v>
      </c>
      <c r="BE356" s="37" t="s">
        <v>3791</v>
      </c>
    </row>
    <row r="357" spans="1:57" ht="7.5" customHeight="1" x14ac:dyDescent="0.4">
      <c r="A357" s="35">
        <v>357</v>
      </c>
      <c r="B357" s="57" t="s">
        <v>1454</v>
      </c>
      <c r="C357" s="34" t="s">
        <v>3789</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3792</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3690</v>
      </c>
      <c r="AX357" s="29" t="s">
        <v>3486</v>
      </c>
      <c r="AY357" s="37" t="s">
        <v>3702</v>
      </c>
      <c r="AZ357" s="29" t="s">
        <v>3700</v>
      </c>
      <c r="BA357" s="37" t="s">
        <v>3701</v>
      </c>
      <c r="BB357" s="29" t="s">
        <v>3686</v>
      </c>
      <c r="BC357" s="37" t="s">
        <v>3688</v>
      </c>
      <c r="BD357" s="29" t="s">
        <v>3687</v>
      </c>
      <c r="BE357" s="37" t="s">
        <v>3791</v>
      </c>
    </row>
    <row r="358" spans="1:57" ht="7.5" customHeight="1" x14ac:dyDescent="0.4">
      <c r="A358" s="35">
        <v>358</v>
      </c>
      <c r="B358" s="57" t="s">
        <v>1458</v>
      </c>
      <c r="C358" s="34" t="s">
        <v>3789</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3792</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3690</v>
      </c>
      <c r="AX358" s="29" t="s">
        <v>3486</v>
      </c>
      <c r="AY358" s="37" t="s">
        <v>3702</v>
      </c>
      <c r="AZ358" s="29" t="s">
        <v>3700</v>
      </c>
      <c r="BA358" s="37" t="s">
        <v>3701</v>
      </c>
      <c r="BB358" s="29" t="s">
        <v>3686</v>
      </c>
      <c r="BC358" s="37" t="s">
        <v>3688</v>
      </c>
      <c r="BD358" s="29" t="s">
        <v>3687</v>
      </c>
      <c r="BE358" s="37" t="s">
        <v>3791</v>
      </c>
    </row>
    <row r="359" spans="1:57" ht="7.5" customHeight="1" x14ac:dyDescent="0.4">
      <c r="A359" s="35">
        <v>359</v>
      </c>
      <c r="B359" s="57" t="s">
        <v>1462</v>
      </c>
      <c r="C359" s="34" t="s">
        <v>3789</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3792</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3690</v>
      </c>
      <c r="AX359" s="29" t="s">
        <v>3486</v>
      </c>
      <c r="AY359" s="37" t="s">
        <v>3702</v>
      </c>
      <c r="AZ359" s="29" t="s">
        <v>3700</v>
      </c>
      <c r="BA359" s="37" t="s">
        <v>3701</v>
      </c>
      <c r="BB359" s="29" t="s">
        <v>3686</v>
      </c>
      <c r="BC359" s="37" t="s">
        <v>3688</v>
      </c>
      <c r="BD359" s="29" t="s">
        <v>3687</v>
      </c>
      <c r="BE359" s="37" t="s">
        <v>3791</v>
      </c>
    </row>
    <row r="360" spans="1:57" ht="7.5" customHeight="1" x14ac:dyDescent="0.4">
      <c r="A360" s="35">
        <v>360</v>
      </c>
      <c r="B360" s="57" t="s">
        <v>1467</v>
      </c>
      <c r="C360" s="34" t="s">
        <v>3789</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3792</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3690</v>
      </c>
      <c r="AX360" s="29" t="s">
        <v>3486</v>
      </c>
      <c r="AY360" s="37" t="s">
        <v>3702</v>
      </c>
      <c r="AZ360" s="29" t="s">
        <v>3700</v>
      </c>
      <c r="BA360" s="37" t="s">
        <v>3701</v>
      </c>
      <c r="BB360" s="29" t="s">
        <v>3686</v>
      </c>
      <c r="BC360" s="37" t="s">
        <v>3688</v>
      </c>
      <c r="BD360" s="29" t="s">
        <v>3687</v>
      </c>
      <c r="BE360" s="37" t="s">
        <v>3791</v>
      </c>
    </row>
    <row r="361" spans="1:57" ht="7.5" customHeight="1" x14ac:dyDescent="0.4">
      <c r="A361" s="35">
        <v>361</v>
      </c>
      <c r="B361" s="57" t="s">
        <v>1472</v>
      </c>
      <c r="C361" s="34" t="s">
        <v>3789</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3792</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3690</v>
      </c>
      <c r="AX361" s="29" t="s">
        <v>3486</v>
      </c>
      <c r="AY361" s="37" t="s">
        <v>3702</v>
      </c>
      <c r="AZ361" s="29" t="s">
        <v>3700</v>
      </c>
      <c r="BA361" s="37" t="s">
        <v>3701</v>
      </c>
      <c r="BB361" s="29" t="s">
        <v>3686</v>
      </c>
      <c r="BC361" s="37" t="s">
        <v>3688</v>
      </c>
      <c r="BD361" s="29" t="s">
        <v>3687</v>
      </c>
      <c r="BE361" s="37" t="s">
        <v>3791</v>
      </c>
    </row>
    <row r="362" spans="1:57" ht="7.5" customHeight="1" x14ac:dyDescent="0.4">
      <c r="A362" s="35">
        <v>362</v>
      </c>
      <c r="B362" s="57" t="s">
        <v>1477</v>
      </c>
      <c r="C362" s="34" t="s">
        <v>3789</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3792</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3690</v>
      </c>
      <c r="AX362" s="29" t="s">
        <v>3486</v>
      </c>
      <c r="AY362" s="37" t="s">
        <v>3702</v>
      </c>
      <c r="AZ362" s="29" t="s">
        <v>3700</v>
      </c>
      <c r="BA362" s="37" t="s">
        <v>3701</v>
      </c>
      <c r="BB362" s="29" t="s">
        <v>3686</v>
      </c>
      <c r="BC362" s="37" t="s">
        <v>3688</v>
      </c>
      <c r="BD362" s="29" t="s">
        <v>3687</v>
      </c>
      <c r="BE362" s="37" t="s">
        <v>3791</v>
      </c>
    </row>
    <row r="363" spans="1:57" ht="7.5" customHeight="1" x14ac:dyDescent="0.4">
      <c r="A363" s="35">
        <v>363</v>
      </c>
      <c r="B363" s="57" t="s">
        <v>1482</v>
      </c>
      <c r="C363" s="34" t="s">
        <v>3789</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3792</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3690</v>
      </c>
      <c r="AX363" s="29" t="s">
        <v>3486</v>
      </c>
      <c r="AY363" s="37" t="s">
        <v>3702</v>
      </c>
      <c r="AZ363" s="29" t="s">
        <v>3700</v>
      </c>
      <c r="BA363" s="37" t="s">
        <v>3701</v>
      </c>
      <c r="BB363" s="29" t="s">
        <v>3686</v>
      </c>
      <c r="BC363" s="37" t="s">
        <v>3688</v>
      </c>
      <c r="BD363" s="29" t="s">
        <v>3687</v>
      </c>
      <c r="BE363" s="37" t="s">
        <v>3791</v>
      </c>
    </row>
    <row r="364" spans="1:57" ht="7.5" customHeight="1" x14ac:dyDescent="0.4">
      <c r="A364" s="35">
        <v>364</v>
      </c>
      <c r="B364" s="57" t="s">
        <v>1486</v>
      </c>
      <c r="C364" s="34" t="s">
        <v>3789</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3792</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3690</v>
      </c>
      <c r="AX364" s="29" t="s">
        <v>3486</v>
      </c>
      <c r="AY364" s="37" t="s">
        <v>3702</v>
      </c>
      <c r="AZ364" s="29" t="s">
        <v>3700</v>
      </c>
      <c r="BA364" s="37" t="s">
        <v>3701</v>
      </c>
      <c r="BB364" s="29" t="s">
        <v>3686</v>
      </c>
      <c r="BC364" s="37" t="s">
        <v>3688</v>
      </c>
      <c r="BD364" s="29" t="s">
        <v>3687</v>
      </c>
      <c r="BE364" s="37" t="s">
        <v>3791</v>
      </c>
    </row>
    <row r="365" spans="1:57" ht="7.5" customHeight="1" x14ac:dyDescent="0.4">
      <c r="A365" s="35">
        <v>365</v>
      </c>
      <c r="B365" s="57" t="s">
        <v>1491</v>
      </c>
      <c r="C365" s="34" t="s">
        <v>3789</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3792</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3690</v>
      </c>
      <c r="AX365" s="29" t="s">
        <v>3486</v>
      </c>
      <c r="AY365" s="37" t="s">
        <v>3702</v>
      </c>
      <c r="AZ365" s="29" t="s">
        <v>3700</v>
      </c>
      <c r="BA365" s="37" t="s">
        <v>3701</v>
      </c>
      <c r="BB365" s="29" t="s">
        <v>3686</v>
      </c>
      <c r="BC365" s="37" t="s">
        <v>3688</v>
      </c>
      <c r="BD365" s="29" t="s">
        <v>3687</v>
      </c>
      <c r="BE365" s="37" t="s">
        <v>3791</v>
      </c>
    </row>
    <row r="366" spans="1:57" ht="7.5" customHeight="1" x14ac:dyDescent="0.4">
      <c r="A366" s="35">
        <v>366</v>
      </c>
      <c r="B366" s="57" t="s">
        <v>1495</v>
      </c>
      <c r="C366" s="34" t="s">
        <v>3789</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3792</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3690</v>
      </c>
      <c r="AX366" s="29" t="s">
        <v>3486</v>
      </c>
      <c r="AY366" s="37" t="s">
        <v>3702</v>
      </c>
      <c r="AZ366" s="29" t="s">
        <v>3700</v>
      </c>
      <c r="BA366" s="37" t="s">
        <v>3701</v>
      </c>
      <c r="BB366" s="29" t="s">
        <v>3686</v>
      </c>
      <c r="BC366" s="37" t="s">
        <v>3688</v>
      </c>
      <c r="BD366" s="29" t="s">
        <v>3687</v>
      </c>
      <c r="BE366" s="37" t="s">
        <v>3791</v>
      </c>
    </row>
    <row r="367" spans="1:57" ht="7.5" customHeight="1" x14ac:dyDescent="0.4">
      <c r="A367" s="35">
        <v>367</v>
      </c>
      <c r="B367" s="57" t="s">
        <v>1500</v>
      </c>
      <c r="C367" s="34" t="s">
        <v>3789</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3792</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3690</v>
      </c>
      <c r="AX367" s="29" t="s">
        <v>3486</v>
      </c>
      <c r="AY367" s="37" t="s">
        <v>3702</v>
      </c>
      <c r="AZ367" s="29" t="s">
        <v>3700</v>
      </c>
      <c r="BA367" s="37" t="s">
        <v>3701</v>
      </c>
      <c r="BB367" s="29" t="s">
        <v>3686</v>
      </c>
      <c r="BC367" s="37" t="s">
        <v>3688</v>
      </c>
      <c r="BD367" s="29" t="s">
        <v>3687</v>
      </c>
      <c r="BE367" s="37" t="s">
        <v>3791</v>
      </c>
    </row>
    <row r="368" spans="1:57" ht="7.5" customHeight="1" x14ac:dyDescent="0.4">
      <c r="A368" s="35">
        <v>368</v>
      </c>
      <c r="B368" s="57" t="s">
        <v>1504</v>
      </c>
      <c r="C368" s="34" t="s">
        <v>3789</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3792</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3690</v>
      </c>
      <c r="AX368" s="29" t="s">
        <v>3486</v>
      </c>
      <c r="AY368" s="37" t="s">
        <v>3702</v>
      </c>
      <c r="AZ368" s="29" t="s">
        <v>3700</v>
      </c>
      <c r="BA368" s="37" t="s">
        <v>3701</v>
      </c>
      <c r="BB368" s="29" t="s">
        <v>3686</v>
      </c>
      <c r="BC368" s="37" t="s">
        <v>3688</v>
      </c>
      <c r="BD368" s="29" t="s">
        <v>3687</v>
      </c>
      <c r="BE368" s="37" t="s">
        <v>3791</v>
      </c>
    </row>
    <row r="369" spans="1:57" ht="7.5" customHeight="1" x14ac:dyDescent="0.4">
      <c r="A369" s="35">
        <v>369</v>
      </c>
      <c r="B369" s="57" t="s">
        <v>1508</v>
      </c>
      <c r="C369" s="34" t="s">
        <v>3789</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3792</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3690</v>
      </c>
      <c r="AX369" s="29" t="s">
        <v>3486</v>
      </c>
      <c r="AY369" s="37" t="s">
        <v>3702</v>
      </c>
      <c r="AZ369" s="29" t="s">
        <v>3700</v>
      </c>
      <c r="BA369" s="37" t="s">
        <v>3701</v>
      </c>
      <c r="BB369" s="29" t="s">
        <v>3686</v>
      </c>
      <c r="BC369" s="37" t="s">
        <v>3688</v>
      </c>
      <c r="BD369" s="29" t="s">
        <v>3687</v>
      </c>
      <c r="BE369" s="37" t="s">
        <v>3791</v>
      </c>
    </row>
    <row r="370" spans="1:57" ht="7.5" customHeight="1" x14ac:dyDescent="0.4">
      <c r="A370" s="35">
        <v>370</v>
      </c>
      <c r="B370" s="57" t="s">
        <v>1513</v>
      </c>
      <c r="C370" s="34" t="s">
        <v>3789</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3792</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3690</v>
      </c>
      <c r="AX370" s="29" t="s">
        <v>3486</v>
      </c>
      <c r="AY370" s="37" t="s">
        <v>3702</v>
      </c>
      <c r="AZ370" s="29" t="s">
        <v>3700</v>
      </c>
      <c r="BA370" s="37" t="s">
        <v>3701</v>
      </c>
      <c r="BB370" s="29" t="s">
        <v>3686</v>
      </c>
      <c r="BC370" s="37" t="s">
        <v>3688</v>
      </c>
      <c r="BD370" s="29" t="s">
        <v>3687</v>
      </c>
      <c r="BE370" s="37" t="s">
        <v>3791</v>
      </c>
    </row>
    <row r="371" spans="1:57" ht="7.5" customHeight="1" x14ac:dyDescent="0.4">
      <c r="A371" s="35">
        <v>371</v>
      </c>
      <c r="B371" s="57" t="s">
        <v>1517</v>
      </c>
      <c r="C371" s="34" t="s">
        <v>3789</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3792</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3690</v>
      </c>
      <c r="AX371" s="29" t="s">
        <v>3486</v>
      </c>
      <c r="AY371" s="37" t="s">
        <v>3702</v>
      </c>
      <c r="AZ371" s="29" t="s">
        <v>3700</v>
      </c>
      <c r="BA371" s="37" t="s">
        <v>3701</v>
      </c>
      <c r="BB371" s="29" t="s">
        <v>3686</v>
      </c>
      <c r="BC371" s="37" t="s">
        <v>3688</v>
      </c>
      <c r="BD371" s="29" t="s">
        <v>3687</v>
      </c>
      <c r="BE371" s="37" t="s">
        <v>3791</v>
      </c>
    </row>
    <row r="372" spans="1:57" ht="7.5" customHeight="1" x14ac:dyDescent="0.4">
      <c r="A372" s="35">
        <v>372</v>
      </c>
      <c r="B372" s="57" t="s">
        <v>1522</v>
      </c>
      <c r="C372" s="34" t="s">
        <v>3789</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3792</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3690</v>
      </c>
      <c r="AX372" s="29" t="s">
        <v>3486</v>
      </c>
      <c r="AY372" s="37" t="s">
        <v>3702</v>
      </c>
      <c r="AZ372" s="29" t="s">
        <v>3700</v>
      </c>
      <c r="BA372" s="37" t="s">
        <v>3701</v>
      </c>
      <c r="BB372" s="29" t="s">
        <v>3686</v>
      </c>
      <c r="BC372" s="37" t="s">
        <v>3688</v>
      </c>
      <c r="BD372" s="29" t="s">
        <v>3687</v>
      </c>
      <c r="BE372" s="37" t="s">
        <v>3791</v>
      </c>
    </row>
    <row r="373" spans="1:57" ht="7.5" customHeight="1" x14ac:dyDescent="0.4">
      <c r="A373" s="35">
        <v>373</v>
      </c>
      <c r="B373" s="57" t="s">
        <v>1527</v>
      </c>
      <c r="C373" s="34" t="s">
        <v>3789</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3792</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3690</v>
      </c>
      <c r="AX373" s="29" t="s">
        <v>3486</v>
      </c>
      <c r="AY373" s="37" t="s">
        <v>3702</v>
      </c>
      <c r="AZ373" s="29" t="s">
        <v>3700</v>
      </c>
      <c r="BA373" s="37" t="s">
        <v>3701</v>
      </c>
      <c r="BB373" s="29" t="s">
        <v>3686</v>
      </c>
      <c r="BC373" s="37" t="s">
        <v>3688</v>
      </c>
      <c r="BD373" s="29" t="s">
        <v>3687</v>
      </c>
      <c r="BE373" s="37" t="s">
        <v>3791</v>
      </c>
    </row>
    <row r="374" spans="1:57" ht="7.5" customHeight="1" x14ac:dyDescent="0.4">
      <c r="A374" s="35">
        <v>374</v>
      </c>
      <c r="B374" s="57" t="s">
        <v>1532</v>
      </c>
      <c r="C374" s="34" t="s">
        <v>3789</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3792</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3690</v>
      </c>
      <c r="AX374" s="29" t="s">
        <v>3486</v>
      </c>
      <c r="AY374" s="37" t="s">
        <v>3702</v>
      </c>
      <c r="AZ374" s="29" t="s">
        <v>3700</v>
      </c>
      <c r="BA374" s="37" t="s">
        <v>3701</v>
      </c>
      <c r="BB374" s="29" t="s">
        <v>3686</v>
      </c>
      <c r="BC374" s="37" t="s">
        <v>3688</v>
      </c>
      <c r="BD374" s="29" t="s">
        <v>3687</v>
      </c>
      <c r="BE374" s="37" t="s">
        <v>3791</v>
      </c>
    </row>
    <row r="375" spans="1:57" ht="7.5" customHeight="1" x14ac:dyDescent="0.4">
      <c r="A375" s="35">
        <v>375</v>
      </c>
      <c r="B375" s="57" t="s">
        <v>1537</v>
      </c>
      <c r="C375" s="34" t="s">
        <v>3789</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3792</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3690</v>
      </c>
      <c r="AX375" s="29" t="s">
        <v>3486</v>
      </c>
      <c r="AY375" s="37" t="s">
        <v>3702</v>
      </c>
      <c r="AZ375" s="29" t="s">
        <v>3700</v>
      </c>
      <c r="BA375" s="37" t="s">
        <v>3701</v>
      </c>
      <c r="BB375" s="29" t="s">
        <v>3686</v>
      </c>
      <c r="BC375" s="37" t="s">
        <v>3688</v>
      </c>
      <c r="BD375" s="29" t="s">
        <v>3687</v>
      </c>
      <c r="BE375" s="37" t="s">
        <v>3791</v>
      </c>
    </row>
    <row r="376" spans="1:57" ht="7.5" customHeight="1" x14ac:dyDescent="0.4">
      <c r="A376" s="35">
        <v>376</v>
      </c>
      <c r="B376" s="57" t="s">
        <v>1541</v>
      </c>
      <c r="C376" s="34" t="s">
        <v>3789</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3792</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3690</v>
      </c>
      <c r="AX376" s="29" t="s">
        <v>3486</v>
      </c>
      <c r="AY376" s="37" t="s">
        <v>3702</v>
      </c>
      <c r="AZ376" s="29" t="s">
        <v>3700</v>
      </c>
      <c r="BA376" s="37" t="s">
        <v>3701</v>
      </c>
      <c r="BB376" s="29" t="s">
        <v>3686</v>
      </c>
      <c r="BC376" s="37" t="s">
        <v>3688</v>
      </c>
      <c r="BD376" s="29" t="s">
        <v>3687</v>
      </c>
      <c r="BE376" s="37" t="s">
        <v>3791</v>
      </c>
    </row>
    <row r="377" spans="1:57" ht="7.5" customHeight="1" x14ac:dyDescent="0.4">
      <c r="A377" s="35">
        <v>377</v>
      </c>
      <c r="B377" s="57" t="s">
        <v>1546</v>
      </c>
      <c r="C377" s="34" t="s">
        <v>3789</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3792</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3690</v>
      </c>
      <c r="AX377" s="29" t="s">
        <v>3486</v>
      </c>
      <c r="AY377" s="37" t="s">
        <v>3702</v>
      </c>
      <c r="AZ377" s="29" t="s">
        <v>3700</v>
      </c>
      <c r="BA377" s="37" t="s">
        <v>3701</v>
      </c>
      <c r="BB377" s="29" t="s">
        <v>3686</v>
      </c>
      <c r="BC377" s="37" t="s">
        <v>3688</v>
      </c>
      <c r="BD377" s="29" t="s">
        <v>3687</v>
      </c>
      <c r="BE377" s="37" t="s">
        <v>3791</v>
      </c>
    </row>
    <row r="378" spans="1:57" ht="7.5" customHeight="1" x14ac:dyDescent="0.4">
      <c r="A378" s="35">
        <v>378</v>
      </c>
      <c r="B378" s="57" t="s">
        <v>1551</v>
      </c>
      <c r="C378" s="34" t="s">
        <v>3789</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3792</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3690</v>
      </c>
      <c r="AX378" s="29" t="s">
        <v>3486</v>
      </c>
      <c r="AY378" s="37" t="s">
        <v>3702</v>
      </c>
      <c r="AZ378" s="29" t="s">
        <v>3700</v>
      </c>
      <c r="BA378" s="37" t="s">
        <v>3701</v>
      </c>
      <c r="BB378" s="29" t="s">
        <v>3686</v>
      </c>
      <c r="BC378" s="37" t="s">
        <v>3688</v>
      </c>
      <c r="BD378" s="29" t="s">
        <v>3687</v>
      </c>
      <c r="BE378" s="37" t="s">
        <v>3791</v>
      </c>
    </row>
    <row r="379" spans="1:57" ht="7.5" customHeight="1" x14ac:dyDescent="0.4">
      <c r="A379" s="35">
        <v>379</v>
      </c>
      <c r="B379" s="57" t="s">
        <v>1556</v>
      </c>
      <c r="C379" s="34" t="s">
        <v>3789</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3792</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3690</v>
      </c>
      <c r="AX379" s="29" t="s">
        <v>3486</v>
      </c>
      <c r="AY379" s="37" t="s">
        <v>3702</v>
      </c>
      <c r="AZ379" s="29" t="s">
        <v>3700</v>
      </c>
      <c r="BA379" s="37" t="s">
        <v>3701</v>
      </c>
      <c r="BB379" s="29" t="s">
        <v>3686</v>
      </c>
      <c r="BC379" s="37" t="s">
        <v>3688</v>
      </c>
      <c r="BD379" s="29" t="s">
        <v>3687</v>
      </c>
      <c r="BE379" s="37" t="s">
        <v>3791</v>
      </c>
    </row>
    <row r="380" spans="1:57" ht="7.5" customHeight="1" x14ac:dyDescent="0.4">
      <c r="A380" s="35">
        <v>380</v>
      </c>
      <c r="B380" s="57" t="s">
        <v>1561</v>
      </c>
      <c r="C380" s="34" t="s">
        <v>3789</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3792</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3690</v>
      </c>
      <c r="AX380" s="29" t="s">
        <v>3486</v>
      </c>
      <c r="AY380" s="37" t="s">
        <v>3702</v>
      </c>
      <c r="AZ380" s="29" t="s">
        <v>3700</v>
      </c>
      <c r="BA380" s="37" t="s">
        <v>3701</v>
      </c>
      <c r="BB380" s="29" t="s">
        <v>3686</v>
      </c>
      <c r="BC380" s="37" t="s">
        <v>3688</v>
      </c>
      <c r="BD380" s="29" t="s">
        <v>3687</v>
      </c>
      <c r="BE380" s="37" t="s">
        <v>3791</v>
      </c>
    </row>
    <row r="381" spans="1:57" ht="7.5" customHeight="1" x14ac:dyDescent="0.4">
      <c r="A381" s="35">
        <v>381</v>
      </c>
      <c r="B381" s="57" t="s">
        <v>1566</v>
      </c>
      <c r="C381" s="34" t="s">
        <v>3789</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3792</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3690</v>
      </c>
      <c r="AX381" s="29" t="s">
        <v>3486</v>
      </c>
      <c r="AY381" s="37" t="s">
        <v>3702</v>
      </c>
      <c r="AZ381" s="29" t="s">
        <v>3700</v>
      </c>
      <c r="BA381" s="37" t="s">
        <v>3701</v>
      </c>
      <c r="BB381" s="29" t="s">
        <v>3686</v>
      </c>
      <c r="BC381" s="37" t="s">
        <v>3688</v>
      </c>
      <c r="BD381" s="29" t="s">
        <v>3687</v>
      </c>
      <c r="BE381" s="37" t="s">
        <v>3791</v>
      </c>
    </row>
    <row r="382" spans="1:57" ht="7.5" customHeight="1" x14ac:dyDescent="0.4">
      <c r="A382" s="35">
        <v>382</v>
      </c>
      <c r="B382" s="57" t="s">
        <v>1571</v>
      </c>
      <c r="C382" s="34" t="s">
        <v>3789</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3792</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3690</v>
      </c>
      <c r="AX382" s="29" t="s">
        <v>3486</v>
      </c>
      <c r="AY382" s="37" t="s">
        <v>3702</v>
      </c>
      <c r="AZ382" s="29" t="s">
        <v>3700</v>
      </c>
      <c r="BA382" s="37" t="s">
        <v>3701</v>
      </c>
      <c r="BB382" s="29" t="s">
        <v>3686</v>
      </c>
      <c r="BC382" s="37" t="s">
        <v>3688</v>
      </c>
      <c r="BD382" s="29" t="s">
        <v>3687</v>
      </c>
      <c r="BE382" s="37" t="s">
        <v>3791</v>
      </c>
    </row>
    <row r="383" spans="1:57" ht="7.5" customHeight="1" x14ac:dyDescent="0.4">
      <c r="A383" s="35">
        <v>383</v>
      </c>
      <c r="B383" s="57" t="s">
        <v>1575</v>
      </c>
      <c r="C383" s="34" t="s">
        <v>3789</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3792</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3690</v>
      </c>
      <c r="AX383" s="29" t="s">
        <v>3486</v>
      </c>
      <c r="AY383" s="37" t="s">
        <v>3702</v>
      </c>
      <c r="AZ383" s="29" t="s">
        <v>3700</v>
      </c>
      <c r="BA383" s="37" t="s">
        <v>3701</v>
      </c>
      <c r="BB383" s="29" t="s">
        <v>3686</v>
      </c>
      <c r="BC383" s="37" t="s">
        <v>3688</v>
      </c>
      <c r="BD383" s="29" t="s">
        <v>3687</v>
      </c>
      <c r="BE383" s="37" t="s">
        <v>3791</v>
      </c>
    </row>
    <row r="384" spans="1:57" ht="7.5" customHeight="1" x14ac:dyDescent="0.4">
      <c r="A384" s="35">
        <v>384</v>
      </c>
      <c r="B384" s="57" t="s">
        <v>1580</v>
      </c>
      <c r="C384" s="34" t="s">
        <v>3789</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3792</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3690</v>
      </c>
      <c r="AX384" s="29" t="s">
        <v>3486</v>
      </c>
      <c r="AY384" s="37" t="s">
        <v>3702</v>
      </c>
      <c r="AZ384" s="29" t="s">
        <v>3700</v>
      </c>
      <c r="BA384" s="37" t="s">
        <v>3701</v>
      </c>
      <c r="BB384" s="29" t="s">
        <v>3686</v>
      </c>
      <c r="BC384" s="37" t="s">
        <v>3688</v>
      </c>
      <c r="BD384" s="29" t="s">
        <v>3687</v>
      </c>
      <c r="BE384" s="37" t="s">
        <v>3791</v>
      </c>
    </row>
    <row r="385" spans="1:57" ht="7.5" customHeight="1" x14ac:dyDescent="0.4">
      <c r="A385" s="35">
        <v>385</v>
      </c>
      <c r="B385" s="57" t="s">
        <v>1584</v>
      </c>
      <c r="C385" s="34" t="s">
        <v>3789</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3792</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3690</v>
      </c>
      <c r="AX385" s="29" t="s">
        <v>3486</v>
      </c>
      <c r="AY385" s="37" t="s">
        <v>3702</v>
      </c>
      <c r="AZ385" s="29" t="s">
        <v>3700</v>
      </c>
      <c r="BA385" s="37" t="s">
        <v>3701</v>
      </c>
      <c r="BB385" s="29" t="s">
        <v>3686</v>
      </c>
      <c r="BC385" s="37" t="s">
        <v>3688</v>
      </c>
      <c r="BD385" s="29" t="s">
        <v>3687</v>
      </c>
      <c r="BE385" s="37" t="s">
        <v>3791</v>
      </c>
    </row>
    <row r="386" spans="1:57" ht="7.5" customHeight="1" x14ac:dyDescent="0.4">
      <c r="A386" s="35">
        <v>386</v>
      </c>
      <c r="B386" s="57" t="s">
        <v>1589</v>
      </c>
      <c r="C386" s="34" t="s">
        <v>3789</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3792</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3690</v>
      </c>
      <c r="AX386" s="29" t="s">
        <v>3486</v>
      </c>
      <c r="AY386" s="37" t="s">
        <v>3702</v>
      </c>
      <c r="AZ386" s="29" t="s">
        <v>3700</v>
      </c>
      <c r="BA386" s="37" t="s">
        <v>3701</v>
      </c>
      <c r="BB386" s="29" t="s">
        <v>3686</v>
      </c>
      <c r="BC386" s="37" t="s">
        <v>3688</v>
      </c>
      <c r="BD386" s="29" t="s">
        <v>3687</v>
      </c>
      <c r="BE386" s="37" t="s">
        <v>3791</v>
      </c>
    </row>
    <row r="387" spans="1:57" ht="7.5" customHeight="1" x14ac:dyDescent="0.4">
      <c r="A387" s="35">
        <v>387</v>
      </c>
      <c r="B387" s="57" t="s">
        <v>1594</v>
      </c>
      <c r="C387" s="34" t="s">
        <v>3789</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3792</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3690</v>
      </c>
      <c r="AX387" s="29" t="s">
        <v>3486</v>
      </c>
      <c r="AY387" s="37" t="s">
        <v>3702</v>
      </c>
      <c r="AZ387" s="29" t="s">
        <v>3700</v>
      </c>
      <c r="BA387" s="37" t="s">
        <v>3701</v>
      </c>
      <c r="BB387" s="29" t="s">
        <v>3686</v>
      </c>
      <c r="BC387" s="37" t="s">
        <v>3688</v>
      </c>
      <c r="BD387" s="29" t="s">
        <v>3687</v>
      </c>
      <c r="BE387" s="37" t="s">
        <v>3791</v>
      </c>
    </row>
    <row r="388" spans="1:57" ht="7.5" customHeight="1" x14ac:dyDescent="0.4">
      <c r="A388" s="35">
        <v>388</v>
      </c>
      <c r="B388" s="57" t="s">
        <v>1599</v>
      </c>
      <c r="C388" s="34" t="s">
        <v>3789</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3792</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3690</v>
      </c>
      <c r="AX388" s="29" t="s">
        <v>3486</v>
      </c>
      <c r="AY388" s="37" t="s">
        <v>3702</v>
      </c>
      <c r="AZ388" s="29" t="s">
        <v>3700</v>
      </c>
      <c r="BA388" s="37" t="s">
        <v>3701</v>
      </c>
      <c r="BB388" s="29" t="s">
        <v>3686</v>
      </c>
      <c r="BC388" s="37" t="s">
        <v>3688</v>
      </c>
      <c r="BD388" s="29" t="s">
        <v>3687</v>
      </c>
      <c r="BE388" s="37" t="s">
        <v>3791</v>
      </c>
    </row>
    <row r="389" spans="1:57" ht="7.5" customHeight="1" x14ac:dyDescent="0.4">
      <c r="A389" s="35">
        <v>389</v>
      </c>
      <c r="B389" s="57" t="s">
        <v>1604</v>
      </c>
      <c r="C389" s="34" t="s">
        <v>3789</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3792</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3690</v>
      </c>
      <c r="AX389" s="29" t="s">
        <v>3486</v>
      </c>
      <c r="AY389" s="37" t="s">
        <v>3702</v>
      </c>
      <c r="AZ389" s="29" t="s">
        <v>3700</v>
      </c>
      <c r="BA389" s="37" t="s">
        <v>3701</v>
      </c>
      <c r="BB389" s="29" t="s">
        <v>3686</v>
      </c>
      <c r="BC389" s="37" t="s">
        <v>3688</v>
      </c>
      <c r="BD389" s="29" t="s">
        <v>3687</v>
      </c>
      <c r="BE389" s="37" t="s">
        <v>3791</v>
      </c>
    </row>
    <row r="390" spans="1:57" ht="7.5" customHeight="1" x14ac:dyDescent="0.4">
      <c r="A390" s="35">
        <v>390</v>
      </c>
      <c r="B390" s="57" t="s">
        <v>1608</v>
      </c>
      <c r="C390" s="34" t="s">
        <v>3789</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3792</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3690</v>
      </c>
      <c r="AX390" s="29" t="s">
        <v>3486</v>
      </c>
      <c r="AY390" s="37" t="s">
        <v>3702</v>
      </c>
      <c r="AZ390" s="29" t="s">
        <v>3700</v>
      </c>
      <c r="BA390" s="37" t="s">
        <v>3701</v>
      </c>
      <c r="BB390" s="29" t="s">
        <v>3686</v>
      </c>
      <c r="BC390" s="37" t="s">
        <v>3688</v>
      </c>
      <c r="BD390" s="29" t="s">
        <v>3687</v>
      </c>
      <c r="BE390" s="37" t="s">
        <v>3791</v>
      </c>
    </row>
    <row r="391" spans="1:57" ht="7.5" customHeight="1" x14ac:dyDescent="0.4">
      <c r="A391" s="35">
        <v>391</v>
      </c>
      <c r="B391" s="57" t="s">
        <v>1612</v>
      </c>
      <c r="C391" s="34" t="s">
        <v>3789</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3792</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3690</v>
      </c>
      <c r="AX391" s="29" t="s">
        <v>3486</v>
      </c>
      <c r="AY391" s="37" t="s">
        <v>3702</v>
      </c>
      <c r="AZ391" s="29" t="s">
        <v>3700</v>
      </c>
      <c r="BA391" s="37" t="s">
        <v>3701</v>
      </c>
      <c r="BB391" s="29" t="s">
        <v>3686</v>
      </c>
      <c r="BC391" s="37" t="s">
        <v>3688</v>
      </c>
      <c r="BD391" s="29" t="s">
        <v>3687</v>
      </c>
      <c r="BE391" s="37" t="s">
        <v>3791</v>
      </c>
    </row>
    <row r="392" spans="1:57" ht="7.5" customHeight="1" x14ac:dyDescent="0.4">
      <c r="A392" s="35">
        <v>392</v>
      </c>
      <c r="B392" s="57" t="s">
        <v>1617</v>
      </c>
      <c r="C392" s="34" t="s">
        <v>3789</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3792</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3690</v>
      </c>
      <c r="AX392" s="29" t="s">
        <v>3486</v>
      </c>
      <c r="AY392" s="37" t="s">
        <v>3702</v>
      </c>
      <c r="AZ392" s="29" t="s">
        <v>3700</v>
      </c>
      <c r="BA392" s="37" t="s">
        <v>3701</v>
      </c>
      <c r="BB392" s="29" t="s">
        <v>3686</v>
      </c>
      <c r="BC392" s="37" t="s">
        <v>3688</v>
      </c>
      <c r="BD392" s="29" t="s">
        <v>3687</v>
      </c>
      <c r="BE392" s="37" t="s">
        <v>3791</v>
      </c>
    </row>
    <row r="393" spans="1:57" ht="7.5" customHeight="1" x14ac:dyDescent="0.4">
      <c r="A393" s="35">
        <v>393</v>
      </c>
      <c r="B393" s="57" t="s">
        <v>1622</v>
      </c>
      <c r="C393" s="34" t="s">
        <v>3789</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3792</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3690</v>
      </c>
      <c r="AX393" s="29" t="s">
        <v>3486</v>
      </c>
      <c r="AY393" s="37" t="s">
        <v>3702</v>
      </c>
      <c r="AZ393" s="29" t="s">
        <v>3700</v>
      </c>
      <c r="BA393" s="37" t="s">
        <v>3701</v>
      </c>
      <c r="BB393" s="29" t="s">
        <v>3686</v>
      </c>
      <c r="BC393" s="37" t="s">
        <v>3688</v>
      </c>
      <c r="BD393" s="29" t="s">
        <v>3687</v>
      </c>
      <c r="BE393" s="37" t="s">
        <v>3791</v>
      </c>
    </row>
    <row r="394" spans="1:57" ht="7.5" customHeight="1" x14ac:dyDescent="0.4">
      <c r="A394" s="35">
        <v>394</v>
      </c>
      <c r="B394" s="57" t="s">
        <v>1627</v>
      </c>
      <c r="C394" s="34" t="s">
        <v>3789</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3792</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3690</v>
      </c>
      <c r="AX394" s="29" t="s">
        <v>3486</v>
      </c>
      <c r="AY394" s="37" t="s">
        <v>3702</v>
      </c>
      <c r="AZ394" s="29" t="s">
        <v>3700</v>
      </c>
      <c r="BA394" s="37" t="s">
        <v>3701</v>
      </c>
      <c r="BB394" s="29" t="s">
        <v>3686</v>
      </c>
      <c r="BC394" s="37" t="s">
        <v>3688</v>
      </c>
      <c r="BD394" s="29" t="s">
        <v>3687</v>
      </c>
      <c r="BE394" s="37" t="s">
        <v>3791</v>
      </c>
    </row>
    <row r="395" spans="1:57" ht="7.5" customHeight="1" x14ac:dyDescent="0.4">
      <c r="A395" s="35">
        <v>395</v>
      </c>
      <c r="B395" s="57" t="s">
        <v>1630</v>
      </c>
      <c r="C395" s="34" t="s">
        <v>3789</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3792</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3690</v>
      </c>
      <c r="AX395" s="29" t="s">
        <v>3486</v>
      </c>
      <c r="AY395" s="37" t="s">
        <v>3702</v>
      </c>
      <c r="AZ395" s="29" t="s">
        <v>3700</v>
      </c>
      <c r="BA395" s="37" t="s">
        <v>3701</v>
      </c>
      <c r="BB395" s="29" t="s">
        <v>3686</v>
      </c>
      <c r="BC395" s="37" t="s">
        <v>3688</v>
      </c>
      <c r="BD395" s="29" t="s">
        <v>3687</v>
      </c>
      <c r="BE395" s="37" t="s">
        <v>3791</v>
      </c>
    </row>
    <row r="396" spans="1:57" ht="7.5" customHeight="1" x14ac:dyDescent="0.4">
      <c r="A396" s="35">
        <v>396</v>
      </c>
      <c r="B396" s="57" t="s">
        <v>1634</v>
      </c>
      <c r="C396" s="34" t="s">
        <v>3789</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3792</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3690</v>
      </c>
      <c r="AX396" s="29" t="s">
        <v>3486</v>
      </c>
      <c r="AY396" s="37" t="s">
        <v>3702</v>
      </c>
      <c r="AZ396" s="29" t="s">
        <v>3700</v>
      </c>
      <c r="BA396" s="37" t="s">
        <v>3701</v>
      </c>
      <c r="BB396" s="29" t="s">
        <v>3686</v>
      </c>
      <c r="BC396" s="37" t="s">
        <v>3688</v>
      </c>
      <c r="BD396" s="29" t="s">
        <v>3687</v>
      </c>
      <c r="BE396" s="37" t="s">
        <v>3791</v>
      </c>
    </row>
    <row r="397" spans="1:57" ht="7.5" customHeight="1" x14ac:dyDescent="0.4">
      <c r="A397" s="35">
        <v>397</v>
      </c>
      <c r="B397" s="57" t="s">
        <v>1638</v>
      </c>
      <c r="C397" s="34" t="s">
        <v>3789</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3792</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3690</v>
      </c>
      <c r="AX397" s="29" t="s">
        <v>3486</v>
      </c>
      <c r="AY397" s="37" t="s">
        <v>3702</v>
      </c>
      <c r="AZ397" s="29" t="s">
        <v>3700</v>
      </c>
      <c r="BA397" s="37" t="s">
        <v>3701</v>
      </c>
      <c r="BB397" s="29" t="s">
        <v>3686</v>
      </c>
      <c r="BC397" s="37" t="s">
        <v>3688</v>
      </c>
      <c r="BD397" s="29" t="s">
        <v>3687</v>
      </c>
      <c r="BE397" s="37" t="s">
        <v>3791</v>
      </c>
    </row>
    <row r="398" spans="1:57" ht="7.5" customHeight="1" x14ac:dyDescent="0.4">
      <c r="A398" s="35">
        <v>398</v>
      </c>
      <c r="B398" s="57" t="s">
        <v>1642</v>
      </c>
      <c r="C398" s="34" t="s">
        <v>3789</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3792</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3690</v>
      </c>
      <c r="AX398" s="29" t="s">
        <v>3486</v>
      </c>
      <c r="AY398" s="37" t="s">
        <v>3702</v>
      </c>
      <c r="AZ398" s="29" t="s">
        <v>3700</v>
      </c>
      <c r="BA398" s="37" t="s">
        <v>3701</v>
      </c>
      <c r="BB398" s="29" t="s">
        <v>3686</v>
      </c>
      <c r="BC398" s="37" t="s">
        <v>3688</v>
      </c>
      <c r="BD398" s="29" t="s">
        <v>3687</v>
      </c>
      <c r="BE398" s="37" t="s">
        <v>3791</v>
      </c>
    </row>
    <row r="399" spans="1:57" ht="7.5" customHeight="1" x14ac:dyDescent="0.4">
      <c r="A399" s="35">
        <v>399</v>
      </c>
      <c r="B399" s="57" t="s">
        <v>1646</v>
      </c>
      <c r="C399" s="34" t="s">
        <v>3789</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3792</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3690</v>
      </c>
      <c r="AX399" s="29" t="s">
        <v>3486</v>
      </c>
      <c r="AY399" s="37" t="s">
        <v>3702</v>
      </c>
      <c r="AZ399" s="29" t="s">
        <v>3700</v>
      </c>
      <c r="BA399" s="37" t="s">
        <v>3701</v>
      </c>
      <c r="BB399" s="29" t="s">
        <v>3686</v>
      </c>
      <c r="BC399" s="37" t="s">
        <v>3688</v>
      </c>
      <c r="BD399" s="29" t="s">
        <v>3687</v>
      </c>
      <c r="BE399" s="37" t="s">
        <v>3791</v>
      </c>
    </row>
    <row r="400" spans="1:57" ht="7.5" customHeight="1" x14ac:dyDescent="0.4">
      <c r="A400" s="35">
        <v>400</v>
      </c>
      <c r="B400" s="57" t="s">
        <v>1651</v>
      </c>
      <c r="C400" s="34" t="s">
        <v>3789</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3792</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3690</v>
      </c>
      <c r="AX400" s="29" t="s">
        <v>3486</v>
      </c>
      <c r="AY400" s="37" t="s">
        <v>3702</v>
      </c>
      <c r="AZ400" s="29" t="s">
        <v>3700</v>
      </c>
      <c r="BA400" s="37" t="s">
        <v>3701</v>
      </c>
      <c r="BB400" s="29" t="s">
        <v>3686</v>
      </c>
      <c r="BC400" s="37" t="s">
        <v>3688</v>
      </c>
      <c r="BD400" s="29" t="s">
        <v>3687</v>
      </c>
      <c r="BE400" s="37" t="s">
        <v>3791</v>
      </c>
    </row>
    <row r="401" spans="1:57" ht="7.5" customHeight="1" x14ac:dyDescent="0.4">
      <c r="A401" s="35">
        <v>401</v>
      </c>
      <c r="B401" s="57" t="s">
        <v>1654</v>
      </c>
      <c r="C401" s="34" t="s">
        <v>3789</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3792</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3690</v>
      </c>
      <c r="AX401" s="29" t="s">
        <v>3486</v>
      </c>
      <c r="AY401" s="37" t="s">
        <v>3702</v>
      </c>
      <c r="AZ401" s="29" t="s">
        <v>3700</v>
      </c>
      <c r="BA401" s="37" t="s">
        <v>3701</v>
      </c>
      <c r="BB401" s="29" t="s">
        <v>3686</v>
      </c>
      <c r="BC401" s="37" t="s">
        <v>3688</v>
      </c>
      <c r="BD401" s="29" t="s">
        <v>3687</v>
      </c>
      <c r="BE401" s="37" t="s">
        <v>3791</v>
      </c>
    </row>
    <row r="402" spans="1:57" ht="7.5" customHeight="1" x14ac:dyDescent="0.4">
      <c r="A402" s="35">
        <v>402</v>
      </c>
      <c r="B402" s="57" t="s">
        <v>1658</v>
      </c>
      <c r="C402" s="34" t="s">
        <v>3789</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3792</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3690</v>
      </c>
      <c r="AX402" s="29" t="s">
        <v>3486</v>
      </c>
      <c r="AY402" s="37" t="s">
        <v>3702</v>
      </c>
      <c r="AZ402" s="29" t="s">
        <v>3700</v>
      </c>
      <c r="BA402" s="37" t="s">
        <v>3701</v>
      </c>
      <c r="BB402" s="29" t="s">
        <v>3686</v>
      </c>
      <c r="BC402" s="37" t="s">
        <v>3688</v>
      </c>
      <c r="BD402" s="29" t="s">
        <v>3687</v>
      </c>
      <c r="BE402" s="37" t="s">
        <v>3791</v>
      </c>
    </row>
    <row r="403" spans="1:57" ht="7.5" customHeight="1" x14ac:dyDescent="0.4">
      <c r="A403" s="35">
        <v>403</v>
      </c>
      <c r="B403" s="57" t="s">
        <v>1662</v>
      </c>
      <c r="C403" s="34" t="s">
        <v>3789</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3792</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3690</v>
      </c>
      <c r="AX403" s="29" t="s">
        <v>3486</v>
      </c>
      <c r="AY403" s="37" t="s">
        <v>3702</v>
      </c>
      <c r="AZ403" s="29" t="s">
        <v>3700</v>
      </c>
      <c r="BA403" s="37" t="s">
        <v>3701</v>
      </c>
      <c r="BB403" s="29" t="s">
        <v>3686</v>
      </c>
      <c r="BC403" s="37" t="s">
        <v>3688</v>
      </c>
      <c r="BD403" s="29" t="s">
        <v>3687</v>
      </c>
      <c r="BE403" s="37" t="s">
        <v>3791</v>
      </c>
    </row>
    <row r="404" spans="1:57" ht="7.5" customHeight="1" x14ac:dyDescent="0.4">
      <c r="A404" s="35">
        <v>404</v>
      </c>
      <c r="B404" s="57" t="s">
        <v>1666</v>
      </c>
      <c r="C404" s="34" t="s">
        <v>3789</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3792</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3690</v>
      </c>
      <c r="AX404" s="29" t="s">
        <v>3486</v>
      </c>
      <c r="AY404" s="37" t="s">
        <v>3702</v>
      </c>
      <c r="AZ404" s="29" t="s">
        <v>3700</v>
      </c>
      <c r="BA404" s="37" t="s">
        <v>3701</v>
      </c>
      <c r="BB404" s="29" t="s">
        <v>3686</v>
      </c>
      <c r="BC404" s="37" t="s">
        <v>3688</v>
      </c>
      <c r="BD404" s="29" t="s">
        <v>3687</v>
      </c>
      <c r="BE404" s="37" t="s">
        <v>3791</v>
      </c>
    </row>
    <row r="405" spans="1:57" ht="7.5" customHeight="1" x14ac:dyDescent="0.4">
      <c r="A405" s="35">
        <v>405</v>
      </c>
      <c r="B405" s="57" t="s">
        <v>1671</v>
      </c>
      <c r="C405" s="34" t="s">
        <v>3789</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3792</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3690</v>
      </c>
      <c r="AX405" s="29" t="s">
        <v>3486</v>
      </c>
      <c r="AY405" s="37" t="s">
        <v>3702</v>
      </c>
      <c r="AZ405" s="29" t="s">
        <v>3700</v>
      </c>
      <c r="BA405" s="37" t="s">
        <v>3701</v>
      </c>
      <c r="BB405" s="29" t="s">
        <v>3686</v>
      </c>
      <c r="BC405" s="37" t="s">
        <v>3688</v>
      </c>
      <c r="BD405" s="29" t="s">
        <v>3687</v>
      </c>
      <c r="BE405" s="37" t="s">
        <v>3791</v>
      </c>
    </row>
    <row r="406" spans="1:57" ht="7.5" customHeight="1" x14ac:dyDescent="0.4">
      <c r="A406" s="35">
        <v>406</v>
      </c>
      <c r="B406" s="57" t="s">
        <v>1675</v>
      </c>
      <c r="C406" s="34" t="s">
        <v>3789</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3792</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3690</v>
      </c>
      <c r="AX406" s="29" t="s">
        <v>3486</v>
      </c>
      <c r="AY406" s="37" t="s">
        <v>3702</v>
      </c>
      <c r="AZ406" s="29" t="s">
        <v>3700</v>
      </c>
      <c r="BA406" s="37" t="s">
        <v>3701</v>
      </c>
      <c r="BB406" s="29" t="s">
        <v>3686</v>
      </c>
      <c r="BC406" s="37" t="s">
        <v>3688</v>
      </c>
      <c r="BD406" s="29" t="s">
        <v>3687</v>
      </c>
      <c r="BE406" s="37" t="s">
        <v>3791</v>
      </c>
    </row>
    <row r="407" spans="1:57" ht="7.5" customHeight="1" x14ac:dyDescent="0.4">
      <c r="A407" s="35">
        <v>407</v>
      </c>
      <c r="B407" s="57" t="s">
        <v>1680</v>
      </c>
      <c r="C407" s="34" t="s">
        <v>3789</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3792</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3690</v>
      </c>
      <c r="AX407" s="29" t="s">
        <v>3486</v>
      </c>
      <c r="AY407" s="37" t="s">
        <v>3702</v>
      </c>
      <c r="AZ407" s="29" t="s">
        <v>3700</v>
      </c>
      <c r="BA407" s="37" t="s">
        <v>3701</v>
      </c>
      <c r="BB407" s="29" t="s">
        <v>3686</v>
      </c>
      <c r="BC407" s="37" t="s">
        <v>3688</v>
      </c>
      <c r="BD407" s="29" t="s">
        <v>3687</v>
      </c>
      <c r="BE407" s="37" t="s">
        <v>3791</v>
      </c>
    </row>
    <row r="408" spans="1:57" ht="7.5" customHeight="1" x14ac:dyDescent="0.4">
      <c r="A408" s="35">
        <v>408</v>
      </c>
      <c r="B408" s="57" t="s">
        <v>1685</v>
      </c>
      <c r="C408" s="34" t="s">
        <v>3789</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3792</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3690</v>
      </c>
      <c r="AX408" s="29" t="s">
        <v>3486</v>
      </c>
      <c r="AY408" s="37" t="s">
        <v>3702</v>
      </c>
      <c r="AZ408" s="29" t="s">
        <v>3700</v>
      </c>
      <c r="BA408" s="37" t="s">
        <v>3701</v>
      </c>
      <c r="BB408" s="29" t="s">
        <v>3686</v>
      </c>
      <c r="BC408" s="37" t="s">
        <v>3688</v>
      </c>
      <c r="BD408" s="29" t="s">
        <v>3687</v>
      </c>
      <c r="BE408" s="37" t="s">
        <v>3791</v>
      </c>
    </row>
    <row r="409" spans="1:57" ht="7.5" customHeight="1" x14ac:dyDescent="0.4">
      <c r="A409" s="35">
        <v>409</v>
      </c>
      <c r="B409" s="57" t="s">
        <v>1689</v>
      </c>
      <c r="C409" s="34" t="s">
        <v>3789</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3792</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3690</v>
      </c>
      <c r="AX409" s="29" t="s">
        <v>3486</v>
      </c>
      <c r="AY409" s="37" t="s">
        <v>3702</v>
      </c>
      <c r="AZ409" s="29" t="s">
        <v>3700</v>
      </c>
      <c r="BA409" s="37" t="s">
        <v>3701</v>
      </c>
      <c r="BB409" s="29" t="s">
        <v>3686</v>
      </c>
      <c r="BC409" s="37" t="s">
        <v>3688</v>
      </c>
      <c r="BD409" s="29" t="s">
        <v>3687</v>
      </c>
      <c r="BE409" s="37" t="s">
        <v>3791</v>
      </c>
    </row>
    <row r="410" spans="1:57" ht="7.5" customHeight="1" x14ac:dyDescent="0.4">
      <c r="A410" s="35">
        <v>410</v>
      </c>
      <c r="B410" s="57" t="s">
        <v>1693</v>
      </c>
      <c r="C410" s="34" t="s">
        <v>3789</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3792</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3690</v>
      </c>
      <c r="AX410" s="29" t="s">
        <v>3486</v>
      </c>
      <c r="AY410" s="37" t="s">
        <v>3702</v>
      </c>
      <c r="AZ410" s="29" t="s">
        <v>3700</v>
      </c>
      <c r="BA410" s="37" t="s">
        <v>3701</v>
      </c>
      <c r="BB410" s="29" t="s">
        <v>3686</v>
      </c>
      <c r="BC410" s="37" t="s">
        <v>3688</v>
      </c>
      <c r="BD410" s="29" t="s">
        <v>3687</v>
      </c>
      <c r="BE410" s="37" t="s">
        <v>3791</v>
      </c>
    </row>
    <row r="411" spans="1:57" ht="7.5" customHeight="1" x14ac:dyDescent="0.4">
      <c r="A411" s="35">
        <v>411</v>
      </c>
      <c r="B411" s="57" t="s">
        <v>1698</v>
      </c>
      <c r="C411" s="34" t="s">
        <v>3789</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3792</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3690</v>
      </c>
      <c r="AX411" s="29" t="s">
        <v>3486</v>
      </c>
      <c r="AY411" s="37" t="s">
        <v>3702</v>
      </c>
      <c r="AZ411" s="29" t="s">
        <v>3700</v>
      </c>
      <c r="BA411" s="37" t="s">
        <v>3701</v>
      </c>
      <c r="BB411" s="29" t="s">
        <v>3686</v>
      </c>
      <c r="BC411" s="37" t="s">
        <v>3688</v>
      </c>
      <c r="BD411" s="29" t="s">
        <v>3687</v>
      </c>
      <c r="BE411" s="37" t="s">
        <v>3791</v>
      </c>
    </row>
    <row r="412" spans="1:57" ht="7.5" customHeight="1" x14ac:dyDescent="0.4">
      <c r="A412" s="35">
        <v>412</v>
      </c>
      <c r="B412" s="57" t="s">
        <v>1703</v>
      </c>
      <c r="C412" s="34" t="s">
        <v>3789</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3792</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3690</v>
      </c>
      <c r="AX412" s="29" t="s">
        <v>3486</v>
      </c>
      <c r="AY412" s="37" t="s">
        <v>3702</v>
      </c>
      <c r="AZ412" s="29" t="s">
        <v>3700</v>
      </c>
      <c r="BA412" s="37" t="s">
        <v>3701</v>
      </c>
      <c r="BB412" s="29" t="s">
        <v>3686</v>
      </c>
      <c r="BC412" s="37" t="s">
        <v>3688</v>
      </c>
      <c r="BD412" s="29" t="s">
        <v>3687</v>
      </c>
      <c r="BE412" s="37" t="s">
        <v>3791</v>
      </c>
    </row>
    <row r="413" spans="1:57" ht="7.5" customHeight="1" x14ac:dyDescent="0.4">
      <c r="A413" s="35">
        <v>413</v>
      </c>
      <c r="B413" s="57" t="s">
        <v>1708</v>
      </c>
      <c r="C413" s="34" t="s">
        <v>3789</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3792</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3690</v>
      </c>
      <c r="AX413" s="29" t="s">
        <v>3486</v>
      </c>
      <c r="AY413" s="37" t="s">
        <v>3702</v>
      </c>
      <c r="AZ413" s="29" t="s">
        <v>3700</v>
      </c>
      <c r="BA413" s="37" t="s">
        <v>3701</v>
      </c>
      <c r="BB413" s="29" t="s">
        <v>3686</v>
      </c>
      <c r="BC413" s="37" t="s">
        <v>3688</v>
      </c>
      <c r="BD413" s="29" t="s">
        <v>3687</v>
      </c>
      <c r="BE413" s="37" t="s">
        <v>3791</v>
      </c>
    </row>
    <row r="414" spans="1:57" ht="7.5" customHeight="1" x14ac:dyDescent="0.4">
      <c r="A414" s="35">
        <v>414</v>
      </c>
      <c r="B414" s="57" t="s">
        <v>1712</v>
      </c>
      <c r="C414" s="34" t="s">
        <v>3789</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3792</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3690</v>
      </c>
      <c r="AX414" s="29" t="s">
        <v>3486</v>
      </c>
      <c r="AY414" s="37" t="s">
        <v>3702</v>
      </c>
      <c r="AZ414" s="29" t="s">
        <v>3700</v>
      </c>
      <c r="BA414" s="37" t="s">
        <v>3701</v>
      </c>
      <c r="BB414" s="29" t="s">
        <v>3686</v>
      </c>
      <c r="BC414" s="37" t="s">
        <v>3688</v>
      </c>
      <c r="BD414" s="29" t="s">
        <v>3687</v>
      </c>
      <c r="BE414" s="37" t="s">
        <v>3791</v>
      </c>
    </row>
    <row r="415" spans="1:57" ht="7.5" customHeight="1" x14ac:dyDescent="0.4">
      <c r="A415" s="35">
        <v>415</v>
      </c>
      <c r="B415" s="57" t="s">
        <v>1717</v>
      </c>
      <c r="C415" s="34" t="s">
        <v>3789</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3792</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3690</v>
      </c>
      <c r="AX415" s="29" t="s">
        <v>3486</v>
      </c>
      <c r="AY415" s="37" t="s">
        <v>3702</v>
      </c>
      <c r="AZ415" s="29" t="s">
        <v>3700</v>
      </c>
      <c r="BA415" s="37" t="s">
        <v>3701</v>
      </c>
      <c r="BB415" s="29" t="s">
        <v>3686</v>
      </c>
      <c r="BC415" s="37" t="s">
        <v>3688</v>
      </c>
      <c r="BD415" s="29" t="s">
        <v>3687</v>
      </c>
      <c r="BE415" s="37" t="s">
        <v>3791</v>
      </c>
    </row>
    <row r="416" spans="1:57" ht="7.5" customHeight="1" x14ac:dyDescent="0.4">
      <c r="A416" s="35">
        <v>416</v>
      </c>
      <c r="B416" s="57" t="s">
        <v>1722</v>
      </c>
      <c r="C416" s="34" t="s">
        <v>3789</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3792</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3690</v>
      </c>
      <c r="AX416" s="29" t="s">
        <v>3486</v>
      </c>
      <c r="AY416" s="37" t="s">
        <v>3702</v>
      </c>
      <c r="AZ416" s="29" t="s">
        <v>3700</v>
      </c>
      <c r="BA416" s="37" t="s">
        <v>3701</v>
      </c>
      <c r="BB416" s="29" t="s">
        <v>3686</v>
      </c>
      <c r="BC416" s="37" t="s">
        <v>3688</v>
      </c>
      <c r="BD416" s="29" t="s">
        <v>3687</v>
      </c>
      <c r="BE416" s="37" t="s">
        <v>3791</v>
      </c>
    </row>
    <row r="417" spans="1:57" ht="7.5" customHeight="1" x14ac:dyDescent="0.4">
      <c r="A417" s="35">
        <v>417</v>
      </c>
      <c r="B417" s="57" t="s">
        <v>1727</v>
      </c>
      <c r="C417" s="34" t="s">
        <v>3789</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3792</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3690</v>
      </c>
      <c r="AX417" s="29" t="s">
        <v>3486</v>
      </c>
      <c r="AY417" s="37" t="s">
        <v>3702</v>
      </c>
      <c r="AZ417" s="29" t="s">
        <v>3700</v>
      </c>
      <c r="BA417" s="37" t="s">
        <v>3701</v>
      </c>
      <c r="BB417" s="29" t="s">
        <v>3686</v>
      </c>
      <c r="BC417" s="37" t="s">
        <v>3688</v>
      </c>
      <c r="BD417" s="29" t="s">
        <v>3687</v>
      </c>
      <c r="BE417" s="37" t="s">
        <v>3791</v>
      </c>
    </row>
    <row r="418" spans="1:57" ht="7.5" customHeight="1" x14ac:dyDescent="0.4">
      <c r="A418" s="35">
        <v>418</v>
      </c>
      <c r="B418" s="57" t="s">
        <v>1731</v>
      </c>
      <c r="C418" s="34" t="s">
        <v>3789</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3792</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3690</v>
      </c>
      <c r="AX418" s="29" t="s">
        <v>3486</v>
      </c>
      <c r="AY418" s="37" t="s">
        <v>3702</v>
      </c>
      <c r="AZ418" s="29" t="s">
        <v>3700</v>
      </c>
      <c r="BA418" s="37" t="s">
        <v>3701</v>
      </c>
      <c r="BB418" s="29" t="s">
        <v>3686</v>
      </c>
      <c r="BC418" s="37" t="s">
        <v>3688</v>
      </c>
      <c r="BD418" s="29" t="s">
        <v>3687</v>
      </c>
      <c r="BE418" s="37" t="s">
        <v>3791</v>
      </c>
    </row>
    <row r="419" spans="1:57" ht="7.5" customHeight="1" x14ac:dyDescent="0.4">
      <c r="A419" s="35">
        <v>419</v>
      </c>
      <c r="B419" s="57" t="s">
        <v>1735</v>
      </c>
      <c r="C419" s="34" t="s">
        <v>3789</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3792</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3690</v>
      </c>
      <c r="AX419" s="29" t="s">
        <v>3486</v>
      </c>
      <c r="AY419" s="37" t="s">
        <v>3702</v>
      </c>
      <c r="AZ419" s="29" t="s">
        <v>3700</v>
      </c>
      <c r="BA419" s="37" t="s">
        <v>3701</v>
      </c>
      <c r="BB419" s="29" t="s">
        <v>3686</v>
      </c>
      <c r="BC419" s="37" t="s">
        <v>3688</v>
      </c>
      <c r="BD419" s="29" t="s">
        <v>3687</v>
      </c>
      <c r="BE419" s="37" t="s">
        <v>3791</v>
      </c>
    </row>
    <row r="420" spans="1:57" ht="7.5" customHeight="1" x14ac:dyDescent="0.4">
      <c r="A420" s="35">
        <v>420</v>
      </c>
      <c r="B420" s="57" t="s">
        <v>1739</v>
      </c>
      <c r="C420" s="34" t="s">
        <v>3789</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3792</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3690</v>
      </c>
      <c r="AX420" s="29" t="s">
        <v>3486</v>
      </c>
      <c r="AY420" s="37" t="s">
        <v>3702</v>
      </c>
      <c r="AZ420" s="29" t="s">
        <v>3700</v>
      </c>
      <c r="BA420" s="37" t="s">
        <v>3701</v>
      </c>
      <c r="BB420" s="29" t="s">
        <v>3686</v>
      </c>
      <c r="BC420" s="37" t="s">
        <v>3688</v>
      </c>
      <c r="BD420" s="29" t="s">
        <v>3687</v>
      </c>
      <c r="BE420" s="37" t="s">
        <v>3791</v>
      </c>
    </row>
    <row r="421" spans="1:57" ht="7.5" customHeight="1" x14ac:dyDescent="0.4">
      <c r="A421" s="35">
        <v>421</v>
      </c>
      <c r="B421" s="57" t="s">
        <v>1743</v>
      </c>
      <c r="C421" s="34" t="s">
        <v>3789</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3792</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3690</v>
      </c>
      <c r="AX421" s="29" t="s">
        <v>3486</v>
      </c>
      <c r="AY421" s="37" t="s">
        <v>3702</v>
      </c>
      <c r="AZ421" s="29" t="s">
        <v>3700</v>
      </c>
      <c r="BA421" s="37" t="s">
        <v>3701</v>
      </c>
      <c r="BB421" s="29" t="s">
        <v>3686</v>
      </c>
      <c r="BC421" s="37" t="s">
        <v>3688</v>
      </c>
      <c r="BD421" s="29" t="s">
        <v>3687</v>
      </c>
      <c r="BE421" s="37" t="s">
        <v>3791</v>
      </c>
    </row>
    <row r="422" spans="1:57" ht="7.5" customHeight="1" x14ac:dyDescent="0.4">
      <c r="A422" s="35">
        <v>422</v>
      </c>
      <c r="B422" s="57" t="s">
        <v>1746</v>
      </c>
      <c r="C422" s="34" t="s">
        <v>3789</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3792</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3690</v>
      </c>
      <c r="AX422" s="29" t="s">
        <v>3486</v>
      </c>
      <c r="AY422" s="37" t="s">
        <v>3702</v>
      </c>
      <c r="AZ422" s="29" t="s">
        <v>3700</v>
      </c>
      <c r="BA422" s="37" t="s">
        <v>3701</v>
      </c>
      <c r="BB422" s="29" t="s">
        <v>3686</v>
      </c>
      <c r="BC422" s="37" t="s">
        <v>3688</v>
      </c>
      <c r="BD422" s="29" t="s">
        <v>3687</v>
      </c>
      <c r="BE422" s="37" t="s">
        <v>3791</v>
      </c>
    </row>
    <row r="423" spans="1:57" ht="7.5" customHeight="1" x14ac:dyDescent="0.4">
      <c r="A423" s="35">
        <v>423</v>
      </c>
      <c r="B423" s="57" t="s">
        <v>1750</v>
      </c>
      <c r="C423" s="34" t="s">
        <v>3789</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3792</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3690</v>
      </c>
      <c r="AX423" s="29" t="s">
        <v>3486</v>
      </c>
      <c r="AY423" s="37" t="s">
        <v>3702</v>
      </c>
      <c r="AZ423" s="29" t="s">
        <v>3700</v>
      </c>
      <c r="BA423" s="37" t="s">
        <v>3701</v>
      </c>
      <c r="BB423" s="29" t="s">
        <v>3686</v>
      </c>
      <c r="BC423" s="37" t="s">
        <v>3688</v>
      </c>
      <c r="BD423" s="29" t="s">
        <v>3687</v>
      </c>
      <c r="BE423" s="37" t="s">
        <v>3791</v>
      </c>
    </row>
    <row r="424" spans="1:57" ht="7.5" customHeight="1" x14ac:dyDescent="0.4">
      <c r="A424" s="35">
        <v>424</v>
      </c>
      <c r="B424" s="57" t="s">
        <v>1755</v>
      </c>
      <c r="C424" s="34" t="s">
        <v>3789</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3792</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3690</v>
      </c>
      <c r="AX424" s="29" t="s">
        <v>3486</v>
      </c>
      <c r="AY424" s="37" t="s">
        <v>3702</v>
      </c>
      <c r="AZ424" s="29" t="s">
        <v>3700</v>
      </c>
      <c r="BA424" s="37" t="s">
        <v>3701</v>
      </c>
      <c r="BB424" s="29" t="s">
        <v>3686</v>
      </c>
      <c r="BC424" s="37" t="s">
        <v>3688</v>
      </c>
      <c r="BD424" s="29" t="s">
        <v>3687</v>
      </c>
      <c r="BE424" s="37" t="s">
        <v>3791</v>
      </c>
    </row>
    <row r="425" spans="1:57" ht="7.5" customHeight="1" x14ac:dyDescent="0.4">
      <c r="A425" s="35">
        <v>425</v>
      </c>
      <c r="B425" s="57" t="s">
        <v>1759</v>
      </c>
      <c r="C425" s="34" t="s">
        <v>3789</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3792</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3690</v>
      </c>
      <c r="AX425" s="29" t="s">
        <v>3486</v>
      </c>
      <c r="AY425" s="37" t="s">
        <v>3702</v>
      </c>
      <c r="AZ425" s="29" t="s">
        <v>3700</v>
      </c>
      <c r="BA425" s="37" t="s">
        <v>3701</v>
      </c>
      <c r="BB425" s="29" t="s">
        <v>3686</v>
      </c>
      <c r="BC425" s="37" t="s">
        <v>3688</v>
      </c>
      <c r="BD425" s="29" t="s">
        <v>3687</v>
      </c>
      <c r="BE425" s="37" t="s">
        <v>3791</v>
      </c>
    </row>
    <row r="426" spans="1:57" ht="7.5" customHeight="1" x14ac:dyDescent="0.4">
      <c r="A426" s="35">
        <v>426</v>
      </c>
      <c r="B426" s="57" t="s">
        <v>1764</v>
      </c>
      <c r="C426" s="34" t="s">
        <v>3789</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3792</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3690</v>
      </c>
      <c r="AX426" s="29" t="s">
        <v>3486</v>
      </c>
      <c r="AY426" s="37" t="s">
        <v>3702</v>
      </c>
      <c r="AZ426" s="29" t="s">
        <v>3700</v>
      </c>
      <c r="BA426" s="37" t="s">
        <v>3701</v>
      </c>
      <c r="BB426" s="29" t="s">
        <v>3686</v>
      </c>
      <c r="BC426" s="37" t="s">
        <v>3688</v>
      </c>
      <c r="BD426" s="29" t="s">
        <v>3687</v>
      </c>
      <c r="BE426" s="37" t="s">
        <v>3791</v>
      </c>
    </row>
    <row r="427" spans="1:57" ht="7.5" customHeight="1" x14ac:dyDescent="0.4">
      <c r="A427" s="35">
        <v>427</v>
      </c>
      <c r="B427" s="57" t="s">
        <v>1768</v>
      </c>
      <c r="C427" s="34" t="s">
        <v>3789</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3792</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3690</v>
      </c>
      <c r="AX427" s="29" t="s">
        <v>3486</v>
      </c>
      <c r="AY427" s="37" t="s">
        <v>3702</v>
      </c>
      <c r="AZ427" s="29" t="s">
        <v>3700</v>
      </c>
      <c r="BA427" s="37" t="s">
        <v>3701</v>
      </c>
      <c r="BB427" s="29" t="s">
        <v>3686</v>
      </c>
      <c r="BC427" s="37" t="s">
        <v>3688</v>
      </c>
      <c r="BD427" s="29" t="s">
        <v>3687</v>
      </c>
      <c r="BE427" s="37" t="s">
        <v>3791</v>
      </c>
    </row>
    <row r="428" spans="1:57" ht="7.5" customHeight="1" x14ac:dyDescent="0.4">
      <c r="A428" s="35">
        <v>428</v>
      </c>
      <c r="B428" s="57" t="s">
        <v>1772</v>
      </c>
      <c r="C428" s="34" t="s">
        <v>3789</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3792</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3690</v>
      </c>
      <c r="AX428" s="29" t="s">
        <v>3486</v>
      </c>
      <c r="AY428" s="37" t="s">
        <v>3702</v>
      </c>
      <c r="AZ428" s="29" t="s">
        <v>3700</v>
      </c>
      <c r="BA428" s="37" t="s">
        <v>3701</v>
      </c>
      <c r="BB428" s="29" t="s">
        <v>3686</v>
      </c>
      <c r="BC428" s="37" t="s">
        <v>3688</v>
      </c>
      <c r="BD428" s="29" t="s">
        <v>3687</v>
      </c>
      <c r="BE428" s="37" t="s">
        <v>3791</v>
      </c>
    </row>
    <row r="429" spans="1:57" ht="7.5" customHeight="1" x14ac:dyDescent="0.4">
      <c r="A429" s="35">
        <v>429</v>
      </c>
      <c r="B429" s="57" t="s">
        <v>1777</v>
      </c>
      <c r="C429" s="34" t="s">
        <v>3789</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3792</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3690</v>
      </c>
      <c r="AX429" s="29" t="s">
        <v>3486</v>
      </c>
      <c r="AY429" s="37" t="s">
        <v>3702</v>
      </c>
      <c r="AZ429" s="29" t="s">
        <v>3700</v>
      </c>
      <c r="BA429" s="37" t="s">
        <v>3701</v>
      </c>
      <c r="BB429" s="29" t="s">
        <v>3686</v>
      </c>
      <c r="BC429" s="37" t="s">
        <v>3688</v>
      </c>
      <c r="BD429" s="29" t="s">
        <v>3687</v>
      </c>
      <c r="BE429" s="37" t="s">
        <v>3791</v>
      </c>
    </row>
    <row r="430" spans="1:57" ht="7.5" customHeight="1" x14ac:dyDescent="0.4">
      <c r="A430" s="35">
        <v>430</v>
      </c>
      <c r="B430" s="57" t="s">
        <v>1782</v>
      </c>
      <c r="C430" s="34" t="s">
        <v>3789</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3792</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3690</v>
      </c>
      <c r="AX430" s="29" t="s">
        <v>3486</v>
      </c>
      <c r="AY430" s="37" t="s">
        <v>3702</v>
      </c>
      <c r="AZ430" s="29" t="s">
        <v>3700</v>
      </c>
      <c r="BA430" s="37" t="s">
        <v>3701</v>
      </c>
      <c r="BB430" s="29" t="s">
        <v>3686</v>
      </c>
      <c r="BC430" s="37" t="s">
        <v>3688</v>
      </c>
      <c r="BD430" s="29" t="s">
        <v>3687</v>
      </c>
      <c r="BE430" s="37" t="s">
        <v>3791</v>
      </c>
    </row>
    <row r="431" spans="1:57" ht="7.5" customHeight="1" x14ac:dyDescent="0.4">
      <c r="A431" s="35">
        <v>431</v>
      </c>
      <c r="B431" s="57" t="s">
        <v>1787</v>
      </c>
      <c r="C431" s="34" t="s">
        <v>3789</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3792</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3690</v>
      </c>
      <c r="AX431" s="29" t="s">
        <v>3486</v>
      </c>
      <c r="AY431" s="37" t="s">
        <v>3702</v>
      </c>
      <c r="AZ431" s="29" t="s">
        <v>3700</v>
      </c>
      <c r="BA431" s="37" t="s">
        <v>3701</v>
      </c>
      <c r="BB431" s="29" t="s">
        <v>3686</v>
      </c>
      <c r="BC431" s="37" t="s">
        <v>3688</v>
      </c>
      <c r="BD431" s="29" t="s">
        <v>3687</v>
      </c>
      <c r="BE431" s="37" t="s">
        <v>3791</v>
      </c>
    </row>
    <row r="432" spans="1:57" ht="7.5" customHeight="1" x14ac:dyDescent="0.4">
      <c r="A432" s="35">
        <v>432</v>
      </c>
      <c r="B432" s="57" t="s">
        <v>1791</v>
      </c>
      <c r="C432" s="34" t="s">
        <v>3789</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3792</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3690</v>
      </c>
      <c r="AX432" s="29" t="s">
        <v>3486</v>
      </c>
      <c r="AY432" s="37" t="s">
        <v>3702</v>
      </c>
      <c r="AZ432" s="29" t="s">
        <v>3700</v>
      </c>
      <c r="BA432" s="37" t="s">
        <v>3701</v>
      </c>
      <c r="BB432" s="29" t="s">
        <v>3686</v>
      </c>
      <c r="BC432" s="37" t="s">
        <v>3688</v>
      </c>
      <c r="BD432" s="29" t="s">
        <v>3687</v>
      </c>
      <c r="BE432" s="37" t="s">
        <v>3791</v>
      </c>
    </row>
    <row r="433" spans="1:57" ht="7.5" customHeight="1" x14ac:dyDescent="0.4">
      <c r="A433" s="35">
        <v>433</v>
      </c>
      <c r="B433" s="57" t="s">
        <v>1796</v>
      </c>
      <c r="C433" s="34" t="s">
        <v>3789</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3792</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3690</v>
      </c>
      <c r="AX433" s="29" t="s">
        <v>3486</v>
      </c>
      <c r="AY433" s="37" t="s">
        <v>3702</v>
      </c>
      <c r="AZ433" s="29" t="s">
        <v>3700</v>
      </c>
      <c r="BA433" s="37" t="s">
        <v>3701</v>
      </c>
      <c r="BB433" s="29" t="s">
        <v>3686</v>
      </c>
      <c r="BC433" s="37" t="s">
        <v>3688</v>
      </c>
      <c r="BD433" s="29" t="s">
        <v>3687</v>
      </c>
      <c r="BE433" s="37" t="s">
        <v>3791</v>
      </c>
    </row>
    <row r="434" spans="1:57" ht="7.5" customHeight="1" x14ac:dyDescent="0.4">
      <c r="A434" s="35">
        <v>434</v>
      </c>
      <c r="B434" s="57" t="s">
        <v>1800</v>
      </c>
      <c r="C434" s="34" t="s">
        <v>3789</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3792</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3690</v>
      </c>
      <c r="AX434" s="29" t="s">
        <v>3486</v>
      </c>
      <c r="AY434" s="37" t="s">
        <v>3702</v>
      </c>
      <c r="AZ434" s="29" t="s">
        <v>3700</v>
      </c>
      <c r="BA434" s="37" t="s">
        <v>3701</v>
      </c>
      <c r="BB434" s="29" t="s">
        <v>3686</v>
      </c>
      <c r="BC434" s="37" t="s">
        <v>3688</v>
      </c>
      <c r="BD434" s="29" t="s">
        <v>3687</v>
      </c>
      <c r="BE434" s="37" t="s">
        <v>3791</v>
      </c>
    </row>
    <row r="435" spans="1:57" ht="7.5" customHeight="1" x14ac:dyDescent="0.4">
      <c r="A435" s="35">
        <v>435</v>
      </c>
      <c r="B435" s="57" t="s">
        <v>1804</v>
      </c>
      <c r="C435" s="34" t="s">
        <v>3789</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3792</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3690</v>
      </c>
      <c r="AX435" s="29" t="s">
        <v>3486</v>
      </c>
      <c r="AY435" s="37" t="s">
        <v>3702</v>
      </c>
      <c r="AZ435" s="29" t="s">
        <v>3700</v>
      </c>
      <c r="BA435" s="37" t="s">
        <v>3701</v>
      </c>
      <c r="BB435" s="29" t="s">
        <v>3686</v>
      </c>
      <c r="BC435" s="37" t="s">
        <v>3688</v>
      </c>
      <c r="BD435" s="29" t="s">
        <v>3687</v>
      </c>
      <c r="BE435" s="37" t="s">
        <v>3791</v>
      </c>
    </row>
    <row r="436" spans="1:57" ht="7.5" customHeight="1" x14ac:dyDescent="0.4">
      <c r="A436" s="35">
        <v>436</v>
      </c>
      <c r="B436" s="57" t="s">
        <v>1809</v>
      </c>
      <c r="C436" s="34" t="s">
        <v>3789</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3792</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3690</v>
      </c>
      <c r="AX436" s="29" t="s">
        <v>3486</v>
      </c>
      <c r="AY436" s="37" t="s">
        <v>3702</v>
      </c>
      <c r="AZ436" s="29" t="s">
        <v>3700</v>
      </c>
      <c r="BA436" s="37" t="s">
        <v>3701</v>
      </c>
      <c r="BB436" s="29" t="s">
        <v>3686</v>
      </c>
      <c r="BC436" s="37" t="s">
        <v>3688</v>
      </c>
      <c r="BD436" s="29" t="s">
        <v>3687</v>
      </c>
      <c r="BE436" s="37" t="s">
        <v>3791</v>
      </c>
    </row>
    <row r="437" spans="1:57" ht="7.5" customHeight="1" x14ac:dyDescent="0.4">
      <c r="A437" s="35">
        <v>437</v>
      </c>
      <c r="B437" s="57" t="s">
        <v>1814</v>
      </c>
      <c r="C437" s="34" t="s">
        <v>3789</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3792</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3690</v>
      </c>
      <c r="AX437" s="29" t="s">
        <v>3486</v>
      </c>
      <c r="AY437" s="37" t="s">
        <v>3702</v>
      </c>
      <c r="AZ437" s="29" t="s">
        <v>3700</v>
      </c>
      <c r="BA437" s="37" t="s">
        <v>3701</v>
      </c>
      <c r="BB437" s="29" t="s">
        <v>3686</v>
      </c>
      <c r="BC437" s="37" t="s">
        <v>3688</v>
      </c>
      <c r="BD437" s="29" t="s">
        <v>3687</v>
      </c>
      <c r="BE437" s="37" t="s">
        <v>3791</v>
      </c>
    </row>
    <row r="438" spans="1:57" ht="7.5" customHeight="1" x14ac:dyDescent="0.4">
      <c r="A438" s="35">
        <v>438</v>
      </c>
      <c r="B438" s="57" t="s">
        <v>1818</v>
      </c>
      <c r="C438" s="34" t="s">
        <v>3789</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3792</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3690</v>
      </c>
      <c r="AX438" s="29" t="s">
        <v>3486</v>
      </c>
      <c r="AY438" s="37" t="s">
        <v>3702</v>
      </c>
      <c r="AZ438" s="29" t="s">
        <v>3700</v>
      </c>
      <c r="BA438" s="37" t="s">
        <v>3701</v>
      </c>
      <c r="BB438" s="29" t="s">
        <v>3686</v>
      </c>
      <c r="BC438" s="37" t="s">
        <v>3688</v>
      </c>
      <c r="BD438" s="29" t="s">
        <v>3687</v>
      </c>
      <c r="BE438" s="37" t="s">
        <v>3791</v>
      </c>
    </row>
    <row r="439" spans="1:57" ht="7.5" customHeight="1" x14ac:dyDescent="0.4">
      <c r="A439" s="35">
        <v>439</v>
      </c>
      <c r="B439" s="57" t="s">
        <v>1822</v>
      </c>
      <c r="C439" s="34" t="s">
        <v>3789</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3792</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3690</v>
      </c>
      <c r="AX439" s="29" t="s">
        <v>3486</v>
      </c>
      <c r="AY439" s="37" t="s">
        <v>3702</v>
      </c>
      <c r="AZ439" s="29" t="s">
        <v>3700</v>
      </c>
      <c r="BA439" s="37" t="s">
        <v>3701</v>
      </c>
      <c r="BB439" s="29" t="s">
        <v>3686</v>
      </c>
      <c r="BC439" s="37" t="s">
        <v>3688</v>
      </c>
      <c r="BD439" s="29" t="s">
        <v>3687</v>
      </c>
      <c r="BE439" s="37" t="s">
        <v>3791</v>
      </c>
    </row>
    <row r="440" spans="1:57" ht="7.5" customHeight="1" x14ac:dyDescent="0.4">
      <c r="A440" s="35">
        <v>440</v>
      </c>
      <c r="B440" s="57" t="s">
        <v>1826</v>
      </c>
      <c r="C440" s="34" t="s">
        <v>3789</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3792</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3690</v>
      </c>
      <c r="AX440" s="29" t="s">
        <v>3486</v>
      </c>
      <c r="AY440" s="37" t="s">
        <v>3702</v>
      </c>
      <c r="AZ440" s="29" t="s">
        <v>3700</v>
      </c>
      <c r="BA440" s="37" t="s">
        <v>3701</v>
      </c>
      <c r="BB440" s="29" t="s">
        <v>3686</v>
      </c>
      <c r="BC440" s="37" t="s">
        <v>3688</v>
      </c>
      <c r="BD440" s="29" t="s">
        <v>3687</v>
      </c>
      <c r="BE440" s="37" t="s">
        <v>3791</v>
      </c>
    </row>
    <row r="441" spans="1:57" ht="7.5" customHeight="1" x14ac:dyDescent="0.4">
      <c r="A441" s="35">
        <v>441</v>
      </c>
      <c r="B441" s="57" t="s">
        <v>1830</v>
      </c>
      <c r="C441" s="34" t="s">
        <v>3789</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3792</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3690</v>
      </c>
      <c r="AX441" s="29" t="s">
        <v>3486</v>
      </c>
      <c r="AY441" s="37" t="s">
        <v>3702</v>
      </c>
      <c r="AZ441" s="29" t="s">
        <v>3700</v>
      </c>
      <c r="BA441" s="37" t="s">
        <v>3701</v>
      </c>
      <c r="BB441" s="29" t="s">
        <v>3686</v>
      </c>
      <c r="BC441" s="37" t="s">
        <v>3688</v>
      </c>
      <c r="BD441" s="29" t="s">
        <v>3687</v>
      </c>
      <c r="BE441" s="37" t="s">
        <v>3791</v>
      </c>
    </row>
    <row r="442" spans="1:57" ht="7.5" customHeight="1" x14ac:dyDescent="0.4">
      <c r="A442" s="35">
        <v>442</v>
      </c>
      <c r="B442" s="57" t="s">
        <v>1834</v>
      </c>
      <c r="C442" s="34" t="s">
        <v>3789</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3792</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3690</v>
      </c>
      <c r="AX442" s="29" t="s">
        <v>3486</v>
      </c>
      <c r="AY442" s="37" t="s">
        <v>3702</v>
      </c>
      <c r="AZ442" s="29" t="s">
        <v>3700</v>
      </c>
      <c r="BA442" s="37" t="s">
        <v>3701</v>
      </c>
      <c r="BB442" s="29" t="s">
        <v>3686</v>
      </c>
      <c r="BC442" s="37" t="s">
        <v>3688</v>
      </c>
      <c r="BD442" s="29" t="s">
        <v>3687</v>
      </c>
      <c r="BE442" s="37" t="s">
        <v>3791</v>
      </c>
    </row>
    <row r="443" spans="1:57" ht="7.5" customHeight="1" x14ac:dyDescent="0.4">
      <c r="A443" s="35">
        <v>443</v>
      </c>
      <c r="B443" s="57" t="s">
        <v>1839</v>
      </c>
      <c r="C443" s="34" t="s">
        <v>3789</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3792</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3690</v>
      </c>
      <c r="AX443" s="29" t="s">
        <v>3486</v>
      </c>
      <c r="AY443" s="37" t="s">
        <v>3702</v>
      </c>
      <c r="AZ443" s="29" t="s">
        <v>3700</v>
      </c>
      <c r="BA443" s="37" t="s">
        <v>3701</v>
      </c>
      <c r="BB443" s="29" t="s">
        <v>3686</v>
      </c>
      <c r="BC443" s="37" t="s">
        <v>3688</v>
      </c>
      <c r="BD443" s="29" t="s">
        <v>3687</v>
      </c>
      <c r="BE443" s="37" t="s">
        <v>3791</v>
      </c>
    </row>
    <row r="444" spans="1:57" ht="7.5" customHeight="1" x14ac:dyDescent="0.4">
      <c r="A444" s="35">
        <v>444</v>
      </c>
      <c r="B444" s="57" t="s">
        <v>1844</v>
      </c>
      <c r="C444" s="34" t="s">
        <v>3789</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3792</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3690</v>
      </c>
      <c r="AX444" s="29" t="s">
        <v>3486</v>
      </c>
      <c r="AY444" s="37" t="s">
        <v>3702</v>
      </c>
      <c r="AZ444" s="29" t="s">
        <v>3700</v>
      </c>
      <c r="BA444" s="37" t="s">
        <v>3701</v>
      </c>
      <c r="BB444" s="29" t="s">
        <v>3686</v>
      </c>
      <c r="BC444" s="37" t="s">
        <v>3688</v>
      </c>
      <c r="BD444" s="29" t="s">
        <v>3687</v>
      </c>
      <c r="BE444" s="37" t="s">
        <v>3791</v>
      </c>
    </row>
    <row r="445" spans="1:57" ht="7.5" customHeight="1" x14ac:dyDescent="0.4">
      <c r="A445" s="35">
        <v>445</v>
      </c>
      <c r="B445" s="57" t="s">
        <v>1848</v>
      </c>
      <c r="C445" s="34" t="s">
        <v>3789</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3792</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3690</v>
      </c>
      <c r="AX445" s="29" t="s">
        <v>3486</v>
      </c>
      <c r="AY445" s="37" t="s">
        <v>3702</v>
      </c>
      <c r="AZ445" s="29" t="s">
        <v>3700</v>
      </c>
      <c r="BA445" s="37" t="s">
        <v>3701</v>
      </c>
      <c r="BB445" s="29" t="s">
        <v>3686</v>
      </c>
      <c r="BC445" s="37" t="s">
        <v>3688</v>
      </c>
      <c r="BD445" s="29" t="s">
        <v>3687</v>
      </c>
      <c r="BE445" s="37" t="s">
        <v>3791</v>
      </c>
    </row>
    <row r="446" spans="1:57" ht="7.5" customHeight="1" x14ac:dyDescent="0.4">
      <c r="A446" s="35">
        <v>446</v>
      </c>
      <c r="B446" s="57" t="s">
        <v>1853</v>
      </c>
      <c r="C446" s="34" t="s">
        <v>3789</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3792</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3690</v>
      </c>
      <c r="AX446" s="29" t="s">
        <v>3486</v>
      </c>
      <c r="AY446" s="37" t="s">
        <v>3702</v>
      </c>
      <c r="AZ446" s="29" t="s">
        <v>3700</v>
      </c>
      <c r="BA446" s="37" t="s">
        <v>3701</v>
      </c>
      <c r="BB446" s="29" t="s">
        <v>3686</v>
      </c>
      <c r="BC446" s="37" t="s">
        <v>3688</v>
      </c>
      <c r="BD446" s="29" t="s">
        <v>3687</v>
      </c>
      <c r="BE446" s="37" t="s">
        <v>3791</v>
      </c>
    </row>
    <row r="447" spans="1:57" ht="7.5" customHeight="1" x14ac:dyDescent="0.4">
      <c r="A447" s="35">
        <v>447</v>
      </c>
      <c r="B447" s="57" t="s">
        <v>1858</v>
      </c>
      <c r="C447" s="34" t="s">
        <v>3789</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3792</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3690</v>
      </c>
      <c r="AX447" s="29" t="s">
        <v>3486</v>
      </c>
      <c r="AY447" s="37" t="s">
        <v>3702</v>
      </c>
      <c r="AZ447" s="29" t="s">
        <v>3700</v>
      </c>
      <c r="BA447" s="37" t="s">
        <v>3701</v>
      </c>
      <c r="BB447" s="29" t="s">
        <v>3686</v>
      </c>
      <c r="BC447" s="37" t="s">
        <v>3688</v>
      </c>
      <c r="BD447" s="29" t="s">
        <v>3687</v>
      </c>
      <c r="BE447" s="37" t="s">
        <v>3791</v>
      </c>
    </row>
    <row r="448" spans="1:57" ht="7.5" customHeight="1" x14ac:dyDescent="0.4">
      <c r="A448" s="35">
        <v>448</v>
      </c>
      <c r="B448" s="57" t="s">
        <v>1863</v>
      </c>
      <c r="C448" s="34" t="s">
        <v>3789</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3792</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3690</v>
      </c>
      <c r="AX448" s="29" t="s">
        <v>3486</v>
      </c>
      <c r="AY448" s="37" t="s">
        <v>3702</v>
      </c>
      <c r="AZ448" s="29" t="s">
        <v>3700</v>
      </c>
      <c r="BA448" s="37" t="s">
        <v>3701</v>
      </c>
      <c r="BB448" s="29" t="s">
        <v>3686</v>
      </c>
      <c r="BC448" s="37" t="s">
        <v>3688</v>
      </c>
      <c r="BD448" s="29" t="s">
        <v>3687</v>
      </c>
      <c r="BE448" s="37" t="s">
        <v>3791</v>
      </c>
    </row>
    <row r="449" spans="1:57" ht="7.5" customHeight="1" x14ac:dyDescent="0.4">
      <c r="A449" s="35">
        <v>449</v>
      </c>
      <c r="B449" s="57" t="s">
        <v>1868</v>
      </c>
      <c r="C449" s="34" t="s">
        <v>3789</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3792</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3690</v>
      </c>
      <c r="AX449" s="29" t="s">
        <v>3486</v>
      </c>
      <c r="AY449" s="37" t="s">
        <v>3702</v>
      </c>
      <c r="AZ449" s="29" t="s">
        <v>3700</v>
      </c>
      <c r="BA449" s="37" t="s">
        <v>3701</v>
      </c>
      <c r="BB449" s="29" t="s">
        <v>3686</v>
      </c>
      <c r="BC449" s="37" t="s">
        <v>3688</v>
      </c>
      <c r="BD449" s="29" t="s">
        <v>3687</v>
      </c>
      <c r="BE449" s="37" t="s">
        <v>3791</v>
      </c>
    </row>
    <row r="450" spans="1:57" ht="7.5" customHeight="1" x14ac:dyDescent="0.4">
      <c r="A450" s="35">
        <v>450</v>
      </c>
      <c r="B450" s="57" t="s">
        <v>1873</v>
      </c>
      <c r="C450" s="34" t="s">
        <v>3789</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3792</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3690</v>
      </c>
      <c r="AX450" s="29" t="s">
        <v>3486</v>
      </c>
      <c r="AY450" s="37" t="s">
        <v>3702</v>
      </c>
      <c r="AZ450" s="29" t="s">
        <v>3700</v>
      </c>
      <c r="BA450" s="37" t="s">
        <v>3701</v>
      </c>
      <c r="BB450" s="29" t="s">
        <v>3686</v>
      </c>
      <c r="BC450" s="37" t="s">
        <v>3688</v>
      </c>
      <c r="BD450" s="29" t="s">
        <v>3687</v>
      </c>
      <c r="BE450" s="37" t="s">
        <v>3791</v>
      </c>
    </row>
    <row r="451" spans="1:57" ht="7.5" customHeight="1" x14ac:dyDescent="0.4">
      <c r="A451" s="35">
        <v>451</v>
      </c>
      <c r="B451" s="57" t="s">
        <v>1878</v>
      </c>
      <c r="C451" s="34" t="s">
        <v>3789</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3792</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3690</v>
      </c>
      <c r="AX451" s="29" t="s">
        <v>3486</v>
      </c>
      <c r="AY451" s="37" t="s">
        <v>3702</v>
      </c>
      <c r="AZ451" s="29" t="s">
        <v>3700</v>
      </c>
      <c r="BA451" s="37" t="s">
        <v>3701</v>
      </c>
      <c r="BB451" s="29" t="s">
        <v>3686</v>
      </c>
      <c r="BC451" s="37" t="s">
        <v>3688</v>
      </c>
      <c r="BD451" s="29" t="s">
        <v>3687</v>
      </c>
      <c r="BE451" s="37" t="s">
        <v>3791</v>
      </c>
    </row>
    <row r="452" spans="1:57" ht="7.5" customHeight="1" x14ac:dyDescent="0.4">
      <c r="A452" s="35">
        <v>452</v>
      </c>
      <c r="B452" s="57" t="s">
        <v>1883</v>
      </c>
      <c r="C452" s="34" t="s">
        <v>3789</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3792</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3690</v>
      </c>
      <c r="AX452" s="29" t="s">
        <v>3486</v>
      </c>
      <c r="AY452" s="37" t="s">
        <v>3702</v>
      </c>
      <c r="AZ452" s="29" t="s">
        <v>3700</v>
      </c>
      <c r="BA452" s="37" t="s">
        <v>3701</v>
      </c>
      <c r="BB452" s="29" t="s">
        <v>3686</v>
      </c>
      <c r="BC452" s="37" t="s">
        <v>3688</v>
      </c>
      <c r="BD452" s="29" t="s">
        <v>3687</v>
      </c>
      <c r="BE452" s="37" t="s">
        <v>3791</v>
      </c>
    </row>
    <row r="453" spans="1:57" ht="7.5" customHeight="1" x14ac:dyDescent="0.4">
      <c r="A453" s="35">
        <v>453</v>
      </c>
      <c r="B453" s="57" t="s">
        <v>1887</v>
      </c>
      <c r="C453" s="34" t="s">
        <v>3789</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3792</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3690</v>
      </c>
      <c r="AX453" s="29" t="s">
        <v>3486</v>
      </c>
      <c r="AY453" s="37" t="s">
        <v>3702</v>
      </c>
      <c r="AZ453" s="29" t="s">
        <v>3700</v>
      </c>
      <c r="BA453" s="37" t="s">
        <v>3701</v>
      </c>
      <c r="BB453" s="29" t="s">
        <v>3686</v>
      </c>
      <c r="BC453" s="37" t="s">
        <v>3688</v>
      </c>
      <c r="BD453" s="29" t="s">
        <v>3687</v>
      </c>
      <c r="BE453" s="37" t="s">
        <v>3791</v>
      </c>
    </row>
    <row r="454" spans="1:57" ht="7.5" customHeight="1" x14ac:dyDescent="0.4">
      <c r="A454" s="35">
        <v>454</v>
      </c>
      <c r="B454" s="57" t="s">
        <v>1892</v>
      </c>
      <c r="C454" s="34" t="s">
        <v>3789</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3792</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3690</v>
      </c>
      <c r="AX454" s="29" t="s">
        <v>3486</v>
      </c>
      <c r="AY454" s="37" t="s">
        <v>3702</v>
      </c>
      <c r="AZ454" s="29" t="s">
        <v>3700</v>
      </c>
      <c r="BA454" s="37" t="s">
        <v>3701</v>
      </c>
      <c r="BB454" s="29" t="s">
        <v>3686</v>
      </c>
      <c r="BC454" s="37" t="s">
        <v>3688</v>
      </c>
      <c r="BD454" s="29" t="s">
        <v>3687</v>
      </c>
      <c r="BE454" s="37" t="s">
        <v>3791</v>
      </c>
    </row>
    <row r="455" spans="1:57" ht="7.5" customHeight="1" x14ac:dyDescent="0.4">
      <c r="A455" s="35">
        <v>455</v>
      </c>
      <c r="B455" s="57" t="s">
        <v>1897</v>
      </c>
      <c r="C455" s="34" t="s">
        <v>3789</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3792</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3690</v>
      </c>
      <c r="AX455" s="29" t="s">
        <v>3486</v>
      </c>
      <c r="AY455" s="37" t="s">
        <v>3702</v>
      </c>
      <c r="AZ455" s="29" t="s">
        <v>3700</v>
      </c>
      <c r="BA455" s="37" t="s">
        <v>3701</v>
      </c>
      <c r="BB455" s="29" t="s">
        <v>3686</v>
      </c>
      <c r="BC455" s="37" t="s">
        <v>3688</v>
      </c>
      <c r="BD455" s="29" t="s">
        <v>3687</v>
      </c>
      <c r="BE455" s="37" t="s">
        <v>3791</v>
      </c>
    </row>
    <row r="456" spans="1:57" ht="7.5" customHeight="1" x14ac:dyDescent="0.4">
      <c r="A456" s="35">
        <v>456</v>
      </c>
      <c r="B456" s="57" t="s">
        <v>1901</v>
      </c>
      <c r="C456" s="34" t="s">
        <v>3789</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3792</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3690</v>
      </c>
      <c r="AX456" s="29" t="s">
        <v>3486</v>
      </c>
      <c r="AY456" s="37" t="s">
        <v>3702</v>
      </c>
      <c r="AZ456" s="29" t="s">
        <v>3700</v>
      </c>
      <c r="BA456" s="37" t="s">
        <v>3701</v>
      </c>
      <c r="BB456" s="29" t="s">
        <v>3686</v>
      </c>
      <c r="BC456" s="37" t="s">
        <v>3688</v>
      </c>
      <c r="BD456" s="29" t="s">
        <v>3687</v>
      </c>
      <c r="BE456" s="37" t="s">
        <v>3791</v>
      </c>
    </row>
    <row r="457" spans="1:57" ht="7.5" customHeight="1" x14ac:dyDescent="0.4">
      <c r="A457" s="35">
        <v>457</v>
      </c>
      <c r="B457" s="57" t="s">
        <v>1905</v>
      </c>
      <c r="C457" s="34" t="s">
        <v>3789</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3792</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3690</v>
      </c>
      <c r="AX457" s="29" t="s">
        <v>3486</v>
      </c>
      <c r="AY457" s="37" t="s">
        <v>3702</v>
      </c>
      <c r="AZ457" s="29" t="s">
        <v>3700</v>
      </c>
      <c r="BA457" s="37" t="s">
        <v>3701</v>
      </c>
      <c r="BB457" s="29" t="s">
        <v>3686</v>
      </c>
      <c r="BC457" s="37" t="s">
        <v>3688</v>
      </c>
      <c r="BD457" s="29" t="s">
        <v>3687</v>
      </c>
      <c r="BE457" s="37" t="s">
        <v>3791</v>
      </c>
    </row>
    <row r="458" spans="1:57" ht="7.5" customHeight="1" x14ac:dyDescent="0.4">
      <c r="A458" s="35">
        <v>458</v>
      </c>
      <c r="B458" s="57" t="s">
        <v>1909</v>
      </c>
      <c r="C458" s="34" t="s">
        <v>3789</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3792</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3690</v>
      </c>
      <c r="AX458" s="29" t="s">
        <v>3486</v>
      </c>
      <c r="AY458" s="37" t="s">
        <v>3702</v>
      </c>
      <c r="AZ458" s="29" t="s">
        <v>3700</v>
      </c>
      <c r="BA458" s="37" t="s">
        <v>3701</v>
      </c>
      <c r="BB458" s="29" t="s">
        <v>3686</v>
      </c>
      <c r="BC458" s="37" t="s">
        <v>3688</v>
      </c>
      <c r="BD458" s="29" t="s">
        <v>3687</v>
      </c>
      <c r="BE458" s="37" t="s">
        <v>3791</v>
      </c>
    </row>
    <row r="459" spans="1:57" ht="7.5" customHeight="1" x14ac:dyDescent="0.4">
      <c r="A459" s="35">
        <v>459</v>
      </c>
      <c r="B459" s="57" t="s">
        <v>1914</v>
      </c>
      <c r="C459" s="34" t="s">
        <v>3789</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3792</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3690</v>
      </c>
      <c r="AX459" s="29" t="s">
        <v>3486</v>
      </c>
      <c r="AY459" s="37" t="s">
        <v>3702</v>
      </c>
      <c r="AZ459" s="29" t="s">
        <v>3700</v>
      </c>
      <c r="BA459" s="37" t="s">
        <v>3701</v>
      </c>
      <c r="BB459" s="29" t="s">
        <v>3686</v>
      </c>
      <c r="BC459" s="37" t="s">
        <v>3688</v>
      </c>
      <c r="BD459" s="29" t="s">
        <v>3687</v>
      </c>
      <c r="BE459" s="37" t="s">
        <v>3791</v>
      </c>
    </row>
    <row r="460" spans="1:57" ht="7.5" customHeight="1" x14ac:dyDescent="0.4">
      <c r="A460" s="35">
        <v>460</v>
      </c>
      <c r="B460" s="57" t="s">
        <v>1918</v>
      </c>
      <c r="C460" s="34" t="s">
        <v>3789</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3792</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3690</v>
      </c>
      <c r="AX460" s="29" t="s">
        <v>3486</v>
      </c>
      <c r="AY460" s="37" t="s">
        <v>3702</v>
      </c>
      <c r="AZ460" s="29" t="s">
        <v>3700</v>
      </c>
      <c r="BA460" s="37" t="s">
        <v>3701</v>
      </c>
      <c r="BB460" s="29" t="s">
        <v>3686</v>
      </c>
      <c r="BC460" s="37" t="s">
        <v>3688</v>
      </c>
      <c r="BD460" s="29" t="s">
        <v>3687</v>
      </c>
      <c r="BE460" s="37" t="s">
        <v>3791</v>
      </c>
    </row>
    <row r="461" spans="1:57" ht="7.5" customHeight="1" x14ac:dyDescent="0.4">
      <c r="A461" s="35">
        <v>461</v>
      </c>
      <c r="B461" s="57" t="s">
        <v>1922</v>
      </c>
      <c r="C461" s="34" t="s">
        <v>3789</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3792</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3690</v>
      </c>
      <c r="AX461" s="29" t="s">
        <v>3486</v>
      </c>
      <c r="AY461" s="37" t="s">
        <v>3702</v>
      </c>
      <c r="AZ461" s="29" t="s">
        <v>3700</v>
      </c>
      <c r="BA461" s="37" t="s">
        <v>3701</v>
      </c>
      <c r="BB461" s="29" t="s">
        <v>3686</v>
      </c>
      <c r="BC461" s="37" t="s">
        <v>3688</v>
      </c>
      <c r="BD461" s="29" t="s">
        <v>3687</v>
      </c>
      <c r="BE461" s="37" t="s">
        <v>3791</v>
      </c>
    </row>
    <row r="462" spans="1:57" ht="7.5" customHeight="1" x14ac:dyDescent="0.4">
      <c r="A462" s="35">
        <v>462</v>
      </c>
      <c r="B462" s="57" t="s">
        <v>1926</v>
      </c>
      <c r="C462" s="34" t="s">
        <v>3789</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3792</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3690</v>
      </c>
      <c r="AX462" s="29" t="s">
        <v>3486</v>
      </c>
      <c r="AY462" s="37" t="s">
        <v>3702</v>
      </c>
      <c r="AZ462" s="29" t="s">
        <v>3700</v>
      </c>
      <c r="BA462" s="37" t="s">
        <v>3701</v>
      </c>
      <c r="BB462" s="29" t="s">
        <v>3686</v>
      </c>
      <c r="BC462" s="37" t="s">
        <v>3688</v>
      </c>
      <c r="BD462" s="29" t="s">
        <v>3687</v>
      </c>
      <c r="BE462" s="37" t="s">
        <v>3791</v>
      </c>
    </row>
    <row r="463" spans="1:57" ht="7.5" customHeight="1" x14ac:dyDescent="0.4">
      <c r="A463" s="35">
        <v>463</v>
      </c>
      <c r="B463" s="57" t="s">
        <v>1931</v>
      </c>
      <c r="C463" s="34" t="s">
        <v>3789</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3792</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3690</v>
      </c>
      <c r="AX463" s="29" t="s">
        <v>3486</v>
      </c>
      <c r="AY463" s="37" t="s">
        <v>3702</v>
      </c>
      <c r="AZ463" s="29" t="s">
        <v>3700</v>
      </c>
      <c r="BA463" s="37" t="s">
        <v>3701</v>
      </c>
      <c r="BB463" s="29" t="s">
        <v>3686</v>
      </c>
      <c r="BC463" s="37" t="s">
        <v>3688</v>
      </c>
      <c r="BD463" s="29" t="s">
        <v>3687</v>
      </c>
      <c r="BE463" s="37" t="s">
        <v>3791</v>
      </c>
    </row>
    <row r="464" spans="1:57" ht="7.5" customHeight="1" x14ac:dyDescent="0.4">
      <c r="A464" s="35">
        <v>464</v>
      </c>
      <c r="B464" s="57" t="s">
        <v>1936</v>
      </c>
      <c r="C464" s="34" t="s">
        <v>3789</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3792</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3690</v>
      </c>
      <c r="AX464" s="29" t="s">
        <v>3486</v>
      </c>
      <c r="AY464" s="37" t="s">
        <v>3702</v>
      </c>
      <c r="AZ464" s="29" t="s">
        <v>3700</v>
      </c>
      <c r="BA464" s="37" t="s">
        <v>3701</v>
      </c>
      <c r="BB464" s="29" t="s">
        <v>3686</v>
      </c>
      <c r="BC464" s="37" t="s">
        <v>3688</v>
      </c>
      <c r="BD464" s="29" t="s">
        <v>3687</v>
      </c>
      <c r="BE464" s="37" t="s">
        <v>3791</v>
      </c>
    </row>
    <row r="465" spans="1:57" ht="7.5" customHeight="1" x14ac:dyDescent="0.4">
      <c r="A465" s="35">
        <v>465</v>
      </c>
      <c r="B465" s="57" t="s">
        <v>1941</v>
      </c>
      <c r="C465" s="34" t="s">
        <v>3789</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3792</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3690</v>
      </c>
      <c r="AX465" s="29" t="s">
        <v>3486</v>
      </c>
      <c r="AY465" s="37" t="s">
        <v>3702</v>
      </c>
      <c r="AZ465" s="29" t="s">
        <v>3700</v>
      </c>
      <c r="BA465" s="37" t="s">
        <v>3701</v>
      </c>
      <c r="BB465" s="29" t="s">
        <v>3686</v>
      </c>
      <c r="BC465" s="37" t="s">
        <v>3688</v>
      </c>
      <c r="BD465" s="29" t="s">
        <v>3687</v>
      </c>
      <c r="BE465" s="37" t="s">
        <v>3791</v>
      </c>
    </row>
    <row r="466" spans="1:57" ht="7.5" customHeight="1" x14ac:dyDescent="0.4">
      <c r="A466" s="35">
        <v>466</v>
      </c>
      <c r="B466" s="57" t="s">
        <v>1946</v>
      </c>
      <c r="C466" s="34" t="s">
        <v>3789</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3792</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3690</v>
      </c>
      <c r="AX466" s="29" t="s">
        <v>3486</v>
      </c>
      <c r="AY466" s="37" t="s">
        <v>3702</v>
      </c>
      <c r="AZ466" s="29" t="s">
        <v>3700</v>
      </c>
      <c r="BA466" s="37" t="s">
        <v>3701</v>
      </c>
      <c r="BB466" s="29" t="s">
        <v>3686</v>
      </c>
      <c r="BC466" s="37" t="s">
        <v>3688</v>
      </c>
      <c r="BD466" s="29" t="s">
        <v>3687</v>
      </c>
      <c r="BE466" s="37" t="s">
        <v>3791</v>
      </c>
    </row>
    <row r="467" spans="1:57" ht="7.5" customHeight="1" x14ac:dyDescent="0.4">
      <c r="A467" s="35">
        <v>467</v>
      </c>
      <c r="B467" s="57" t="s">
        <v>1951</v>
      </c>
      <c r="C467" s="34" t="s">
        <v>3789</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3792</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3690</v>
      </c>
      <c r="AX467" s="29" t="s">
        <v>3486</v>
      </c>
      <c r="AY467" s="37" t="s">
        <v>3702</v>
      </c>
      <c r="AZ467" s="29" t="s">
        <v>3700</v>
      </c>
      <c r="BA467" s="37" t="s">
        <v>3701</v>
      </c>
      <c r="BB467" s="29" t="s">
        <v>3686</v>
      </c>
      <c r="BC467" s="37" t="s">
        <v>3688</v>
      </c>
      <c r="BD467" s="29" t="s">
        <v>3687</v>
      </c>
      <c r="BE467" s="37" t="s">
        <v>3791</v>
      </c>
    </row>
    <row r="468" spans="1:57" ht="7.5" customHeight="1" x14ac:dyDescent="0.4">
      <c r="A468" s="35">
        <v>468</v>
      </c>
      <c r="B468" s="57" t="s">
        <v>1955</v>
      </c>
      <c r="C468" s="34" t="s">
        <v>3789</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3792</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3690</v>
      </c>
      <c r="AX468" s="29" t="s">
        <v>3486</v>
      </c>
      <c r="AY468" s="37" t="s">
        <v>3702</v>
      </c>
      <c r="AZ468" s="29" t="s">
        <v>3700</v>
      </c>
      <c r="BA468" s="37" t="s">
        <v>3701</v>
      </c>
      <c r="BB468" s="29" t="s">
        <v>3686</v>
      </c>
      <c r="BC468" s="37" t="s">
        <v>3688</v>
      </c>
      <c r="BD468" s="29" t="s">
        <v>3687</v>
      </c>
      <c r="BE468" s="37" t="s">
        <v>3791</v>
      </c>
    </row>
    <row r="469" spans="1:57" ht="7.5" customHeight="1" x14ac:dyDescent="0.4">
      <c r="A469" s="35">
        <v>469</v>
      </c>
      <c r="B469" s="57" t="s">
        <v>1960</v>
      </c>
      <c r="C469" s="34" t="s">
        <v>3789</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3792</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3690</v>
      </c>
      <c r="AX469" s="29" t="s">
        <v>3486</v>
      </c>
      <c r="AY469" s="37" t="s">
        <v>3702</v>
      </c>
      <c r="AZ469" s="29" t="s">
        <v>3700</v>
      </c>
      <c r="BA469" s="37" t="s">
        <v>3701</v>
      </c>
      <c r="BB469" s="29" t="s">
        <v>3686</v>
      </c>
      <c r="BC469" s="37" t="s">
        <v>3688</v>
      </c>
      <c r="BD469" s="29" t="s">
        <v>3687</v>
      </c>
      <c r="BE469" s="37" t="s">
        <v>3791</v>
      </c>
    </row>
    <row r="470" spans="1:57" ht="7.5" customHeight="1" x14ac:dyDescent="0.4">
      <c r="A470" s="35">
        <v>470</v>
      </c>
      <c r="B470" s="57" t="s">
        <v>1964</v>
      </c>
      <c r="C470" s="34" t="s">
        <v>3789</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3792</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3690</v>
      </c>
      <c r="AX470" s="29" t="s">
        <v>3486</v>
      </c>
      <c r="AY470" s="37" t="s">
        <v>3702</v>
      </c>
      <c r="AZ470" s="29" t="s">
        <v>3700</v>
      </c>
      <c r="BA470" s="37" t="s">
        <v>3701</v>
      </c>
      <c r="BB470" s="29" t="s">
        <v>3686</v>
      </c>
      <c r="BC470" s="37" t="s">
        <v>3688</v>
      </c>
      <c r="BD470" s="29" t="s">
        <v>3687</v>
      </c>
      <c r="BE470" s="37" t="s">
        <v>3791</v>
      </c>
    </row>
    <row r="471" spans="1:57" ht="7.5" customHeight="1" x14ac:dyDescent="0.4">
      <c r="A471" s="35">
        <v>471</v>
      </c>
      <c r="B471" s="57" t="s">
        <v>1969</v>
      </c>
      <c r="C471" s="34" t="s">
        <v>3789</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3792</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3690</v>
      </c>
      <c r="AX471" s="29" t="s">
        <v>3486</v>
      </c>
      <c r="AY471" s="37" t="s">
        <v>3702</v>
      </c>
      <c r="AZ471" s="29" t="s">
        <v>3700</v>
      </c>
      <c r="BA471" s="37" t="s">
        <v>3701</v>
      </c>
      <c r="BB471" s="29" t="s">
        <v>3686</v>
      </c>
      <c r="BC471" s="37" t="s">
        <v>3688</v>
      </c>
      <c r="BD471" s="29" t="s">
        <v>3687</v>
      </c>
      <c r="BE471" s="37" t="s">
        <v>3791</v>
      </c>
    </row>
    <row r="472" spans="1:57" ht="7.5" customHeight="1" x14ac:dyDescent="0.4">
      <c r="A472" s="35">
        <v>472</v>
      </c>
      <c r="B472" s="57" t="s">
        <v>1974</v>
      </c>
      <c r="C472" s="34" t="s">
        <v>3789</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3792</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3690</v>
      </c>
      <c r="AX472" s="29" t="s">
        <v>3486</v>
      </c>
      <c r="AY472" s="37" t="s">
        <v>3702</v>
      </c>
      <c r="AZ472" s="29" t="s">
        <v>3700</v>
      </c>
      <c r="BA472" s="37" t="s">
        <v>3701</v>
      </c>
      <c r="BB472" s="29" t="s">
        <v>3686</v>
      </c>
      <c r="BC472" s="37" t="s">
        <v>3688</v>
      </c>
      <c r="BD472" s="29" t="s">
        <v>3687</v>
      </c>
      <c r="BE472" s="37" t="s">
        <v>3791</v>
      </c>
    </row>
    <row r="473" spans="1:57" ht="7.5" customHeight="1" x14ac:dyDescent="0.4">
      <c r="A473" s="35">
        <v>473</v>
      </c>
      <c r="B473" s="57" t="s">
        <v>1978</v>
      </c>
      <c r="C473" s="34" t="s">
        <v>3789</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3792</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3690</v>
      </c>
      <c r="AX473" s="29" t="s">
        <v>3486</v>
      </c>
      <c r="AY473" s="37" t="s">
        <v>3702</v>
      </c>
      <c r="AZ473" s="29" t="s">
        <v>3700</v>
      </c>
      <c r="BA473" s="37" t="s">
        <v>3701</v>
      </c>
      <c r="BB473" s="29" t="s">
        <v>3686</v>
      </c>
      <c r="BC473" s="37" t="s">
        <v>3688</v>
      </c>
      <c r="BD473" s="29" t="s">
        <v>3687</v>
      </c>
      <c r="BE473" s="37" t="s">
        <v>3791</v>
      </c>
    </row>
    <row r="474" spans="1:57" ht="7.5" customHeight="1" x14ac:dyDescent="0.4">
      <c r="A474" s="35">
        <v>474</v>
      </c>
      <c r="B474" s="57" t="s">
        <v>1982</v>
      </c>
      <c r="C474" s="34" t="s">
        <v>3789</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3792</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3690</v>
      </c>
      <c r="AX474" s="29" t="s">
        <v>3486</v>
      </c>
      <c r="AY474" s="37" t="s">
        <v>3702</v>
      </c>
      <c r="AZ474" s="29" t="s">
        <v>3700</v>
      </c>
      <c r="BA474" s="37" t="s">
        <v>3701</v>
      </c>
      <c r="BB474" s="29" t="s">
        <v>3686</v>
      </c>
      <c r="BC474" s="37" t="s">
        <v>3688</v>
      </c>
      <c r="BD474" s="29" t="s">
        <v>3687</v>
      </c>
      <c r="BE474" s="37" t="s">
        <v>3791</v>
      </c>
    </row>
    <row r="475" spans="1:57" ht="7.5" customHeight="1" x14ac:dyDescent="0.4">
      <c r="A475" s="35">
        <v>475</v>
      </c>
      <c r="B475" s="57" t="s">
        <v>1986</v>
      </c>
      <c r="C475" s="34" t="s">
        <v>3789</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3792</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3690</v>
      </c>
      <c r="AX475" s="29" t="s">
        <v>3486</v>
      </c>
      <c r="AY475" s="37" t="s">
        <v>3702</v>
      </c>
      <c r="AZ475" s="29" t="s">
        <v>3700</v>
      </c>
      <c r="BA475" s="37" t="s">
        <v>3701</v>
      </c>
      <c r="BB475" s="29" t="s">
        <v>3686</v>
      </c>
      <c r="BC475" s="37" t="s">
        <v>3688</v>
      </c>
      <c r="BD475" s="29" t="s">
        <v>3687</v>
      </c>
      <c r="BE475" s="37" t="s">
        <v>3791</v>
      </c>
    </row>
    <row r="476" spans="1:57" ht="7.5" customHeight="1" x14ac:dyDescent="0.4">
      <c r="A476" s="35">
        <v>476</v>
      </c>
      <c r="B476" s="57" t="s">
        <v>1990</v>
      </c>
      <c r="C476" s="34" t="s">
        <v>3789</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3792</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3690</v>
      </c>
      <c r="AX476" s="29" t="s">
        <v>3486</v>
      </c>
      <c r="AY476" s="37" t="s">
        <v>3702</v>
      </c>
      <c r="AZ476" s="29" t="s">
        <v>3700</v>
      </c>
      <c r="BA476" s="37" t="s">
        <v>3701</v>
      </c>
      <c r="BB476" s="29" t="s">
        <v>3686</v>
      </c>
      <c r="BC476" s="37" t="s">
        <v>3688</v>
      </c>
      <c r="BD476" s="29" t="s">
        <v>3687</v>
      </c>
      <c r="BE476" s="37" t="s">
        <v>3791</v>
      </c>
    </row>
    <row r="477" spans="1:57" ht="7.5" customHeight="1" x14ac:dyDescent="0.4">
      <c r="A477" s="35">
        <v>477</v>
      </c>
      <c r="B477" s="57" t="s">
        <v>1995</v>
      </c>
      <c r="C477" s="34" t="s">
        <v>3789</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3792</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3690</v>
      </c>
      <c r="AX477" s="29" t="s">
        <v>3486</v>
      </c>
      <c r="AY477" s="37" t="s">
        <v>3702</v>
      </c>
      <c r="AZ477" s="29" t="s">
        <v>3700</v>
      </c>
      <c r="BA477" s="37" t="s">
        <v>3701</v>
      </c>
      <c r="BB477" s="29" t="s">
        <v>3686</v>
      </c>
      <c r="BC477" s="37" t="s">
        <v>3688</v>
      </c>
      <c r="BD477" s="29" t="s">
        <v>3687</v>
      </c>
      <c r="BE477" s="37" t="s">
        <v>3791</v>
      </c>
    </row>
    <row r="478" spans="1:57" ht="7.5" customHeight="1" x14ac:dyDescent="0.4">
      <c r="A478" s="35">
        <v>478</v>
      </c>
      <c r="B478" s="57" t="s">
        <v>2000</v>
      </c>
      <c r="C478" s="34" t="s">
        <v>3789</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3792</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3690</v>
      </c>
      <c r="AX478" s="29" t="s">
        <v>3486</v>
      </c>
      <c r="AY478" s="37" t="s">
        <v>3702</v>
      </c>
      <c r="AZ478" s="29" t="s">
        <v>3700</v>
      </c>
      <c r="BA478" s="37" t="s">
        <v>3701</v>
      </c>
      <c r="BB478" s="29" t="s">
        <v>3686</v>
      </c>
      <c r="BC478" s="37" t="s">
        <v>3688</v>
      </c>
      <c r="BD478" s="29" t="s">
        <v>3687</v>
      </c>
      <c r="BE478" s="37" t="s">
        <v>3791</v>
      </c>
    </row>
    <row r="479" spans="1:57" ht="7.5" customHeight="1" x14ac:dyDescent="0.4">
      <c r="A479" s="35">
        <v>479</v>
      </c>
      <c r="B479" s="57" t="s">
        <v>2003</v>
      </c>
      <c r="C479" s="34" t="s">
        <v>3789</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3792</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3690</v>
      </c>
      <c r="AX479" s="29" t="s">
        <v>3486</v>
      </c>
      <c r="AY479" s="37" t="s">
        <v>3702</v>
      </c>
      <c r="AZ479" s="29" t="s">
        <v>3700</v>
      </c>
      <c r="BA479" s="37" t="s">
        <v>3701</v>
      </c>
      <c r="BB479" s="29" t="s">
        <v>3686</v>
      </c>
      <c r="BC479" s="37" t="s">
        <v>3688</v>
      </c>
      <c r="BD479" s="29" t="s">
        <v>3687</v>
      </c>
      <c r="BE479" s="37" t="s">
        <v>3791</v>
      </c>
    </row>
    <row r="480" spans="1:57" ht="7.5" customHeight="1" x14ac:dyDescent="0.4">
      <c r="A480" s="35">
        <v>480</v>
      </c>
      <c r="B480" s="57" t="s">
        <v>2008</v>
      </c>
      <c r="C480" s="34" t="s">
        <v>3789</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3792</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3690</v>
      </c>
      <c r="AX480" s="29" t="s">
        <v>3486</v>
      </c>
      <c r="AY480" s="37" t="s">
        <v>3702</v>
      </c>
      <c r="AZ480" s="29" t="s">
        <v>3700</v>
      </c>
      <c r="BA480" s="37" t="s">
        <v>3701</v>
      </c>
      <c r="BB480" s="29" t="s">
        <v>3686</v>
      </c>
      <c r="BC480" s="37" t="s">
        <v>3688</v>
      </c>
      <c r="BD480" s="29" t="s">
        <v>3687</v>
      </c>
      <c r="BE480" s="37" t="s">
        <v>3791</v>
      </c>
    </row>
    <row r="481" spans="1:57" ht="7.5" customHeight="1" x14ac:dyDescent="0.4">
      <c r="A481" s="35">
        <v>481</v>
      </c>
      <c r="B481" s="57" t="s">
        <v>2013</v>
      </c>
      <c r="C481" s="34" t="s">
        <v>3789</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3792</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3690</v>
      </c>
      <c r="AX481" s="29" t="s">
        <v>3486</v>
      </c>
      <c r="AY481" s="37" t="s">
        <v>3702</v>
      </c>
      <c r="AZ481" s="29" t="s">
        <v>3700</v>
      </c>
      <c r="BA481" s="37" t="s">
        <v>3701</v>
      </c>
      <c r="BB481" s="29" t="s">
        <v>3686</v>
      </c>
      <c r="BC481" s="37" t="s">
        <v>3688</v>
      </c>
      <c r="BD481" s="29" t="s">
        <v>3687</v>
      </c>
      <c r="BE481" s="37" t="s">
        <v>3791</v>
      </c>
    </row>
    <row r="482" spans="1:57" ht="7.5" customHeight="1" x14ac:dyDescent="0.4">
      <c r="A482" s="35">
        <v>482</v>
      </c>
      <c r="B482" s="57" t="s">
        <v>2018</v>
      </c>
      <c r="C482" s="34" t="s">
        <v>3789</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3792</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3690</v>
      </c>
      <c r="AX482" s="29" t="s">
        <v>3486</v>
      </c>
      <c r="AY482" s="37" t="s">
        <v>3702</v>
      </c>
      <c r="AZ482" s="29" t="s">
        <v>3700</v>
      </c>
      <c r="BA482" s="37" t="s">
        <v>3701</v>
      </c>
      <c r="BB482" s="29" t="s">
        <v>3686</v>
      </c>
      <c r="BC482" s="37" t="s">
        <v>3688</v>
      </c>
      <c r="BD482" s="29" t="s">
        <v>3687</v>
      </c>
      <c r="BE482" s="37" t="s">
        <v>3791</v>
      </c>
    </row>
    <row r="483" spans="1:57" ht="7.5" customHeight="1" x14ac:dyDescent="0.4">
      <c r="A483" s="35">
        <v>483</v>
      </c>
      <c r="B483" s="57" t="s">
        <v>2023</v>
      </c>
      <c r="C483" s="34" t="s">
        <v>3789</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3792</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3690</v>
      </c>
      <c r="AX483" s="29" t="s">
        <v>3486</v>
      </c>
      <c r="AY483" s="37" t="s">
        <v>3702</v>
      </c>
      <c r="AZ483" s="29" t="s">
        <v>3700</v>
      </c>
      <c r="BA483" s="37" t="s">
        <v>3701</v>
      </c>
      <c r="BB483" s="29" t="s">
        <v>3686</v>
      </c>
      <c r="BC483" s="37" t="s">
        <v>3688</v>
      </c>
      <c r="BD483" s="29" t="s">
        <v>3687</v>
      </c>
      <c r="BE483" s="37" t="s">
        <v>3791</v>
      </c>
    </row>
    <row r="484" spans="1:57" ht="7.5" customHeight="1" x14ac:dyDescent="0.4">
      <c r="A484" s="35">
        <v>484</v>
      </c>
      <c r="B484" s="57" t="s">
        <v>2027</v>
      </c>
      <c r="C484" s="34" t="s">
        <v>3789</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3792</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3690</v>
      </c>
      <c r="AX484" s="29" t="s">
        <v>3486</v>
      </c>
      <c r="AY484" s="37" t="s">
        <v>3702</v>
      </c>
      <c r="AZ484" s="29" t="s">
        <v>3700</v>
      </c>
      <c r="BA484" s="37" t="s">
        <v>3701</v>
      </c>
      <c r="BB484" s="29" t="s">
        <v>3686</v>
      </c>
      <c r="BC484" s="37" t="s">
        <v>3688</v>
      </c>
      <c r="BD484" s="29" t="s">
        <v>3687</v>
      </c>
      <c r="BE484" s="37" t="s">
        <v>3791</v>
      </c>
    </row>
    <row r="485" spans="1:57" ht="7.5" customHeight="1" x14ac:dyDescent="0.4">
      <c r="A485" s="35">
        <v>485</v>
      </c>
      <c r="B485" s="57" t="s">
        <v>2031</v>
      </c>
      <c r="C485" s="34" t="s">
        <v>3789</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3792</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3690</v>
      </c>
      <c r="AX485" s="29" t="s">
        <v>3486</v>
      </c>
      <c r="AY485" s="37" t="s">
        <v>3702</v>
      </c>
      <c r="AZ485" s="29" t="s">
        <v>3700</v>
      </c>
      <c r="BA485" s="37" t="s">
        <v>3701</v>
      </c>
      <c r="BB485" s="29" t="s">
        <v>3686</v>
      </c>
      <c r="BC485" s="37" t="s">
        <v>3688</v>
      </c>
      <c r="BD485" s="29" t="s">
        <v>3687</v>
      </c>
      <c r="BE485" s="37" t="s">
        <v>3791</v>
      </c>
    </row>
    <row r="486" spans="1:57" ht="7.5" customHeight="1" x14ac:dyDescent="0.4">
      <c r="A486" s="35">
        <v>486</v>
      </c>
      <c r="B486" s="57" t="s">
        <v>2036</v>
      </c>
      <c r="C486" s="34" t="s">
        <v>3789</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3792</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3690</v>
      </c>
      <c r="AX486" s="29" t="s">
        <v>3486</v>
      </c>
      <c r="AY486" s="37" t="s">
        <v>3702</v>
      </c>
      <c r="AZ486" s="29" t="s">
        <v>3700</v>
      </c>
      <c r="BA486" s="37" t="s">
        <v>3701</v>
      </c>
      <c r="BB486" s="29" t="s">
        <v>3686</v>
      </c>
      <c r="BC486" s="37" t="s">
        <v>3688</v>
      </c>
      <c r="BD486" s="29" t="s">
        <v>3687</v>
      </c>
      <c r="BE486" s="37" t="s">
        <v>3791</v>
      </c>
    </row>
    <row r="487" spans="1:57" ht="7.5" customHeight="1" x14ac:dyDescent="0.4">
      <c r="A487" s="35">
        <v>487</v>
      </c>
      <c r="B487" s="57" t="s">
        <v>2041</v>
      </c>
      <c r="C487" s="34" t="s">
        <v>3789</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3792</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3690</v>
      </c>
      <c r="AX487" s="29" t="s">
        <v>3486</v>
      </c>
      <c r="AY487" s="37" t="s">
        <v>3702</v>
      </c>
      <c r="AZ487" s="29" t="s">
        <v>3700</v>
      </c>
      <c r="BA487" s="37" t="s">
        <v>3701</v>
      </c>
      <c r="BB487" s="29" t="s">
        <v>3686</v>
      </c>
      <c r="BC487" s="37" t="s">
        <v>3688</v>
      </c>
      <c r="BD487" s="29" t="s">
        <v>3687</v>
      </c>
      <c r="BE487" s="37" t="s">
        <v>3791</v>
      </c>
    </row>
    <row r="488" spans="1:57" ht="7.5" customHeight="1" x14ac:dyDescent="0.4">
      <c r="A488" s="35">
        <v>488</v>
      </c>
      <c r="B488" s="57" t="s">
        <v>2046</v>
      </c>
      <c r="C488" s="34" t="s">
        <v>3789</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3792</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3690</v>
      </c>
      <c r="AX488" s="29" t="s">
        <v>3486</v>
      </c>
      <c r="AY488" s="37" t="s">
        <v>3702</v>
      </c>
      <c r="AZ488" s="29" t="s">
        <v>3700</v>
      </c>
      <c r="BA488" s="37" t="s">
        <v>3701</v>
      </c>
      <c r="BB488" s="29" t="s">
        <v>3686</v>
      </c>
      <c r="BC488" s="37" t="s">
        <v>3688</v>
      </c>
      <c r="BD488" s="29" t="s">
        <v>3687</v>
      </c>
      <c r="BE488" s="37" t="s">
        <v>3791</v>
      </c>
    </row>
    <row r="489" spans="1:57" ht="7.5" customHeight="1" x14ac:dyDescent="0.4">
      <c r="A489" s="35">
        <v>489</v>
      </c>
      <c r="B489" s="57" t="s">
        <v>2051</v>
      </c>
      <c r="C489" s="34" t="s">
        <v>3789</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3792</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3690</v>
      </c>
      <c r="AX489" s="29" t="s">
        <v>3486</v>
      </c>
      <c r="AY489" s="37" t="s">
        <v>3702</v>
      </c>
      <c r="AZ489" s="29" t="s">
        <v>3700</v>
      </c>
      <c r="BA489" s="37" t="s">
        <v>3701</v>
      </c>
      <c r="BB489" s="29" t="s">
        <v>3686</v>
      </c>
      <c r="BC489" s="37" t="s">
        <v>3688</v>
      </c>
      <c r="BD489" s="29" t="s">
        <v>3687</v>
      </c>
      <c r="BE489" s="37" t="s">
        <v>3791</v>
      </c>
    </row>
    <row r="490" spans="1:57" ht="7.5" customHeight="1" x14ac:dyDescent="0.4">
      <c r="A490" s="35">
        <v>490</v>
      </c>
      <c r="B490" s="57" t="s">
        <v>2056</v>
      </c>
      <c r="C490" s="34" t="s">
        <v>3789</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3792</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3690</v>
      </c>
      <c r="AX490" s="29" t="s">
        <v>3486</v>
      </c>
      <c r="AY490" s="37" t="s">
        <v>3702</v>
      </c>
      <c r="AZ490" s="29" t="s">
        <v>3700</v>
      </c>
      <c r="BA490" s="37" t="s">
        <v>3701</v>
      </c>
      <c r="BB490" s="29" t="s">
        <v>3686</v>
      </c>
      <c r="BC490" s="37" t="s">
        <v>3688</v>
      </c>
      <c r="BD490" s="29" t="s">
        <v>3687</v>
      </c>
      <c r="BE490" s="37" t="s">
        <v>3791</v>
      </c>
    </row>
    <row r="491" spans="1:57" ht="7.5" customHeight="1" x14ac:dyDescent="0.4">
      <c r="A491" s="35">
        <v>491</v>
      </c>
      <c r="B491" s="57" t="s">
        <v>2061</v>
      </c>
      <c r="C491" s="34" t="s">
        <v>3789</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3792</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3690</v>
      </c>
      <c r="AX491" s="29" t="s">
        <v>3486</v>
      </c>
      <c r="AY491" s="37" t="s">
        <v>3702</v>
      </c>
      <c r="AZ491" s="29" t="s">
        <v>3700</v>
      </c>
      <c r="BA491" s="37" t="s">
        <v>3701</v>
      </c>
      <c r="BB491" s="29" t="s">
        <v>3686</v>
      </c>
      <c r="BC491" s="37" t="s">
        <v>3688</v>
      </c>
      <c r="BD491" s="29" t="s">
        <v>3687</v>
      </c>
      <c r="BE491" s="37" t="s">
        <v>3791</v>
      </c>
    </row>
    <row r="492" spans="1:57" ht="7.5" customHeight="1" x14ac:dyDescent="0.4">
      <c r="A492" s="35">
        <v>492</v>
      </c>
      <c r="B492" s="57" t="s">
        <v>2066</v>
      </c>
      <c r="C492" s="34" t="s">
        <v>3789</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3792</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3690</v>
      </c>
      <c r="AX492" s="29" t="s">
        <v>3486</v>
      </c>
      <c r="AY492" s="37" t="s">
        <v>3702</v>
      </c>
      <c r="AZ492" s="29" t="s">
        <v>3700</v>
      </c>
      <c r="BA492" s="37" t="s">
        <v>3701</v>
      </c>
      <c r="BB492" s="29" t="s">
        <v>3686</v>
      </c>
      <c r="BC492" s="37" t="s">
        <v>3688</v>
      </c>
      <c r="BD492" s="29" t="s">
        <v>3687</v>
      </c>
      <c r="BE492" s="37" t="s">
        <v>3791</v>
      </c>
    </row>
    <row r="493" spans="1:57" ht="7.5" customHeight="1" x14ac:dyDescent="0.4">
      <c r="A493" s="35">
        <v>493</v>
      </c>
      <c r="B493" s="57" t="s">
        <v>2070</v>
      </c>
      <c r="C493" s="34" t="s">
        <v>3789</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3792</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3690</v>
      </c>
      <c r="AX493" s="29" t="s">
        <v>3486</v>
      </c>
      <c r="AY493" s="37" t="s">
        <v>3702</v>
      </c>
      <c r="AZ493" s="29" t="s">
        <v>3700</v>
      </c>
      <c r="BA493" s="37" t="s">
        <v>3701</v>
      </c>
      <c r="BB493" s="29" t="s">
        <v>3686</v>
      </c>
      <c r="BC493" s="37" t="s">
        <v>3688</v>
      </c>
      <c r="BD493" s="29" t="s">
        <v>3687</v>
      </c>
      <c r="BE493" s="37" t="s">
        <v>3791</v>
      </c>
    </row>
    <row r="494" spans="1:57" ht="7.5" customHeight="1" x14ac:dyDescent="0.4">
      <c r="A494" s="35">
        <v>494</v>
      </c>
      <c r="B494" s="57" t="s">
        <v>2075</v>
      </c>
      <c r="C494" s="34" t="s">
        <v>3789</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3792</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3690</v>
      </c>
      <c r="AX494" s="29" t="s">
        <v>3486</v>
      </c>
      <c r="AY494" s="37" t="s">
        <v>3702</v>
      </c>
      <c r="AZ494" s="29" t="s">
        <v>3700</v>
      </c>
      <c r="BA494" s="37" t="s">
        <v>3701</v>
      </c>
      <c r="BB494" s="29" t="s">
        <v>3686</v>
      </c>
      <c r="BC494" s="37" t="s">
        <v>3688</v>
      </c>
      <c r="BD494" s="29" t="s">
        <v>3687</v>
      </c>
      <c r="BE494" s="37" t="s">
        <v>3791</v>
      </c>
    </row>
    <row r="495" spans="1:57" ht="7.5" customHeight="1" x14ac:dyDescent="0.4">
      <c r="A495" s="35">
        <v>495</v>
      </c>
      <c r="B495" s="57" t="s">
        <v>2080</v>
      </c>
      <c r="C495" s="34" t="s">
        <v>3789</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3792</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3690</v>
      </c>
      <c r="AX495" s="29" t="s">
        <v>3486</v>
      </c>
      <c r="AY495" s="37" t="s">
        <v>3702</v>
      </c>
      <c r="AZ495" s="29" t="s">
        <v>3700</v>
      </c>
      <c r="BA495" s="37" t="s">
        <v>3701</v>
      </c>
      <c r="BB495" s="29" t="s">
        <v>3686</v>
      </c>
      <c r="BC495" s="37" t="s">
        <v>3688</v>
      </c>
      <c r="BD495" s="29" t="s">
        <v>3687</v>
      </c>
      <c r="BE495" s="37" t="s">
        <v>3791</v>
      </c>
    </row>
    <row r="496" spans="1:57" ht="7.5" customHeight="1" x14ac:dyDescent="0.4">
      <c r="A496" s="35">
        <v>496</v>
      </c>
      <c r="B496" s="57" t="s">
        <v>2085</v>
      </c>
      <c r="C496" s="34" t="s">
        <v>3789</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3792</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3690</v>
      </c>
      <c r="AX496" s="29" t="s">
        <v>3486</v>
      </c>
      <c r="AY496" s="37" t="s">
        <v>3702</v>
      </c>
      <c r="AZ496" s="29" t="s">
        <v>3700</v>
      </c>
      <c r="BA496" s="37" t="s">
        <v>3701</v>
      </c>
      <c r="BB496" s="29" t="s">
        <v>3686</v>
      </c>
      <c r="BC496" s="37" t="s">
        <v>3688</v>
      </c>
      <c r="BD496" s="29" t="s">
        <v>3687</v>
      </c>
      <c r="BE496" s="37" t="s">
        <v>3791</v>
      </c>
    </row>
    <row r="497" spans="1:57" ht="7.5" customHeight="1" x14ac:dyDescent="0.4">
      <c r="A497" s="35">
        <v>497</v>
      </c>
      <c r="B497" s="57" t="s">
        <v>2089</v>
      </c>
      <c r="C497" s="34" t="s">
        <v>3789</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3792</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3690</v>
      </c>
      <c r="AX497" s="29" t="s">
        <v>3486</v>
      </c>
      <c r="AY497" s="37" t="s">
        <v>3702</v>
      </c>
      <c r="AZ497" s="29" t="s">
        <v>3700</v>
      </c>
      <c r="BA497" s="37" t="s">
        <v>3701</v>
      </c>
      <c r="BB497" s="29" t="s">
        <v>3686</v>
      </c>
      <c r="BC497" s="37" t="s">
        <v>3688</v>
      </c>
      <c r="BD497" s="29" t="s">
        <v>3687</v>
      </c>
      <c r="BE497" s="37" t="s">
        <v>3791</v>
      </c>
    </row>
    <row r="498" spans="1:57" ht="7.5" customHeight="1" x14ac:dyDescent="0.4">
      <c r="A498" s="35">
        <v>498</v>
      </c>
      <c r="B498" s="57" t="s">
        <v>2093</v>
      </c>
      <c r="C498" s="34" t="s">
        <v>3789</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3792</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3690</v>
      </c>
      <c r="AX498" s="29" t="s">
        <v>3486</v>
      </c>
      <c r="AY498" s="37" t="s">
        <v>3702</v>
      </c>
      <c r="AZ498" s="29" t="s">
        <v>3700</v>
      </c>
      <c r="BA498" s="37" t="s">
        <v>3701</v>
      </c>
      <c r="BB498" s="29" t="s">
        <v>3686</v>
      </c>
      <c r="BC498" s="37" t="s">
        <v>3688</v>
      </c>
      <c r="BD498" s="29" t="s">
        <v>3687</v>
      </c>
      <c r="BE498" s="37" t="s">
        <v>3791</v>
      </c>
    </row>
    <row r="499" spans="1:57" ht="7.5" customHeight="1" x14ac:dyDescent="0.4">
      <c r="A499" s="35">
        <v>499</v>
      </c>
      <c r="B499" s="57" t="s">
        <v>2097</v>
      </c>
      <c r="C499" s="34" t="s">
        <v>3789</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3792</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3690</v>
      </c>
      <c r="AX499" s="29" t="s">
        <v>3486</v>
      </c>
      <c r="AY499" s="37" t="s">
        <v>3702</v>
      </c>
      <c r="AZ499" s="29" t="s">
        <v>3700</v>
      </c>
      <c r="BA499" s="37" t="s">
        <v>3701</v>
      </c>
      <c r="BB499" s="29" t="s">
        <v>3686</v>
      </c>
      <c r="BC499" s="37" t="s">
        <v>3688</v>
      </c>
      <c r="BD499" s="29" t="s">
        <v>3687</v>
      </c>
      <c r="BE499" s="37" t="s">
        <v>3791</v>
      </c>
    </row>
    <row r="500" spans="1:57" ht="7.5" customHeight="1" x14ac:dyDescent="0.4">
      <c r="A500" s="35">
        <v>500</v>
      </c>
      <c r="B500" s="57" t="s">
        <v>2102</v>
      </c>
      <c r="C500" s="34" t="s">
        <v>3789</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3792</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3690</v>
      </c>
      <c r="AX500" s="29" t="s">
        <v>3486</v>
      </c>
      <c r="AY500" s="37" t="s">
        <v>3702</v>
      </c>
      <c r="AZ500" s="29" t="s">
        <v>3700</v>
      </c>
      <c r="BA500" s="37" t="s">
        <v>3701</v>
      </c>
      <c r="BB500" s="29" t="s">
        <v>3686</v>
      </c>
      <c r="BC500" s="37" t="s">
        <v>3688</v>
      </c>
      <c r="BD500" s="29" t="s">
        <v>3687</v>
      </c>
      <c r="BE500" s="37" t="s">
        <v>3791</v>
      </c>
    </row>
    <row r="501" spans="1:57" ht="7.5" customHeight="1" x14ac:dyDescent="0.4">
      <c r="A501" s="35">
        <v>501</v>
      </c>
      <c r="B501" s="57" t="s">
        <v>2106</v>
      </c>
      <c r="C501" s="34" t="s">
        <v>3789</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3792</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3690</v>
      </c>
      <c r="AX501" s="29" t="s">
        <v>3486</v>
      </c>
      <c r="AY501" s="37" t="s">
        <v>3702</v>
      </c>
      <c r="AZ501" s="29" t="s">
        <v>3700</v>
      </c>
      <c r="BA501" s="37" t="s">
        <v>3701</v>
      </c>
      <c r="BB501" s="29" t="s">
        <v>3686</v>
      </c>
      <c r="BC501" s="37" t="s">
        <v>3688</v>
      </c>
      <c r="BD501" s="29" t="s">
        <v>3687</v>
      </c>
      <c r="BE501" s="37" t="s">
        <v>3791</v>
      </c>
    </row>
    <row r="502" spans="1:57" ht="7.5" customHeight="1" x14ac:dyDescent="0.4">
      <c r="A502" s="35">
        <v>502</v>
      </c>
      <c r="B502" s="57" t="s">
        <v>2110</v>
      </c>
      <c r="C502" s="34" t="s">
        <v>3789</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3792</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3690</v>
      </c>
      <c r="AX502" s="29" t="s">
        <v>3486</v>
      </c>
      <c r="AY502" s="37" t="s">
        <v>3702</v>
      </c>
      <c r="AZ502" s="29" t="s">
        <v>3700</v>
      </c>
      <c r="BA502" s="37" t="s">
        <v>3701</v>
      </c>
      <c r="BB502" s="29" t="s">
        <v>3686</v>
      </c>
      <c r="BC502" s="37" t="s">
        <v>3688</v>
      </c>
      <c r="BD502" s="29" t="s">
        <v>3687</v>
      </c>
      <c r="BE502" s="37" t="s">
        <v>3791</v>
      </c>
    </row>
    <row r="503" spans="1:57" ht="7.5" customHeight="1" x14ac:dyDescent="0.4">
      <c r="A503" s="35">
        <v>503</v>
      </c>
      <c r="B503" s="57" t="s">
        <v>2115</v>
      </c>
      <c r="C503" s="34" t="s">
        <v>3789</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3792</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3690</v>
      </c>
      <c r="AX503" s="29" t="s">
        <v>3486</v>
      </c>
      <c r="AY503" s="37" t="s">
        <v>3702</v>
      </c>
      <c r="AZ503" s="29" t="s">
        <v>3700</v>
      </c>
      <c r="BA503" s="37" t="s">
        <v>3701</v>
      </c>
      <c r="BB503" s="29" t="s">
        <v>3686</v>
      </c>
      <c r="BC503" s="37" t="s">
        <v>3688</v>
      </c>
      <c r="BD503" s="29" t="s">
        <v>3687</v>
      </c>
      <c r="BE503" s="37" t="s">
        <v>3791</v>
      </c>
    </row>
    <row r="504" spans="1:57" ht="7.5" customHeight="1" x14ac:dyDescent="0.4">
      <c r="A504" s="35">
        <v>504</v>
      </c>
      <c r="B504" s="57" t="s">
        <v>2119</v>
      </c>
      <c r="C504" s="34" t="s">
        <v>3789</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3792</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3690</v>
      </c>
      <c r="AX504" s="29" t="s">
        <v>3486</v>
      </c>
      <c r="AY504" s="37" t="s">
        <v>3702</v>
      </c>
      <c r="AZ504" s="29" t="s">
        <v>3700</v>
      </c>
      <c r="BA504" s="37" t="s">
        <v>3701</v>
      </c>
      <c r="BB504" s="29" t="s">
        <v>3686</v>
      </c>
      <c r="BC504" s="37" t="s">
        <v>3688</v>
      </c>
      <c r="BD504" s="29" t="s">
        <v>3687</v>
      </c>
      <c r="BE504" s="37" t="s">
        <v>3791</v>
      </c>
    </row>
    <row r="505" spans="1:57" ht="7.5" customHeight="1" x14ac:dyDescent="0.4">
      <c r="A505" s="35">
        <v>505</v>
      </c>
      <c r="B505" s="57" t="s">
        <v>2124</v>
      </c>
      <c r="C505" s="34" t="s">
        <v>3789</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3792</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3690</v>
      </c>
      <c r="AX505" s="29" t="s">
        <v>3486</v>
      </c>
      <c r="AY505" s="37" t="s">
        <v>3702</v>
      </c>
      <c r="AZ505" s="29" t="s">
        <v>3700</v>
      </c>
      <c r="BA505" s="37" t="s">
        <v>3701</v>
      </c>
      <c r="BB505" s="29" t="s">
        <v>3686</v>
      </c>
      <c r="BC505" s="37" t="s">
        <v>3688</v>
      </c>
      <c r="BD505" s="29" t="s">
        <v>3687</v>
      </c>
      <c r="BE505" s="37" t="s">
        <v>3791</v>
      </c>
    </row>
    <row r="506" spans="1:57" ht="7.5" customHeight="1" x14ac:dyDescent="0.4">
      <c r="A506" s="35">
        <v>506</v>
      </c>
      <c r="B506" s="57" t="s">
        <v>2128</v>
      </c>
      <c r="C506" s="34" t="s">
        <v>3789</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3792</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3690</v>
      </c>
      <c r="AX506" s="29" t="s">
        <v>3486</v>
      </c>
      <c r="AY506" s="37" t="s">
        <v>3702</v>
      </c>
      <c r="AZ506" s="29" t="s">
        <v>3700</v>
      </c>
      <c r="BA506" s="37" t="s">
        <v>3701</v>
      </c>
      <c r="BB506" s="29" t="s">
        <v>3686</v>
      </c>
      <c r="BC506" s="37" t="s">
        <v>3688</v>
      </c>
      <c r="BD506" s="29" t="s">
        <v>3687</v>
      </c>
      <c r="BE506" s="37" t="s">
        <v>3791</v>
      </c>
    </row>
    <row r="507" spans="1:57" ht="7.5" customHeight="1" x14ac:dyDescent="0.4">
      <c r="A507" s="35">
        <v>507</v>
      </c>
      <c r="B507" s="57" t="s">
        <v>2133</v>
      </c>
      <c r="C507" s="34" t="s">
        <v>3789</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3792</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3690</v>
      </c>
      <c r="AX507" s="29" t="s">
        <v>3486</v>
      </c>
      <c r="AY507" s="37" t="s">
        <v>3702</v>
      </c>
      <c r="AZ507" s="29" t="s">
        <v>3700</v>
      </c>
      <c r="BA507" s="37" t="s">
        <v>3701</v>
      </c>
      <c r="BB507" s="29" t="s">
        <v>3686</v>
      </c>
      <c r="BC507" s="37" t="s">
        <v>3688</v>
      </c>
      <c r="BD507" s="29" t="s">
        <v>3687</v>
      </c>
      <c r="BE507" s="37" t="s">
        <v>3791</v>
      </c>
    </row>
    <row r="508" spans="1:57" ht="7.5" customHeight="1" x14ac:dyDescent="0.4">
      <c r="A508" s="35">
        <v>508</v>
      </c>
      <c r="B508" s="57" t="s">
        <v>2138</v>
      </c>
      <c r="C508" s="34" t="s">
        <v>3789</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3792</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3690</v>
      </c>
      <c r="AX508" s="29" t="s">
        <v>3486</v>
      </c>
      <c r="AY508" s="37" t="s">
        <v>3702</v>
      </c>
      <c r="AZ508" s="29" t="s">
        <v>3700</v>
      </c>
      <c r="BA508" s="37" t="s">
        <v>3701</v>
      </c>
      <c r="BB508" s="29" t="s">
        <v>3686</v>
      </c>
      <c r="BC508" s="37" t="s">
        <v>3688</v>
      </c>
      <c r="BD508" s="29" t="s">
        <v>3687</v>
      </c>
      <c r="BE508" s="37" t="s">
        <v>3791</v>
      </c>
    </row>
    <row r="509" spans="1:57" ht="7.5" customHeight="1" x14ac:dyDescent="0.4">
      <c r="A509" s="35">
        <v>509</v>
      </c>
      <c r="B509" s="57" t="s">
        <v>2143</v>
      </c>
      <c r="C509" s="34" t="s">
        <v>3789</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3792</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3690</v>
      </c>
      <c r="AX509" s="29" t="s">
        <v>3486</v>
      </c>
      <c r="AY509" s="37" t="s">
        <v>3702</v>
      </c>
      <c r="AZ509" s="29" t="s">
        <v>3700</v>
      </c>
      <c r="BA509" s="37" t="s">
        <v>3701</v>
      </c>
      <c r="BB509" s="29" t="s">
        <v>3686</v>
      </c>
      <c r="BC509" s="37" t="s">
        <v>3688</v>
      </c>
      <c r="BD509" s="29" t="s">
        <v>3687</v>
      </c>
      <c r="BE509" s="37" t="s">
        <v>3791</v>
      </c>
    </row>
    <row r="510" spans="1:57" ht="7.5" customHeight="1" x14ac:dyDescent="0.4">
      <c r="A510" s="35">
        <v>510</v>
      </c>
      <c r="B510" s="57" t="s">
        <v>2148</v>
      </c>
      <c r="C510" s="34" t="s">
        <v>3789</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3792</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3690</v>
      </c>
      <c r="AX510" s="29" t="s">
        <v>3486</v>
      </c>
      <c r="AY510" s="37" t="s">
        <v>3702</v>
      </c>
      <c r="AZ510" s="29" t="s">
        <v>3700</v>
      </c>
      <c r="BA510" s="37" t="s">
        <v>3701</v>
      </c>
      <c r="BB510" s="29" t="s">
        <v>3686</v>
      </c>
      <c r="BC510" s="37" t="s">
        <v>3688</v>
      </c>
      <c r="BD510" s="29" t="s">
        <v>3687</v>
      </c>
      <c r="BE510" s="37" t="s">
        <v>3791</v>
      </c>
    </row>
    <row r="511" spans="1:57" ht="7.5" customHeight="1" x14ac:dyDescent="0.4">
      <c r="A511" s="35">
        <v>511</v>
      </c>
      <c r="B511" s="57" t="s">
        <v>2153</v>
      </c>
      <c r="C511" s="34" t="s">
        <v>3789</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3792</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3690</v>
      </c>
      <c r="AX511" s="29" t="s">
        <v>3486</v>
      </c>
      <c r="AY511" s="37" t="s">
        <v>3702</v>
      </c>
      <c r="AZ511" s="29" t="s">
        <v>3700</v>
      </c>
      <c r="BA511" s="37" t="s">
        <v>3701</v>
      </c>
      <c r="BB511" s="29" t="s">
        <v>3686</v>
      </c>
      <c r="BC511" s="37" t="s">
        <v>3688</v>
      </c>
      <c r="BD511" s="29" t="s">
        <v>3687</v>
      </c>
      <c r="BE511" s="37" t="s">
        <v>3791</v>
      </c>
    </row>
    <row r="512" spans="1:57" ht="7.5" customHeight="1" x14ac:dyDescent="0.4">
      <c r="A512" s="35">
        <v>512</v>
      </c>
      <c r="B512" s="57" t="s">
        <v>2157</v>
      </c>
      <c r="C512" s="34" t="s">
        <v>3789</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3792</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3690</v>
      </c>
      <c r="AX512" s="29" t="s">
        <v>3486</v>
      </c>
      <c r="AY512" s="37" t="s">
        <v>3702</v>
      </c>
      <c r="AZ512" s="29" t="s">
        <v>3700</v>
      </c>
      <c r="BA512" s="37" t="s">
        <v>3701</v>
      </c>
      <c r="BB512" s="29" t="s">
        <v>3686</v>
      </c>
      <c r="BC512" s="37" t="s">
        <v>3688</v>
      </c>
      <c r="BD512" s="29" t="s">
        <v>3687</v>
      </c>
      <c r="BE512" s="37" t="s">
        <v>3791</v>
      </c>
    </row>
    <row r="513" spans="1:57" ht="7.5" customHeight="1" x14ac:dyDescent="0.4">
      <c r="A513" s="35">
        <v>513</v>
      </c>
      <c r="B513" s="57" t="s">
        <v>2162</v>
      </c>
      <c r="C513" s="34" t="s">
        <v>3789</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3792</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3690</v>
      </c>
      <c r="AX513" s="29" t="s">
        <v>3486</v>
      </c>
      <c r="AY513" s="37" t="s">
        <v>3702</v>
      </c>
      <c r="AZ513" s="29" t="s">
        <v>3700</v>
      </c>
      <c r="BA513" s="37" t="s">
        <v>3701</v>
      </c>
      <c r="BB513" s="29" t="s">
        <v>3686</v>
      </c>
      <c r="BC513" s="37" t="s">
        <v>3688</v>
      </c>
      <c r="BD513" s="29" t="s">
        <v>3687</v>
      </c>
      <c r="BE513" s="37" t="s">
        <v>3791</v>
      </c>
    </row>
    <row r="514" spans="1:57" ht="7.5" customHeight="1" x14ac:dyDescent="0.4">
      <c r="A514" s="35">
        <v>514</v>
      </c>
      <c r="B514" s="57" t="s">
        <v>2166</v>
      </c>
      <c r="C514" s="34" t="s">
        <v>3789</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3792</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3690</v>
      </c>
      <c r="AX514" s="29" t="s">
        <v>3486</v>
      </c>
      <c r="AY514" s="37" t="s">
        <v>3702</v>
      </c>
      <c r="AZ514" s="29" t="s">
        <v>3700</v>
      </c>
      <c r="BA514" s="37" t="s">
        <v>3701</v>
      </c>
      <c r="BB514" s="29" t="s">
        <v>3686</v>
      </c>
      <c r="BC514" s="37" t="s">
        <v>3688</v>
      </c>
      <c r="BD514" s="29" t="s">
        <v>3687</v>
      </c>
      <c r="BE514" s="37" t="s">
        <v>3791</v>
      </c>
    </row>
    <row r="515" spans="1:57" ht="7.5" customHeight="1" x14ac:dyDescent="0.4">
      <c r="A515" s="35">
        <v>515</v>
      </c>
      <c r="B515" s="57" t="s">
        <v>2171</v>
      </c>
      <c r="C515" s="34" t="s">
        <v>3789</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3792</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3690</v>
      </c>
      <c r="AX515" s="29" t="s">
        <v>3486</v>
      </c>
      <c r="AY515" s="37" t="s">
        <v>3702</v>
      </c>
      <c r="AZ515" s="29" t="s">
        <v>3700</v>
      </c>
      <c r="BA515" s="37" t="s">
        <v>3701</v>
      </c>
      <c r="BB515" s="29" t="s">
        <v>3686</v>
      </c>
      <c r="BC515" s="37" t="s">
        <v>3688</v>
      </c>
      <c r="BD515" s="29" t="s">
        <v>3687</v>
      </c>
      <c r="BE515" s="37" t="s">
        <v>3791</v>
      </c>
    </row>
    <row r="516" spans="1:57" ht="7.5" customHeight="1" x14ac:dyDescent="0.4">
      <c r="A516" s="35">
        <v>516</v>
      </c>
      <c r="B516" s="57" t="s">
        <v>2176</v>
      </c>
      <c r="C516" s="34" t="s">
        <v>3789</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3792</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3690</v>
      </c>
      <c r="AX516" s="29" t="s">
        <v>3486</v>
      </c>
      <c r="AY516" s="37" t="s">
        <v>3702</v>
      </c>
      <c r="AZ516" s="29" t="s">
        <v>3700</v>
      </c>
      <c r="BA516" s="37" t="s">
        <v>3701</v>
      </c>
      <c r="BB516" s="29" t="s">
        <v>3686</v>
      </c>
      <c r="BC516" s="37" t="s">
        <v>3688</v>
      </c>
      <c r="BD516" s="29" t="s">
        <v>3687</v>
      </c>
      <c r="BE516" s="37" t="s">
        <v>3791</v>
      </c>
    </row>
    <row r="517" spans="1:57" ht="7.5" customHeight="1" x14ac:dyDescent="0.4">
      <c r="A517" s="35">
        <v>517</v>
      </c>
      <c r="B517" s="57" t="s">
        <v>2181</v>
      </c>
      <c r="C517" s="34" t="s">
        <v>3789</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3792</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3690</v>
      </c>
      <c r="AX517" s="29" t="s">
        <v>3486</v>
      </c>
      <c r="AY517" s="37" t="s">
        <v>3702</v>
      </c>
      <c r="AZ517" s="29" t="s">
        <v>3700</v>
      </c>
      <c r="BA517" s="37" t="s">
        <v>3701</v>
      </c>
      <c r="BB517" s="29" t="s">
        <v>3686</v>
      </c>
      <c r="BC517" s="37" t="s">
        <v>3688</v>
      </c>
      <c r="BD517" s="29" t="s">
        <v>3687</v>
      </c>
      <c r="BE517" s="37" t="s">
        <v>3791</v>
      </c>
    </row>
    <row r="518" spans="1:57" ht="7.5" customHeight="1" x14ac:dyDescent="0.4">
      <c r="A518" s="35">
        <v>518</v>
      </c>
      <c r="B518" s="57" t="s">
        <v>2186</v>
      </c>
      <c r="C518" s="34" t="s">
        <v>3789</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3792</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3690</v>
      </c>
      <c r="AX518" s="29" t="s">
        <v>3486</v>
      </c>
      <c r="AY518" s="37" t="s">
        <v>3702</v>
      </c>
      <c r="AZ518" s="29" t="s">
        <v>3700</v>
      </c>
      <c r="BA518" s="37" t="s">
        <v>3701</v>
      </c>
      <c r="BB518" s="29" t="s">
        <v>3686</v>
      </c>
      <c r="BC518" s="37" t="s">
        <v>3688</v>
      </c>
      <c r="BD518" s="29" t="s">
        <v>3687</v>
      </c>
      <c r="BE518" s="37" t="s">
        <v>3791</v>
      </c>
    </row>
    <row r="519" spans="1:57" ht="7.5" customHeight="1" x14ac:dyDescent="0.4">
      <c r="A519" s="35">
        <v>519</v>
      </c>
      <c r="B519" s="57" t="s">
        <v>2191</v>
      </c>
      <c r="C519" s="34" t="s">
        <v>3789</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3792</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3690</v>
      </c>
      <c r="AX519" s="29" t="s">
        <v>3486</v>
      </c>
      <c r="AY519" s="37" t="s">
        <v>3702</v>
      </c>
      <c r="AZ519" s="29" t="s">
        <v>3700</v>
      </c>
      <c r="BA519" s="37" t="s">
        <v>3701</v>
      </c>
      <c r="BB519" s="29" t="s">
        <v>3686</v>
      </c>
      <c r="BC519" s="37" t="s">
        <v>3688</v>
      </c>
      <c r="BD519" s="29" t="s">
        <v>3687</v>
      </c>
      <c r="BE519" s="37" t="s">
        <v>3791</v>
      </c>
    </row>
    <row r="520" spans="1:57" ht="7.5" customHeight="1" x14ac:dyDescent="0.4">
      <c r="A520" s="35">
        <v>520</v>
      </c>
      <c r="B520" s="57" t="s">
        <v>2195</v>
      </c>
      <c r="C520" s="34" t="s">
        <v>3789</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3792</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3690</v>
      </c>
      <c r="AX520" s="29" t="s">
        <v>3486</v>
      </c>
      <c r="AY520" s="37" t="s">
        <v>3702</v>
      </c>
      <c r="AZ520" s="29" t="s">
        <v>3700</v>
      </c>
      <c r="BA520" s="37" t="s">
        <v>3701</v>
      </c>
      <c r="BB520" s="29" t="s">
        <v>3686</v>
      </c>
      <c r="BC520" s="37" t="s">
        <v>3688</v>
      </c>
      <c r="BD520" s="29" t="s">
        <v>3687</v>
      </c>
      <c r="BE520" s="37" t="s">
        <v>3791</v>
      </c>
    </row>
    <row r="521" spans="1:57" ht="7.5" customHeight="1" x14ac:dyDescent="0.4">
      <c r="A521" s="35">
        <v>521</v>
      </c>
      <c r="B521" s="57" t="s">
        <v>2200</v>
      </c>
      <c r="C521" s="34" t="s">
        <v>3789</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3792</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3690</v>
      </c>
      <c r="AX521" s="29" t="s">
        <v>3486</v>
      </c>
      <c r="AY521" s="37" t="s">
        <v>3702</v>
      </c>
      <c r="AZ521" s="29" t="s">
        <v>3700</v>
      </c>
      <c r="BA521" s="37" t="s">
        <v>3701</v>
      </c>
      <c r="BB521" s="29" t="s">
        <v>3686</v>
      </c>
      <c r="BC521" s="37" t="s">
        <v>3688</v>
      </c>
      <c r="BD521" s="29" t="s">
        <v>3687</v>
      </c>
      <c r="BE521" s="37" t="s">
        <v>3791</v>
      </c>
    </row>
    <row r="522" spans="1:57" ht="7.5" customHeight="1" x14ac:dyDescent="0.4">
      <c r="A522" s="35">
        <v>522</v>
      </c>
      <c r="B522" s="57" t="s">
        <v>2205</v>
      </c>
      <c r="C522" s="34" t="s">
        <v>3789</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3792</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3690</v>
      </c>
      <c r="AX522" s="29" t="s">
        <v>3486</v>
      </c>
      <c r="AY522" s="37" t="s">
        <v>3702</v>
      </c>
      <c r="AZ522" s="29" t="s">
        <v>3700</v>
      </c>
      <c r="BA522" s="37" t="s">
        <v>3701</v>
      </c>
      <c r="BB522" s="29" t="s">
        <v>3686</v>
      </c>
      <c r="BC522" s="37" t="s">
        <v>3688</v>
      </c>
      <c r="BD522" s="29" t="s">
        <v>3687</v>
      </c>
      <c r="BE522" s="37" t="s">
        <v>3791</v>
      </c>
    </row>
    <row r="523" spans="1:57" ht="7.5" customHeight="1" x14ac:dyDescent="0.4">
      <c r="A523" s="35">
        <v>523</v>
      </c>
      <c r="B523" s="57" t="s">
        <v>2210</v>
      </c>
      <c r="C523" s="34" t="s">
        <v>3789</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3792</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3690</v>
      </c>
      <c r="AX523" s="29" t="s">
        <v>3486</v>
      </c>
      <c r="AY523" s="37" t="s">
        <v>3702</v>
      </c>
      <c r="AZ523" s="29" t="s">
        <v>3700</v>
      </c>
      <c r="BA523" s="37" t="s">
        <v>3701</v>
      </c>
      <c r="BB523" s="29" t="s">
        <v>3686</v>
      </c>
      <c r="BC523" s="37" t="s">
        <v>3688</v>
      </c>
      <c r="BD523" s="29" t="s">
        <v>3687</v>
      </c>
      <c r="BE523" s="37" t="s">
        <v>3791</v>
      </c>
    </row>
    <row r="524" spans="1:57" ht="7.5" customHeight="1" x14ac:dyDescent="0.4">
      <c r="A524" s="35">
        <v>524</v>
      </c>
      <c r="B524" s="57" t="s">
        <v>2214</v>
      </c>
      <c r="C524" s="34" t="s">
        <v>3789</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3792</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3690</v>
      </c>
      <c r="AX524" s="29" t="s">
        <v>3486</v>
      </c>
      <c r="AY524" s="37" t="s">
        <v>3702</v>
      </c>
      <c r="AZ524" s="29" t="s">
        <v>3700</v>
      </c>
      <c r="BA524" s="37" t="s">
        <v>3701</v>
      </c>
      <c r="BB524" s="29" t="s">
        <v>3686</v>
      </c>
      <c r="BC524" s="37" t="s">
        <v>3688</v>
      </c>
      <c r="BD524" s="29" t="s">
        <v>3687</v>
      </c>
      <c r="BE524" s="37" t="s">
        <v>3791</v>
      </c>
    </row>
    <row r="525" spans="1:57" ht="7.5" customHeight="1" x14ac:dyDescent="0.4">
      <c r="A525" s="35">
        <v>525</v>
      </c>
      <c r="B525" s="57" t="s">
        <v>2217</v>
      </c>
      <c r="C525" s="34" t="s">
        <v>3789</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3792</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3690</v>
      </c>
      <c r="AX525" s="29" t="s">
        <v>3486</v>
      </c>
      <c r="AY525" s="37" t="s">
        <v>3702</v>
      </c>
      <c r="AZ525" s="29" t="s">
        <v>3700</v>
      </c>
      <c r="BA525" s="37" t="s">
        <v>3701</v>
      </c>
      <c r="BB525" s="29" t="s">
        <v>3686</v>
      </c>
      <c r="BC525" s="37" t="s">
        <v>3688</v>
      </c>
      <c r="BD525" s="29" t="s">
        <v>3687</v>
      </c>
      <c r="BE525" s="37" t="s">
        <v>3791</v>
      </c>
    </row>
    <row r="526" spans="1:57" ht="7.5" customHeight="1" x14ac:dyDescent="0.4">
      <c r="A526" s="35">
        <v>526</v>
      </c>
      <c r="B526" s="57" t="s">
        <v>2222</v>
      </c>
      <c r="C526" s="34" t="s">
        <v>3789</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3792</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3690</v>
      </c>
      <c r="AX526" s="29" t="s">
        <v>3486</v>
      </c>
      <c r="AY526" s="37" t="s">
        <v>3702</v>
      </c>
      <c r="AZ526" s="29" t="s">
        <v>3700</v>
      </c>
      <c r="BA526" s="37" t="s">
        <v>3701</v>
      </c>
      <c r="BB526" s="29" t="s">
        <v>3686</v>
      </c>
      <c r="BC526" s="37" t="s">
        <v>3688</v>
      </c>
      <c r="BD526" s="29" t="s">
        <v>3687</v>
      </c>
      <c r="BE526" s="37" t="s">
        <v>3791</v>
      </c>
    </row>
    <row r="527" spans="1:57" ht="7.5" customHeight="1" x14ac:dyDescent="0.4">
      <c r="A527" s="35">
        <v>527</v>
      </c>
      <c r="B527" s="57" t="s">
        <v>2225</v>
      </c>
      <c r="C527" s="34" t="s">
        <v>3789</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3792</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3690</v>
      </c>
      <c r="AX527" s="29" t="s">
        <v>3486</v>
      </c>
      <c r="AY527" s="37" t="s">
        <v>3702</v>
      </c>
      <c r="AZ527" s="29" t="s">
        <v>3700</v>
      </c>
      <c r="BA527" s="37" t="s">
        <v>3701</v>
      </c>
      <c r="BB527" s="29" t="s">
        <v>3686</v>
      </c>
      <c r="BC527" s="37" t="s">
        <v>3688</v>
      </c>
      <c r="BD527" s="29" t="s">
        <v>3687</v>
      </c>
      <c r="BE527" s="37" t="s">
        <v>3791</v>
      </c>
    </row>
    <row r="528" spans="1:57" ht="7.5" customHeight="1" x14ac:dyDescent="0.4">
      <c r="A528" s="35">
        <v>528</v>
      </c>
      <c r="B528" s="57" t="s">
        <v>2229</v>
      </c>
      <c r="C528" s="34" t="s">
        <v>3789</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3792</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3690</v>
      </c>
      <c r="AX528" s="29" t="s">
        <v>3486</v>
      </c>
      <c r="AY528" s="37" t="s">
        <v>3702</v>
      </c>
      <c r="AZ528" s="29" t="s">
        <v>3700</v>
      </c>
      <c r="BA528" s="37" t="s">
        <v>3701</v>
      </c>
      <c r="BB528" s="29" t="s">
        <v>3686</v>
      </c>
      <c r="BC528" s="37" t="s">
        <v>3688</v>
      </c>
      <c r="BD528" s="29" t="s">
        <v>3687</v>
      </c>
      <c r="BE528" s="37" t="s">
        <v>3791</v>
      </c>
    </row>
    <row r="529" spans="1:57" ht="7.5" customHeight="1" x14ac:dyDescent="0.4">
      <c r="A529" s="35">
        <v>529</v>
      </c>
      <c r="B529" s="57" t="s">
        <v>2234</v>
      </c>
      <c r="C529" s="34" t="s">
        <v>3789</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3792</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3690</v>
      </c>
      <c r="AX529" s="29" t="s">
        <v>3486</v>
      </c>
      <c r="AY529" s="37" t="s">
        <v>3702</v>
      </c>
      <c r="AZ529" s="29" t="s">
        <v>3700</v>
      </c>
      <c r="BA529" s="37" t="s">
        <v>3701</v>
      </c>
      <c r="BB529" s="29" t="s">
        <v>3686</v>
      </c>
      <c r="BC529" s="37" t="s">
        <v>3688</v>
      </c>
      <c r="BD529" s="29" t="s">
        <v>3687</v>
      </c>
      <c r="BE529" s="37" t="s">
        <v>3791</v>
      </c>
    </row>
    <row r="530" spans="1:57" ht="7.5" customHeight="1" x14ac:dyDescent="0.4">
      <c r="A530" s="35">
        <v>530</v>
      </c>
      <c r="B530" s="57" t="s">
        <v>2237</v>
      </c>
      <c r="C530" s="34" t="s">
        <v>3789</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3792</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3690</v>
      </c>
      <c r="AX530" s="29" t="s">
        <v>3486</v>
      </c>
      <c r="AY530" s="37" t="s">
        <v>3702</v>
      </c>
      <c r="AZ530" s="29" t="s">
        <v>3700</v>
      </c>
      <c r="BA530" s="37" t="s">
        <v>3701</v>
      </c>
      <c r="BB530" s="29" t="s">
        <v>3686</v>
      </c>
      <c r="BC530" s="37" t="s">
        <v>3688</v>
      </c>
      <c r="BD530" s="29" t="s">
        <v>3687</v>
      </c>
      <c r="BE530" s="37" t="s">
        <v>3791</v>
      </c>
    </row>
    <row r="531" spans="1:57" ht="7.5" customHeight="1" x14ac:dyDescent="0.4">
      <c r="A531" s="35">
        <v>531</v>
      </c>
      <c r="B531" s="57" t="s">
        <v>2241</v>
      </c>
      <c r="C531" s="34" t="s">
        <v>3789</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3792</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3690</v>
      </c>
      <c r="AX531" s="29" t="s">
        <v>3486</v>
      </c>
      <c r="AY531" s="37" t="s">
        <v>3702</v>
      </c>
      <c r="AZ531" s="29" t="s">
        <v>3700</v>
      </c>
      <c r="BA531" s="37" t="s">
        <v>3701</v>
      </c>
      <c r="BB531" s="29" t="s">
        <v>3686</v>
      </c>
      <c r="BC531" s="37" t="s">
        <v>3688</v>
      </c>
      <c r="BD531" s="29" t="s">
        <v>3687</v>
      </c>
      <c r="BE531" s="37" t="s">
        <v>3791</v>
      </c>
    </row>
    <row r="532" spans="1:57" ht="7.5" customHeight="1" x14ac:dyDescent="0.4">
      <c r="A532" s="35">
        <v>532</v>
      </c>
      <c r="B532" s="57" t="s">
        <v>2246</v>
      </c>
      <c r="C532" s="34" t="s">
        <v>3789</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3792</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3690</v>
      </c>
      <c r="AX532" s="29" t="s">
        <v>3486</v>
      </c>
      <c r="AY532" s="37" t="s">
        <v>3702</v>
      </c>
      <c r="AZ532" s="29" t="s">
        <v>3700</v>
      </c>
      <c r="BA532" s="37" t="s">
        <v>3701</v>
      </c>
      <c r="BB532" s="29" t="s">
        <v>3686</v>
      </c>
      <c r="BC532" s="37" t="s">
        <v>3688</v>
      </c>
      <c r="BD532" s="29" t="s">
        <v>3687</v>
      </c>
      <c r="BE532" s="37" t="s">
        <v>3791</v>
      </c>
    </row>
    <row r="533" spans="1:57" ht="7.5" customHeight="1" x14ac:dyDescent="0.4">
      <c r="A533" s="35">
        <v>533</v>
      </c>
      <c r="B533" s="57" t="s">
        <v>2250</v>
      </c>
      <c r="C533" s="34" t="s">
        <v>3789</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3792</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3690</v>
      </c>
      <c r="AX533" s="29" t="s">
        <v>3486</v>
      </c>
      <c r="AY533" s="37" t="s">
        <v>3702</v>
      </c>
      <c r="AZ533" s="29" t="s">
        <v>3700</v>
      </c>
      <c r="BA533" s="37" t="s">
        <v>3701</v>
      </c>
      <c r="BB533" s="29" t="s">
        <v>3686</v>
      </c>
      <c r="BC533" s="37" t="s">
        <v>3688</v>
      </c>
      <c r="BD533" s="29" t="s">
        <v>3687</v>
      </c>
      <c r="BE533" s="37" t="s">
        <v>3791</v>
      </c>
    </row>
    <row r="534" spans="1:57" ht="7.5" customHeight="1" x14ac:dyDescent="0.4">
      <c r="A534" s="35">
        <v>534</v>
      </c>
      <c r="B534" s="57" t="s">
        <v>2255</v>
      </c>
      <c r="C534" s="34" t="s">
        <v>3789</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3792</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3690</v>
      </c>
      <c r="AX534" s="29" t="s">
        <v>3486</v>
      </c>
      <c r="AY534" s="37" t="s">
        <v>3702</v>
      </c>
      <c r="AZ534" s="29" t="s">
        <v>3700</v>
      </c>
      <c r="BA534" s="37" t="s">
        <v>3701</v>
      </c>
      <c r="BB534" s="29" t="s">
        <v>3686</v>
      </c>
      <c r="BC534" s="37" t="s">
        <v>3688</v>
      </c>
      <c r="BD534" s="29" t="s">
        <v>3687</v>
      </c>
      <c r="BE534" s="37" t="s">
        <v>3791</v>
      </c>
    </row>
    <row r="535" spans="1:57" ht="7.5" customHeight="1" x14ac:dyDescent="0.4">
      <c r="A535" s="35">
        <v>535</v>
      </c>
      <c r="B535" s="57" t="s">
        <v>2260</v>
      </c>
      <c r="C535" s="34" t="s">
        <v>3789</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3792</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3690</v>
      </c>
      <c r="AX535" s="29" t="s">
        <v>3486</v>
      </c>
      <c r="AY535" s="37" t="s">
        <v>3702</v>
      </c>
      <c r="AZ535" s="29" t="s">
        <v>3700</v>
      </c>
      <c r="BA535" s="37" t="s">
        <v>3701</v>
      </c>
      <c r="BB535" s="29" t="s">
        <v>3686</v>
      </c>
      <c r="BC535" s="37" t="s">
        <v>3688</v>
      </c>
      <c r="BD535" s="29" t="s">
        <v>3687</v>
      </c>
      <c r="BE535" s="37" t="s">
        <v>3791</v>
      </c>
    </row>
    <row r="536" spans="1:57" ht="7.5" customHeight="1" x14ac:dyDescent="0.4">
      <c r="A536" s="35">
        <v>536</v>
      </c>
      <c r="B536" s="57" t="s">
        <v>2265</v>
      </c>
      <c r="C536" s="34" t="s">
        <v>3789</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3792</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3690</v>
      </c>
      <c r="AX536" s="29" t="s">
        <v>3486</v>
      </c>
      <c r="AY536" s="37" t="s">
        <v>3702</v>
      </c>
      <c r="AZ536" s="29" t="s">
        <v>3700</v>
      </c>
      <c r="BA536" s="37" t="s">
        <v>3701</v>
      </c>
      <c r="BB536" s="29" t="s">
        <v>3686</v>
      </c>
      <c r="BC536" s="37" t="s">
        <v>3688</v>
      </c>
      <c r="BD536" s="29" t="s">
        <v>3687</v>
      </c>
      <c r="BE536" s="37" t="s">
        <v>3791</v>
      </c>
    </row>
    <row r="537" spans="1:57" ht="7.5" customHeight="1" x14ac:dyDescent="0.4">
      <c r="A537" s="35">
        <v>537</v>
      </c>
      <c r="B537" s="57" t="s">
        <v>2270</v>
      </c>
      <c r="C537" s="34" t="s">
        <v>3789</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3792</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3690</v>
      </c>
      <c r="AX537" s="29" t="s">
        <v>3486</v>
      </c>
      <c r="AY537" s="37" t="s">
        <v>3702</v>
      </c>
      <c r="AZ537" s="29" t="s">
        <v>3700</v>
      </c>
      <c r="BA537" s="37" t="s">
        <v>3701</v>
      </c>
      <c r="BB537" s="29" t="s">
        <v>3686</v>
      </c>
      <c r="BC537" s="37" t="s">
        <v>3688</v>
      </c>
      <c r="BD537" s="29" t="s">
        <v>3687</v>
      </c>
      <c r="BE537" s="37" t="s">
        <v>3791</v>
      </c>
    </row>
    <row r="538" spans="1:57" ht="7.5" customHeight="1" x14ac:dyDescent="0.4">
      <c r="A538" s="35">
        <v>538</v>
      </c>
      <c r="B538" s="57" t="s">
        <v>2275</v>
      </c>
      <c r="C538" s="34" t="s">
        <v>3789</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3792</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3690</v>
      </c>
      <c r="AX538" s="29" t="s">
        <v>3486</v>
      </c>
      <c r="AY538" s="37" t="s">
        <v>3702</v>
      </c>
      <c r="AZ538" s="29" t="s">
        <v>3700</v>
      </c>
      <c r="BA538" s="37" t="s">
        <v>3701</v>
      </c>
      <c r="BB538" s="29" t="s">
        <v>3686</v>
      </c>
      <c r="BC538" s="37" t="s">
        <v>3688</v>
      </c>
      <c r="BD538" s="29" t="s">
        <v>3687</v>
      </c>
      <c r="BE538" s="37" t="s">
        <v>3791</v>
      </c>
    </row>
    <row r="539" spans="1:57" ht="7.5" customHeight="1" x14ac:dyDescent="0.4">
      <c r="A539" s="35">
        <v>539</v>
      </c>
      <c r="B539" s="57" t="s">
        <v>2278</v>
      </c>
      <c r="C539" s="34" t="s">
        <v>3789</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3792</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3690</v>
      </c>
      <c r="AX539" s="29" t="s">
        <v>3486</v>
      </c>
      <c r="AY539" s="37" t="s">
        <v>3702</v>
      </c>
      <c r="AZ539" s="29" t="s">
        <v>3700</v>
      </c>
      <c r="BA539" s="37" t="s">
        <v>3701</v>
      </c>
      <c r="BB539" s="29" t="s">
        <v>3686</v>
      </c>
      <c r="BC539" s="37" t="s">
        <v>3688</v>
      </c>
      <c r="BD539" s="29" t="s">
        <v>3687</v>
      </c>
      <c r="BE539" s="37" t="s">
        <v>3791</v>
      </c>
    </row>
    <row r="540" spans="1:57" ht="7.5" customHeight="1" x14ac:dyDescent="0.4">
      <c r="A540" s="35">
        <v>540</v>
      </c>
      <c r="B540" s="57" t="s">
        <v>2283</v>
      </c>
      <c r="C540" s="34" t="s">
        <v>3789</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3792</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3690</v>
      </c>
      <c r="AX540" s="29" t="s">
        <v>3486</v>
      </c>
      <c r="AY540" s="37" t="s">
        <v>3702</v>
      </c>
      <c r="AZ540" s="29" t="s">
        <v>3700</v>
      </c>
      <c r="BA540" s="37" t="s">
        <v>3701</v>
      </c>
      <c r="BB540" s="29" t="s">
        <v>3686</v>
      </c>
      <c r="BC540" s="37" t="s">
        <v>3688</v>
      </c>
      <c r="BD540" s="29" t="s">
        <v>3687</v>
      </c>
      <c r="BE540" s="37" t="s">
        <v>3791</v>
      </c>
    </row>
    <row r="541" spans="1:57" ht="7.5" customHeight="1" x14ac:dyDescent="0.4">
      <c r="A541" s="35">
        <v>541</v>
      </c>
      <c r="B541" s="57" t="s">
        <v>2287</v>
      </c>
      <c r="C541" s="34" t="s">
        <v>3789</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3792</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3690</v>
      </c>
      <c r="AX541" s="29" t="s">
        <v>3486</v>
      </c>
      <c r="AY541" s="37" t="s">
        <v>3702</v>
      </c>
      <c r="AZ541" s="29" t="s">
        <v>3700</v>
      </c>
      <c r="BA541" s="37" t="s">
        <v>3701</v>
      </c>
      <c r="BB541" s="29" t="s">
        <v>3686</v>
      </c>
      <c r="BC541" s="37" t="s">
        <v>3688</v>
      </c>
      <c r="BD541" s="29" t="s">
        <v>3687</v>
      </c>
      <c r="BE541" s="37" t="s">
        <v>3791</v>
      </c>
    </row>
    <row r="542" spans="1:57" ht="7.5" customHeight="1" x14ac:dyDescent="0.4">
      <c r="A542" s="35">
        <v>542</v>
      </c>
      <c r="B542" s="57" t="s">
        <v>2292</v>
      </c>
      <c r="C542" s="34" t="s">
        <v>3789</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3792</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3690</v>
      </c>
      <c r="AX542" s="29" t="s">
        <v>3486</v>
      </c>
      <c r="AY542" s="37" t="s">
        <v>3702</v>
      </c>
      <c r="AZ542" s="29" t="s">
        <v>3700</v>
      </c>
      <c r="BA542" s="37" t="s">
        <v>3701</v>
      </c>
      <c r="BB542" s="29" t="s">
        <v>3686</v>
      </c>
      <c r="BC542" s="37" t="s">
        <v>3688</v>
      </c>
      <c r="BD542" s="29" t="s">
        <v>3687</v>
      </c>
      <c r="BE542" s="37" t="s">
        <v>3791</v>
      </c>
    </row>
    <row r="543" spans="1:57" ht="7.5" customHeight="1" x14ac:dyDescent="0.4">
      <c r="A543" s="35">
        <v>543</v>
      </c>
      <c r="B543" s="57" t="s">
        <v>2296</v>
      </c>
      <c r="C543" s="34" t="s">
        <v>3789</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3792</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3690</v>
      </c>
      <c r="AX543" s="29" t="s">
        <v>3486</v>
      </c>
      <c r="AY543" s="37" t="s">
        <v>3702</v>
      </c>
      <c r="AZ543" s="29" t="s">
        <v>3700</v>
      </c>
      <c r="BA543" s="37" t="s">
        <v>3701</v>
      </c>
      <c r="BB543" s="29" t="s">
        <v>3686</v>
      </c>
      <c r="BC543" s="37" t="s">
        <v>3688</v>
      </c>
      <c r="BD543" s="29" t="s">
        <v>3687</v>
      </c>
      <c r="BE543" s="37" t="s">
        <v>3791</v>
      </c>
    </row>
    <row r="544" spans="1:57" ht="7.5" customHeight="1" x14ac:dyDescent="0.4">
      <c r="A544" s="35">
        <v>544</v>
      </c>
      <c r="B544" s="57" t="s">
        <v>2301</v>
      </c>
      <c r="C544" s="34" t="s">
        <v>3789</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3792</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3690</v>
      </c>
      <c r="AX544" s="29" t="s">
        <v>3486</v>
      </c>
      <c r="AY544" s="37" t="s">
        <v>3702</v>
      </c>
      <c r="AZ544" s="29" t="s">
        <v>3700</v>
      </c>
      <c r="BA544" s="37" t="s">
        <v>3701</v>
      </c>
      <c r="BB544" s="29" t="s">
        <v>3686</v>
      </c>
      <c r="BC544" s="37" t="s">
        <v>3688</v>
      </c>
      <c r="BD544" s="29" t="s">
        <v>3687</v>
      </c>
      <c r="BE544" s="37" t="s">
        <v>3791</v>
      </c>
    </row>
    <row r="545" spans="1:57" ht="7.5" customHeight="1" x14ac:dyDescent="0.4">
      <c r="A545" s="35">
        <v>545</v>
      </c>
      <c r="B545" s="57" t="s">
        <v>2305</v>
      </c>
      <c r="C545" s="34" t="s">
        <v>3789</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3792</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3690</v>
      </c>
      <c r="AX545" s="29" t="s">
        <v>3486</v>
      </c>
      <c r="AY545" s="37" t="s">
        <v>3702</v>
      </c>
      <c r="AZ545" s="29" t="s">
        <v>3700</v>
      </c>
      <c r="BA545" s="37" t="s">
        <v>3701</v>
      </c>
      <c r="BB545" s="29" t="s">
        <v>3686</v>
      </c>
      <c r="BC545" s="37" t="s">
        <v>3688</v>
      </c>
      <c r="BD545" s="29" t="s">
        <v>3687</v>
      </c>
      <c r="BE545" s="37" t="s">
        <v>3791</v>
      </c>
    </row>
    <row r="546" spans="1:57" ht="7.5" customHeight="1" x14ac:dyDescent="0.4">
      <c r="A546" s="35">
        <v>546</v>
      </c>
      <c r="B546" s="57" t="s">
        <v>2308</v>
      </c>
      <c r="C546" s="34" t="s">
        <v>3789</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3792</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3690</v>
      </c>
      <c r="AX546" s="29" t="s">
        <v>3486</v>
      </c>
      <c r="AY546" s="37" t="s">
        <v>3702</v>
      </c>
      <c r="AZ546" s="29" t="s">
        <v>3700</v>
      </c>
      <c r="BA546" s="37" t="s">
        <v>3701</v>
      </c>
      <c r="BB546" s="29" t="s">
        <v>3686</v>
      </c>
      <c r="BC546" s="37" t="s">
        <v>3688</v>
      </c>
      <c r="BD546" s="29" t="s">
        <v>3687</v>
      </c>
      <c r="BE546" s="37" t="s">
        <v>3791</v>
      </c>
    </row>
    <row r="547" spans="1:57" ht="7.5" customHeight="1" x14ac:dyDescent="0.4">
      <c r="A547" s="35">
        <v>547</v>
      </c>
      <c r="B547" s="57" t="s">
        <v>2312</v>
      </c>
      <c r="C547" s="34" t="s">
        <v>3789</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3792</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3690</v>
      </c>
      <c r="AX547" s="29" t="s">
        <v>3486</v>
      </c>
      <c r="AY547" s="37" t="s">
        <v>3702</v>
      </c>
      <c r="AZ547" s="29" t="s">
        <v>3700</v>
      </c>
      <c r="BA547" s="37" t="s">
        <v>3701</v>
      </c>
      <c r="BB547" s="29" t="s">
        <v>3686</v>
      </c>
      <c r="BC547" s="37" t="s">
        <v>3688</v>
      </c>
      <c r="BD547" s="29" t="s">
        <v>3687</v>
      </c>
      <c r="BE547" s="37" t="s">
        <v>3791</v>
      </c>
    </row>
    <row r="548" spans="1:57" ht="7.5" customHeight="1" x14ac:dyDescent="0.4">
      <c r="A548" s="35">
        <v>548</v>
      </c>
      <c r="B548" s="57" t="s">
        <v>2317</v>
      </c>
      <c r="C548" s="34" t="s">
        <v>3789</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3792</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3690</v>
      </c>
      <c r="AX548" s="29" t="s">
        <v>3486</v>
      </c>
      <c r="AY548" s="37" t="s">
        <v>3702</v>
      </c>
      <c r="AZ548" s="29" t="s">
        <v>3700</v>
      </c>
      <c r="BA548" s="37" t="s">
        <v>3701</v>
      </c>
      <c r="BB548" s="29" t="s">
        <v>3686</v>
      </c>
      <c r="BC548" s="37" t="s">
        <v>3688</v>
      </c>
      <c r="BD548" s="29" t="s">
        <v>3687</v>
      </c>
      <c r="BE548" s="37" t="s">
        <v>3791</v>
      </c>
    </row>
    <row r="549" spans="1:57" ht="7.5" customHeight="1" x14ac:dyDescent="0.4">
      <c r="A549" s="35">
        <v>549</v>
      </c>
      <c r="B549" s="57" t="s">
        <v>2322</v>
      </c>
      <c r="C549" s="34" t="s">
        <v>3789</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3792</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3690</v>
      </c>
      <c r="AX549" s="29" t="s">
        <v>3486</v>
      </c>
      <c r="AY549" s="37" t="s">
        <v>3702</v>
      </c>
      <c r="AZ549" s="29" t="s">
        <v>3700</v>
      </c>
      <c r="BA549" s="37" t="s">
        <v>3701</v>
      </c>
      <c r="BB549" s="29" t="s">
        <v>3686</v>
      </c>
      <c r="BC549" s="37" t="s">
        <v>3688</v>
      </c>
      <c r="BD549" s="29" t="s">
        <v>3687</v>
      </c>
      <c r="BE549" s="37" t="s">
        <v>3791</v>
      </c>
    </row>
    <row r="550" spans="1:57" ht="7.5" customHeight="1" x14ac:dyDescent="0.4">
      <c r="A550" s="35">
        <v>550</v>
      </c>
      <c r="B550" s="57" t="s">
        <v>2327</v>
      </c>
      <c r="C550" s="34" t="s">
        <v>3789</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3792</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3690</v>
      </c>
      <c r="AX550" s="29" t="s">
        <v>3486</v>
      </c>
      <c r="AY550" s="37" t="s">
        <v>3702</v>
      </c>
      <c r="AZ550" s="29" t="s">
        <v>3700</v>
      </c>
      <c r="BA550" s="37" t="s">
        <v>3701</v>
      </c>
      <c r="BB550" s="29" t="s">
        <v>3686</v>
      </c>
      <c r="BC550" s="37" t="s">
        <v>3688</v>
      </c>
      <c r="BD550" s="29" t="s">
        <v>3687</v>
      </c>
      <c r="BE550" s="37" t="s">
        <v>3791</v>
      </c>
    </row>
    <row r="551" spans="1:57" ht="7.5" customHeight="1" x14ac:dyDescent="0.4">
      <c r="A551" s="35">
        <v>551</v>
      </c>
      <c r="B551" s="57" t="s">
        <v>2332</v>
      </c>
      <c r="C551" s="34" t="s">
        <v>3789</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3792</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3690</v>
      </c>
      <c r="AX551" s="29" t="s">
        <v>3486</v>
      </c>
      <c r="AY551" s="37" t="s">
        <v>3702</v>
      </c>
      <c r="AZ551" s="29" t="s">
        <v>3700</v>
      </c>
      <c r="BA551" s="37" t="s">
        <v>3701</v>
      </c>
      <c r="BB551" s="29" t="s">
        <v>3686</v>
      </c>
      <c r="BC551" s="37" t="s">
        <v>3688</v>
      </c>
      <c r="BD551" s="29" t="s">
        <v>3687</v>
      </c>
      <c r="BE551" s="37" t="s">
        <v>3791</v>
      </c>
    </row>
    <row r="552" spans="1:57" ht="7.5" customHeight="1" x14ac:dyDescent="0.4">
      <c r="A552" s="35">
        <v>552</v>
      </c>
      <c r="B552" s="57" t="s">
        <v>2335</v>
      </c>
      <c r="C552" s="34" t="s">
        <v>3789</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3792</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3690</v>
      </c>
      <c r="AX552" s="29" t="s">
        <v>3486</v>
      </c>
      <c r="AY552" s="37" t="s">
        <v>3702</v>
      </c>
      <c r="AZ552" s="29" t="s">
        <v>3700</v>
      </c>
      <c r="BA552" s="37" t="s">
        <v>3701</v>
      </c>
      <c r="BB552" s="29" t="s">
        <v>3686</v>
      </c>
      <c r="BC552" s="37" t="s">
        <v>3688</v>
      </c>
      <c r="BD552" s="29" t="s">
        <v>3687</v>
      </c>
      <c r="BE552" s="37" t="s">
        <v>3791</v>
      </c>
    </row>
    <row r="553" spans="1:57" ht="7.5" customHeight="1" x14ac:dyDescent="0.4">
      <c r="A553" s="35">
        <v>553</v>
      </c>
      <c r="B553" s="57" t="s">
        <v>2339</v>
      </c>
      <c r="C553" s="34" t="s">
        <v>3789</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3792</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3690</v>
      </c>
      <c r="AX553" s="29" t="s">
        <v>3486</v>
      </c>
      <c r="AY553" s="37" t="s">
        <v>3702</v>
      </c>
      <c r="AZ553" s="29" t="s">
        <v>3700</v>
      </c>
      <c r="BA553" s="37" t="s">
        <v>3701</v>
      </c>
      <c r="BB553" s="29" t="s">
        <v>3686</v>
      </c>
      <c r="BC553" s="37" t="s">
        <v>3688</v>
      </c>
      <c r="BD553" s="29" t="s">
        <v>3687</v>
      </c>
      <c r="BE553" s="37" t="s">
        <v>3791</v>
      </c>
    </row>
    <row r="554" spans="1:57" ht="7.5" customHeight="1" x14ac:dyDescent="0.4">
      <c r="A554" s="35">
        <v>554</v>
      </c>
      <c r="B554" s="57" t="s">
        <v>2343</v>
      </c>
      <c r="C554" s="34" t="s">
        <v>3789</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3792</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3690</v>
      </c>
      <c r="AX554" s="29" t="s">
        <v>3486</v>
      </c>
      <c r="AY554" s="37" t="s">
        <v>3702</v>
      </c>
      <c r="AZ554" s="29" t="s">
        <v>3700</v>
      </c>
      <c r="BA554" s="37" t="s">
        <v>3701</v>
      </c>
      <c r="BB554" s="29" t="s">
        <v>3686</v>
      </c>
      <c r="BC554" s="37" t="s">
        <v>3688</v>
      </c>
      <c r="BD554" s="29" t="s">
        <v>3687</v>
      </c>
      <c r="BE554" s="37" t="s">
        <v>3791</v>
      </c>
    </row>
    <row r="555" spans="1:57" ht="7.5" customHeight="1" x14ac:dyDescent="0.4">
      <c r="A555" s="35">
        <v>555</v>
      </c>
      <c r="B555" s="57" t="s">
        <v>2348</v>
      </c>
      <c r="C555" s="34" t="s">
        <v>3789</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3792</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3690</v>
      </c>
      <c r="AX555" s="29" t="s">
        <v>3486</v>
      </c>
      <c r="AY555" s="37" t="s">
        <v>3702</v>
      </c>
      <c r="AZ555" s="29" t="s">
        <v>3700</v>
      </c>
      <c r="BA555" s="37" t="s">
        <v>3701</v>
      </c>
      <c r="BB555" s="29" t="s">
        <v>3686</v>
      </c>
      <c r="BC555" s="37" t="s">
        <v>3688</v>
      </c>
      <c r="BD555" s="29" t="s">
        <v>3687</v>
      </c>
      <c r="BE555" s="37" t="s">
        <v>3791</v>
      </c>
    </row>
    <row r="556" spans="1:57" ht="7.5" customHeight="1" x14ac:dyDescent="0.4">
      <c r="A556" s="35">
        <v>556</v>
      </c>
      <c r="B556" s="57" t="s">
        <v>2353</v>
      </c>
      <c r="C556" s="34" t="s">
        <v>3789</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3792</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3690</v>
      </c>
      <c r="AX556" s="29" t="s">
        <v>3486</v>
      </c>
      <c r="AY556" s="37" t="s">
        <v>3702</v>
      </c>
      <c r="AZ556" s="29" t="s">
        <v>3700</v>
      </c>
      <c r="BA556" s="37" t="s">
        <v>3701</v>
      </c>
      <c r="BB556" s="29" t="s">
        <v>3686</v>
      </c>
      <c r="BC556" s="37" t="s">
        <v>3688</v>
      </c>
      <c r="BD556" s="29" t="s">
        <v>3687</v>
      </c>
      <c r="BE556" s="37" t="s">
        <v>3791</v>
      </c>
    </row>
    <row r="557" spans="1:57" ht="7.5" customHeight="1" x14ac:dyDescent="0.4">
      <c r="A557" s="35">
        <v>557</v>
      </c>
      <c r="B557" s="57" t="s">
        <v>2357</v>
      </c>
      <c r="C557" s="34" t="s">
        <v>3789</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3792</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3690</v>
      </c>
      <c r="AX557" s="29" t="s">
        <v>3486</v>
      </c>
      <c r="AY557" s="37" t="s">
        <v>3702</v>
      </c>
      <c r="AZ557" s="29" t="s">
        <v>3700</v>
      </c>
      <c r="BA557" s="37" t="s">
        <v>3701</v>
      </c>
      <c r="BB557" s="29" t="s">
        <v>3686</v>
      </c>
      <c r="BC557" s="37" t="s">
        <v>3688</v>
      </c>
      <c r="BD557" s="29" t="s">
        <v>3687</v>
      </c>
      <c r="BE557" s="37" t="s">
        <v>3791</v>
      </c>
    </row>
    <row r="558" spans="1:57" ht="7.5" customHeight="1" x14ac:dyDescent="0.4">
      <c r="A558" s="35">
        <v>558</v>
      </c>
      <c r="B558" s="57" t="s">
        <v>2362</v>
      </c>
      <c r="C558" s="34" t="s">
        <v>3789</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3792</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3690</v>
      </c>
      <c r="AX558" s="29" t="s">
        <v>3486</v>
      </c>
      <c r="AY558" s="37" t="s">
        <v>3702</v>
      </c>
      <c r="AZ558" s="29" t="s">
        <v>3700</v>
      </c>
      <c r="BA558" s="37" t="s">
        <v>3701</v>
      </c>
      <c r="BB558" s="29" t="s">
        <v>3686</v>
      </c>
      <c r="BC558" s="37" t="s">
        <v>3688</v>
      </c>
      <c r="BD558" s="29" t="s">
        <v>3687</v>
      </c>
      <c r="BE558" s="37" t="s">
        <v>3791</v>
      </c>
    </row>
    <row r="559" spans="1:57" ht="7.5" customHeight="1" x14ac:dyDescent="0.4">
      <c r="A559" s="35">
        <v>559</v>
      </c>
      <c r="B559" s="57" t="s">
        <v>2367</v>
      </c>
      <c r="C559" s="34" t="s">
        <v>3789</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3792</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3690</v>
      </c>
      <c r="AX559" s="29" t="s">
        <v>3486</v>
      </c>
      <c r="AY559" s="37" t="s">
        <v>3702</v>
      </c>
      <c r="AZ559" s="29" t="s">
        <v>3700</v>
      </c>
      <c r="BA559" s="37" t="s">
        <v>3701</v>
      </c>
      <c r="BB559" s="29" t="s">
        <v>3686</v>
      </c>
      <c r="BC559" s="37" t="s">
        <v>3688</v>
      </c>
      <c r="BD559" s="29" t="s">
        <v>3687</v>
      </c>
      <c r="BE559" s="37" t="s">
        <v>3791</v>
      </c>
    </row>
    <row r="560" spans="1:57" ht="7.5" customHeight="1" x14ac:dyDescent="0.4">
      <c r="A560" s="35">
        <v>560</v>
      </c>
      <c r="B560" s="57" t="s">
        <v>2372</v>
      </c>
      <c r="C560" s="34" t="s">
        <v>3789</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3792</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3690</v>
      </c>
      <c r="AX560" s="29" t="s">
        <v>3486</v>
      </c>
      <c r="AY560" s="37" t="s">
        <v>3702</v>
      </c>
      <c r="AZ560" s="29" t="s">
        <v>3700</v>
      </c>
      <c r="BA560" s="37" t="s">
        <v>3701</v>
      </c>
      <c r="BB560" s="29" t="s">
        <v>3686</v>
      </c>
      <c r="BC560" s="37" t="s">
        <v>3688</v>
      </c>
      <c r="BD560" s="29" t="s">
        <v>3687</v>
      </c>
      <c r="BE560" s="37" t="s">
        <v>3791</v>
      </c>
    </row>
    <row r="561" spans="1:57" ht="7.5" customHeight="1" x14ac:dyDescent="0.4">
      <c r="A561" s="35">
        <v>561</v>
      </c>
      <c r="B561" s="57" t="s">
        <v>2375</v>
      </c>
      <c r="C561" s="34" t="s">
        <v>3789</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3792</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3690</v>
      </c>
      <c r="AX561" s="29" t="s">
        <v>3486</v>
      </c>
      <c r="AY561" s="37" t="s">
        <v>3702</v>
      </c>
      <c r="AZ561" s="29" t="s">
        <v>3700</v>
      </c>
      <c r="BA561" s="37" t="s">
        <v>3701</v>
      </c>
      <c r="BB561" s="29" t="s">
        <v>3686</v>
      </c>
      <c r="BC561" s="37" t="s">
        <v>3688</v>
      </c>
      <c r="BD561" s="29" t="s">
        <v>3687</v>
      </c>
      <c r="BE561" s="37" t="s">
        <v>3791</v>
      </c>
    </row>
    <row r="562" spans="1:57" ht="7.5" customHeight="1" x14ac:dyDescent="0.4">
      <c r="A562" s="35">
        <v>562</v>
      </c>
      <c r="B562" s="57" t="s">
        <v>2380</v>
      </c>
      <c r="C562" s="34" t="s">
        <v>3789</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3792</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3690</v>
      </c>
      <c r="AX562" s="29" t="s">
        <v>3486</v>
      </c>
      <c r="AY562" s="37" t="s">
        <v>3702</v>
      </c>
      <c r="AZ562" s="29" t="s">
        <v>3700</v>
      </c>
      <c r="BA562" s="37" t="s">
        <v>3701</v>
      </c>
      <c r="BB562" s="29" t="s">
        <v>3686</v>
      </c>
      <c r="BC562" s="37" t="s">
        <v>3688</v>
      </c>
      <c r="BD562" s="29" t="s">
        <v>3687</v>
      </c>
      <c r="BE562" s="37" t="s">
        <v>3791</v>
      </c>
    </row>
    <row r="563" spans="1:57" ht="7.5" customHeight="1" x14ac:dyDescent="0.4">
      <c r="A563" s="35">
        <v>563</v>
      </c>
      <c r="B563" s="57" t="s">
        <v>2385</v>
      </c>
      <c r="C563" s="34" t="s">
        <v>3789</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3792</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3690</v>
      </c>
      <c r="AX563" s="29" t="s">
        <v>3486</v>
      </c>
      <c r="AY563" s="37" t="s">
        <v>3702</v>
      </c>
      <c r="AZ563" s="29" t="s">
        <v>3700</v>
      </c>
      <c r="BA563" s="37" t="s">
        <v>3701</v>
      </c>
      <c r="BB563" s="29" t="s">
        <v>3686</v>
      </c>
      <c r="BC563" s="37" t="s">
        <v>3688</v>
      </c>
      <c r="BD563" s="29" t="s">
        <v>3687</v>
      </c>
      <c r="BE563" s="37" t="s">
        <v>3791</v>
      </c>
    </row>
    <row r="564" spans="1:57" ht="7.5" customHeight="1" x14ac:dyDescent="0.4">
      <c r="A564" s="35">
        <v>564</v>
      </c>
      <c r="B564" s="57" t="s">
        <v>2390</v>
      </c>
      <c r="C564" s="34" t="s">
        <v>3789</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3792</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3690</v>
      </c>
      <c r="AX564" s="29" t="s">
        <v>3486</v>
      </c>
      <c r="AY564" s="37" t="s">
        <v>3702</v>
      </c>
      <c r="AZ564" s="29" t="s">
        <v>3700</v>
      </c>
      <c r="BA564" s="37" t="s">
        <v>3701</v>
      </c>
      <c r="BB564" s="29" t="s">
        <v>3686</v>
      </c>
      <c r="BC564" s="37" t="s">
        <v>3688</v>
      </c>
      <c r="BD564" s="29" t="s">
        <v>3687</v>
      </c>
      <c r="BE564" s="37" t="s">
        <v>3791</v>
      </c>
    </row>
    <row r="565" spans="1:57" ht="7.5" customHeight="1" x14ac:dyDescent="0.4">
      <c r="A565" s="35">
        <v>565</v>
      </c>
      <c r="B565" s="57" t="s">
        <v>2394</v>
      </c>
      <c r="C565" s="34" t="s">
        <v>3789</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3792</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3690</v>
      </c>
      <c r="AX565" s="29" t="s">
        <v>3486</v>
      </c>
      <c r="AY565" s="37" t="s">
        <v>3702</v>
      </c>
      <c r="AZ565" s="29" t="s">
        <v>3700</v>
      </c>
      <c r="BA565" s="37" t="s">
        <v>3701</v>
      </c>
      <c r="BB565" s="29" t="s">
        <v>3686</v>
      </c>
      <c r="BC565" s="37" t="s">
        <v>3688</v>
      </c>
      <c r="BD565" s="29" t="s">
        <v>3687</v>
      </c>
      <c r="BE565" s="37" t="s">
        <v>3791</v>
      </c>
    </row>
    <row r="566" spans="1:57" ht="7.5" customHeight="1" x14ac:dyDescent="0.4">
      <c r="A566" s="35">
        <v>566</v>
      </c>
      <c r="B566" s="57" t="s">
        <v>2399</v>
      </c>
      <c r="C566" s="34" t="s">
        <v>3789</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3792</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3690</v>
      </c>
      <c r="AX566" s="29" t="s">
        <v>3486</v>
      </c>
      <c r="AY566" s="37" t="s">
        <v>3702</v>
      </c>
      <c r="AZ566" s="29" t="s">
        <v>3700</v>
      </c>
      <c r="BA566" s="37" t="s">
        <v>3701</v>
      </c>
      <c r="BB566" s="29" t="s">
        <v>3686</v>
      </c>
      <c r="BC566" s="37" t="s">
        <v>3688</v>
      </c>
      <c r="BD566" s="29" t="s">
        <v>3687</v>
      </c>
      <c r="BE566" s="37" t="s">
        <v>3791</v>
      </c>
    </row>
    <row r="567" spans="1:57" ht="7.5" customHeight="1" x14ac:dyDescent="0.4">
      <c r="A567" s="35">
        <v>567</v>
      </c>
      <c r="B567" s="57" t="s">
        <v>2404</v>
      </c>
      <c r="C567" s="34" t="s">
        <v>3789</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3792</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3690</v>
      </c>
      <c r="AX567" s="29" t="s">
        <v>3486</v>
      </c>
      <c r="AY567" s="37" t="s">
        <v>3702</v>
      </c>
      <c r="AZ567" s="29" t="s">
        <v>3700</v>
      </c>
      <c r="BA567" s="37" t="s">
        <v>3701</v>
      </c>
      <c r="BB567" s="29" t="s">
        <v>3686</v>
      </c>
      <c r="BC567" s="37" t="s">
        <v>3688</v>
      </c>
      <c r="BD567" s="29" t="s">
        <v>3687</v>
      </c>
      <c r="BE567" s="37" t="s">
        <v>3791</v>
      </c>
    </row>
    <row r="568" spans="1:57" ht="7.5" customHeight="1" x14ac:dyDescent="0.4">
      <c r="A568" s="35">
        <v>568</v>
      </c>
      <c r="B568" s="57" t="s">
        <v>2409</v>
      </c>
      <c r="C568" s="34" t="s">
        <v>3789</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3792</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3690</v>
      </c>
      <c r="AX568" s="29" t="s">
        <v>3486</v>
      </c>
      <c r="AY568" s="37" t="s">
        <v>3702</v>
      </c>
      <c r="AZ568" s="29" t="s">
        <v>3700</v>
      </c>
      <c r="BA568" s="37" t="s">
        <v>3701</v>
      </c>
      <c r="BB568" s="29" t="s">
        <v>3686</v>
      </c>
      <c r="BC568" s="37" t="s">
        <v>3688</v>
      </c>
      <c r="BD568" s="29" t="s">
        <v>3687</v>
      </c>
      <c r="BE568" s="37" t="s">
        <v>3791</v>
      </c>
    </row>
    <row r="569" spans="1:57" ht="7.5" customHeight="1" x14ac:dyDescent="0.4">
      <c r="A569" s="35">
        <v>569</v>
      </c>
      <c r="B569" s="57" t="s">
        <v>2413</v>
      </c>
      <c r="C569" s="34" t="s">
        <v>3789</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3792</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3690</v>
      </c>
      <c r="AX569" s="29" t="s">
        <v>3486</v>
      </c>
      <c r="AY569" s="37" t="s">
        <v>3702</v>
      </c>
      <c r="AZ569" s="29" t="s">
        <v>3700</v>
      </c>
      <c r="BA569" s="37" t="s">
        <v>3701</v>
      </c>
      <c r="BB569" s="29" t="s">
        <v>3686</v>
      </c>
      <c r="BC569" s="37" t="s">
        <v>3688</v>
      </c>
      <c r="BD569" s="29" t="s">
        <v>3687</v>
      </c>
      <c r="BE569" s="37" t="s">
        <v>3791</v>
      </c>
    </row>
    <row r="570" spans="1:57" ht="7.5" customHeight="1" x14ac:dyDescent="0.4">
      <c r="A570" s="35">
        <v>570</v>
      </c>
      <c r="B570" s="57" t="s">
        <v>2418</v>
      </c>
      <c r="C570" s="34" t="s">
        <v>3789</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3792</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3690</v>
      </c>
      <c r="AX570" s="29" t="s">
        <v>3486</v>
      </c>
      <c r="AY570" s="37" t="s">
        <v>3702</v>
      </c>
      <c r="AZ570" s="29" t="s">
        <v>3700</v>
      </c>
      <c r="BA570" s="37" t="s">
        <v>3701</v>
      </c>
      <c r="BB570" s="29" t="s">
        <v>3686</v>
      </c>
      <c r="BC570" s="37" t="s">
        <v>3688</v>
      </c>
      <c r="BD570" s="29" t="s">
        <v>3687</v>
      </c>
      <c r="BE570" s="37" t="s">
        <v>3791</v>
      </c>
    </row>
    <row r="571" spans="1:57" ht="7.5" customHeight="1" x14ac:dyDescent="0.4">
      <c r="A571" s="35">
        <v>571</v>
      </c>
      <c r="B571" s="57" t="s">
        <v>2422</v>
      </c>
      <c r="C571" s="34" t="s">
        <v>3789</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3792</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3690</v>
      </c>
      <c r="AX571" s="29" t="s">
        <v>3486</v>
      </c>
      <c r="AY571" s="37" t="s">
        <v>3702</v>
      </c>
      <c r="AZ571" s="29" t="s">
        <v>3700</v>
      </c>
      <c r="BA571" s="37" t="s">
        <v>3701</v>
      </c>
      <c r="BB571" s="29" t="s">
        <v>3686</v>
      </c>
      <c r="BC571" s="37" t="s">
        <v>3688</v>
      </c>
      <c r="BD571" s="29" t="s">
        <v>3687</v>
      </c>
      <c r="BE571" s="37" t="s">
        <v>3791</v>
      </c>
    </row>
    <row r="572" spans="1:57" ht="7.5" customHeight="1" x14ac:dyDescent="0.4">
      <c r="A572" s="35">
        <v>572</v>
      </c>
      <c r="B572" s="57" t="s">
        <v>2426</v>
      </c>
      <c r="C572" s="34" t="s">
        <v>3789</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3792</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3690</v>
      </c>
      <c r="AX572" s="29" t="s">
        <v>3486</v>
      </c>
      <c r="AY572" s="37" t="s">
        <v>3702</v>
      </c>
      <c r="AZ572" s="29" t="s">
        <v>3700</v>
      </c>
      <c r="BA572" s="37" t="s">
        <v>3701</v>
      </c>
      <c r="BB572" s="29" t="s">
        <v>3686</v>
      </c>
      <c r="BC572" s="37" t="s">
        <v>3688</v>
      </c>
      <c r="BD572" s="29" t="s">
        <v>3687</v>
      </c>
      <c r="BE572" s="37" t="s">
        <v>3791</v>
      </c>
    </row>
    <row r="573" spans="1:57" ht="7.5" customHeight="1" x14ac:dyDescent="0.4">
      <c r="A573" s="35">
        <v>573</v>
      </c>
      <c r="B573" s="57" t="s">
        <v>2429</v>
      </c>
      <c r="C573" s="34" t="s">
        <v>3789</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3792</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3690</v>
      </c>
      <c r="AX573" s="29" t="s">
        <v>3486</v>
      </c>
      <c r="AY573" s="37" t="s">
        <v>3702</v>
      </c>
      <c r="AZ573" s="29" t="s">
        <v>3700</v>
      </c>
      <c r="BA573" s="37" t="s">
        <v>3701</v>
      </c>
      <c r="BB573" s="29" t="s">
        <v>3686</v>
      </c>
      <c r="BC573" s="37" t="s">
        <v>3688</v>
      </c>
      <c r="BD573" s="29" t="s">
        <v>3687</v>
      </c>
      <c r="BE573" s="37" t="s">
        <v>3791</v>
      </c>
    </row>
    <row r="574" spans="1:57" ht="7.5" customHeight="1" x14ac:dyDescent="0.4">
      <c r="A574" s="35">
        <v>574</v>
      </c>
      <c r="B574" s="57" t="s">
        <v>2433</v>
      </c>
      <c r="C574" s="34" t="s">
        <v>3789</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3792</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3690</v>
      </c>
      <c r="AX574" s="29" t="s">
        <v>3486</v>
      </c>
      <c r="AY574" s="37" t="s">
        <v>3702</v>
      </c>
      <c r="AZ574" s="29" t="s">
        <v>3700</v>
      </c>
      <c r="BA574" s="37" t="s">
        <v>3701</v>
      </c>
      <c r="BB574" s="29" t="s">
        <v>3686</v>
      </c>
      <c r="BC574" s="37" t="s">
        <v>3688</v>
      </c>
      <c r="BD574" s="29" t="s">
        <v>3687</v>
      </c>
      <c r="BE574" s="37" t="s">
        <v>3791</v>
      </c>
    </row>
    <row r="575" spans="1:57" ht="7.5" customHeight="1" x14ac:dyDescent="0.4">
      <c r="A575" s="35">
        <v>575</v>
      </c>
      <c r="B575" s="57" t="s">
        <v>2438</v>
      </c>
      <c r="C575" s="34" t="s">
        <v>3789</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3792</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3690</v>
      </c>
      <c r="AX575" s="29" t="s">
        <v>3486</v>
      </c>
      <c r="AY575" s="37" t="s">
        <v>3702</v>
      </c>
      <c r="AZ575" s="29" t="s">
        <v>3700</v>
      </c>
      <c r="BA575" s="37" t="s">
        <v>3701</v>
      </c>
      <c r="BB575" s="29" t="s">
        <v>3686</v>
      </c>
      <c r="BC575" s="37" t="s">
        <v>3688</v>
      </c>
      <c r="BD575" s="29" t="s">
        <v>3687</v>
      </c>
      <c r="BE575" s="37" t="s">
        <v>3791</v>
      </c>
    </row>
    <row r="576" spans="1:57" ht="7.5" customHeight="1" x14ac:dyDescent="0.4">
      <c r="A576" s="35">
        <v>576</v>
      </c>
      <c r="B576" s="57" t="s">
        <v>2442</v>
      </c>
      <c r="C576" s="34" t="s">
        <v>3789</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3792</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3690</v>
      </c>
      <c r="AX576" s="29" t="s">
        <v>3486</v>
      </c>
      <c r="AY576" s="37" t="s">
        <v>3702</v>
      </c>
      <c r="AZ576" s="29" t="s">
        <v>3700</v>
      </c>
      <c r="BA576" s="37" t="s">
        <v>3701</v>
      </c>
      <c r="BB576" s="29" t="s">
        <v>3686</v>
      </c>
      <c r="BC576" s="37" t="s">
        <v>3688</v>
      </c>
      <c r="BD576" s="29" t="s">
        <v>3687</v>
      </c>
      <c r="BE576" s="37" t="s">
        <v>3791</v>
      </c>
    </row>
    <row r="577" spans="1:57" ht="7.5" customHeight="1" x14ac:dyDescent="0.4">
      <c r="A577" s="35">
        <v>577</v>
      </c>
      <c r="B577" s="57" t="s">
        <v>2447</v>
      </c>
      <c r="C577" s="34" t="s">
        <v>3789</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3792</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3690</v>
      </c>
      <c r="AX577" s="29" t="s">
        <v>3486</v>
      </c>
      <c r="AY577" s="37" t="s">
        <v>3702</v>
      </c>
      <c r="AZ577" s="29" t="s">
        <v>3700</v>
      </c>
      <c r="BA577" s="37" t="s">
        <v>3701</v>
      </c>
      <c r="BB577" s="29" t="s">
        <v>3686</v>
      </c>
      <c r="BC577" s="37" t="s">
        <v>3688</v>
      </c>
      <c r="BD577" s="29" t="s">
        <v>3687</v>
      </c>
      <c r="BE577" s="37" t="s">
        <v>3791</v>
      </c>
    </row>
    <row r="578" spans="1:57" ht="7.5" customHeight="1" x14ac:dyDescent="0.4">
      <c r="A578" s="35">
        <v>578</v>
      </c>
      <c r="B578" s="57" t="s">
        <v>2451</v>
      </c>
      <c r="C578" s="34" t="s">
        <v>3789</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3792</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3690</v>
      </c>
      <c r="AX578" s="29" t="s">
        <v>3486</v>
      </c>
      <c r="AY578" s="37" t="s">
        <v>3702</v>
      </c>
      <c r="AZ578" s="29" t="s">
        <v>3700</v>
      </c>
      <c r="BA578" s="37" t="s">
        <v>3701</v>
      </c>
      <c r="BB578" s="29" t="s">
        <v>3686</v>
      </c>
      <c r="BC578" s="37" t="s">
        <v>3688</v>
      </c>
      <c r="BD578" s="29" t="s">
        <v>3687</v>
      </c>
      <c r="BE578" s="37" t="s">
        <v>3791</v>
      </c>
    </row>
    <row r="579" spans="1:57" ht="7.5" customHeight="1" x14ac:dyDescent="0.4">
      <c r="A579" s="35">
        <v>579</v>
      </c>
      <c r="B579" s="57" t="s">
        <v>2455</v>
      </c>
      <c r="C579" s="34" t="s">
        <v>3789</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3792</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3690</v>
      </c>
      <c r="AX579" s="29" t="s">
        <v>3486</v>
      </c>
      <c r="AY579" s="37" t="s">
        <v>3702</v>
      </c>
      <c r="AZ579" s="29" t="s">
        <v>3700</v>
      </c>
      <c r="BA579" s="37" t="s">
        <v>3701</v>
      </c>
      <c r="BB579" s="29" t="s">
        <v>3686</v>
      </c>
      <c r="BC579" s="37" t="s">
        <v>3688</v>
      </c>
      <c r="BD579" s="29" t="s">
        <v>3687</v>
      </c>
      <c r="BE579" s="37" t="s">
        <v>3791</v>
      </c>
    </row>
    <row r="580" spans="1:57" ht="7.5" customHeight="1" x14ac:dyDescent="0.4">
      <c r="A580" s="35">
        <v>580</v>
      </c>
      <c r="B580" s="57" t="s">
        <v>2459</v>
      </c>
      <c r="C580" s="34" t="s">
        <v>3789</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3792</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3690</v>
      </c>
      <c r="AX580" s="29" t="s">
        <v>3486</v>
      </c>
      <c r="AY580" s="37" t="s">
        <v>3702</v>
      </c>
      <c r="AZ580" s="29" t="s">
        <v>3700</v>
      </c>
      <c r="BA580" s="37" t="s">
        <v>3701</v>
      </c>
      <c r="BB580" s="29" t="s">
        <v>3686</v>
      </c>
      <c r="BC580" s="37" t="s">
        <v>3688</v>
      </c>
      <c r="BD580" s="29" t="s">
        <v>3687</v>
      </c>
      <c r="BE580" s="37" t="s">
        <v>3791</v>
      </c>
    </row>
    <row r="581" spans="1:57" ht="7.5" customHeight="1" x14ac:dyDescent="0.4">
      <c r="A581" s="35">
        <v>581</v>
      </c>
      <c r="B581" s="57" t="s">
        <v>2464</v>
      </c>
      <c r="C581" s="34" t="s">
        <v>3789</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3792</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3690</v>
      </c>
      <c r="AX581" s="29" t="s">
        <v>3486</v>
      </c>
      <c r="AY581" s="37" t="s">
        <v>3702</v>
      </c>
      <c r="AZ581" s="29" t="s">
        <v>3700</v>
      </c>
      <c r="BA581" s="37" t="s">
        <v>3701</v>
      </c>
      <c r="BB581" s="29" t="s">
        <v>3686</v>
      </c>
      <c r="BC581" s="37" t="s">
        <v>3688</v>
      </c>
      <c r="BD581" s="29" t="s">
        <v>3687</v>
      </c>
      <c r="BE581" s="37" t="s">
        <v>3791</v>
      </c>
    </row>
    <row r="582" spans="1:57" ht="7.5" customHeight="1" x14ac:dyDescent="0.4">
      <c r="A582" s="35">
        <v>582</v>
      </c>
      <c r="B582" s="57" t="s">
        <v>2468</v>
      </c>
      <c r="C582" s="34" t="s">
        <v>3789</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3792</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3690</v>
      </c>
      <c r="AX582" s="29" t="s">
        <v>3486</v>
      </c>
      <c r="AY582" s="37" t="s">
        <v>3702</v>
      </c>
      <c r="AZ582" s="29" t="s">
        <v>3700</v>
      </c>
      <c r="BA582" s="37" t="s">
        <v>3701</v>
      </c>
      <c r="BB582" s="29" t="s">
        <v>3686</v>
      </c>
      <c r="BC582" s="37" t="s">
        <v>3688</v>
      </c>
      <c r="BD582" s="29" t="s">
        <v>3687</v>
      </c>
      <c r="BE582" s="37" t="s">
        <v>3791</v>
      </c>
    </row>
    <row r="583" spans="1:57" ht="7.5" customHeight="1" x14ac:dyDescent="0.4">
      <c r="A583" s="35">
        <v>583</v>
      </c>
      <c r="B583" s="57" t="s">
        <v>2472</v>
      </c>
      <c r="C583" s="34" t="s">
        <v>3789</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3792</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3690</v>
      </c>
      <c r="AX583" s="29" t="s">
        <v>3486</v>
      </c>
      <c r="AY583" s="37" t="s">
        <v>3702</v>
      </c>
      <c r="AZ583" s="29" t="s">
        <v>3700</v>
      </c>
      <c r="BA583" s="37" t="s">
        <v>3701</v>
      </c>
      <c r="BB583" s="29" t="s">
        <v>3686</v>
      </c>
      <c r="BC583" s="37" t="s">
        <v>3688</v>
      </c>
      <c r="BD583" s="29" t="s">
        <v>3687</v>
      </c>
      <c r="BE583" s="37" t="s">
        <v>3791</v>
      </c>
    </row>
    <row r="584" spans="1:57" ht="7.5" customHeight="1" x14ac:dyDescent="0.4">
      <c r="A584" s="35">
        <v>584</v>
      </c>
      <c r="B584" s="57" t="s">
        <v>2477</v>
      </c>
      <c r="C584" s="34" t="s">
        <v>3789</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3792</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3690</v>
      </c>
      <c r="AX584" s="29" t="s">
        <v>3486</v>
      </c>
      <c r="AY584" s="37" t="s">
        <v>3702</v>
      </c>
      <c r="AZ584" s="29" t="s">
        <v>3700</v>
      </c>
      <c r="BA584" s="37" t="s">
        <v>3701</v>
      </c>
      <c r="BB584" s="29" t="s">
        <v>3686</v>
      </c>
      <c r="BC584" s="37" t="s">
        <v>3688</v>
      </c>
      <c r="BD584" s="29" t="s">
        <v>3687</v>
      </c>
      <c r="BE584" s="37" t="s">
        <v>3791</v>
      </c>
    </row>
    <row r="585" spans="1:57" ht="7.5" customHeight="1" x14ac:dyDescent="0.4">
      <c r="A585" s="35">
        <v>585</v>
      </c>
      <c r="B585" s="57" t="s">
        <v>2480</v>
      </c>
      <c r="C585" s="34" t="s">
        <v>3789</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3792</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3690</v>
      </c>
      <c r="AX585" s="29" t="s">
        <v>3486</v>
      </c>
      <c r="AY585" s="37" t="s">
        <v>3702</v>
      </c>
      <c r="AZ585" s="29" t="s">
        <v>3700</v>
      </c>
      <c r="BA585" s="37" t="s">
        <v>3701</v>
      </c>
      <c r="BB585" s="29" t="s">
        <v>3686</v>
      </c>
      <c r="BC585" s="37" t="s">
        <v>3688</v>
      </c>
      <c r="BD585" s="29" t="s">
        <v>3687</v>
      </c>
      <c r="BE585" s="37" t="s">
        <v>3791</v>
      </c>
    </row>
    <row r="586" spans="1:57" ht="7.5" customHeight="1" x14ac:dyDescent="0.4">
      <c r="A586" s="35">
        <v>586</v>
      </c>
      <c r="B586" s="57" t="s">
        <v>2482</v>
      </c>
      <c r="C586" s="34" t="s">
        <v>3789</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3792</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3690</v>
      </c>
      <c r="AX586" s="29" t="s">
        <v>3486</v>
      </c>
      <c r="AY586" s="37" t="s">
        <v>3702</v>
      </c>
      <c r="AZ586" s="29" t="s">
        <v>3700</v>
      </c>
      <c r="BA586" s="37" t="s">
        <v>3701</v>
      </c>
      <c r="BB586" s="29" t="s">
        <v>3686</v>
      </c>
      <c r="BC586" s="37" t="s">
        <v>3688</v>
      </c>
      <c r="BD586" s="29" t="s">
        <v>3687</v>
      </c>
      <c r="BE586" s="37" t="s">
        <v>3791</v>
      </c>
    </row>
    <row r="587" spans="1:57" ht="7.5" customHeight="1" x14ac:dyDescent="0.4">
      <c r="A587" s="35">
        <v>587</v>
      </c>
      <c r="B587" s="57" t="s">
        <v>2485</v>
      </c>
      <c r="C587" s="34" t="s">
        <v>3789</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3792</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3690</v>
      </c>
      <c r="AX587" s="29" t="s">
        <v>3486</v>
      </c>
      <c r="AY587" s="37" t="s">
        <v>3702</v>
      </c>
      <c r="AZ587" s="29" t="s">
        <v>3700</v>
      </c>
      <c r="BA587" s="37" t="s">
        <v>3701</v>
      </c>
      <c r="BB587" s="29" t="s">
        <v>3686</v>
      </c>
      <c r="BC587" s="37" t="s">
        <v>3688</v>
      </c>
      <c r="BD587" s="29" t="s">
        <v>3687</v>
      </c>
      <c r="BE587" s="37" t="s">
        <v>3791</v>
      </c>
    </row>
    <row r="588" spans="1:57" ht="7.5" customHeight="1" x14ac:dyDescent="0.4">
      <c r="A588" s="35">
        <v>588</v>
      </c>
      <c r="B588" s="57" t="s">
        <v>2490</v>
      </c>
      <c r="C588" s="34" t="s">
        <v>3789</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3792</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3690</v>
      </c>
      <c r="AX588" s="29" t="s">
        <v>3486</v>
      </c>
      <c r="AY588" s="37" t="s">
        <v>3702</v>
      </c>
      <c r="AZ588" s="29" t="s">
        <v>3700</v>
      </c>
      <c r="BA588" s="37" t="s">
        <v>3701</v>
      </c>
      <c r="BB588" s="29" t="s">
        <v>3686</v>
      </c>
      <c r="BC588" s="37" t="s">
        <v>3688</v>
      </c>
      <c r="BD588" s="29" t="s">
        <v>3687</v>
      </c>
      <c r="BE588" s="37" t="s">
        <v>3791</v>
      </c>
    </row>
    <row r="589" spans="1:57" ht="7.5" customHeight="1" x14ac:dyDescent="0.4">
      <c r="A589" s="35">
        <v>589</v>
      </c>
      <c r="B589" s="57" t="s">
        <v>2495</v>
      </c>
      <c r="C589" s="34" t="s">
        <v>3789</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3792</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3690</v>
      </c>
      <c r="AX589" s="29" t="s">
        <v>3486</v>
      </c>
      <c r="AY589" s="37" t="s">
        <v>3702</v>
      </c>
      <c r="AZ589" s="29" t="s">
        <v>3700</v>
      </c>
      <c r="BA589" s="37" t="s">
        <v>3701</v>
      </c>
      <c r="BB589" s="29" t="s">
        <v>3686</v>
      </c>
      <c r="BC589" s="37" t="s">
        <v>3688</v>
      </c>
      <c r="BD589" s="29" t="s">
        <v>3687</v>
      </c>
      <c r="BE589" s="37" t="s">
        <v>3791</v>
      </c>
    </row>
    <row r="590" spans="1:57" ht="7.5" customHeight="1" x14ac:dyDescent="0.4">
      <c r="A590" s="35">
        <v>590</v>
      </c>
      <c r="B590" s="57" t="s">
        <v>2500</v>
      </c>
      <c r="C590" s="34" t="s">
        <v>3789</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3792</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3690</v>
      </c>
      <c r="AX590" s="29" t="s">
        <v>3486</v>
      </c>
      <c r="AY590" s="37" t="s">
        <v>3702</v>
      </c>
      <c r="AZ590" s="29" t="s">
        <v>3700</v>
      </c>
      <c r="BA590" s="37" t="s">
        <v>3701</v>
      </c>
      <c r="BB590" s="29" t="s">
        <v>3686</v>
      </c>
      <c r="BC590" s="37" t="s">
        <v>3688</v>
      </c>
      <c r="BD590" s="29" t="s">
        <v>3687</v>
      </c>
      <c r="BE590" s="37" t="s">
        <v>3791</v>
      </c>
    </row>
    <row r="591" spans="1:57" ht="7.5" customHeight="1" x14ac:dyDescent="0.4">
      <c r="A591" s="35">
        <v>591</v>
      </c>
      <c r="B591" s="57" t="s">
        <v>2504</v>
      </c>
      <c r="C591" s="34" t="s">
        <v>3789</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3792</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3690</v>
      </c>
      <c r="AX591" s="29" t="s">
        <v>3486</v>
      </c>
      <c r="AY591" s="37" t="s">
        <v>3702</v>
      </c>
      <c r="AZ591" s="29" t="s">
        <v>3700</v>
      </c>
      <c r="BA591" s="37" t="s">
        <v>3701</v>
      </c>
      <c r="BB591" s="29" t="s">
        <v>3686</v>
      </c>
      <c r="BC591" s="37" t="s">
        <v>3688</v>
      </c>
      <c r="BD591" s="29" t="s">
        <v>3687</v>
      </c>
      <c r="BE591" s="37" t="s">
        <v>3791</v>
      </c>
    </row>
    <row r="592" spans="1:57" ht="7.5" customHeight="1" x14ac:dyDescent="0.4">
      <c r="A592" s="35">
        <v>592</v>
      </c>
      <c r="B592" s="57" t="s">
        <v>2509</v>
      </c>
      <c r="C592" s="34" t="s">
        <v>3789</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3792</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3690</v>
      </c>
      <c r="AX592" s="29" t="s">
        <v>3486</v>
      </c>
      <c r="AY592" s="37" t="s">
        <v>3702</v>
      </c>
      <c r="AZ592" s="29" t="s">
        <v>3700</v>
      </c>
      <c r="BA592" s="37" t="s">
        <v>3701</v>
      </c>
      <c r="BB592" s="29" t="s">
        <v>3686</v>
      </c>
      <c r="BC592" s="37" t="s">
        <v>3688</v>
      </c>
      <c r="BD592" s="29" t="s">
        <v>3687</v>
      </c>
      <c r="BE592" s="37" t="s">
        <v>3791</v>
      </c>
    </row>
    <row r="593" spans="1:57" ht="7.5" customHeight="1" x14ac:dyDescent="0.4">
      <c r="A593" s="35">
        <v>593</v>
      </c>
      <c r="B593" s="57" t="s">
        <v>2513</v>
      </c>
      <c r="C593" s="34" t="s">
        <v>3789</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3792</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3690</v>
      </c>
      <c r="AX593" s="29" t="s">
        <v>3486</v>
      </c>
      <c r="AY593" s="37" t="s">
        <v>3702</v>
      </c>
      <c r="AZ593" s="29" t="s">
        <v>3700</v>
      </c>
      <c r="BA593" s="37" t="s">
        <v>3701</v>
      </c>
      <c r="BB593" s="29" t="s">
        <v>3686</v>
      </c>
      <c r="BC593" s="37" t="s">
        <v>3688</v>
      </c>
      <c r="BD593" s="29" t="s">
        <v>3687</v>
      </c>
      <c r="BE593" s="37" t="s">
        <v>3791</v>
      </c>
    </row>
    <row r="594" spans="1:57" ht="7.5" customHeight="1" x14ac:dyDescent="0.4">
      <c r="A594" s="35">
        <v>594</v>
      </c>
      <c r="B594" s="57" t="s">
        <v>2518</v>
      </c>
      <c r="C594" s="34" t="s">
        <v>3789</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3792</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3690</v>
      </c>
      <c r="AX594" s="29" t="s">
        <v>3486</v>
      </c>
      <c r="AY594" s="37" t="s">
        <v>3702</v>
      </c>
      <c r="AZ594" s="29" t="s">
        <v>3700</v>
      </c>
      <c r="BA594" s="37" t="s">
        <v>3701</v>
      </c>
      <c r="BB594" s="29" t="s">
        <v>3686</v>
      </c>
      <c r="BC594" s="37" t="s">
        <v>3688</v>
      </c>
      <c r="BD594" s="29" t="s">
        <v>3687</v>
      </c>
      <c r="BE594" s="37" t="s">
        <v>3791</v>
      </c>
    </row>
    <row r="595" spans="1:57" ht="7.5" customHeight="1" x14ac:dyDescent="0.4">
      <c r="A595" s="35">
        <v>595</v>
      </c>
      <c r="B595" s="57" t="s">
        <v>2522</v>
      </c>
      <c r="C595" s="34" t="s">
        <v>3789</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3792</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3690</v>
      </c>
      <c r="AX595" s="29" t="s">
        <v>3486</v>
      </c>
      <c r="AY595" s="37" t="s">
        <v>3702</v>
      </c>
      <c r="AZ595" s="29" t="s">
        <v>3700</v>
      </c>
      <c r="BA595" s="37" t="s">
        <v>3701</v>
      </c>
      <c r="BB595" s="29" t="s">
        <v>3686</v>
      </c>
      <c r="BC595" s="37" t="s">
        <v>3688</v>
      </c>
      <c r="BD595" s="29" t="s">
        <v>3687</v>
      </c>
      <c r="BE595" s="37" t="s">
        <v>3791</v>
      </c>
    </row>
    <row r="596" spans="1:57" ht="7.5" customHeight="1" x14ac:dyDescent="0.4">
      <c r="A596" s="35">
        <v>596</v>
      </c>
      <c r="B596" s="57" t="s">
        <v>2526</v>
      </c>
      <c r="C596" s="34" t="s">
        <v>3789</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3792</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3690</v>
      </c>
      <c r="AX596" s="29" t="s">
        <v>3486</v>
      </c>
      <c r="AY596" s="37" t="s">
        <v>3702</v>
      </c>
      <c r="AZ596" s="29" t="s">
        <v>3700</v>
      </c>
      <c r="BA596" s="37" t="s">
        <v>3701</v>
      </c>
      <c r="BB596" s="29" t="s">
        <v>3686</v>
      </c>
      <c r="BC596" s="37" t="s">
        <v>3688</v>
      </c>
      <c r="BD596" s="29" t="s">
        <v>3687</v>
      </c>
      <c r="BE596" s="37" t="s">
        <v>3791</v>
      </c>
    </row>
    <row r="597" spans="1:57" ht="7.5" customHeight="1" x14ac:dyDescent="0.4">
      <c r="A597" s="35">
        <v>597</v>
      </c>
      <c r="B597" s="57" t="s">
        <v>2531</v>
      </c>
      <c r="C597" s="34" t="s">
        <v>3789</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3792</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3690</v>
      </c>
      <c r="AX597" s="29" t="s">
        <v>3486</v>
      </c>
      <c r="AY597" s="37" t="s">
        <v>3702</v>
      </c>
      <c r="AZ597" s="29" t="s">
        <v>3700</v>
      </c>
      <c r="BA597" s="37" t="s">
        <v>3701</v>
      </c>
      <c r="BB597" s="29" t="s">
        <v>3686</v>
      </c>
      <c r="BC597" s="37" t="s">
        <v>3688</v>
      </c>
      <c r="BD597" s="29" t="s">
        <v>3687</v>
      </c>
      <c r="BE597" s="37" t="s">
        <v>3791</v>
      </c>
    </row>
    <row r="598" spans="1:57" ht="7.5" customHeight="1" x14ac:dyDescent="0.4">
      <c r="A598" s="35">
        <v>598</v>
      </c>
      <c r="B598" s="57" t="s">
        <v>2535</v>
      </c>
      <c r="C598" s="34" t="s">
        <v>3789</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3792</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3690</v>
      </c>
      <c r="AX598" s="29" t="s">
        <v>3486</v>
      </c>
      <c r="AY598" s="37" t="s">
        <v>3702</v>
      </c>
      <c r="AZ598" s="29" t="s">
        <v>3700</v>
      </c>
      <c r="BA598" s="37" t="s">
        <v>3701</v>
      </c>
      <c r="BB598" s="29" t="s">
        <v>3686</v>
      </c>
      <c r="BC598" s="37" t="s">
        <v>3688</v>
      </c>
      <c r="BD598" s="29" t="s">
        <v>3687</v>
      </c>
      <c r="BE598" s="37" t="s">
        <v>3791</v>
      </c>
    </row>
    <row r="599" spans="1:57" ht="7.5" customHeight="1" x14ac:dyDescent="0.4">
      <c r="A599" s="35">
        <v>599</v>
      </c>
      <c r="B599" s="57" t="s">
        <v>2540</v>
      </c>
      <c r="C599" s="34" t="s">
        <v>3789</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3792</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3690</v>
      </c>
      <c r="AX599" s="29" t="s">
        <v>3486</v>
      </c>
      <c r="AY599" s="37" t="s">
        <v>3702</v>
      </c>
      <c r="AZ599" s="29" t="s">
        <v>3700</v>
      </c>
      <c r="BA599" s="37" t="s">
        <v>3701</v>
      </c>
      <c r="BB599" s="29" t="s">
        <v>3686</v>
      </c>
      <c r="BC599" s="37" t="s">
        <v>3688</v>
      </c>
      <c r="BD599" s="29" t="s">
        <v>3687</v>
      </c>
      <c r="BE599" s="37" t="s">
        <v>3791</v>
      </c>
    </row>
    <row r="600" spans="1:57" ht="7.5" customHeight="1" x14ac:dyDescent="0.4">
      <c r="A600" s="35">
        <v>600</v>
      </c>
      <c r="B600" s="57" t="s">
        <v>2544</v>
      </c>
      <c r="C600" s="34" t="s">
        <v>3789</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3792</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3690</v>
      </c>
      <c r="AX600" s="29" t="s">
        <v>3486</v>
      </c>
      <c r="AY600" s="37" t="s">
        <v>3702</v>
      </c>
      <c r="AZ600" s="29" t="s">
        <v>3700</v>
      </c>
      <c r="BA600" s="37" t="s">
        <v>3701</v>
      </c>
      <c r="BB600" s="29" t="s">
        <v>3686</v>
      </c>
      <c r="BC600" s="37" t="s">
        <v>3688</v>
      </c>
      <c r="BD600" s="29" t="s">
        <v>3687</v>
      </c>
      <c r="BE600" s="37" t="s">
        <v>3791</v>
      </c>
    </row>
    <row r="601" spans="1:57" ht="7.5" customHeight="1" x14ac:dyDescent="0.4">
      <c r="A601" s="35">
        <v>601</v>
      </c>
      <c r="B601" s="57" t="s">
        <v>2548</v>
      </c>
      <c r="C601" s="34" t="s">
        <v>3789</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3792</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3690</v>
      </c>
      <c r="AX601" s="29" t="s">
        <v>3486</v>
      </c>
      <c r="AY601" s="37" t="s">
        <v>3702</v>
      </c>
      <c r="AZ601" s="29" t="s">
        <v>3700</v>
      </c>
      <c r="BA601" s="37" t="s">
        <v>3701</v>
      </c>
      <c r="BB601" s="29" t="s">
        <v>3686</v>
      </c>
      <c r="BC601" s="37" t="s">
        <v>3688</v>
      </c>
      <c r="BD601" s="29" t="s">
        <v>3687</v>
      </c>
      <c r="BE601" s="37" t="s">
        <v>3791</v>
      </c>
    </row>
    <row r="602" spans="1:57" ht="7.5" customHeight="1" x14ac:dyDescent="0.4">
      <c r="A602" s="35">
        <v>602</v>
      </c>
      <c r="B602" s="57" t="s">
        <v>2553</v>
      </c>
      <c r="C602" s="34" t="s">
        <v>3789</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3792</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3690</v>
      </c>
      <c r="AX602" s="29" t="s">
        <v>3486</v>
      </c>
      <c r="AY602" s="37" t="s">
        <v>3702</v>
      </c>
      <c r="AZ602" s="29" t="s">
        <v>3700</v>
      </c>
      <c r="BA602" s="37" t="s">
        <v>3701</v>
      </c>
      <c r="BB602" s="29" t="s">
        <v>3686</v>
      </c>
      <c r="BC602" s="37" t="s">
        <v>3688</v>
      </c>
      <c r="BD602" s="29" t="s">
        <v>3687</v>
      </c>
      <c r="BE602" s="37" t="s">
        <v>3791</v>
      </c>
    </row>
    <row r="603" spans="1:57" ht="7.5" customHeight="1" x14ac:dyDescent="0.4">
      <c r="A603" s="35">
        <v>603</v>
      </c>
      <c r="B603" s="57" t="s">
        <v>2556</v>
      </c>
      <c r="C603" s="34" t="s">
        <v>3789</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3792</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3690</v>
      </c>
      <c r="AX603" s="29" t="s">
        <v>3486</v>
      </c>
      <c r="AY603" s="37" t="s">
        <v>3702</v>
      </c>
      <c r="AZ603" s="29" t="s">
        <v>3700</v>
      </c>
      <c r="BA603" s="37" t="s">
        <v>3701</v>
      </c>
      <c r="BB603" s="29" t="s">
        <v>3686</v>
      </c>
      <c r="BC603" s="37" t="s">
        <v>3688</v>
      </c>
      <c r="BD603" s="29" t="s">
        <v>3687</v>
      </c>
      <c r="BE603" s="37" t="s">
        <v>3791</v>
      </c>
    </row>
    <row r="604" spans="1:57" ht="7.5" customHeight="1" x14ac:dyDescent="0.4">
      <c r="A604" s="35">
        <v>604</v>
      </c>
      <c r="B604" s="57" t="s">
        <v>2561</v>
      </c>
      <c r="C604" s="34" t="s">
        <v>3789</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3792</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3690</v>
      </c>
      <c r="AX604" s="29" t="s">
        <v>3486</v>
      </c>
      <c r="AY604" s="37" t="s">
        <v>3702</v>
      </c>
      <c r="AZ604" s="29" t="s">
        <v>3700</v>
      </c>
      <c r="BA604" s="37" t="s">
        <v>3701</v>
      </c>
      <c r="BB604" s="29" t="s">
        <v>3686</v>
      </c>
      <c r="BC604" s="37" t="s">
        <v>3688</v>
      </c>
      <c r="BD604" s="29" t="s">
        <v>3687</v>
      </c>
      <c r="BE604" s="37" t="s">
        <v>3791</v>
      </c>
    </row>
    <row r="605" spans="1:57" ht="7.5" customHeight="1" x14ac:dyDescent="0.4">
      <c r="A605" s="35">
        <v>605</v>
      </c>
      <c r="B605" s="57" t="s">
        <v>2566</v>
      </c>
      <c r="C605" s="34" t="s">
        <v>3789</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3792</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3690</v>
      </c>
      <c r="AX605" s="29" t="s">
        <v>3486</v>
      </c>
      <c r="AY605" s="37" t="s">
        <v>3702</v>
      </c>
      <c r="AZ605" s="29" t="s">
        <v>3700</v>
      </c>
      <c r="BA605" s="37" t="s">
        <v>3701</v>
      </c>
      <c r="BB605" s="29" t="s">
        <v>3686</v>
      </c>
      <c r="BC605" s="37" t="s">
        <v>3688</v>
      </c>
      <c r="BD605" s="29" t="s">
        <v>3687</v>
      </c>
      <c r="BE605" s="37" t="s">
        <v>3791</v>
      </c>
    </row>
    <row r="606" spans="1:57" ht="7.5" customHeight="1" x14ac:dyDescent="0.4">
      <c r="A606" s="35">
        <v>606</v>
      </c>
      <c r="B606" s="57" t="s">
        <v>2571</v>
      </c>
      <c r="C606" s="34" t="s">
        <v>3789</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3792</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3690</v>
      </c>
      <c r="AX606" s="29" t="s">
        <v>3486</v>
      </c>
      <c r="AY606" s="37" t="s">
        <v>3702</v>
      </c>
      <c r="AZ606" s="29" t="s">
        <v>3700</v>
      </c>
      <c r="BA606" s="37" t="s">
        <v>3701</v>
      </c>
      <c r="BB606" s="29" t="s">
        <v>3686</v>
      </c>
      <c r="BC606" s="37" t="s">
        <v>3688</v>
      </c>
      <c r="BD606" s="29" t="s">
        <v>3687</v>
      </c>
      <c r="BE606" s="37" t="s">
        <v>3791</v>
      </c>
    </row>
    <row r="607" spans="1:57" ht="7.5" customHeight="1" x14ac:dyDescent="0.4">
      <c r="A607" s="35">
        <v>607</v>
      </c>
      <c r="B607" s="57" t="s">
        <v>2576</v>
      </c>
      <c r="C607" s="34" t="s">
        <v>3789</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3792</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3690</v>
      </c>
      <c r="AX607" s="29" t="s">
        <v>3486</v>
      </c>
      <c r="AY607" s="37" t="s">
        <v>3702</v>
      </c>
      <c r="AZ607" s="29" t="s">
        <v>3700</v>
      </c>
      <c r="BA607" s="37" t="s">
        <v>3701</v>
      </c>
      <c r="BB607" s="29" t="s">
        <v>3686</v>
      </c>
      <c r="BC607" s="37" t="s">
        <v>3688</v>
      </c>
      <c r="BD607" s="29" t="s">
        <v>3687</v>
      </c>
      <c r="BE607" s="37" t="s">
        <v>3791</v>
      </c>
    </row>
    <row r="608" spans="1:57" ht="7.5" customHeight="1" x14ac:dyDescent="0.4">
      <c r="A608" s="35">
        <v>608</v>
      </c>
      <c r="B608" s="57" t="s">
        <v>2580</v>
      </c>
      <c r="C608" s="34" t="s">
        <v>3789</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3792</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3690</v>
      </c>
      <c r="AX608" s="29" t="s">
        <v>3486</v>
      </c>
      <c r="AY608" s="37" t="s">
        <v>3702</v>
      </c>
      <c r="AZ608" s="29" t="s">
        <v>3700</v>
      </c>
      <c r="BA608" s="37" t="s">
        <v>3701</v>
      </c>
      <c r="BB608" s="29" t="s">
        <v>3686</v>
      </c>
      <c r="BC608" s="37" t="s">
        <v>3688</v>
      </c>
      <c r="BD608" s="29" t="s">
        <v>3687</v>
      </c>
      <c r="BE608" s="37" t="s">
        <v>3791</v>
      </c>
    </row>
    <row r="609" spans="1:57" ht="7.5" customHeight="1" x14ac:dyDescent="0.4">
      <c r="A609" s="35">
        <v>609</v>
      </c>
      <c r="B609" s="57" t="s">
        <v>2584</v>
      </c>
      <c r="C609" s="34" t="s">
        <v>3789</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3792</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3690</v>
      </c>
      <c r="AX609" s="29" t="s">
        <v>3486</v>
      </c>
      <c r="AY609" s="37" t="s">
        <v>3702</v>
      </c>
      <c r="AZ609" s="29" t="s">
        <v>3700</v>
      </c>
      <c r="BA609" s="37" t="s">
        <v>3701</v>
      </c>
      <c r="BB609" s="29" t="s">
        <v>3686</v>
      </c>
      <c r="BC609" s="37" t="s">
        <v>3688</v>
      </c>
      <c r="BD609" s="29" t="s">
        <v>3687</v>
      </c>
      <c r="BE609" s="37" t="s">
        <v>3791</v>
      </c>
    </row>
    <row r="610" spans="1:57" ht="7.5" customHeight="1" x14ac:dyDescent="0.4">
      <c r="A610" s="35">
        <v>610</v>
      </c>
      <c r="B610" s="57" t="s">
        <v>2588</v>
      </c>
      <c r="C610" s="34" t="s">
        <v>3789</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3792</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3690</v>
      </c>
      <c r="AX610" s="29" t="s">
        <v>3486</v>
      </c>
      <c r="AY610" s="37" t="s">
        <v>3702</v>
      </c>
      <c r="AZ610" s="29" t="s">
        <v>3700</v>
      </c>
      <c r="BA610" s="37" t="s">
        <v>3701</v>
      </c>
      <c r="BB610" s="29" t="s">
        <v>3686</v>
      </c>
      <c r="BC610" s="37" t="s">
        <v>3688</v>
      </c>
      <c r="BD610" s="29" t="s">
        <v>3687</v>
      </c>
      <c r="BE610" s="37" t="s">
        <v>3791</v>
      </c>
    </row>
    <row r="611" spans="1:57" ht="7.5" customHeight="1" x14ac:dyDescent="0.4">
      <c r="A611" s="35">
        <v>611</v>
      </c>
      <c r="B611" s="57" t="s">
        <v>2592</v>
      </c>
      <c r="C611" s="34" t="s">
        <v>3789</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3792</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3690</v>
      </c>
      <c r="AX611" s="29" t="s">
        <v>3486</v>
      </c>
      <c r="AY611" s="37" t="s">
        <v>3702</v>
      </c>
      <c r="AZ611" s="29" t="s">
        <v>3700</v>
      </c>
      <c r="BA611" s="37" t="s">
        <v>3701</v>
      </c>
      <c r="BB611" s="29" t="s">
        <v>3686</v>
      </c>
      <c r="BC611" s="37" t="s">
        <v>3688</v>
      </c>
      <c r="BD611" s="29" t="s">
        <v>3687</v>
      </c>
      <c r="BE611" s="37" t="s">
        <v>3791</v>
      </c>
    </row>
    <row r="612" spans="1:57" ht="7.5" customHeight="1" x14ac:dyDescent="0.4">
      <c r="A612" s="35">
        <v>612</v>
      </c>
      <c r="B612" s="57" t="s">
        <v>2597</v>
      </c>
      <c r="C612" s="34" t="s">
        <v>3789</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3792</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3690</v>
      </c>
      <c r="AX612" s="29" t="s">
        <v>3486</v>
      </c>
      <c r="AY612" s="37" t="s">
        <v>3702</v>
      </c>
      <c r="AZ612" s="29" t="s">
        <v>3700</v>
      </c>
      <c r="BA612" s="37" t="s">
        <v>3701</v>
      </c>
      <c r="BB612" s="29" t="s">
        <v>3686</v>
      </c>
      <c r="BC612" s="37" t="s">
        <v>3688</v>
      </c>
      <c r="BD612" s="29" t="s">
        <v>3687</v>
      </c>
      <c r="BE612" s="37" t="s">
        <v>3791</v>
      </c>
    </row>
    <row r="613" spans="1:57" ht="7.5" customHeight="1" x14ac:dyDescent="0.4">
      <c r="A613" s="35">
        <v>613</v>
      </c>
      <c r="B613" s="57" t="s">
        <v>2601</v>
      </c>
      <c r="C613" s="34" t="s">
        <v>3789</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3792</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3690</v>
      </c>
      <c r="AX613" s="29" t="s">
        <v>3486</v>
      </c>
      <c r="AY613" s="37" t="s">
        <v>3702</v>
      </c>
      <c r="AZ613" s="29" t="s">
        <v>3700</v>
      </c>
      <c r="BA613" s="37" t="s">
        <v>3701</v>
      </c>
      <c r="BB613" s="29" t="s">
        <v>3686</v>
      </c>
      <c r="BC613" s="37" t="s">
        <v>3688</v>
      </c>
      <c r="BD613" s="29" t="s">
        <v>3687</v>
      </c>
      <c r="BE613" s="37" t="s">
        <v>3791</v>
      </c>
    </row>
    <row r="614" spans="1:57" ht="7.5" customHeight="1" x14ac:dyDescent="0.4">
      <c r="A614" s="35">
        <v>614</v>
      </c>
      <c r="B614" s="57" t="s">
        <v>2605</v>
      </c>
      <c r="C614" s="34" t="s">
        <v>3789</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3792</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3690</v>
      </c>
      <c r="AX614" s="29" t="s">
        <v>3486</v>
      </c>
      <c r="AY614" s="37" t="s">
        <v>3702</v>
      </c>
      <c r="AZ614" s="29" t="s">
        <v>3700</v>
      </c>
      <c r="BA614" s="37" t="s">
        <v>3701</v>
      </c>
      <c r="BB614" s="29" t="s">
        <v>3686</v>
      </c>
      <c r="BC614" s="37" t="s">
        <v>3688</v>
      </c>
      <c r="BD614" s="29" t="s">
        <v>3687</v>
      </c>
      <c r="BE614" s="37" t="s">
        <v>3791</v>
      </c>
    </row>
    <row r="615" spans="1:57" ht="7.5" customHeight="1" x14ac:dyDescent="0.4">
      <c r="A615" s="35">
        <v>615</v>
      </c>
      <c r="B615" s="57" t="s">
        <v>2608</v>
      </c>
      <c r="C615" s="34" t="s">
        <v>3789</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3792</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3690</v>
      </c>
      <c r="AX615" s="29" t="s">
        <v>3486</v>
      </c>
      <c r="AY615" s="37" t="s">
        <v>3702</v>
      </c>
      <c r="AZ615" s="29" t="s">
        <v>3700</v>
      </c>
      <c r="BA615" s="37" t="s">
        <v>3701</v>
      </c>
      <c r="BB615" s="29" t="s">
        <v>3686</v>
      </c>
      <c r="BC615" s="37" t="s">
        <v>3688</v>
      </c>
      <c r="BD615" s="29" t="s">
        <v>3687</v>
      </c>
      <c r="BE615" s="37" t="s">
        <v>3791</v>
      </c>
    </row>
    <row r="616" spans="1:57" ht="7.5" customHeight="1" x14ac:dyDescent="0.4">
      <c r="A616" s="35">
        <v>616</v>
      </c>
      <c r="B616" s="57" t="s">
        <v>2613</v>
      </c>
      <c r="C616" s="34" t="s">
        <v>3789</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3792</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3690</v>
      </c>
      <c r="AX616" s="29" t="s">
        <v>3486</v>
      </c>
      <c r="AY616" s="37" t="s">
        <v>3702</v>
      </c>
      <c r="AZ616" s="29" t="s">
        <v>3700</v>
      </c>
      <c r="BA616" s="37" t="s">
        <v>3701</v>
      </c>
      <c r="BB616" s="29" t="s">
        <v>3686</v>
      </c>
      <c r="BC616" s="37" t="s">
        <v>3688</v>
      </c>
      <c r="BD616" s="29" t="s">
        <v>3687</v>
      </c>
      <c r="BE616" s="37" t="s">
        <v>3791</v>
      </c>
    </row>
    <row r="617" spans="1:57" ht="7.5" customHeight="1" x14ac:dyDescent="0.4">
      <c r="A617" s="35">
        <v>617</v>
      </c>
      <c r="B617" s="57" t="s">
        <v>2616</v>
      </c>
      <c r="C617" s="34" t="s">
        <v>3789</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3792</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3690</v>
      </c>
      <c r="AX617" s="29" t="s">
        <v>3486</v>
      </c>
      <c r="AY617" s="37" t="s">
        <v>3702</v>
      </c>
      <c r="AZ617" s="29" t="s">
        <v>3700</v>
      </c>
      <c r="BA617" s="37" t="s">
        <v>3701</v>
      </c>
      <c r="BB617" s="29" t="s">
        <v>3686</v>
      </c>
      <c r="BC617" s="37" t="s">
        <v>3688</v>
      </c>
      <c r="BD617" s="29" t="s">
        <v>3687</v>
      </c>
      <c r="BE617" s="37" t="s">
        <v>3791</v>
      </c>
    </row>
    <row r="618" spans="1:57" ht="7.5" customHeight="1" x14ac:dyDescent="0.4">
      <c r="A618" s="35">
        <v>618</v>
      </c>
      <c r="B618" s="57" t="s">
        <v>2621</v>
      </c>
      <c r="C618" s="34" t="s">
        <v>3789</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3792</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3690</v>
      </c>
      <c r="AX618" s="29" t="s">
        <v>3486</v>
      </c>
      <c r="AY618" s="37" t="s">
        <v>3702</v>
      </c>
      <c r="AZ618" s="29" t="s">
        <v>3700</v>
      </c>
      <c r="BA618" s="37" t="s">
        <v>3701</v>
      </c>
      <c r="BB618" s="29" t="s">
        <v>3686</v>
      </c>
      <c r="BC618" s="37" t="s">
        <v>3688</v>
      </c>
      <c r="BD618" s="29" t="s">
        <v>3687</v>
      </c>
      <c r="BE618" s="37" t="s">
        <v>3791</v>
      </c>
    </row>
    <row r="619" spans="1:57" ht="7.5" customHeight="1" x14ac:dyDescent="0.4">
      <c r="A619" s="35">
        <v>619</v>
      </c>
      <c r="B619" s="57" t="s">
        <v>2625</v>
      </c>
      <c r="C619" s="34" t="s">
        <v>3789</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3792</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3690</v>
      </c>
      <c r="AX619" s="29" t="s">
        <v>3486</v>
      </c>
      <c r="AY619" s="37" t="s">
        <v>3702</v>
      </c>
      <c r="AZ619" s="29" t="s">
        <v>3700</v>
      </c>
      <c r="BA619" s="37" t="s">
        <v>3701</v>
      </c>
      <c r="BB619" s="29" t="s">
        <v>3686</v>
      </c>
      <c r="BC619" s="37" t="s">
        <v>3688</v>
      </c>
      <c r="BD619" s="29" t="s">
        <v>3687</v>
      </c>
      <c r="BE619" s="37" t="s">
        <v>3791</v>
      </c>
    </row>
    <row r="620" spans="1:57" ht="7.5" customHeight="1" x14ac:dyDescent="0.4">
      <c r="A620" s="35">
        <v>620</v>
      </c>
      <c r="B620" s="57" t="s">
        <v>2629</v>
      </c>
      <c r="C620" s="34" t="s">
        <v>3789</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3792</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3690</v>
      </c>
      <c r="AX620" s="29" t="s">
        <v>3486</v>
      </c>
      <c r="AY620" s="37" t="s">
        <v>3702</v>
      </c>
      <c r="AZ620" s="29" t="s">
        <v>3700</v>
      </c>
      <c r="BA620" s="37" t="s">
        <v>3701</v>
      </c>
      <c r="BB620" s="29" t="s">
        <v>3686</v>
      </c>
      <c r="BC620" s="37" t="s">
        <v>3688</v>
      </c>
      <c r="BD620" s="29" t="s">
        <v>3687</v>
      </c>
      <c r="BE620" s="37" t="s">
        <v>3791</v>
      </c>
    </row>
    <row r="621" spans="1:57" ht="7.5" customHeight="1" x14ac:dyDescent="0.4">
      <c r="A621" s="35">
        <v>621</v>
      </c>
      <c r="B621" s="57" t="s">
        <v>2634</v>
      </c>
      <c r="C621" s="34" t="s">
        <v>3789</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3792</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3690</v>
      </c>
      <c r="AX621" s="29" t="s">
        <v>3486</v>
      </c>
      <c r="AY621" s="37" t="s">
        <v>3702</v>
      </c>
      <c r="AZ621" s="29" t="s">
        <v>3700</v>
      </c>
      <c r="BA621" s="37" t="s">
        <v>3701</v>
      </c>
      <c r="BB621" s="29" t="s">
        <v>3686</v>
      </c>
      <c r="BC621" s="37" t="s">
        <v>3688</v>
      </c>
      <c r="BD621" s="29" t="s">
        <v>3687</v>
      </c>
      <c r="BE621" s="37" t="s">
        <v>3791</v>
      </c>
    </row>
    <row r="622" spans="1:57" ht="7.5" customHeight="1" x14ac:dyDescent="0.4">
      <c r="A622" s="35">
        <v>622</v>
      </c>
      <c r="B622" s="57" t="s">
        <v>2639</v>
      </c>
      <c r="C622" s="34" t="s">
        <v>3789</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3792</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3690</v>
      </c>
      <c r="AX622" s="29" t="s">
        <v>3486</v>
      </c>
      <c r="AY622" s="37" t="s">
        <v>3702</v>
      </c>
      <c r="AZ622" s="29" t="s">
        <v>3700</v>
      </c>
      <c r="BA622" s="37" t="s">
        <v>3701</v>
      </c>
      <c r="BB622" s="29" t="s">
        <v>3686</v>
      </c>
      <c r="BC622" s="37" t="s">
        <v>3688</v>
      </c>
      <c r="BD622" s="29" t="s">
        <v>3687</v>
      </c>
      <c r="BE622" s="37" t="s">
        <v>3791</v>
      </c>
    </row>
    <row r="623" spans="1:57" ht="7.5" customHeight="1" x14ac:dyDescent="0.4">
      <c r="A623" s="35">
        <v>623</v>
      </c>
      <c r="B623" s="57" t="s">
        <v>2643</v>
      </c>
      <c r="C623" s="34" t="s">
        <v>3789</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3792</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3690</v>
      </c>
      <c r="AX623" s="29" t="s">
        <v>3486</v>
      </c>
      <c r="AY623" s="37" t="s">
        <v>3702</v>
      </c>
      <c r="AZ623" s="29" t="s">
        <v>3700</v>
      </c>
      <c r="BA623" s="37" t="s">
        <v>3701</v>
      </c>
      <c r="BB623" s="29" t="s">
        <v>3686</v>
      </c>
      <c r="BC623" s="37" t="s">
        <v>3688</v>
      </c>
      <c r="BD623" s="29" t="s">
        <v>3687</v>
      </c>
      <c r="BE623" s="37" t="s">
        <v>3791</v>
      </c>
    </row>
    <row r="624" spans="1:57" ht="7.5" customHeight="1" x14ac:dyDescent="0.4">
      <c r="A624" s="35">
        <v>624</v>
      </c>
      <c r="B624" s="57" t="s">
        <v>2648</v>
      </c>
      <c r="C624" s="34" t="s">
        <v>3789</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3792</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3690</v>
      </c>
      <c r="AX624" s="29" t="s">
        <v>3486</v>
      </c>
      <c r="AY624" s="37" t="s">
        <v>3702</v>
      </c>
      <c r="AZ624" s="29" t="s">
        <v>3700</v>
      </c>
      <c r="BA624" s="37" t="s">
        <v>3701</v>
      </c>
      <c r="BB624" s="29" t="s">
        <v>3686</v>
      </c>
      <c r="BC624" s="37" t="s">
        <v>3688</v>
      </c>
      <c r="BD624" s="29" t="s">
        <v>3687</v>
      </c>
      <c r="BE624" s="37" t="s">
        <v>3791</v>
      </c>
    </row>
    <row r="625" spans="1:57" ht="7.5" customHeight="1" x14ac:dyDescent="0.4">
      <c r="A625" s="35">
        <v>625</v>
      </c>
      <c r="B625" s="57" t="s">
        <v>2652</v>
      </c>
      <c r="C625" s="34" t="s">
        <v>3789</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3792</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3690</v>
      </c>
      <c r="AX625" s="29" t="s">
        <v>3486</v>
      </c>
      <c r="AY625" s="37" t="s">
        <v>3702</v>
      </c>
      <c r="AZ625" s="29" t="s">
        <v>3700</v>
      </c>
      <c r="BA625" s="37" t="s">
        <v>3701</v>
      </c>
      <c r="BB625" s="29" t="s">
        <v>3686</v>
      </c>
      <c r="BC625" s="37" t="s">
        <v>3688</v>
      </c>
      <c r="BD625" s="29" t="s">
        <v>3687</v>
      </c>
      <c r="BE625" s="37" t="s">
        <v>3791</v>
      </c>
    </row>
    <row r="626" spans="1:57" ht="7.5" customHeight="1" x14ac:dyDescent="0.4">
      <c r="A626" s="35">
        <v>626</v>
      </c>
      <c r="B626" s="57" t="s">
        <v>2656</v>
      </c>
      <c r="C626" s="34" t="s">
        <v>3789</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3792</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3690</v>
      </c>
      <c r="AX626" s="29" t="s">
        <v>3486</v>
      </c>
      <c r="AY626" s="37" t="s">
        <v>3702</v>
      </c>
      <c r="AZ626" s="29" t="s">
        <v>3700</v>
      </c>
      <c r="BA626" s="37" t="s">
        <v>3701</v>
      </c>
      <c r="BB626" s="29" t="s">
        <v>3686</v>
      </c>
      <c r="BC626" s="37" t="s">
        <v>3688</v>
      </c>
      <c r="BD626" s="29" t="s">
        <v>3687</v>
      </c>
      <c r="BE626" s="37" t="s">
        <v>3791</v>
      </c>
    </row>
    <row r="627" spans="1:57" ht="7.5" customHeight="1" x14ac:dyDescent="0.4">
      <c r="A627" s="35">
        <v>627</v>
      </c>
      <c r="B627" s="57" t="s">
        <v>2661</v>
      </c>
      <c r="C627" s="34" t="s">
        <v>3789</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3792</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3690</v>
      </c>
      <c r="AX627" s="29" t="s">
        <v>3486</v>
      </c>
      <c r="AY627" s="37" t="s">
        <v>3702</v>
      </c>
      <c r="AZ627" s="29" t="s">
        <v>3700</v>
      </c>
      <c r="BA627" s="37" t="s">
        <v>3701</v>
      </c>
      <c r="BB627" s="29" t="s">
        <v>3686</v>
      </c>
      <c r="BC627" s="37" t="s">
        <v>3688</v>
      </c>
      <c r="BD627" s="29" t="s">
        <v>3687</v>
      </c>
      <c r="BE627" s="37" t="s">
        <v>3791</v>
      </c>
    </row>
    <row r="628" spans="1:57" ht="7.5" customHeight="1" x14ac:dyDescent="0.4">
      <c r="A628" s="35">
        <v>628</v>
      </c>
      <c r="B628" s="57" t="s">
        <v>2666</v>
      </c>
      <c r="C628" s="34" t="s">
        <v>3789</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3792</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3690</v>
      </c>
      <c r="AX628" s="29" t="s">
        <v>3486</v>
      </c>
      <c r="AY628" s="37" t="s">
        <v>3702</v>
      </c>
      <c r="AZ628" s="29" t="s">
        <v>3700</v>
      </c>
      <c r="BA628" s="37" t="s">
        <v>3701</v>
      </c>
      <c r="BB628" s="29" t="s">
        <v>3686</v>
      </c>
      <c r="BC628" s="37" t="s">
        <v>3688</v>
      </c>
      <c r="BD628" s="29" t="s">
        <v>3687</v>
      </c>
      <c r="BE628" s="37" t="s">
        <v>3791</v>
      </c>
    </row>
    <row r="629" spans="1:57" ht="7.5" customHeight="1" x14ac:dyDescent="0.4">
      <c r="A629" s="35">
        <v>629</v>
      </c>
      <c r="B629" s="57" t="s">
        <v>2671</v>
      </c>
      <c r="C629" s="34" t="s">
        <v>3789</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3792</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3690</v>
      </c>
      <c r="AX629" s="29" t="s">
        <v>3486</v>
      </c>
      <c r="AY629" s="37" t="s">
        <v>3702</v>
      </c>
      <c r="AZ629" s="29" t="s">
        <v>3700</v>
      </c>
      <c r="BA629" s="37" t="s">
        <v>3701</v>
      </c>
      <c r="BB629" s="29" t="s">
        <v>3686</v>
      </c>
      <c r="BC629" s="37" t="s">
        <v>3688</v>
      </c>
      <c r="BD629" s="29" t="s">
        <v>3687</v>
      </c>
      <c r="BE629" s="37" t="s">
        <v>3791</v>
      </c>
    </row>
    <row r="630" spans="1:57" ht="7.5" customHeight="1" x14ac:dyDescent="0.4">
      <c r="A630" s="35">
        <v>630</v>
      </c>
      <c r="B630" s="57" t="s">
        <v>2674</v>
      </c>
      <c r="C630" s="34" t="s">
        <v>3789</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3792</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3690</v>
      </c>
      <c r="AX630" s="29" t="s">
        <v>3486</v>
      </c>
      <c r="AY630" s="37" t="s">
        <v>3702</v>
      </c>
      <c r="AZ630" s="29" t="s">
        <v>3700</v>
      </c>
      <c r="BA630" s="37" t="s">
        <v>3701</v>
      </c>
      <c r="BB630" s="29" t="s">
        <v>3686</v>
      </c>
      <c r="BC630" s="37" t="s">
        <v>3688</v>
      </c>
      <c r="BD630" s="29" t="s">
        <v>3687</v>
      </c>
      <c r="BE630" s="37" t="s">
        <v>3791</v>
      </c>
    </row>
    <row r="631" spans="1:57" ht="7.5" customHeight="1" x14ac:dyDescent="0.4">
      <c r="A631" s="35">
        <v>631</v>
      </c>
      <c r="B631" s="57" t="s">
        <v>2679</v>
      </c>
      <c r="C631" s="34" t="s">
        <v>3789</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3792</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3690</v>
      </c>
      <c r="AX631" s="29" t="s">
        <v>3486</v>
      </c>
      <c r="AY631" s="37" t="s">
        <v>3702</v>
      </c>
      <c r="AZ631" s="29" t="s">
        <v>3700</v>
      </c>
      <c r="BA631" s="37" t="s">
        <v>3701</v>
      </c>
      <c r="BB631" s="29" t="s">
        <v>3686</v>
      </c>
      <c r="BC631" s="37" t="s">
        <v>3688</v>
      </c>
      <c r="BD631" s="29" t="s">
        <v>3687</v>
      </c>
      <c r="BE631" s="37" t="s">
        <v>3791</v>
      </c>
    </row>
    <row r="632" spans="1:57" ht="7.5" customHeight="1" x14ac:dyDescent="0.4">
      <c r="A632" s="35">
        <v>632</v>
      </c>
      <c r="B632" s="57" t="s">
        <v>2682</v>
      </c>
      <c r="C632" s="34" t="s">
        <v>3789</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3792</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3690</v>
      </c>
      <c r="AX632" s="29" t="s">
        <v>3486</v>
      </c>
      <c r="AY632" s="37" t="s">
        <v>3702</v>
      </c>
      <c r="AZ632" s="29" t="s">
        <v>3700</v>
      </c>
      <c r="BA632" s="37" t="s">
        <v>3701</v>
      </c>
      <c r="BB632" s="29" t="s">
        <v>3686</v>
      </c>
      <c r="BC632" s="37" t="s">
        <v>3688</v>
      </c>
      <c r="BD632" s="29" t="s">
        <v>3687</v>
      </c>
      <c r="BE632" s="37" t="s">
        <v>3791</v>
      </c>
    </row>
    <row r="633" spans="1:57" ht="7.5" customHeight="1" x14ac:dyDescent="0.4">
      <c r="A633" s="35">
        <v>633</v>
      </c>
      <c r="B633" s="57" t="s">
        <v>2686</v>
      </c>
      <c r="C633" s="34" t="s">
        <v>3789</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3792</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3690</v>
      </c>
      <c r="AX633" s="29" t="s">
        <v>3486</v>
      </c>
      <c r="AY633" s="37" t="s">
        <v>3702</v>
      </c>
      <c r="AZ633" s="29" t="s">
        <v>3700</v>
      </c>
      <c r="BA633" s="37" t="s">
        <v>3701</v>
      </c>
      <c r="BB633" s="29" t="s">
        <v>3686</v>
      </c>
      <c r="BC633" s="37" t="s">
        <v>3688</v>
      </c>
      <c r="BD633" s="29" t="s">
        <v>3687</v>
      </c>
      <c r="BE633" s="37" t="s">
        <v>3791</v>
      </c>
    </row>
    <row r="634" spans="1:57" ht="7.5" customHeight="1" x14ac:dyDescent="0.4">
      <c r="A634" s="35">
        <v>634</v>
      </c>
      <c r="B634" s="57" t="s">
        <v>2691</v>
      </c>
      <c r="C634" s="34" t="s">
        <v>3789</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3792</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3690</v>
      </c>
      <c r="AX634" s="29" t="s">
        <v>3486</v>
      </c>
      <c r="AY634" s="37" t="s">
        <v>3702</v>
      </c>
      <c r="AZ634" s="29" t="s">
        <v>3700</v>
      </c>
      <c r="BA634" s="37" t="s">
        <v>3701</v>
      </c>
      <c r="BB634" s="29" t="s">
        <v>3686</v>
      </c>
      <c r="BC634" s="37" t="s">
        <v>3688</v>
      </c>
      <c r="BD634" s="29" t="s">
        <v>3687</v>
      </c>
      <c r="BE634" s="37" t="s">
        <v>3791</v>
      </c>
    </row>
    <row r="635" spans="1:57" ht="7.5" customHeight="1" x14ac:dyDescent="0.4">
      <c r="A635" s="35">
        <v>635</v>
      </c>
      <c r="B635" s="57" t="s">
        <v>2694</v>
      </c>
      <c r="C635" s="34" t="s">
        <v>3789</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3792</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3690</v>
      </c>
      <c r="AX635" s="29" t="s">
        <v>3486</v>
      </c>
      <c r="AY635" s="37" t="s">
        <v>3702</v>
      </c>
      <c r="AZ635" s="29" t="s">
        <v>3700</v>
      </c>
      <c r="BA635" s="37" t="s">
        <v>3701</v>
      </c>
      <c r="BB635" s="29" t="s">
        <v>3686</v>
      </c>
      <c r="BC635" s="37" t="s">
        <v>3688</v>
      </c>
      <c r="BD635" s="29" t="s">
        <v>3687</v>
      </c>
      <c r="BE635" s="37" t="s">
        <v>3791</v>
      </c>
    </row>
    <row r="636" spans="1:57" ht="7.5" customHeight="1" x14ac:dyDescent="0.4">
      <c r="A636" s="35">
        <v>636</v>
      </c>
      <c r="B636" s="57" t="s">
        <v>2698</v>
      </c>
      <c r="C636" s="34" t="s">
        <v>3789</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3792</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3690</v>
      </c>
      <c r="AX636" s="29" t="s">
        <v>3486</v>
      </c>
      <c r="AY636" s="37" t="s">
        <v>3702</v>
      </c>
      <c r="AZ636" s="29" t="s">
        <v>3700</v>
      </c>
      <c r="BA636" s="37" t="s">
        <v>3701</v>
      </c>
      <c r="BB636" s="29" t="s">
        <v>3686</v>
      </c>
      <c r="BC636" s="37" t="s">
        <v>3688</v>
      </c>
      <c r="BD636" s="29" t="s">
        <v>3687</v>
      </c>
      <c r="BE636" s="37" t="s">
        <v>3791</v>
      </c>
    </row>
    <row r="637" spans="1:57" ht="7.5" customHeight="1" x14ac:dyDescent="0.4">
      <c r="A637" s="35">
        <v>637</v>
      </c>
      <c r="B637" s="57" t="s">
        <v>2702</v>
      </c>
      <c r="C637" s="34" t="s">
        <v>3789</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3792</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3690</v>
      </c>
      <c r="AX637" s="29" t="s">
        <v>3486</v>
      </c>
      <c r="AY637" s="37" t="s">
        <v>3702</v>
      </c>
      <c r="AZ637" s="29" t="s">
        <v>3700</v>
      </c>
      <c r="BA637" s="37" t="s">
        <v>3701</v>
      </c>
      <c r="BB637" s="29" t="s">
        <v>3686</v>
      </c>
      <c r="BC637" s="37" t="s">
        <v>3688</v>
      </c>
      <c r="BD637" s="29" t="s">
        <v>3687</v>
      </c>
      <c r="BE637" s="37" t="s">
        <v>3791</v>
      </c>
    </row>
    <row r="638" spans="1:57" ht="7.5" customHeight="1" x14ac:dyDescent="0.4">
      <c r="A638" s="35">
        <v>638</v>
      </c>
      <c r="B638" s="57" t="s">
        <v>2704</v>
      </c>
      <c r="C638" s="34" t="s">
        <v>3789</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3792</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3690</v>
      </c>
      <c r="AX638" s="29" t="s">
        <v>3486</v>
      </c>
      <c r="AY638" s="37" t="s">
        <v>3702</v>
      </c>
      <c r="AZ638" s="29" t="s">
        <v>3700</v>
      </c>
      <c r="BA638" s="37" t="s">
        <v>3701</v>
      </c>
      <c r="BB638" s="29" t="s">
        <v>3686</v>
      </c>
      <c r="BC638" s="37" t="s">
        <v>3688</v>
      </c>
      <c r="BD638" s="29" t="s">
        <v>3687</v>
      </c>
      <c r="BE638" s="37" t="s">
        <v>3791</v>
      </c>
    </row>
    <row r="639" spans="1:57" ht="7.5" customHeight="1" x14ac:dyDescent="0.4">
      <c r="A639" s="35">
        <v>639</v>
      </c>
      <c r="B639" s="57" t="s">
        <v>2708</v>
      </c>
      <c r="C639" s="34" t="s">
        <v>3789</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3792</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3690</v>
      </c>
      <c r="AX639" s="29" t="s">
        <v>3486</v>
      </c>
      <c r="AY639" s="37" t="s">
        <v>3702</v>
      </c>
      <c r="AZ639" s="29" t="s">
        <v>3700</v>
      </c>
      <c r="BA639" s="37" t="s">
        <v>3701</v>
      </c>
      <c r="BB639" s="29" t="s">
        <v>3686</v>
      </c>
      <c r="BC639" s="37" t="s">
        <v>3688</v>
      </c>
      <c r="BD639" s="29" t="s">
        <v>3687</v>
      </c>
      <c r="BE639" s="37" t="s">
        <v>3791</v>
      </c>
    </row>
    <row r="640" spans="1:57" ht="7.5" customHeight="1" x14ac:dyDescent="0.4">
      <c r="A640" s="35">
        <v>640</v>
      </c>
      <c r="B640" s="57" t="s">
        <v>2711</v>
      </c>
      <c r="C640" s="34" t="s">
        <v>3789</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3792</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3690</v>
      </c>
      <c r="AX640" s="29" t="s">
        <v>3486</v>
      </c>
      <c r="AY640" s="37" t="s">
        <v>3702</v>
      </c>
      <c r="AZ640" s="29" t="s">
        <v>3700</v>
      </c>
      <c r="BA640" s="37" t="s">
        <v>3701</v>
      </c>
      <c r="BB640" s="29" t="s">
        <v>3686</v>
      </c>
      <c r="BC640" s="37" t="s">
        <v>3688</v>
      </c>
      <c r="BD640" s="29" t="s">
        <v>3687</v>
      </c>
      <c r="BE640" s="37" t="s">
        <v>3791</v>
      </c>
    </row>
    <row r="641" spans="1:57" ht="7.5" customHeight="1" x14ac:dyDescent="0.4">
      <c r="A641" s="35">
        <v>641</v>
      </c>
      <c r="B641" s="57" t="s">
        <v>2715</v>
      </c>
      <c r="C641" s="34" t="s">
        <v>3789</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3792</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3690</v>
      </c>
      <c r="AX641" s="29" t="s">
        <v>3486</v>
      </c>
      <c r="AY641" s="37" t="s">
        <v>3702</v>
      </c>
      <c r="AZ641" s="29" t="s">
        <v>3700</v>
      </c>
      <c r="BA641" s="37" t="s">
        <v>3701</v>
      </c>
      <c r="BB641" s="29" t="s">
        <v>3686</v>
      </c>
      <c r="BC641" s="37" t="s">
        <v>3688</v>
      </c>
      <c r="BD641" s="29" t="s">
        <v>3687</v>
      </c>
      <c r="BE641" s="37" t="s">
        <v>3791</v>
      </c>
    </row>
    <row r="642" spans="1:57" ht="7.5" customHeight="1" x14ac:dyDescent="0.4">
      <c r="A642" s="35">
        <v>642</v>
      </c>
      <c r="B642" s="57" t="s">
        <v>2720</v>
      </c>
      <c r="C642" s="34" t="s">
        <v>3789</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3792</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3690</v>
      </c>
      <c r="AX642" s="29" t="s">
        <v>3486</v>
      </c>
      <c r="AY642" s="37" t="s">
        <v>3702</v>
      </c>
      <c r="AZ642" s="29" t="s">
        <v>3700</v>
      </c>
      <c r="BA642" s="37" t="s">
        <v>3701</v>
      </c>
      <c r="BB642" s="29" t="s">
        <v>3686</v>
      </c>
      <c r="BC642" s="37" t="s">
        <v>3688</v>
      </c>
      <c r="BD642" s="29" t="s">
        <v>3687</v>
      </c>
      <c r="BE642" s="37" t="s">
        <v>3791</v>
      </c>
    </row>
    <row r="643" spans="1:57" ht="7.5" customHeight="1" x14ac:dyDescent="0.4">
      <c r="A643" s="35">
        <v>643</v>
      </c>
      <c r="B643" s="57" t="s">
        <v>2724</v>
      </c>
      <c r="C643" s="34" t="s">
        <v>3789</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3792</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3690</v>
      </c>
      <c r="AX643" s="29" t="s">
        <v>3486</v>
      </c>
      <c r="AY643" s="37" t="s">
        <v>3702</v>
      </c>
      <c r="AZ643" s="29" t="s">
        <v>3700</v>
      </c>
      <c r="BA643" s="37" t="s">
        <v>3701</v>
      </c>
      <c r="BB643" s="29" t="s">
        <v>3686</v>
      </c>
      <c r="BC643" s="37" t="s">
        <v>3688</v>
      </c>
      <c r="BD643" s="29" t="s">
        <v>3687</v>
      </c>
      <c r="BE643" s="37" t="s">
        <v>3791</v>
      </c>
    </row>
    <row r="644" spans="1:57" ht="7.5" customHeight="1" x14ac:dyDescent="0.4">
      <c r="A644" s="35">
        <v>644</v>
      </c>
      <c r="B644" s="57" t="s">
        <v>2729</v>
      </c>
      <c r="C644" s="34" t="s">
        <v>3789</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3792</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3690</v>
      </c>
      <c r="AX644" s="29" t="s">
        <v>3486</v>
      </c>
      <c r="AY644" s="37" t="s">
        <v>3702</v>
      </c>
      <c r="AZ644" s="29" t="s">
        <v>3700</v>
      </c>
      <c r="BA644" s="37" t="s">
        <v>3701</v>
      </c>
      <c r="BB644" s="29" t="s">
        <v>3686</v>
      </c>
      <c r="BC644" s="37" t="s">
        <v>3688</v>
      </c>
      <c r="BD644" s="29" t="s">
        <v>3687</v>
      </c>
      <c r="BE644" s="37" t="s">
        <v>3791</v>
      </c>
    </row>
    <row r="645" spans="1:57" ht="7.5" customHeight="1" x14ac:dyDescent="0.4">
      <c r="A645" s="35">
        <v>645</v>
      </c>
      <c r="B645" s="57" t="s">
        <v>2734</v>
      </c>
      <c r="C645" s="34" t="s">
        <v>3789</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3792</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3690</v>
      </c>
      <c r="AX645" s="29" t="s">
        <v>3486</v>
      </c>
      <c r="AY645" s="37" t="s">
        <v>3702</v>
      </c>
      <c r="AZ645" s="29" t="s">
        <v>3700</v>
      </c>
      <c r="BA645" s="37" t="s">
        <v>3701</v>
      </c>
      <c r="BB645" s="29" t="s">
        <v>3686</v>
      </c>
      <c r="BC645" s="37" t="s">
        <v>3688</v>
      </c>
      <c r="BD645" s="29" t="s">
        <v>3687</v>
      </c>
      <c r="BE645" s="37" t="s">
        <v>3791</v>
      </c>
    </row>
    <row r="646" spans="1:57" ht="7.5" customHeight="1" x14ac:dyDescent="0.4">
      <c r="A646" s="35">
        <v>646</v>
      </c>
      <c r="B646" s="57" t="s">
        <v>2738</v>
      </c>
      <c r="C646" s="34" t="s">
        <v>3789</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3792</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3690</v>
      </c>
      <c r="AX646" s="29" t="s">
        <v>3486</v>
      </c>
      <c r="AY646" s="37" t="s">
        <v>3702</v>
      </c>
      <c r="AZ646" s="29" t="s">
        <v>3700</v>
      </c>
      <c r="BA646" s="37" t="s">
        <v>3701</v>
      </c>
      <c r="BB646" s="29" t="s">
        <v>3686</v>
      </c>
      <c r="BC646" s="37" t="s">
        <v>3688</v>
      </c>
      <c r="BD646" s="29" t="s">
        <v>3687</v>
      </c>
      <c r="BE646" s="37" t="s">
        <v>3791</v>
      </c>
    </row>
    <row r="647" spans="1:57" ht="7.5" customHeight="1" x14ac:dyDescent="0.4">
      <c r="A647" s="35">
        <v>647</v>
      </c>
      <c r="B647" s="57" t="s">
        <v>2743</v>
      </c>
      <c r="C647" s="34" t="s">
        <v>3789</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3792</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3690</v>
      </c>
      <c r="AX647" s="29" t="s">
        <v>3486</v>
      </c>
      <c r="AY647" s="37" t="s">
        <v>3702</v>
      </c>
      <c r="AZ647" s="29" t="s">
        <v>3700</v>
      </c>
      <c r="BA647" s="37" t="s">
        <v>3701</v>
      </c>
      <c r="BB647" s="29" t="s">
        <v>3686</v>
      </c>
      <c r="BC647" s="37" t="s">
        <v>3688</v>
      </c>
      <c r="BD647" s="29" t="s">
        <v>3687</v>
      </c>
      <c r="BE647" s="37" t="s">
        <v>3791</v>
      </c>
    </row>
    <row r="648" spans="1:57" ht="7.5" customHeight="1" x14ac:dyDescent="0.4">
      <c r="A648" s="35">
        <v>648</v>
      </c>
      <c r="B648" s="57" t="s">
        <v>2748</v>
      </c>
      <c r="C648" s="34" t="s">
        <v>3789</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3792</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3690</v>
      </c>
      <c r="AX648" s="29" t="s">
        <v>3486</v>
      </c>
      <c r="AY648" s="37" t="s">
        <v>3702</v>
      </c>
      <c r="AZ648" s="29" t="s">
        <v>3700</v>
      </c>
      <c r="BA648" s="37" t="s">
        <v>3701</v>
      </c>
      <c r="BB648" s="29" t="s">
        <v>3686</v>
      </c>
      <c r="BC648" s="37" t="s">
        <v>3688</v>
      </c>
      <c r="BD648" s="29" t="s">
        <v>3687</v>
      </c>
      <c r="BE648" s="37" t="s">
        <v>3791</v>
      </c>
    </row>
    <row r="649" spans="1:57" ht="7.5" customHeight="1" x14ac:dyDescent="0.4">
      <c r="A649" s="35">
        <v>649</v>
      </c>
      <c r="B649" s="57" t="s">
        <v>2752</v>
      </c>
      <c r="C649" s="34" t="s">
        <v>3789</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3792</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3690</v>
      </c>
      <c r="AX649" s="29" t="s">
        <v>3486</v>
      </c>
      <c r="AY649" s="37" t="s">
        <v>3702</v>
      </c>
      <c r="AZ649" s="29" t="s">
        <v>3700</v>
      </c>
      <c r="BA649" s="37" t="s">
        <v>3701</v>
      </c>
      <c r="BB649" s="29" t="s">
        <v>3686</v>
      </c>
      <c r="BC649" s="37" t="s">
        <v>3688</v>
      </c>
      <c r="BD649" s="29" t="s">
        <v>3687</v>
      </c>
      <c r="BE649" s="37" t="s">
        <v>3791</v>
      </c>
    </row>
    <row r="650" spans="1:57" ht="7.5" customHeight="1" x14ac:dyDescent="0.4">
      <c r="A650" s="35">
        <v>650</v>
      </c>
      <c r="B650" s="57" t="s">
        <v>2756</v>
      </c>
      <c r="C650" s="34" t="s">
        <v>3789</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3792</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3690</v>
      </c>
      <c r="AX650" s="29" t="s">
        <v>3486</v>
      </c>
      <c r="AY650" s="37" t="s">
        <v>3702</v>
      </c>
      <c r="AZ650" s="29" t="s">
        <v>3700</v>
      </c>
      <c r="BA650" s="37" t="s">
        <v>3701</v>
      </c>
      <c r="BB650" s="29" t="s">
        <v>3686</v>
      </c>
      <c r="BC650" s="37" t="s">
        <v>3688</v>
      </c>
      <c r="BD650" s="29" t="s">
        <v>3687</v>
      </c>
      <c r="BE650" s="37" t="s">
        <v>3791</v>
      </c>
    </row>
    <row r="651" spans="1:57" ht="7.5" customHeight="1" x14ac:dyDescent="0.4">
      <c r="A651" s="35">
        <v>651</v>
      </c>
      <c r="B651" s="57" t="s">
        <v>2761</v>
      </c>
      <c r="C651" s="34" t="s">
        <v>3789</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3792</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3690</v>
      </c>
      <c r="AX651" s="29" t="s">
        <v>3486</v>
      </c>
      <c r="AY651" s="37" t="s">
        <v>3702</v>
      </c>
      <c r="AZ651" s="29" t="s">
        <v>3700</v>
      </c>
      <c r="BA651" s="37" t="s">
        <v>3701</v>
      </c>
      <c r="BB651" s="29" t="s">
        <v>3686</v>
      </c>
      <c r="BC651" s="37" t="s">
        <v>3688</v>
      </c>
      <c r="BD651" s="29" t="s">
        <v>3687</v>
      </c>
      <c r="BE651" s="37" t="s">
        <v>3791</v>
      </c>
    </row>
    <row r="652" spans="1:57" ht="7.5" customHeight="1" x14ac:dyDescent="0.4">
      <c r="A652" s="35">
        <v>652</v>
      </c>
      <c r="B652" s="57" t="s">
        <v>2766</v>
      </c>
      <c r="C652" s="34" t="s">
        <v>3789</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3792</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3690</v>
      </c>
      <c r="AX652" s="29" t="s">
        <v>3486</v>
      </c>
      <c r="AY652" s="37" t="s">
        <v>3702</v>
      </c>
      <c r="AZ652" s="29" t="s">
        <v>3700</v>
      </c>
      <c r="BA652" s="37" t="s">
        <v>3701</v>
      </c>
      <c r="BB652" s="29" t="s">
        <v>3686</v>
      </c>
      <c r="BC652" s="37" t="s">
        <v>3688</v>
      </c>
      <c r="BD652" s="29" t="s">
        <v>3687</v>
      </c>
      <c r="BE652" s="37" t="s">
        <v>3791</v>
      </c>
    </row>
    <row r="653" spans="1:57" ht="7.5" customHeight="1" x14ac:dyDescent="0.4">
      <c r="A653" s="35">
        <v>653</v>
      </c>
      <c r="B653" s="57" t="s">
        <v>2771</v>
      </c>
      <c r="C653" s="34" t="s">
        <v>3789</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3792</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3690</v>
      </c>
      <c r="AX653" s="29" t="s">
        <v>3486</v>
      </c>
      <c r="AY653" s="37" t="s">
        <v>3702</v>
      </c>
      <c r="AZ653" s="29" t="s">
        <v>3700</v>
      </c>
      <c r="BA653" s="37" t="s">
        <v>3701</v>
      </c>
      <c r="BB653" s="29" t="s">
        <v>3686</v>
      </c>
      <c r="BC653" s="37" t="s">
        <v>3688</v>
      </c>
      <c r="BD653" s="29" t="s">
        <v>3687</v>
      </c>
      <c r="BE653" s="37" t="s">
        <v>3791</v>
      </c>
    </row>
    <row r="654" spans="1:57" ht="7.5" customHeight="1" x14ac:dyDescent="0.4">
      <c r="A654" s="35">
        <v>654</v>
      </c>
      <c r="B654" s="57" t="s">
        <v>2775</v>
      </c>
      <c r="C654" s="34" t="s">
        <v>3789</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3792</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3690</v>
      </c>
      <c r="AX654" s="29" t="s">
        <v>3486</v>
      </c>
      <c r="AY654" s="37" t="s">
        <v>3702</v>
      </c>
      <c r="AZ654" s="29" t="s">
        <v>3700</v>
      </c>
      <c r="BA654" s="37" t="s">
        <v>3701</v>
      </c>
      <c r="BB654" s="29" t="s">
        <v>3686</v>
      </c>
      <c r="BC654" s="37" t="s">
        <v>3688</v>
      </c>
      <c r="BD654" s="29" t="s">
        <v>3687</v>
      </c>
      <c r="BE654" s="37" t="s">
        <v>3791</v>
      </c>
    </row>
    <row r="655" spans="1:57" ht="7.5" customHeight="1" x14ac:dyDescent="0.4">
      <c r="A655" s="35">
        <v>655</v>
      </c>
      <c r="B655" s="57" t="s">
        <v>2779</v>
      </c>
      <c r="C655" s="34" t="s">
        <v>3789</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3792</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3690</v>
      </c>
      <c r="AX655" s="29" t="s">
        <v>3486</v>
      </c>
      <c r="AY655" s="37" t="s">
        <v>3702</v>
      </c>
      <c r="AZ655" s="29" t="s">
        <v>3700</v>
      </c>
      <c r="BA655" s="37" t="s">
        <v>3701</v>
      </c>
      <c r="BB655" s="29" t="s">
        <v>3686</v>
      </c>
      <c r="BC655" s="37" t="s">
        <v>3688</v>
      </c>
      <c r="BD655" s="29" t="s">
        <v>3687</v>
      </c>
      <c r="BE655" s="37" t="s">
        <v>3791</v>
      </c>
    </row>
    <row r="656" spans="1:57" ht="7.5" customHeight="1" x14ac:dyDescent="0.4">
      <c r="A656" s="35">
        <v>656</v>
      </c>
      <c r="B656" s="57" t="s">
        <v>2784</v>
      </c>
      <c r="C656" s="34" t="s">
        <v>3789</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3792</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3690</v>
      </c>
      <c r="AX656" s="29" t="s">
        <v>3486</v>
      </c>
      <c r="AY656" s="37" t="s">
        <v>3702</v>
      </c>
      <c r="AZ656" s="29" t="s">
        <v>3700</v>
      </c>
      <c r="BA656" s="37" t="s">
        <v>3701</v>
      </c>
      <c r="BB656" s="29" t="s">
        <v>3686</v>
      </c>
      <c r="BC656" s="37" t="s">
        <v>3688</v>
      </c>
      <c r="BD656" s="29" t="s">
        <v>3687</v>
      </c>
      <c r="BE656" s="37" t="s">
        <v>3791</v>
      </c>
    </row>
    <row r="657" spans="1:57" ht="7.5" customHeight="1" x14ac:dyDescent="0.4">
      <c r="A657" s="35">
        <v>657</v>
      </c>
      <c r="B657" s="57" t="s">
        <v>2788</v>
      </c>
      <c r="C657" s="34" t="s">
        <v>3789</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3792</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3690</v>
      </c>
      <c r="AX657" s="29" t="s">
        <v>3486</v>
      </c>
      <c r="AY657" s="37" t="s">
        <v>3702</v>
      </c>
      <c r="AZ657" s="29" t="s">
        <v>3700</v>
      </c>
      <c r="BA657" s="37" t="s">
        <v>3701</v>
      </c>
      <c r="BB657" s="29" t="s">
        <v>3686</v>
      </c>
      <c r="BC657" s="37" t="s">
        <v>3688</v>
      </c>
      <c r="BD657" s="29" t="s">
        <v>3687</v>
      </c>
      <c r="BE657" s="37" t="s">
        <v>3791</v>
      </c>
    </row>
    <row r="658" spans="1:57" ht="7.5" customHeight="1" x14ac:dyDescent="0.4">
      <c r="A658" s="35">
        <v>658</v>
      </c>
      <c r="B658" s="57" t="s">
        <v>2792</v>
      </c>
      <c r="C658" s="34" t="s">
        <v>3789</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3792</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3690</v>
      </c>
      <c r="AX658" s="29" t="s">
        <v>3486</v>
      </c>
      <c r="AY658" s="37" t="s">
        <v>3702</v>
      </c>
      <c r="AZ658" s="29" t="s">
        <v>3700</v>
      </c>
      <c r="BA658" s="37" t="s">
        <v>3701</v>
      </c>
      <c r="BB658" s="29" t="s">
        <v>3686</v>
      </c>
      <c r="BC658" s="37" t="s">
        <v>3688</v>
      </c>
      <c r="BD658" s="29" t="s">
        <v>3687</v>
      </c>
      <c r="BE658" s="37" t="s">
        <v>3791</v>
      </c>
    </row>
    <row r="659" spans="1:57" ht="7.5" customHeight="1" x14ac:dyDescent="0.4">
      <c r="A659" s="35">
        <v>659</v>
      </c>
      <c r="B659" s="57" t="s">
        <v>2797</v>
      </c>
      <c r="C659" s="34" t="s">
        <v>3789</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3792</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3690</v>
      </c>
      <c r="AX659" s="29" t="s">
        <v>3486</v>
      </c>
      <c r="AY659" s="37" t="s">
        <v>3702</v>
      </c>
      <c r="AZ659" s="29" t="s">
        <v>3700</v>
      </c>
      <c r="BA659" s="37" t="s">
        <v>3701</v>
      </c>
      <c r="BB659" s="29" t="s">
        <v>3686</v>
      </c>
      <c r="BC659" s="37" t="s">
        <v>3688</v>
      </c>
      <c r="BD659" s="29" t="s">
        <v>3687</v>
      </c>
      <c r="BE659" s="37" t="s">
        <v>3791</v>
      </c>
    </row>
    <row r="660" spans="1:57" ht="7.5" customHeight="1" x14ac:dyDescent="0.4">
      <c r="A660" s="35">
        <v>660</v>
      </c>
      <c r="B660" s="57" t="s">
        <v>2800</v>
      </c>
      <c r="C660" s="34" t="s">
        <v>3789</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3792</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3690</v>
      </c>
      <c r="AX660" s="29" t="s">
        <v>3486</v>
      </c>
      <c r="AY660" s="37" t="s">
        <v>3702</v>
      </c>
      <c r="AZ660" s="29" t="s">
        <v>3700</v>
      </c>
      <c r="BA660" s="37" t="s">
        <v>3701</v>
      </c>
      <c r="BB660" s="29" t="s">
        <v>3686</v>
      </c>
      <c r="BC660" s="37" t="s">
        <v>3688</v>
      </c>
      <c r="BD660" s="29" t="s">
        <v>3687</v>
      </c>
      <c r="BE660" s="37" t="s">
        <v>3791</v>
      </c>
    </row>
    <row r="661" spans="1:57" ht="7.5" customHeight="1" x14ac:dyDescent="0.4">
      <c r="A661" s="35">
        <v>661</v>
      </c>
      <c r="B661" s="57" t="s">
        <v>2805</v>
      </c>
      <c r="C661" s="34" t="s">
        <v>3789</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3792</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3690</v>
      </c>
      <c r="AX661" s="29" t="s">
        <v>3486</v>
      </c>
      <c r="AY661" s="37" t="s">
        <v>3702</v>
      </c>
      <c r="AZ661" s="29" t="s">
        <v>3700</v>
      </c>
      <c r="BA661" s="37" t="s">
        <v>3701</v>
      </c>
      <c r="BB661" s="29" t="s">
        <v>3686</v>
      </c>
      <c r="BC661" s="37" t="s">
        <v>3688</v>
      </c>
      <c r="BD661" s="29" t="s">
        <v>3687</v>
      </c>
      <c r="BE661" s="37" t="s">
        <v>3791</v>
      </c>
    </row>
    <row r="662" spans="1:57" ht="7.5" customHeight="1" x14ac:dyDescent="0.4">
      <c r="A662" s="35">
        <v>662</v>
      </c>
      <c r="B662" s="57" t="s">
        <v>2809</v>
      </c>
      <c r="C662" s="34" t="s">
        <v>3789</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3792</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3690</v>
      </c>
      <c r="AX662" s="29" t="s">
        <v>3486</v>
      </c>
      <c r="AY662" s="37" t="s">
        <v>3702</v>
      </c>
      <c r="AZ662" s="29" t="s">
        <v>3700</v>
      </c>
      <c r="BA662" s="37" t="s">
        <v>3701</v>
      </c>
      <c r="BB662" s="29" t="s">
        <v>3686</v>
      </c>
      <c r="BC662" s="37" t="s">
        <v>3688</v>
      </c>
      <c r="BD662" s="29" t="s">
        <v>3687</v>
      </c>
      <c r="BE662" s="37" t="s">
        <v>3791</v>
      </c>
    </row>
    <row r="663" spans="1:57" ht="7.5" customHeight="1" x14ac:dyDescent="0.4">
      <c r="A663" s="35">
        <v>663</v>
      </c>
      <c r="B663" s="57" t="s">
        <v>2813</v>
      </c>
      <c r="C663" s="34" t="s">
        <v>3789</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3792</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3690</v>
      </c>
      <c r="AX663" s="29" t="s">
        <v>3486</v>
      </c>
      <c r="AY663" s="37" t="s">
        <v>3702</v>
      </c>
      <c r="AZ663" s="29" t="s">
        <v>3700</v>
      </c>
      <c r="BA663" s="37" t="s">
        <v>3701</v>
      </c>
      <c r="BB663" s="29" t="s">
        <v>3686</v>
      </c>
      <c r="BC663" s="37" t="s">
        <v>3688</v>
      </c>
      <c r="BD663" s="29" t="s">
        <v>3687</v>
      </c>
      <c r="BE663" s="37" t="s">
        <v>3791</v>
      </c>
    </row>
    <row r="664" spans="1:57" ht="7.5" customHeight="1" x14ac:dyDescent="0.4">
      <c r="A664" s="35">
        <v>664</v>
      </c>
      <c r="B664" s="57" t="s">
        <v>2818</v>
      </c>
      <c r="C664" s="34" t="s">
        <v>3789</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3792</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3690</v>
      </c>
      <c r="AX664" s="29" t="s">
        <v>3486</v>
      </c>
      <c r="AY664" s="37" t="s">
        <v>3702</v>
      </c>
      <c r="AZ664" s="29" t="s">
        <v>3700</v>
      </c>
      <c r="BA664" s="37" t="s">
        <v>3701</v>
      </c>
      <c r="BB664" s="29" t="s">
        <v>3686</v>
      </c>
      <c r="BC664" s="37" t="s">
        <v>3688</v>
      </c>
      <c r="BD664" s="29" t="s">
        <v>3687</v>
      </c>
      <c r="BE664" s="37" t="s">
        <v>3791</v>
      </c>
    </row>
    <row r="665" spans="1:57" ht="7.5" customHeight="1" x14ac:dyDescent="0.4">
      <c r="A665" s="35">
        <v>665</v>
      </c>
      <c r="B665" s="57" t="s">
        <v>2822</v>
      </c>
      <c r="C665" s="34" t="s">
        <v>3789</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3792</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3690</v>
      </c>
      <c r="AX665" s="29" t="s">
        <v>3486</v>
      </c>
      <c r="AY665" s="37" t="s">
        <v>3702</v>
      </c>
      <c r="AZ665" s="29" t="s">
        <v>3700</v>
      </c>
      <c r="BA665" s="37" t="s">
        <v>3701</v>
      </c>
      <c r="BB665" s="29" t="s">
        <v>3686</v>
      </c>
      <c r="BC665" s="37" t="s">
        <v>3688</v>
      </c>
      <c r="BD665" s="29" t="s">
        <v>3687</v>
      </c>
      <c r="BE665" s="37" t="s">
        <v>3791</v>
      </c>
    </row>
    <row r="666" spans="1:57" ht="7.5" customHeight="1" x14ac:dyDescent="0.4">
      <c r="A666" s="35">
        <v>666</v>
      </c>
      <c r="B666" s="57" t="s">
        <v>2827</v>
      </c>
      <c r="C666" s="34" t="s">
        <v>3789</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3792</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3690</v>
      </c>
      <c r="AX666" s="29" t="s">
        <v>3486</v>
      </c>
      <c r="AY666" s="37" t="s">
        <v>3702</v>
      </c>
      <c r="AZ666" s="29" t="s">
        <v>3700</v>
      </c>
      <c r="BA666" s="37" t="s">
        <v>3701</v>
      </c>
      <c r="BB666" s="29" t="s">
        <v>3686</v>
      </c>
      <c r="BC666" s="37" t="s">
        <v>3688</v>
      </c>
      <c r="BD666" s="29" t="s">
        <v>3687</v>
      </c>
      <c r="BE666" s="37" t="s">
        <v>3791</v>
      </c>
    </row>
    <row r="667" spans="1:57" ht="7.5" customHeight="1" x14ac:dyDescent="0.4">
      <c r="A667" s="35">
        <v>667</v>
      </c>
      <c r="B667" s="57" t="s">
        <v>2830</v>
      </c>
      <c r="C667" s="34" t="s">
        <v>3789</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3792</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3690</v>
      </c>
      <c r="AX667" s="29" t="s">
        <v>3486</v>
      </c>
      <c r="AY667" s="37" t="s">
        <v>3702</v>
      </c>
      <c r="AZ667" s="29" t="s">
        <v>3700</v>
      </c>
      <c r="BA667" s="37" t="s">
        <v>3701</v>
      </c>
      <c r="BB667" s="29" t="s">
        <v>3686</v>
      </c>
      <c r="BC667" s="37" t="s">
        <v>3688</v>
      </c>
      <c r="BD667" s="29" t="s">
        <v>3687</v>
      </c>
      <c r="BE667" s="37" t="s">
        <v>3791</v>
      </c>
    </row>
    <row r="668" spans="1:57" ht="7.5" customHeight="1" x14ac:dyDescent="0.4">
      <c r="A668" s="35">
        <v>668</v>
      </c>
      <c r="B668" s="57" t="s">
        <v>2833</v>
      </c>
      <c r="C668" s="34" t="s">
        <v>3789</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3792</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3690</v>
      </c>
      <c r="AX668" s="29" t="s">
        <v>3486</v>
      </c>
      <c r="AY668" s="37" t="s">
        <v>3702</v>
      </c>
      <c r="AZ668" s="29" t="s">
        <v>3700</v>
      </c>
      <c r="BA668" s="37" t="s">
        <v>3701</v>
      </c>
      <c r="BB668" s="29" t="s">
        <v>3686</v>
      </c>
      <c r="BC668" s="37" t="s">
        <v>3688</v>
      </c>
      <c r="BD668" s="29" t="s">
        <v>3687</v>
      </c>
      <c r="BE668" s="37" t="s">
        <v>3791</v>
      </c>
    </row>
    <row r="669" spans="1:57" ht="7.5" customHeight="1" x14ac:dyDescent="0.4">
      <c r="A669" s="35">
        <v>669</v>
      </c>
      <c r="B669" s="57" t="s">
        <v>2838</v>
      </c>
      <c r="C669" s="34" t="s">
        <v>3789</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3792</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3690</v>
      </c>
      <c r="AX669" s="29" t="s">
        <v>3486</v>
      </c>
      <c r="AY669" s="37" t="s">
        <v>3702</v>
      </c>
      <c r="AZ669" s="29" t="s">
        <v>3700</v>
      </c>
      <c r="BA669" s="37" t="s">
        <v>3701</v>
      </c>
      <c r="BB669" s="29" t="s">
        <v>3686</v>
      </c>
      <c r="BC669" s="37" t="s">
        <v>3688</v>
      </c>
      <c r="BD669" s="29" t="s">
        <v>3687</v>
      </c>
      <c r="BE669" s="37" t="s">
        <v>3791</v>
      </c>
    </row>
    <row r="670" spans="1:57" ht="7.5" customHeight="1" x14ac:dyDescent="0.4">
      <c r="A670" s="35">
        <v>670</v>
      </c>
      <c r="B670" s="57" t="s">
        <v>2842</v>
      </c>
      <c r="C670" s="34" t="s">
        <v>3789</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3792</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3690</v>
      </c>
      <c r="AX670" s="29" t="s">
        <v>3486</v>
      </c>
      <c r="AY670" s="37" t="s">
        <v>3702</v>
      </c>
      <c r="AZ670" s="29" t="s">
        <v>3700</v>
      </c>
      <c r="BA670" s="37" t="s">
        <v>3701</v>
      </c>
      <c r="BB670" s="29" t="s">
        <v>3686</v>
      </c>
      <c r="BC670" s="37" t="s">
        <v>3688</v>
      </c>
      <c r="BD670" s="29" t="s">
        <v>3687</v>
      </c>
      <c r="BE670" s="37" t="s">
        <v>3791</v>
      </c>
    </row>
    <row r="671" spans="1:57" ht="7.5" customHeight="1" x14ac:dyDescent="0.4">
      <c r="A671" s="35">
        <v>671</v>
      </c>
      <c r="B671" s="57" t="s">
        <v>2847</v>
      </c>
      <c r="C671" s="34" t="s">
        <v>3789</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3792</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3690</v>
      </c>
      <c r="AX671" s="29" t="s">
        <v>3486</v>
      </c>
      <c r="AY671" s="37" t="s">
        <v>3702</v>
      </c>
      <c r="AZ671" s="29" t="s">
        <v>3700</v>
      </c>
      <c r="BA671" s="37" t="s">
        <v>3701</v>
      </c>
      <c r="BB671" s="29" t="s">
        <v>3686</v>
      </c>
      <c r="BC671" s="37" t="s">
        <v>3688</v>
      </c>
      <c r="BD671" s="29" t="s">
        <v>3687</v>
      </c>
      <c r="BE671" s="37" t="s">
        <v>3791</v>
      </c>
    </row>
    <row r="672" spans="1:57" ht="7.5" customHeight="1" x14ac:dyDescent="0.4">
      <c r="A672" s="35">
        <v>672</v>
      </c>
      <c r="B672" s="57" t="s">
        <v>2852</v>
      </c>
      <c r="C672" s="34" t="s">
        <v>3789</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3792</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3690</v>
      </c>
      <c r="AX672" s="29" t="s">
        <v>3486</v>
      </c>
      <c r="AY672" s="37" t="s">
        <v>3702</v>
      </c>
      <c r="AZ672" s="29" t="s">
        <v>3700</v>
      </c>
      <c r="BA672" s="37" t="s">
        <v>3701</v>
      </c>
      <c r="BB672" s="29" t="s">
        <v>3686</v>
      </c>
      <c r="BC672" s="37" t="s">
        <v>3688</v>
      </c>
      <c r="BD672" s="29" t="s">
        <v>3687</v>
      </c>
      <c r="BE672" s="37" t="s">
        <v>3791</v>
      </c>
    </row>
    <row r="673" spans="1:57" ht="7.5" customHeight="1" x14ac:dyDescent="0.4">
      <c r="A673" s="35">
        <v>673</v>
      </c>
      <c r="B673" s="57" t="s">
        <v>2855</v>
      </c>
      <c r="C673" s="34" t="s">
        <v>3789</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3792</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3690</v>
      </c>
      <c r="AX673" s="29" t="s">
        <v>3486</v>
      </c>
      <c r="AY673" s="37" t="s">
        <v>3702</v>
      </c>
      <c r="AZ673" s="29" t="s">
        <v>3700</v>
      </c>
      <c r="BA673" s="37" t="s">
        <v>3701</v>
      </c>
      <c r="BB673" s="29" t="s">
        <v>3686</v>
      </c>
      <c r="BC673" s="37" t="s">
        <v>3688</v>
      </c>
      <c r="BD673" s="29" t="s">
        <v>3687</v>
      </c>
      <c r="BE673" s="37" t="s">
        <v>3791</v>
      </c>
    </row>
    <row r="674" spans="1:57" ht="7.5" customHeight="1" x14ac:dyDescent="0.4">
      <c r="A674" s="35">
        <v>674</v>
      </c>
      <c r="B674" s="57" t="s">
        <v>2859</v>
      </c>
      <c r="C674" s="34" t="s">
        <v>3789</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3792</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3690</v>
      </c>
      <c r="AX674" s="29" t="s">
        <v>3486</v>
      </c>
      <c r="AY674" s="37" t="s">
        <v>3702</v>
      </c>
      <c r="AZ674" s="29" t="s">
        <v>3700</v>
      </c>
      <c r="BA674" s="37" t="s">
        <v>3701</v>
      </c>
      <c r="BB674" s="29" t="s">
        <v>3686</v>
      </c>
      <c r="BC674" s="37" t="s">
        <v>3688</v>
      </c>
      <c r="BD674" s="29" t="s">
        <v>3687</v>
      </c>
      <c r="BE674" s="37" t="s">
        <v>3791</v>
      </c>
    </row>
    <row r="675" spans="1:57" ht="7.5" customHeight="1" x14ac:dyDescent="0.4">
      <c r="A675" s="35">
        <v>675</v>
      </c>
      <c r="B675" s="57" t="s">
        <v>2864</v>
      </c>
      <c r="C675" s="34" t="s">
        <v>3789</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3792</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3690</v>
      </c>
      <c r="AX675" s="29" t="s">
        <v>3486</v>
      </c>
      <c r="AY675" s="37" t="s">
        <v>3702</v>
      </c>
      <c r="AZ675" s="29" t="s">
        <v>3700</v>
      </c>
      <c r="BA675" s="37" t="s">
        <v>3701</v>
      </c>
      <c r="BB675" s="29" t="s">
        <v>3686</v>
      </c>
      <c r="BC675" s="37" t="s">
        <v>3688</v>
      </c>
      <c r="BD675" s="29" t="s">
        <v>3687</v>
      </c>
      <c r="BE675" s="37" t="s">
        <v>3791</v>
      </c>
    </row>
    <row r="676" spans="1:57" ht="7.5" customHeight="1" x14ac:dyDescent="0.4">
      <c r="A676" s="35">
        <v>676</v>
      </c>
      <c r="B676" s="57" t="s">
        <v>2869</v>
      </c>
      <c r="C676" s="34" t="s">
        <v>3789</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3792</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3690</v>
      </c>
      <c r="AX676" s="29" t="s">
        <v>3486</v>
      </c>
      <c r="AY676" s="37" t="s">
        <v>3702</v>
      </c>
      <c r="AZ676" s="29" t="s">
        <v>3700</v>
      </c>
      <c r="BA676" s="37" t="s">
        <v>3701</v>
      </c>
      <c r="BB676" s="29" t="s">
        <v>3686</v>
      </c>
      <c r="BC676" s="37" t="s">
        <v>3688</v>
      </c>
      <c r="BD676" s="29" t="s">
        <v>3687</v>
      </c>
      <c r="BE676" s="37" t="s">
        <v>3791</v>
      </c>
    </row>
    <row r="677" spans="1:57" ht="7.5" customHeight="1" x14ac:dyDescent="0.4">
      <c r="A677" s="35">
        <v>677</v>
      </c>
      <c r="B677" s="57" t="s">
        <v>2872</v>
      </c>
      <c r="C677" s="34" t="s">
        <v>3789</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3792</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3690</v>
      </c>
      <c r="AX677" s="29" t="s">
        <v>3486</v>
      </c>
      <c r="AY677" s="37" t="s">
        <v>3702</v>
      </c>
      <c r="AZ677" s="29" t="s">
        <v>3700</v>
      </c>
      <c r="BA677" s="37" t="s">
        <v>3701</v>
      </c>
      <c r="BB677" s="29" t="s">
        <v>3686</v>
      </c>
      <c r="BC677" s="37" t="s">
        <v>3688</v>
      </c>
      <c r="BD677" s="29" t="s">
        <v>3687</v>
      </c>
      <c r="BE677" s="37" t="s">
        <v>3791</v>
      </c>
    </row>
    <row r="678" spans="1:57" ht="7.5" customHeight="1" x14ac:dyDescent="0.4">
      <c r="A678" s="35">
        <v>678</v>
      </c>
      <c r="B678" s="57" t="s">
        <v>2876</v>
      </c>
      <c r="C678" s="34" t="s">
        <v>3789</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3792</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3690</v>
      </c>
      <c r="AX678" s="29" t="s">
        <v>3486</v>
      </c>
      <c r="AY678" s="37" t="s">
        <v>3702</v>
      </c>
      <c r="AZ678" s="29" t="s">
        <v>3700</v>
      </c>
      <c r="BA678" s="37" t="s">
        <v>3701</v>
      </c>
      <c r="BB678" s="29" t="s">
        <v>3686</v>
      </c>
      <c r="BC678" s="37" t="s">
        <v>3688</v>
      </c>
      <c r="BD678" s="29" t="s">
        <v>3687</v>
      </c>
      <c r="BE678" s="37" t="s">
        <v>3791</v>
      </c>
    </row>
    <row r="679" spans="1:57" ht="7.5" customHeight="1" x14ac:dyDescent="0.4">
      <c r="A679" s="35">
        <v>679</v>
      </c>
      <c r="B679" s="57" t="s">
        <v>2880</v>
      </c>
      <c r="C679" s="34" t="s">
        <v>3789</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3792</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3690</v>
      </c>
      <c r="AX679" s="29" t="s">
        <v>3486</v>
      </c>
      <c r="AY679" s="37" t="s">
        <v>3702</v>
      </c>
      <c r="AZ679" s="29" t="s">
        <v>3700</v>
      </c>
      <c r="BA679" s="37" t="s">
        <v>3701</v>
      </c>
      <c r="BB679" s="29" t="s">
        <v>3686</v>
      </c>
      <c r="BC679" s="37" t="s">
        <v>3688</v>
      </c>
      <c r="BD679" s="29" t="s">
        <v>3687</v>
      </c>
      <c r="BE679" s="37" t="s">
        <v>3791</v>
      </c>
    </row>
    <row r="680" spans="1:57" ht="7.5" customHeight="1" x14ac:dyDescent="0.4">
      <c r="A680" s="35">
        <v>680</v>
      </c>
      <c r="B680" s="57" t="s">
        <v>2885</v>
      </c>
      <c r="C680" s="34" t="s">
        <v>3789</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3792</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3690</v>
      </c>
      <c r="AX680" s="29" t="s">
        <v>3486</v>
      </c>
      <c r="AY680" s="37" t="s">
        <v>3702</v>
      </c>
      <c r="AZ680" s="29" t="s">
        <v>3700</v>
      </c>
      <c r="BA680" s="37" t="s">
        <v>3701</v>
      </c>
      <c r="BB680" s="29" t="s">
        <v>3686</v>
      </c>
      <c r="BC680" s="37" t="s">
        <v>3688</v>
      </c>
      <c r="BD680" s="29" t="s">
        <v>3687</v>
      </c>
      <c r="BE680" s="37" t="s">
        <v>3791</v>
      </c>
    </row>
    <row r="681" spans="1:57" ht="7.5" customHeight="1" x14ac:dyDescent="0.4">
      <c r="A681" s="35">
        <v>681</v>
      </c>
      <c r="B681" s="57" t="s">
        <v>2889</v>
      </c>
      <c r="C681" s="34" t="s">
        <v>3789</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3792</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3690</v>
      </c>
      <c r="AX681" s="29" t="s">
        <v>3486</v>
      </c>
      <c r="AY681" s="37" t="s">
        <v>3702</v>
      </c>
      <c r="AZ681" s="29" t="s">
        <v>3700</v>
      </c>
      <c r="BA681" s="37" t="s">
        <v>3701</v>
      </c>
      <c r="BB681" s="29" t="s">
        <v>3686</v>
      </c>
      <c r="BC681" s="37" t="s">
        <v>3688</v>
      </c>
      <c r="BD681" s="29" t="s">
        <v>3687</v>
      </c>
      <c r="BE681" s="37" t="s">
        <v>3791</v>
      </c>
    </row>
    <row r="682" spans="1:57" ht="7.5" customHeight="1" x14ac:dyDescent="0.4">
      <c r="A682" s="35">
        <v>682</v>
      </c>
      <c r="B682" s="57" t="s">
        <v>2893</v>
      </c>
      <c r="C682" s="34" t="s">
        <v>3789</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3792</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3690</v>
      </c>
      <c r="AX682" s="29" t="s">
        <v>3486</v>
      </c>
      <c r="AY682" s="37" t="s">
        <v>3702</v>
      </c>
      <c r="AZ682" s="29" t="s">
        <v>3700</v>
      </c>
      <c r="BA682" s="37" t="s">
        <v>3701</v>
      </c>
      <c r="BB682" s="29" t="s">
        <v>3686</v>
      </c>
      <c r="BC682" s="37" t="s">
        <v>3688</v>
      </c>
      <c r="BD682" s="29" t="s">
        <v>3687</v>
      </c>
      <c r="BE682" s="37" t="s">
        <v>3791</v>
      </c>
    </row>
    <row r="683" spans="1:57" ht="7.5" customHeight="1" x14ac:dyDescent="0.4">
      <c r="A683" s="35">
        <v>683</v>
      </c>
      <c r="B683" s="57" t="s">
        <v>2897</v>
      </c>
      <c r="C683" s="34" t="s">
        <v>3789</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3792</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3690</v>
      </c>
      <c r="AX683" s="29" t="s">
        <v>3486</v>
      </c>
      <c r="AY683" s="37" t="s">
        <v>3702</v>
      </c>
      <c r="AZ683" s="29" t="s">
        <v>3700</v>
      </c>
      <c r="BA683" s="37" t="s">
        <v>3701</v>
      </c>
      <c r="BB683" s="29" t="s">
        <v>3686</v>
      </c>
      <c r="BC683" s="37" t="s">
        <v>3688</v>
      </c>
      <c r="BD683" s="29" t="s">
        <v>3687</v>
      </c>
      <c r="BE683" s="37" t="s">
        <v>3791</v>
      </c>
    </row>
    <row r="684" spans="1:57" ht="7.5" customHeight="1" x14ac:dyDescent="0.4">
      <c r="A684" s="35">
        <v>684</v>
      </c>
      <c r="B684" s="57" t="s">
        <v>2902</v>
      </c>
      <c r="C684" s="34" t="s">
        <v>3789</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3792</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3690</v>
      </c>
      <c r="AX684" s="29" t="s">
        <v>3486</v>
      </c>
      <c r="AY684" s="37" t="s">
        <v>3702</v>
      </c>
      <c r="AZ684" s="29" t="s">
        <v>3700</v>
      </c>
      <c r="BA684" s="37" t="s">
        <v>3701</v>
      </c>
      <c r="BB684" s="29" t="s">
        <v>3686</v>
      </c>
      <c r="BC684" s="37" t="s">
        <v>3688</v>
      </c>
      <c r="BD684" s="29" t="s">
        <v>3687</v>
      </c>
      <c r="BE684" s="37" t="s">
        <v>3791</v>
      </c>
    </row>
    <row r="685" spans="1:57" ht="7.5" customHeight="1" x14ac:dyDescent="0.4">
      <c r="A685" s="35">
        <v>685</v>
      </c>
      <c r="B685" s="57" t="s">
        <v>2907</v>
      </c>
      <c r="C685" s="34" t="s">
        <v>3789</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3792</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3690</v>
      </c>
      <c r="AX685" s="29" t="s">
        <v>3486</v>
      </c>
      <c r="AY685" s="37" t="s">
        <v>3702</v>
      </c>
      <c r="AZ685" s="29" t="s">
        <v>3700</v>
      </c>
      <c r="BA685" s="37" t="s">
        <v>3701</v>
      </c>
      <c r="BB685" s="29" t="s">
        <v>3686</v>
      </c>
      <c r="BC685" s="37" t="s">
        <v>3688</v>
      </c>
      <c r="BD685" s="29" t="s">
        <v>3687</v>
      </c>
      <c r="BE685" s="37" t="s">
        <v>3791</v>
      </c>
    </row>
    <row r="686" spans="1:57" ht="7.5" customHeight="1" x14ac:dyDescent="0.4">
      <c r="A686" s="35">
        <v>686</v>
      </c>
      <c r="B686" s="57" t="s">
        <v>2911</v>
      </c>
      <c r="C686" s="34" t="s">
        <v>3789</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3792</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3690</v>
      </c>
      <c r="AX686" s="29" t="s">
        <v>3486</v>
      </c>
      <c r="AY686" s="37" t="s">
        <v>3702</v>
      </c>
      <c r="AZ686" s="29" t="s">
        <v>3700</v>
      </c>
      <c r="BA686" s="37" t="s">
        <v>3701</v>
      </c>
      <c r="BB686" s="29" t="s">
        <v>3686</v>
      </c>
      <c r="BC686" s="37" t="s">
        <v>3688</v>
      </c>
      <c r="BD686" s="29" t="s">
        <v>3687</v>
      </c>
      <c r="BE686" s="37" t="s">
        <v>3791</v>
      </c>
    </row>
    <row r="687" spans="1:57" ht="7.5" customHeight="1" x14ac:dyDescent="0.4">
      <c r="A687" s="35">
        <v>687</v>
      </c>
      <c r="B687" s="57" t="s">
        <v>2914</v>
      </c>
      <c r="C687" s="34" t="s">
        <v>3789</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3792</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3690</v>
      </c>
      <c r="AX687" s="29" t="s">
        <v>3486</v>
      </c>
      <c r="AY687" s="37" t="s">
        <v>3702</v>
      </c>
      <c r="AZ687" s="29" t="s">
        <v>3700</v>
      </c>
      <c r="BA687" s="37" t="s">
        <v>3701</v>
      </c>
      <c r="BB687" s="29" t="s">
        <v>3686</v>
      </c>
      <c r="BC687" s="37" t="s">
        <v>3688</v>
      </c>
      <c r="BD687" s="29" t="s">
        <v>3687</v>
      </c>
      <c r="BE687" s="37" t="s">
        <v>3791</v>
      </c>
    </row>
    <row r="688" spans="1:57" ht="7.5" customHeight="1" x14ac:dyDescent="0.4">
      <c r="A688" s="35">
        <v>688</v>
      </c>
      <c r="B688" s="57" t="s">
        <v>2919</v>
      </c>
      <c r="C688" s="34" t="s">
        <v>3789</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3792</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3690</v>
      </c>
      <c r="AX688" s="29" t="s">
        <v>3486</v>
      </c>
      <c r="AY688" s="37" t="s">
        <v>3702</v>
      </c>
      <c r="AZ688" s="29" t="s">
        <v>3700</v>
      </c>
      <c r="BA688" s="37" t="s">
        <v>3701</v>
      </c>
      <c r="BB688" s="29" t="s">
        <v>3686</v>
      </c>
      <c r="BC688" s="37" t="s">
        <v>3688</v>
      </c>
      <c r="BD688" s="29" t="s">
        <v>3687</v>
      </c>
      <c r="BE688" s="37" t="s">
        <v>3791</v>
      </c>
    </row>
    <row r="689" spans="1:57" ht="7.5" customHeight="1" x14ac:dyDescent="0.4">
      <c r="A689" s="35">
        <v>689</v>
      </c>
      <c r="B689" s="57" t="s">
        <v>2923</v>
      </c>
      <c r="C689" s="34" t="s">
        <v>3789</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3792</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3690</v>
      </c>
      <c r="AX689" s="29" t="s">
        <v>3486</v>
      </c>
      <c r="AY689" s="37" t="s">
        <v>3702</v>
      </c>
      <c r="AZ689" s="29" t="s">
        <v>3700</v>
      </c>
      <c r="BA689" s="37" t="s">
        <v>3701</v>
      </c>
      <c r="BB689" s="29" t="s">
        <v>3686</v>
      </c>
      <c r="BC689" s="37" t="s">
        <v>3688</v>
      </c>
      <c r="BD689" s="29" t="s">
        <v>3687</v>
      </c>
      <c r="BE689" s="37" t="s">
        <v>3791</v>
      </c>
    </row>
    <row r="690" spans="1:57" ht="7.5" customHeight="1" x14ac:dyDescent="0.4">
      <c r="A690" s="35">
        <v>690</v>
      </c>
      <c r="B690" s="57" t="s">
        <v>2927</v>
      </c>
      <c r="C690" s="34" t="s">
        <v>3789</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3792</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3690</v>
      </c>
      <c r="AX690" s="29" t="s">
        <v>3486</v>
      </c>
      <c r="AY690" s="37" t="s">
        <v>3702</v>
      </c>
      <c r="AZ690" s="29" t="s">
        <v>3700</v>
      </c>
      <c r="BA690" s="37" t="s">
        <v>3701</v>
      </c>
      <c r="BB690" s="29" t="s">
        <v>3686</v>
      </c>
      <c r="BC690" s="37" t="s">
        <v>3688</v>
      </c>
      <c r="BD690" s="29" t="s">
        <v>3687</v>
      </c>
      <c r="BE690" s="37" t="s">
        <v>3791</v>
      </c>
    </row>
    <row r="691" spans="1:57" ht="7.5" customHeight="1" x14ac:dyDescent="0.4">
      <c r="A691" s="35">
        <v>691</v>
      </c>
      <c r="B691" s="57" t="s">
        <v>2931</v>
      </c>
      <c r="C691" s="34" t="s">
        <v>3789</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3792</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3690</v>
      </c>
      <c r="AX691" s="29" t="s">
        <v>3486</v>
      </c>
      <c r="AY691" s="37" t="s">
        <v>3702</v>
      </c>
      <c r="AZ691" s="29" t="s">
        <v>3700</v>
      </c>
      <c r="BA691" s="37" t="s">
        <v>3701</v>
      </c>
      <c r="BB691" s="29" t="s">
        <v>3686</v>
      </c>
      <c r="BC691" s="37" t="s">
        <v>3688</v>
      </c>
      <c r="BD691" s="29" t="s">
        <v>3687</v>
      </c>
      <c r="BE691" s="37" t="s">
        <v>3791</v>
      </c>
    </row>
    <row r="692" spans="1:57" ht="7.5" customHeight="1" x14ac:dyDescent="0.4">
      <c r="A692" s="35">
        <v>692</v>
      </c>
      <c r="B692" s="57" t="s">
        <v>2936</v>
      </c>
      <c r="C692" s="34" t="s">
        <v>3789</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3792</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3690</v>
      </c>
      <c r="AX692" s="29" t="s">
        <v>3486</v>
      </c>
      <c r="AY692" s="37" t="s">
        <v>3702</v>
      </c>
      <c r="AZ692" s="29" t="s">
        <v>3700</v>
      </c>
      <c r="BA692" s="37" t="s">
        <v>3701</v>
      </c>
      <c r="BB692" s="29" t="s">
        <v>3686</v>
      </c>
      <c r="BC692" s="37" t="s">
        <v>3688</v>
      </c>
      <c r="BD692" s="29" t="s">
        <v>3687</v>
      </c>
      <c r="BE692" s="37" t="s">
        <v>3791</v>
      </c>
    </row>
    <row r="693" spans="1:57" ht="7.5" customHeight="1" x14ac:dyDescent="0.4">
      <c r="A693" s="35">
        <v>693</v>
      </c>
      <c r="B693" s="57" t="s">
        <v>2940</v>
      </c>
      <c r="C693" s="34" t="s">
        <v>3789</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3792</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3690</v>
      </c>
      <c r="AX693" s="29" t="s">
        <v>3486</v>
      </c>
      <c r="AY693" s="37" t="s">
        <v>3702</v>
      </c>
      <c r="AZ693" s="29" t="s">
        <v>3700</v>
      </c>
      <c r="BA693" s="37" t="s">
        <v>3701</v>
      </c>
      <c r="BB693" s="29" t="s">
        <v>3686</v>
      </c>
      <c r="BC693" s="37" t="s">
        <v>3688</v>
      </c>
      <c r="BD693" s="29" t="s">
        <v>3687</v>
      </c>
      <c r="BE693" s="37" t="s">
        <v>3791</v>
      </c>
    </row>
    <row r="694" spans="1:57" ht="7.5" customHeight="1" x14ac:dyDescent="0.4">
      <c r="A694" s="35">
        <v>694</v>
      </c>
      <c r="B694" s="57" t="s">
        <v>2945</v>
      </c>
      <c r="C694" s="34" t="s">
        <v>3789</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3792</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3690</v>
      </c>
      <c r="AX694" s="29" t="s">
        <v>3486</v>
      </c>
      <c r="AY694" s="37" t="s">
        <v>3702</v>
      </c>
      <c r="AZ694" s="29" t="s">
        <v>3700</v>
      </c>
      <c r="BA694" s="37" t="s">
        <v>3701</v>
      </c>
      <c r="BB694" s="29" t="s">
        <v>3686</v>
      </c>
      <c r="BC694" s="37" t="s">
        <v>3688</v>
      </c>
      <c r="BD694" s="29" t="s">
        <v>3687</v>
      </c>
      <c r="BE694" s="37" t="s">
        <v>3791</v>
      </c>
    </row>
    <row r="695" spans="1:57" ht="7.5" customHeight="1" x14ac:dyDescent="0.4">
      <c r="A695" s="35">
        <v>695</v>
      </c>
      <c r="B695" s="57" t="s">
        <v>2950</v>
      </c>
      <c r="C695" s="34" t="s">
        <v>3789</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3792</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3690</v>
      </c>
      <c r="AX695" s="29" t="s">
        <v>3486</v>
      </c>
      <c r="AY695" s="37" t="s">
        <v>3702</v>
      </c>
      <c r="AZ695" s="29" t="s">
        <v>3700</v>
      </c>
      <c r="BA695" s="37" t="s">
        <v>3701</v>
      </c>
      <c r="BB695" s="29" t="s">
        <v>3686</v>
      </c>
      <c r="BC695" s="37" t="s">
        <v>3688</v>
      </c>
      <c r="BD695" s="29" t="s">
        <v>3687</v>
      </c>
      <c r="BE695" s="37" t="s">
        <v>3791</v>
      </c>
    </row>
    <row r="696" spans="1:57" ht="7.5" customHeight="1" x14ac:dyDescent="0.4">
      <c r="A696" s="35">
        <v>696</v>
      </c>
      <c r="B696" s="57" t="s">
        <v>2954</v>
      </c>
      <c r="C696" s="34" t="s">
        <v>3789</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3792</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3690</v>
      </c>
      <c r="AX696" s="29" t="s">
        <v>3486</v>
      </c>
      <c r="AY696" s="37" t="s">
        <v>3702</v>
      </c>
      <c r="AZ696" s="29" t="s">
        <v>3700</v>
      </c>
      <c r="BA696" s="37" t="s">
        <v>3701</v>
      </c>
      <c r="BB696" s="29" t="s">
        <v>3686</v>
      </c>
      <c r="BC696" s="37" t="s">
        <v>3688</v>
      </c>
      <c r="BD696" s="29" t="s">
        <v>3687</v>
      </c>
      <c r="BE696" s="37" t="s">
        <v>3791</v>
      </c>
    </row>
    <row r="697" spans="1:57" ht="7.5" customHeight="1" x14ac:dyDescent="0.4">
      <c r="A697" s="35">
        <v>697</v>
      </c>
      <c r="B697" s="57" t="s">
        <v>2958</v>
      </c>
      <c r="C697" s="34" t="s">
        <v>3789</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3792</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3690</v>
      </c>
      <c r="AX697" s="29" t="s">
        <v>3486</v>
      </c>
      <c r="AY697" s="37" t="s">
        <v>3702</v>
      </c>
      <c r="AZ697" s="29" t="s">
        <v>3700</v>
      </c>
      <c r="BA697" s="37" t="s">
        <v>3701</v>
      </c>
      <c r="BB697" s="29" t="s">
        <v>3686</v>
      </c>
      <c r="BC697" s="37" t="s">
        <v>3688</v>
      </c>
      <c r="BD697" s="29" t="s">
        <v>3687</v>
      </c>
      <c r="BE697" s="37" t="s">
        <v>3791</v>
      </c>
    </row>
    <row r="698" spans="1:57" ht="7.5" customHeight="1" x14ac:dyDescent="0.4">
      <c r="A698" s="35">
        <v>698</v>
      </c>
      <c r="B698" s="57" t="s">
        <v>2962</v>
      </c>
      <c r="C698" s="34" t="s">
        <v>3789</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3792</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3690</v>
      </c>
      <c r="AX698" s="29" t="s">
        <v>3486</v>
      </c>
      <c r="AY698" s="37" t="s">
        <v>3702</v>
      </c>
      <c r="AZ698" s="29" t="s">
        <v>3700</v>
      </c>
      <c r="BA698" s="37" t="s">
        <v>3701</v>
      </c>
      <c r="BB698" s="29" t="s">
        <v>3686</v>
      </c>
      <c r="BC698" s="37" t="s">
        <v>3688</v>
      </c>
      <c r="BD698" s="29" t="s">
        <v>3687</v>
      </c>
      <c r="BE698" s="37" t="s">
        <v>3791</v>
      </c>
    </row>
    <row r="699" spans="1:57" ht="7.5" customHeight="1" x14ac:dyDescent="0.4">
      <c r="A699" s="35">
        <v>699</v>
      </c>
      <c r="B699" s="57" t="s">
        <v>2966</v>
      </c>
      <c r="C699" s="34" t="s">
        <v>3789</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3792</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3690</v>
      </c>
      <c r="AX699" s="29" t="s">
        <v>3486</v>
      </c>
      <c r="AY699" s="37" t="s">
        <v>3702</v>
      </c>
      <c r="AZ699" s="29" t="s">
        <v>3700</v>
      </c>
      <c r="BA699" s="37" t="s">
        <v>3701</v>
      </c>
      <c r="BB699" s="29" t="s">
        <v>3686</v>
      </c>
      <c r="BC699" s="37" t="s">
        <v>3688</v>
      </c>
      <c r="BD699" s="29" t="s">
        <v>3687</v>
      </c>
      <c r="BE699" s="37" t="s">
        <v>3791</v>
      </c>
    </row>
    <row r="700" spans="1:57" ht="7.5" customHeight="1" x14ac:dyDescent="0.4">
      <c r="A700" s="35">
        <v>700</v>
      </c>
      <c r="B700" s="57" t="s">
        <v>2971</v>
      </c>
      <c r="C700" s="34" t="s">
        <v>3789</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3792</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3690</v>
      </c>
      <c r="AX700" s="29" t="s">
        <v>3486</v>
      </c>
      <c r="AY700" s="37" t="s">
        <v>3702</v>
      </c>
      <c r="AZ700" s="29" t="s">
        <v>3700</v>
      </c>
      <c r="BA700" s="37" t="s">
        <v>3701</v>
      </c>
      <c r="BB700" s="29" t="s">
        <v>3686</v>
      </c>
      <c r="BC700" s="37" t="s">
        <v>3688</v>
      </c>
      <c r="BD700" s="29" t="s">
        <v>3687</v>
      </c>
      <c r="BE700" s="37" t="s">
        <v>3791</v>
      </c>
    </row>
    <row r="701" spans="1:57" ht="7.5" customHeight="1" x14ac:dyDescent="0.4">
      <c r="A701" s="35">
        <v>701</v>
      </c>
      <c r="B701" s="57" t="s">
        <v>2975</v>
      </c>
      <c r="C701" s="34" t="s">
        <v>3789</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3792</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3690</v>
      </c>
      <c r="AX701" s="29" t="s">
        <v>3486</v>
      </c>
      <c r="AY701" s="37" t="s">
        <v>3702</v>
      </c>
      <c r="AZ701" s="29" t="s">
        <v>3700</v>
      </c>
      <c r="BA701" s="37" t="s">
        <v>3701</v>
      </c>
      <c r="BB701" s="29" t="s">
        <v>3686</v>
      </c>
      <c r="BC701" s="37" t="s">
        <v>3688</v>
      </c>
      <c r="BD701" s="29" t="s">
        <v>3687</v>
      </c>
      <c r="BE701" s="37" t="s">
        <v>3791</v>
      </c>
    </row>
    <row r="702" spans="1:57" ht="7.5" customHeight="1" x14ac:dyDescent="0.4">
      <c r="A702" s="35">
        <v>702</v>
      </c>
      <c r="B702" s="57" t="s">
        <v>2978</v>
      </c>
      <c r="C702" s="34" t="s">
        <v>3789</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3792</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3690</v>
      </c>
      <c r="AX702" s="29" t="s">
        <v>3486</v>
      </c>
      <c r="AY702" s="37" t="s">
        <v>3702</v>
      </c>
      <c r="AZ702" s="29" t="s">
        <v>3700</v>
      </c>
      <c r="BA702" s="37" t="s">
        <v>3701</v>
      </c>
      <c r="BB702" s="29" t="s">
        <v>3686</v>
      </c>
      <c r="BC702" s="37" t="s">
        <v>3688</v>
      </c>
      <c r="BD702" s="29" t="s">
        <v>3687</v>
      </c>
      <c r="BE702" s="37" t="s">
        <v>3791</v>
      </c>
    </row>
    <row r="703" spans="1:57" ht="7.5" customHeight="1" x14ac:dyDescent="0.4">
      <c r="A703" s="35">
        <v>703</v>
      </c>
      <c r="B703" s="57" t="s">
        <v>2983</v>
      </c>
      <c r="C703" s="34" t="s">
        <v>3789</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3792</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3690</v>
      </c>
      <c r="AX703" s="29" t="s">
        <v>3486</v>
      </c>
      <c r="AY703" s="37" t="s">
        <v>3702</v>
      </c>
      <c r="AZ703" s="29" t="s">
        <v>3700</v>
      </c>
      <c r="BA703" s="37" t="s">
        <v>3701</v>
      </c>
      <c r="BB703" s="29" t="s">
        <v>3686</v>
      </c>
      <c r="BC703" s="37" t="s">
        <v>3688</v>
      </c>
      <c r="BD703" s="29" t="s">
        <v>3687</v>
      </c>
      <c r="BE703" s="37" t="s">
        <v>3791</v>
      </c>
    </row>
    <row r="704" spans="1:57" ht="7.5" customHeight="1" x14ac:dyDescent="0.4">
      <c r="A704" s="35">
        <v>704</v>
      </c>
      <c r="B704" s="57" t="s">
        <v>2987</v>
      </c>
      <c r="C704" s="34" t="s">
        <v>3789</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3792</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3690</v>
      </c>
      <c r="AX704" s="29" t="s">
        <v>3486</v>
      </c>
      <c r="AY704" s="37" t="s">
        <v>3702</v>
      </c>
      <c r="AZ704" s="29" t="s">
        <v>3700</v>
      </c>
      <c r="BA704" s="37" t="s">
        <v>3701</v>
      </c>
      <c r="BB704" s="29" t="s">
        <v>3686</v>
      </c>
      <c r="BC704" s="37" t="s">
        <v>3688</v>
      </c>
      <c r="BD704" s="29" t="s">
        <v>3687</v>
      </c>
      <c r="BE704" s="37" t="s">
        <v>3791</v>
      </c>
    </row>
    <row r="705" spans="1:57" ht="7.5" customHeight="1" x14ac:dyDescent="0.4">
      <c r="A705" s="35">
        <v>705</v>
      </c>
      <c r="B705" s="57" t="s">
        <v>2992</v>
      </c>
      <c r="C705" s="34" t="s">
        <v>3789</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3792</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3690</v>
      </c>
      <c r="AX705" s="29" t="s">
        <v>3486</v>
      </c>
      <c r="AY705" s="37" t="s">
        <v>3702</v>
      </c>
      <c r="AZ705" s="29" t="s">
        <v>3700</v>
      </c>
      <c r="BA705" s="37" t="s">
        <v>3701</v>
      </c>
      <c r="BB705" s="29" t="s">
        <v>3686</v>
      </c>
      <c r="BC705" s="37" t="s">
        <v>3688</v>
      </c>
      <c r="BD705" s="29" t="s">
        <v>3687</v>
      </c>
      <c r="BE705" s="37" t="s">
        <v>3791</v>
      </c>
    </row>
    <row r="706" spans="1:57" ht="7.5" customHeight="1" x14ac:dyDescent="0.4">
      <c r="A706" s="35">
        <v>706</v>
      </c>
      <c r="B706" s="57" t="s">
        <v>2996</v>
      </c>
      <c r="C706" s="34" t="s">
        <v>3789</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3792</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3690</v>
      </c>
      <c r="AX706" s="29" t="s">
        <v>3486</v>
      </c>
      <c r="AY706" s="37" t="s">
        <v>3702</v>
      </c>
      <c r="AZ706" s="29" t="s">
        <v>3700</v>
      </c>
      <c r="BA706" s="37" t="s">
        <v>3701</v>
      </c>
      <c r="BB706" s="29" t="s">
        <v>3686</v>
      </c>
      <c r="BC706" s="37" t="s">
        <v>3688</v>
      </c>
      <c r="BD706" s="29" t="s">
        <v>3687</v>
      </c>
      <c r="BE706" s="37" t="s">
        <v>3791</v>
      </c>
    </row>
    <row r="707" spans="1:57" ht="7.5" customHeight="1" x14ac:dyDescent="0.4">
      <c r="A707" s="35">
        <v>707</v>
      </c>
      <c r="B707" s="57" t="s">
        <v>3001</v>
      </c>
      <c r="C707" s="34" t="s">
        <v>3789</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3792</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3690</v>
      </c>
      <c r="AX707" s="29" t="s">
        <v>3486</v>
      </c>
      <c r="AY707" s="37" t="s">
        <v>3702</v>
      </c>
      <c r="AZ707" s="29" t="s">
        <v>3700</v>
      </c>
      <c r="BA707" s="37" t="s">
        <v>3701</v>
      </c>
      <c r="BB707" s="29" t="s">
        <v>3686</v>
      </c>
      <c r="BC707" s="37" t="s">
        <v>3688</v>
      </c>
      <c r="BD707" s="29" t="s">
        <v>3687</v>
      </c>
      <c r="BE707" s="37" t="s">
        <v>3791</v>
      </c>
    </row>
    <row r="708" spans="1:57" ht="7.5" customHeight="1" x14ac:dyDescent="0.4">
      <c r="A708" s="35">
        <v>708</v>
      </c>
      <c r="B708" s="57" t="s">
        <v>3005</v>
      </c>
      <c r="C708" s="34" t="s">
        <v>3789</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3792</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3690</v>
      </c>
      <c r="AX708" s="29" t="s">
        <v>3486</v>
      </c>
      <c r="AY708" s="37" t="s">
        <v>3702</v>
      </c>
      <c r="AZ708" s="29" t="s">
        <v>3700</v>
      </c>
      <c r="BA708" s="37" t="s">
        <v>3701</v>
      </c>
      <c r="BB708" s="29" t="s">
        <v>3686</v>
      </c>
      <c r="BC708" s="37" t="s">
        <v>3688</v>
      </c>
      <c r="BD708" s="29" t="s">
        <v>3687</v>
      </c>
      <c r="BE708" s="37" t="s">
        <v>3791</v>
      </c>
    </row>
    <row r="709" spans="1:57" ht="7.5" customHeight="1" x14ac:dyDescent="0.4">
      <c r="A709" s="35">
        <v>709</v>
      </c>
      <c r="B709" s="57" t="s">
        <v>3009</v>
      </c>
      <c r="C709" s="34" t="s">
        <v>3789</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3792</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3690</v>
      </c>
      <c r="AX709" s="29" t="s">
        <v>3486</v>
      </c>
      <c r="AY709" s="37" t="s">
        <v>3702</v>
      </c>
      <c r="AZ709" s="29" t="s">
        <v>3700</v>
      </c>
      <c r="BA709" s="37" t="s">
        <v>3701</v>
      </c>
      <c r="BB709" s="29" t="s">
        <v>3686</v>
      </c>
      <c r="BC709" s="37" t="s">
        <v>3688</v>
      </c>
      <c r="BD709" s="29" t="s">
        <v>3687</v>
      </c>
      <c r="BE709" s="37" t="s">
        <v>3791</v>
      </c>
    </row>
    <row r="710" spans="1:57" ht="7.5" customHeight="1" x14ac:dyDescent="0.4">
      <c r="A710" s="35">
        <v>710</v>
      </c>
      <c r="B710" s="57" t="s">
        <v>3014</v>
      </c>
      <c r="C710" s="34" t="s">
        <v>3789</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3792</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3690</v>
      </c>
      <c r="AX710" s="29" t="s">
        <v>3486</v>
      </c>
      <c r="AY710" s="37" t="s">
        <v>3702</v>
      </c>
      <c r="AZ710" s="29" t="s">
        <v>3700</v>
      </c>
      <c r="BA710" s="37" t="s">
        <v>3701</v>
      </c>
      <c r="BB710" s="29" t="s">
        <v>3686</v>
      </c>
      <c r="BC710" s="37" t="s">
        <v>3688</v>
      </c>
      <c r="BD710" s="29" t="s">
        <v>3687</v>
      </c>
      <c r="BE710" s="37" t="s">
        <v>3791</v>
      </c>
    </row>
    <row r="711" spans="1:57" ht="7.5" customHeight="1" x14ac:dyDescent="0.4">
      <c r="A711" s="35">
        <v>711</v>
      </c>
      <c r="B711" s="57" t="s">
        <v>3018</v>
      </c>
      <c r="C711" s="34" t="s">
        <v>3789</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3792</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3690</v>
      </c>
      <c r="AX711" s="29" t="s">
        <v>3486</v>
      </c>
      <c r="AY711" s="37" t="s">
        <v>3702</v>
      </c>
      <c r="AZ711" s="29" t="s">
        <v>3700</v>
      </c>
      <c r="BA711" s="37" t="s">
        <v>3701</v>
      </c>
      <c r="BB711" s="29" t="s">
        <v>3686</v>
      </c>
      <c r="BC711" s="37" t="s">
        <v>3688</v>
      </c>
      <c r="BD711" s="29" t="s">
        <v>3687</v>
      </c>
      <c r="BE711" s="37" t="s">
        <v>3791</v>
      </c>
    </row>
    <row r="712" spans="1:57" ht="7.5" customHeight="1" x14ac:dyDescent="0.4">
      <c r="A712" s="35">
        <v>712</v>
      </c>
      <c r="B712" s="57" t="s">
        <v>3023</v>
      </c>
      <c r="C712" s="34" t="s">
        <v>3789</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3792</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3690</v>
      </c>
      <c r="AX712" s="29" t="s">
        <v>3486</v>
      </c>
      <c r="AY712" s="37" t="s">
        <v>3702</v>
      </c>
      <c r="AZ712" s="29" t="s">
        <v>3700</v>
      </c>
      <c r="BA712" s="37" t="s">
        <v>3701</v>
      </c>
      <c r="BB712" s="29" t="s">
        <v>3686</v>
      </c>
      <c r="BC712" s="37" t="s">
        <v>3688</v>
      </c>
      <c r="BD712" s="29" t="s">
        <v>3687</v>
      </c>
      <c r="BE712" s="37" t="s">
        <v>3791</v>
      </c>
    </row>
    <row r="713" spans="1:57" ht="7.5" customHeight="1" x14ac:dyDescent="0.4">
      <c r="A713" s="35">
        <v>713</v>
      </c>
      <c r="B713" s="57" t="s">
        <v>3027</v>
      </c>
      <c r="C713" s="34" t="s">
        <v>3789</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3792</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3690</v>
      </c>
      <c r="AX713" s="29" t="s">
        <v>3486</v>
      </c>
      <c r="AY713" s="37" t="s">
        <v>3702</v>
      </c>
      <c r="AZ713" s="29" t="s">
        <v>3700</v>
      </c>
      <c r="BA713" s="37" t="s">
        <v>3701</v>
      </c>
      <c r="BB713" s="29" t="s">
        <v>3686</v>
      </c>
      <c r="BC713" s="37" t="s">
        <v>3688</v>
      </c>
      <c r="BD713" s="29" t="s">
        <v>3687</v>
      </c>
      <c r="BE713" s="37" t="s">
        <v>3791</v>
      </c>
    </row>
    <row r="714" spans="1:57" ht="7.5" customHeight="1" x14ac:dyDescent="0.4">
      <c r="A714" s="35">
        <v>714</v>
      </c>
      <c r="B714" s="57" t="s">
        <v>3032</v>
      </c>
      <c r="C714" s="34" t="s">
        <v>3789</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3792</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3690</v>
      </c>
      <c r="AX714" s="29" t="s">
        <v>3486</v>
      </c>
      <c r="AY714" s="37" t="s">
        <v>3702</v>
      </c>
      <c r="AZ714" s="29" t="s">
        <v>3700</v>
      </c>
      <c r="BA714" s="37" t="s">
        <v>3701</v>
      </c>
      <c r="BB714" s="29" t="s">
        <v>3686</v>
      </c>
      <c r="BC714" s="37" t="s">
        <v>3688</v>
      </c>
      <c r="BD714" s="29" t="s">
        <v>3687</v>
      </c>
      <c r="BE714" s="37" t="s">
        <v>3791</v>
      </c>
    </row>
    <row r="715" spans="1:57" ht="7.5" customHeight="1" x14ac:dyDescent="0.4">
      <c r="A715" s="35">
        <v>715</v>
      </c>
      <c r="B715" s="57" t="s">
        <v>3036</v>
      </c>
      <c r="C715" s="34" t="s">
        <v>3789</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3792</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3690</v>
      </c>
      <c r="AX715" s="29" t="s">
        <v>3486</v>
      </c>
      <c r="AY715" s="37" t="s">
        <v>3702</v>
      </c>
      <c r="AZ715" s="29" t="s">
        <v>3700</v>
      </c>
      <c r="BA715" s="37" t="s">
        <v>3701</v>
      </c>
      <c r="BB715" s="29" t="s">
        <v>3686</v>
      </c>
      <c r="BC715" s="37" t="s">
        <v>3688</v>
      </c>
      <c r="BD715" s="29" t="s">
        <v>3687</v>
      </c>
      <c r="BE715" s="37" t="s">
        <v>3791</v>
      </c>
    </row>
    <row r="716" spans="1:57" ht="7.5" customHeight="1" x14ac:dyDescent="0.4">
      <c r="A716" s="35">
        <v>716</v>
      </c>
      <c r="B716" s="57" t="s">
        <v>3039</v>
      </c>
      <c r="C716" s="34" t="s">
        <v>3789</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3792</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3690</v>
      </c>
      <c r="AX716" s="29" t="s">
        <v>3486</v>
      </c>
      <c r="AY716" s="37" t="s">
        <v>3702</v>
      </c>
      <c r="AZ716" s="29" t="s">
        <v>3700</v>
      </c>
      <c r="BA716" s="37" t="s">
        <v>3701</v>
      </c>
      <c r="BB716" s="29" t="s">
        <v>3686</v>
      </c>
      <c r="BC716" s="37" t="s">
        <v>3688</v>
      </c>
      <c r="BD716" s="29" t="s">
        <v>3687</v>
      </c>
      <c r="BE716" s="37" t="s">
        <v>3791</v>
      </c>
    </row>
    <row r="717" spans="1:57" ht="7.5" customHeight="1" x14ac:dyDescent="0.4">
      <c r="A717" s="35">
        <v>717</v>
      </c>
      <c r="B717" s="57" t="s">
        <v>3043</v>
      </c>
      <c r="C717" s="34" t="s">
        <v>3789</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3792</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3690</v>
      </c>
      <c r="AX717" s="29" t="s">
        <v>3486</v>
      </c>
      <c r="AY717" s="37" t="s">
        <v>3702</v>
      </c>
      <c r="AZ717" s="29" t="s">
        <v>3700</v>
      </c>
      <c r="BA717" s="37" t="s">
        <v>3701</v>
      </c>
      <c r="BB717" s="29" t="s">
        <v>3686</v>
      </c>
      <c r="BC717" s="37" t="s">
        <v>3688</v>
      </c>
      <c r="BD717" s="29" t="s">
        <v>3687</v>
      </c>
      <c r="BE717" s="37" t="s">
        <v>3791</v>
      </c>
    </row>
    <row r="718" spans="1:57" ht="7.5" customHeight="1" x14ac:dyDescent="0.4">
      <c r="A718" s="35">
        <v>718</v>
      </c>
      <c r="B718" s="57" t="s">
        <v>3046</v>
      </c>
      <c r="C718" s="34" t="s">
        <v>3789</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3792</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3690</v>
      </c>
      <c r="AX718" s="29" t="s">
        <v>3486</v>
      </c>
      <c r="AY718" s="37" t="s">
        <v>3702</v>
      </c>
      <c r="AZ718" s="29" t="s">
        <v>3700</v>
      </c>
      <c r="BA718" s="37" t="s">
        <v>3701</v>
      </c>
      <c r="BB718" s="29" t="s">
        <v>3686</v>
      </c>
      <c r="BC718" s="37" t="s">
        <v>3688</v>
      </c>
      <c r="BD718" s="29" t="s">
        <v>3687</v>
      </c>
      <c r="BE718" s="37" t="s">
        <v>3791</v>
      </c>
    </row>
    <row r="719" spans="1:57" ht="7.5" customHeight="1" x14ac:dyDescent="0.4">
      <c r="A719" s="35">
        <v>719</v>
      </c>
      <c r="B719" s="57" t="s">
        <v>3049</v>
      </c>
      <c r="C719" s="34" t="s">
        <v>3789</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3792</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3690</v>
      </c>
      <c r="AX719" s="29" t="s">
        <v>3486</v>
      </c>
      <c r="AY719" s="37" t="s">
        <v>3702</v>
      </c>
      <c r="AZ719" s="29" t="s">
        <v>3700</v>
      </c>
      <c r="BA719" s="37" t="s">
        <v>3701</v>
      </c>
      <c r="BB719" s="29" t="s">
        <v>3686</v>
      </c>
      <c r="BC719" s="37" t="s">
        <v>3688</v>
      </c>
      <c r="BD719" s="29" t="s">
        <v>3687</v>
      </c>
      <c r="BE719" s="37" t="s">
        <v>3791</v>
      </c>
    </row>
    <row r="720" spans="1:57" ht="7.5" customHeight="1" x14ac:dyDescent="0.4">
      <c r="A720" s="35">
        <v>720</v>
      </c>
      <c r="B720" s="57" t="s">
        <v>3054</v>
      </c>
      <c r="C720" s="34" t="s">
        <v>3789</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3792</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3690</v>
      </c>
      <c r="AX720" s="29" t="s">
        <v>3486</v>
      </c>
      <c r="AY720" s="37" t="s">
        <v>3702</v>
      </c>
      <c r="AZ720" s="29" t="s">
        <v>3700</v>
      </c>
      <c r="BA720" s="37" t="s">
        <v>3701</v>
      </c>
      <c r="BB720" s="29" t="s">
        <v>3686</v>
      </c>
      <c r="BC720" s="37" t="s">
        <v>3688</v>
      </c>
      <c r="BD720" s="29" t="s">
        <v>3687</v>
      </c>
      <c r="BE720" s="37" t="s">
        <v>3791</v>
      </c>
    </row>
    <row r="721" spans="1:57" ht="7.5" customHeight="1" x14ac:dyDescent="0.4">
      <c r="A721" s="35">
        <v>721</v>
      </c>
      <c r="B721" s="57" t="s">
        <v>3058</v>
      </c>
      <c r="C721" s="34" t="s">
        <v>3789</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3792</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3690</v>
      </c>
      <c r="AX721" s="29" t="s">
        <v>3486</v>
      </c>
      <c r="AY721" s="37" t="s">
        <v>3702</v>
      </c>
      <c r="AZ721" s="29" t="s">
        <v>3700</v>
      </c>
      <c r="BA721" s="37" t="s">
        <v>3701</v>
      </c>
      <c r="BB721" s="29" t="s">
        <v>3686</v>
      </c>
      <c r="BC721" s="37" t="s">
        <v>3688</v>
      </c>
      <c r="BD721" s="29" t="s">
        <v>3687</v>
      </c>
      <c r="BE721" s="37" t="s">
        <v>3791</v>
      </c>
    </row>
    <row r="722" spans="1:57" ht="7.5" customHeight="1" x14ac:dyDescent="0.4">
      <c r="A722" s="35">
        <v>722</v>
      </c>
      <c r="B722" s="57" t="s">
        <v>3063</v>
      </c>
      <c r="C722" s="34" t="s">
        <v>3789</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3792</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3690</v>
      </c>
      <c r="AX722" s="29" t="s">
        <v>3486</v>
      </c>
      <c r="AY722" s="37" t="s">
        <v>3702</v>
      </c>
      <c r="AZ722" s="29" t="s">
        <v>3700</v>
      </c>
      <c r="BA722" s="37" t="s">
        <v>3701</v>
      </c>
      <c r="BB722" s="29" t="s">
        <v>3686</v>
      </c>
      <c r="BC722" s="37" t="s">
        <v>3688</v>
      </c>
      <c r="BD722" s="29" t="s">
        <v>3687</v>
      </c>
      <c r="BE722" s="37" t="s">
        <v>3791</v>
      </c>
    </row>
    <row r="723" spans="1:57" ht="7.5" customHeight="1" x14ac:dyDescent="0.4">
      <c r="A723" s="35">
        <v>723</v>
      </c>
      <c r="B723" s="57" t="s">
        <v>3066</v>
      </c>
      <c r="C723" s="34" t="s">
        <v>3789</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3792</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3690</v>
      </c>
      <c r="AX723" s="29" t="s">
        <v>3486</v>
      </c>
      <c r="AY723" s="37" t="s">
        <v>3702</v>
      </c>
      <c r="AZ723" s="29" t="s">
        <v>3700</v>
      </c>
      <c r="BA723" s="37" t="s">
        <v>3701</v>
      </c>
      <c r="BB723" s="29" t="s">
        <v>3686</v>
      </c>
      <c r="BC723" s="37" t="s">
        <v>3688</v>
      </c>
      <c r="BD723" s="29" t="s">
        <v>3687</v>
      </c>
      <c r="BE723" s="37" t="s">
        <v>3791</v>
      </c>
    </row>
    <row r="724" spans="1:57" ht="7.5" customHeight="1" x14ac:dyDescent="0.4">
      <c r="A724" s="35">
        <v>724</v>
      </c>
      <c r="B724" s="57" t="s">
        <v>3070</v>
      </c>
      <c r="C724" s="34" t="s">
        <v>3789</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3792</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3690</v>
      </c>
      <c r="AX724" s="29" t="s">
        <v>3486</v>
      </c>
      <c r="AY724" s="37" t="s">
        <v>3702</v>
      </c>
      <c r="AZ724" s="29" t="s">
        <v>3700</v>
      </c>
      <c r="BA724" s="37" t="s">
        <v>3701</v>
      </c>
      <c r="BB724" s="29" t="s">
        <v>3686</v>
      </c>
      <c r="BC724" s="37" t="s">
        <v>3688</v>
      </c>
      <c r="BD724" s="29" t="s">
        <v>3687</v>
      </c>
      <c r="BE724" s="37" t="s">
        <v>3791</v>
      </c>
    </row>
    <row r="725" spans="1:57" ht="7.5" customHeight="1" x14ac:dyDescent="0.4">
      <c r="A725" s="35">
        <v>725</v>
      </c>
      <c r="B725" s="57" t="s">
        <v>3074</v>
      </c>
      <c r="C725" s="34" t="s">
        <v>3789</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3792</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3690</v>
      </c>
      <c r="AX725" s="29" t="s">
        <v>3486</v>
      </c>
      <c r="AY725" s="37" t="s">
        <v>3702</v>
      </c>
      <c r="AZ725" s="29" t="s">
        <v>3700</v>
      </c>
      <c r="BA725" s="37" t="s">
        <v>3701</v>
      </c>
      <c r="BB725" s="29" t="s">
        <v>3686</v>
      </c>
      <c r="BC725" s="37" t="s">
        <v>3688</v>
      </c>
      <c r="BD725" s="29" t="s">
        <v>3687</v>
      </c>
      <c r="BE725" s="37" t="s">
        <v>3791</v>
      </c>
    </row>
    <row r="726" spans="1:57" ht="7.5" customHeight="1" x14ac:dyDescent="0.4">
      <c r="A726" s="35">
        <v>726</v>
      </c>
      <c r="B726" s="57" t="s">
        <v>3079</v>
      </c>
      <c r="C726" s="34" t="s">
        <v>3789</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3792</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3690</v>
      </c>
      <c r="AX726" s="29" t="s">
        <v>3486</v>
      </c>
      <c r="AY726" s="37" t="s">
        <v>3702</v>
      </c>
      <c r="AZ726" s="29" t="s">
        <v>3700</v>
      </c>
      <c r="BA726" s="37" t="s">
        <v>3701</v>
      </c>
      <c r="BB726" s="29" t="s">
        <v>3686</v>
      </c>
      <c r="BC726" s="37" t="s">
        <v>3688</v>
      </c>
      <c r="BD726" s="29" t="s">
        <v>3687</v>
      </c>
      <c r="BE726" s="37" t="s">
        <v>3791</v>
      </c>
    </row>
    <row r="727" spans="1:57" ht="7.5" customHeight="1" x14ac:dyDescent="0.4">
      <c r="A727" s="35">
        <v>727</v>
      </c>
      <c r="B727" s="57" t="s">
        <v>3082</v>
      </c>
      <c r="C727" s="34" t="s">
        <v>3789</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3792</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3690</v>
      </c>
      <c r="AX727" s="29" t="s">
        <v>3486</v>
      </c>
      <c r="AY727" s="37" t="s">
        <v>3702</v>
      </c>
      <c r="AZ727" s="29" t="s">
        <v>3700</v>
      </c>
      <c r="BA727" s="37" t="s">
        <v>3701</v>
      </c>
      <c r="BB727" s="29" t="s">
        <v>3686</v>
      </c>
      <c r="BC727" s="37" t="s">
        <v>3688</v>
      </c>
      <c r="BD727" s="29" t="s">
        <v>3687</v>
      </c>
      <c r="BE727" s="37" t="s">
        <v>3791</v>
      </c>
    </row>
    <row r="728" spans="1:57" ht="7.5" customHeight="1" x14ac:dyDescent="0.4">
      <c r="A728" s="35">
        <v>728</v>
      </c>
      <c r="B728" s="57" t="s">
        <v>3087</v>
      </c>
      <c r="C728" s="34" t="s">
        <v>3789</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3792</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3690</v>
      </c>
      <c r="AX728" s="29" t="s">
        <v>3486</v>
      </c>
      <c r="AY728" s="37" t="s">
        <v>3702</v>
      </c>
      <c r="AZ728" s="29" t="s">
        <v>3700</v>
      </c>
      <c r="BA728" s="37" t="s">
        <v>3701</v>
      </c>
      <c r="BB728" s="29" t="s">
        <v>3686</v>
      </c>
      <c r="BC728" s="37" t="s">
        <v>3688</v>
      </c>
      <c r="BD728" s="29" t="s">
        <v>3687</v>
      </c>
      <c r="BE728" s="37" t="s">
        <v>3791</v>
      </c>
    </row>
    <row r="729" spans="1:57" ht="7.5" customHeight="1" x14ac:dyDescent="0.4">
      <c r="A729" s="35">
        <v>729</v>
      </c>
      <c r="B729" s="57" t="s">
        <v>3091</v>
      </c>
      <c r="C729" s="34" t="s">
        <v>3789</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3792</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3690</v>
      </c>
      <c r="AX729" s="29" t="s">
        <v>3486</v>
      </c>
      <c r="AY729" s="37" t="s">
        <v>3702</v>
      </c>
      <c r="AZ729" s="29" t="s">
        <v>3700</v>
      </c>
      <c r="BA729" s="37" t="s">
        <v>3701</v>
      </c>
      <c r="BB729" s="29" t="s">
        <v>3686</v>
      </c>
      <c r="BC729" s="37" t="s">
        <v>3688</v>
      </c>
      <c r="BD729" s="29" t="s">
        <v>3687</v>
      </c>
      <c r="BE729" s="37" t="s">
        <v>3791</v>
      </c>
    </row>
    <row r="730" spans="1:57" ht="7.5" customHeight="1" x14ac:dyDescent="0.4">
      <c r="A730" s="35">
        <v>730</v>
      </c>
      <c r="B730" s="57" t="s">
        <v>3096</v>
      </c>
      <c r="C730" s="34" t="s">
        <v>3789</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3792</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3690</v>
      </c>
      <c r="AX730" s="29" t="s">
        <v>3486</v>
      </c>
      <c r="AY730" s="37" t="s">
        <v>3702</v>
      </c>
      <c r="AZ730" s="29" t="s">
        <v>3700</v>
      </c>
      <c r="BA730" s="37" t="s">
        <v>3701</v>
      </c>
      <c r="BB730" s="29" t="s">
        <v>3686</v>
      </c>
      <c r="BC730" s="37" t="s">
        <v>3688</v>
      </c>
      <c r="BD730" s="29" t="s">
        <v>3687</v>
      </c>
      <c r="BE730" s="37" t="s">
        <v>3791</v>
      </c>
    </row>
    <row r="731" spans="1:57" ht="7.5" customHeight="1" x14ac:dyDescent="0.4">
      <c r="A731" s="35">
        <v>731</v>
      </c>
      <c r="B731" s="57" t="s">
        <v>3099</v>
      </c>
      <c r="C731" s="34" t="s">
        <v>3789</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3792</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3690</v>
      </c>
      <c r="AX731" s="29" t="s">
        <v>3486</v>
      </c>
      <c r="AY731" s="37" t="s">
        <v>3702</v>
      </c>
      <c r="AZ731" s="29" t="s">
        <v>3700</v>
      </c>
      <c r="BA731" s="37" t="s">
        <v>3701</v>
      </c>
      <c r="BB731" s="29" t="s">
        <v>3686</v>
      </c>
      <c r="BC731" s="37" t="s">
        <v>3688</v>
      </c>
      <c r="BD731" s="29" t="s">
        <v>3687</v>
      </c>
      <c r="BE731" s="37" t="s">
        <v>3791</v>
      </c>
    </row>
    <row r="732" spans="1:57" ht="7.5" customHeight="1" x14ac:dyDescent="0.4">
      <c r="A732" s="35">
        <v>732</v>
      </c>
      <c r="B732" s="57" t="s">
        <v>3102</v>
      </c>
      <c r="C732" s="34" t="s">
        <v>3789</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3792</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3690</v>
      </c>
      <c r="AX732" s="29" t="s">
        <v>3486</v>
      </c>
      <c r="AY732" s="37" t="s">
        <v>3702</v>
      </c>
      <c r="AZ732" s="29" t="s">
        <v>3700</v>
      </c>
      <c r="BA732" s="37" t="s">
        <v>3701</v>
      </c>
      <c r="BB732" s="29" t="s">
        <v>3686</v>
      </c>
      <c r="BC732" s="37" t="s">
        <v>3688</v>
      </c>
      <c r="BD732" s="29" t="s">
        <v>3687</v>
      </c>
      <c r="BE732" s="37" t="s">
        <v>3791</v>
      </c>
    </row>
    <row r="733" spans="1:57" ht="7.5" customHeight="1" x14ac:dyDescent="0.4">
      <c r="A733" s="35">
        <v>733</v>
      </c>
      <c r="B733" s="57" t="s">
        <v>3106</v>
      </c>
      <c r="C733" s="34" t="s">
        <v>3789</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3792</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3690</v>
      </c>
      <c r="AX733" s="29" t="s">
        <v>3486</v>
      </c>
      <c r="AY733" s="37" t="s">
        <v>3702</v>
      </c>
      <c r="AZ733" s="29" t="s">
        <v>3700</v>
      </c>
      <c r="BA733" s="37" t="s">
        <v>3701</v>
      </c>
      <c r="BB733" s="29" t="s">
        <v>3686</v>
      </c>
      <c r="BC733" s="37" t="s">
        <v>3688</v>
      </c>
      <c r="BD733" s="29" t="s">
        <v>3687</v>
      </c>
      <c r="BE733" s="37" t="s">
        <v>3791</v>
      </c>
    </row>
    <row r="734" spans="1:57" ht="7.5" customHeight="1" x14ac:dyDescent="0.4">
      <c r="A734" s="35">
        <v>734</v>
      </c>
      <c r="B734" s="57" t="s">
        <v>3109</v>
      </c>
      <c r="C734" s="34" t="s">
        <v>3789</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3792</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3690</v>
      </c>
      <c r="AX734" s="29" t="s">
        <v>3486</v>
      </c>
      <c r="AY734" s="37" t="s">
        <v>3702</v>
      </c>
      <c r="AZ734" s="29" t="s">
        <v>3700</v>
      </c>
      <c r="BA734" s="37" t="s">
        <v>3701</v>
      </c>
      <c r="BB734" s="29" t="s">
        <v>3686</v>
      </c>
      <c r="BC734" s="37" t="s">
        <v>3688</v>
      </c>
      <c r="BD734" s="29" t="s">
        <v>3687</v>
      </c>
      <c r="BE734" s="37" t="s">
        <v>3791</v>
      </c>
    </row>
    <row r="735" spans="1:57" ht="7.5" customHeight="1" x14ac:dyDescent="0.4">
      <c r="A735" s="35">
        <v>735</v>
      </c>
      <c r="B735" s="57" t="s">
        <v>3112</v>
      </c>
      <c r="C735" s="34" t="s">
        <v>3789</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3792</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3690</v>
      </c>
      <c r="AX735" s="29" t="s">
        <v>3486</v>
      </c>
      <c r="AY735" s="37" t="s">
        <v>3702</v>
      </c>
      <c r="AZ735" s="29" t="s">
        <v>3700</v>
      </c>
      <c r="BA735" s="37" t="s">
        <v>3701</v>
      </c>
      <c r="BB735" s="29" t="s">
        <v>3686</v>
      </c>
      <c r="BC735" s="37" t="s">
        <v>3688</v>
      </c>
      <c r="BD735" s="29" t="s">
        <v>3687</v>
      </c>
      <c r="BE735" s="37" t="s">
        <v>3791</v>
      </c>
    </row>
    <row r="736" spans="1:57" ht="7.5" customHeight="1" x14ac:dyDescent="0.4">
      <c r="A736" s="35">
        <v>736</v>
      </c>
      <c r="B736" s="57" t="s">
        <v>3117</v>
      </c>
      <c r="C736" s="34" t="s">
        <v>3789</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3792</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3690</v>
      </c>
      <c r="AX736" s="29" t="s">
        <v>3486</v>
      </c>
      <c r="AY736" s="37" t="s">
        <v>3702</v>
      </c>
      <c r="AZ736" s="29" t="s">
        <v>3700</v>
      </c>
      <c r="BA736" s="37" t="s">
        <v>3701</v>
      </c>
      <c r="BB736" s="29" t="s">
        <v>3686</v>
      </c>
      <c r="BC736" s="37" t="s">
        <v>3688</v>
      </c>
      <c r="BD736" s="29" t="s">
        <v>3687</v>
      </c>
      <c r="BE736" s="37" t="s">
        <v>3791</v>
      </c>
    </row>
    <row r="737" spans="1:57" ht="7.5" customHeight="1" x14ac:dyDescent="0.4">
      <c r="A737" s="35">
        <v>737</v>
      </c>
      <c r="B737" s="57" t="s">
        <v>3121</v>
      </c>
      <c r="C737" s="34" t="s">
        <v>3789</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3792</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3690</v>
      </c>
      <c r="AX737" s="29" t="s">
        <v>3486</v>
      </c>
      <c r="AY737" s="37" t="s">
        <v>3702</v>
      </c>
      <c r="AZ737" s="29" t="s">
        <v>3700</v>
      </c>
      <c r="BA737" s="37" t="s">
        <v>3701</v>
      </c>
      <c r="BB737" s="29" t="s">
        <v>3686</v>
      </c>
      <c r="BC737" s="37" t="s">
        <v>3688</v>
      </c>
      <c r="BD737" s="29" t="s">
        <v>3687</v>
      </c>
      <c r="BE737" s="37" t="s">
        <v>3791</v>
      </c>
    </row>
    <row r="738" spans="1:57" ht="7.5" customHeight="1" x14ac:dyDescent="0.4">
      <c r="A738" s="35">
        <v>738</v>
      </c>
      <c r="B738" s="57" t="s">
        <v>3125</v>
      </c>
      <c r="C738" s="34" t="s">
        <v>3789</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3792</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3690</v>
      </c>
      <c r="AX738" s="29" t="s">
        <v>3486</v>
      </c>
      <c r="AY738" s="37" t="s">
        <v>3702</v>
      </c>
      <c r="AZ738" s="29" t="s">
        <v>3700</v>
      </c>
      <c r="BA738" s="37" t="s">
        <v>3701</v>
      </c>
      <c r="BB738" s="29" t="s">
        <v>3686</v>
      </c>
      <c r="BC738" s="37" t="s">
        <v>3688</v>
      </c>
      <c r="BD738" s="29" t="s">
        <v>3687</v>
      </c>
      <c r="BE738" s="37" t="s">
        <v>3791</v>
      </c>
    </row>
    <row r="739" spans="1:57" ht="7.5" customHeight="1" x14ac:dyDescent="0.4">
      <c r="A739" s="35">
        <v>739</v>
      </c>
      <c r="B739" s="57" t="s">
        <v>3128</v>
      </c>
      <c r="C739" s="34" t="s">
        <v>3789</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3792</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3690</v>
      </c>
      <c r="AX739" s="29" t="s">
        <v>3486</v>
      </c>
      <c r="AY739" s="37" t="s">
        <v>3702</v>
      </c>
      <c r="AZ739" s="29" t="s">
        <v>3700</v>
      </c>
      <c r="BA739" s="37" t="s">
        <v>3701</v>
      </c>
      <c r="BB739" s="29" t="s">
        <v>3686</v>
      </c>
      <c r="BC739" s="37" t="s">
        <v>3688</v>
      </c>
      <c r="BD739" s="29" t="s">
        <v>3687</v>
      </c>
      <c r="BE739" s="37" t="s">
        <v>3791</v>
      </c>
    </row>
    <row r="740" spans="1:57" ht="7.5" customHeight="1" x14ac:dyDescent="0.4">
      <c r="A740" s="35">
        <v>740</v>
      </c>
      <c r="B740" s="57" t="s">
        <v>3132</v>
      </c>
      <c r="C740" s="34" t="s">
        <v>3789</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3792</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3690</v>
      </c>
      <c r="AX740" s="29" t="s">
        <v>3486</v>
      </c>
      <c r="AY740" s="37" t="s">
        <v>3702</v>
      </c>
      <c r="AZ740" s="29" t="s">
        <v>3700</v>
      </c>
      <c r="BA740" s="37" t="s">
        <v>3701</v>
      </c>
      <c r="BB740" s="29" t="s">
        <v>3686</v>
      </c>
      <c r="BC740" s="37" t="s">
        <v>3688</v>
      </c>
      <c r="BD740" s="29" t="s">
        <v>3687</v>
      </c>
      <c r="BE740" s="37" t="s">
        <v>3791</v>
      </c>
    </row>
    <row r="741" spans="1:57" ht="7.5" customHeight="1" x14ac:dyDescent="0.4">
      <c r="A741" s="35">
        <v>741</v>
      </c>
      <c r="B741" s="57" t="s">
        <v>3136</v>
      </c>
      <c r="C741" s="34" t="s">
        <v>3789</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3792</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3690</v>
      </c>
      <c r="AX741" s="29" t="s">
        <v>3486</v>
      </c>
      <c r="AY741" s="37" t="s">
        <v>3702</v>
      </c>
      <c r="AZ741" s="29" t="s">
        <v>3700</v>
      </c>
      <c r="BA741" s="37" t="s">
        <v>3701</v>
      </c>
      <c r="BB741" s="29" t="s">
        <v>3686</v>
      </c>
      <c r="BC741" s="37" t="s">
        <v>3688</v>
      </c>
      <c r="BD741" s="29" t="s">
        <v>3687</v>
      </c>
      <c r="BE741" s="37" t="s">
        <v>3791</v>
      </c>
    </row>
    <row r="742" spans="1:57" ht="7.5" customHeight="1" x14ac:dyDescent="0.4">
      <c r="A742" s="35">
        <v>742</v>
      </c>
      <c r="B742" s="57" t="s">
        <v>3141</v>
      </c>
      <c r="C742" s="34" t="s">
        <v>3789</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3792</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3690</v>
      </c>
      <c r="AX742" s="29" t="s">
        <v>3486</v>
      </c>
      <c r="AY742" s="37" t="s">
        <v>3702</v>
      </c>
      <c r="AZ742" s="29" t="s">
        <v>3700</v>
      </c>
      <c r="BA742" s="37" t="s">
        <v>3701</v>
      </c>
      <c r="BB742" s="29" t="s">
        <v>3686</v>
      </c>
      <c r="BC742" s="37" t="s">
        <v>3688</v>
      </c>
      <c r="BD742" s="29" t="s">
        <v>3687</v>
      </c>
      <c r="BE742" s="37" t="s">
        <v>3791</v>
      </c>
    </row>
    <row r="743" spans="1:57" ht="7.5" customHeight="1" x14ac:dyDescent="0.4">
      <c r="A743" s="35">
        <v>743</v>
      </c>
      <c r="B743" s="57" t="s">
        <v>3144</v>
      </c>
      <c r="C743" s="34" t="s">
        <v>3789</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3792</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3690</v>
      </c>
      <c r="AX743" s="29" t="s">
        <v>3486</v>
      </c>
      <c r="AY743" s="37" t="s">
        <v>3702</v>
      </c>
      <c r="AZ743" s="29" t="s">
        <v>3700</v>
      </c>
      <c r="BA743" s="37" t="s">
        <v>3701</v>
      </c>
      <c r="BB743" s="29" t="s">
        <v>3686</v>
      </c>
      <c r="BC743" s="37" t="s">
        <v>3688</v>
      </c>
      <c r="BD743" s="29" t="s">
        <v>3687</v>
      </c>
      <c r="BE743" s="37" t="s">
        <v>3791</v>
      </c>
    </row>
    <row r="744" spans="1:57" ht="7.5" customHeight="1" x14ac:dyDescent="0.4">
      <c r="A744" s="35">
        <v>744</v>
      </c>
      <c r="B744" s="57" t="s">
        <v>3148</v>
      </c>
      <c r="C744" s="34" t="s">
        <v>3789</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3792</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3690</v>
      </c>
      <c r="AX744" s="29" t="s">
        <v>3486</v>
      </c>
      <c r="AY744" s="37" t="s">
        <v>3702</v>
      </c>
      <c r="AZ744" s="29" t="s">
        <v>3700</v>
      </c>
      <c r="BA744" s="37" t="s">
        <v>3701</v>
      </c>
      <c r="BB744" s="29" t="s">
        <v>3686</v>
      </c>
      <c r="BC744" s="37" t="s">
        <v>3688</v>
      </c>
      <c r="BD744" s="29" t="s">
        <v>3687</v>
      </c>
      <c r="BE744" s="37" t="s">
        <v>3791</v>
      </c>
    </row>
    <row r="745" spans="1:57" ht="7.5" customHeight="1" x14ac:dyDescent="0.4">
      <c r="A745" s="35">
        <v>745</v>
      </c>
      <c r="B745" s="57" t="s">
        <v>3152</v>
      </c>
      <c r="C745" s="34" t="s">
        <v>3789</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3792</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3690</v>
      </c>
      <c r="AX745" s="29" t="s">
        <v>3486</v>
      </c>
      <c r="AY745" s="37" t="s">
        <v>3702</v>
      </c>
      <c r="AZ745" s="29" t="s">
        <v>3700</v>
      </c>
      <c r="BA745" s="37" t="s">
        <v>3701</v>
      </c>
      <c r="BB745" s="29" t="s">
        <v>3686</v>
      </c>
      <c r="BC745" s="37" t="s">
        <v>3688</v>
      </c>
      <c r="BD745" s="29" t="s">
        <v>3687</v>
      </c>
      <c r="BE745" s="37" t="s">
        <v>3791</v>
      </c>
    </row>
    <row r="746" spans="1:57" ht="7.5" customHeight="1" x14ac:dyDescent="0.4">
      <c r="A746" s="35">
        <v>746</v>
      </c>
      <c r="B746" s="57" t="s">
        <v>3157</v>
      </c>
      <c r="C746" s="34" t="s">
        <v>3789</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3792</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3690</v>
      </c>
      <c r="AX746" s="29" t="s">
        <v>3486</v>
      </c>
      <c r="AY746" s="37" t="s">
        <v>3702</v>
      </c>
      <c r="AZ746" s="29" t="s">
        <v>3700</v>
      </c>
      <c r="BA746" s="37" t="s">
        <v>3701</v>
      </c>
      <c r="BB746" s="29" t="s">
        <v>3686</v>
      </c>
      <c r="BC746" s="37" t="s">
        <v>3688</v>
      </c>
      <c r="BD746" s="29" t="s">
        <v>3687</v>
      </c>
      <c r="BE746" s="37" t="s">
        <v>3791</v>
      </c>
    </row>
    <row r="747" spans="1:57" ht="7.5" customHeight="1" x14ac:dyDescent="0.4">
      <c r="A747" s="35">
        <v>747</v>
      </c>
      <c r="B747" s="57" t="s">
        <v>3161</v>
      </c>
      <c r="C747" s="34" t="s">
        <v>3789</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3792</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3690</v>
      </c>
      <c r="AX747" s="29" t="s">
        <v>3486</v>
      </c>
      <c r="AY747" s="37" t="s">
        <v>3702</v>
      </c>
      <c r="AZ747" s="29" t="s">
        <v>3700</v>
      </c>
      <c r="BA747" s="37" t="s">
        <v>3701</v>
      </c>
      <c r="BB747" s="29" t="s">
        <v>3686</v>
      </c>
      <c r="BC747" s="37" t="s">
        <v>3688</v>
      </c>
      <c r="BD747" s="29" t="s">
        <v>3687</v>
      </c>
      <c r="BE747" s="37" t="s">
        <v>3791</v>
      </c>
    </row>
    <row r="748" spans="1:57" ht="7.5" customHeight="1" x14ac:dyDescent="0.4">
      <c r="A748" s="35">
        <v>748</v>
      </c>
      <c r="B748" s="57" t="s">
        <v>3165</v>
      </c>
      <c r="C748" s="34" t="s">
        <v>3789</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3792</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3690</v>
      </c>
      <c r="AX748" s="29" t="s">
        <v>3486</v>
      </c>
      <c r="AY748" s="37" t="s">
        <v>3702</v>
      </c>
      <c r="AZ748" s="29" t="s">
        <v>3700</v>
      </c>
      <c r="BA748" s="37" t="s">
        <v>3701</v>
      </c>
      <c r="BB748" s="29" t="s">
        <v>3686</v>
      </c>
      <c r="BC748" s="37" t="s">
        <v>3688</v>
      </c>
      <c r="BD748" s="29" t="s">
        <v>3687</v>
      </c>
      <c r="BE748" s="37" t="s">
        <v>3791</v>
      </c>
    </row>
    <row r="749" spans="1:57" ht="7.5" customHeight="1" x14ac:dyDescent="0.4">
      <c r="A749" s="35">
        <v>749</v>
      </c>
      <c r="B749" s="57" t="s">
        <v>3169</v>
      </c>
      <c r="C749" s="34" t="s">
        <v>3789</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3792</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3690</v>
      </c>
      <c r="AX749" s="29" t="s">
        <v>3486</v>
      </c>
      <c r="AY749" s="37" t="s">
        <v>3702</v>
      </c>
      <c r="AZ749" s="29" t="s">
        <v>3700</v>
      </c>
      <c r="BA749" s="37" t="s">
        <v>3701</v>
      </c>
      <c r="BB749" s="29" t="s">
        <v>3686</v>
      </c>
      <c r="BC749" s="37" t="s">
        <v>3688</v>
      </c>
      <c r="BD749" s="29" t="s">
        <v>3687</v>
      </c>
      <c r="BE749" s="37" t="s">
        <v>3791</v>
      </c>
    </row>
    <row r="750" spans="1:57" ht="7.5" customHeight="1" x14ac:dyDescent="0.4">
      <c r="A750" s="35">
        <v>750</v>
      </c>
      <c r="B750" s="57" t="s">
        <v>3173</v>
      </c>
      <c r="C750" s="34" t="s">
        <v>3789</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3792</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3690</v>
      </c>
      <c r="AX750" s="29" t="s">
        <v>3486</v>
      </c>
      <c r="AY750" s="37" t="s">
        <v>3702</v>
      </c>
      <c r="AZ750" s="29" t="s">
        <v>3700</v>
      </c>
      <c r="BA750" s="37" t="s">
        <v>3701</v>
      </c>
      <c r="BB750" s="29" t="s">
        <v>3686</v>
      </c>
      <c r="BC750" s="37" t="s">
        <v>3688</v>
      </c>
      <c r="BD750" s="29" t="s">
        <v>3687</v>
      </c>
      <c r="BE750" s="37" t="s">
        <v>3791</v>
      </c>
    </row>
    <row r="751" spans="1:57" ht="7.5" customHeight="1" x14ac:dyDescent="0.4">
      <c r="A751" s="35">
        <v>751</v>
      </c>
      <c r="B751" s="57" t="s">
        <v>3177</v>
      </c>
      <c r="C751" s="34" t="s">
        <v>3789</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3792</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3690</v>
      </c>
      <c r="AX751" s="29" t="s">
        <v>3486</v>
      </c>
      <c r="AY751" s="37" t="s">
        <v>3702</v>
      </c>
      <c r="AZ751" s="29" t="s">
        <v>3700</v>
      </c>
      <c r="BA751" s="37" t="s">
        <v>3701</v>
      </c>
      <c r="BB751" s="29" t="s">
        <v>3686</v>
      </c>
      <c r="BC751" s="37" t="s">
        <v>3688</v>
      </c>
      <c r="BD751" s="29" t="s">
        <v>3687</v>
      </c>
      <c r="BE751" s="37" t="s">
        <v>3791</v>
      </c>
    </row>
    <row r="752" spans="1:57" ht="7.5" customHeight="1" x14ac:dyDescent="0.4">
      <c r="A752" s="35">
        <v>752</v>
      </c>
      <c r="B752" s="57" t="s">
        <v>3180</v>
      </c>
      <c r="C752" s="34" t="s">
        <v>3789</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3792</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3690</v>
      </c>
      <c r="AX752" s="29" t="s">
        <v>3486</v>
      </c>
      <c r="AY752" s="37" t="s">
        <v>3702</v>
      </c>
      <c r="AZ752" s="29" t="s">
        <v>3700</v>
      </c>
      <c r="BA752" s="37" t="s">
        <v>3701</v>
      </c>
      <c r="BB752" s="29" t="s">
        <v>3686</v>
      </c>
      <c r="BC752" s="37" t="s">
        <v>3688</v>
      </c>
      <c r="BD752" s="29" t="s">
        <v>3687</v>
      </c>
      <c r="BE752" s="37" t="s">
        <v>3791</v>
      </c>
    </row>
    <row r="753" spans="1:57" ht="7.5" customHeight="1" x14ac:dyDescent="0.4">
      <c r="A753" s="35">
        <v>753</v>
      </c>
      <c r="B753" s="57" t="s">
        <v>3185</v>
      </c>
      <c r="C753" s="34" t="s">
        <v>3789</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3792</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3690</v>
      </c>
      <c r="AX753" s="29" t="s">
        <v>3486</v>
      </c>
      <c r="AY753" s="37" t="s">
        <v>3702</v>
      </c>
      <c r="AZ753" s="29" t="s">
        <v>3700</v>
      </c>
      <c r="BA753" s="37" t="s">
        <v>3701</v>
      </c>
      <c r="BB753" s="29" t="s">
        <v>3686</v>
      </c>
      <c r="BC753" s="37" t="s">
        <v>3688</v>
      </c>
      <c r="BD753" s="29" t="s">
        <v>3687</v>
      </c>
      <c r="BE753" s="37" t="s">
        <v>3791</v>
      </c>
    </row>
    <row r="754" spans="1:57" ht="7.5" customHeight="1" x14ac:dyDescent="0.4">
      <c r="A754" s="35">
        <v>754</v>
      </c>
      <c r="B754" s="57" t="s">
        <v>3189</v>
      </c>
      <c r="C754" s="34" t="s">
        <v>3789</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3792</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3690</v>
      </c>
      <c r="AX754" s="29" t="s">
        <v>3486</v>
      </c>
      <c r="AY754" s="37" t="s">
        <v>3702</v>
      </c>
      <c r="AZ754" s="29" t="s">
        <v>3700</v>
      </c>
      <c r="BA754" s="37" t="s">
        <v>3701</v>
      </c>
      <c r="BB754" s="29" t="s">
        <v>3686</v>
      </c>
      <c r="BC754" s="37" t="s">
        <v>3688</v>
      </c>
      <c r="BD754" s="29" t="s">
        <v>3687</v>
      </c>
      <c r="BE754" s="37" t="s">
        <v>3791</v>
      </c>
    </row>
    <row r="755" spans="1:57" ht="7.5" customHeight="1" x14ac:dyDescent="0.4">
      <c r="A755" s="35">
        <v>755</v>
      </c>
      <c r="B755" s="57" t="s">
        <v>3193</v>
      </c>
      <c r="C755" s="34" t="s">
        <v>3789</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3792</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3690</v>
      </c>
      <c r="AX755" s="29" t="s">
        <v>3486</v>
      </c>
      <c r="AY755" s="37" t="s">
        <v>3702</v>
      </c>
      <c r="AZ755" s="29" t="s">
        <v>3700</v>
      </c>
      <c r="BA755" s="37" t="s">
        <v>3701</v>
      </c>
      <c r="BB755" s="29" t="s">
        <v>3686</v>
      </c>
      <c r="BC755" s="37" t="s">
        <v>3688</v>
      </c>
      <c r="BD755" s="29" t="s">
        <v>3687</v>
      </c>
      <c r="BE755" s="37" t="s">
        <v>3791</v>
      </c>
    </row>
    <row r="756" spans="1:57" ht="7.5" customHeight="1" x14ac:dyDescent="0.4">
      <c r="A756" s="35">
        <v>756</v>
      </c>
      <c r="B756" s="57" t="s">
        <v>3196</v>
      </c>
      <c r="C756" s="34" t="s">
        <v>3789</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3792</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3690</v>
      </c>
      <c r="AX756" s="29" t="s">
        <v>3486</v>
      </c>
      <c r="AY756" s="37" t="s">
        <v>3702</v>
      </c>
      <c r="AZ756" s="29" t="s">
        <v>3700</v>
      </c>
      <c r="BA756" s="37" t="s">
        <v>3701</v>
      </c>
      <c r="BB756" s="29" t="s">
        <v>3686</v>
      </c>
      <c r="BC756" s="37" t="s">
        <v>3688</v>
      </c>
      <c r="BD756" s="29" t="s">
        <v>3687</v>
      </c>
      <c r="BE756" s="37" t="s">
        <v>3791</v>
      </c>
    </row>
    <row r="757" spans="1:57" ht="7.5" customHeight="1" x14ac:dyDescent="0.4">
      <c r="A757" s="35">
        <v>757</v>
      </c>
      <c r="B757" s="57" t="s">
        <v>3199</v>
      </c>
      <c r="C757" s="34" t="s">
        <v>3789</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3792</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3690</v>
      </c>
      <c r="AX757" s="29" t="s">
        <v>3486</v>
      </c>
      <c r="AY757" s="37" t="s">
        <v>3702</v>
      </c>
      <c r="AZ757" s="29" t="s">
        <v>3700</v>
      </c>
      <c r="BA757" s="37" t="s">
        <v>3701</v>
      </c>
      <c r="BB757" s="29" t="s">
        <v>3686</v>
      </c>
      <c r="BC757" s="37" t="s">
        <v>3688</v>
      </c>
      <c r="BD757" s="29" t="s">
        <v>3687</v>
      </c>
      <c r="BE757" s="37" t="s">
        <v>3791</v>
      </c>
    </row>
    <row r="758" spans="1:57" ht="7.5" customHeight="1" x14ac:dyDescent="0.4">
      <c r="A758" s="35">
        <v>758</v>
      </c>
      <c r="B758" s="57" t="s">
        <v>3202</v>
      </c>
      <c r="C758" s="34" t="s">
        <v>3789</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3792</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3690</v>
      </c>
      <c r="AX758" s="29" t="s">
        <v>3486</v>
      </c>
      <c r="AY758" s="37" t="s">
        <v>3702</v>
      </c>
      <c r="AZ758" s="29" t="s">
        <v>3700</v>
      </c>
      <c r="BA758" s="37" t="s">
        <v>3701</v>
      </c>
      <c r="BB758" s="29" t="s">
        <v>3686</v>
      </c>
      <c r="BC758" s="37" t="s">
        <v>3688</v>
      </c>
      <c r="BD758" s="29" t="s">
        <v>3687</v>
      </c>
      <c r="BE758" s="37" t="s">
        <v>3791</v>
      </c>
    </row>
    <row r="759" spans="1:57" ht="7.5" customHeight="1" x14ac:dyDescent="0.4">
      <c r="A759" s="35">
        <v>759</v>
      </c>
      <c r="B759" s="57" t="s">
        <v>3205</v>
      </c>
      <c r="C759" s="34" t="s">
        <v>3789</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3792</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3690</v>
      </c>
      <c r="AX759" s="29" t="s">
        <v>3486</v>
      </c>
      <c r="AY759" s="37" t="s">
        <v>3702</v>
      </c>
      <c r="AZ759" s="29" t="s">
        <v>3700</v>
      </c>
      <c r="BA759" s="37" t="s">
        <v>3701</v>
      </c>
      <c r="BB759" s="29" t="s">
        <v>3686</v>
      </c>
      <c r="BC759" s="37" t="s">
        <v>3688</v>
      </c>
      <c r="BD759" s="29" t="s">
        <v>3687</v>
      </c>
      <c r="BE759" s="37" t="s">
        <v>3791</v>
      </c>
    </row>
    <row r="760" spans="1:57" ht="7.5" customHeight="1" x14ac:dyDescent="0.4">
      <c r="A760" s="35">
        <v>760</v>
      </c>
      <c r="B760" s="57" t="s">
        <v>3208</v>
      </c>
      <c r="C760" s="34" t="s">
        <v>3789</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3792</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3690</v>
      </c>
      <c r="AX760" s="29" t="s">
        <v>3486</v>
      </c>
      <c r="AY760" s="37" t="s">
        <v>3702</v>
      </c>
      <c r="AZ760" s="29" t="s">
        <v>3700</v>
      </c>
      <c r="BA760" s="37" t="s">
        <v>3701</v>
      </c>
      <c r="BB760" s="29" t="s">
        <v>3686</v>
      </c>
      <c r="BC760" s="37" t="s">
        <v>3688</v>
      </c>
      <c r="BD760" s="29" t="s">
        <v>3687</v>
      </c>
      <c r="BE760" s="37" t="s">
        <v>3791</v>
      </c>
    </row>
    <row r="761" spans="1:57" ht="7.5" customHeight="1" x14ac:dyDescent="0.4">
      <c r="A761" s="35">
        <v>761</v>
      </c>
      <c r="B761" s="57" t="s">
        <v>3213</v>
      </c>
      <c r="C761" s="34" t="s">
        <v>3789</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3792</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3690</v>
      </c>
      <c r="AX761" s="29" t="s">
        <v>3486</v>
      </c>
      <c r="AY761" s="37" t="s">
        <v>3702</v>
      </c>
      <c r="AZ761" s="29" t="s">
        <v>3700</v>
      </c>
      <c r="BA761" s="37" t="s">
        <v>3701</v>
      </c>
      <c r="BB761" s="29" t="s">
        <v>3686</v>
      </c>
      <c r="BC761" s="37" t="s">
        <v>3688</v>
      </c>
      <c r="BD761" s="29" t="s">
        <v>3687</v>
      </c>
      <c r="BE761" s="37" t="s">
        <v>3791</v>
      </c>
    </row>
    <row r="762" spans="1:57" ht="7.5" customHeight="1" x14ac:dyDescent="0.4">
      <c r="A762" s="35">
        <v>762</v>
      </c>
      <c r="B762" s="57" t="s">
        <v>3217</v>
      </c>
      <c r="C762" s="34" t="s">
        <v>3789</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3792</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3690</v>
      </c>
      <c r="AX762" s="29" t="s">
        <v>3486</v>
      </c>
      <c r="AY762" s="37" t="s">
        <v>3702</v>
      </c>
      <c r="AZ762" s="29" t="s">
        <v>3700</v>
      </c>
      <c r="BA762" s="37" t="s">
        <v>3701</v>
      </c>
      <c r="BB762" s="29" t="s">
        <v>3686</v>
      </c>
      <c r="BC762" s="37" t="s">
        <v>3688</v>
      </c>
      <c r="BD762" s="29" t="s">
        <v>3687</v>
      </c>
      <c r="BE762" s="37" t="s">
        <v>3791</v>
      </c>
    </row>
    <row r="763" spans="1:57" ht="7.5" customHeight="1" x14ac:dyDescent="0.4">
      <c r="A763" s="35">
        <v>763</v>
      </c>
      <c r="B763" s="57" t="s">
        <v>3221</v>
      </c>
      <c r="C763" s="34" t="s">
        <v>3789</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3792</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3690</v>
      </c>
      <c r="AX763" s="29" t="s">
        <v>3486</v>
      </c>
      <c r="AY763" s="37" t="s">
        <v>3702</v>
      </c>
      <c r="AZ763" s="29" t="s">
        <v>3700</v>
      </c>
      <c r="BA763" s="37" t="s">
        <v>3701</v>
      </c>
      <c r="BB763" s="29" t="s">
        <v>3686</v>
      </c>
      <c r="BC763" s="37" t="s">
        <v>3688</v>
      </c>
      <c r="BD763" s="29" t="s">
        <v>3687</v>
      </c>
      <c r="BE763" s="37" t="s">
        <v>3791</v>
      </c>
    </row>
    <row r="764" spans="1:57" ht="7.5" customHeight="1" x14ac:dyDescent="0.4">
      <c r="A764" s="35">
        <v>764</v>
      </c>
      <c r="B764" s="57" t="s">
        <v>3226</v>
      </c>
      <c r="C764" s="34" t="s">
        <v>3789</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3792</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3690</v>
      </c>
      <c r="AX764" s="29" t="s">
        <v>3486</v>
      </c>
      <c r="AY764" s="37" t="s">
        <v>3702</v>
      </c>
      <c r="AZ764" s="29" t="s">
        <v>3700</v>
      </c>
      <c r="BA764" s="37" t="s">
        <v>3701</v>
      </c>
      <c r="BB764" s="29" t="s">
        <v>3686</v>
      </c>
      <c r="BC764" s="37" t="s">
        <v>3688</v>
      </c>
      <c r="BD764" s="29" t="s">
        <v>3687</v>
      </c>
      <c r="BE764" s="37" t="s">
        <v>3791</v>
      </c>
    </row>
    <row r="765" spans="1:57" ht="7.5" customHeight="1" x14ac:dyDescent="0.4">
      <c r="A765" s="35">
        <v>765</v>
      </c>
      <c r="B765" s="57" t="s">
        <v>3230</v>
      </c>
      <c r="C765" s="34" t="s">
        <v>3789</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3792</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3690</v>
      </c>
      <c r="AX765" s="29" t="s">
        <v>3486</v>
      </c>
      <c r="AY765" s="37" t="s">
        <v>3702</v>
      </c>
      <c r="AZ765" s="29" t="s">
        <v>3700</v>
      </c>
      <c r="BA765" s="37" t="s">
        <v>3701</v>
      </c>
      <c r="BB765" s="29" t="s">
        <v>3686</v>
      </c>
      <c r="BC765" s="37" t="s">
        <v>3688</v>
      </c>
      <c r="BD765" s="29" t="s">
        <v>3687</v>
      </c>
      <c r="BE765" s="37" t="s">
        <v>3791</v>
      </c>
    </row>
    <row r="766" spans="1:57" ht="7.5" customHeight="1" x14ac:dyDescent="0.4">
      <c r="A766" s="35">
        <v>766</v>
      </c>
      <c r="B766" s="57" t="s">
        <v>3234</v>
      </c>
      <c r="C766" s="34" t="s">
        <v>3789</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3792</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3690</v>
      </c>
      <c r="AX766" s="29" t="s">
        <v>3486</v>
      </c>
      <c r="AY766" s="37" t="s">
        <v>3702</v>
      </c>
      <c r="AZ766" s="29" t="s">
        <v>3700</v>
      </c>
      <c r="BA766" s="37" t="s">
        <v>3701</v>
      </c>
      <c r="BB766" s="29" t="s">
        <v>3686</v>
      </c>
      <c r="BC766" s="37" t="s">
        <v>3688</v>
      </c>
      <c r="BD766" s="29" t="s">
        <v>3687</v>
      </c>
      <c r="BE766" s="37" t="s">
        <v>3791</v>
      </c>
    </row>
    <row r="767" spans="1:57" ht="7.5" customHeight="1" x14ac:dyDescent="0.4">
      <c r="A767" s="35">
        <v>767</v>
      </c>
      <c r="B767" s="57" t="s">
        <v>3238</v>
      </c>
      <c r="C767" s="34" t="s">
        <v>3789</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3792</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3690</v>
      </c>
      <c r="AX767" s="29" t="s">
        <v>3486</v>
      </c>
      <c r="AY767" s="37" t="s">
        <v>3702</v>
      </c>
      <c r="AZ767" s="29" t="s">
        <v>3700</v>
      </c>
      <c r="BA767" s="37" t="s">
        <v>3701</v>
      </c>
      <c r="BB767" s="29" t="s">
        <v>3686</v>
      </c>
      <c r="BC767" s="37" t="s">
        <v>3688</v>
      </c>
      <c r="BD767" s="29" t="s">
        <v>3687</v>
      </c>
      <c r="BE767" s="37" t="s">
        <v>3791</v>
      </c>
    </row>
    <row r="768" spans="1:57" ht="7.5" customHeight="1" x14ac:dyDescent="0.4">
      <c r="A768" s="35">
        <v>768</v>
      </c>
      <c r="B768" s="57" t="s">
        <v>3243</v>
      </c>
      <c r="C768" s="34" t="s">
        <v>3789</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3792</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3690</v>
      </c>
      <c r="AX768" s="29" t="s">
        <v>3486</v>
      </c>
      <c r="AY768" s="37" t="s">
        <v>3702</v>
      </c>
      <c r="AZ768" s="29" t="s">
        <v>3700</v>
      </c>
      <c r="BA768" s="37" t="s">
        <v>3701</v>
      </c>
      <c r="BB768" s="29" t="s">
        <v>3686</v>
      </c>
      <c r="BC768" s="37" t="s">
        <v>3688</v>
      </c>
      <c r="BD768" s="29" t="s">
        <v>3687</v>
      </c>
      <c r="BE768" s="37" t="s">
        <v>3791</v>
      </c>
    </row>
    <row r="769" spans="1:57" ht="7.5" customHeight="1" x14ac:dyDescent="0.4">
      <c r="A769" s="35">
        <v>769</v>
      </c>
      <c r="B769" s="57" t="s">
        <v>3247</v>
      </c>
      <c r="C769" s="34" t="s">
        <v>3789</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3792</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3690</v>
      </c>
      <c r="AX769" s="29" t="s">
        <v>3486</v>
      </c>
      <c r="AY769" s="37" t="s">
        <v>3702</v>
      </c>
      <c r="AZ769" s="29" t="s">
        <v>3700</v>
      </c>
      <c r="BA769" s="37" t="s">
        <v>3701</v>
      </c>
      <c r="BB769" s="29" t="s">
        <v>3686</v>
      </c>
      <c r="BC769" s="37" t="s">
        <v>3688</v>
      </c>
      <c r="BD769" s="29" t="s">
        <v>3687</v>
      </c>
      <c r="BE769" s="37" t="s">
        <v>3791</v>
      </c>
    </row>
    <row r="770" spans="1:57" ht="7.5" customHeight="1" x14ac:dyDescent="0.4">
      <c r="A770" s="35">
        <v>770</v>
      </c>
      <c r="B770" s="57" t="s">
        <v>3251</v>
      </c>
      <c r="C770" s="34" t="s">
        <v>3789</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3792</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3690</v>
      </c>
      <c r="AX770" s="29" t="s">
        <v>3486</v>
      </c>
      <c r="AY770" s="37" t="s">
        <v>3702</v>
      </c>
      <c r="AZ770" s="29" t="s">
        <v>3700</v>
      </c>
      <c r="BA770" s="37" t="s">
        <v>3701</v>
      </c>
      <c r="BB770" s="29" t="s">
        <v>3686</v>
      </c>
      <c r="BC770" s="37" t="s">
        <v>3688</v>
      </c>
      <c r="BD770" s="29" t="s">
        <v>3687</v>
      </c>
      <c r="BE770" s="37" t="s">
        <v>3791</v>
      </c>
    </row>
    <row r="771" spans="1:57" ht="7.5" customHeight="1" x14ac:dyDescent="0.4">
      <c r="A771" s="35">
        <v>771</v>
      </c>
      <c r="B771" s="57" t="s">
        <v>3255</v>
      </c>
      <c r="C771" s="34" t="s">
        <v>3789</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3792</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3690</v>
      </c>
      <c r="AX771" s="29" t="s">
        <v>3486</v>
      </c>
      <c r="AY771" s="37" t="s">
        <v>3702</v>
      </c>
      <c r="AZ771" s="29" t="s">
        <v>3700</v>
      </c>
      <c r="BA771" s="37" t="s">
        <v>3701</v>
      </c>
      <c r="BB771" s="29" t="s">
        <v>3686</v>
      </c>
      <c r="BC771" s="37" t="s">
        <v>3688</v>
      </c>
      <c r="BD771" s="29" t="s">
        <v>3687</v>
      </c>
      <c r="BE771" s="37" t="s">
        <v>3791</v>
      </c>
    </row>
    <row r="772" spans="1:57" ht="7.5" customHeight="1" x14ac:dyDescent="0.4">
      <c r="A772" s="35">
        <v>772</v>
      </c>
      <c r="B772" s="57" t="s">
        <v>3260</v>
      </c>
      <c r="C772" s="34" t="s">
        <v>3789</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3792</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3690</v>
      </c>
      <c r="AX772" s="29" t="s">
        <v>3486</v>
      </c>
      <c r="AY772" s="37" t="s">
        <v>3702</v>
      </c>
      <c r="AZ772" s="29" t="s">
        <v>3700</v>
      </c>
      <c r="BA772" s="37" t="s">
        <v>3701</v>
      </c>
      <c r="BB772" s="29" t="s">
        <v>3686</v>
      </c>
      <c r="BC772" s="37" t="s">
        <v>3688</v>
      </c>
      <c r="BD772" s="29" t="s">
        <v>3687</v>
      </c>
      <c r="BE772" s="37" t="s">
        <v>3791</v>
      </c>
    </row>
    <row r="773" spans="1:57" ht="7.5" customHeight="1" x14ac:dyDescent="0.4">
      <c r="A773" s="35">
        <v>773</v>
      </c>
      <c r="B773" s="57" t="s">
        <v>3264</v>
      </c>
      <c r="C773" s="34" t="s">
        <v>3789</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3792</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3690</v>
      </c>
      <c r="AX773" s="29" t="s">
        <v>3486</v>
      </c>
      <c r="AY773" s="37" t="s">
        <v>3702</v>
      </c>
      <c r="AZ773" s="29" t="s">
        <v>3700</v>
      </c>
      <c r="BA773" s="37" t="s">
        <v>3701</v>
      </c>
      <c r="BB773" s="29" t="s">
        <v>3686</v>
      </c>
      <c r="BC773" s="37" t="s">
        <v>3688</v>
      </c>
      <c r="BD773" s="29" t="s">
        <v>3687</v>
      </c>
      <c r="BE773" s="37" t="s">
        <v>3791</v>
      </c>
    </row>
    <row r="774" spans="1:57" ht="7.5" customHeight="1" x14ac:dyDescent="0.4">
      <c r="A774" s="35">
        <v>774</v>
      </c>
      <c r="B774" s="57" t="s">
        <v>3268</v>
      </c>
      <c r="C774" s="34" t="s">
        <v>3789</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3792</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3690</v>
      </c>
      <c r="AX774" s="29" t="s">
        <v>3486</v>
      </c>
      <c r="AY774" s="37" t="s">
        <v>3702</v>
      </c>
      <c r="AZ774" s="29" t="s">
        <v>3700</v>
      </c>
      <c r="BA774" s="37" t="s">
        <v>3701</v>
      </c>
      <c r="BB774" s="29" t="s">
        <v>3686</v>
      </c>
      <c r="BC774" s="37" t="s">
        <v>3688</v>
      </c>
      <c r="BD774" s="29" t="s">
        <v>3687</v>
      </c>
      <c r="BE774" s="37" t="s">
        <v>3791</v>
      </c>
    </row>
    <row r="775" spans="1:57" ht="7.5" customHeight="1" x14ac:dyDescent="0.4">
      <c r="A775" s="35">
        <v>775</v>
      </c>
      <c r="B775" s="57" t="s">
        <v>3273</v>
      </c>
      <c r="C775" s="34" t="s">
        <v>3789</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3792</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3690</v>
      </c>
      <c r="AX775" s="29" t="s">
        <v>3486</v>
      </c>
      <c r="AY775" s="37" t="s">
        <v>3702</v>
      </c>
      <c r="AZ775" s="29" t="s">
        <v>3700</v>
      </c>
      <c r="BA775" s="37" t="s">
        <v>3701</v>
      </c>
      <c r="BB775" s="29" t="s">
        <v>3686</v>
      </c>
      <c r="BC775" s="37" t="s">
        <v>3688</v>
      </c>
      <c r="BD775" s="29" t="s">
        <v>3687</v>
      </c>
      <c r="BE775" s="37" t="s">
        <v>3791</v>
      </c>
    </row>
    <row r="776" spans="1:57" ht="7.5" customHeight="1" x14ac:dyDescent="0.4">
      <c r="A776" s="35">
        <v>776</v>
      </c>
      <c r="B776" s="57" t="s">
        <v>3277</v>
      </c>
      <c r="C776" s="34" t="s">
        <v>3789</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3792</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3690</v>
      </c>
      <c r="AX776" s="29" t="s">
        <v>3486</v>
      </c>
      <c r="AY776" s="37" t="s">
        <v>3702</v>
      </c>
      <c r="AZ776" s="29" t="s">
        <v>3700</v>
      </c>
      <c r="BA776" s="37" t="s">
        <v>3701</v>
      </c>
      <c r="BB776" s="29" t="s">
        <v>3686</v>
      </c>
      <c r="BC776" s="37" t="s">
        <v>3688</v>
      </c>
      <c r="BD776" s="29" t="s">
        <v>3687</v>
      </c>
      <c r="BE776" s="37" t="s">
        <v>3791</v>
      </c>
    </row>
    <row r="777" spans="1:57" ht="7.5" customHeight="1" x14ac:dyDescent="0.4">
      <c r="A777" s="35">
        <v>777</v>
      </c>
      <c r="B777" s="57" t="s">
        <v>3281</v>
      </c>
      <c r="C777" s="34" t="s">
        <v>3789</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3792</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3690</v>
      </c>
      <c r="AX777" s="29" t="s">
        <v>3486</v>
      </c>
      <c r="AY777" s="37" t="s">
        <v>3702</v>
      </c>
      <c r="AZ777" s="29" t="s">
        <v>3700</v>
      </c>
      <c r="BA777" s="37" t="s">
        <v>3701</v>
      </c>
      <c r="BB777" s="29" t="s">
        <v>3686</v>
      </c>
      <c r="BC777" s="37" t="s">
        <v>3688</v>
      </c>
      <c r="BD777" s="29" t="s">
        <v>3687</v>
      </c>
      <c r="BE777" s="37" t="s">
        <v>3791</v>
      </c>
    </row>
    <row r="778" spans="1:57" ht="7.5" customHeight="1" x14ac:dyDescent="0.4">
      <c r="A778" s="35">
        <v>778</v>
      </c>
      <c r="B778" s="57" t="s">
        <v>3286</v>
      </c>
      <c r="C778" s="34" t="s">
        <v>3789</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3792</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3690</v>
      </c>
      <c r="AX778" s="29" t="s">
        <v>3486</v>
      </c>
      <c r="AY778" s="37" t="s">
        <v>3702</v>
      </c>
      <c r="AZ778" s="29" t="s">
        <v>3700</v>
      </c>
      <c r="BA778" s="37" t="s">
        <v>3701</v>
      </c>
      <c r="BB778" s="29" t="s">
        <v>3686</v>
      </c>
      <c r="BC778" s="37" t="s">
        <v>3688</v>
      </c>
      <c r="BD778" s="29" t="s">
        <v>3687</v>
      </c>
      <c r="BE778" s="37" t="s">
        <v>3791</v>
      </c>
    </row>
    <row r="779" spans="1:57" ht="7.5" customHeight="1" x14ac:dyDescent="0.4">
      <c r="A779" s="35">
        <v>779</v>
      </c>
      <c r="B779" s="57" t="s">
        <v>3291</v>
      </c>
      <c r="C779" s="34" t="s">
        <v>3789</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3792</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3690</v>
      </c>
      <c r="AX779" s="29" t="s">
        <v>3486</v>
      </c>
      <c r="AY779" s="37" t="s">
        <v>3702</v>
      </c>
      <c r="AZ779" s="29" t="s">
        <v>3700</v>
      </c>
      <c r="BA779" s="37" t="s">
        <v>3701</v>
      </c>
      <c r="BB779" s="29" t="s">
        <v>3686</v>
      </c>
      <c r="BC779" s="37" t="s">
        <v>3688</v>
      </c>
      <c r="BD779" s="29" t="s">
        <v>3687</v>
      </c>
      <c r="BE779" s="37" t="s">
        <v>3791</v>
      </c>
    </row>
    <row r="780" spans="1:57" ht="7.5" customHeight="1" x14ac:dyDescent="0.4">
      <c r="A780" s="35">
        <v>780</v>
      </c>
      <c r="B780" s="57" t="s">
        <v>3295</v>
      </c>
      <c r="C780" s="34" t="s">
        <v>3789</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3792</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3690</v>
      </c>
      <c r="AX780" s="29" t="s">
        <v>3486</v>
      </c>
      <c r="AY780" s="37" t="s">
        <v>3702</v>
      </c>
      <c r="AZ780" s="29" t="s">
        <v>3700</v>
      </c>
      <c r="BA780" s="37" t="s">
        <v>3701</v>
      </c>
      <c r="BB780" s="29" t="s">
        <v>3686</v>
      </c>
      <c r="BC780" s="37" t="s">
        <v>3688</v>
      </c>
      <c r="BD780" s="29" t="s">
        <v>3687</v>
      </c>
      <c r="BE780" s="37" t="s">
        <v>3791</v>
      </c>
    </row>
    <row r="781" spans="1:57" ht="7.5" customHeight="1" x14ac:dyDescent="0.4">
      <c r="A781" s="35">
        <v>781</v>
      </c>
      <c r="B781" s="57" t="s">
        <v>3298</v>
      </c>
      <c r="C781" s="34" t="s">
        <v>3789</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3792</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3690</v>
      </c>
      <c r="AX781" s="29" t="s">
        <v>3486</v>
      </c>
      <c r="AY781" s="37" t="s">
        <v>3702</v>
      </c>
      <c r="AZ781" s="29" t="s">
        <v>3700</v>
      </c>
      <c r="BA781" s="37" t="s">
        <v>3701</v>
      </c>
      <c r="BB781" s="29" t="s">
        <v>3686</v>
      </c>
      <c r="BC781" s="37" t="s">
        <v>3688</v>
      </c>
      <c r="BD781" s="29" t="s">
        <v>3687</v>
      </c>
      <c r="BE781" s="37" t="s">
        <v>3791</v>
      </c>
    </row>
    <row r="782" spans="1:57" ht="7.5" customHeight="1" x14ac:dyDescent="0.4">
      <c r="A782" s="35">
        <v>782</v>
      </c>
      <c r="B782" s="57" t="s">
        <v>3302</v>
      </c>
      <c r="C782" s="34" t="s">
        <v>3789</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3792</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3690</v>
      </c>
      <c r="AX782" s="29" t="s">
        <v>3486</v>
      </c>
      <c r="AY782" s="37" t="s">
        <v>3702</v>
      </c>
      <c r="AZ782" s="29" t="s">
        <v>3700</v>
      </c>
      <c r="BA782" s="37" t="s">
        <v>3701</v>
      </c>
      <c r="BB782" s="29" t="s">
        <v>3686</v>
      </c>
      <c r="BC782" s="37" t="s">
        <v>3688</v>
      </c>
      <c r="BD782" s="29" t="s">
        <v>3687</v>
      </c>
      <c r="BE782" s="37" t="s">
        <v>3791</v>
      </c>
    </row>
    <row r="783" spans="1:57" ht="7.5" customHeight="1" x14ac:dyDescent="0.4">
      <c r="A783" s="35">
        <v>783</v>
      </c>
      <c r="B783" s="57" t="s">
        <v>3307</v>
      </c>
      <c r="C783" s="34" t="s">
        <v>3789</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3792</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3690</v>
      </c>
      <c r="AX783" s="29" t="s">
        <v>3486</v>
      </c>
      <c r="AY783" s="37" t="s">
        <v>3702</v>
      </c>
      <c r="AZ783" s="29" t="s">
        <v>3700</v>
      </c>
      <c r="BA783" s="37" t="s">
        <v>3701</v>
      </c>
      <c r="BB783" s="29" t="s">
        <v>3686</v>
      </c>
      <c r="BC783" s="37" t="s">
        <v>3688</v>
      </c>
      <c r="BD783" s="29" t="s">
        <v>3687</v>
      </c>
      <c r="BE783" s="37" t="s">
        <v>3791</v>
      </c>
    </row>
    <row r="784" spans="1:57" ht="7.5" customHeight="1" x14ac:dyDescent="0.4">
      <c r="A784" s="35">
        <v>784</v>
      </c>
      <c r="B784" s="57" t="s">
        <v>3312</v>
      </c>
      <c r="C784" s="34" t="s">
        <v>3789</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3792</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3690</v>
      </c>
      <c r="AX784" s="29" t="s">
        <v>3486</v>
      </c>
      <c r="AY784" s="37" t="s">
        <v>3702</v>
      </c>
      <c r="AZ784" s="29" t="s">
        <v>3700</v>
      </c>
      <c r="BA784" s="37" t="s">
        <v>3701</v>
      </c>
      <c r="BB784" s="29" t="s">
        <v>3686</v>
      </c>
      <c r="BC784" s="37" t="s">
        <v>3688</v>
      </c>
      <c r="BD784" s="29" t="s">
        <v>3687</v>
      </c>
      <c r="BE784" s="37" t="s">
        <v>3791</v>
      </c>
    </row>
    <row r="785" spans="1:57" ht="7.5" customHeight="1" x14ac:dyDescent="0.4">
      <c r="A785" s="35">
        <v>785</v>
      </c>
      <c r="B785" s="57" t="s">
        <v>3316</v>
      </c>
      <c r="C785" s="34" t="s">
        <v>3789</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3792</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3690</v>
      </c>
      <c r="AX785" s="29" t="s">
        <v>3486</v>
      </c>
      <c r="AY785" s="37" t="s">
        <v>3702</v>
      </c>
      <c r="AZ785" s="29" t="s">
        <v>3700</v>
      </c>
      <c r="BA785" s="37" t="s">
        <v>3701</v>
      </c>
      <c r="BB785" s="29" t="s">
        <v>3686</v>
      </c>
      <c r="BC785" s="37" t="s">
        <v>3688</v>
      </c>
      <c r="BD785" s="29" t="s">
        <v>3687</v>
      </c>
      <c r="BE785" s="37" t="s">
        <v>3791</v>
      </c>
    </row>
    <row r="786" spans="1:57" ht="7.5" customHeight="1" x14ac:dyDescent="0.4">
      <c r="A786" s="35">
        <v>786</v>
      </c>
      <c r="B786" s="57" t="s">
        <v>3321</v>
      </c>
      <c r="C786" s="34" t="s">
        <v>3789</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3792</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3690</v>
      </c>
      <c r="AX786" s="29" t="s">
        <v>3486</v>
      </c>
      <c r="AY786" s="37" t="s">
        <v>3702</v>
      </c>
      <c r="AZ786" s="29" t="s">
        <v>3700</v>
      </c>
      <c r="BA786" s="37" t="s">
        <v>3701</v>
      </c>
      <c r="BB786" s="29" t="s">
        <v>3686</v>
      </c>
      <c r="BC786" s="37" t="s">
        <v>3688</v>
      </c>
      <c r="BD786" s="29" t="s">
        <v>3687</v>
      </c>
      <c r="BE786" s="37" t="s">
        <v>3791</v>
      </c>
    </row>
    <row r="787" spans="1:57" ht="7.5" customHeight="1" x14ac:dyDescent="0.4">
      <c r="A787" s="35">
        <v>787</v>
      </c>
      <c r="B787" s="57" t="s">
        <v>3326</v>
      </c>
      <c r="C787" s="34" t="s">
        <v>3789</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3792</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3690</v>
      </c>
      <c r="AX787" s="29" t="s">
        <v>3486</v>
      </c>
      <c r="AY787" s="37" t="s">
        <v>3702</v>
      </c>
      <c r="AZ787" s="29" t="s">
        <v>3700</v>
      </c>
      <c r="BA787" s="37" t="s">
        <v>3701</v>
      </c>
      <c r="BB787" s="29" t="s">
        <v>3686</v>
      </c>
      <c r="BC787" s="37" t="s">
        <v>3688</v>
      </c>
      <c r="BD787" s="29" t="s">
        <v>3687</v>
      </c>
      <c r="BE787" s="37" t="s">
        <v>3791</v>
      </c>
    </row>
    <row r="788" spans="1:57" ht="7.5" customHeight="1" x14ac:dyDescent="0.4">
      <c r="A788" s="35">
        <v>788</v>
      </c>
      <c r="B788" s="57" t="s">
        <v>3329</v>
      </c>
      <c r="C788" s="34" t="s">
        <v>3789</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3792</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3690</v>
      </c>
      <c r="AX788" s="29" t="s">
        <v>3486</v>
      </c>
      <c r="AY788" s="37" t="s">
        <v>3702</v>
      </c>
      <c r="AZ788" s="29" t="s">
        <v>3700</v>
      </c>
      <c r="BA788" s="37" t="s">
        <v>3701</v>
      </c>
      <c r="BB788" s="29" t="s">
        <v>3686</v>
      </c>
      <c r="BC788" s="37" t="s">
        <v>3688</v>
      </c>
      <c r="BD788" s="29" t="s">
        <v>3687</v>
      </c>
      <c r="BE788" s="37" t="s">
        <v>3791</v>
      </c>
    </row>
    <row r="789" spans="1:57" ht="7.5" customHeight="1" x14ac:dyDescent="0.4">
      <c r="A789" s="35">
        <v>789</v>
      </c>
      <c r="B789" s="57" t="s">
        <v>3333</v>
      </c>
      <c r="C789" s="34" t="s">
        <v>3789</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3792</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3690</v>
      </c>
      <c r="AX789" s="29" t="s">
        <v>3486</v>
      </c>
      <c r="AY789" s="37" t="s">
        <v>3702</v>
      </c>
      <c r="AZ789" s="29" t="s">
        <v>3700</v>
      </c>
      <c r="BA789" s="37" t="s">
        <v>3701</v>
      </c>
      <c r="BB789" s="29" t="s">
        <v>3686</v>
      </c>
      <c r="BC789" s="37" t="s">
        <v>3688</v>
      </c>
      <c r="BD789" s="29" t="s">
        <v>3687</v>
      </c>
      <c r="BE789" s="37" t="s">
        <v>3791</v>
      </c>
    </row>
    <row r="790" spans="1:57" ht="7.5" customHeight="1" x14ac:dyDescent="0.4">
      <c r="A790" s="35">
        <v>790</v>
      </c>
      <c r="B790" s="57" t="s">
        <v>3337</v>
      </c>
      <c r="C790" s="34" t="s">
        <v>3789</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3792</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3690</v>
      </c>
      <c r="AX790" s="29" t="s">
        <v>3486</v>
      </c>
      <c r="AY790" s="37" t="s">
        <v>3702</v>
      </c>
      <c r="AZ790" s="29" t="s">
        <v>3700</v>
      </c>
      <c r="BA790" s="37" t="s">
        <v>3701</v>
      </c>
      <c r="BB790" s="29" t="s">
        <v>3686</v>
      </c>
      <c r="BC790" s="37" t="s">
        <v>3688</v>
      </c>
      <c r="BD790" s="29" t="s">
        <v>3687</v>
      </c>
      <c r="BE790" s="37" t="s">
        <v>3791</v>
      </c>
    </row>
    <row r="791" spans="1:57" ht="7.5" customHeight="1" x14ac:dyDescent="0.4">
      <c r="A791" s="35">
        <v>791</v>
      </c>
      <c r="B791" s="57" t="s">
        <v>3342</v>
      </c>
      <c r="C791" s="34" t="s">
        <v>3789</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3792</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3690</v>
      </c>
      <c r="AX791" s="29" t="s">
        <v>3486</v>
      </c>
      <c r="AY791" s="37" t="s">
        <v>3702</v>
      </c>
      <c r="AZ791" s="29" t="s">
        <v>3700</v>
      </c>
      <c r="BA791" s="37" t="s">
        <v>3701</v>
      </c>
      <c r="BB791" s="29" t="s">
        <v>3686</v>
      </c>
      <c r="BC791" s="37" t="s">
        <v>3688</v>
      </c>
      <c r="BD791" s="29" t="s">
        <v>3687</v>
      </c>
      <c r="BE791" s="37" t="s">
        <v>3791</v>
      </c>
    </row>
    <row r="792" spans="1:57" ht="7.5" customHeight="1" x14ac:dyDescent="0.4">
      <c r="A792" s="35">
        <v>792</v>
      </c>
      <c r="B792" s="57" t="s">
        <v>3347</v>
      </c>
      <c r="C792" s="34" t="s">
        <v>3789</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3792</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3690</v>
      </c>
      <c r="AX792" s="29" t="s">
        <v>3486</v>
      </c>
      <c r="AY792" s="37" t="s">
        <v>3702</v>
      </c>
      <c r="AZ792" s="29" t="s">
        <v>3700</v>
      </c>
      <c r="BA792" s="37" t="s">
        <v>3701</v>
      </c>
      <c r="BB792" s="29" t="s">
        <v>3686</v>
      </c>
      <c r="BC792" s="37" t="s">
        <v>3688</v>
      </c>
      <c r="BD792" s="29" t="s">
        <v>3687</v>
      </c>
      <c r="BE792" s="37" t="s">
        <v>3791</v>
      </c>
    </row>
    <row r="793" spans="1:57" ht="7.5" customHeight="1" x14ac:dyDescent="0.4">
      <c r="A793" s="35">
        <v>793</v>
      </c>
      <c r="B793" s="57" t="s">
        <v>3352</v>
      </c>
      <c r="C793" s="34" t="s">
        <v>3789</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3792</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3690</v>
      </c>
      <c r="AX793" s="29" t="s">
        <v>3486</v>
      </c>
      <c r="AY793" s="37" t="s">
        <v>3702</v>
      </c>
      <c r="AZ793" s="29" t="s">
        <v>3700</v>
      </c>
      <c r="BA793" s="37" t="s">
        <v>3701</v>
      </c>
      <c r="BB793" s="29" t="s">
        <v>3686</v>
      </c>
      <c r="BC793" s="37" t="s">
        <v>3688</v>
      </c>
      <c r="BD793" s="29" t="s">
        <v>3687</v>
      </c>
      <c r="BE793" s="37" t="s">
        <v>3791</v>
      </c>
    </row>
    <row r="794" spans="1:57" ht="7.5" customHeight="1" x14ac:dyDescent="0.4">
      <c r="A794" s="35">
        <v>794</v>
      </c>
      <c r="B794" s="57" t="s">
        <v>3356</v>
      </c>
      <c r="C794" s="34" t="s">
        <v>3789</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3792</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3690</v>
      </c>
      <c r="AX794" s="29" t="s">
        <v>3486</v>
      </c>
      <c r="AY794" s="37" t="s">
        <v>3702</v>
      </c>
      <c r="AZ794" s="29" t="s">
        <v>3700</v>
      </c>
      <c r="BA794" s="37" t="s">
        <v>3701</v>
      </c>
      <c r="BB794" s="29" t="s">
        <v>3686</v>
      </c>
      <c r="BC794" s="37" t="s">
        <v>3688</v>
      </c>
      <c r="BD794" s="29" t="s">
        <v>3687</v>
      </c>
      <c r="BE794" s="37" t="s">
        <v>3791</v>
      </c>
    </row>
    <row r="795" spans="1:57" ht="7.5" customHeight="1" x14ac:dyDescent="0.4">
      <c r="A795" s="35">
        <v>795</v>
      </c>
      <c r="B795" s="57" t="s">
        <v>3360</v>
      </c>
      <c r="C795" s="34" t="s">
        <v>3789</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3792</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3690</v>
      </c>
      <c r="AX795" s="29" t="s">
        <v>3486</v>
      </c>
      <c r="AY795" s="37" t="s">
        <v>3702</v>
      </c>
      <c r="AZ795" s="29" t="s">
        <v>3700</v>
      </c>
      <c r="BA795" s="37" t="s">
        <v>3701</v>
      </c>
      <c r="BB795" s="29" t="s">
        <v>3686</v>
      </c>
      <c r="BC795" s="37" t="s">
        <v>3688</v>
      </c>
      <c r="BD795" s="29" t="s">
        <v>3687</v>
      </c>
      <c r="BE795" s="37" t="s">
        <v>3791</v>
      </c>
    </row>
    <row r="796" spans="1:57" ht="7.5" customHeight="1" x14ac:dyDescent="0.4">
      <c r="A796" s="35">
        <v>796</v>
      </c>
      <c r="B796" s="57" t="s">
        <v>3364</v>
      </c>
      <c r="C796" s="34" t="s">
        <v>3789</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3792</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3690</v>
      </c>
      <c r="AX796" s="29" t="s">
        <v>3486</v>
      </c>
      <c r="AY796" s="37" t="s">
        <v>3702</v>
      </c>
      <c r="AZ796" s="29" t="s">
        <v>3700</v>
      </c>
      <c r="BA796" s="37" t="s">
        <v>3701</v>
      </c>
      <c r="BB796" s="29" t="s">
        <v>3686</v>
      </c>
      <c r="BC796" s="37" t="s">
        <v>3688</v>
      </c>
      <c r="BD796" s="29" t="s">
        <v>3687</v>
      </c>
      <c r="BE796" s="37" t="s">
        <v>3791</v>
      </c>
    </row>
    <row r="797" spans="1:57" ht="7.5" customHeight="1" x14ac:dyDescent="0.4">
      <c r="A797" s="35">
        <v>797</v>
      </c>
      <c r="B797" s="57" t="s">
        <v>3368</v>
      </c>
      <c r="C797" s="34" t="s">
        <v>3789</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3792</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3690</v>
      </c>
      <c r="AX797" s="29" t="s">
        <v>3486</v>
      </c>
      <c r="AY797" s="37" t="s">
        <v>3702</v>
      </c>
      <c r="AZ797" s="29" t="s">
        <v>3700</v>
      </c>
      <c r="BA797" s="37" t="s">
        <v>3701</v>
      </c>
      <c r="BB797" s="29" t="s">
        <v>3686</v>
      </c>
      <c r="BC797" s="37" t="s">
        <v>3688</v>
      </c>
      <c r="BD797" s="29" t="s">
        <v>3687</v>
      </c>
      <c r="BE797" s="37" t="s">
        <v>3791</v>
      </c>
    </row>
    <row r="798" spans="1:57" ht="7.5" customHeight="1" x14ac:dyDescent="0.4">
      <c r="A798" s="35">
        <v>798</v>
      </c>
      <c r="B798" s="57" t="s">
        <v>3371</v>
      </c>
      <c r="C798" s="34" t="s">
        <v>3789</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3792</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3690</v>
      </c>
      <c r="AX798" s="29" t="s">
        <v>3486</v>
      </c>
      <c r="AY798" s="37" t="s">
        <v>3702</v>
      </c>
      <c r="AZ798" s="29" t="s">
        <v>3700</v>
      </c>
      <c r="BA798" s="37" t="s">
        <v>3701</v>
      </c>
      <c r="BB798" s="29" t="s">
        <v>3686</v>
      </c>
      <c r="BC798" s="37" t="s">
        <v>3688</v>
      </c>
      <c r="BD798" s="29" t="s">
        <v>3687</v>
      </c>
      <c r="BE798" s="37" t="s">
        <v>3791</v>
      </c>
    </row>
    <row r="799" spans="1:57" ht="7.5" customHeight="1" x14ac:dyDescent="0.4">
      <c r="A799" s="35">
        <v>799</v>
      </c>
      <c r="B799" s="57" t="s">
        <v>3375</v>
      </c>
      <c r="C799" s="34" t="s">
        <v>3789</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3792</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3690</v>
      </c>
      <c r="AX799" s="29" t="s">
        <v>3486</v>
      </c>
      <c r="AY799" s="37" t="s">
        <v>3702</v>
      </c>
      <c r="AZ799" s="29" t="s">
        <v>3700</v>
      </c>
      <c r="BA799" s="37" t="s">
        <v>3701</v>
      </c>
      <c r="BB799" s="29" t="s">
        <v>3686</v>
      </c>
      <c r="BC799" s="37" t="s">
        <v>3688</v>
      </c>
      <c r="BD799" s="29" t="s">
        <v>3687</v>
      </c>
      <c r="BE799" s="37" t="s">
        <v>3791</v>
      </c>
    </row>
    <row r="800" spans="1:57" ht="7.5" customHeight="1" x14ac:dyDescent="0.4">
      <c r="A800" s="35">
        <v>800</v>
      </c>
      <c r="B800" s="57" t="s">
        <v>3379</v>
      </c>
      <c r="C800" s="34" t="s">
        <v>3789</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3792</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3690</v>
      </c>
      <c r="AX800" s="29" t="s">
        <v>3486</v>
      </c>
      <c r="AY800" s="37" t="s">
        <v>3702</v>
      </c>
      <c r="AZ800" s="29" t="s">
        <v>3700</v>
      </c>
      <c r="BA800" s="37" t="s">
        <v>3701</v>
      </c>
      <c r="BB800" s="29" t="s">
        <v>3686</v>
      </c>
      <c r="BC800" s="37" t="s">
        <v>3688</v>
      </c>
      <c r="BD800" s="29" t="s">
        <v>3687</v>
      </c>
      <c r="BE800" s="37" t="s">
        <v>3791</v>
      </c>
    </row>
    <row r="801" spans="1:57" ht="7.5" customHeight="1" x14ac:dyDescent="0.4">
      <c r="A801" s="35">
        <v>801</v>
      </c>
      <c r="B801" s="57" t="s">
        <v>3382</v>
      </c>
      <c r="C801" s="34" t="s">
        <v>3789</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3792</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3690</v>
      </c>
      <c r="AX801" s="29" t="s">
        <v>3486</v>
      </c>
      <c r="AY801" s="37" t="s">
        <v>3702</v>
      </c>
      <c r="AZ801" s="29" t="s">
        <v>3700</v>
      </c>
      <c r="BA801" s="37" t="s">
        <v>3701</v>
      </c>
      <c r="BB801" s="29" t="s">
        <v>3686</v>
      </c>
      <c r="BC801" s="37" t="s">
        <v>3688</v>
      </c>
      <c r="BD801" s="29" t="s">
        <v>3687</v>
      </c>
      <c r="BE801" s="37" t="s">
        <v>3791</v>
      </c>
    </row>
    <row r="802" spans="1:57" ht="7.5" customHeight="1" x14ac:dyDescent="0.4">
      <c r="A802" s="35">
        <v>802</v>
      </c>
      <c r="B802" s="57" t="s">
        <v>3387</v>
      </c>
      <c r="C802" s="34" t="s">
        <v>3789</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3792</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3690</v>
      </c>
      <c r="AX802" s="29" t="s">
        <v>3486</v>
      </c>
      <c r="AY802" s="37" t="s">
        <v>3702</v>
      </c>
      <c r="AZ802" s="29" t="s">
        <v>3700</v>
      </c>
      <c r="BA802" s="37" t="s">
        <v>3701</v>
      </c>
      <c r="BB802" s="29" t="s">
        <v>3686</v>
      </c>
      <c r="BC802" s="37" t="s">
        <v>3688</v>
      </c>
      <c r="BD802" s="29" t="s">
        <v>3687</v>
      </c>
      <c r="BE802" s="37" t="s">
        <v>3791</v>
      </c>
    </row>
    <row r="803" spans="1:57" ht="7.5" customHeight="1" x14ac:dyDescent="0.4">
      <c r="A803" s="35">
        <v>803</v>
      </c>
      <c r="B803" s="57" t="s">
        <v>3392</v>
      </c>
      <c r="C803" s="34" t="s">
        <v>3789</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3792</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3690</v>
      </c>
      <c r="AX803" s="29" t="s">
        <v>3486</v>
      </c>
      <c r="AY803" s="37" t="s">
        <v>3702</v>
      </c>
      <c r="AZ803" s="29" t="s">
        <v>3700</v>
      </c>
      <c r="BA803" s="37" t="s">
        <v>3701</v>
      </c>
      <c r="BB803" s="29" t="s">
        <v>3686</v>
      </c>
      <c r="BC803" s="37" t="s">
        <v>3688</v>
      </c>
      <c r="BD803" s="29" t="s">
        <v>3687</v>
      </c>
      <c r="BE803" s="37" t="s">
        <v>3791</v>
      </c>
    </row>
    <row r="804" spans="1:57" ht="7.5" customHeight="1" x14ac:dyDescent="0.4">
      <c r="A804" s="35">
        <v>804</v>
      </c>
      <c r="B804" s="57" t="s">
        <v>3396</v>
      </c>
      <c r="C804" s="34" t="s">
        <v>3789</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3792</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3690</v>
      </c>
      <c r="AX804" s="29" t="s">
        <v>3486</v>
      </c>
      <c r="AY804" s="37" t="s">
        <v>3702</v>
      </c>
      <c r="AZ804" s="29" t="s">
        <v>3700</v>
      </c>
      <c r="BA804" s="37" t="s">
        <v>3701</v>
      </c>
      <c r="BB804" s="29" t="s">
        <v>3686</v>
      </c>
      <c r="BC804" s="37" t="s">
        <v>3688</v>
      </c>
      <c r="BD804" s="29" t="s">
        <v>3687</v>
      </c>
      <c r="BE804" s="37" t="s">
        <v>3791</v>
      </c>
    </row>
    <row r="805" spans="1:57" ht="7.5" customHeight="1" x14ac:dyDescent="0.4">
      <c r="A805" s="35">
        <v>805</v>
      </c>
      <c r="B805" s="57" t="s">
        <v>3400</v>
      </c>
      <c r="C805" s="34" t="s">
        <v>3789</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3792</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3690</v>
      </c>
      <c r="AX805" s="29" t="s">
        <v>3486</v>
      </c>
      <c r="AY805" s="37" t="s">
        <v>3702</v>
      </c>
      <c r="AZ805" s="29" t="s">
        <v>3700</v>
      </c>
      <c r="BA805" s="37" t="s">
        <v>3701</v>
      </c>
      <c r="BB805" s="29" t="s">
        <v>3686</v>
      </c>
      <c r="BC805" s="37" t="s">
        <v>3688</v>
      </c>
      <c r="BD805" s="29" t="s">
        <v>3687</v>
      </c>
      <c r="BE805" s="37" t="s">
        <v>3791</v>
      </c>
    </row>
    <row r="806" spans="1:57" ht="7.5" customHeight="1" x14ac:dyDescent="0.4">
      <c r="A806" s="35">
        <v>806</v>
      </c>
      <c r="B806" s="57" t="s">
        <v>3404</v>
      </c>
      <c r="C806" s="34" t="s">
        <v>3789</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3792</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3690</v>
      </c>
      <c r="AX806" s="29" t="s">
        <v>3486</v>
      </c>
      <c r="AY806" s="37" t="s">
        <v>3702</v>
      </c>
      <c r="AZ806" s="29" t="s">
        <v>3700</v>
      </c>
      <c r="BA806" s="37" t="s">
        <v>3701</v>
      </c>
      <c r="BB806" s="29" t="s">
        <v>3686</v>
      </c>
      <c r="BC806" s="37" t="s">
        <v>3688</v>
      </c>
      <c r="BD806" s="29" t="s">
        <v>3687</v>
      </c>
      <c r="BE806" s="37" t="s">
        <v>3791</v>
      </c>
    </row>
    <row r="807" spans="1:57" ht="7.5" customHeight="1" x14ac:dyDescent="0.4">
      <c r="A807" s="35">
        <v>807</v>
      </c>
      <c r="B807" s="57" t="s">
        <v>3408</v>
      </c>
      <c r="C807" s="34" t="s">
        <v>3789</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3792</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3690</v>
      </c>
      <c r="AX807" s="29" t="s">
        <v>3486</v>
      </c>
      <c r="AY807" s="37" t="s">
        <v>3702</v>
      </c>
      <c r="AZ807" s="29" t="s">
        <v>3700</v>
      </c>
      <c r="BA807" s="37" t="s">
        <v>3701</v>
      </c>
      <c r="BB807" s="29" t="s">
        <v>3686</v>
      </c>
      <c r="BC807" s="37" t="s">
        <v>3688</v>
      </c>
      <c r="BD807" s="29" t="s">
        <v>3687</v>
      </c>
      <c r="BE807" s="37" t="s">
        <v>3791</v>
      </c>
    </row>
    <row r="808" spans="1:57" ht="7.5" customHeight="1" x14ac:dyDescent="0.4">
      <c r="A808" s="35">
        <v>808</v>
      </c>
      <c r="B808" s="57" t="s">
        <v>3413</v>
      </c>
      <c r="C808" s="34" t="s">
        <v>3789</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3792</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3690</v>
      </c>
      <c r="AX808" s="29" t="s">
        <v>3486</v>
      </c>
      <c r="AY808" s="37" t="s">
        <v>3702</v>
      </c>
      <c r="AZ808" s="29" t="s">
        <v>3700</v>
      </c>
      <c r="BA808" s="37" t="s">
        <v>3701</v>
      </c>
      <c r="BB808" s="29" t="s">
        <v>3686</v>
      </c>
      <c r="BC808" s="37" t="s">
        <v>3688</v>
      </c>
      <c r="BD808" s="29" t="s">
        <v>3687</v>
      </c>
      <c r="BE808" s="37" t="s">
        <v>3791</v>
      </c>
    </row>
    <row r="809" spans="1:57" ht="7.5" customHeight="1" x14ac:dyDescent="0.4">
      <c r="A809" s="35">
        <v>809</v>
      </c>
      <c r="B809" s="57" t="s">
        <v>3418</v>
      </c>
      <c r="C809" s="34" t="s">
        <v>3789</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3792</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3690</v>
      </c>
      <c r="AX809" s="29" t="s">
        <v>3486</v>
      </c>
      <c r="AY809" s="37" t="s">
        <v>3702</v>
      </c>
      <c r="AZ809" s="29" t="s">
        <v>3700</v>
      </c>
      <c r="BA809" s="37" t="s">
        <v>3701</v>
      </c>
      <c r="BB809" s="29" t="s">
        <v>3686</v>
      </c>
      <c r="BC809" s="37" t="s">
        <v>3688</v>
      </c>
      <c r="BD809" s="29" t="s">
        <v>3687</v>
      </c>
      <c r="BE809" s="37" t="s">
        <v>3791</v>
      </c>
    </row>
    <row r="810" spans="1:57" ht="7.5" customHeight="1" x14ac:dyDescent="0.4">
      <c r="A810" s="35">
        <v>810</v>
      </c>
      <c r="B810" s="57" t="s">
        <v>3422</v>
      </c>
      <c r="C810" s="34" t="s">
        <v>3789</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3792</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3690</v>
      </c>
      <c r="AX810" s="29" t="s">
        <v>3486</v>
      </c>
      <c r="AY810" s="37" t="s">
        <v>3702</v>
      </c>
      <c r="AZ810" s="29" t="s">
        <v>3700</v>
      </c>
      <c r="BA810" s="37" t="s">
        <v>3701</v>
      </c>
      <c r="BB810" s="29" t="s">
        <v>3686</v>
      </c>
      <c r="BC810" s="37" t="s">
        <v>3688</v>
      </c>
      <c r="BD810" s="29" t="s">
        <v>3687</v>
      </c>
      <c r="BE810" s="37" t="s">
        <v>3791</v>
      </c>
    </row>
    <row r="811" spans="1:57" ht="7.5" customHeight="1" x14ac:dyDescent="0.4">
      <c r="A811" s="35">
        <v>811</v>
      </c>
      <c r="B811" s="57" t="s">
        <v>3426</v>
      </c>
      <c r="C811" s="34" t="s">
        <v>3789</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3792</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3690</v>
      </c>
      <c r="AX811" s="29" t="s">
        <v>3486</v>
      </c>
      <c r="AY811" s="37" t="s">
        <v>3702</v>
      </c>
      <c r="AZ811" s="29" t="s">
        <v>3700</v>
      </c>
      <c r="BA811" s="37" t="s">
        <v>3701</v>
      </c>
      <c r="BB811" s="29" t="s">
        <v>3686</v>
      </c>
      <c r="BC811" s="37" t="s">
        <v>3688</v>
      </c>
      <c r="BD811" s="29" t="s">
        <v>3687</v>
      </c>
      <c r="BE811" s="37" t="s">
        <v>3791</v>
      </c>
    </row>
    <row r="812" spans="1:57" ht="7.5" customHeight="1" x14ac:dyDescent="0.4">
      <c r="A812" s="35">
        <v>812</v>
      </c>
      <c r="B812" s="57" t="s">
        <v>3430</v>
      </c>
      <c r="C812" s="34" t="s">
        <v>3789</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3792</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3690</v>
      </c>
      <c r="AX812" s="29" t="s">
        <v>3486</v>
      </c>
      <c r="AY812" s="37" t="s">
        <v>3702</v>
      </c>
      <c r="AZ812" s="29" t="s">
        <v>3700</v>
      </c>
      <c r="BA812" s="37" t="s">
        <v>3701</v>
      </c>
      <c r="BB812" s="29" t="s">
        <v>3686</v>
      </c>
      <c r="BC812" s="37" t="s">
        <v>3688</v>
      </c>
      <c r="BD812" s="29" t="s">
        <v>3687</v>
      </c>
      <c r="BE812" s="37" t="s">
        <v>3791</v>
      </c>
    </row>
    <row r="813" spans="1:57" ht="7.5" customHeight="1" x14ac:dyDescent="0.4">
      <c r="A813" s="35">
        <v>813</v>
      </c>
      <c r="B813" s="57" t="s">
        <v>3435</v>
      </c>
      <c r="C813" s="34" t="s">
        <v>3789</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3792</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3690</v>
      </c>
      <c r="AX813" s="29" t="s">
        <v>3486</v>
      </c>
      <c r="AY813" s="37" t="s">
        <v>3702</v>
      </c>
      <c r="AZ813" s="29" t="s">
        <v>3700</v>
      </c>
      <c r="BA813" s="37" t="s">
        <v>3701</v>
      </c>
      <c r="BB813" s="29" t="s">
        <v>3686</v>
      </c>
      <c r="BC813" s="37" t="s">
        <v>3688</v>
      </c>
      <c r="BD813" s="29" t="s">
        <v>3687</v>
      </c>
      <c r="BE813" s="37" t="s">
        <v>3791</v>
      </c>
    </row>
    <row r="814" spans="1:57" ht="7.5" customHeight="1" x14ac:dyDescent="0.4">
      <c r="A814" s="35">
        <v>814</v>
      </c>
      <c r="B814" s="57" t="s">
        <v>3440</v>
      </c>
      <c r="C814" s="34" t="s">
        <v>3789</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3792</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3690</v>
      </c>
      <c r="AX814" s="29" t="s">
        <v>3486</v>
      </c>
      <c r="AY814" s="37" t="s">
        <v>3702</v>
      </c>
      <c r="AZ814" s="29" t="s">
        <v>3700</v>
      </c>
      <c r="BA814" s="37" t="s">
        <v>3701</v>
      </c>
      <c r="BB814" s="29" t="s">
        <v>3686</v>
      </c>
      <c r="BC814" s="37" t="s">
        <v>3688</v>
      </c>
      <c r="BD814" s="29" t="s">
        <v>3687</v>
      </c>
      <c r="BE814" s="37" t="s">
        <v>3791</v>
      </c>
    </row>
    <row r="815" spans="1:57" ht="7.5" customHeight="1" x14ac:dyDescent="0.4">
      <c r="A815" s="35">
        <v>815</v>
      </c>
      <c r="B815" s="57" t="s">
        <v>3444</v>
      </c>
      <c r="C815" s="34" t="s">
        <v>3789</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3792</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3690</v>
      </c>
      <c r="AX815" s="29" t="s">
        <v>3486</v>
      </c>
      <c r="AY815" s="37" t="s">
        <v>3702</v>
      </c>
      <c r="AZ815" s="29" t="s">
        <v>3700</v>
      </c>
      <c r="BA815" s="37" t="s">
        <v>3701</v>
      </c>
      <c r="BB815" s="29" t="s">
        <v>3686</v>
      </c>
      <c r="BC815" s="37" t="s">
        <v>3688</v>
      </c>
      <c r="BD815" s="29" t="s">
        <v>3687</v>
      </c>
      <c r="BE815" s="37" t="s">
        <v>3791</v>
      </c>
    </row>
    <row r="816" spans="1:57" ht="7.5" customHeight="1" x14ac:dyDescent="0.4">
      <c r="A816" s="35">
        <v>816</v>
      </c>
      <c r="B816" s="57" t="s">
        <v>3449</v>
      </c>
      <c r="C816" s="34" t="s">
        <v>3789</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3792</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3690</v>
      </c>
      <c r="AX816" s="29" t="s">
        <v>3486</v>
      </c>
      <c r="AY816" s="37" t="s">
        <v>3702</v>
      </c>
      <c r="AZ816" s="29" t="s">
        <v>3700</v>
      </c>
      <c r="BA816" s="37" t="s">
        <v>3701</v>
      </c>
      <c r="BB816" s="29" t="s">
        <v>3686</v>
      </c>
      <c r="BC816" s="37" t="s">
        <v>3688</v>
      </c>
      <c r="BD816" s="29" t="s">
        <v>3687</v>
      </c>
      <c r="BE816" s="37" t="s">
        <v>3791</v>
      </c>
    </row>
    <row r="817" spans="1:57" ht="7.5" customHeight="1" x14ac:dyDescent="0.4">
      <c r="A817" s="35">
        <v>817</v>
      </c>
      <c r="B817" s="57" t="s">
        <v>3454</v>
      </c>
      <c r="C817" s="34" t="s">
        <v>3789</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3792</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3690</v>
      </c>
      <c r="AX817" s="29" t="s">
        <v>3486</v>
      </c>
      <c r="AY817" s="37" t="s">
        <v>3702</v>
      </c>
      <c r="AZ817" s="29" t="s">
        <v>3700</v>
      </c>
      <c r="BA817" s="37" t="s">
        <v>3701</v>
      </c>
      <c r="BB817" s="29" t="s">
        <v>3686</v>
      </c>
      <c r="BC817" s="37" t="s">
        <v>3688</v>
      </c>
      <c r="BD817" s="29" t="s">
        <v>3687</v>
      </c>
      <c r="BE817" s="37" t="s">
        <v>3791</v>
      </c>
    </row>
    <row r="818" spans="1:57" ht="7.5" customHeight="1" x14ac:dyDescent="0.4">
      <c r="A818" s="35">
        <v>818</v>
      </c>
      <c r="B818" s="57" t="s">
        <v>3457</v>
      </c>
      <c r="C818" s="34" t="s">
        <v>3789</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3792</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3690</v>
      </c>
      <c r="AX818" s="29" t="s">
        <v>3486</v>
      </c>
      <c r="AY818" s="37" t="s">
        <v>3702</v>
      </c>
      <c r="AZ818" s="29" t="s">
        <v>3700</v>
      </c>
      <c r="BA818" s="37" t="s">
        <v>3701</v>
      </c>
      <c r="BB818" s="29" t="s">
        <v>3686</v>
      </c>
      <c r="BC818" s="37" t="s">
        <v>3688</v>
      </c>
      <c r="BD818" s="29" t="s">
        <v>3687</v>
      </c>
      <c r="BE818" s="37" t="s">
        <v>3791</v>
      </c>
    </row>
    <row r="819" spans="1:57" ht="7.5" customHeight="1" x14ac:dyDescent="0.4">
      <c r="A819" s="35">
        <v>819</v>
      </c>
      <c r="B819" s="57" t="s">
        <v>3461</v>
      </c>
      <c r="C819" s="34" t="s">
        <v>3789</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3792</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3690</v>
      </c>
      <c r="AX819" s="29" t="s">
        <v>3486</v>
      </c>
      <c r="AY819" s="37" t="s">
        <v>3702</v>
      </c>
      <c r="AZ819" s="29" t="s">
        <v>3700</v>
      </c>
      <c r="BA819" s="37" t="s">
        <v>3701</v>
      </c>
      <c r="BB819" s="29" t="s">
        <v>3686</v>
      </c>
      <c r="BC819" s="37" t="s">
        <v>3688</v>
      </c>
      <c r="BD819" s="29" t="s">
        <v>3687</v>
      </c>
      <c r="BE819" s="37" t="s">
        <v>3791</v>
      </c>
    </row>
    <row r="820" spans="1:57" ht="7.5" customHeight="1" x14ac:dyDescent="0.4">
      <c r="A820" s="35">
        <v>820</v>
      </c>
      <c r="B820" s="57" t="s">
        <v>3466</v>
      </c>
      <c r="C820" s="34" t="s">
        <v>3789</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3792</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3690</v>
      </c>
      <c r="AX820" s="29" t="s">
        <v>3486</v>
      </c>
      <c r="AY820" s="37" t="s">
        <v>3702</v>
      </c>
      <c r="AZ820" s="29" t="s">
        <v>3700</v>
      </c>
      <c r="BA820" s="37" t="s">
        <v>3701</v>
      </c>
      <c r="BB820" s="29" t="s">
        <v>3686</v>
      </c>
      <c r="BC820" s="37" t="s">
        <v>3688</v>
      </c>
      <c r="BD820" s="29" t="s">
        <v>3687</v>
      </c>
      <c r="BE820" s="37" t="s">
        <v>3791</v>
      </c>
    </row>
    <row r="821" spans="1:57" ht="7.5" customHeight="1" x14ac:dyDescent="0.4">
      <c r="A821" s="35">
        <v>821</v>
      </c>
      <c r="B821" s="57" t="s">
        <v>3470</v>
      </c>
      <c r="C821" s="34" t="s">
        <v>3789</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3792</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3690</v>
      </c>
      <c r="AX821" s="29" t="s">
        <v>3486</v>
      </c>
      <c r="AY821" s="37" t="s">
        <v>3702</v>
      </c>
      <c r="AZ821" s="29" t="s">
        <v>3700</v>
      </c>
      <c r="BA821" s="37" t="s">
        <v>3701</v>
      </c>
      <c r="BB821" s="29" t="s">
        <v>3686</v>
      </c>
      <c r="BC821" s="37" t="s">
        <v>3688</v>
      </c>
      <c r="BD821" s="29" t="s">
        <v>3687</v>
      </c>
      <c r="BE821" s="37" t="s">
        <v>3791</v>
      </c>
    </row>
    <row r="822" spans="1:57" ht="7.5" customHeight="1" x14ac:dyDescent="0.4">
      <c r="A822" s="35">
        <v>822</v>
      </c>
      <c r="B822" s="57" t="s">
        <v>3473</v>
      </c>
      <c r="C822" s="34" t="s">
        <v>3789</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3792</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3690</v>
      </c>
      <c r="AX822" s="29" t="s">
        <v>3486</v>
      </c>
      <c r="AY822" s="37" t="s">
        <v>3702</v>
      </c>
      <c r="AZ822" s="29" t="s">
        <v>3700</v>
      </c>
      <c r="BA822" s="37" t="s">
        <v>3701</v>
      </c>
      <c r="BB822" s="29" t="s">
        <v>3686</v>
      </c>
      <c r="BC822" s="37" t="s">
        <v>3688</v>
      </c>
      <c r="BD822" s="29" t="s">
        <v>3687</v>
      </c>
      <c r="BE822" s="37" t="s">
        <v>3791</v>
      </c>
    </row>
    <row r="823" spans="1:57" ht="7.5" customHeight="1" x14ac:dyDescent="0.4">
      <c r="A823" s="35">
        <v>823</v>
      </c>
      <c r="B823" s="57" t="s">
        <v>3478</v>
      </c>
      <c r="C823" s="34" t="s">
        <v>3789</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3792</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3690</v>
      </c>
      <c r="AX823" s="29" t="s">
        <v>3486</v>
      </c>
      <c r="AY823" s="37" t="s">
        <v>3702</v>
      </c>
      <c r="AZ823" s="29" t="s">
        <v>3700</v>
      </c>
      <c r="BA823" s="37" t="s">
        <v>3701</v>
      </c>
      <c r="BB823" s="29" t="s">
        <v>3686</v>
      </c>
      <c r="BC823" s="37" t="s">
        <v>3688</v>
      </c>
      <c r="BD823" s="29" t="s">
        <v>3687</v>
      </c>
      <c r="BE823" s="37" t="s">
        <v>3791</v>
      </c>
    </row>
    <row r="824" spans="1:57" ht="7.5" customHeight="1" x14ac:dyDescent="0.4">
      <c r="A824" s="35">
        <v>824</v>
      </c>
      <c r="B824" s="57" t="s">
        <v>3482</v>
      </c>
      <c r="C824" s="34" t="s">
        <v>3789</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3792</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3690</v>
      </c>
      <c r="AX824" s="29" t="s">
        <v>3486</v>
      </c>
      <c r="AY824" s="37" t="s">
        <v>3702</v>
      </c>
      <c r="AZ824" s="29" t="s">
        <v>3700</v>
      </c>
      <c r="BA824" s="37" t="s">
        <v>3701</v>
      </c>
      <c r="BB824" s="29" t="s">
        <v>3686</v>
      </c>
      <c r="BC824" s="37" t="s">
        <v>3688</v>
      </c>
      <c r="BD824" s="29" t="s">
        <v>3687</v>
      </c>
      <c r="BE824" s="37" t="s">
        <v>3791</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2026-08-15T12:28:57Z</dcterms:modified>
</cp:coreProperties>
</file>