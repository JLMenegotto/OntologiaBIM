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EstaPastaDeTrabalho" defaultThemeVersion="202300"/>
  <mc:AlternateContent xmlns:mc="http://schemas.openxmlformats.org/markup-compatibility/2006">
    <mc:Choice Requires="x15">
      <x15ac:absPath xmlns:x15ac="http://schemas.microsoft.com/office/spreadsheetml/2010/11/ac" url="C:\Construtor_Onto\SIS\"/>
    </mc:Choice>
  </mc:AlternateContent>
  <xr:revisionPtr revIDLastSave="0" documentId="13_ncr:1_{8365EFEE-9655-4B78-9218-3E017D933E8E}" xr6:coauthVersionLast="47" xr6:coauthVersionMax="47" xr10:uidLastSave="{00000000-0000-0000-0000-000000000000}"/>
  <bookViews>
    <workbookView xWindow="-120" yWindow="-120" windowWidth="24240" windowHeight="13290" tabRatio="520" activeTab="1" xr2:uid="{00000000-000D-0000-FFFF-FFFF00000000}"/>
  </bookViews>
  <sheets>
    <sheet name="Projeto" sheetId="13" r:id="rId1"/>
    <sheet name="Classes" sheetId="26" r:id="rId2"/>
    <sheet name="Disjunt" sheetId="3" r:id="rId3"/>
    <sheet name="Interop" sheetId="16" r:id="rId4"/>
    <sheet name="FatosIn" sheetId="30" r:id="rId5"/>
  </sheets>
  <definedNames>
    <definedName name="_xlnm._FilterDatabase" localSheetId="3" hidden="1">Interop!$B$1:$B$2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77" i="26" l="1"/>
  <c r="V77" i="26"/>
  <c r="U77" i="26"/>
  <c r="T77" i="26"/>
  <c r="O77" i="26"/>
  <c r="N77" i="26"/>
  <c r="M77" i="26"/>
  <c r="L77" i="26"/>
  <c r="X76" i="26"/>
  <c r="V76" i="26"/>
  <c r="U76" i="26"/>
  <c r="T76" i="26"/>
  <c r="O76" i="26"/>
  <c r="N76" i="26"/>
  <c r="M76" i="26"/>
  <c r="L76" i="26"/>
  <c r="X75" i="26"/>
  <c r="V75" i="26"/>
  <c r="U75" i="26"/>
  <c r="T75" i="26"/>
  <c r="O75" i="26"/>
  <c r="N75" i="26"/>
  <c r="M75" i="26"/>
  <c r="L75" i="26"/>
  <c r="X74" i="26"/>
  <c r="V74" i="26"/>
  <c r="U74" i="26"/>
  <c r="T74" i="26"/>
  <c r="O74" i="26"/>
  <c r="N74" i="26"/>
  <c r="M74" i="26"/>
  <c r="L74" i="26"/>
  <c r="X73" i="26"/>
  <c r="V73" i="26"/>
  <c r="U73" i="26"/>
  <c r="T73" i="26"/>
  <c r="O73" i="26"/>
  <c r="N73" i="26"/>
  <c r="M73" i="26"/>
  <c r="L73" i="26"/>
  <c r="X72" i="26"/>
  <c r="V72" i="26"/>
  <c r="U72" i="26"/>
  <c r="T72" i="26"/>
  <c r="O72" i="26"/>
  <c r="N72" i="26"/>
  <c r="M72" i="26"/>
  <c r="L72" i="26"/>
  <c r="X71" i="26"/>
  <c r="V71" i="26"/>
  <c r="U71" i="26"/>
  <c r="T71" i="26"/>
  <c r="O71" i="26"/>
  <c r="N71" i="26"/>
  <c r="M71" i="26"/>
  <c r="L71" i="26"/>
  <c r="X70" i="26"/>
  <c r="V70" i="26"/>
  <c r="U70" i="26"/>
  <c r="T70" i="26"/>
  <c r="O70" i="26"/>
  <c r="N70" i="26"/>
  <c r="M70" i="26"/>
  <c r="L70" i="26"/>
  <c r="X69" i="26"/>
  <c r="V69" i="26"/>
  <c r="U69" i="26"/>
  <c r="T69" i="26"/>
  <c r="O69" i="26"/>
  <c r="N69" i="26"/>
  <c r="M69" i="26"/>
  <c r="L69" i="26"/>
  <c r="X68" i="26"/>
  <c r="V68" i="26"/>
  <c r="U68" i="26"/>
  <c r="T68" i="26"/>
  <c r="O68" i="26"/>
  <c r="N68" i="26"/>
  <c r="M68" i="26"/>
  <c r="L68" i="26"/>
  <c r="X67" i="26"/>
  <c r="V67" i="26"/>
  <c r="U67" i="26"/>
  <c r="T67" i="26"/>
  <c r="O67" i="26"/>
  <c r="N67" i="26"/>
  <c r="M67" i="26"/>
  <c r="L67" i="26"/>
  <c r="X66" i="26"/>
  <c r="V66" i="26"/>
  <c r="U66" i="26"/>
  <c r="T66" i="26"/>
  <c r="O66" i="26"/>
  <c r="N66" i="26"/>
  <c r="M66" i="26"/>
  <c r="L66" i="26"/>
  <c r="X65" i="26"/>
  <c r="V65" i="26"/>
  <c r="U65" i="26"/>
  <c r="T65" i="26"/>
  <c r="O65" i="26"/>
  <c r="N65" i="26"/>
  <c r="M65" i="26"/>
  <c r="L65" i="26"/>
  <c r="X64" i="26"/>
  <c r="V64" i="26"/>
  <c r="U64" i="26"/>
  <c r="T64" i="26"/>
  <c r="O64" i="26"/>
  <c r="N64" i="26"/>
  <c r="M64" i="26"/>
  <c r="L64" i="26"/>
  <c r="X63" i="26"/>
  <c r="V63" i="26"/>
  <c r="U63" i="26"/>
  <c r="T63" i="26"/>
  <c r="O63" i="26"/>
  <c r="N63" i="26"/>
  <c r="M63" i="26"/>
  <c r="L63" i="26"/>
  <c r="X62" i="26"/>
  <c r="V62" i="26"/>
  <c r="U62" i="26"/>
  <c r="T62" i="26"/>
  <c r="O62" i="26"/>
  <c r="N62" i="26"/>
  <c r="M62" i="26"/>
  <c r="L62" i="26"/>
  <c r="X61" i="26"/>
  <c r="V61" i="26"/>
  <c r="U61" i="26"/>
  <c r="T61" i="26"/>
  <c r="O61" i="26"/>
  <c r="N61" i="26"/>
  <c r="M61" i="26"/>
  <c r="L61" i="26"/>
  <c r="X60" i="26"/>
  <c r="V60" i="26"/>
  <c r="U60" i="26"/>
  <c r="T60" i="26"/>
  <c r="O60" i="26"/>
  <c r="N60" i="26"/>
  <c r="M60" i="26"/>
  <c r="L60" i="26"/>
  <c r="X59" i="26"/>
  <c r="V59" i="26"/>
  <c r="U59" i="26"/>
  <c r="T59" i="26"/>
  <c r="O59" i="26"/>
  <c r="N59" i="26"/>
  <c r="M59" i="26"/>
  <c r="L59" i="26"/>
  <c r="X58" i="26"/>
  <c r="V58" i="26"/>
  <c r="U58" i="26"/>
  <c r="T58" i="26"/>
  <c r="O58" i="26"/>
  <c r="N58" i="26"/>
  <c r="M58" i="26"/>
  <c r="L58" i="26"/>
  <c r="X57" i="26"/>
  <c r="V57" i="26"/>
  <c r="U57" i="26"/>
  <c r="T57" i="26"/>
  <c r="O57" i="26"/>
  <c r="N57" i="26"/>
  <c r="M57" i="26"/>
  <c r="L57" i="26"/>
  <c r="X56" i="26"/>
  <c r="V56" i="26"/>
  <c r="U56" i="26"/>
  <c r="T56" i="26"/>
  <c r="O56" i="26"/>
  <c r="N56" i="26"/>
  <c r="M56" i="26"/>
  <c r="L56" i="26"/>
  <c r="X55" i="26"/>
  <c r="V55" i="26"/>
  <c r="U55" i="26"/>
  <c r="T55" i="26"/>
  <c r="O55" i="26"/>
  <c r="N55" i="26"/>
  <c r="M55" i="26"/>
  <c r="L55" i="26"/>
  <c r="X54" i="26"/>
  <c r="V54" i="26"/>
  <c r="U54" i="26"/>
  <c r="T54" i="26"/>
  <c r="O54" i="26"/>
  <c r="N54" i="26"/>
  <c r="M54" i="26"/>
  <c r="L54" i="26"/>
  <c r="X53" i="26"/>
  <c r="V53" i="26"/>
  <c r="U53" i="26"/>
  <c r="T53" i="26"/>
  <c r="O53" i="26"/>
  <c r="N53" i="26"/>
  <c r="M53" i="26"/>
  <c r="L53" i="26"/>
  <c r="X52" i="26"/>
  <c r="V52" i="26"/>
  <c r="U52" i="26"/>
  <c r="T52" i="26"/>
  <c r="O52" i="26"/>
  <c r="N52" i="26"/>
  <c r="M52" i="26"/>
  <c r="L52" i="26"/>
  <c r="X51" i="26"/>
  <c r="V51" i="26"/>
  <c r="U51" i="26"/>
  <c r="T51" i="26"/>
  <c r="O51" i="26"/>
  <c r="N51" i="26"/>
  <c r="M51" i="26"/>
  <c r="L51" i="26"/>
  <c r="X50" i="26"/>
  <c r="V50" i="26"/>
  <c r="U50" i="26"/>
  <c r="T50" i="26"/>
  <c r="O50" i="26"/>
  <c r="N50" i="26"/>
  <c r="M50" i="26"/>
  <c r="L50" i="26"/>
  <c r="X49" i="26"/>
  <c r="V49" i="26"/>
  <c r="U49" i="26"/>
  <c r="T49" i="26"/>
  <c r="O49" i="26"/>
  <c r="N49" i="26"/>
  <c r="M49" i="26"/>
  <c r="L49" i="26"/>
  <c r="X48" i="26"/>
  <c r="V48" i="26"/>
  <c r="U48" i="26"/>
  <c r="T48" i="26"/>
  <c r="O48" i="26"/>
  <c r="N48" i="26"/>
  <c r="M48" i="26"/>
  <c r="L48" i="26"/>
  <c r="X47" i="26"/>
  <c r="V47" i="26"/>
  <c r="U47" i="26"/>
  <c r="T47" i="26"/>
  <c r="O47" i="26"/>
  <c r="N47" i="26"/>
  <c r="M47" i="26"/>
  <c r="L47" i="26"/>
  <c r="X46" i="26"/>
  <c r="V46" i="26"/>
  <c r="U46" i="26"/>
  <c r="T46" i="26"/>
  <c r="O46" i="26"/>
  <c r="N46" i="26"/>
  <c r="M46" i="26"/>
  <c r="L46" i="26"/>
  <c r="X45" i="26"/>
  <c r="V45" i="26"/>
  <c r="U45" i="26"/>
  <c r="T45" i="26"/>
  <c r="O45" i="26"/>
  <c r="N45" i="26"/>
  <c r="M45" i="26"/>
  <c r="L45" i="26"/>
  <c r="X44" i="26"/>
  <c r="V44" i="26"/>
  <c r="U44" i="26"/>
  <c r="T44" i="26"/>
  <c r="O44" i="26"/>
  <c r="N44" i="26"/>
  <c r="M44" i="26"/>
  <c r="L44" i="26"/>
  <c r="X43" i="26"/>
  <c r="V43" i="26"/>
  <c r="U43" i="26"/>
  <c r="T43" i="26"/>
  <c r="O43" i="26"/>
  <c r="N43" i="26"/>
  <c r="M43" i="26"/>
  <c r="L43" i="26"/>
  <c r="X42" i="26"/>
  <c r="V42" i="26"/>
  <c r="U42" i="26"/>
  <c r="T42" i="26"/>
  <c r="O42" i="26"/>
  <c r="N42" i="26"/>
  <c r="M42" i="26"/>
  <c r="L42" i="26"/>
  <c r="X41" i="26"/>
  <c r="V41" i="26"/>
  <c r="U41" i="26"/>
  <c r="T41" i="26"/>
  <c r="O41" i="26"/>
  <c r="N41" i="26"/>
  <c r="M41" i="26"/>
  <c r="L41" i="26"/>
  <c r="X40" i="26"/>
  <c r="V40" i="26"/>
  <c r="U40" i="26"/>
  <c r="T40" i="26"/>
  <c r="O40" i="26"/>
  <c r="N40" i="26"/>
  <c r="M40" i="26"/>
  <c r="L40" i="26"/>
  <c r="X39" i="26"/>
  <c r="V39" i="26"/>
  <c r="U39" i="26"/>
  <c r="T39" i="26"/>
  <c r="O39" i="26"/>
  <c r="N39" i="26"/>
  <c r="M39" i="26"/>
  <c r="L39" i="26"/>
  <c r="X38" i="26"/>
  <c r="V38" i="26"/>
  <c r="U38" i="26"/>
  <c r="T38" i="26"/>
  <c r="O38" i="26"/>
  <c r="N38" i="26"/>
  <c r="M38" i="26"/>
  <c r="L38" i="26"/>
  <c r="X37" i="26"/>
  <c r="V37" i="26"/>
  <c r="U37" i="26"/>
  <c r="T37" i="26"/>
  <c r="O37" i="26"/>
  <c r="N37" i="26"/>
  <c r="M37" i="26"/>
  <c r="L37" i="26"/>
  <c r="X36" i="26"/>
  <c r="V36" i="26"/>
  <c r="U36" i="26"/>
  <c r="T36" i="26"/>
  <c r="O36" i="26"/>
  <c r="N36" i="26"/>
  <c r="M36" i="26"/>
  <c r="L36" i="26"/>
  <c r="X35" i="26"/>
  <c r="V35" i="26"/>
  <c r="U35" i="26"/>
  <c r="T35" i="26"/>
  <c r="O35" i="26"/>
  <c r="N35" i="26"/>
  <c r="M35" i="26"/>
  <c r="L35" i="26"/>
  <c r="X34" i="26"/>
  <c r="V34" i="26"/>
  <c r="U34" i="26"/>
  <c r="T34" i="26"/>
  <c r="O34" i="26"/>
  <c r="N34" i="26"/>
  <c r="M34" i="26"/>
  <c r="L34" i="26"/>
  <c r="X33" i="26"/>
  <c r="V33" i="26"/>
  <c r="U33" i="26"/>
  <c r="T33" i="26"/>
  <c r="O33" i="26"/>
  <c r="N33" i="26"/>
  <c r="M33" i="26"/>
  <c r="L33" i="26"/>
  <c r="X32" i="26"/>
  <c r="V32" i="26"/>
  <c r="U32" i="26"/>
  <c r="T32" i="26"/>
  <c r="O32" i="26"/>
  <c r="N32" i="26"/>
  <c r="M32" i="26"/>
  <c r="L32" i="26"/>
  <c r="X31" i="26"/>
  <c r="V31" i="26"/>
  <c r="U31" i="26"/>
  <c r="T31" i="26"/>
  <c r="O31" i="26"/>
  <c r="N31" i="26"/>
  <c r="M31" i="26"/>
  <c r="L31" i="26"/>
  <c r="X30" i="26"/>
  <c r="V30" i="26"/>
  <c r="U30" i="26"/>
  <c r="T30" i="26"/>
  <c r="O30" i="26"/>
  <c r="N30" i="26"/>
  <c r="M30" i="26"/>
  <c r="L30" i="26"/>
  <c r="X29" i="26"/>
  <c r="V29" i="26"/>
  <c r="U29" i="26"/>
  <c r="T29" i="26"/>
  <c r="O29" i="26"/>
  <c r="N29" i="26"/>
  <c r="M29" i="26"/>
  <c r="L29" i="26"/>
  <c r="X28" i="26"/>
  <c r="V28" i="26"/>
  <c r="U28" i="26"/>
  <c r="T28" i="26"/>
  <c r="O28" i="26"/>
  <c r="N28" i="26"/>
  <c r="M28" i="26"/>
  <c r="L28" i="26"/>
  <c r="X27" i="26"/>
  <c r="V27" i="26"/>
  <c r="U27" i="26"/>
  <c r="T27" i="26"/>
  <c r="O27" i="26"/>
  <c r="N27" i="26"/>
  <c r="M27" i="26"/>
  <c r="L27" i="26"/>
  <c r="X26" i="26"/>
  <c r="V26" i="26"/>
  <c r="U26" i="26"/>
  <c r="T26" i="26"/>
  <c r="O26" i="26"/>
  <c r="N26" i="26"/>
  <c r="M26" i="26"/>
  <c r="L26" i="26"/>
  <c r="X25" i="26"/>
  <c r="V25" i="26"/>
  <c r="U25" i="26"/>
  <c r="T25" i="26"/>
  <c r="O25" i="26"/>
  <c r="N25" i="26"/>
  <c r="M25" i="26"/>
  <c r="L25" i="26"/>
  <c r="X24" i="26"/>
  <c r="V24" i="26"/>
  <c r="U24" i="26"/>
  <c r="T24" i="26"/>
  <c r="O24" i="26"/>
  <c r="N24" i="26"/>
  <c r="M24" i="26"/>
  <c r="L24" i="26"/>
  <c r="X23" i="26"/>
  <c r="V23" i="26"/>
  <c r="U23" i="26"/>
  <c r="T23" i="26"/>
  <c r="O23" i="26"/>
  <c r="N23" i="26"/>
  <c r="M23" i="26"/>
  <c r="L23" i="26"/>
  <c r="X22" i="26"/>
  <c r="V22" i="26"/>
  <c r="U22" i="26"/>
  <c r="T22" i="26"/>
  <c r="O22" i="26"/>
  <c r="N22" i="26"/>
  <c r="M22" i="26"/>
  <c r="L22" i="26"/>
  <c r="X21" i="26"/>
  <c r="V21" i="26"/>
  <c r="U21" i="26"/>
  <c r="T21" i="26"/>
  <c r="O21" i="26"/>
  <c r="N21" i="26"/>
  <c r="M21" i="26"/>
  <c r="L21" i="26"/>
  <c r="X20" i="26"/>
  <c r="V20" i="26"/>
  <c r="U20" i="26"/>
  <c r="T20" i="26"/>
  <c r="O20" i="26"/>
  <c r="N20" i="26"/>
  <c r="M20" i="26"/>
  <c r="L20" i="26"/>
  <c r="X19" i="26"/>
  <c r="V19" i="26"/>
  <c r="U19" i="26"/>
  <c r="T19" i="26"/>
  <c r="O19" i="26"/>
  <c r="N19" i="26"/>
  <c r="M19" i="26"/>
  <c r="L19" i="26"/>
  <c r="X18" i="26"/>
  <c r="V18" i="26"/>
  <c r="U18" i="26"/>
  <c r="T18" i="26"/>
  <c r="O18" i="26"/>
  <c r="N18" i="26"/>
  <c r="M18" i="26"/>
  <c r="L18" i="26"/>
  <c r="X17" i="26"/>
  <c r="V17" i="26"/>
  <c r="U17" i="26"/>
  <c r="T17" i="26"/>
  <c r="O17" i="26"/>
  <c r="N17" i="26"/>
  <c r="M17" i="26"/>
  <c r="L17" i="26"/>
  <c r="X16" i="26"/>
  <c r="V16" i="26"/>
  <c r="U16" i="26"/>
  <c r="T16" i="26"/>
  <c r="O16" i="26"/>
  <c r="N16" i="26"/>
  <c r="M16" i="26"/>
  <c r="L16" i="26"/>
  <c r="X15" i="26"/>
  <c r="V15" i="26"/>
  <c r="U15" i="26"/>
  <c r="T15" i="26"/>
  <c r="O15" i="26"/>
  <c r="N15" i="26"/>
  <c r="M15" i="26"/>
  <c r="L15" i="26"/>
  <c r="X14" i="26"/>
  <c r="V14" i="26"/>
  <c r="U14" i="26"/>
  <c r="T14" i="26"/>
  <c r="O14" i="26"/>
  <c r="N14" i="26"/>
  <c r="M14" i="26"/>
  <c r="L14" i="26"/>
  <c r="X13" i="26"/>
  <c r="V13" i="26"/>
  <c r="U13" i="26"/>
  <c r="T13" i="26"/>
  <c r="O13" i="26"/>
  <c r="N13" i="26"/>
  <c r="M13" i="26"/>
  <c r="L13" i="26"/>
  <c r="X12" i="26"/>
  <c r="V12" i="26"/>
  <c r="U12" i="26"/>
  <c r="T12" i="26"/>
  <c r="O12" i="26"/>
  <c r="N12" i="26"/>
  <c r="M12" i="26"/>
  <c r="L12" i="26"/>
  <c r="X11" i="26"/>
  <c r="V11" i="26"/>
  <c r="U11" i="26"/>
  <c r="T11" i="26"/>
  <c r="O11" i="26"/>
  <c r="N11" i="26"/>
  <c r="M11" i="26"/>
  <c r="L11" i="26"/>
  <c r="X10" i="26"/>
  <c r="V10" i="26"/>
  <c r="U10" i="26"/>
  <c r="T10" i="26"/>
  <c r="O10" i="26"/>
  <c r="N10" i="26"/>
  <c r="M10" i="26"/>
  <c r="L10" i="26"/>
  <c r="X9" i="26"/>
  <c r="V9" i="26"/>
  <c r="U9" i="26"/>
  <c r="T9" i="26"/>
  <c r="O9" i="26"/>
  <c r="N9" i="26"/>
  <c r="M9" i="26"/>
  <c r="L9" i="26"/>
  <c r="X8" i="26"/>
  <c r="V8" i="26"/>
  <c r="U8" i="26"/>
  <c r="T8" i="26"/>
  <c r="O8" i="26"/>
  <c r="N8" i="26"/>
  <c r="M8" i="26"/>
  <c r="L8" i="26"/>
  <c r="X7" i="26"/>
  <c r="V7" i="26"/>
  <c r="U7" i="26"/>
  <c r="T7" i="26"/>
  <c r="O7" i="26"/>
  <c r="N7" i="26"/>
  <c r="M7" i="26"/>
  <c r="L7" i="26"/>
  <c r="X6" i="26"/>
  <c r="V6" i="26"/>
  <c r="U6" i="26"/>
  <c r="T6" i="26"/>
  <c r="O6" i="26"/>
  <c r="N6" i="26"/>
  <c r="M6" i="26"/>
  <c r="L6" i="26"/>
  <c r="X5" i="26"/>
  <c r="V5" i="26"/>
  <c r="U5" i="26"/>
  <c r="T5" i="26"/>
  <c r="O5" i="26"/>
  <c r="N5" i="26"/>
  <c r="M5" i="26"/>
  <c r="L5" i="26"/>
  <c r="X4" i="26"/>
  <c r="V4" i="26"/>
  <c r="U4" i="26"/>
  <c r="T4" i="26"/>
  <c r="O4" i="26"/>
  <c r="N4" i="26"/>
  <c r="M4" i="26"/>
  <c r="L4" i="26"/>
  <c r="X3" i="26"/>
  <c r="V3" i="26"/>
  <c r="U3" i="26"/>
  <c r="T3" i="26"/>
  <c r="O3" i="26"/>
  <c r="N3" i="26"/>
  <c r="M3" i="26"/>
  <c r="L3" i="26"/>
  <c r="X2" i="26"/>
  <c r="V2" i="26"/>
  <c r="U2" i="26"/>
  <c r="T2" i="26"/>
  <c r="O2" i="26"/>
  <c r="N2" i="26"/>
  <c r="M2" i="26"/>
  <c r="L2" i="26"/>
  <c r="B21" i="13"/>
  <c r="B20" i="13"/>
  <c r="B26" i="13"/>
  <c r="X400" i="26" l="1"/>
  <c r="X401" i="26"/>
  <c r="X402" i="26"/>
  <c r="X403" i="26"/>
  <c r="X404" i="26"/>
  <c r="X405" i="26"/>
  <c r="X406" i="26"/>
  <c r="X407" i="26"/>
  <c r="X408" i="26"/>
  <c r="X409" i="26"/>
  <c r="V409" i="26"/>
  <c r="U409" i="26"/>
  <c r="T409" i="26"/>
  <c r="O409" i="26"/>
  <c r="N409" i="26"/>
  <c r="M409" i="26"/>
  <c r="L409" i="26"/>
  <c r="V408" i="26"/>
  <c r="U408" i="26"/>
  <c r="T408" i="26"/>
  <c r="O408" i="26"/>
  <c r="N408" i="26"/>
  <c r="M408" i="26"/>
  <c r="L408" i="26"/>
  <c r="V407" i="26"/>
  <c r="U407" i="26"/>
  <c r="T407" i="26"/>
  <c r="O407" i="26"/>
  <c r="N407" i="26"/>
  <c r="M407" i="26"/>
  <c r="L407" i="26"/>
  <c r="V406" i="26"/>
  <c r="U406" i="26"/>
  <c r="T406" i="26"/>
  <c r="O406" i="26"/>
  <c r="N406" i="26"/>
  <c r="M406" i="26"/>
  <c r="L406" i="26"/>
  <c r="V405" i="26"/>
  <c r="U405" i="26"/>
  <c r="T405" i="26"/>
  <c r="O405" i="26"/>
  <c r="N405" i="26"/>
  <c r="M405" i="26"/>
  <c r="L405" i="26"/>
  <c r="X80" i="26"/>
  <c r="V80" i="26"/>
  <c r="U80" i="26"/>
  <c r="T80" i="26"/>
  <c r="O80" i="26"/>
  <c r="N80" i="26"/>
  <c r="M80" i="26"/>
  <c r="L80" i="26"/>
  <c r="X79" i="26"/>
  <c r="V79" i="26"/>
  <c r="U79" i="26"/>
  <c r="T79" i="26"/>
  <c r="O79" i="26"/>
  <c r="N79" i="26"/>
  <c r="M79" i="26"/>
  <c r="L79" i="26"/>
  <c r="X78" i="26"/>
  <c r="V78" i="26"/>
  <c r="U78" i="26"/>
  <c r="T78" i="26"/>
  <c r="O78" i="26"/>
  <c r="N78" i="26"/>
  <c r="M78" i="26"/>
  <c r="L78" i="26"/>
  <c r="N81" i="26"/>
  <c r="N82" i="26"/>
  <c r="N83" i="26"/>
  <c r="N84" i="26"/>
  <c r="N85" i="26"/>
  <c r="N86" i="26"/>
  <c r="N87" i="26"/>
  <c r="N88" i="26"/>
  <c r="N89" i="26"/>
  <c r="N90" i="26"/>
  <c r="N91" i="26"/>
  <c r="N92" i="26"/>
  <c r="N93" i="26"/>
  <c r="N94" i="26"/>
  <c r="N95" i="26"/>
  <c r="N96" i="26"/>
  <c r="N97" i="26"/>
  <c r="N98" i="26"/>
  <c r="N99" i="26"/>
  <c r="N100" i="26"/>
  <c r="N101" i="26"/>
  <c r="N102" i="26"/>
  <c r="N103" i="26"/>
  <c r="N104" i="26"/>
  <c r="N105" i="26"/>
  <c r="N106" i="26"/>
  <c r="N107" i="26"/>
  <c r="N108" i="26"/>
  <c r="N109" i="26"/>
  <c r="N110" i="26"/>
  <c r="N111" i="26"/>
  <c r="N112" i="26"/>
  <c r="N113" i="26"/>
  <c r="N114" i="26"/>
  <c r="N115" i="26"/>
  <c r="N116" i="26"/>
  <c r="N117" i="26"/>
  <c r="N118" i="26"/>
  <c r="N119" i="26"/>
  <c r="N120" i="26"/>
  <c r="N121" i="26"/>
  <c r="N122" i="26"/>
  <c r="N123" i="26"/>
  <c r="N124" i="26"/>
  <c r="N125" i="26"/>
  <c r="N126" i="26"/>
  <c r="N127" i="26"/>
  <c r="N128" i="26"/>
  <c r="N129" i="26"/>
  <c r="N130" i="26"/>
  <c r="N131" i="26"/>
  <c r="N132" i="26"/>
  <c r="N133" i="26"/>
  <c r="N134" i="26"/>
  <c r="N135" i="26"/>
  <c r="N136" i="26"/>
  <c r="N137" i="26"/>
  <c r="N138" i="26"/>
  <c r="N139" i="26"/>
  <c r="N140" i="26"/>
  <c r="N141" i="26"/>
  <c r="N142" i="26"/>
  <c r="N143" i="26"/>
  <c r="N144" i="26"/>
  <c r="N145" i="26"/>
  <c r="N146" i="26"/>
  <c r="N147" i="26"/>
  <c r="N148" i="26"/>
  <c r="N149" i="26"/>
  <c r="N150" i="26"/>
  <c r="N151" i="26"/>
  <c r="N152" i="26"/>
  <c r="N153" i="26"/>
  <c r="N154" i="26"/>
  <c r="N155" i="26"/>
  <c r="N156" i="26"/>
  <c r="N157" i="26"/>
  <c r="N158" i="26"/>
  <c r="N159" i="26"/>
  <c r="N160" i="26"/>
  <c r="N161" i="26"/>
  <c r="N162" i="26"/>
  <c r="N163" i="26"/>
  <c r="N164" i="26"/>
  <c r="N165" i="26"/>
  <c r="N166" i="26"/>
  <c r="N167" i="26"/>
  <c r="N168" i="26"/>
  <c r="N169" i="26"/>
  <c r="N170" i="26"/>
  <c r="N171" i="26"/>
  <c r="N172" i="26"/>
  <c r="N173" i="26"/>
  <c r="N174" i="26"/>
  <c r="N175" i="26"/>
  <c r="N176" i="26"/>
  <c r="N177" i="26"/>
  <c r="N178" i="26"/>
  <c r="N179" i="26"/>
  <c r="N180" i="26"/>
  <c r="N181" i="26"/>
  <c r="N182" i="26"/>
  <c r="N183" i="26"/>
  <c r="N184" i="26"/>
  <c r="N185" i="26"/>
  <c r="N186" i="26"/>
  <c r="N187" i="26"/>
  <c r="N188" i="26"/>
  <c r="N189" i="26"/>
  <c r="N190" i="26"/>
  <c r="N191" i="26"/>
  <c r="N192" i="26"/>
  <c r="N193" i="26"/>
  <c r="N194" i="26"/>
  <c r="N195" i="26"/>
  <c r="N196" i="26"/>
  <c r="N197" i="26"/>
  <c r="N198" i="26"/>
  <c r="N199" i="26"/>
  <c r="N200" i="26"/>
  <c r="N201" i="26"/>
  <c r="N202" i="26"/>
  <c r="N203" i="26"/>
  <c r="N204" i="26"/>
  <c r="N205" i="26"/>
  <c r="N206" i="26"/>
  <c r="N207" i="26"/>
  <c r="N208" i="26"/>
  <c r="N209" i="26"/>
  <c r="N210" i="26"/>
  <c r="N211" i="26"/>
  <c r="N212" i="26"/>
  <c r="N213" i="26"/>
  <c r="N214" i="26"/>
  <c r="N215" i="26"/>
  <c r="N216" i="26"/>
  <c r="N217" i="26"/>
  <c r="N218" i="26"/>
  <c r="N219" i="26"/>
  <c r="N220" i="26"/>
  <c r="N221" i="26"/>
  <c r="N222" i="26"/>
  <c r="N223" i="26"/>
  <c r="N224" i="26"/>
  <c r="N225" i="26"/>
  <c r="N226" i="26"/>
  <c r="N227" i="26"/>
  <c r="N228" i="26"/>
  <c r="N229" i="26"/>
  <c r="N230" i="26"/>
  <c r="N231" i="26"/>
  <c r="N232" i="26"/>
  <c r="N233" i="26"/>
  <c r="N234" i="26"/>
  <c r="N235" i="26"/>
  <c r="N236" i="26"/>
  <c r="N237" i="26"/>
  <c r="N238" i="26"/>
  <c r="N239" i="26"/>
  <c r="N240" i="26"/>
  <c r="N241" i="26"/>
  <c r="N242" i="26"/>
  <c r="N243" i="26"/>
  <c r="N244" i="26"/>
  <c r="N245" i="26"/>
  <c r="N246" i="26"/>
  <c r="N247" i="26"/>
  <c r="N248" i="26"/>
  <c r="N249" i="26"/>
  <c r="N250" i="26"/>
  <c r="N251" i="26"/>
  <c r="N252" i="26"/>
  <c r="N253" i="26"/>
  <c r="N254" i="26"/>
  <c r="N255" i="26"/>
  <c r="N256" i="26"/>
  <c r="N257" i="26"/>
  <c r="N258" i="26"/>
  <c r="N259" i="26"/>
  <c r="N260" i="26"/>
  <c r="N261" i="26"/>
  <c r="N262" i="26"/>
  <c r="N263" i="26"/>
  <c r="N264" i="26"/>
  <c r="N265" i="26"/>
  <c r="N266" i="26"/>
  <c r="N267" i="26"/>
  <c r="N268" i="26"/>
  <c r="N269" i="26"/>
  <c r="N270" i="26"/>
  <c r="N271" i="26"/>
  <c r="N272" i="26"/>
  <c r="N273" i="26"/>
  <c r="N274" i="26"/>
  <c r="N275" i="26"/>
  <c r="N276" i="26"/>
  <c r="N277" i="26"/>
  <c r="N278" i="26"/>
  <c r="N279" i="26"/>
  <c r="N280" i="26"/>
  <c r="N281" i="26"/>
  <c r="N282" i="26"/>
  <c r="N283" i="26"/>
  <c r="N284" i="26"/>
  <c r="N285" i="26"/>
  <c r="N286" i="26"/>
  <c r="N287" i="26"/>
  <c r="N288" i="26"/>
  <c r="N289" i="26"/>
  <c r="N290" i="26"/>
  <c r="N291" i="26"/>
  <c r="N292" i="26"/>
  <c r="N293" i="26"/>
  <c r="N294" i="26"/>
  <c r="N295" i="26"/>
  <c r="N296" i="26"/>
  <c r="N297" i="26"/>
  <c r="N298" i="26"/>
  <c r="N299" i="26"/>
  <c r="N300" i="26"/>
  <c r="N301" i="26"/>
  <c r="N302" i="26"/>
  <c r="N303" i="26"/>
  <c r="N304" i="26"/>
  <c r="N305" i="26"/>
  <c r="N306" i="26"/>
  <c r="N307" i="26"/>
  <c r="N308" i="26"/>
  <c r="N309" i="26"/>
  <c r="N310" i="26"/>
  <c r="N311" i="26"/>
  <c r="N312" i="26"/>
  <c r="N313" i="26"/>
  <c r="N314" i="26"/>
  <c r="N315" i="26"/>
  <c r="N316" i="26"/>
  <c r="N317" i="26"/>
  <c r="N318" i="26"/>
  <c r="N319" i="26"/>
  <c r="N320" i="26"/>
  <c r="N321" i="26"/>
  <c r="N322" i="26"/>
  <c r="N323" i="26"/>
  <c r="N324" i="26"/>
  <c r="N325" i="26"/>
  <c r="N326" i="26"/>
  <c r="N327" i="26"/>
  <c r="N328" i="26"/>
  <c r="N329" i="26"/>
  <c r="N330" i="26"/>
  <c r="N331" i="26"/>
  <c r="N332" i="26"/>
  <c r="N333" i="26"/>
  <c r="N334" i="26"/>
  <c r="N335" i="26"/>
  <c r="N336" i="26"/>
  <c r="N337" i="26"/>
  <c r="N338" i="26"/>
  <c r="N339" i="26"/>
  <c r="N340" i="26"/>
  <c r="N341" i="26"/>
  <c r="N342" i="26"/>
  <c r="N343" i="26"/>
  <c r="N344" i="26"/>
  <c r="N345" i="26"/>
  <c r="N346" i="26"/>
  <c r="N347" i="26"/>
  <c r="N348" i="26"/>
  <c r="N349" i="26"/>
  <c r="N350" i="26"/>
  <c r="N351" i="26"/>
  <c r="N352" i="26"/>
  <c r="N353" i="26"/>
  <c r="N354" i="26"/>
  <c r="N355" i="26"/>
  <c r="N356" i="26"/>
  <c r="N357" i="26"/>
  <c r="N358" i="26"/>
  <c r="N359" i="26"/>
  <c r="N360" i="26"/>
  <c r="N361" i="26"/>
  <c r="N362" i="26"/>
  <c r="N363" i="26"/>
  <c r="N364" i="26"/>
  <c r="N365" i="26"/>
  <c r="N366" i="26"/>
  <c r="N367" i="26"/>
  <c r="N368" i="26"/>
  <c r="N369" i="26"/>
  <c r="N370" i="26"/>
  <c r="N371" i="26"/>
  <c r="N372" i="26"/>
  <c r="N373" i="26"/>
  <c r="N374" i="26"/>
  <c r="N375" i="26"/>
  <c r="N376" i="26"/>
  <c r="N377" i="26"/>
  <c r="N378" i="26"/>
  <c r="N379" i="26"/>
  <c r="N380" i="26"/>
  <c r="N381" i="26"/>
  <c r="N382" i="26"/>
  <c r="N383" i="26"/>
  <c r="N384" i="26"/>
  <c r="N385" i="26"/>
  <c r="N386" i="26"/>
  <c r="N387" i="26"/>
  <c r="N388" i="26"/>
  <c r="N389" i="26"/>
  <c r="N390" i="26"/>
  <c r="N391" i="26"/>
  <c r="N392" i="26"/>
  <c r="N393" i="26"/>
  <c r="N394" i="26"/>
  <c r="N395" i="26"/>
  <c r="N396" i="26"/>
  <c r="N397" i="26"/>
  <c r="N398" i="26"/>
  <c r="N399" i="26"/>
  <c r="N400" i="26"/>
  <c r="N401" i="26"/>
  <c r="N402" i="26"/>
  <c r="N403" i="26"/>
  <c r="N404" i="26"/>
  <c r="M81" i="26"/>
  <c r="M82" i="26"/>
  <c r="M83" i="26"/>
  <c r="M84" i="26"/>
  <c r="M85" i="26"/>
  <c r="M86" i="26"/>
  <c r="M87" i="26"/>
  <c r="M88" i="26"/>
  <c r="M89" i="26"/>
  <c r="M90" i="26"/>
  <c r="M91" i="26"/>
  <c r="M92" i="26"/>
  <c r="M93" i="26"/>
  <c r="M94" i="26"/>
  <c r="M95" i="26"/>
  <c r="M96" i="26"/>
  <c r="M97" i="26"/>
  <c r="M98" i="26"/>
  <c r="M99" i="26"/>
  <c r="M100" i="26"/>
  <c r="M101" i="26"/>
  <c r="M102" i="26"/>
  <c r="M103" i="26"/>
  <c r="M104" i="26"/>
  <c r="M105" i="26"/>
  <c r="M106" i="26"/>
  <c r="M107" i="26"/>
  <c r="M108" i="26"/>
  <c r="M109" i="26"/>
  <c r="M110" i="26"/>
  <c r="M111" i="26"/>
  <c r="M112" i="26"/>
  <c r="M113" i="26"/>
  <c r="M114" i="26"/>
  <c r="M115" i="26"/>
  <c r="M116" i="26"/>
  <c r="M117" i="26"/>
  <c r="M118" i="26"/>
  <c r="M119" i="26"/>
  <c r="M120" i="26"/>
  <c r="M121" i="26"/>
  <c r="M122" i="26"/>
  <c r="M123" i="26"/>
  <c r="M124" i="26"/>
  <c r="M125" i="26"/>
  <c r="M126" i="26"/>
  <c r="M127" i="26"/>
  <c r="M128" i="26"/>
  <c r="M129" i="26"/>
  <c r="M130" i="26"/>
  <c r="M131" i="26"/>
  <c r="M132" i="26"/>
  <c r="M133" i="26"/>
  <c r="M134" i="26"/>
  <c r="M135" i="26"/>
  <c r="M136" i="26"/>
  <c r="M137" i="26"/>
  <c r="M138" i="26"/>
  <c r="M139" i="26"/>
  <c r="M140" i="26"/>
  <c r="M141" i="26"/>
  <c r="M142" i="26"/>
  <c r="M143" i="26"/>
  <c r="M144" i="26"/>
  <c r="M145" i="26"/>
  <c r="M146" i="26"/>
  <c r="M147" i="26"/>
  <c r="M148" i="26"/>
  <c r="M149" i="26"/>
  <c r="M150" i="26"/>
  <c r="M151" i="26"/>
  <c r="M152" i="26"/>
  <c r="M153" i="26"/>
  <c r="M154" i="26"/>
  <c r="M155" i="26"/>
  <c r="M156" i="26"/>
  <c r="M157" i="26"/>
  <c r="M158" i="26"/>
  <c r="M159" i="26"/>
  <c r="M160" i="26"/>
  <c r="M161" i="26"/>
  <c r="M162" i="26"/>
  <c r="M163" i="26"/>
  <c r="M164" i="26"/>
  <c r="M165" i="26"/>
  <c r="M166" i="26"/>
  <c r="M167" i="26"/>
  <c r="M168" i="26"/>
  <c r="M169" i="26"/>
  <c r="M170" i="26"/>
  <c r="M171" i="26"/>
  <c r="M172" i="26"/>
  <c r="M173" i="26"/>
  <c r="M174" i="26"/>
  <c r="M175" i="26"/>
  <c r="M176" i="26"/>
  <c r="M177" i="26"/>
  <c r="M178" i="26"/>
  <c r="M179" i="26"/>
  <c r="M180" i="26"/>
  <c r="M181" i="26"/>
  <c r="M182" i="26"/>
  <c r="M183" i="26"/>
  <c r="M184" i="26"/>
  <c r="M185" i="26"/>
  <c r="M186" i="26"/>
  <c r="M187" i="26"/>
  <c r="M188" i="26"/>
  <c r="M189" i="26"/>
  <c r="M190" i="26"/>
  <c r="M191" i="26"/>
  <c r="M192" i="26"/>
  <c r="M193" i="26"/>
  <c r="M194" i="26"/>
  <c r="M195" i="26"/>
  <c r="M196" i="26"/>
  <c r="M197" i="26"/>
  <c r="M198" i="26"/>
  <c r="M199" i="26"/>
  <c r="M200" i="26"/>
  <c r="M201" i="26"/>
  <c r="M202" i="26"/>
  <c r="M203" i="26"/>
  <c r="M204" i="26"/>
  <c r="M205" i="26"/>
  <c r="M206" i="26"/>
  <c r="M207" i="26"/>
  <c r="M208" i="26"/>
  <c r="M209" i="26"/>
  <c r="M210" i="26"/>
  <c r="M211" i="26"/>
  <c r="M212" i="26"/>
  <c r="M213" i="26"/>
  <c r="M214" i="26"/>
  <c r="M215" i="26"/>
  <c r="M216" i="26"/>
  <c r="M217" i="26"/>
  <c r="M218" i="26"/>
  <c r="M219" i="26"/>
  <c r="M220" i="26"/>
  <c r="M221" i="26"/>
  <c r="M222" i="26"/>
  <c r="M223" i="26"/>
  <c r="M224" i="26"/>
  <c r="M225" i="26"/>
  <c r="M226" i="26"/>
  <c r="M227" i="26"/>
  <c r="M228" i="26"/>
  <c r="M229" i="26"/>
  <c r="M230" i="26"/>
  <c r="M231" i="26"/>
  <c r="M232" i="26"/>
  <c r="M233" i="26"/>
  <c r="M234" i="26"/>
  <c r="M235" i="26"/>
  <c r="M236" i="26"/>
  <c r="M237" i="26"/>
  <c r="M238" i="26"/>
  <c r="M239" i="26"/>
  <c r="M240" i="26"/>
  <c r="M241" i="26"/>
  <c r="M242" i="26"/>
  <c r="M243" i="26"/>
  <c r="M244" i="26"/>
  <c r="M245" i="26"/>
  <c r="M246" i="26"/>
  <c r="M247" i="26"/>
  <c r="M248" i="26"/>
  <c r="M249" i="26"/>
  <c r="M250" i="26"/>
  <c r="M251" i="26"/>
  <c r="M252" i="26"/>
  <c r="M253" i="26"/>
  <c r="M254" i="26"/>
  <c r="M255" i="26"/>
  <c r="M256" i="26"/>
  <c r="M257" i="26"/>
  <c r="M258" i="26"/>
  <c r="M259" i="26"/>
  <c r="M260" i="26"/>
  <c r="M261" i="26"/>
  <c r="M262" i="26"/>
  <c r="M263" i="26"/>
  <c r="M264" i="26"/>
  <c r="M265" i="26"/>
  <c r="M266" i="26"/>
  <c r="M267" i="26"/>
  <c r="M268" i="26"/>
  <c r="M269" i="26"/>
  <c r="M270" i="26"/>
  <c r="M271" i="26"/>
  <c r="M272" i="26"/>
  <c r="M273" i="26"/>
  <c r="M274" i="26"/>
  <c r="M275" i="26"/>
  <c r="M276" i="26"/>
  <c r="M277" i="26"/>
  <c r="M278" i="26"/>
  <c r="M279" i="26"/>
  <c r="M280" i="26"/>
  <c r="M281" i="26"/>
  <c r="M282" i="26"/>
  <c r="M283" i="26"/>
  <c r="M284" i="26"/>
  <c r="M285" i="26"/>
  <c r="M286" i="26"/>
  <c r="M287" i="26"/>
  <c r="M288" i="26"/>
  <c r="M289" i="26"/>
  <c r="M290" i="26"/>
  <c r="M291" i="26"/>
  <c r="M292" i="26"/>
  <c r="M293" i="26"/>
  <c r="M294" i="26"/>
  <c r="M295" i="26"/>
  <c r="M296" i="26"/>
  <c r="M297" i="26"/>
  <c r="M298" i="26"/>
  <c r="M299" i="26"/>
  <c r="M300" i="26"/>
  <c r="M301" i="26"/>
  <c r="M302" i="26"/>
  <c r="M303" i="26"/>
  <c r="M304" i="26"/>
  <c r="M305" i="26"/>
  <c r="M306" i="26"/>
  <c r="M307" i="26"/>
  <c r="M308" i="26"/>
  <c r="M309" i="26"/>
  <c r="M310" i="26"/>
  <c r="M311" i="26"/>
  <c r="M312" i="26"/>
  <c r="M313" i="26"/>
  <c r="M314" i="26"/>
  <c r="M315" i="26"/>
  <c r="M316" i="26"/>
  <c r="M317" i="26"/>
  <c r="M318" i="26"/>
  <c r="M319" i="26"/>
  <c r="M320" i="26"/>
  <c r="M321" i="26"/>
  <c r="M322" i="26"/>
  <c r="M323" i="26"/>
  <c r="M324" i="26"/>
  <c r="M325" i="26"/>
  <c r="M326" i="26"/>
  <c r="M327" i="26"/>
  <c r="M328" i="26"/>
  <c r="M329" i="26"/>
  <c r="M330" i="26"/>
  <c r="M331" i="26"/>
  <c r="M332" i="26"/>
  <c r="M333" i="26"/>
  <c r="M334" i="26"/>
  <c r="M335" i="26"/>
  <c r="M336" i="26"/>
  <c r="M337" i="26"/>
  <c r="M338" i="26"/>
  <c r="M339" i="26"/>
  <c r="M340" i="26"/>
  <c r="M341" i="26"/>
  <c r="M342" i="26"/>
  <c r="M343" i="26"/>
  <c r="M344" i="26"/>
  <c r="M345" i="26"/>
  <c r="M346" i="26"/>
  <c r="M347" i="26"/>
  <c r="M348" i="26"/>
  <c r="M349" i="26"/>
  <c r="M350" i="26"/>
  <c r="M351" i="26"/>
  <c r="M352" i="26"/>
  <c r="M353" i="26"/>
  <c r="M354" i="26"/>
  <c r="M355" i="26"/>
  <c r="M356" i="26"/>
  <c r="M357" i="26"/>
  <c r="M358" i="26"/>
  <c r="M359" i="26"/>
  <c r="M360" i="26"/>
  <c r="M361" i="26"/>
  <c r="M362" i="26"/>
  <c r="M363" i="26"/>
  <c r="M364" i="26"/>
  <c r="M365" i="26"/>
  <c r="M366" i="26"/>
  <c r="M367" i="26"/>
  <c r="M368" i="26"/>
  <c r="M369" i="26"/>
  <c r="M370" i="26"/>
  <c r="M371" i="26"/>
  <c r="M372" i="26"/>
  <c r="M373" i="26"/>
  <c r="M374" i="26"/>
  <c r="M375" i="26"/>
  <c r="M376" i="26"/>
  <c r="M377" i="26"/>
  <c r="M378" i="26"/>
  <c r="M379" i="26"/>
  <c r="M380" i="26"/>
  <c r="M381" i="26"/>
  <c r="M382" i="26"/>
  <c r="M383" i="26"/>
  <c r="M384" i="26"/>
  <c r="M385" i="26"/>
  <c r="M386" i="26"/>
  <c r="M387" i="26"/>
  <c r="M388" i="26"/>
  <c r="M389" i="26"/>
  <c r="M390" i="26"/>
  <c r="M391" i="26"/>
  <c r="M392" i="26"/>
  <c r="M393" i="26"/>
  <c r="M394" i="26"/>
  <c r="M395" i="26"/>
  <c r="M396" i="26"/>
  <c r="M397" i="26"/>
  <c r="M398" i="26"/>
  <c r="M399" i="26"/>
  <c r="M400" i="26"/>
  <c r="M401" i="26"/>
  <c r="M402" i="26"/>
  <c r="M403" i="26"/>
  <c r="M404" i="26"/>
  <c r="L81" i="26"/>
  <c r="L82" i="26"/>
  <c r="L83" i="26"/>
  <c r="L84" i="26"/>
  <c r="L85" i="26"/>
  <c r="L86" i="26"/>
  <c r="L87" i="26"/>
  <c r="L88" i="26"/>
  <c r="L89" i="26"/>
  <c r="L90" i="26"/>
  <c r="L91" i="26"/>
  <c r="L92" i="26"/>
  <c r="L93" i="26"/>
  <c r="L94" i="26"/>
  <c r="L95" i="26"/>
  <c r="L96" i="26"/>
  <c r="L97" i="26"/>
  <c r="L98" i="26"/>
  <c r="L99" i="26"/>
  <c r="L100" i="26"/>
  <c r="L101" i="26"/>
  <c r="L102" i="26"/>
  <c r="L103" i="26"/>
  <c r="L104" i="26"/>
  <c r="L105" i="26"/>
  <c r="L106" i="26"/>
  <c r="L107" i="26"/>
  <c r="L108" i="26"/>
  <c r="L109" i="26"/>
  <c r="L110" i="26"/>
  <c r="L111" i="26"/>
  <c r="L112" i="26"/>
  <c r="L113" i="26"/>
  <c r="L114" i="26"/>
  <c r="L115" i="26"/>
  <c r="L116" i="26"/>
  <c r="L117" i="26"/>
  <c r="L118" i="26"/>
  <c r="L119" i="26"/>
  <c r="L120" i="26"/>
  <c r="L121" i="26"/>
  <c r="L122" i="26"/>
  <c r="L123" i="26"/>
  <c r="L124" i="26"/>
  <c r="L125" i="26"/>
  <c r="L126" i="26"/>
  <c r="L127" i="26"/>
  <c r="L128" i="26"/>
  <c r="L129" i="26"/>
  <c r="L130" i="26"/>
  <c r="L131" i="26"/>
  <c r="L132" i="26"/>
  <c r="L133" i="26"/>
  <c r="L134" i="26"/>
  <c r="L135" i="26"/>
  <c r="L136" i="26"/>
  <c r="L137" i="26"/>
  <c r="L138" i="26"/>
  <c r="L139" i="26"/>
  <c r="L140" i="26"/>
  <c r="L141" i="26"/>
  <c r="L142" i="26"/>
  <c r="L143" i="26"/>
  <c r="L144" i="26"/>
  <c r="L145" i="26"/>
  <c r="L146" i="26"/>
  <c r="L147" i="26"/>
  <c r="L148" i="26"/>
  <c r="L149" i="26"/>
  <c r="L150" i="26"/>
  <c r="L151" i="26"/>
  <c r="L152" i="26"/>
  <c r="L153" i="26"/>
  <c r="L154" i="26"/>
  <c r="L155" i="26"/>
  <c r="L156" i="26"/>
  <c r="L157" i="26"/>
  <c r="L158" i="26"/>
  <c r="L159" i="26"/>
  <c r="L160" i="26"/>
  <c r="L161" i="26"/>
  <c r="L162" i="26"/>
  <c r="L163" i="26"/>
  <c r="L164" i="26"/>
  <c r="L165" i="26"/>
  <c r="L166" i="26"/>
  <c r="L167" i="26"/>
  <c r="L168" i="26"/>
  <c r="L169" i="26"/>
  <c r="L170" i="26"/>
  <c r="L171" i="26"/>
  <c r="L172" i="26"/>
  <c r="L173" i="26"/>
  <c r="L174" i="26"/>
  <c r="L175" i="26"/>
  <c r="L176" i="26"/>
  <c r="L177" i="26"/>
  <c r="L178" i="26"/>
  <c r="L179" i="26"/>
  <c r="L180" i="26"/>
  <c r="L181" i="26"/>
  <c r="L182" i="26"/>
  <c r="L183" i="26"/>
  <c r="L184" i="26"/>
  <c r="L185" i="26"/>
  <c r="L186" i="26"/>
  <c r="L187" i="26"/>
  <c r="L188" i="26"/>
  <c r="L189" i="26"/>
  <c r="L190" i="26"/>
  <c r="L191" i="26"/>
  <c r="L192" i="26"/>
  <c r="L193" i="26"/>
  <c r="L194" i="26"/>
  <c r="L195" i="26"/>
  <c r="L196" i="26"/>
  <c r="L197" i="26"/>
  <c r="L198" i="26"/>
  <c r="L199" i="26"/>
  <c r="L200" i="26"/>
  <c r="L201" i="26"/>
  <c r="L202" i="26"/>
  <c r="L203" i="26"/>
  <c r="L204" i="26"/>
  <c r="L205" i="26"/>
  <c r="L206" i="26"/>
  <c r="L207" i="26"/>
  <c r="L208" i="26"/>
  <c r="L209" i="26"/>
  <c r="L210" i="26"/>
  <c r="L211" i="26"/>
  <c r="L212" i="26"/>
  <c r="L213" i="26"/>
  <c r="L214" i="26"/>
  <c r="L215" i="26"/>
  <c r="L216" i="26"/>
  <c r="L217" i="26"/>
  <c r="L218" i="26"/>
  <c r="L219" i="26"/>
  <c r="L220" i="26"/>
  <c r="L221" i="26"/>
  <c r="L222" i="26"/>
  <c r="L223" i="26"/>
  <c r="L224" i="26"/>
  <c r="L225" i="26"/>
  <c r="L226" i="26"/>
  <c r="L227" i="26"/>
  <c r="L228" i="26"/>
  <c r="L229" i="26"/>
  <c r="L230" i="26"/>
  <c r="L231" i="26"/>
  <c r="L232" i="26"/>
  <c r="L233" i="26"/>
  <c r="L234" i="26"/>
  <c r="L235" i="26"/>
  <c r="L236" i="26"/>
  <c r="L237" i="26"/>
  <c r="L238" i="26"/>
  <c r="L239" i="26"/>
  <c r="L240" i="26"/>
  <c r="L241" i="26"/>
  <c r="L242" i="26"/>
  <c r="L243" i="26"/>
  <c r="L244" i="26"/>
  <c r="L245" i="26"/>
  <c r="L246" i="26"/>
  <c r="L247" i="26"/>
  <c r="L248" i="26"/>
  <c r="L249" i="26"/>
  <c r="L250" i="26"/>
  <c r="L251" i="26"/>
  <c r="L252" i="26"/>
  <c r="L253" i="26"/>
  <c r="L254" i="26"/>
  <c r="L255" i="26"/>
  <c r="L256" i="26"/>
  <c r="L257" i="26"/>
  <c r="L258" i="26"/>
  <c r="L259" i="26"/>
  <c r="L260" i="26"/>
  <c r="L261" i="26"/>
  <c r="L262" i="26"/>
  <c r="L263" i="26"/>
  <c r="L264" i="26"/>
  <c r="L265" i="26"/>
  <c r="L266" i="26"/>
  <c r="L267" i="26"/>
  <c r="L268" i="26"/>
  <c r="L269" i="26"/>
  <c r="L270" i="26"/>
  <c r="L271" i="26"/>
  <c r="L272" i="26"/>
  <c r="L273" i="26"/>
  <c r="L274" i="26"/>
  <c r="L275" i="26"/>
  <c r="L276" i="26"/>
  <c r="L277" i="26"/>
  <c r="L278" i="26"/>
  <c r="L279" i="26"/>
  <c r="L280" i="26"/>
  <c r="L281" i="26"/>
  <c r="L282" i="26"/>
  <c r="L283" i="26"/>
  <c r="L284" i="26"/>
  <c r="L285" i="26"/>
  <c r="L286" i="26"/>
  <c r="L287" i="26"/>
  <c r="L288" i="26"/>
  <c r="L289" i="26"/>
  <c r="L290" i="26"/>
  <c r="L291" i="26"/>
  <c r="L292" i="26"/>
  <c r="L293" i="26"/>
  <c r="L294" i="26"/>
  <c r="L295" i="26"/>
  <c r="L296" i="26"/>
  <c r="L297" i="26"/>
  <c r="L298" i="26"/>
  <c r="L299" i="26"/>
  <c r="L300" i="26"/>
  <c r="L301" i="26"/>
  <c r="L302" i="26"/>
  <c r="L303" i="26"/>
  <c r="L304" i="26"/>
  <c r="L305" i="26"/>
  <c r="L306" i="26"/>
  <c r="L307" i="26"/>
  <c r="L308" i="26"/>
  <c r="L309" i="26"/>
  <c r="L310" i="26"/>
  <c r="L311" i="26"/>
  <c r="L312" i="26"/>
  <c r="L313" i="26"/>
  <c r="L314" i="26"/>
  <c r="L315" i="26"/>
  <c r="L316" i="26"/>
  <c r="L317" i="26"/>
  <c r="L318" i="26"/>
  <c r="L319" i="26"/>
  <c r="L320" i="26"/>
  <c r="L321" i="26"/>
  <c r="L322" i="26"/>
  <c r="L323" i="26"/>
  <c r="L324" i="26"/>
  <c r="L325" i="26"/>
  <c r="L326" i="26"/>
  <c r="L327" i="26"/>
  <c r="L328" i="26"/>
  <c r="L329" i="26"/>
  <c r="L330" i="26"/>
  <c r="L331" i="26"/>
  <c r="L332" i="26"/>
  <c r="L333" i="26"/>
  <c r="L334" i="26"/>
  <c r="L335" i="26"/>
  <c r="L336" i="26"/>
  <c r="L337" i="26"/>
  <c r="L338" i="26"/>
  <c r="L339" i="26"/>
  <c r="L340" i="26"/>
  <c r="L341" i="26"/>
  <c r="L342" i="26"/>
  <c r="L343" i="26"/>
  <c r="L344" i="26"/>
  <c r="L345" i="26"/>
  <c r="L346" i="26"/>
  <c r="L347" i="26"/>
  <c r="L348" i="26"/>
  <c r="L349" i="26"/>
  <c r="L350" i="26"/>
  <c r="L351" i="26"/>
  <c r="L352" i="26"/>
  <c r="L353" i="26"/>
  <c r="L354" i="26"/>
  <c r="L355" i="26"/>
  <c r="L356" i="26"/>
  <c r="L357" i="26"/>
  <c r="L358" i="26"/>
  <c r="L359" i="26"/>
  <c r="L360" i="26"/>
  <c r="L361" i="26"/>
  <c r="L362" i="26"/>
  <c r="L363" i="26"/>
  <c r="L364" i="26"/>
  <c r="L365" i="26"/>
  <c r="L366" i="26"/>
  <c r="L367" i="26"/>
  <c r="L368" i="26"/>
  <c r="L369" i="26"/>
  <c r="L370" i="26"/>
  <c r="L371" i="26"/>
  <c r="L372" i="26"/>
  <c r="L373" i="26"/>
  <c r="L374" i="26"/>
  <c r="L375" i="26"/>
  <c r="L376" i="26"/>
  <c r="L377" i="26"/>
  <c r="L378" i="26"/>
  <c r="L379" i="26"/>
  <c r="L380" i="26"/>
  <c r="L381" i="26"/>
  <c r="L382" i="26"/>
  <c r="L383" i="26"/>
  <c r="L384" i="26"/>
  <c r="L385" i="26"/>
  <c r="L386" i="26"/>
  <c r="L387" i="26"/>
  <c r="L388" i="26"/>
  <c r="L389" i="26"/>
  <c r="L390" i="26"/>
  <c r="L391" i="26"/>
  <c r="L392" i="26"/>
  <c r="L393" i="26"/>
  <c r="L394" i="26"/>
  <c r="L395" i="26"/>
  <c r="L396" i="26"/>
  <c r="L397" i="26"/>
  <c r="L398" i="26"/>
  <c r="L399" i="26"/>
  <c r="L400" i="26"/>
  <c r="L401" i="26"/>
  <c r="L402" i="26"/>
  <c r="L403" i="26"/>
  <c r="L404" i="26"/>
  <c r="O81" i="26"/>
  <c r="O82" i="26"/>
  <c r="O83" i="26"/>
  <c r="O84" i="26"/>
  <c r="O85" i="26"/>
  <c r="O86" i="26"/>
  <c r="O87" i="26"/>
  <c r="O88" i="26"/>
  <c r="O89" i="26"/>
  <c r="O90" i="26"/>
  <c r="O91" i="26"/>
  <c r="O92" i="26"/>
  <c r="O93" i="26"/>
  <c r="O94" i="26"/>
  <c r="O95" i="26"/>
  <c r="O96" i="26"/>
  <c r="O97" i="26"/>
  <c r="O98" i="26"/>
  <c r="O99" i="26"/>
  <c r="O100" i="26"/>
  <c r="O101" i="26"/>
  <c r="O102" i="26"/>
  <c r="O103" i="26"/>
  <c r="O104" i="26"/>
  <c r="O105" i="26"/>
  <c r="O106" i="26"/>
  <c r="O107" i="26"/>
  <c r="O108" i="26"/>
  <c r="O109" i="26"/>
  <c r="O110" i="26"/>
  <c r="O111" i="26"/>
  <c r="O112" i="26"/>
  <c r="O113" i="26"/>
  <c r="O114" i="26"/>
  <c r="O115" i="26"/>
  <c r="O116" i="26"/>
  <c r="O117" i="26"/>
  <c r="O118" i="26"/>
  <c r="O119" i="26"/>
  <c r="O120" i="26"/>
  <c r="O121" i="26"/>
  <c r="O122" i="26"/>
  <c r="O123" i="26"/>
  <c r="O124" i="26"/>
  <c r="O125" i="26"/>
  <c r="O126" i="26"/>
  <c r="O127" i="26"/>
  <c r="O128" i="26"/>
  <c r="O129" i="26"/>
  <c r="O130" i="26"/>
  <c r="O131" i="26"/>
  <c r="O132" i="26"/>
  <c r="O133" i="26"/>
  <c r="O134" i="26"/>
  <c r="O135" i="26"/>
  <c r="O136" i="26"/>
  <c r="O137" i="26"/>
  <c r="O138" i="26"/>
  <c r="O139" i="26"/>
  <c r="O140" i="26"/>
  <c r="O141" i="26"/>
  <c r="O142" i="26"/>
  <c r="O143" i="26"/>
  <c r="O144" i="26"/>
  <c r="O145" i="26"/>
  <c r="O146" i="26"/>
  <c r="O147" i="26"/>
  <c r="O148" i="26"/>
  <c r="O149" i="26"/>
  <c r="O150" i="26"/>
  <c r="O151" i="26"/>
  <c r="O152" i="26"/>
  <c r="O153" i="26"/>
  <c r="O154" i="26"/>
  <c r="O155" i="26"/>
  <c r="O156" i="26"/>
  <c r="O157" i="26"/>
  <c r="O158" i="26"/>
  <c r="O159" i="26"/>
  <c r="O160" i="26"/>
  <c r="O161" i="26"/>
  <c r="O162" i="26"/>
  <c r="O163" i="26"/>
  <c r="O164" i="26"/>
  <c r="O165" i="26"/>
  <c r="O166" i="26"/>
  <c r="O167" i="26"/>
  <c r="O168" i="26"/>
  <c r="O169" i="26"/>
  <c r="O170" i="26"/>
  <c r="O171" i="26"/>
  <c r="O172" i="26"/>
  <c r="O173" i="26"/>
  <c r="O174" i="26"/>
  <c r="O175" i="26"/>
  <c r="O176" i="26"/>
  <c r="O177" i="26"/>
  <c r="O178" i="26"/>
  <c r="O179" i="26"/>
  <c r="O180" i="26"/>
  <c r="O181" i="26"/>
  <c r="O182" i="26"/>
  <c r="O183" i="26"/>
  <c r="O184" i="26"/>
  <c r="O185" i="26"/>
  <c r="O186" i="26"/>
  <c r="O187" i="26"/>
  <c r="O188" i="26"/>
  <c r="O189" i="26"/>
  <c r="O190" i="26"/>
  <c r="O191" i="26"/>
  <c r="O192" i="26"/>
  <c r="O193" i="26"/>
  <c r="O194" i="26"/>
  <c r="O195" i="26"/>
  <c r="O196" i="26"/>
  <c r="O197" i="26"/>
  <c r="O198" i="26"/>
  <c r="O199" i="26"/>
  <c r="O200" i="26"/>
  <c r="O201" i="26"/>
  <c r="O202" i="26"/>
  <c r="O203" i="26"/>
  <c r="O204" i="26"/>
  <c r="O205" i="26"/>
  <c r="O206" i="26"/>
  <c r="O207" i="26"/>
  <c r="O208" i="26"/>
  <c r="O209" i="26"/>
  <c r="O210" i="26"/>
  <c r="O211" i="26"/>
  <c r="O212" i="26"/>
  <c r="O213" i="26"/>
  <c r="O214" i="26"/>
  <c r="O215" i="26"/>
  <c r="O216" i="26"/>
  <c r="O217" i="26"/>
  <c r="O218" i="26"/>
  <c r="O219" i="26"/>
  <c r="O220" i="26"/>
  <c r="O221" i="26"/>
  <c r="O222" i="26"/>
  <c r="O223" i="26"/>
  <c r="O224" i="26"/>
  <c r="O225" i="26"/>
  <c r="O226" i="26"/>
  <c r="O227" i="26"/>
  <c r="O228" i="26"/>
  <c r="O229" i="26"/>
  <c r="O230" i="26"/>
  <c r="O231" i="26"/>
  <c r="O232" i="26"/>
  <c r="O233" i="26"/>
  <c r="O234" i="26"/>
  <c r="O235" i="26"/>
  <c r="O236" i="26"/>
  <c r="O237" i="26"/>
  <c r="O238" i="26"/>
  <c r="O239" i="26"/>
  <c r="O240" i="26"/>
  <c r="O241" i="26"/>
  <c r="O242" i="26"/>
  <c r="O243" i="26"/>
  <c r="O244" i="26"/>
  <c r="O245" i="26"/>
  <c r="O246" i="26"/>
  <c r="O247" i="26"/>
  <c r="O248" i="26"/>
  <c r="O249" i="26"/>
  <c r="O250" i="26"/>
  <c r="O251" i="26"/>
  <c r="O252" i="26"/>
  <c r="O253" i="26"/>
  <c r="O254" i="26"/>
  <c r="O255" i="26"/>
  <c r="O256" i="26"/>
  <c r="O257" i="26"/>
  <c r="O258" i="26"/>
  <c r="O259" i="26"/>
  <c r="O260" i="26"/>
  <c r="O261" i="26"/>
  <c r="O262" i="26"/>
  <c r="O263" i="26"/>
  <c r="O264" i="26"/>
  <c r="O265" i="26"/>
  <c r="O266" i="26"/>
  <c r="O267" i="26"/>
  <c r="O268" i="26"/>
  <c r="O269" i="26"/>
  <c r="O270" i="26"/>
  <c r="O271" i="26"/>
  <c r="O272" i="26"/>
  <c r="O273" i="26"/>
  <c r="O274" i="26"/>
  <c r="O275" i="26"/>
  <c r="O276" i="26"/>
  <c r="O277" i="26"/>
  <c r="O278" i="26"/>
  <c r="O279" i="26"/>
  <c r="O280" i="26"/>
  <c r="O281" i="26"/>
  <c r="O282" i="26"/>
  <c r="O283" i="26"/>
  <c r="O284" i="26"/>
  <c r="O285" i="26"/>
  <c r="O286" i="26"/>
  <c r="O287" i="26"/>
  <c r="O288" i="26"/>
  <c r="O289" i="26"/>
  <c r="O290" i="26"/>
  <c r="O291" i="26"/>
  <c r="O292" i="26"/>
  <c r="O293" i="26"/>
  <c r="O294" i="26"/>
  <c r="O295" i="26"/>
  <c r="O296" i="26"/>
  <c r="O297" i="26"/>
  <c r="O298" i="26"/>
  <c r="O299" i="26"/>
  <c r="O300" i="26"/>
  <c r="O301" i="26"/>
  <c r="O302" i="26"/>
  <c r="O303" i="26"/>
  <c r="O304" i="26"/>
  <c r="O305" i="26"/>
  <c r="O306" i="26"/>
  <c r="O307" i="26"/>
  <c r="O308" i="26"/>
  <c r="O309" i="26"/>
  <c r="O310" i="26"/>
  <c r="O311" i="26"/>
  <c r="O312" i="26"/>
  <c r="O313" i="26"/>
  <c r="O314" i="26"/>
  <c r="O315" i="26"/>
  <c r="O316" i="26"/>
  <c r="O317" i="26"/>
  <c r="O318" i="26"/>
  <c r="O319" i="26"/>
  <c r="O320" i="26"/>
  <c r="O321" i="26"/>
  <c r="O322" i="26"/>
  <c r="O323" i="26"/>
  <c r="O324" i="26"/>
  <c r="O325" i="26"/>
  <c r="O326" i="26"/>
  <c r="O327" i="26"/>
  <c r="O328" i="26"/>
  <c r="O329" i="26"/>
  <c r="O330" i="26"/>
  <c r="O331" i="26"/>
  <c r="O332" i="26"/>
  <c r="O333" i="26"/>
  <c r="O334" i="26"/>
  <c r="O335" i="26"/>
  <c r="O336" i="26"/>
  <c r="O337" i="26"/>
  <c r="O338" i="26"/>
  <c r="O339" i="26"/>
  <c r="O340" i="26"/>
  <c r="O341" i="26"/>
  <c r="O342" i="26"/>
  <c r="O343" i="26"/>
  <c r="O344" i="26"/>
  <c r="O345" i="26"/>
  <c r="O346" i="26"/>
  <c r="O347" i="26"/>
  <c r="O348" i="26"/>
  <c r="O349" i="26"/>
  <c r="O350" i="26"/>
  <c r="O351" i="26"/>
  <c r="O352" i="26"/>
  <c r="O353" i="26"/>
  <c r="O354" i="26"/>
  <c r="O355" i="26"/>
  <c r="O356" i="26"/>
  <c r="O357" i="26"/>
  <c r="O358" i="26"/>
  <c r="O359" i="26"/>
  <c r="O360" i="26"/>
  <c r="O361" i="26"/>
  <c r="O362" i="26"/>
  <c r="O363" i="26"/>
  <c r="O364" i="26"/>
  <c r="O365" i="26"/>
  <c r="O366" i="26"/>
  <c r="O367" i="26"/>
  <c r="O368" i="26"/>
  <c r="O369" i="26"/>
  <c r="O370" i="26"/>
  <c r="O371" i="26"/>
  <c r="O372" i="26"/>
  <c r="O373" i="26"/>
  <c r="O374" i="26"/>
  <c r="O375" i="26"/>
  <c r="O376" i="26"/>
  <c r="O377" i="26"/>
  <c r="O378" i="26"/>
  <c r="O379" i="26"/>
  <c r="O380" i="26"/>
  <c r="O381" i="26"/>
  <c r="O382" i="26"/>
  <c r="O383" i="26"/>
  <c r="O384" i="26"/>
  <c r="O385" i="26"/>
  <c r="O386" i="26"/>
  <c r="O387" i="26"/>
  <c r="O388" i="26"/>
  <c r="O389" i="26"/>
  <c r="O390" i="26"/>
  <c r="O391" i="26"/>
  <c r="O392" i="26"/>
  <c r="O393" i="26"/>
  <c r="O394" i="26"/>
  <c r="O395" i="26"/>
  <c r="O396" i="26"/>
  <c r="O397" i="26"/>
  <c r="O398" i="26"/>
  <c r="O399" i="26"/>
  <c r="O400" i="26"/>
  <c r="O401" i="26"/>
  <c r="O402" i="26"/>
  <c r="O403" i="26"/>
  <c r="O404" i="26"/>
  <c r="X81" i="26"/>
  <c r="X82" i="26"/>
  <c r="X83" i="26"/>
  <c r="X84" i="26"/>
  <c r="X85" i="26"/>
  <c r="X86" i="26"/>
  <c r="X87" i="26"/>
  <c r="X88" i="26"/>
  <c r="X89" i="26"/>
  <c r="X90" i="26"/>
  <c r="X91" i="26"/>
  <c r="X92" i="26"/>
  <c r="X93" i="26"/>
  <c r="X94" i="26"/>
  <c r="X95" i="26"/>
  <c r="X96" i="26"/>
  <c r="X97" i="26"/>
  <c r="X98" i="26"/>
  <c r="X99" i="26"/>
  <c r="X100" i="26"/>
  <c r="X101" i="26"/>
  <c r="X102" i="26"/>
  <c r="X103" i="26"/>
  <c r="X104" i="26"/>
  <c r="X105" i="26"/>
  <c r="X106" i="26"/>
  <c r="X107" i="26"/>
  <c r="X108" i="26"/>
  <c r="X109" i="26"/>
  <c r="X110" i="26"/>
  <c r="X111" i="26"/>
  <c r="X112" i="26"/>
  <c r="X113" i="26"/>
  <c r="X114" i="26"/>
  <c r="X115" i="26"/>
  <c r="X116" i="26"/>
  <c r="X117" i="26"/>
  <c r="X118" i="26"/>
  <c r="X119" i="26"/>
  <c r="X120" i="26"/>
  <c r="X121" i="26"/>
  <c r="X122" i="26"/>
  <c r="X123" i="26"/>
  <c r="X124" i="26"/>
  <c r="X125" i="26"/>
  <c r="X126" i="26"/>
  <c r="X127" i="26"/>
  <c r="X128" i="26"/>
  <c r="X129" i="26"/>
  <c r="X130" i="26"/>
  <c r="X131" i="26"/>
  <c r="X132" i="26"/>
  <c r="X133" i="26"/>
  <c r="X134" i="26"/>
  <c r="X135" i="26"/>
  <c r="X136" i="26"/>
  <c r="X137" i="26"/>
  <c r="X138" i="26"/>
  <c r="X139" i="26"/>
  <c r="X140" i="26"/>
  <c r="X141" i="26"/>
  <c r="X142" i="26"/>
  <c r="X143" i="26"/>
  <c r="X144" i="26"/>
  <c r="X145" i="26"/>
  <c r="X146" i="26"/>
  <c r="X147" i="26"/>
  <c r="X148" i="26"/>
  <c r="X149" i="26"/>
  <c r="X150" i="26"/>
  <c r="X151" i="26"/>
  <c r="X152" i="26"/>
  <c r="X153" i="26"/>
  <c r="X154" i="26"/>
  <c r="X155" i="26"/>
  <c r="X156" i="26"/>
  <c r="X157" i="26"/>
  <c r="X158" i="26"/>
  <c r="X159" i="26"/>
  <c r="X160" i="26"/>
  <c r="X161" i="26"/>
  <c r="X162" i="26"/>
  <c r="X163" i="26"/>
  <c r="X164" i="26"/>
  <c r="X165" i="26"/>
  <c r="X166" i="26"/>
  <c r="X167" i="26"/>
  <c r="X168" i="26"/>
  <c r="X169" i="26"/>
  <c r="X170" i="26"/>
  <c r="X171" i="26"/>
  <c r="X172" i="26"/>
  <c r="X173" i="26"/>
  <c r="X174" i="26"/>
  <c r="X175" i="26"/>
  <c r="X176" i="26"/>
  <c r="X177" i="26"/>
  <c r="X178" i="26"/>
  <c r="X179" i="26"/>
  <c r="X180" i="26"/>
  <c r="X181" i="26"/>
  <c r="X182" i="26"/>
  <c r="X183" i="26"/>
  <c r="X184" i="26"/>
  <c r="X185" i="26"/>
  <c r="X186" i="26"/>
  <c r="X187" i="26"/>
  <c r="X188" i="26"/>
  <c r="X189" i="26"/>
  <c r="X190" i="26"/>
  <c r="X191" i="26"/>
  <c r="X192" i="26"/>
  <c r="X193" i="26"/>
  <c r="X194" i="26"/>
  <c r="X195" i="26"/>
  <c r="X196" i="26"/>
  <c r="X197" i="26"/>
  <c r="X198" i="26"/>
  <c r="X199" i="26"/>
  <c r="X200" i="26"/>
  <c r="X201" i="26"/>
  <c r="X202" i="26"/>
  <c r="X203" i="26"/>
  <c r="X204" i="26"/>
  <c r="X205" i="26"/>
  <c r="X206" i="26"/>
  <c r="X207" i="26"/>
  <c r="X208" i="26"/>
  <c r="X209" i="26"/>
  <c r="X210" i="26"/>
  <c r="X211" i="26"/>
  <c r="X212" i="26"/>
  <c r="X213" i="26"/>
  <c r="X214" i="26"/>
  <c r="X215" i="26"/>
  <c r="X216" i="26"/>
  <c r="X217" i="26"/>
  <c r="X218" i="26"/>
  <c r="X219" i="26"/>
  <c r="X220" i="26"/>
  <c r="X221" i="26"/>
  <c r="X222" i="26"/>
  <c r="X223" i="26"/>
  <c r="X224" i="26"/>
  <c r="X225" i="26"/>
  <c r="X226" i="26"/>
  <c r="X227" i="26"/>
  <c r="X228" i="26"/>
  <c r="X229" i="26"/>
  <c r="X230" i="26"/>
  <c r="X231" i="26"/>
  <c r="X232" i="26"/>
  <c r="X233" i="26"/>
  <c r="X234" i="26"/>
  <c r="X235" i="26"/>
  <c r="X236" i="26"/>
  <c r="X237" i="26"/>
  <c r="X238" i="26"/>
  <c r="X239" i="26"/>
  <c r="X240" i="26"/>
  <c r="X241" i="26"/>
  <c r="X242" i="26"/>
  <c r="X243" i="26"/>
  <c r="X244" i="26"/>
  <c r="X245" i="26"/>
  <c r="X246" i="26"/>
  <c r="X247" i="26"/>
  <c r="X248" i="26"/>
  <c r="X249" i="26"/>
  <c r="X250" i="26"/>
  <c r="X251" i="26"/>
  <c r="X252" i="26"/>
  <c r="X253" i="26"/>
  <c r="X254" i="26"/>
  <c r="X255" i="26"/>
  <c r="X256" i="26"/>
  <c r="X257" i="26"/>
  <c r="X258" i="26"/>
  <c r="X259" i="26"/>
  <c r="X260" i="26"/>
  <c r="X261" i="26"/>
  <c r="X262" i="26"/>
  <c r="X263" i="26"/>
  <c r="X264" i="26"/>
  <c r="X265" i="26"/>
  <c r="X266" i="26"/>
  <c r="X267" i="26"/>
  <c r="X268" i="26"/>
  <c r="X269" i="26"/>
  <c r="X270" i="26"/>
  <c r="X271" i="26"/>
  <c r="X272" i="26"/>
  <c r="X273" i="26"/>
  <c r="X274" i="26"/>
  <c r="X275" i="26"/>
  <c r="X276" i="26"/>
  <c r="X277" i="26"/>
  <c r="X278" i="26"/>
  <c r="X279" i="26"/>
  <c r="X280" i="26"/>
  <c r="X281" i="26"/>
  <c r="X282" i="26"/>
  <c r="X283" i="26"/>
  <c r="X284" i="26"/>
  <c r="X285" i="26"/>
  <c r="X286" i="26"/>
  <c r="X287" i="26"/>
  <c r="X288" i="26"/>
  <c r="X289" i="26"/>
  <c r="X290" i="26"/>
  <c r="X291" i="26"/>
  <c r="X292" i="26"/>
  <c r="X293" i="26"/>
  <c r="X294" i="26"/>
  <c r="X295" i="26"/>
  <c r="X296" i="26"/>
  <c r="X297" i="26"/>
  <c r="X298" i="26"/>
  <c r="X299" i="26"/>
  <c r="X300" i="26"/>
  <c r="X301" i="26"/>
  <c r="X302" i="26"/>
  <c r="X303" i="26"/>
  <c r="X304" i="26"/>
  <c r="X305" i="26"/>
  <c r="X306" i="26"/>
  <c r="X307" i="26"/>
  <c r="X308" i="26"/>
  <c r="X309" i="26"/>
  <c r="X310" i="26"/>
  <c r="X311" i="26"/>
  <c r="X312" i="26"/>
  <c r="X313" i="26"/>
  <c r="X314" i="26"/>
  <c r="X315" i="26"/>
  <c r="X316" i="26"/>
  <c r="X317" i="26"/>
  <c r="X318" i="26"/>
  <c r="X319" i="26"/>
  <c r="X320" i="26"/>
  <c r="X321" i="26"/>
  <c r="X322" i="26"/>
  <c r="X323" i="26"/>
  <c r="X324" i="26"/>
  <c r="X325" i="26"/>
  <c r="X326" i="26"/>
  <c r="X327" i="26"/>
  <c r="X328" i="26"/>
  <c r="X329" i="26"/>
  <c r="X330" i="26"/>
  <c r="X331" i="26"/>
  <c r="X332" i="26"/>
  <c r="X333" i="26"/>
  <c r="X334" i="26"/>
  <c r="X335" i="26"/>
  <c r="X336" i="26"/>
  <c r="X337" i="26"/>
  <c r="X338" i="26"/>
  <c r="X339" i="26"/>
  <c r="X340" i="26"/>
  <c r="X341" i="26"/>
  <c r="X342" i="26"/>
  <c r="X343" i="26"/>
  <c r="X344" i="26"/>
  <c r="X345" i="26"/>
  <c r="X346" i="26"/>
  <c r="X347" i="26"/>
  <c r="X348" i="26"/>
  <c r="X349" i="26"/>
  <c r="X350" i="26"/>
  <c r="X351" i="26"/>
  <c r="X352" i="26"/>
  <c r="X353" i="26"/>
  <c r="X354" i="26"/>
  <c r="X355" i="26"/>
  <c r="X356" i="26"/>
  <c r="X357" i="26"/>
  <c r="X358" i="26"/>
  <c r="X359" i="26"/>
  <c r="X360" i="26"/>
  <c r="X361" i="26"/>
  <c r="X362" i="26"/>
  <c r="X363" i="26"/>
  <c r="X364" i="26"/>
  <c r="X365" i="26"/>
  <c r="X366" i="26"/>
  <c r="X367" i="26"/>
  <c r="X368" i="26"/>
  <c r="X369" i="26"/>
  <c r="X370" i="26"/>
  <c r="X371" i="26"/>
  <c r="X372" i="26"/>
  <c r="X373" i="26"/>
  <c r="X374" i="26"/>
  <c r="X375" i="26"/>
  <c r="X376" i="26"/>
  <c r="X377" i="26"/>
  <c r="X378" i="26"/>
  <c r="X379" i="26"/>
  <c r="X380" i="26"/>
  <c r="X381" i="26"/>
  <c r="X382" i="26"/>
  <c r="X383" i="26"/>
  <c r="X384" i="26"/>
  <c r="X385" i="26"/>
  <c r="X386" i="26"/>
  <c r="X387" i="26"/>
  <c r="X388" i="26"/>
  <c r="X389" i="26"/>
  <c r="X390" i="26"/>
  <c r="X391" i="26"/>
  <c r="X392" i="26"/>
  <c r="X393" i="26"/>
  <c r="X394" i="26"/>
  <c r="X395" i="26"/>
  <c r="X396" i="26"/>
  <c r="X397" i="26"/>
  <c r="X398" i="26"/>
  <c r="X399" i="26"/>
  <c r="V81" i="26"/>
  <c r="V82" i="26"/>
  <c r="V83" i="26"/>
  <c r="V84" i="26"/>
  <c r="V85" i="26"/>
  <c r="V86" i="26"/>
  <c r="V87" i="26"/>
  <c r="V88" i="26"/>
  <c r="V89" i="26"/>
  <c r="V90" i="26"/>
  <c r="V91" i="26"/>
  <c r="V92" i="26"/>
  <c r="V93" i="26"/>
  <c r="V94" i="26"/>
  <c r="V95" i="26"/>
  <c r="V96" i="26"/>
  <c r="V97" i="26"/>
  <c r="V98" i="26"/>
  <c r="V99" i="26"/>
  <c r="V100" i="26"/>
  <c r="V101" i="26"/>
  <c r="V102" i="26"/>
  <c r="V103" i="26"/>
  <c r="V104" i="26"/>
  <c r="V105" i="26"/>
  <c r="V106" i="26"/>
  <c r="V107" i="26"/>
  <c r="V108" i="26"/>
  <c r="V109" i="26"/>
  <c r="V110" i="26"/>
  <c r="V111" i="26"/>
  <c r="V112" i="26"/>
  <c r="V113" i="26"/>
  <c r="V114" i="26"/>
  <c r="V115" i="26"/>
  <c r="V116" i="26"/>
  <c r="V117" i="26"/>
  <c r="V118" i="26"/>
  <c r="V119" i="26"/>
  <c r="V120" i="26"/>
  <c r="V121" i="26"/>
  <c r="V122" i="26"/>
  <c r="V123" i="26"/>
  <c r="V124" i="26"/>
  <c r="V125" i="26"/>
  <c r="V126" i="26"/>
  <c r="V127" i="26"/>
  <c r="V128" i="26"/>
  <c r="V129" i="26"/>
  <c r="V130" i="26"/>
  <c r="V131" i="26"/>
  <c r="V132" i="26"/>
  <c r="V133" i="26"/>
  <c r="V134" i="26"/>
  <c r="V135" i="26"/>
  <c r="V136" i="26"/>
  <c r="V137" i="26"/>
  <c r="V138" i="26"/>
  <c r="V139" i="26"/>
  <c r="V140" i="26"/>
  <c r="V141" i="26"/>
  <c r="V142" i="26"/>
  <c r="V143" i="26"/>
  <c r="V144" i="26"/>
  <c r="V145" i="26"/>
  <c r="V146" i="26"/>
  <c r="V147" i="26"/>
  <c r="V148" i="26"/>
  <c r="V149" i="26"/>
  <c r="V150" i="26"/>
  <c r="V151" i="26"/>
  <c r="V152" i="26"/>
  <c r="V153" i="26"/>
  <c r="V154" i="26"/>
  <c r="V155" i="26"/>
  <c r="V156" i="26"/>
  <c r="V157" i="26"/>
  <c r="V158" i="26"/>
  <c r="V159" i="26"/>
  <c r="V160" i="26"/>
  <c r="V161" i="26"/>
  <c r="V162" i="26"/>
  <c r="V163" i="26"/>
  <c r="V164" i="26"/>
  <c r="V165" i="26"/>
  <c r="V166" i="26"/>
  <c r="V167" i="26"/>
  <c r="V168" i="26"/>
  <c r="V169" i="26"/>
  <c r="V170" i="26"/>
  <c r="V171" i="26"/>
  <c r="V172" i="26"/>
  <c r="V173" i="26"/>
  <c r="V174" i="26"/>
  <c r="V175" i="26"/>
  <c r="V176" i="26"/>
  <c r="V177" i="26"/>
  <c r="V178" i="26"/>
  <c r="V179" i="26"/>
  <c r="V180" i="26"/>
  <c r="V181" i="26"/>
  <c r="V182" i="26"/>
  <c r="V183" i="26"/>
  <c r="V184" i="26"/>
  <c r="V185" i="26"/>
  <c r="V186" i="26"/>
  <c r="V187" i="26"/>
  <c r="V188" i="26"/>
  <c r="V189" i="26"/>
  <c r="V190" i="26"/>
  <c r="V191" i="26"/>
  <c r="V192" i="26"/>
  <c r="V193" i="26"/>
  <c r="V194" i="26"/>
  <c r="V195" i="26"/>
  <c r="V196" i="26"/>
  <c r="V197" i="26"/>
  <c r="V198" i="26"/>
  <c r="V199" i="26"/>
  <c r="V200" i="26"/>
  <c r="V201" i="26"/>
  <c r="V202" i="26"/>
  <c r="V203" i="26"/>
  <c r="V204" i="26"/>
  <c r="V205" i="26"/>
  <c r="V206" i="26"/>
  <c r="V207" i="26"/>
  <c r="V208" i="26"/>
  <c r="V209" i="26"/>
  <c r="V210" i="26"/>
  <c r="V211" i="26"/>
  <c r="V212" i="26"/>
  <c r="V213" i="26"/>
  <c r="V214" i="26"/>
  <c r="V215" i="26"/>
  <c r="V216" i="26"/>
  <c r="V217" i="26"/>
  <c r="V218" i="26"/>
  <c r="V219" i="26"/>
  <c r="V220" i="26"/>
  <c r="V221" i="26"/>
  <c r="V222" i="26"/>
  <c r="V223" i="26"/>
  <c r="V224" i="26"/>
  <c r="V225" i="26"/>
  <c r="V226" i="26"/>
  <c r="V227" i="26"/>
  <c r="V228" i="26"/>
  <c r="V229" i="26"/>
  <c r="V230" i="26"/>
  <c r="V231" i="26"/>
  <c r="V232" i="26"/>
  <c r="V233" i="26"/>
  <c r="V234" i="26"/>
  <c r="V235" i="26"/>
  <c r="V236" i="26"/>
  <c r="V237" i="26"/>
  <c r="V238" i="26"/>
  <c r="V239" i="26"/>
  <c r="V240" i="26"/>
  <c r="V241" i="26"/>
  <c r="V242" i="26"/>
  <c r="V243" i="26"/>
  <c r="V244" i="26"/>
  <c r="V245" i="26"/>
  <c r="V246" i="26"/>
  <c r="V247" i="26"/>
  <c r="V248" i="26"/>
  <c r="V249" i="26"/>
  <c r="V250" i="26"/>
  <c r="V251" i="26"/>
  <c r="V252" i="26"/>
  <c r="V253" i="26"/>
  <c r="V254" i="26"/>
  <c r="V255" i="26"/>
  <c r="V256" i="26"/>
  <c r="V257" i="26"/>
  <c r="V258" i="26"/>
  <c r="V259" i="26"/>
  <c r="V260" i="26"/>
  <c r="V261" i="26"/>
  <c r="V262" i="26"/>
  <c r="V263" i="26"/>
  <c r="V264" i="26"/>
  <c r="V265" i="26"/>
  <c r="V266" i="26"/>
  <c r="V267" i="26"/>
  <c r="V268" i="26"/>
  <c r="V269" i="26"/>
  <c r="V270" i="26"/>
  <c r="V271" i="26"/>
  <c r="V272" i="26"/>
  <c r="V273" i="26"/>
  <c r="V274" i="26"/>
  <c r="V275" i="26"/>
  <c r="V276" i="26"/>
  <c r="V277" i="26"/>
  <c r="V278" i="26"/>
  <c r="V279" i="26"/>
  <c r="V280" i="26"/>
  <c r="V281" i="26"/>
  <c r="V282" i="26"/>
  <c r="V283" i="26"/>
  <c r="V284" i="26"/>
  <c r="V285" i="26"/>
  <c r="V286" i="26"/>
  <c r="V287" i="26"/>
  <c r="V288" i="26"/>
  <c r="V289" i="26"/>
  <c r="V290" i="26"/>
  <c r="V291" i="26"/>
  <c r="V292" i="26"/>
  <c r="V293" i="26"/>
  <c r="V294" i="26"/>
  <c r="V295" i="26"/>
  <c r="V296" i="26"/>
  <c r="V297" i="26"/>
  <c r="V298" i="26"/>
  <c r="V299" i="26"/>
  <c r="V300" i="26"/>
  <c r="V301" i="26"/>
  <c r="V302" i="26"/>
  <c r="V303" i="26"/>
  <c r="V304" i="26"/>
  <c r="V305" i="26"/>
  <c r="V306" i="26"/>
  <c r="V307" i="26"/>
  <c r="V308" i="26"/>
  <c r="V309" i="26"/>
  <c r="V310" i="26"/>
  <c r="V311" i="26"/>
  <c r="V312" i="26"/>
  <c r="V313" i="26"/>
  <c r="V314" i="26"/>
  <c r="V315" i="26"/>
  <c r="V316" i="26"/>
  <c r="V317" i="26"/>
  <c r="V318" i="26"/>
  <c r="V319" i="26"/>
  <c r="V320" i="26"/>
  <c r="V321" i="26"/>
  <c r="V322" i="26"/>
  <c r="V323" i="26"/>
  <c r="V324" i="26"/>
  <c r="V325" i="26"/>
  <c r="V326" i="26"/>
  <c r="V327" i="26"/>
  <c r="V328" i="26"/>
  <c r="V329" i="26"/>
  <c r="V330" i="26"/>
  <c r="V331" i="26"/>
  <c r="V332" i="26"/>
  <c r="V333" i="26"/>
  <c r="V334" i="26"/>
  <c r="V335" i="26"/>
  <c r="V336" i="26"/>
  <c r="V337" i="26"/>
  <c r="V338" i="26"/>
  <c r="V339" i="26"/>
  <c r="V340" i="26"/>
  <c r="V341" i="26"/>
  <c r="V342" i="26"/>
  <c r="V343" i="26"/>
  <c r="V344" i="26"/>
  <c r="V345" i="26"/>
  <c r="V346" i="26"/>
  <c r="V347" i="26"/>
  <c r="V348" i="26"/>
  <c r="V349" i="26"/>
  <c r="V350" i="26"/>
  <c r="V351" i="26"/>
  <c r="V352" i="26"/>
  <c r="V353" i="26"/>
  <c r="V354" i="26"/>
  <c r="V355" i="26"/>
  <c r="V356" i="26"/>
  <c r="V357" i="26"/>
  <c r="V358" i="26"/>
  <c r="V359" i="26"/>
  <c r="V360" i="26"/>
  <c r="V361" i="26"/>
  <c r="V362" i="26"/>
  <c r="V363" i="26"/>
  <c r="V364" i="26"/>
  <c r="V365" i="26"/>
  <c r="V366" i="26"/>
  <c r="V367" i="26"/>
  <c r="V368" i="26"/>
  <c r="V369" i="26"/>
  <c r="V370" i="26"/>
  <c r="V371" i="26"/>
  <c r="V372" i="26"/>
  <c r="V373" i="26"/>
  <c r="V374" i="26"/>
  <c r="V375" i="26"/>
  <c r="V376" i="26"/>
  <c r="V377" i="26"/>
  <c r="V378" i="26"/>
  <c r="V379" i="26"/>
  <c r="V380" i="26"/>
  <c r="V381" i="26"/>
  <c r="V382" i="26"/>
  <c r="V383" i="26"/>
  <c r="V384" i="26"/>
  <c r="V385" i="26"/>
  <c r="V386" i="26"/>
  <c r="V387" i="26"/>
  <c r="V388" i="26"/>
  <c r="V389" i="26"/>
  <c r="V390" i="26"/>
  <c r="V391" i="26"/>
  <c r="V392" i="26"/>
  <c r="V393" i="26"/>
  <c r="V394" i="26"/>
  <c r="V395" i="26"/>
  <c r="V396" i="26"/>
  <c r="V397" i="26"/>
  <c r="V398" i="26"/>
  <c r="V399" i="26"/>
  <c r="V400" i="26"/>
  <c r="V401" i="26"/>
  <c r="V402" i="26"/>
  <c r="V403" i="26"/>
  <c r="V404" i="26"/>
  <c r="U188" i="26"/>
  <c r="T188" i="26"/>
  <c r="U187" i="26"/>
  <c r="T187" i="26"/>
  <c r="U186" i="26"/>
  <c r="T186" i="26"/>
  <c r="U185" i="26"/>
  <c r="T185" i="26"/>
  <c r="U184" i="26"/>
  <c r="T184" i="26"/>
  <c r="U183" i="26"/>
  <c r="T183" i="26"/>
  <c r="U182" i="26"/>
  <c r="T182" i="26"/>
  <c r="U181" i="26"/>
  <c r="T181" i="26"/>
  <c r="U180" i="26"/>
  <c r="T180" i="26"/>
  <c r="U179" i="26"/>
  <c r="T179" i="26"/>
  <c r="U178" i="26"/>
  <c r="T178" i="26"/>
  <c r="U177" i="26"/>
  <c r="T177" i="26"/>
  <c r="U176" i="26"/>
  <c r="T176" i="26"/>
  <c r="U175" i="26"/>
  <c r="T175" i="26"/>
  <c r="U174" i="26"/>
  <c r="T174" i="26"/>
  <c r="U173" i="26"/>
  <c r="T173" i="26"/>
  <c r="U172" i="26"/>
  <c r="T172" i="26"/>
  <c r="U171" i="26"/>
  <c r="T171" i="26"/>
  <c r="U170" i="26"/>
  <c r="T170" i="26"/>
  <c r="U169" i="26"/>
  <c r="T169" i="26"/>
  <c r="U168" i="26"/>
  <c r="T168" i="26"/>
  <c r="U167" i="26"/>
  <c r="T167" i="26"/>
  <c r="U166" i="26"/>
  <c r="T166" i="26"/>
  <c r="U165" i="26"/>
  <c r="T165" i="26"/>
  <c r="U164" i="26"/>
  <c r="T164" i="26"/>
  <c r="U163" i="26"/>
  <c r="T163" i="26"/>
  <c r="U162" i="26"/>
  <c r="T162" i="26"/>
  <c r="U161" i="26"/>
  <c r="T161" i="26"/>
  <c r="U160" i="26"/>
  <c r="T160" i="26"/>
  <c r="U159" i="26"/>
  <c r="T159" i="26"/>
  <c r="U158" i="26"/>
  <c r="T158" i="26"/>
  <c r="U157" i="26"/>
  <c r="T157" i="26"/>
  <c r="U156" i="26"/>
  <c r="T156" i="26"/>
  <c r="U155" i="26"/>
  <c r="T155" i="26"/>
  <c r="U154" i="26"/>
  <c r="T154" i="26"/>
  <c r="U153" i="26"/>
  <c r="T153" i="26"/>
  <c r="U152" i="26"/>
  <c r="T152" i="26"/>
  <c r="U151" i="26"/>
  <c r="T151" i="26"/>
  <c r="U150" i="26"/>
  <c r="T150" i="26"/>
  <c r="U149" i="26"/>
  <c r="T149" i="26"/>
  <c r="U148" i="26"/>
  <c r="T148" i="26"/>
  <c r="U147" i="26"/>
  <c r="T147" i="26"/>
  <c r="U146" i="26"/>
  <c r="T146" i="26"/>
  <c r="U145" i="26"/>
  <c r="T145" i="26"/>
  <c r="U144" i="26"/>
  <c r="T144" i="26"/>
  <c r="U143" i="26"/>
  <c r="T143" i="26"/>
  <c r="U142" i="26"/>
  <c r="T142" i="26"/>
  <c r="U141" i="26"/>
  <c r="T141" i="26"/>
  <c r="U140" i="26"/>
  <c r="T140" i="26"/>
  <c r="U139" i="26"/>
  <c r="T139" i="26"/>
  <c r="U138" i="26"/>
  <c r="T138" i="26"/>
  <c r="U137" i="26"/>
  <c r="T137" i="26"/>
  <c r="U136" i="26"/>
  <c r="T136" i="26"/>
  <c r="U135" i="26"/>
  <c r="T135" i="26"/>
  <c r="U134" i="26"/>
  <c r="T134" i="26"/>
  <c r="U133" i="26"/>
  <c r="T133" i="26"/>
  <c r="U132" i="26"/>
  <c r="T132" i="26"/>
  <c r="U131" i="26"/>
  <c r="T131" i="26"/>
  <c r="U130" i="26"/>
  <c r="T130" i="26"/>
  <c r="U129" i="26"/>
  <c r="T129" i="26"/>
  <c r="U128" i="26"/>
  <c r="T128" i="26"/>
  <c r="U127" i="26"/>
  <c r="T127" i="26"/>
  <c r="U126" i="26"/>
  <c r="T126" i="26"/>
  <c r="U125" i="26"/>
  <c r="T125" i="26"/>
  <c r="U124" i="26"/>
  <c r="T124" i="26"/>
  <c r="U123" i="26"/>
  <c r="T123" i="26"/>
  <c r="U122" i="26"/>
  <c r="T122" i="26"/>
  <c r="U121" i="26"/>
  <c r="T121" i="26"/>
  <c r="U120" i="26"/>
  <c r="T120" i="26"/>
  <c r="U119" i="26"/>
  <c r="T119" i="26"/>
  <c r="U398" i="26"/>
  <c r="T398" i="26"/>
  <c r="U397" i="26"/>
  <c r="T397" i="26"/>
  <c r="U396" i="26"/>
  <c r="T396" i="26"/>
  <c r="U395" i="26"/>
  <c r="T395" i="26"/>
  <c r="U394" i="26"/>
  <c r="T394" i="26"/>
  <c r="U393" i="26"/>
  <c r="T393" i="26"/>
  <c r="U392" i="26"/>
  <c r="T392" i="26"/>
  <c r="U391" i="26"/>
  <c r="T391" i="26"/>
  <c r="U390" i="26"/>
  <c r="T390" i="26"/>
  <c r="U275" i="26"/>
  <c r="T275" i="26"/>
  <c r="U274" i="26"/>
  <c r="T274" i="26"/>
  <c r="U273" i="26"/>
  <c r="T273" i="26"/>
  <c r="U272" i="26"/>
  <c r="T272" i="26"/>
  <c r="U271" i="26"/>
  <c r="T271" i="26"/>
  <c r="U270" i="26"/>
  <c r="T270" i="26"/>
  <c r="U269" i="26"/>
  <c r="T269" i="26"/>
  <c r="U268" i="26"/>
  <c r="T268" i="26"/>
  <c r="U267" i="26"/>
  <c r="T267" i="26"/>
  <c r="U266" i="26"/>
  <c r="T266" i="26"/>
  <c r="U265" i="26"/>
  <c r="T265" i="26"/>
  <c r="U264" i="26"/>
  <c r="T264" i="26"/>
  <c r="U263" i="26"/>
  <c r="T263" i="26"/>
  <c r="U262" i="26"/>
  <c r="T262" i="26"/>
  <c r="U261" i="26"/>
  <c r="T261" i="26"/>
  <c r="U260" i="26"/>
  <c r="T260" i="26"/>
  <c r="U259" i="26"/>
  <c r="T259" i="26"/>
  <c r="U258" i="26"/>
  <c r="T258" i="26"/>
  <c r="U257" i="26"/>
  <c r="T257" i="26"/>
  <c r="U256" i="26"/>
  <c r="T256" i="26"/>
  <c r="U255" i="26"/>
  <c r="T255" i="26"/>
  <c r="U254" i="26"/>
  <c r="T254" i="26"/>
  <c r="U253" i="26"/>
  <c r="T253" i="26"/>
  <c r="U252" i="26"/>
  <c r="T252" i="26"/>
  <c r="U251" i="26"/>
  <c r="T251" i="26"/>
  <c r="U250" i="26"/>
  <c r="T250" i="26"/>
  <c r="U249" i="26"/>
  <c r="T249" i="26"/>
  <c r="U248" i="26"/>
  <c r="T248" i="26"/>
  <c r="U247" i="26"/>
  <c r="T247" i="26"/>
  <c r="U246" i="26"/>
  <c r="T246" i="26"/>
  <c r="U245" i="26"/>
  <c r="T245" i="26"/>
  <c r="U244" i="26"/>
  <c r="T244" i="26"/>
  <c r="U243" i="26"/>
  <c r="T243" i="26"/>
  <c r="U242" i="26"/>
  <c r="T242" i="26"/>
  <c r="U241" i="26"/>
  <c r="T241" i="26"/>
  <c r="U240" i="26"/>
  <c r="T240" i="26"/>
  <c r="U239" i="26"/>
  <c r="T239" i="26"/>
  <c r="U238" i="26"/>
  <c r="T238" i="26"/>
  <c r="U237" i="26"/>
  <c r="T237" i="26"/>
  <c r="U236" i="26"/>
  <c r="T236" i="26"/>
  <c r="U235" i="26"/>
  <c r="T235" i="26"/>
  <c r="U234" i="26"/>
  <c r="T234" i="26"/>
  <c r="U233" i="26"/>
  <c r="T233" i="26"/>
  <c r="U232" i="26"/>
  <c r="T232" i="26"/>
  <c r="U231" i="26"/>
  <c r="T231" i="26"/>
  <c r="U230" i="26"/>
  <c r="T230" i="26"/>
  <c r="U229" i="26"/>
  <c r="T229" i="26"/>
  <c r="U228" i="26"/>
  <c r="T228" i="26"/>
  <c r="U227" i="26"/>
  <c r="T227" i="26"/>
  <c r="U226" i="26"/>
  <c r="T226" i="26"/>
  <c r="U225" i="26"/>
  <c r="T225" i="26"/>
  <c r="U224" i="26"/>
  <c r="T224" i="26"/>
  <c r="U223" i="26"/>
  <c r="T223" i="26"/>
  <c r="U222" i="26"/>
  <c r="T222" i="26"/>
  <c r="U221" i="26"/>
  <c r="T221" i="26"/>
  <c r="U220" i="26"/>
  <c r="T220" i="26"/>
  <c r="U219" i="26"/>
  <c r="T219" i="26"/>
  <c r="U218" i="26"/>
  <c r="T218" i="26"/>
  <c r="U217" i="26"/>
  <c r="T217" i="26"/>
  <c r="U216" i="26"/>
  <c r="T216" i="26"/>
  <c r="U215" i="26"/>
  <c r="T215" i="26"/>
  <c r="U214" i="26"/>
  <c r="T214" i="26"/>
  <c r="U213" i="26"/>
  <c r="T213" i="26"/>
  <c r="U212" i="26"/>
  <c r="T212" i="26"/>
  <c r="U211" i="26"/>
  <c r="T211" i="26"/>
  <c r="U210" i="26"/>
  <c r="T210" i="26"/>
  <c r="U209" i="26"/>
  <c r="T209" i="26"/>
  <c r="U208" i="26"/>
  <c r="T208" i="26"/>
  <c r="U207" i="26"/>
  <c r="T207" i="26"/>
  <c r="U206" i="26"/>
  <c r="T206" i="26"/>
  <c r="U389" i="26"/>
  <c r="T389" i="26"/>
  <c r="U388" i="26"/>
  <c r="T388" i="26"/>
  <c r="U387" i="26"/>
  <c r="T387" i="26"/>
  <c r="U386" i="26"/>
  <c r="T386" i="26"/>
  <c r="U385" i="26"/>
  <c r="T385" i="26"/>
  <c r="U384" i="26"/>
  <c r="T384" i="26"/>
  <c r="U383" i="26"/>
  <c r="T383" i="26"/>
  <c r="U382" i="26"/>
  <c r="T382" i="26"/>
  <c r="U381" i="26"/>
  <c r="T381" i="26"/>
  <c r="U380" i="26"/>
  <c r="T380" i="26"/>
  <c r="U379" i="26"/>
  <c r="T379" i="26"/>
  <c r="U378" i="26"/>
  <c r="T378" i="26"/>
  <c r="U377" i="26"/>
  <c r="T377" i="26"/>
  <c r="U376" i="26"/>
  <c r="T376" i="26"/>
  <c r="U375" i="26"/>
  <c r="T375" i="26"/>
  <c r="U374" i="26"/>
  <c r="T374" i="26"/>
  <c r="U373" i="26"/>
  <c r="T373" i="26"/>
  <c r="U372" i="26"/>
  <c r="T372" i="26"/>
  <c r="U371" i="26"/>
  <c r="T371" i="26"/>
  <c r="U370" i="26"/>
  <c r="T370" i="26"/>
  <c r="U369" i="26"/>
  <c r="T369" i="26"/>
  <c r="U368" i="26"/>
  <c r="T368" i="26"/>
  <c r="U367" i="26"/>
  <c r="T367" i="26"/>
  <c r="U366" i="26"/>
  <c r="T366" i="26"/>
  <c r="U365" i="26"/>
  <c r="T365" i="26"/>
  <c r="U364" i="26"/>
  <c r="T364" i="26"/>
  <c r="U363" i="26"/>
  <c r="T363" i="26"/>
  <c r="U362" i="26"/>
  <c r="T362" i="26"/>
  <c r="U361" i="26"/>
  <c r="T361" i="26"/>
  <c r="U360" i="26"/>
  <c r="T360" i="26"/>
  <c r="U359" i="26"/>
  <c r="T359" i="26"/>
  <c r="U358" i="26"/>
  <c r="T358" i="26"/>
  <c r="U357" i="26"/>
  <c r="T357" i="26"/>
  <c r="U356" i="26"/>
  <c r="T356" i="26"/>
  <c r="U355" i="26"/>
  <c r="T355" i="26"/>
  <c r="U354" i="26"/>
  <c r="T354" i="26"/>
  <c r="U353" i="26"/>
  <c r="T353" i="26"/>
  <c r="U352" i="26"/>
  <c r="T352" i="26"/>
  <c r="U351" i="26"/>
  <c r="T351" i="26"/>
  <c r="U350" i="26"/>
  <c r="T350" i="26"/>
  <c r="U349" i="26"/>
  <c r="T349" i="26"/>
  <c r="U348" i="26"/>
  <c r="T348" i="26"/>
  <c r="U347" i="26"/>
  <c r="T347" i="26"/>
  <c r="U346" i="26"/>
  <c r="T346" i="26"/>
  <c r="U345" i="26"/>
  <c r="T345" i="26"/>
  <c r="U344" i="26"/>
  <c r="T344" i="26"/>
  <c r="U343" i="26"/>
  <c r="T343" i="26"/>
  <c r="U342" i="26"/>
  <c r="T342" i="26"/>
  <c r="U341" i="26"/>
  <c r="T341" i="26"/>
  <c r="U340" i="26"/>
  <c r="T340" i="26"/>
  <c r="U339" i="26"/>
  <c r="T339" i="26"/>
  <c r="U338" i="26"/>
  <c r="T338" i="26"/>
  <c r="U337" i="26"/>
  <c r="T337" i="26"/>
  <c r="U336" i="26"/>
  <c r="T336" i="26"/>
  <c r="U335" i="26"/>
  <c r="T335" i="26"/>
  <c r="U334" i="26"/>
  <c r="T334" i="26"/>
  <c r="B114" i="30"/>
  <c r="B113" i="30"/>
  <c r="B112" i="30"/>
  <c r="B111" i="30"/>
  <c r="B110" i="30"/>
  <c r="B109" i="30"/>
  <c r="B108" i="30"/>
  <c r="B107" i="30"/>
  <c r="B106" i="30"/>
  <c r="B105" i="30"/>
  <c r="B104" i="30"/>
  <c r="B103" i="30"/>
  <c r="B102" i="30"/>
  <c r="B101" i="30"/>
  <c r="B100" i="30"/>
  <c r="B99" i="30"/>
  <c r="B98" i="30"/>
  <c r="B97" i="30"/>
  <c r="B96" i="30"/>
  <c r="B95" i="30"/>
  <c r="B94" i="30"/>
  <c r="B93" i="30"/>
  <c r="B92" i="30"/>
  <c r="B91" i="30"/>
  <c r="B76" i="30"/>
  <c r="B75" i="30"/>
  <c r="B74" i="30"/>
  <c r="B73" i="30"/>
  <c r="B72" i="30"/>
  <c r="B71" i="30"/>
  <c r="B70" i="30"/>
  <c r="B69" i="30"/>
  <c r="B68" i="30"/>
  <c r="B67" i="30"/>
  <c r="B66" i="30"/>
  <c r="B65" i="30"/>
  <c r="B64" i="30"/>
  <c r="B63" i="30"/>
  <c r="B62" i="30"/>
  <c r="B61" i="30"/>
  <c r="B60" i="30"/>
  <c r="B59" i="30"/>
  <c r="B58" i="30"/>
  <c r="B57" i="30"/>
  <c r="B56" i="30"/>
  <c r="B55" i="30"/>
  <c r="B54" i="30"/>
  <c r="B53" i="30"/>
  <c r="B52" i="30"/>
  <c r="B51" i="30"/>
  <c r="B50" i="30"/>
  <c r="B49" i="30"/>
  <c r="B48" i="30"/>
  <c r="U81" i="26"/>
  <c r="U82" i="26"/>
  <c r="U83" i="26"/>
  <c r="U84" i="26"/>
  <c r="U85" i="26"/>
  <c r="U86" i="26"/>
  <c r="U87" i="26"/>
  <c r="U88" i="26"/>
  <c r="U89" i="26"/>
  <c r="U90" i="26"/>
  <c r="U91" i="26"/>
  <c r="U92" i="26"/>
  <c r="U93" i="26"/>
  <c r="U94" i="26"/>
  <c r="U95" i="26"/>
  <c r="U96" i="26"/>
  <c r="U97" i="26"/>
  <c r="U98" i="26"/>
  <c r="U99" i="26"/>
  <c r="U100" i="26"/>
  <c r="U101" i="26"/>
  <c r="U102" i="26"/>
  <c r="U103" i="26"/>
  <c r="U104" i="26"/>
  <c r="U105" i="26"/>
  <c r="U106" i="26"/>
  <c r="U107" i="26"/>
  <c r="U108" i="26"/>
  <c r="U109" i="26"/>
  <c r="U110" i="26"/>
  <c r="U111" i="26"/>
  <c r="U112" i="26"/>
  <c r="U113" i="26"/>
  <c r="U114" i="26"/>
  <c r="U115" i="26"/>
  <c r="U116" i="26"/>
  <c r="U117" i="26"/>
  <c r="U118" i="26"/>
  <c r="U189" i="26"/>
  <c r="U190" i="26"/>
  <c r="U191" i="26"/>
  <c r="U192" i="26"/>
  <c r="U193" i="26"/>
  <c r="U194" i="26"/>
  <c r="U195" i="26"/>
  <c r="U196" i="26"/>
  <c r="U197" i="26"/>
  <c r="U198" i="26"/>
  <c r="U199" i="26"/>
  <c r="U200" i="26"/>
  <c r="U201" i="26"/>
  <c r="U202" i="26"/>
  <c r="U203" i="26"/>
  <c r="U204" i="26"/>
  <c r="U205" i="26"/>
  <c r="U276" i="26"/>
  <c r="U277" i="26"/>
  <c r="U278" i="26"/>
  <c r="U279" i="26"/>
  <c r="U280" i="26"/>
  <c r="U281" i="26"/>
  <c r="U282" i="26"/>
  <c r="U283" i="26"/>
  <c r="U284" i="26"/>
  <c r="U285" i="26"/>
  <c r="U286" i="26"/>
  <c r="U287" i="26"/>
  <c r="U288" i="26"/>
  <c r="U289" i="26"/>
  <c r="U290" i="26"/>
  <c r="U291" i="26"/>
  <c r="U292" i="26"/>
  <c r="U293" i="26"/>
  <c r="U294" i="26"/>
  <c r="U295" i="26"/>
  <c r="U296" i="26"/>
  <c r="U297" i="26"/>
  <c r="U298" i="26"/>
  <c r="U299" i="26"/>
  <c r="U300" i="26"/>
  <c r="U301" i="26"/>
  <c r="U302" i="26"/>
  <c r="U303" i="26"/>
  <c r="U304" i="26"/>
  <c r="U305" i="26"/>
  <c r="U306" i="26"/>
  <c r="U307" i="26"/>
  <c r="U308" i="26"/>
  <c r="U309" i="26"/>
  <c r="U310" i="26"/>
  <c r="U311" i="26"/>
  <c r="U312" i="26"/>
  <c r="U313" i="26"/>
  <c r="U314" i="26"/>
  <c r="U315" i="26"/>
  <c r="U316" i="26"/>
  <c r="U317" i="26"/>
  <c r="U318" i="26"/>
  <c r="U319" i="26"/>
  <c r="U320" i="26"/>
  <c r="U321" i="26"/>
  <c r="U322" i="26"/>
  <c r="U323" i="26"/>
  <c r="U324" i="26"/>
  <c r="U325" i="26"/>
  <c r="U326" i="26"/>
  <c r="U327" i="26"/>
  <c r="U328" i="26"/>
  <c r="U329" i="26"/>
  <c r="U330" i="26"/>
  <c r="U331" i="26"/>
  <c r="U332" i="26"/>
  <c r="U333" i="26"/>
  <c r="U399" i="26"/>
  <c r="U400" i="26"/>
  <c r="U401" i="26"/>
  <c r="U402" i="26"/>
  <c r="U403" i="26"/>
  <c r="U404" i="26"/>
  <c r="T81" i="26"/>
  <c r="T82" i="26"/>
  <c r="T83" i="26"/>
  <c r="T84" i="26"/>
  <c r="T85" i="26"/>
  <c r="T86" i="26"/>
  <c r="T87" i="26"/>
  <c r="T88" i="26"/>
  <c r="T89" i="26"/>
  <c r="T90" i="26"/>
  <c r="T91" i="26"/>
  <c r="T92" i="26"/>
  <c r="T93" i="26"/>
  <c r="T94" i="26"/>
  <c r="T95" i="26"/>
  <c r="T96" i="26"/>
  <c r="T97" i="26"/>
  <c r="T98" i="26"/>
  <c r="T99" i="26"/>
  <c r="T100" i="26"/>
  <c r="T101" i="26"/>
  <c r="T102" i="26"/>
  <c r="T103" i="26"/>
  <c r="T104" i="26"/>
  <c r="T105" i="26"/>
  <c r="T106" i="26"/>
  <c r="T107" i="26"/>
  <c r="T108" i="26"/>
  <c r="T109" i="26"/>
  <c r="T110" i="26"/>
  <c r="T111" i="26"/>
  <c r="T112" i="26"/>
  <c r="T113" i="26"/>
  <c r="T114" i="26"/>
  <c r="T115" i="26"/>
  <c r="T116" i="26"/>
  <c r="T117" i="26"/>
  <c r="T118" i="26"/>
  <c r="T189" i="26"/>
  <c r="T190" i="26"/>
  <c r="T191" i="26"/>
  <c r="T192" i="26"/>
  <c r="T193" i="26"/>
  <c r="T194" i="26"/>
  <c r="T195" i="26"/>
  <c r="T196" i="26"/>
  <c r="T197" i="26"/>
  <c r="T198" i="26"/>
  <c r="T199" i="26"/>
  <c r="T200" i="26"/>
  <c r="T201" i="26"/>
  <c r="T202" i="26"/>
  <c r="T203" i="26"/>
  <c r="T204" i="26"/>
  <c r="T205" i="26"/>
  <c r="T276" i="26"/>
  <c r="T277" i="26"/>
  <c r="T278" i="26"/>
  <c r="T279" i="26"/>
  <c r="T280" i="26"/>
  <c r="T281" i="26"/>
  <c r="T282" i="26"/>
  <c r="T283" i="26"/>
  <c r="T284" i="26"/>
  <c r="T285" i="26"/>
  <c r="T286" i="26"/>
  <c r="T287" i="26"/>
  <c r="T288" i="26"/>
  <c r="T289" i="26"/>
  <c r="T290" i="26"/>
  <c r="T291" i="26"/>
  <c r="T292" i="26"/>
  <c r="T293" i="26"/>
  <c r="T294" i="26"/>
  <c r="T295" i="26"/>
  <c r="T296" i="26"/>
  <c r="T297" i="26"/>
  <c r="T298" i="26"/>
  <c r="T299" i="26"/>
  <c r="T300" i="26"/>
  <c r="T301" i="26"/>
  <c r="T302" i="26"/>
  <c r="T303" i="26"/>
  <c r="T304" i="26"/>
  <c r="T305" i="26"/>
  <c r="T306" i="26"/>
  <c r="T307" i="26"/>
  <c r="T308" i="26"/>
  <c r="T309" i="26"/>
  <c r="T310" i="26"/>
  <c r="T311" i="26"/>
  <c r="T312" i="26"/>
  <c r="T313" i="26"/>
  <c r="T314" i="26"/>
  <c r="T315" i="26"/>
  <c r="T316" i="26"/>
  <c r="T317" i="26"/>
  <c r="T318" i="26"/>
  <c r="T319" i="26"/>
  <c r="T320" i="26"/>
  <c r="T321" i="26"/>
  <c r="T322" i="26"/>
  <c r="T323" i="26"/>
  <c r="T324" i="26"/>
  <c r="T325" i="26"/>
  <c r="T326" i="26"/>
  <c r="T327" i="26"/>
  <c r="T328" i="26"/>
  <c r="T329" i="26"/>
  <c r="T330" i="26"/>
  <c r="T331" i="26"/>
  <c r="T332" i="26"/>
  <c r="T333" i="26"/>
  <c r="T399" i="26"/>
  <c r="T400" i="26"/>
  <c r="T401" i="26"/>
  <c r="T402" i="26"/>
  <c r="T403" i="26"/>
  <c r="T404" i="26"/>
  <c r="Q397" i="26"/>
  <c r="Q393" i="26"/>
  <c r="Q395" i="26"/>
  <c r="Q394" i="26"/>
  <c r="Q392" i="26"/>
  <c r="Q391" i="26"/>
  <c r="Q398" i="26"/>
  <c r="Q396" i="26"/>
  <c r="Q390" i="26"/>
  <c r="B18" i="13" l="1"/>
  <c r="B6" i="13"/>
  <c r="B5" i="13"/>
</calcChain>
</file>

<file path=xl/sharedStrings.xml><?xml version="1.0" encoding="utf-8"?>
<sst xmlns="http://schemas.openxmlformats.org/spreadsheetml/2006/main" count="14477" uniqueCount="2304">
  <si>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</si>
  <si>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</si>
  <si>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</si>
  <si>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</si>
  <si>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</si>
  <si>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2</t>
  </si>
  <si>
    <t>Anotações 
de ajuda
Classe 3</t>
  </si>
  <si>
    <t>Anotações 
de ajuda
Classe 5</t>
  </si>
  <si>
    <t>Key</t>
  </si>
  <si>
    <t>null</t>
  </si>
  <si>
    <t>N°</t>
  </si>
  <si>
    <t>1</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</si>
  <si>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</si>
  <si>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</si>
  <si>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</si>
  <si>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</si>
  <si>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</si>
  <si>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</si>
  <si>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</si>
  <si>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</si>
  <si>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</si>
  <si>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</si>
  <si>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</si>
  <si>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</si>
  <si>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</si>
  <si>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</si>
  <si>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</si>
  <si>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</si>
  <si>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</si>
  <si>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</si>
  <si>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</si>
  <si>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</si>
  <si>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BIM</t>
  </si>
  <si>
    <t>Natureza</t>
  </si>
  <si>
    <t>Disciplina</t>
  </si>
  <si>
    <t>Tema</t>
  </si>
  <si>
    <t>00 Super
Class
5</t>
  </si>
  <si>
    <t>000 Tradução Classe 5</t>
  </si>
  <si>
    <t>Especie</t>
  </si>
  <si>
    <t>00Super
Class
4</t>
  </si>
  <si>
    <t>00Super
Class
2</t>
  </si>
  <si>
    <t>00Super
Class
3</t>
  </si>
  <si>
    <t>00Raiz</t>
  </si>
  <si>
    <t>000 Traducción Classe 5</t>
  </si>
  <si>
    <t>Chave</t>
  </si>
  <si>
    <t>Valor</t>
  </si>
  <si>
    <t>OntologiaPrefixo</t>
  </si>
  <si>
    <t>bim:</t>
  </si>
  <si>
    <t>OntologiaTema</t>
  </si>
  <si>
    <t>RaizClass</t>
  </si>
  <si>
    <t>RaizProp</t>
  </si>
  <si>
    <t>RaizData</t>
  </si>
  <si>
    <t>URI</t>
  </si>
  <si>
    <t>https://github.com/JLMenegotto/RepoOnto#</t>
  </si>
  <si>
    <t>Autor</t>
  </si>
  <si>
    <t>Organização</t>
  </si>
  <si>
    <t>Escola Politécnica da UFRJ</t>
  </si>
  <si>
    <t>-</t>
  </si>
  <si>
    <t>Observações</t>
  </si>
  <si>
    <t>DataHora</t>
  </si>
  <si>
    <t>Prédio</t>
  </si>
  <si>
    <t>Cidade</t>
  </si>
  <si>
    <t>Explicação</t>
  </si>
  <si>
    <t>Explicación</t>
  </si>
  <si>
    <t>Indivíduo</t>
  </si>
  <si>
    <t>Classe</t>
  </si>
  <si>
    <t>Fato</t>
  </si>
  <si>
    <t>Fato
(14)</t>
  </si>
  <si>
    <t>Val</t>
  </si>
  <si>
    <t>Conexão de entrada, normalmente desconectado numa porta e conectado a sistema de distribuição de fluxo.</t>
  </si>
  <si>
    <t>Conexão de saída, normalmente desconectado numa porta e conectado a sistema de distribuição de fluxo.</t>
  </si>
  <si>
    <t>Válvula é usada em sistema de distribuição de canalização para serviços de construção.</t>
  </si>
  <si>
    <t>Válvula usada para liberar ar de um tubo ou conexão.</t>
  </si>
  <si>
    <t>Válvula que se abre para admitir ar quando a pressão desce abaixo da pressão atmosférica.</t>
  </si>
  <si>
    <t>Válvula que permite a troca de fluxo entre tubulações (3 ou 4 portas).</t>
  </si>
  <si>
    <t>Válvula que permite que a água flua em apenas uma direção e é fechada quando não há fluxo (2 portas).</t>
  </si>
  <si>
    <t>Válvula usada para facilitar o comissionamento de sistema (2 portas).</t>
  </si>
  <si>
    <t>Válvula que permite que o fluxo seja desviado de um ramo de uma tubulação para outro (3 portas).</t>
  </si>
  <si>
    <t>Conjunto que incorpora duas válvulas usadas para evitar o refluxo.</t>
  </si>
  <si>
    <t>Válvula usada para facilitar a regulação do fluxo de fluidos num sistema.</t>
  </si>
  <si>
    <t>Válvula usada para remover fluido de sistema de tubulação.</t>
  </si>
  <si>
    <t>Válvula que libera uma quantidade predeterminada de água para limpar um vaso sanitário, mictório, etc.</t>
  </si>
  <si>
    <t>Válvula usada para controlar o fluxo de gás.</t>
  </si>
  <si>
    <t>Torneira de gás é normalmente usada para ventilar ou descarregar gás de um sistema.</t>
  </si>
  <si>
    <t>Válvula que fecha o fluxo numa tubulação.</t>
  </si>
  <si>
    <t>Válvula que permite misturar o fluxo de dois ramais de uma tubulação (3 portas).</t>
  </si>
  <si>
    <t>Válvula que reduz a pressão de um fluido imediatamente a jusante de sua posição numa tubulação.</t>
  </si>
  <si>
    <t>Válvula carregada por mola ou peso que descarrega automaticamente para um local seguro o fluido.</t>
  </si>
  <si>
    <t>Válvula usada para facilitar a regulação do fluxo de fluido num sistema.</t>
  </si>
  <si>
    <t>Válvula que restringe o fluxo de vapor, permitindo a passagem dos condensados.</t>
  </si>
  <si>
    <t>0-Classe Ifc</t>
  </si>
  <si>
    <t>0-Categoria Equivalente</t>
  </si>
  <si>
    <t>0-CategoriaEquivalente</t>
  </si>
  <si>
    <t>Anotações 
de ajuda
Classe 4</t>
  </si>
  <si>
    <t>Tubo.Flexível</t>
  </si>
  <si>
    <t>Interop.</t>
  </si>
  <si>
    <t>espessura</t>
  </si>
  <si>
    <t>peso.por.metro</t>
  </si>
  <si>
    <t>dn</t>
  </si>
  <si>
    <t>Tubulações</t>
  </si>
  <si>
    <t>profundidade.da.bolsa</t>
  </si>
  <si>
    <t>cordão.de.solda</t>
  </si>
  <si>
    <t>produto</t>
  </si>
  <si>
    <t>"Tubo Bioon Ponta e Bolsa K7"</t>
  </si>
  <si>
    <t>descrição</t>
  </si>
  <si>
    <t>Ontologia para incorporar tubulações.</t>
  </si>
  <si>
    <t xml:space="preserve">Formalizar elementos de tubulações em projeto BIM. Ontologia orientativa da relação de correspondência entre Classes IFC e categorias Revit. </t>
  </si>
  <si>
    <t xml:space="preserve">Formalización  de elementos de canalizaciones en un projeto BIM. Ontología orientativa de la relación de correspondencia entre Clases IFC y categorías de Revit. </t>
  </si>
  <si>
    <t>pn</t>
  </si>
  <si>
    <t>massa</t>
  </si>
  <si>
    <t>altura</t>
  </si>
  <si>
    <t>largura</t>
  </si>
  <si>
    <t>espessura.do.flange</t>
  </si>
  <si>
    <t>"Válvula de gaveta Euro 21 com cunha revestida de borracha, atendendo as pressões nominais 10 e 16 nos DNs 50 a 300 de acordo com padrão construtivo ABNT NBR 14968"</t>
  </si>
  <si>
    <t>altura.ao.eixo</t>
  </si>
  <si>
    <t>voltas.do.fecho</t>
  </si>
  <si>
    <t>"Válvula Euro 21"</t>
  </si>
  <si>
    <t>"Saint Gobain Canalizações"</t>
  </si>
  <si>
    <t>"Tubo ponta e bolsa para adução e distribuição de água bruta ou tratada, conforme ABNT NBR 7675"</t>
  </si>
  <si>
    <t>"Válvula Euro 22"</t>
  </si>
  <si>
    <t>"Válvula de gaveta Euro 22 com cunha revestida de borracha, nos DN 80 a 300mm. Atende aos ensaios definidos na norma ABNT NBR 14968."</t>
  </si>
  <si>
    <t>"Tubo Bioon Ponta e Bolsa K9"</t>
  </si>
  <si>
    <t>material</t>
  </si>
  <si>
    <t>"FoFo, Ferro Fundido Dúctil"</t>
  </si>
  <si>
    <t>é.pertencente.a</t>
  </si>
  <si>
    <t>classe</t>
  </si>
  <si>
    <t>139.8</t>
  </si>
  <si>
    <t>191.4</t>
  </si>
  <si>
    <t>241.8</t>
  </si>
  <si>
    <t>298.8</t>
  </si>
  <si>
    <t>389.4</t>
  </si>
  <si>
    <t>467.4</t>
  </si>
  <si>
    <t>550.2</t>
  </si>
  <si>
    <t>636.6</t>
  </si>
  <si>
    <t>827.4</t>
  </si>
  <si>
    <t>1235.5</t>
  </si>
  <si>
    <t>1514.1</t>
  </si>
  <si>
    <t>1815.8</t>
  </si>
  <si>
    <t>2213.4</t>
  </si>
  <si>
    <t>2883.3</t>
  </si>
  <si>
    <t>108.6</t>
  </si>
  <si>
    <t>220.2</t>
  </si>
  <si>
    <t>362.4</t>
  </si>
  <si>
    <t>478.2</t>
  </si>
  <si>
    <t>568.2</t>
  </si>
  <si>
    <t>670.8</t>
  </si>
  <si>
    <t>775.8</t>
  </si>
  <si>
    <t>1010.4</t>
  </si>
  <si>
    <t>1505.7</t>
  </si>
  <si>
    <t>1848.7</t>
  </si>
  <si>
    <t>2220.4</t>
  </si>
  <si>
    <t>3537.1</t>
  </si>
  <si>
    <t>16.6</t>
  </si>
  <si>
    <t>20.8</t>
  </si>
  <si>
    <t>36.3</t>
  </si>
  <si>
    <t>21.5</t>
  </si>
  <si>
    <t>23.6</t>
  </si>
  <si>
    <t>41.6</t>
  </si>
  <si>
    <t>54.5</t>
  </si>
  <si>
    <t>97.7</t>
  </si>
  <si>
    <t>23.3</t>
  </si>
  <si>
    <t>31.9</t>
  </si>
  <si>
    <t>40.3</t>
  </si>
  <si>
    <t>49.8</t>
  </si>
  <si>
    <t>64.9</t>
  </si>
  <si>
    <t>77.9</t>
  </si>
  <si>
    <t>91.7</t>
  </si>
  <si>
    <t>106.1</t>
  </si>
  <si>
    <t>137.9</t>
  </si>
  <si>
    <t>176.5</t>
  </si>
  <si>
    <t>216.3</t>
  </si>
  <si>
    <t>259.4</t>
  </si>
  <si>
    <t>316.2</t>
  </si>
  <si>
    <t>411.9</t>
  </si>
  <si>
    <t>14.5</t>
  </si>
  <si>
    <t>18.1</t>
  </si>
  <si>
    <t>36.7</t>
  </si>
  <si>
    <t>60.4</t>
  </si>
  <si>
    <t>79.7</t>
  </si>
  <si>
    <t>94.7</t>
  </si>
  <si>
    <t>111.8</t>
  </si>
  <si>
    <t>129.3</t>
  </si>
  <si>
    <t>168.4</t>
  </si>
  <si>
    <t>215.1</t>
  </si>
  <si>
    <t>264.1</t>
  </si>
  <si>
    <t>317.2</t>
  </si>
  <si>
    <t>505.3</t>
  </si>
  <si>
    <t>12.5</t>
  </si>
  <si>
    <t>41.5</t>
  </si>
  <si>
    <t>5.2</t>
  </si>
  <si>
    <t>5.4</t>
  </si>
  <si>
    <t>5.5</t>
  </si>
  <si>
    <t>5.7</t>
  </si>
  <si>
    <t>5.9</t>
  </si>
  <si>
    <t>6.3</t>
  </si>
  <si>
    <t>6.6</t>
  </si>
  <si>
    <t>7.7</t>
  </si>
  <si>
    <t>8.4</t>
  </si>
  <si>
    <t>9.1</t>
  </si>
  <si>
    <t>9.8</t>
  </si>
  <si>
    <t>10.5</t>
  </si>
  <si>
    <t>11.9</t>
  </si>
  <si>
    <t>6.8</t>
  </si>
  <si>
    <t>7.2</t>
  </si>
  <si>
    <t>8.1</t>
  </si>
  <si>
    <t>8.6</t>
  </si>
  <si>
    <t>9.9</t>
  </si>
  <si>
    <t>10.8</t>
  </si>
  <si>
    <t>11.7</t>
  </si>
  <si>
    <t>12.6</t>
  </si>
  <si>
    <t>13.5</t>
  </si>
  <si>
    <t>15.3</t>
  </si>
  <si>
    <t>24.5</t>
  </si>
  <si>
    <t>100.5</t>
  </si>
  <si>
    <t>106.5</t>
  </si>
  <si>
    <t>105.5</t>
  </si>
  <si>
    <t>107.5</t>
  </si>
  <si>
    <t>110.5</t>
  </si>
  <si>
    <t>112.5</t>
  </si>
  <si>
    <t>115.5</t>
  </si>
  <si>
    <t>117.5</t>
  </si>
  <si>
    <t>122.5</t>
  </si>
  <si>
    <t>147.5</t>
  </si>
  <si>
    <t>157.5</t>
  </si>
  <si>
    <t>167.5</t>
  </si>
  <si>
    <t>92.5</t>
  </si>
  <si>
    <t>94.5</t>
  </si>
  <si>
    <t>220.8</t>
  </si>
  <si>
    <t>275.1</t>
  </si>
  <si>
    <t>328.6</t>
  </si>
  <si>
    <t>144.1</t>
  </si>
  <si>
    <t>166.9</t>
  </si>
  <si>
    <t>largura.do.corpo</t>
  </si>
  <si>
    <t>profundidade.do.corpo</t>
  </si>
  <si>
    <t>tipo</t>
  </si>
  <si>
    <t>comprimento</t>
  </si>
  <si>
    <t>categoria.revit</t>
  </si>
  <si>
    <t>classe.ifc</t>
  </si>
  <si>
    <t>Torneira</t>
  </si>
  <si>
    <t>Luva</t>
  </si>
  <si>
    <t>Té</t>
  </si>
  <si>
    <t>Entrada</t>
  </si>
  <si>
    <t>Saída</t>
  </si>
  <si>
    <t>Transição</t>
  </si>
  <si>
    <t>Junção</t>
  </si>
  <si>
    <t>Cruzeta</t>
  </si>
  <si>
    <t>Cap</t>
  </si>
  <si>
    <t>Conexão utilizada para mudar a direção da tubulação 90° longa.</t>
  </si>
  <si>
    <t>Conexão utilizada para mudar a direção da tubulação 90° curta.</t>
  </si>
  <si>
    <t>Conexão utilizada para mudar a direção da tubulação a 45°.</t>
  </si>
  <si>
    <t>Conexão utilizada para mudar a direção da tubulação a 22.5°.</t>
  </si>
  <si>
    <t>Conexão utilizada para mudar a direção da tubulação a 11.25°.</t>
  </si>
  <si>
    <t>Conexão utilizada para mudar a direção da tubulação a 90°.</t>
  </si>
  <si>
    <t>Luva.de.Correr</t>
  </si>
  <si>
    <t>Conexões de tubulação que permitem alterar as conexões ou materiais.</t>
  </si>
  <si>
    <t>Tubo.Rígido</t>
  </si>
  <si>
    <t>Conexão usada para unir duas peças do mesmo diámetro.</t>
  </si>
  <si>
    <t>Conexão usada normalmente para reparar um tubo.</t>
  </si>
  <si>
    <t>Conexão usada para redistribuir o fluxo e/ou alterar diámetros.</t>
  </si>
  <si>
    <t>Válvula de saneamento básico Linha Euro 20.</t>
  </si>
  <si>
    <t>Tubo ponta e bolsa.</t>
  </si>
  <si>
    <t>Tubo ponta e flange.</t>
  </si>
  <si>
    <t>Tubo ponta e ponta.</t>
  </si>
  <si>
    <t>Tubo flange e flange.</t>
  </si>
  <si>
    <t>Segmento rígido de tubulação.</t>
  </si>
  <si>
    <t>Segmentos flexível de tubo.</t>
  </si>
  <si>
    <t>Conexões de fechamento da tubulação.</t>
  </si>
  <si>
    <t>Tubo rosca e rosca.</t>
  </si>
  <si>
    <t>Junta flangeada.</t>
  </si>
  <si>
    <t>Junta com abraçadeira linha SMU da Saint Gobain.</t>
  </si>
  <si>
    <t>Junta soldável.</t>
  </si>
  <si>
    <t>Junta roscável.</t>
  </si>
  <si>
    <t>Junta soldável por termofusão.</t>
  </si>
  <si>
    <t>Redução.Concêntrica</t>
  </si>
  <si>
    <t>Redução.Excêntrica</t>
  </si>
  <si>
    <t>Conexão utilizada para mudar a direção da tubulação 90° com visita.</t>
  </si>
  <si>
    <t>Junta de pressão.</t>
  </si>
  <si>
    <t>Abraçadeira</t>
  </si>
  <si>
    <t>Haste</t>
  </si>
  <si>
    <t>Volante</t>
  </si>
  <si>
    <t>Acessório tipo abraçadeira para pendurar a tubulação.</t>
  </si>
  <si>
    <t>Acessório tipo haste de manobra.</t>
  </si>
  <si>
    <t>Acessório tipo volante de manobra.</t>
  </si>
  <si>
    <t>Conexão que tem normalmente duas juntas de tamanhos diferentes. Posicionadas concêntricas no eixo da peça.</t>
  </si>
  <si>
    <t>Conexão que tem normalmente duas juntas de tamanhos diferentes. Posicionadas excêntricas no eixo da peça.</t>
  </si>
  <si>
    <t>Sistema de ventilação do esgoto predial.</t>
  </si>
  <si>
    <t>Sistema urbano de coleta de esgotos.</t>
  </si>
  <si>
    <t>Sistema urbano de águas pluviais (aguas de tormentas que correm pela superfície urbana).</t>
  </si>
  <si>
    <t>Sistema de aguas de reciclagem (água que foi afetada negativamente por influência antropogênica).</t>
  </si>
  <si>
    <t>Sistema urbana de rede de água.</t>
  </si>
  <si>
    <t>Rede.de.Substâncias</t>
  </si>
  <si>
    <t>Rede.de.Descartes</t>
  </si>
  <si>
    <t>Sistema de rede de fornecimento de substâncias (combustíveis, por exemplo).</t>
  </si>
  <si>
    <t>Sistema de rede de esgoto de substâncias (substâncias especiais, por exemplo).</t>
  </si>
  <si>
    <t>Sistema de substâncias operacionais (combustíveis, líquidos hospitalares, etc.).</t>
  </si>
  <si>
    <t>Sistema de rede de combustíveis.</t>
  </si>
  <si>
    <t>Sistema de rede de gás ou líquido hospitalar.</t>
  </si>
  <si>
    <t>Rede.de.Combustíveis</t>
  </si>
  <si>
    <t>Rede.de.Alta.Tensão</t>
  </si>
  <si>
    <t>Ralo.Sifonado</t>
  </si>
  <si>
    <t>Ralo.Sifonado.Prolongado</t>
  </si>
  <si>
    <t>Ralo.Seco</t>
  </si>
  <si>
    <t>Ralo.Pluvial.Hemisfêrico</t>
  </si>
  <si>
    <t>Ralo.Lineal</t>
  </si>
  <si>
    <t>Ralo que possui um sifão interno que forma o chamado fecho hídrico.</t>
  </si>
  <si>
    <t>Ralo simples sem sifão para coletar agua de chuveiros e direcionar para um ralo sifonado.</t>
  </si>
  <si>
    <t>Ralo que possui um sifão interno que forma o chamado fecho hídrico e uma extensão para contrapisos profundos.</t>
  </si>
  <si>
    <t>Ralo com grelha de drenagem de formato de meia esfera (cúpula), para facilitar o escoamento da água pluvial e evitar entupimentos causados por folhas, resíduos sólidos ou objetos maiores.</t>
  </si>
  <si>
    <t>Rede.de.Agua</t>
  </si>
  <si>
    <t>Rede.de.Esgoto</t>
  </si>
  <si>
    <t>Rede.de.Tormenta</t>
  </si>
  <si>
    <t>Rede.de.Operacionalização</t>
  </si>
  <si>
    <t>Rede.de.Hospitalares</t>
  </si>
  <si>
    <t>Redes.Elétricas</t>
  </si>
  <si>
    <t>Redes.Telecom</t>
  </si>
  <si>
    <t>Rede.de.MT.Aérea</t>
  </si>
  <si>
    <t>Rede.de.MT.Subterrânea</t>
  </si>
  <si>
    <t>Rede.de.BT.Subterrânea</t>
  </si>
  <si>
    <t>Rede.de.BT.Aérea</t>
  </si>
  <si>
    <t>Rede elétrica aérea de Baixa Tensão até 1.000 volts (1Kv).</t>
  </si>
  <si>
    <t>Rede elétrica subterrânea de Baixa Tensão até 1.000 volts (1Kv).</t>
  </si>
  <si>
    <t>Rede elétrica aérea de Média Tensão entre 1 kV e 69 kV.</t>
  </si>
  <si>
    <t>Rede elétrica subterrânea de Média Tensão  entre 1 kV e 69 kV.</t>
  </si>
  <si>
    <t>Linha elétrica de transmissão de Alta Tensão com mais de 69 kV.</t>
  </si>
  <si>
    <t>Redes.Fluídos</t>
  </si>
  <si>
    <t>Rede.de.Fibra.Ótica.Aérea</t>
  </si>
  <si>
    <t>Rede.Aérea.de.Telefonia</t>
  </si>
  <si>
    <t>Rede.Aérea.de.Net.Fixa</t>
  </si>
  <si>
    <t>Rede.Aérea.de.Net.Móvel</t>
  </si>
  <si>
    <t>Rede.Subte.de.Fibra.Ótica</t>
  </si>
  <si>
    <t>Rede.Subte.de.Dados</t>
  </si>
  <si>
    <t>Rede.Subte.de.Net.Fixa</t>
  </si>
  <si>
    <t>Rede.Subte.de.Net.Móvel</t>
  </si>
  <si>
    <t>Rede.Aérea.de.Dados</t>
  </si>
  <si>
    <t>Rede.de.Agua.Residual</t>
  </si>
  <si>
    <t>Sistema de elétrica predial.</t>
  </si>
  <si>
    <t>Sistema de dados predial.</t>
  </si>
  <si>
    <t>Rede de telefonia aérea.</t>
  </si>
  <si>
    <t>Rede de telefonia subterrânea.</t>
  </si>
  <si>
    <t>Sistema de esgoto primário predial.</t>
  </si>
  <si>
    <t>Sistema de esgoto secundário predial.</t>
  </si>
  <si>
    <t>Sistema.de.Gas</t>
  </si>
  <si>
    <t>Sistema.de.Agua</t>
  </si>
  <si>
    <t>Sistema.de.Agua.Fria</t>
  </si>
  <si>
    <t>Sistema.de.Agua.Quente</t>
  </si>
  <si>
    <t>Sistema.de.Elétrica</t>
  </si>
  <si>
    <t>Sistema.de.Dados</t>
  </si>
  <si>
    <t>Sistema.de.Esgoto.Primário</t>
  </si>
  <si>
    <t>Sistema.de.Esgoto.Secundário</t>
  </si>
  <si>
    <t>Sistema.de.Ventilação</t>
  </si>
  <si>
    <t>Sistema.de.Pluvial</t>
  </si>
  <si>
    <t>Sistemas.Prediais</t>
  </si>
  <si>
    <t>Redes.Urbanas</t>
  </si>
  <si>
    <t>Sistema.de.Pararaios</t>
  </si>
  <si>
    <t>Sistema.de.Aterramento</t>
  </si>
  <si>
    <t>Rede.de.Iluminação.Pública</t>
  </si>
  <si>
    <t>Rede.de.Sinalização.Pública</t>
  </si>
  <si>
    <t>Caixa.Areia.Pluvial</t>
  </si>
  <si>
    <t>Ralo sem sifão em formato retangular e alongado. Instalado rente ao piso pode ter diversos comprimentos, adaptando-se ao espaço disponível.</t>
  </si>
  <si>
    <t>Tanque.de.Detenção</t>
  </si>
  <si>
    <t>Tanque.de.Atenuação</t>
  </si>
  <si>
    <t>Caixa.de.Gordura</t>
  </si>
  <si>
    <t>Caixa.de.Passagem</t>
  </si>
  <si>
    <t>Caixa.de.Inspecção</t>
  </si>
  <si>
    <t>Caixa utilizada nos condutores horizontais destinadas a permitir o acesso às tubulações para manutenção e verificação.</t>
  </si>
  <si>
    <t>Caixa utilizada nos condutores horizontais destinadas a interligar trechos da tubulação e direcionar o traçado.</t>
  </si>
  <si>
    <t>Caixa utilizada nos condutores horizontais destinadas a armazenar água e liberá-la lentamente para imitar os padrões naturais de fluxo.</t>
  </si>
  <si>
    <t>Caixa utilizada nos condutores horizontais destinadas a armazenar água temporariamente e liberá-la em uma taxa controlada.</t>
  </si>
  <si>
    <t>Caixa utilizada nos condutores horizontais destinadas a recolher detritos por deposição. NBR 10844.</t>
  </si>
  <si>
    <t>Caixa utilizada nos condutores horizontais destinadas a retér óleos e gorduras por decantação antes que alcancem a rede principal, evitando entupimentos.</t>
  </si>
  <si>
    <t>é.a.jusante.de</t>
  </si>
  <si>
    <t>CxaPa_01</t>
  </si>
  <si>
    <t>CxaPa_02</t>
  </si>
  <si>
    <t>CxaPa_03</t>
  </si>
  <si>
    <t>CxaPa_04</t>
  </si>
  <si>
    <t>Traçados</t>
  </si>
  <si>
    <t>Uniões</t>
  </si>
  <si>
    <t>Tubo.Rígido.PB</t>
  </si>
  <si>
    <t>Tubo.Rígido.PF</t>
  </si>
  <si>
    <t>Tubo.Rígido.FF</t>
  </si>
  <si>
    <t>Tubo.Rígido.PP</t>
  </si>
  <si>
    <t>Tubo.Rígido.RR</t>
  </si>
  <si>
    <t>Curva.90.Com.Pé</t>
  </si>
  <si>
    <t>Curva.90.Com.Visita</t>
  </si>
  <si>
    <t>Curva.90.Curta</t>
  </si>
  <si>
    <t>Curva.90.Longa</t>
  </si>
  <si>
    <t>Curva.90</t>
  </si>
  <si>
    <t>Curva.45</t>
  </si>
  <si>
    <t>Curva.22</t>
  </si>
  <si>
    <t>Curva.11</t>
  </si>
  <si>
    <t>Conexão utilizada para mudar a direção da tubulação 90° com pé usada na base de uma coluna de descarga vertical.</t>
  </si>
  <si>
    <t>Junta.Flangeada</t>
  </si>
  <si>
    <t>Junta.Elástica</t>
  </si>
  <si>
    <t>Junta.Travada.Interna</t>
  </si>
  <si>
    <t>Junta.Travada.Externa</t>
  </si>
  <si>
    <t>Junta.Mecânica</t>
  </si>
  <si>
    <t>Junta.SMU</t>
  </si>
  <si>
    <t>Junta.Roscável</t>
  </si>
  <si>
    <t>Junta.Soldável</t>
  </si>
  <si>
    <t>Junta.TermoFusão</t>
  </si>
  <si>
    <t>Junta.Pressão</t>
  </si>
  <si>
    <t>Junta travada internamente tipo JTI de tubos de FoFo.</t>
  </si>
  <si>
    <t>Junta travada externamente tipo JTE de tubos de FoFo..</t>
  </si>
  <si>
    <t>Junta travada mecanicamente tipo JM de tubos de FoFo.</t>
  </si>
  <si>
    <t>Válvula.Euro20</t>
  </si>
  <si>
    <t>Válvula.Borboleta</t>
  </si>
  <si>
    <t>Válvula.de.Globo</t>
  </si>
  <si>
    <t>Válvula.de.Vácuo</t>
  </si>
  <si>
    <t>Válvula.de.Desvio</t>
  </si>
  <si>
    <t>Válvula.de.Retenção</t>
  </si>
  <si>
    <t xml:space="preserve">Válvula.de.Isolamento </t>
  </si>
  <si>
    <t xml:space="preserve">Válvula.de.Fluxo </t>
  </si>
  <si>
    <t>Válvula.de.Antirrefluxo.Dupla</t>
  </si>
  <si>
    <t>Válvula.de.Regulação</t>
  </si>
  <si>
    <t>Válvula.de.Descarga</t>
  </si>
  <si>
    <t>Válvula.de.Gás</t>
  </si>
  <si>
    <t>Válvula.de.Segurança</t>
  </si>
  <si>
    <t>Válvula.Ventosa</t>
  </si>
  <si>
    <t>Válvula.Ventosa.Tríplice</t>
  </si>
  <si>
    <t>Válvula.de.Pressão</t>
  </si>
  <si>
    <t>Válvula.de.Alívio</t>
  </si>
  <si>
    <t>Válvula.de.Controle</t>
  </si>
  <si>
    <t>Válvula.de.Purga</t>
  </si>
  <si>
    <t>Válvula.de.Purga.Vapor</t>
  </si>
  <si>
    <t>"K7"</t>
  </si>
  <si>
    <t>"K9"</t>
  </si>
  <si>
    <t>"EURO21"</t>
  </si>
  <si>
    <t>"EURO22"</t>
  </si>
  <si>
    <t>ABNT</t>
  </si>
  <si>
    <t>000 Translate Classe 5</t>
  </si>
  <si>
    <t>Prof. José Luis Menegotto DEG/POLI/UFRJ</t>
  </si>
  <si>
    <t>Explanation</t>
  </si>
  <si>
    <t>Idioma</t>
  </si>
  <si>
    <t>pt</t>
  </si>
  <si>
    <t>es</t>
  </si>
  <si>
    <t>en</t>
  </si>
  <si>
    <t>Gasoduto</t>
  </si>
  <si>
    <t>Oleoduto</t>
  </si>
  <si>
    <t>Complexos.de.Dutos</t>
  </si>
  <si>
    <t>Mineroduto</t>
  </si>
  <si>
    <t>Carboduto</t>
  </si>
  <si>
    <t>Poliduto</t>
  </si>
  <si>
    <t>Transporta gás natural ou gases industriais.</t>
  </si>
  <si>
    <t>Transporta diferentes líquidos (óleo diesel, biodiesel, etanol, gasolina) na mesma tubulação.</t>
  </si>
  <si>
    <t>Transporta petróleo bruto ou derivados como gasolina, diesel, querosene, nafta. Pode transportar também biocombustíveis como etanol e biodiesel.</t>
  </si>
  <si>
    <t>Transporta especificamente carvão mineral.</t>
  </si>
  <si>
    <t>Transporta polpas minerais (minério de ferro, fosfato, sal-gema) misturadas com água.</t>
  </si>
  <si>
    <t>Tubo.de.FoFo</t>
  </si>
  <si>
    <t>Tubo.de.PVC</t>
  </si>
  <si>
    <t>Tubo.de.Latão</t>
  </si>
  <si>
    <t>Tubo.de.Cobre</t>
  </si>
  <si>
    <t>Tubo.de.PEAD</t>
  </si>
  <si>
    <t>Tubo.de.PVCO</t>
  </si>
  <si>
    <t>Redes.Prediais</t>
  </si>
  <si>
    <t>Redes.Industriais</t>
  </si>
  <si>
    <t>"Seção de Tubos do Catálogo de produtos de tubulações para saneamento básico da Saint Gobain Canalizações"</t>
  </si>
  <si>
    <t>"Seção de Válvulas do Catálogo de produtos de tubulações para saneamento básico da Saint Gobain Canalizações"</t>
  </si>
  <si>
    <t>"Tigre"</t>
  </si>
  <si>
    <t>"Uma caixa de passagem da Tigre"</t>
  </si>
  <si>
    <t>Instalações</t>
  </si>
  <si>
    <t>[ IfcMaterial ]</t>
  </si>
  <si>
    <t>[ OST_PipingSystem ]</t>
  </si>
  <si>
    <t>[ IfcDistributionSystemWATERSUPPLY ]</t>
  </si>
  <si>
    <t>[ 3E.42 ]</t>
  </si>
  <si>
    <t>[ IfcDistributionSystemCONVEYING ]</t>
  </si>
  <si>
    <t>[ IfcDistributionSystemFUEL ]</t>
  </si>
  <si>
    <t>[ IfcDistributionSystemOPERATIONAL ]</t>
  </si>
  <si>
    <t>[ IfcDistributionSystemSTORMWATER ]</t>
  </si>
  <si>
    <t>[ IfcDistributionSystemWASTEWATER ]</t>
  </si>
  <si>
    <t>[ IfcDistributionSystemSEWAGE ]</t>
  </si>
  <si>
    <t>[ IfcDistributionSystemDISPOSAL ]</t>
  </si>
  <si>
    <t>[ IfcDistributionSystemHAZARDOUS ]</t>
  </si>
  <si>
    <t>[ OST_ElecDistributionSys ]</t>
  </si>
  <si>
    <t>[ IfcDistributionSystemCATENARY_SYSTEM ]</t>
  </si>
  <si>
    <t>[ 3E.26.12 ]</t>
  </si>
  <si>
    <t>[ IfcDistributionSystemLIGHTING ]</t>
  </si>
  <si>
    <t>[ IfcDistributionSystemSIGNAL ]</t>
  </si>
  <si>
    <t>[ IfcDistributionSystemTELEPHONE ]</t>
  </si>
  <si>
    <t>[ IfcDistributionSystemDATA ]</t>
  </si>
  <si>
    <t>[ IfcDistributionSystemFIXEDTRANSMISSIONNETWORK ]</t>
  </si>
  <si>
    <t>[ IfcDistributionSystemMOBILENETWORK ]</t>
  </si>
  <si>
    <t>[ IfcDistributionSystemDOMESTICCOLDWATER ]</t>
  </si>
  <si>
    <t>[ IfcDistributionSystemDOMESTICHOTWATER ]</t>
  </si>
  <si>
    <t>[ IfcDistributionSystemGAS ]</t>
  </si>
  <si>
    <t>[ IfcDistributionSystemELECTRICAL ]</t>
  </si>
  <si>
    <t>[ IfcDistributionSystemVENT ]</t>
  </si>
  <si>
    <t>[ IfcDistributionSystemRAINWATER ]</t>
  </si>
  <si>
    <t>[ IfcDistributionSystemEARTHING ]</t>
  </si>
  <si>
    <t>[ IfcDistributionSystemLIGHTNINGPROTECTION ]</t>
  </si>
  <si>
    <t>[ OST_PipeConnections ]</t>
  </si>
  <si>
    <t>[ IfcPipeFittingCONNECTOR ]</t>
  </si>
  <si>
    <t>[ OST_PipeFitting ]</t>
  </si>
  <si>
    <t>[ IfcWasteTerminal ]</t>
  </si>
  <si>
    <t>[ OST_PipeSegments ]</t>
  </si>
  <si>
    <t>[ IfcPipeSegmentFLEXIBLESEGMENT ]</t>
  </si>
  <si>
    <t>[ IfcPipeSegmentRIGIDSEGMENT ]</t>
  </si>
  <si>
    <t>[ IfcPipeFittingBEND ]</t>
  </si>
  <si>
    <t>[ IfcPipeFittingJUNCTION ]</t>
  </si>
  <si>
    <t>[ IfcPipeFittingTRANSITION ]</t>
  </si>
  <si>
    <t>[ IfcPipeFittingOBSTRUCTION ]</t>
  </si>
  <si>
    <t>[ IfcPipeFittingENTRY ]</t>
  </si>
  <si>
    <t>[ IfcPipeFittingEXIT ]</t>
  </si>
  <si>
    <t>[ IfcValve ]</t>
  </si>
  <si>
    <t>[ OST_PipeAccessory ]</t>
  </si>
  <si>
    <t>[ IfcDiscreteAccessoryBRACKET ]</t>
  </si>
  <si>
    <t>[ IfcDiscreteAccessory ]</t>
  </si>
  <si>
    <t>[ 0M.20.60.07.16 ]</t>
  </si>
  <si>
    <t>[ 0M.20.20.01.07.03 ]</t>
  </si>
  <si>
    <t>[ 0M.20.20.01.01 ]</t>
  </si>
  <si>
    <t>[ 0M.20.20.05.01 ]</t>
  </si>
  <si>
    <t>[ 0M.20.20.05 ]</t>
  </si>
  <si>
    <t>[ 0M.20.60.07.09 ]</t>
  </si>
  <si>
    <t>Sistema de red de agua urbana.</t>
  </si>
  <si>
    <t>Un sistema de red para el suministro de sustancias (por ejemplo, combustibles).</t>
  </si>
  <si>
    <t>Sistema de red de combustible.</t>
  </si>
  <si>
    <t>Sistema de sustancias operativas (combustibles, fluidos hospitalarios, etc.).</t>
  </si>
  <si>
    <t>Sistema de agua de lluvia urbana (agua pluvial que corre por la superficie urbana).</t>
  </si>
  <si>
    <t>Sistema de reciclaje de agua (agua que ha sido afectada negativamente por influencia antropogénica).</t>
  </si>
  <si>
    <t>Sistema de recogida de aguas residuales urbanas.</t>
  </si>
  <si>
    <t>Sistema de alcantarillado para sustancias (por ejemplo, sustancias especiales).</t>
  </si>
  <si>
    <t>Sistema de red de gas o líquido del hospital.</t>
  </si>
  <si>
    <t>Línea de transmisión de alta tensión con más de 69 kV.</t>
  </si>
  <si>
    <t>Red eléctrica aérea de media tensión entre 1 kV y 69 kV.</t>
  </si>
  <si>
    <t>Red eléctrica subterránea de media tensión entre 1 kV y 69 kV.</t>
  </si>
  <si>
    <t>Red eléctrica aérea de baja tensión de hasta 1.000 voltios (1 Kv).</t>
  </si>
  <si>
    <t>Red eléctrica subterránea de baja tensión de hasta 1.000 voltios (1Kv).</t>
  </si>
  <si>
    <t>Red de fibra óptica aérea.</t>
  </si>
  <si>
    <t>Red de telefonía aérea.</t>
  </si>
  <si>
    <t>Red de Internet fija aérea.</t>
  </si>
  <si>
    <t>Sistema de suministro de agua potable en la calle.</t>
  </si>
  <si>
    <t>Sistema de toma de tierra.</t>
  </si>
  <si>
    <t>Sistema de pararrayos.</t>
  </si>
  <si>
    <t>Junta con brida.</t>
  </si>
  <si>
    <t>Junta elástica tipo JGS de tuberías FoFo.</t>
  </si>
  <si>
    <t>Junta JTI de tubería FoFo con bloqueo interno.</t>
  </si>
  <si>
    <t>Junta bloqueada externamente tipo JTE de tuberías FoFo...</t>
  </si>
  <si>
    <t>Junta mecánicamente bloqueada tipo JM de tuberías FoFo.</t>
  </si>
  <si>
    <t>Junta con línea SMU de abrazadera de Saint Gobain.</t>
  </si>
  <si>
    <t>Articulación roscada.</t>
  </si>
  <si>
    <t>Articulación soldable.</t>
  </si>
  <si>
    <t>Junta soldable por termofusión.</t>
  </si>
  <si>
    <t>Junta de presión.</t>
  </si>
  <si>
    <t>Caja utilizada en conductores horizontales destinada a recoger residuos mediante deposición. NBR 10844.</t>
  </si>
  <si>
    <t>Caja utilizada en los conductores horizontales destinada a almacenar agua temporalmente y liberarla a una velocidad controlada.</t>
  </si>
  <si>
    <t>Caja utilizada en los conductores horizontales destinada a almacenar agua y liberarla lentamente para imitar patrones naturales de flujo.</t>
  </si>
  <si>
    <t>Caja utilizada en conductores horizontales destinada a retener aceites y grasas por decantación antes de que lleguen a la red principal, evitando obstrucciones.</t>
  </si>
  <si>
    <t>Caja utilizada en conductores horizontales destinada a interconectar secciones de la tubería y dirigir la ruta.</t>
  </si>
  <si>
    <t>Caja utilizada en los conductores horizontales destinada a permitir el acceso a las tuberías para mantenimiento y comprobación.</t>
  </si>
  <si>
    <t>Desagüe sencillo sin sifón para recoger el agua de las duchas y dirigirla a un desagüe sifonado.</t>
  </si>
  <si>
    <t>Drenaje que tiene un sifón interno que forma el llamado cierre de agua.</t>
  </si>
  <si>
    <t>Un desagüe que tiene un sifón interno que forma el llamado cierre de agua y una extensión para los subsuelos profundos.</t>
  </si>
  <si>
    <t>Drenar con una rejilla de drenaje de media esfera (cúpula), para facilitar el drenaje del agua de lluvia y evitar obstrucciones causadas por hojas, residuos sólidos u objetos más grandes.</t>
  </si>
  <si>
    <t>Desagüe sin sifón en forma rectangular y alargada. Instalado a ras con el suelo, puede tener diferentes longitudes, adaptándose al espacio disponible.</t>
  </si>
  <si>
    <t>Segmentos flexibles de tubería.</t>
  </si>
  <si>
    <t>Segmento rígido de tubería.</t>
  </si>
  <si>
    <t>Punta de tubo y bolsa.</t>
  </si>
  <si>
    <t>Punta y brida del tubo.</t>
  </si>
  <si>
    <t>Brida y brida de tubería.</t>
  </si>
  <si>
    <t>Punta y punta de tubo.</t>
  </si>
  <si>
    <t>Hilo y rosco de tubería.</t>
  </si>
  <si>
    <t>Conexión utilizada para cambiar la dirección del tubo de 90° con el pie en la base de una columna de descarga vertical.</t>
  </si>
  <si>
    <t>La conexión se utiliza para cambiar la dirección de la tubería de 90° con la visita.</t>
  </si>
  <si>
    <t>La conexión se utiliza para cambiar la dirección del tubo 90° corto.</t>
  </si>
  <si>
    <t>La conexión se utiliza para cambiar la dirección del tubo a 90° de longitud.</t>
  </si>
  <si>
    <t>La conexión se utiliza para cambiar la dirección de la tubería a 90°.</t>
  </si>
  <si>
    <t>Conexión usada para cambiar la dirección de la tubería a 45°.</t>
  </si>
  <si>
    <t>La conexión se usa para cambiar la dirección de la tubería a 22,5°.</t>
  </si>
  <si>
    <t>La conexión se utiliza para cambiar la dirección de la tubería a 11,25°.</t>
  </si>
  <si>
    <t>Conexión utilizada para unir dos piezas del mismo diámetro.</t>
  </si>
  <si>
    <t>Un accesorio que normalmente se usa para reparar una tubería.</t>
  </si>
  <si>
    <t>Conexión utilizada para redistribuir el flujo y/o cambiar los diámetros.</t>
  </si>
  <si>
    <t>Conexión que normalmente tiene dos uniones de diferentes tamaños. Posicionada concéntricamente sobre el eje de la pieza.</t>
  </si>
  <si>
    <t>Conexión que normalmente tiene dos uniones de diferentes tamaños. Posicionada excéntrica sobre el eje de la pieza de trabajo.</t>
  </si>
  <si>
    <t>Conexiones de tubería que permiten cambiar las conexiones o los materiales.</t>
  </si>
  <si>
    <t>Conexiones de cierre de tuberías.</t>
  </si>
  <si>
    <t>Conexión de entrada, normalmente desconectada en un puerto y conectada a un sistema de distribución de flujo.</t>
  </si>
  <si>
    <t>Conexión de salida, normalmente desconectada en un puerto y conectada a un sistema de distribución de flujo.</t>
  </si>
  <si>
    <t>Línea Euro 20 de válvula básica de saneamiento.</t>
  </si>
  <si>
    <t>La válvula se utiliza en sistemas de distribución de fontanería para servicios de construcción.</t>
  </si>
  <si>
    <t>Válvula que cierra el flujo en una tubería.</t>
  </si>
  <si>
    <t>Válvula que se abre para admitir aire cuando la presión baja por debajo de la presión atmosférica.</t>
  </si>
  <si>
    <t>Válvula que permite el intercambio de flujo entre tuberías (3 o 4 puertos).</t>
  </si>
  <si>
    <t>Válvula que permite que el agua fluya solo en una dirección y se cierra cuando no hay flujo (2 puertos).</t>
  </si>
  <si>
    <t>Válvula utilizada para facilitar la puesta en marcha del sistema (2 puertos).</t>
  </si>
  <si>
    <t>Válvula que permite desviar el flujo de una rama de una tubería a otra (3 puertos).</t>
  </si>
  <si>
    <t>Un conjunto que incorpora dos válvulas que se usan para evitar el reflujo de combustible.</t>
  </si>
  <si>
    <t>Válvula utilizada para facilitar la regulación del flujo de fluidos en un sistema.</t>
  </si>
  <si>
    <t>Válvula que libera una cantidad predeterminada de agua para limpiar un inodoro, urinario, etc.</t>
  </si>
  <si>
    <t>Válvula usada para controlar el flujo de gas.</t>
  </si>
  <si>
    <t>El grifo de gas se utiliza normalmente para ventilar o expulsar gas de un sistema.</t>
  </si>
  <si>
    <t>Válvula utilizada para liberar aire de una tubería o accesorio.</t>
  </si>
  <si>
    <t>Válvula que permite mezclar el flujo de dos ramas de un tubo (3 puertos).</t>
  </si>
  <si>
    <t>Una válvula que reduce la presión de un fluido inmediatamente aguas abajo de su posición en una tubería.</t>
  </si>
  <si>
    <t>Válvula cargada con muelle o peso que descarga automáticamente el fluido a un lugar seguro.</t>
  </si>
  <si>
    <t>Válvula utilizada para extraer fluido del sistema de tuberías.</t>
  </si>
  <si>
    <t>Válvula que restringe el flujo de vapor, permitiendo que el condensado pase.</t>
  </si>
  <si>
    <t>Accesorio tipo abrazadera para colgar la tubería.</t>
  </si>
  <si>
    <t>Accesorio tipo varilla de maniobra.</t>
  </si>
  <si>
    <t>Tipo accesorio tipo volante.</t>
  </si>
  <si>
    <t>Transporta gas natural o gases industriales.</t>
  </si>
  <si>
    <t>Transporta crudo o derivados como gasolina, diésel, queroseno y nafta. También puede transportar biocombustibles como etanol y biodiésel.</t>
  </si>
  <si>
    <t>Transporta lodos minerales (mineral de hierro, fosfato, sal gema) mezclados con agua.</t>
  </si>
  <si>
    <t>Transporta específicamente carbón.</t>
  </si>
  <si>
    <t>Transporta diferentes líquidos (gasóleo, biodiésel, etanol, gasolina) en la misma oleoducción.</t>
  </si>
  <si>
    <t>Spring or weight‑loaded valve that automatically discharges the fluid to a safe location.</t>
  </si>
  <si>
    <t>Urban water network system.</t>
  </si>
  <si>
    <t>A network system for the supply of substances (e.g. fuels).</t>
  </si>
  <si>
    <t>Fuel network system.</t>
  </si>
  <si>
    <t>System of operational substances (fuels, hospital fluids, etc.).</t>
  </si>
  <si>
    <t>Urban rainwater system (storm water that runs across the urban surface).</t>
  </si>
  <si>
    <t>Recycling water system (water that has been negatively affected by anthropogenic influence).</t>
  </si>
  <si>
    <t>Urban sewage collection system.</t>
  </si>
  <si>
    <t>Sewage system for substances (special substances, for example).</t>
  </si>
  <si>
    <t>Hospital gas or liquid network system.</t>
  </si>
  <si>
    <t>High Voltage transmission power line with more than 69 kV.</t>
  </si>
  <si>
    <t>Medium Voltage overhead power grid between 1 kV and 69 kV.</t>
  </si>
  <si>
    <t>Medium Voltage underground electrical network between 1 kV and 69 kV.</t>
  </si>
  <si>
    <t>Low Voltage overhead power grid up to 1,000 volts (1Kv).</t>
  </si>
  <si>
    <t>Low Voltage underground electrical network up to 1,000 volts (1Kv).</t>
  </si>
  <si>
    <t>Urban public lighting electrical network.</t>
  </si>
  <si>
    <t>Urban public signaling electrical network (traffic signals and totems).</t>
  </si>
  <si>
    <t>Aerial Fiber Optic Network.</t>
  </si>
  <si>
    <t>Air telephone network.</t>
  </si>
  <si>
    <t>Network data overhead logic.</t>
  </si>
  <si>
    <t>Aerial Fixed Internet Network.</t>
  </si>
  <si>
    <t>Aerial Mobile Internet Network.</t>
  </si>
  <si>
    <t>Underground telephone network.</t>
  </si>
  <si>
    <t>Network data underground logic.</t>
  </si>
  <si>
    <t>Underground Fixed Internet Network.</t>
  </si>
  <si>
    <t>Underground Mobile Internet Network.</t>
  </si>
  <si>
    <t>Street drinking water supply system.</t>
  </si>
  <si>
    <t>Cold water distribution system.</t>
  </si>
  <si>
    <t>Hot water distribution system.</t>
  </si>
  <si>
    <t>Gas piping system.</t>
  </si>
  <si>
    <t>Building electrical system.</t>
  </si>
  <si>
    <t>Building data system.</t>
  </si>
  <si>
    <t>Building primary sewage system.</t>
  </si>
  <si>
    <t>Building secondary sewage system.</t>
  </si>
  <si>
    <t>Building sewer ventilation system.</t>
  </si>
  <si>
    <t>Rainwater piping system (rainwater that falls directly on a plot).</t>
  </si>
  <si>
    <t>Grounding system.</t>
  </si>
  <si>
    <t>Lightning rod system.</t>
  </si>
  <si>
    <t>Flanged joint.</t>
  </si>
  <si>
    <t>JGS type elastic joint of FoFo pipes.</t>
  </si>
  <si>
    <t>Internally locked joint type JTI of FoFo pipes.</t>
  </si>
  <si>
    <t>Externally locked joint type JTE of FoFo pipes..</t>
  </si>
  <si>
    <t>Mechanically locked joint type JM of FoFo pipes.</t>
  </si>
  <si>
    <t>Gasket with clamp SMU line from Saint Gobain.</t>
  </si>
  <si>
    <t>Threaded joint.</t>
  </si>
  <si>
    <t>Weldable joint.</t>
  </si>
  <si>
    <t>Weldable joint by thermofusion.</t>
  </si>
  <si>
    <t>Pressure gasket.</t>
  </si>
  <si>
    <t>Box used in horizontal conductors intended to collect debris by deposition. NBR 10844.</t>
  </si>
  <si>
    <t>Box used in the horizontal conductors intended to temporarily store water and release it at a controlled rate.</t>
  </si>
  <si>
    <t>Box used in the horizontal conductors intended to store water and release it slowly to mimic natural flow patterns.</t>
  </si>
  <si>
    <t>Box used in horizontal conductors intended to retain oils and fats by decantation before they reach the main network, avoiding clogging.</t>
  </si>
  <si>
    <t>Box used in horizontal conductors intended to interconnect sections of the pipe and direct the route.</t>
  </si>
  <si>
    <t>Box used in the horizontal conductors intended to allow access to the pipes for maintenance and checking.</t>
  </si>
  <si>
    <t>Simple drain without siphon to collect water from showers and direct it to a siphoned drain.</t>
  </si>
  <si>
    <t>Drain that has an internal siphon that forms the so-called water closure.</t>
  </si>
  <si>
    <t>Drain that has an internal siphon that forms the so-called water closure and an extension for deep subfloors.</t>
  </si>
  <si>
    <t>Drain with half-sphere (dome) drainage grid, to facilitate the drainage of rainwater and avoid clogs caused by leaves, solid residues or larger objects.</t>
  </si>
  <si>
    <t>Drain without siphon in rectangular and elongated shape. Installed flush with the floor, it can have different lengths, adapting to the available space.</t>
  </si>
  <si>
    <t>Flexible pipe segments.</t>
  </si>
  <si>
    <t>Rigid pipe segment.</t>
  </si>
  <si>
    <t>Tube tip and bag.</t>
  </si>
  <si>
    <t>Tube tip and flange.</t>
  </si>
  <si>
    <t>Pipe flange and flange.</t>
  </si>
  <si>
    <t>Tube tip and tip.</t>
  </si>
  <si>
    <t>Pipe thread and thread.</t>
  </si>
  <si>
    <t>Connection used to change the direction of the 90° tubing with foot used at the base of a vertical discharge column.</t>
  </si>
  <si>
    <t>Connection used to change the direction of the 90° pipe with visit.</t>
  </si>
  <si>
    <t>Connection used to change the direction of the tubing 90° short.</t>
  </si>
  <si>
    <t>Connection used to change the direction of the tubing 90° long.</t>
  </si>
  <si>
    <t>Connection used to change the direction of the pipe at 90°.</t>
  </si>
  <si>
    <t>Connection used to change the direction of the pipe at 45°.</t>
  </si>
  <si>
    <t>Connection used to change the direction of the pipe at 22.5°.</t>
  </si>
  <si>
    <t>Connection used to change the direction of the pipe to 11.25°.</t>
  </si>
  <si>
    <t>Connection used to join two pieces of the same diameter.</t>
  </si>
  <si>
    <t>Fitting normally used to repair a pipe.</t>
  </si>
  <si>
    <t>Connection used to redistribute flow and/or change diameters.</t>
  </si>
  <si>
    <t>Connection that usually has two joints of different sizes. Positioned concentrically on the axis of the part.</t>
  </si>
  <si>
    <t>Connection that usually has two joints of different sizes. Positioned eccentrically on the axis of the workpiece.</t>
  </si>
  <si>
    <t>Pipe connections that allow you to change the connections or materials.</t>
  </si>
  <si>
    <t>Pipe closing connections.</t>
  </si>
  <si>
    <t>Inlet connection, usually disconnected into a port and connected to a flow distribution system.</t>
  </si>
  <si>
    <t>Output connection, usually disconnected into a port and connected to a flow distribution system.</t>
  </si>
  <si>
    <t>Basic sanitation valve Euro 20 line.</t>
  </si>
  <si>
    <t>Valve is used in plumbing distribution system for construction services.</t>
  </si>
  <si>
    <t>Valve that shuts off the flow in a pipeline.</t>
  </si>
  <si>
    <t>Valve that opens to admit air when the pressure drops below atmospheric pressure.</t>
  </si>
  <si>
    <t>Valve that allows the flow exchange between pipes (3 or 4 ports).</t>
  </si>
  <si>
    <t>Valve that allows water to flow in only one direction and is closed when there is no flow (2 ports).</t>
  </si>
  <si>
    <t>Valve used to facilitate system commissioning (2 ports).</t>
  </si>
  <si>
    <t>Valve that allows flow to be diverted from one branch of a pipe to another (3 ports).</t>
  </si>
  <si>
    <t>Set that incorporates two valves used to prevent backflow.</t>
  </si>
  <si>
    <t>Valve used to facilitate the regulation of fluid flow in a system.</t>
  </si>
  <si>
    <t>Valve that releases a predetermined amount of water to clean a toilet, urinal, etc.</t>
  </si>
  <si>
    <t>Valve used to control the flow of gas.</t>
  </si>
  <si>
    <t>Gas faucet is typically used to vent or discharge gas from a system.</t>
  </si>
  <si>
    <t>Valve used to release air from a pipe or fitting.</t>
  </si>
  <si>
    <t>Valve that allows mixing the flow of two branches of a pipe (3 ports).</t>
  </si>
  <si>
    <t>A valve that reduces the pressure of a fluid immediately downstream of its position in a pipeline.</t>
  </si>
  <si>
    <t>Valve used to remove fluid from piping system.</t>
  </si>
  <si>
    <t>Valve that restricts the flow of steam, allowing condensate to pass through.</t>
  </si>
  <si>
    <t>Clamp type accessory to hang the pipe.</t>
  </si>
  <si>
    <t>Maneuvering rod type accessory.</t>
  </si>
  <si>
    <t>Steering wheel type accessory.</t>
  </si>
  <si>
    <t>It transports natural gas or industrial gases.</t>
  </si>
  <si>
    <t>It transports crude oil or derivatives such as gasoline, diesel, kerosene, naphtha. It can also transport biofuels such as ethanol and biodiesel.</t>
  </si>
  <si>
    <t>It transports mineral slurries (iron ore, phosphate, rock salt) mixed with water.</t>
  </si>
  <si>
    <t>It specifically transports coal.</t>
  </si>
  <si>
    <t>It transports different liquids (diesel oil, biodiesel, ethanol, gasoline) in the same pipeline.</t>
  </si>
  <si>
    <t>diâmetro.da.ponta</t>
  </si>
  <si>
    <t>diâmetro</t>
  </si>
  <si>
    <t>quem.fabricou</t>
  </si>
  <si>
    <t>código.abnt</t>
  </si>
  <si>
    <t>"[ 0M.20.20.01.07.03 ]"</t>
  </si>
  <si>
    <t>diâmetro.da.bolsa.externo</t>
  </si>
  <si>
    <t>diâmetro.da.bolsa.interno</t>
  </si>
  <si>
    <t>"[ OST_PipeSegments ]"</t>
  </si>
  <si>
    <t>"[ OST_PipeFitting ]"</t>
  </si>
  <si>
    <t>"[ IfcPipeSegment ]"</t>
  </si>
  <si>
    <t>"[ IfcValve ]"</t>
  </si>
  <si>
    <t>"[ IfcWasteTerminal ]"</t>
  </si>
  <si>
    <t>Conceitos</t>
  </si>
  <si>
    <t>Projeto</t>
  </si>
  <si>
    <t>Tub.Gás</t>
  </si>
  <si>
    <t>Tub.Avac</t>
  </si>
  <si>
    <t>[ OST_PipeSegments : OST_PipeFitting : OST_PipeAccessory ]</t>
  </si>
  <si>
    <t>[ IfcPipeSegment : IfcPipeFitting : IfcValve : IfcDiscreteAccessory ]</t>
  </si>
  <si>
    <t>Tubulação Sanitária.</t>
  </si>
  <si>
    <t>Tuberías higiénicas.</t>
  </si>
  <si>
    <t>Tubo de vacío.</t>
  </si>
  <si>
    <t>Pluvial Pipe.</t>
  </si>
  <si>
    <t>Sanitary Piping.</t>
  </si>
  <si>
    <t>Categoria Rvt</t>
  </si>
  <si>
    <t>Parâmetro Rvt</t>
  </si>
  <si>
    <t>ClasseI IFC</t>
  </si>
  <si>
    <t>Atributo IFC</t>
  </si>
  <si>
    <t>Função.Auxiliar</t>
  </si>
  <si>
    <t>Define uma Função Auxiliar (helper) numa aplicação</t>
  </si>
  <si>
    <t>Defina un rol de ayudante en una aplicación</t>
  </si>
  <si>
    <t>Define a Helper Role in an application</t>
  </si>
  <si>
    <t>Função.Global</t>
  </si>
  <si>
    <t>Define uma Função Global numa aplicação</t>
  </si>
  <si>
    <t>Defina un rol global en una aplicación</t>
  </si>
  <si>
    <t>Define a Global Role in an application</t>
  </si>
  <si>
    <t>Função.Local</t>
  </si>
  <si>
    <t>Define uma Função Local numa aplicação</t>
  </si>
  <si>
    <t>Defina un rol local en una aplicación</t>
  </si>
  <si>
    <t>Define a Local Role in an application</t>
  </si>
  <si>
    <t>Função.Filtro</t>
  </si>
  <si>
    <t>Define uma Função para filtrar objetos numa aplicação</t>
  </si>
  <si>
    <t>Defina una función para filtrar objetos en una aplicación</t>
  </si>
  <si>
    <t>Define a Function to filter objects in an application</t>
  </si>
  <si>
    <t>Bloco.de.Código</t>
  </si>
  <si>
    <t>Define um Código escrito em sistemas de programação visual</t>
  </si>
  <si>
    <t>Define un código escrito en sistemas de programación visual</t>
  </si>
  <si>
    <t>Defines a Code written in visual programming systems</t>
  </si>
  <si>
    <t>KML</t>
  </si>
  <si>
    <t>De.Canalizações</t>
  </si>
  <si>
    <t>Canalização.de.Gás</t>
  </si>
  <si>
    <t>Sistema.Alimentador</t>
  </si>
  <si>
    <t>Sistema.Coletor</t>
  </si>
  <si>
    <t>Sistema.Protetor</t>
  </si>
  <si>
    <t>Sistema.de.Gordura</t>
  </si>
  <si>
    <t>Sistema de distribución eléctrica del edificio.</t>
  </si>
  <si>
    <t>Sistema de distribución de gas del edificio.</t>
  </si>
  <si>
    <t>Sistema de distribución de agua fría del edificio.</t>
  </si>
  <si>
    <t>Sistema de distribución de agua caliente del edificio.</t>
  </si>
  <si>
    <t>Sistema de distribución de datos del edificio.</t>
  </si>
  <si>
    <t>Sistema de desagüe primario del edificio.</t>
  </si>
  <si>
    <t>Sistema de desagüe secundario del edificio.</t>
  </si>
  <si>
    <t>Sistema de desagüe de gorduras del edificio.</t>
  </si>
  <si>
    <t>Sistema de ventilación de desagües del edificio.</t>
  </si>
  <si>
    <t>Sistema de colecta de agua de lluvia (agua de lluvia que cae directamente sobre una parcela).</t>
  </si>
  <si>
    <t>Red lógica de sobrecarga de datos.</t>
  </si>
  <si>
    <t>Red de Internet móvil aérea.</t>
  </si>
  <si>
    <t>Red de telefonía subterránea.</t>
  </si>
  <si>
    <t>Red de datos subterránea en fibra óptica.</t>
  </si>
  <si>
    <t>Red de Internet fija subterránea.</t>
  </si>
  <si>
    <t>Red de Internet móvil subterránea.</t>
  </si>
  <si>
    <t>Red de iluminación pública urbana (red eléctrica).</t>
  </si>
  <si>
    <t>Red de señalización pública urbana (red eléctrica de semáforos y tótems).</t>
  </si>
  <si>
    <t>Rede sinalização pública urbana (Sinais de trânsito e totems).</t>
  </si>
  <si>
    <t>Rede iluminação pública urbana.</t>
  </si>
  <si>
    <t>Rede de fibra ótica aérea.</t>
  </si>
  <si>
    <t>Rede de dados aérea.</t>
  </si>
  <si>
    <t>Rede Internet fixa aérea.</t>
  </si>
  <si>
    <t>Rede Internet móvel aérea.</t>
  </si>
  <si>
    <t>Rede de dados subterrânea.</t>
  </si>
  <si>
    <t>Rede Internet fixa subterrânea.</t>
  </si>
  <si>
    <t>Rede Internet móvel subterrânea.</t>
  </si>
  <si>
    <t>Sistema de alimentação predial de água potável.</t>
  </si>
  <si>
    <t>Sistema de distribuição predial de água fria.</t>
  </si>
  <si>
    <t>Sistema de distribuição predial de água quente.</t>
  </si>
  <si>
    <t>Sistema de tubulação predial de gás.</t>
  </si>
  <si>
    <t>Sistema de esgoto de gorduras predial.</t>
  </si>
  <si>
    <t>Sistema de coletores predial de água de chuva (agua de chuva que cai diretamente sobre uma parcela).</t>
  </si>
  <si>
    <t>Sistema de aterramento predial.</t>
  </si>
  <si>
    <t>Sistema de pararaios predial.</t>
  </si>
  <si>
    <t>Junta elástica tipo JGS para tubos de FoFo.</t>
  </si>
  <si>
    <t>De.Materialidade</t>
  </si>
  <si>
    <t>Tubo.de.Aço.Costura</t>
  </si>
  <si>
    <t>é.usado.em</t>
  </si>
  <si>
    <t>"Catálogo de produtos de tubulações para saneamento básico da Saint Gobain Canalizações usado no projeto"</t>
  </si>
  <si>
    <t>Tub.Pluvial</t>
  </si>
  <si>
    <t>[ OST_Materials : OST_WireMaterials ]</t>
  </si>
  <si>
    <t>[ 0M.20.20 ]</t>
  </si>
  <si>
    <t>Aço.Estrutural</t>
  </si>
  <si>
    <t>Alumínio.Estrutural</t>
  </si>
  <si>
    <t>[ OST_Materials : OST_PipeMaterials : OST_DuctInsulations : OST_DuctLinings : OST_FabricationDuctwork ]</t>
  </si>
  <si>
    <t>Calha.de.Elétrica</t>
  </si>
  <si>
    <t>Borracha.Antivibratória</t>
  </si>
  <si>
    <t>Borracha.Elastomérica</t>
  </si>
  <si>
    <t xml:space="preserve">Lã.de.Rocha </t>
  </si>
  <si>
    <t xml:space="preserve">Lã.de.Vidro </t>
  </si>
  <si>
    <t>Espuma.Expandida</t>
  </si>
  <si>
    <t>Espuma.MPU</t>
  </si>
  <si>
    <t>Espuma.PIR</t>
  </si>
  <si>
    <t>Espuma.PUR</t>
  </si>
  <si>
    <t>Fiação.de.Elétrica</t>
  </si>
  <si>
    <t>Cola.Madeira</t>
  </si>
  <si>
    <t>Cola.Metal</t>
  </si>
  <si>
    <t>Cola.Textil</t>
  </si>
  <si>
    <t>Cola.Espuma</t>
  </si>
  <si>
    <t>Cola.Louça</t>
  </si>
  <si>
    <t>Argamassa.Lastro</t>
  </si>
  <si>
    <t>Argamassa.Colante</t>
  </si>
  <si>
    <t>Argamassa.Isolante</t>
  </si>
  <si>
    <t>Argamassa.Baritada</t>
  </si>
  <si>
    <t>Material construtivo usado para a formação de contrapisos ou camadas de lastro em pisos ou nas vias de tránsito e tráfego.</t>
  </si>
  <si>
    <t>Material construtivo usado para colar peças cerámicas ou porcelanatos em paredes ou pisos.</t>
  </si>
  <si>
    <t>Material construtivo usado para as camadas com isolamento polimérico.</t>
  </si>
  <si>
    <t>Material construtivo usado para proteger da emissão de radiação em salas radiológicas de ambientes hospitalares (salas de radioterapia, radiologia, medicina nuclear de centros de saúde).</t>
  </si>
  <si>
    <t>Material construtivo usado para conduzir a fiação dentro de calhas de calhas de elétrica.</t>
  </si>
  <si>
    <t>Material construtivo usado para conduzir a fiação dentro de calhas de rede de dados e telecomunicações.</t>
  </si>
  <si>
    <t>Material construtivo usado para conduzir a fiação das redes de dados e telecomunicações.</t>
  </si>
  <si>
    <t>Material construtivo usado para conduzir canaletas de elétrica.</t>
  </si>
  <si>
    <t>Material construtivo usado para conduzir canaletas de rede de dados e telecomunicações.</t>
  </si>
  <si>
    <t>Material construtivo usado para conduzir a fiação da rede de dados e telecomunicações em condutos flexíveis.</t>
  </si>
  <si>
    <t>Material construtivo usado para conduzir a fiação elétrica em eletrodutos flexíveis.</t>
  </si>
  <si>
    <t>Material construtivo usado para conduzir a fiação de rede de dados e telecomunicações em condutos rígidos.</t>
  </si>
  <si>
    <t>Material construtivo usado para conduzir a fiação elétrica em eletrodutos rígidos.</t>
  </si>
  <si>
    <t>Material construtivo usado para a fiação nos cabos de elétrica.</t>
  </si>
  <si>
    <t>Material construtivo usado para a fiação nos cabos de rede de dados e telecomunicações.</t>
  </si>
  <si>
    <t>Material construtivo usado para a estrutura são ligas de aços estruturais.</t>
  </si>
  <si>
    <t>Material construtivo usado para a estrutura são ligas de alumínios estruturais.</t>
  </si>
  <si>
    <t>Material construtivo usado para aderir madeiras.</t>
  </si>
  <si>
    <t>Material construtivo usado para aderir metais.</t>
  </si>
  <si>
    <t>Material construtivo usado para aderir texteis.</t>
  </si>
  <si>
    <t>Material construtivo usado para aderir espumas.</t>
  </si>
  <si>
    <t>Material construtivo usado para aderir louças.</t>
  </si>
  <si>
    <t>Material construtivo usado para tampar as frestas ou cobrir em tubulações pré-isoladas e impedir a troca de calor.</t>
  </si>
  <si>
    <t>Material construtivo usado para fazer placas rígidas pré-fabricadas e montadas para formar os dutos de AVAC. Substituem o duto metálico tradicional, agregando isolamento térmico no próprio painel e reduzindo o peso estrutural.</t>
  </si>
  <si>
    <t>Material construtivo usado para fazer placas rígidas por poliisocianurato revestidas por lâminas de alumínio em ambas as faces. Para fechamentos como paredes e coberturas.</t>
  </si>
  <si>
    <t>Material construtivo usado para fazer placas rígidas por poliuretano revestidas por lâminas de alumínio em ambas as faces. Para fechamentos como paredes e coberturas.</t>
  </si>
  <si>
    <t>Material construtivo usado para fazer mantas rígidas ou flexíveis aplicadas ao redor de dutos metálicos ou tubulações de grande porte para isolamento térmico e acústico, resistência ao fogo.</t>
  </si>
  <si>
    <t>Material construtivo usado para absorver vibrações  dos compressores e ventiladores. Colocado em cantoneiras, tirantes e suportes de fixação impedindo a transmissão de ruído para a estrutura do edifício.</t>
  </si>
  <si>
    <t>Material construtivo usado para isolar tubulações de refrigerante e água gelada. Material de estrutura celular fechada flexível. Evita a condensação superficial e a perda de eficiência.</t>
  </si>
  <si>
    <t>Material construtivo usado para selar e ser flexível, resistente a temperatura e umidade. Aplicados em junção de dutos e passagens de tubulações para evitar vazamentos de ar.</t>
  </si>
  <si>
    <t>Material construtivo usado para fabricar grelhas, difusores e tomadas de ar externo pela durabilidade e facilidade de acabamento.</t>
  </si>
  <si>
    <t>Material construtivo usado para conduzir água. Tubos compostos por uma camada interna de plástico (PEX), uma camada intermediária de alumínio contínuo (Al) e uma camada externa de plástico protetor. Tubo flexível conectado por crimpagem.</t>
  </si>
  <si>
    <t>Material construtivo usado para proteger os tubos e dutos leves das condições ambientais de maior umidade ou presença de agentes corrosivos (como regiões litorâneas ou laboratórios).</t>
  </si>
  <si>
    <t>Material construtivo usado para conduzir água gelada e água de condensação em diâmetros maiores, devido ao baixo custo em larga escala e alta resistência mecânica em sistemas de AVAC centralizados e chillers.</t>
  </si>
  <si>
    <t>Material construtivo usado para canalizações de aço com costura (especificações NBR 5580 ou NBR 5590).</t>
  </si>
  <si>
    <t>Material construtivo usado para fazer as chapas metálicas para fabricar dutos de distribuição de ar. O revestimento de zinco protege o aço contra ferrugem em ambientes internos padrão.</t>
  </si>
  <si>
    <t>Material construtivo usado para as instalações industriais, farmacêuticas ou alimentícias que exigem extrema resistência à corrosão, além de alta higiene e longa durabilidade.</t>
  </si>
  <si>
    <t>Material construtivo usado para canalizações e redes de água quente ou gás. o cobre também é material de tubulações refrigerantes (linhas de líquido e sucção). Possui excelente condutividade térmica, alta resistência à corrosão interna e boa maleabilidade para dobras e soldagem a prata/foscoper.</t>
  </si>
  <si>
    <t>Material construtivo usado para canalizações de saneamento básico de ferro fundido.</t>
  </si>
  <si>
    <t>Material construtivo usado para as redes de água o latão.</t>
  </si>
  <si>
    <t>Material construtivo usado para conduzir as redes de agua e esgoto doméstica. PVC (Policloreto de Vinila).</t>
  </si>
  <si>
    <t>Material construtivo usado para conduzir as redes de agua e esgoto doméstica. PVC Orientado (Policloreto de Vinila). Material mais resistente que PVC.</t>
  </si>
  <si>
    <t>Material construtivo usado para conduzir redes de água, gás, saneamento, irrigação. Termofusão PEAD (Polietileno de Alta Densidade) é um polímero termoplástico derivado do petróleo.</t>
  </si>
  <si>
    <t>Material construtivo usado para conduzir água gelada ou quente e em linhas de drenagem de condensado, pois são imunes à corrosão e evitam o incrustamento interno.</t>
  </si>
  <si>
    <t>Material construtivo usado para regularizar e acabar as alvenarias. Incluem os chapiscos, emboços e rebocos.</t>
  </si>
  <si>
    <t>Tubo.de.Alumínio</t>
  </si>
  <si>
    <t>Tubo.de.Aço.Carbono</t>
  </si>
  <si>
    <t>Tubo.de.Aço.Galvanizado</t>
  </si>
  <si>
    <t>Tubo.de.Aço.Inoxidável</t>
  </si>
  <si>
    <t>Tubo.de.PEX</t>
  </si>
  <si>
    <t>Tubo.de.PPR</t>
  </si>
  <si>
    <t>Construction material used for the formation of subfloors or ballast layers on floors or on traffic and traffic routes.</t>
  </si>
  <si>
    <t>Construction material used to protect from radiation emission in radiological rooms in hospital environments (radiotherapy, radiology, nuclear medicine rooms of health centers).</t>
  </si>
  <si>
    <t>Construction material used to glue ceramic or porcelain tiles to walls or floors.</t>
  </si>
  <si>
    <t>Construction material used for the layers with polymeric insulation.</t>
  </si>
  <si>
    <t>Construction material used to regularize and finish the masonry. They include roughcasts, plasters and plasters.</t>
  </si>
  <si>
    <t>Construction material used to conduct wiring inside electrical gutters.</t>
  </si>
  <si>
    <t>Construction material used to conduct wiring within data and telecommunications network rails.</t>
  </si>
  <si>
    <t>Construction material used to conduct the wiring of data and telecommunications networks.</t>
  </si>
  <si>
    <t>Construction material used to drive electric channels.</t>
  </si>
  <si>
    <t>Construction material used to conduct data and telecommunications network channels.</t>
  </si>
  <si>
    <t>Construction material used to conduct electrical wiring in flexible conduits.</t>
  </si>
  <si>
    <t>Construction material used to conduct the wiring of the data and telecommunications network in flexible conduits.</t>
  </si>
  <si>
    <t>Construction material used to conduct electrical wiring in rigid conduits.</t>
  </si>
  <si>
    <t>Construction material used to conduct data and telecommunications network wiring in rigid conduits.</t>
  </si>
  <si>
    <t>Construction material used for wiring in electrical cables.</t>
  </si>
  <si>
    <t>Construction material used for wiring in data network and telecommunications cables.</t>
  </si>
  <si>
    <t>Construction material used for the structure are structural steel alloys.</t>
  </si>
  <si>
    <t>Construction material used for the structure are structural aluminum alloys.</t>
  </si>
  <si>
    <t>Construction material used to adhere foams.</t>
  </si>
  <si>
    <t>Construction material used to adhere crockery.</t>
  </si>
  <si>
    <t>Construction material used to adhere wood.</t>
  </si>
  <si>
    <t>Construction material used to adhere metals.</t>
  </si>
  <si>
    <t>Construction material used to bond textiles.</t>
  </si>
  <si>
    <t>Construction material used to plug gaps or cover in pre-insulated pipes and prevent heat exchange.</t>
  </si>
  <si>
    <t>Construction material used to make prefabricated and assembled rigid plates to form HVAC ducts. They replace the traditional metal duct, adding thermal insulation to the panel itself and reducing structural weight.</t>
  </si>
  <si>
    <t>Construction material used to make rigid polyisocyanurate plates coated with aluminum sheets on both sides. For enclosures such as walls and roofs.</t>
  </si>
  <si>
    <t>Construction material used to make rigid polyurethane plates coated with aluminum sheets on both sides. For closures such as walls and roofs.</t>
  </si>
  <si>
    <t>Construction material used to make rigid or flexible blankets applied around metal ducts or large pipes for thermal and acoustic insulation, fire resistance.</t>
  </si>
  <si>
    <t>Construction material used to absorb vibrations from compressors and fans. Placed on angles, tie rods and fixing brackets preventing the transmission of noise to the building structure.</t>
  </si>
  <si>
    <t>Construction material used to insulate refrigerant and chilled water pipes. Flexible closed cell structure material. Avoids surface condensation and loss of efficiency.</t>
  </si>
  <si>
    <t>Construction material used to seal and be flexible, resistant to temperature and humidity. Applied at the junction of ducts and pipe passages to prevent air leaks.</t>
  </si>
  <si>
    <t>Construction material used to manufacture grilles, diffusers and external air intakes due to its durability and ease of finishing.</t>
  </si>
  <si>
    <t>Construction material used to conduct water. Tubes composed of an inner layer of plastic (PEX), an intermediate layer of continuous aluminium (Al) and an outer layer of protective plastic. Flexible tube connected by crimping.</t>
  </si>
  <si>
    <t>Construction material used to conduct chilled water and condensation water in larger diameters, due to the low large-scale cost and high mechanical strength in centralized HVAC systems and chillers.</t>
  </si>
  <si>
    <t>Construction material used for welded steel pipes (NBR 5580 or NBR 5590 specifications).</t>
  </si>
  <si>
    <t>Construction material used to make the metal sheets to manufacture air distribution ducts. The zinc coating protects the steel from rust in standard indoor environments.</t>
  </si>
  <si>
    <t>Construction material used for industrial, pharmaceutical or food facilities that require extreme resistance to corrosion, as well as high hygiene and long durability.</t>
  </si>
  <si>
    <t>Construction material used to protect light pipes and ducts from environmental conditions of greater humidity or the presence of corrosive agents (such as coastal regions or laboratories).</t>
  </si>
  <si>
    <t>Construction material used for plumbing and hot water or gas networks. Copper is also a material for refrigerant pipes (liquid and suction lines). It has excellent thermal conductivity, high resistance to internal corrosion and good malleability for bending and silver/phosphor welding.</t>
  </si>
  <si>
    <t>Construction material used for cast iron basic sanitation pipes.</t>
  </si>
  <si>
    <t>Construction material used for water networks: brass.</t>
  </si>
  <si>
    <t>Construction material used to conduct domestic water and sewage networks. PVC (Polyvinyl Chloride).</t>
  </si>
  <si>
    <t>Construction material used to conduct domestic water and sewage networks. Oriented PVC (Polyvinyl Chloride). Material more resistant than PVC.</t>
  </si>
  <si>
    <t>Construction material used to conduct water, gas, sanitation, irrigation networks. HDPE (High Density Polyethylene) thermofusion is a thermoplastic polymer derived from petroleum.</t>
  </si>
  <si>
    <t>Construction material used to conduct chilled or hot water and in condensate drainage lines, as they are immune to corrosion and prevent internal fouling.</t>
  </si>
  <si>
    <t>Material de construcción utilizado para la formación de subsuelos o capas de lastre en suelos o en tráfico y rutas de tráfico.</t>
  </si>
  <si>
    <t>Material de construcción utilizado para proteger contra la emisión de radiación en salas radiológicas en entornos hospitalarios (radioterapia, radiología, salas de medicina nuclear de centros de salud).</t>
  </si>
  <si>
    <t>Material de construcción utilizado para pegar azulejos cerámicos o de porcelana a paredes o suelos.</t>
  </si>
  <si>
    <t>Material de construcción utilizado para las capas con aislamiento polimérico.</t>
  </si>
  <si>
    <t>Material de construcción utilizado para regularizar y acabar la mampostería. Incluyen fundiciones en bruto, yesos y yesos.</t>
  </si>
  <si>
    <t>Material de construcción utilizado para conducir el cableado dentro de canalones eléctricos.</t>
  </si>
  <si>
    <t>Material de construcción utilizado para realizar cableado dentro de las vías de la red de datos y telecomunicaciones.</t>
  </si>
  <si>
    <t>Material de construcción utilizado para realizar el cableado de redes de datos y telecomunicaciones.</t>
  </si>
  <si>
    <t>Material de construcción utilizado para accionar canales eléctricos.</t>
  </si>
  <si>
    <t>Material de construcción utilizado para realizar canales de datos y redes de telecomunicaciones.</t>
  </si>
  <si>
    <t>Material de construcción utilizado para conducir el cableado eléctrico en conductos flexibles.</t>
  </si>
  <si>
    <t>Material de construcción utilizado para conducir el cableado de la red de datos y telecomunicaciones en conductos flexibles.</t>
  </si>
  <si>
    <t>Material de construcción utilizado para conducir el cableado eléctrico en conductos rígidos.</t>
  </si>
  <si>
    <t>Material de construcción utilizado para realizar el cableado de redes de datos y telecomunicaciones en conductos rígidos.</t>
  </si>
  <si>
    <t>Material de construcción utilizado para cablear cables eléctricos.</t>
  </si>
  <si>
    <t>Material de construcción utilizado para cablear cables de redes de datos y telecomunicaciones.</t>
  </si>
  <si>
    <t>Material de construcción utilizado para adherir espumas.</t>
  </si>
  <si>
    <t>Material de construcción utilizado para adherir la vajilla.</t>
  </si>
  <si>
    <t>Material de construcción utilizado para adherir madera.</t>
  </si>
  <si>
    <t>Material de construcción utilizado para adherir metales.</t>
  </si>
  <si>
    <t>Material de construcción utilizado para unir textiles.</t>
  </si>
  <si>
    <t>Material de construcción utilizado para tapar huecos o cubrir tuberías preaisladas y evitar el intercambio de calor.</t>
  </si>
  <si>
    <t>Material de construcción utilizado para fabricar placas rígidas prefabricadas y ensambladas para formar conductos HVAC. Sustituyen al conducto metálico tradicional, añadiendo aislamiento térmico al propio panel y reduciendo el peso estructural.</t>
  </si>
  <si>
    <t>Material de construcción utilizado para fabricar placas rígidas de poliisocianurato recubiertas con láminas de aluminio en ambos lados. Para recintos como paredes y tejados.</t>
  </si>
  <si>
    <t>Material de construcción utilizado para fabricar placas rígidas de poliuretano recubiertas con láminas de aluminio en ambos lados. Para cierres como paredes y tejados.</t>
  </si>
  <si>
    <t>Material de construcción utilizado para fabricar mantas rígidas o flexibles que se aplican alrededor de conductos metálicos o tuberías grandes para aislamiento térmico y acústico, resistencia al fuego.</t>
  </si>
  <si>
    <t>Material de construcción utilizado para absorber las vibraciones de compresores y ventiladores. Se colocan en ángulos, barras de dirección y soportes de fijación para evitar la transmisión de ruido a la estructura del edificio.</t>
  </si>
  <si>
    <t>Material de construcción utilizado para aislar tuberías de refrigerante y agua fría. Material flexible de estructura de celda cerrada. Evita la condensación superficial y la pérdida de eficiencia.</t>
  </si>
  <si>
    <t>Material de construcción utilizado para sellar y ser flexible, resistente a la temperatura y la humedad. Se aplica en la unión de conductos y conductos de tubería para evitar fugas de aire.</t>
  </si>
  <si>
    <t>Material de construcción utilizado para fabricar rejillas, difusores y tomas de aire externas debido a su durabilidad y facilidad de acabado.</t>
  </si>
  <si>
    <t>Material de construcción utilizado para conducir agua. Tubos compuestos por una capa interior de plástico (PEX), una capa intermedia de aluminio continuo (Al) y una capa exterior de plástico protector. Tubo flexible conectado mediante crimping.</t>
  </si>
  <si>
    <t>Material de construcción utilizado para conducir agua fría y agua de condensación en diámetros mayores, debido al bajo coste a gran escala y la alta resistencia mecánica en sistemas centralizados de climatización y enfriadores.</t>
  </si>
  <si>
    <t>Material de construcción utilizado para tuberías de acero soldadas (especificaciones NBR 5580 o NBR 5590).</t>
  </si>
  <si>
    <t>Material de construcción utilizado para fabricar las chapas metálicas para fabricar conductos de distribución de aire. El recubrimiento de zinc protege el acero del óxido en ambientes interiores estándar.</t>
  </si>
  <si>
    <t>Material de construcción utilizado en instalaciones industriales, farmacéuticas o alimentarias que requieren una resistencia extrema a la corrosión, así como alta higiene y larga durabilidad.</t>
  </si>
  <si>
    <t>Material de construcción utilizado para proteger tuberías y conductos de luz de condiciones ambientales de mayor humedad o de la presencia de agentes corrosivos (como regiones costeras o laboratorios).</t>
  </si>
  <si>
    <t>Material de construcción utilizado para fontanería y redes de agua caliente o gas. El cobre también es un material para tuberías refrigerantes (líquidos y tuberías de succión). Tiene una excelente conductividad térmica, alta resistencia a la corrosión interna y buena maleabilidad para doblar y soldar con plata/fósforo.</t>
  </si>
  <si>
    <t>Material de construcción utilizado para tuberías básicas de hierro fundido.</t>
  </si>
  <si>
    <t>Material de construcción utilizado en redes de agua: latón.</t>
  </si>
  <si>
    <t>Material de construcción utilizado para conducir redes domésticas de agua y alcantarillado. PVC (cloruro de polivinilo).</t>
  </si>
  <si>
    <t>Material de construcción utilizado para conducir redes de agua y alcantarillado domésticas. PVC orientado (cloruro de polivinilo). Material más resistente que el PVC.</t>
  </si>
  <si>
    <t>Material de construcción utilizado para conducir agua, gas, saneamiento y redes de riego. La termofusión de HDPE (polietileno de alta densidad) es un polímero termoplástico derivado del petróleo.</t>
  </si>
  <si>
    <t>Material de construcción utilizado para conducir agua fría o caliente y en las tuberías de drenaje de condensados, ya que son inmunes a la corrosión y evitan el ensuciamiento interno.</t>
  </si>
  <si>
    <t>Material construtivo usado para cobrir serpentinas de alumínio com lã de vidro e filme plástico externo. Utilizadas nas conexões finais entre os dutos rígidos e os difusores de ar.</t>
  </si>
  <si>
    <t>Fiação.de.Telecom</t>
  </si>
  <si>
    <t>[ OST_Materials : OST_Rebar : OST_AreaRein : OST_StructuralFoundation : OST_StructuralColumns : OST_StructuralFraming : OST_StructuralTendons : OST_StructuralStiffener : OST_StructuralTruss : OST_StructConnectionAnchors : OST_StructConnectionBolts : OST_StructConnectionPlates : OST_StructConnectionShearStuds : OST_HorizontalBracing : OST_VerticalBracing : OST_KickerBracing ]</t>
  </si>
  <si>
    <t>[ IfcMaterial : IfcReinforcingBar : IfcStructuralSurfaceMember : IfcFooting : IfcColumn : IfcBeam : IfcMember : IfcElementAssembly  : IfcMechanicalFastener ]</t>
  </si>
  <si>
    <t>[ OST_Materials : OST_Parts : OST_WallsSubstrate : OST_FloorsSubstrate : OST_WallsInsulation : OST_FloorsInsulation ]</t>
  </si>
  <si>
    <t>[ OST_Materials : OST_Parts : OST_FloorsSubstrate : OST_WallsSubstrate : OST_CeilingsSubstrate  ]</t>
  </si>
  <si>
    <t>Material construtivo usado para terminais metálicos ou caixas metálicas de distribuição de elétrica.</t>
  </si>
  <si>
    <t>Material construtivo usado para terminais plásticos ou caixas de plásticos de distribuição de elétrica.</t>
  </si>
  <si>
    <t>Material construtivo usado para terminais plásticos ou caixas de plásticos de distribuição de redes de dados e telecomunicações.</t>
  </si>
  <si>
    <t>Material construtivo usado para terminais metálicos ou caixas metálicas de distribuição de redes de dados e telecomunicações.</t>
  </si>
  <si>
    <t>Caixa.PVC.de.Elétrica</t>
  </si>
  <si>
    <t>Caixa.PVC.de.Telecom</t>
  </si>
  <si>
    <t>Material construtivo usado para quadros de passagem ou distribuição em PVC para rede de dados e telecomunicações.</t>
  </si>
  <si>
    <t>Material construtivo usado para quadros de passagem ou distribuição em PVC para elétrica.</t>
  </si>
  <si>
    <t>Material construtivo usado para quadros de passagem ou distribuição metálicos para rede de dados e telecomunicações.</t>
  </si>
  <si>
    <t>Material construtivo usado para quadros de passagem ou distribuição metálicos para elétrica.</t>
  </si>
  <si>
    <t>Quadro.PVC.Elétrica</t>
  </si>
  <si>
    <t>Quadro.PVC.Telecom</t>
  </si>
  <si>
    <t>Quadro.Metálico.Elétrica</t>
  </si>
  <si>
    <t>Quadro.Metálico.Telecom</t>
  </si>
  <si>
    <t>Calha.de.Telecom</t>
  </si>
  <si>
    <t>Material construtivo usado para conduzir a fiação de elétrica.</t>
  </si>
  <si>
    <t>Material de construcción utilizado para terminales metálicos o cajas metálicas de distribución eléctrica.</t>
  </si>
  <si>
    <t>Material de construcción utilizado para terminales metálicos o cajas metálicas para la distribución de redes de datos y telecomunicaciones.</t>
  </si>
  <si>
    <t>Material de construcción utilizado para terminales de plástico o cajas de distribución eléctrica de plástico.</t>
  </si>
  <si>
    <t>Material de construcción utilizado para terminales o cajas de plástico para la distribución de redes de datos y telecomunicaciones.</t>
  </si>
  <si>
    <t>Material de construcción utilizado para conducir el cableado eléctrico.</t>
  </si>
  <si>
    <t>Material de construcción utilizado para cubrir bobinas de aluminio con lana de vidrio y película plástica externa. Utilizado en las conexiones finales entre conductos rígidos y difusores de aire.</t>
  </si>
  <si>
    <t>Material de construcción utilizado para pasadizos metálicos a eléctricos o tableros de distribución.</t>
  </si>
  <si>
    <t>Material de construcción utilizado para pasos metálicos o paneles de distribución para redes de datos y telecomunicaciones.</t>
  </si>
  <si>
    <t>Material de construcción utilizado para pasajes de PVC o paneles de distribución para electricidad.</t>
  </si>
  <si>
    <t>Material de construcción utilizado para pasaportes de PVC o placas de distribución para redes de datos y telecomunicaciones.</t>
  </si>
  <si>
    <t>Material de construcción utilizado para la estructura. Son aleaciones de aluminios estructurales.</t>
  </si>
  <si>
    <t>Material de construcción utilizado para la estructura. Son aleaciones de aceros estructurales.</t>
  </si>
  <si>
    <t>Construction material used for metal terminals or metal electrical distribution boxes.</t>
  </si>
  <si>
    <t>Construction material used for metal terminals or metal boxes for distribution of data and telecommunications networks.</t>
  </si>
  <si>
    <t>Construction material used for plastic terminals or plastic electrical distribution boxes.</t>
  </si>
  <si>
    <t>Construction material used for plastic terminals or plastic boxes for distribution of data and telecommunications networks.</t>
  </si>
  <si>
    <t>Construction material used to conduct electrical wiring.</t>
  </si>
  <si>
    <t>Construction material used to cover aluminum coils with glass wool and external plastic film. Used in the final connections between rigid ducts and air diffusers.</t>
  </si>
  <si>
    <t>Construction material used for metallic to electrical passage or distribution boards.</t>
  </si>
  <si>
    <t>Construction material used for metal passage or distribution boards for data and telecommunications network.</t>
  </si>
  <si>
    <t>Construction material used for PVC passage or distribution boards for electrical.</t>
  </si>
  <si>
    <t>Construction material used for PVC passage or distribution boards for data and telecommunications network.</t>
  </si>
  <si>
    <t>Caixa.Metálica.de.Elétrica</t>
  </si>
  <si>
    <t>Caixa.Metálica.de.Telecom</t>
  </si>
  <si>
    <t>Calha.Leito.de.Elétrica</t>
  </si>
  <si>
    <t>Calha.Leito.de.Telecom</t>
  </si>
  <si>
    <t>Canaleta.de.Elétrica</t>
  </si>
  <si>
    <t>Canaleta.de.Telecom</t>
  </si>
  <si>
    <t>Conduíte.Rígido.de.Elétrica</t>
  </si>
  <si>
    <t>Conduíte.Rígido.de.Telecom</t>
  </si>
  <si>
    <t>Vedante.Mastique</t>
  </si>
  <si>
    <t>Vedante.Plástico.ABS</t>
  </si>
  <si>
    <t>Vedante.de.Silicone</t>
  </si>
  <si>
    <t>Tubo.de.Multicamada</t>
  </si>
  <si>
    <t>Catálogo.de.Fabricante</t>
  </si>
  <si>
    <t>Catálogo de materiais e produtos construtivos usado para explicar os modelos ou produtos produzidos por um fabricante. Normalmente com dados de propriedades técnicas dos produtos.</t>
  </si>
  <si>
    <t>Catálogo de construcción utilizado para explicar los modelos o productos fabricados por un fabricante. Normalmente con datos sobre las propiedades técnicas de los productos.</t>
  </si>
  <si>
    <t>Catalog of material used to explain the models or products produced by a manufacturer. Usually with data on the technical properties of the products.</t>
  </si>
  <si>
    <t>Catálogo.de.Fornecedor</t>
  </si>
  <si>
    <t>Catálogo de materiais e produtos construtivos usado para explicar os modelos ou produtos vendidos por um fornecedor. Pode misturar produtos de vários fabricantes e ter finalidade ilustrativa comercial.</t>
  </si>
  <si>
    <t>Catálogo de construcción utilizado para explicar los modelos o productos vendidos por un proveedor. Puede mezclar productos de varios fabricantes y tener un propósito ilustrativo comercial.</t>
  </si>
  <si>
    <t>Catalog of material used to explain the models or products sold by a supplier. It can mix products from several manufacturers and have a commercial illustrative purpose.</t>
  </si>
  <si>
    <t>Catálogo.de.Construtor</t>
  </si>
  <si>
    <t>Catálogo de materiais e produtos construtivos criado pelo construtor para cadastrar os produtos.</t>
  </si>
  <si>
    <t>Catálogo de materiales y productos constructivos creado por el constructor para cadastrar los productos usados en la obra.</t>
  </si>
  <si>
    <t>Catalog of construction materials and products prepared by the contractor to record all items used in the construction work.</t>
  </si>
  <si>
    <t>Tub.Esgoto</t>
  </si>
  <si>
    <t>Sistema de Gás Doméstico</t>
  </si>
  <si>
    <t>Sistema de gas doméstico</t>
  </si>
  <si>
    <t>Home Gas System</t>
  </si>
  <si>
    <t>[ IfcDistributionSystemGAS  ]</t>
  </si>
  <si>
    <t>[ 3E.54 ]</t>
  </si>
  <si>
    <t>Sistema.de.Gás.Hospitalar</t>
  </si>
  <si>
    <t>Sistema de Oxigênio para Terapia respiratória, emergências, ventilação</t>
  </si>
  <si>
    <t>Sistema de Oxígeno para Terapias respiratorias, emergencias, ventilación</t>
  </si>
  <si>
    <t>Oxygen System for Respiratory Therapy, Emergencies, Ventilation</t>
  </si>
  <si>
    <t>[ 3E.54.04 ]</t>
  </si>
  <si>
    <t>Sistema de Ar Medicinal para Anestesia, nebulização, suporte a pacientes sensíveis</t>
  </si>
  <si>
    <t>Sistema de Ar Medicinal para anestesias, nebulizaciones, soporte a pacientes sensibles</t>
  </si>
  <si>
    <t>Medical Air System for Anesthesia, Nebulization, Sensitive Patient Support</t>
  </si>
  <si>
    <t>Sistema de Ar Comprimido para Ferramentas cirúrgicas, sistemas pneumáticos</t>
  </si>
  <si>
    <t>Sistema de Ar Comprimido para Herramientas cirúrgicas, sistemas pneumáticos</t>
  </si>
  <si>
    <t>Compressed Air System for Surgical Tools, Pneumatic Systems</t>
  </si>
  <si>
    <t>[ IfcDistributionSystemCOMPRESSEDAIR  ]</t>
  </si>
  <si>
    <t>Sistema de Óxido Nitroso para Anestesia e analgesia</t>
  </si>
  <si>
    <t>Sistema de Óxido Nitroso para anestesia y analgesia</t>
  </si>
  <si>
    <t>Nitrous Oxide System for Anesthesia and Analgesia</t>
  </si>
  <si>
    <t>Sistema de Nitrogênio para Criogenia, calibração, acionamento de instrumentos</t>
  </si>
  <si>
    <t>Sistema de Nitrogênio para criogenia, calibración, accionamento de instrumentos</t>
  </si>
  <si>
    <t>Nitrogen System for Cryogenics, Calibration, Instrument Actuation</t>
  </si>
  <si>
    <t>Sistema de Hélio para Misturas respiratórias e diagnósticos</t>
  </si>
  <si>
    <t>Sistema de Hélio para mezclas respiratorias y diagnósticos</t>
  </si>
  <si>
    <t>Helium System for Respiratory Mixtures and Diagnostics</t>
  </si>
  <si>
    <t>Sistema de Vacuo hospitalar</t>
  </si>
  <si>
    <t>Hospital Vacuum System</t>
  </si>
  <si>
    <t>[ IfcDistributionSystemVACUUM ]</t>
  </si>
  <si>
    <t>Quemador de gas</t>
  </si>
  <si>
    <t>Gas Burner</t>
  </si>
  <si>
    <t>[ OST_MechanicalEquipment ]</t>
  </si>
  <si>
    <t>[ IfcBurner ]</t>
  </si>
  <si>
    <t>Registro de gases</t>
  </si>
  <si>
    <t>Gas Log</t>
  </si>
  <si>
    <t>Medidores de gas</t>
  </si>
  <si>
    <t>Gas Meters</t>
  </si>
  <si>
    <t>[ IfcFlowMeter ]</t>
  </si>
  <si>
    <t>Acessório do sistema de gás como suportes, ganchos, pedestais, etc.</t>
  </si>
  <si>
    <t>Accesorios del sistema de gas como soportes, ganchos, pedestales, etc.</t>
  </si>
  <si>
    <t>Gas system accessory like brackets, hooks, pedestals, etc.</t>
  </si>
  <si>
    <t>Garrafa de gas</t>
  </si>
  <si>
    <t>Gas Crack</t>
  </si>
  <si>
    <t>[ OST_PipingSystem : OST_PipeSegments : OST_PipeFitting : OST_PipeCurves : OST_PipeConnections : OST_PipeFittingInsulation ]</t>
  </si>
  <si>
    <t>[ IfcTank ]</t>
  </si>
  <si>
    <t>Cilindro de gas</t>
  </si>
  <si>
    <t>Gas Cylinder</t>
  </si>
  <si>
    <t>Tanque de gas</t>
  </si>
  <si>
    <t>Gas Tank</t>
  </si>
  <si>
    <t>Calefón de gas</t>
  </si>
  <si>
    <t>Gas Heater</t>
  </si>
  <si>
    <t>[ IfcBoiler ]</t>
  </si>
  <si>
    <t>Termotanque de gas</t>
  </si>
  <si>
    <t>Gas Boiler</t>
  </si>
  <si>
    <t>Caldera de gas</t>
  </si>
  <si>
    <t>Gas Industrial Boiler</t>
  </si>
  <si>
    <t>[ IfcEnergyConversionDevice ]</t>
  </si>
  <si>
    <t>[ IfcPipeSegment : IfcPipeFitting ]</t>
  </si>
  <si>
    <t>Calefón de gas hospitalar</t>
  </si>
  <si>
    <t>Hospital Gas Heater</t>
  </si>
  <si>
    <t>Termotanque de gas hospitalar</t>
  </si>
  <si>
    <t>Hospital Gas Boiler</t>
  </si>
  <si>
    <t>Caldera de gas hospitalar</t>
  </si>
  <si>
    <t>Hospital Gas Industrial Boiler</t>
  </si>
  <si>
    <t>Sis_GAS_01</t>
  </si>
  <si>
    <t>é.dentro.de</t>
  </si>
  <si>
    <t>"Indivíduo que representa um sistema de Gás doméstico"</t>
  </si>
  <si>
    <t>"Sistema de Gás da coluna 1 do Predio"</t>
  </si>
  <si>
    <t>"[ OST_PipingSystem ]"</t>
  </si>
  <si>
    <t>"Instância de Tubulação que pertence ao sistema de Gás doméstico GAS_01 pode ser individualizado pelo ID de Revit ou pelo indentificador IfcGlobalId de IFC"</t>
  </si>
  <si>
    <t>quem.forneceu</t>
  </si>
  <si>
    <t>"Nome da empresa vendedora do produto."</t>
  </si>
  <si>
    <t>"[ 3E.54 ]"</t>
  </si>
  <si>
    <t>"[ IfcPipeSegment , IfcPipeFitting ]"</t>
  </si>
  <si>
    <t>Projeto_GAS</t>
  </si>
  <si>
    <t>Sis_ESG_01</t>
  </si>
  <si>
    <t>"Indivíduo que representa um sistema de Esgoto do projeto"</t>
  </si>
  <si>
    <t>"Sistema de Esgoto da coluna 1 do Predio"</t>
  </si>
  <si>
    <t>Sis_AFR_01</t>
  </si>
  <si>
    <t>"Indivíduo que representa um sistema de Hidráulica do projeto"</t>
  </si>
  <si>
    <t>Sis_AQT_01</t>
  </si>
  <si>
    <t>Ralo_ID_453908</t>
  </si>
  <si>
    <t>"Instância de Ralo sifonado que pertence ao sistema ESG_01 pode ser individualizado pelo ID de Revit ou pelo indentificador IfcGlobalId de IFC"</t>
  </si>
  <si>
    <t>"[ OST_PipeSegments : OST_PipeFitting ]"</t>
  </si>
  <si>
    <t>"[ IfcPipeSegment : IfcPipeFitting ]"</t>
  </si>
  <si>
    <t>"[ 3E.42.04 ]"</t>
  </si>
  <si>
    <t>Ralo_ID_453909</t>
  </si>
  <si>
    <t>Tubo_ID_334250</t>
  </si>
  <si>
    <t>"Instância de Tubulação que pertence ao sistema AF01 pode ser individualizado pelo ID de Revit ou pelo indentificador IfcGlobalId de IFC"</t>
  </si>
  <si>
    <t>"[ 3E.38.02 ]"</t>
  </si>
  <si>
    <t>Tubo_ID_334251</t>
  </si>
  <si>
    <t>Tubo_ID_334252</t>
  </si>
  <si>
    <t>Tubo_ID_334253</t>
  </si>
  <si>
    <t>Tubo_ID_334254</t>
  </si>
  <si>
    <t>Tubo_ID_334255</t>
  </si>
  <si>
    <t>Tubo_ID_334256</t>
  </si>
  <si>
    <t>"Instância de Tubulação que pertence ao sistema AQ01 pode ser individualizado pelo ID de Revit ou pelo indentificador IfcGlobalId de IFC"</t>
  </si>
  <si>
    <t>Tubo_ID_334257</t>
  </si>
  <si>
    <t>Tubo_ID_334258</t>
  </si>
  <si>
    <t>Tubo_ID_334259</t>
  </si>
  <si>
    <t>Tubo_ID_334260</t>
  </si>
  <si>
    <t>Tubo_ID_334261</t>
  </si>
  <si>
    <t>Projeto_HID</t>
  </si>
  <si>
    <t>Projeto_ESG</t>
  </si>
  <si>
    <t>Sistema de esgoto predial.</t>
  </si>
  <si>
    <t>Sistema de desagües del edificio.</t>
  </si>
  <si>
    <t>Building sewer system.</t>
  </si>
  <si>
    <t>[ IfcDistributionSystemDRAINAGE ]</t>
  </si>
  <si>
    <t>[ 3E.42.04 ]</t>
  </si>
  <si>
    <t>Sistema de ventilación de desagües.</t>
  </si>
  <si>
    <t>Sistemas.Hidráulicos</t>
  </si>
  <si>
    <t>Sistema de água fria predial.</t>
  </si>
  <si>
    <t>Sistema de agua fria del edificio.</t>
  </si>
  <si>
    <t>Building cold water system.</t>
  </si>
  <si>
    <t>[ 3E.38.02 ]</t>
  </si>
  <si>
    <t>Sistema de água quente predial.</t>
  </si>
  <si>
    <t>Sistema de agua caliente del edificio.</t>
  </si>
  <si>
    <t>Building hot water system.</t>
  </si>
  <si>
    <t>Sistema de desagüe pluvial.</t>
  </si>
  <si>
    <t>Rainwater drainage system.</t>
  </si>
  <si>
    <t>Elementos.Hidráulicos</t>
  </si>
  <si>
    <t>Canilla</t>
  </si>
  <si>
    <t>Tap</t>
  </si>
  <si>
    <t>[ OST_PlumbingFixtures ]</t>
  </si>
  <si>
    <t>Misturador</t>
  </si>
  <si>
    <t>Mezclador</t>
  </si>
  <si>
    <t>Mixer</t>
  </si>
  <si>
    <t>Registro</t>
  </si>
  <si>
    <t>Registration</t>
  </si>
  <si>
    <t>Válvula</t>
  </si>
  <si>
    <t>Valve</t>
  </si>
  <si>
    <t>Chuveiro</t>
  </si>
  <si>
    <t>Ducha</t>
  </si>
  <si>
    <t>Shower</t>
  </si>
  <si>
    <t>[ IfcSanitaryTerminal ]</t>
  </si>
  <si>
    <t>Ducha manual</t>
  </si>
  <si>
    <t>Manual shower</t>
  </si>
  <si>
    <t>Medidor.de.Água</t>
  </si>
  <si>
    <t>Medidores de Água</t>
  </si>
  <si>
    <t>Medidores de agua</t>
  </si>
  <si>
    <t>Water Meters</t>
  </si>
  <si>
    <t>Acessório.Hidraúlico</t>
  </si>
  <si>
    <t>Acessório do sistema de agua como suportes, ganchos, pedestais, etc.</t>
  </si>
  <si>
    <t>Accesorios para sistemas de agua como soportes, ganchos, pedestales, etc.</t>
  </si>
  <si>
    <t>Water system accessory like brackets, hooks, pedestals, etc.</t>
  </si>
  <si>
    <t>Cisterna.Superior</t>
  </si>
  <si>
    <t>Cisterna Superior</t>
  </si>
  <si>
    <t>Upper Cistern</t>
  </si>
  <si>
    <t>Cisterna.Intermediária</t>
  </si>
  <si>
    <t>Cisterna Intermediária</t>
  </si>
  <si>
    <t>Cisterna intermedia</t>
  </si>
  <si>
    <t>Intermediate Cistern</t>
  </si>
  <si>
    <t>Cisterna.Inferior</t>
  </si>
  <si>
    <t>Cisterna Inferior</t>
  </si>
  <si>
    <t>Lower Cistern</t>
  </si>
  <si>
    <t>Tubulação de Água Fria</t>
  </si>
  <si>
    <t>Tubería de agua fría</t>
  </si>
  <si>
    <t>Cold Water Pipe</t>
  </si>
  <si>
    <t>Aquecedor.de.Agua</t>
  </si>
  <si>
    <t>Aquecedor de água</t>
  </si>
  <si>
    <t>Calefón</t>
  </si>
  <si>
    <t>Water heater</t>
  </si>
  <si>
    <t>Boiler</t>
  </si>
  <si>
    <t>Caldeira</t>
  </si>
  <si>
    <t>Caldera</t>
  </si>
  <si>
    <t>Tubulação de Água Quente</t>
  </si>
  <si>
    <t>Tubería de agua caliente</t>
  </si>
  <si>
    <t>Tubulação de Água de Reuso</t>
  </si>
  <si>
    <t>Tubería de agua de reuso</t>
  </si>
  <si>
    <t>Vaso.Sanitário</t>
  </si>
  <si>
    <t>Vaso Sanitário</t>
  </si>
  <si>
    <t>Inodoro</t>
  </si>
  <si>
    <t>Toilet</t>
  </si>
  <si>
    <t>Bidet</t>
  </si>
  <si>
    <t>Bidé</t>
  </si>
  <si>
    <t>Pia Sanitária</t>
  </si>
  <si>
    <t>Bacha Sanitaria</t>
  </si>
  <si>
    <t>Sanitary Sink</t>
  </si>
  <si>
    <t>Lavatório</t>
  </si>
  <si>
    <t>Lavabo</t>
  </si>
  <si>
    <t>Washbasin</t>
  </si>
  <si>
    <t>Cuba Sanitária</t>
  </si>
  <si>
    <t>Tanque</t>
  </si>
  <si>
    <t>Sanitary Bowl</t>
  </si>
  <si>
    <t>Banheira</t>
  </si>
  <si>
    <t>Bañera</t>
  </si>
  <si>
    <t>Bathtub</t>
  </si>
  <si>
    <t>Ventilação.Esgoto</t>
  </si>
  <si>
    <t>Ventilação de Esgoto</t>
  </si>
  <si>
    <t>Ventilación de Esgoto</t>
  </si>
  <si>
    <t>Sewer Ventilation</t>
  </si>
  <si>
    <t>Coletor.Andar</t>
  </si>
  <si>
    <t xml:space="preserve">Ramal de coleta horizontal do andar </t>
  </si>
  <si>
    <t>Ramal colector horizontal de un piso del edifício</t>
  </si>
  <si>
    <t>Floor Horizontal Collection Branch</t>
  </si>
  <si>
    <t>Coletor.Predial</t>
  </si>
  <si>
    <t>Ramal de coleta horizonta do prédio</t>
  </si>
  <si>
    <t>Ramal colector horizontal del edificio</t>
  </si>
  <si>
    <t>Horizontal collection branch of the building</t>
  </si>
  <si>
    <t>Tubo.de.Queda</t>
  </si>
  <si>
    <t>Tubo vertical de queda</t>
  </si>
  <si>
    <t>Tubo colector vertical</t>
  </si>
  <si>
    <t>Downpipe</t>
  </si>
  <si>
    <t>Fecho.Hidráulico</t>
  </si>
  <si>
    <t>Sifões</t>
  </si>
  <si>
    <t>Sifones</t>
  </si>
  <si>
    <t>Siphons</t>
  </si>
  <si>
    <t>Caixa.de.Areia</t>
  </si>
  <si>
    <t>Caixas de Areia</t>
  </si>
  <si>
    <t>Cajas de arena</t>
  </si>
  <si>
    <t>Sandboxes</t>
  </si>
  <si>
    <t>Caixa.de.Inspeção</t>
  </si>
  <si>
    <t>Caixas de Inspeção</t>
  </si>
  <si>
    <t>Cajas de inspección</t>
  </si>
  <si>
    <t>Manholes</t>
  </si>
  <si>
    <t>Caixa.Sifonada</t>
  </si>
  <si>
    <t>Caixas Sifonadas</t>
  </si>
  <si>
    <t>Cajas de sifón</t>
  </si>
  <si>
    <t>Siphon Boxes</t>
  </si>
  <si>
    <t>Poço.de.Visita</t>
  </si>
  <si>
    <t>Poços de Visita</t>
  </si>
  <si>
    <t>Pozo de visita</t>
  </si>
  <si>
    <t>Acessório do sistema de esgoto sanitário como suportes, ganchos, pedestais, etc.</t>
  </si>
  <si>
    <t>Accesorio del sistema de desagüe como soportes, ganchos, pedestales, etc.</t>
  </si>
  <si>
    <t>Sanitary sewer system accessory like brackets, hooks, pedestals, etc.</t>
  </si>
  <si>
    <t>Sistema.Incêndio</t>
  </si>
  <si>
    <t>[ 3E.62 ]</t>
  </si>
  <si>
    <t>Alarme</t>
  </si>
  <si>
    <t>Dispositivo que sinaliza a existência de uma condição ou situação de perigo.</t>
  </si>
  <si>
    <t>Dispositivo que señala la existencia de una condición o situación de peligro.</t>
  </si>
  <si>
    <t>Device that signals the existence of a condition or situation of danger.</t>
  </si>
  <si>
    <t>[ OST_FireAlarmDevices ]</t>
  </si>
  <si>
    <t>[ IfcAlarm ]</t>
  </si>
  <si>
    <t>Alarme.Campainha</t>
  </si>
  <si>
    <t>Alarme sonoro.</t>
  </si>
  <si>
    <t>Alarma sonora.</t>
  </si>
  <si>
    <t>Audible alarm.</t>
  </si>
  <si>
    <t>[ IfcAlarmBELL ]</t>
  </si>
  <si>
    <t>Alarme.Campainha.Caixa</t>
  </si>
  <si>
    <t>Mecanismo de ativação de alarme no qual um vidro de proteção precisa ser quebrado para permitir que o botão seja apertado.</t>
  </si>
  <si>
    <t>Mecanismo de activación de alarma en el que es necesario romper un cristal protector para permitir la pulsación del botón.</t>
  </si>
  <si>
    <t>Alarm activation mechanism in which a protective glass needs to be broken to allow the button to be pressed.</t>
  </si>
  <si>
    <t>[ IfcAlarmBREAKGLASSBUTTON ]</t>
  </si>
  <si>
    <t>Alarme.Lumínico</t>
  </si>
  <si>
    <t>Alarme visual luminoso.</t>
  </si>
  <si>
    <t>Alarma visual luminosa.</t>
  </si>
  <si>
    <t>Visual light alarm.</t>
  </si>
  <si>
    <t>[ IfcAlarmLIGHT ]</t>
  </si>
  <si>
    <t>Alarme.Caixa.Manual</t>
  </si>
  <si>
    <t>Mecanismo de ativação de alarme no qual a ativação se dá por uma ação de puxamento.</t>
  </si>
  <si>
    <t>Mecanismo de activación de alarma en el que la activación se produce mediante una acción de tracción.</t>
  </si>
  <si>
    <t>Alarm activation mechanism in which activation occurs by a pulling action.</t>
  </si>
  <si>
    <t>[ IfcAlarmMANUALPULLBOX ]</t>
  </si>
  <si>
    <t>Alarme.Detonador</t>
  </si>
  <si>
    <t>Dispositivo do tamanho de uma moeda que é usado como um sinal de alerta alto para treinar maquinistas.</t>
  </si>
  <si>
    <t>Un dispositivo del tamaño de una moneda que se utiliza como señal de advertencia alta para entrenar a los conductores de trenes.</t>
  </si>
  <si>
    <t>A coin-sized device that is used as a high warning signal to train train drivers.</t>
  </si>
  <si>
    <t>[ IfcAlarmRAILWAYDETONATOR ]</t>
  </si>
  <si>
    <t>Alarme.Sirene</t>
  </si>
  <si>
    <t>Alarme sonoro produzido por uma sirene.</t>
  </si>
  <si>
    <t>Alarma sonora producida por una sirena.</t>
  </si>
  <si>
    <t>Audible alarm produced by a siren.</t>
  </si>
  <si>
    <t>[ IfcAlarmSIREN ]</t>
  </si>
  <si>
    <t>Alarme.Apito</t>
  </si>
  <si>
    <t>Alarme sonoro produzido por um apito.</t>
  </si>
  <si>
    <t>Alarma sonora producida por un silbato.</t>
  </si>
  <si>
    <t>Audible alarm produced by a whistle.</t>
  </si>
  <si>
    <t>[ IfcAlarmWHISTLE ]</t>
  </si>
  <si>
    <t>Terminal.Combate.Fogo</t>
  </si>
  <si>
    <t>Terminal de supressão de incêndio tem a finalidade de fornecer um fluido (gás ou líquido) que irá suprimir.</t>
  </si>
  <si>
    <t>El terminal de extinción de incendios tiene el propósito de proporcionar un fluido (gas o líquido) que suprimirá.</t>
  </si>
  <si>
    <t>Fire suppression terminal has the purpose of providing a fluid (gas or liquid) that will suppress.</t>
  </si>
  <si>
    <t>[ OST_FireProtection ]</t>
  </si>
  <si>
    <t>[ IfcFireSuppressionTerminal ]</t>
  </si>
  <si>
    <t>Mangueira.Entrada</t>
  </si>
  <si>
    <t>Conexão de tubulação simétrico que une duas ou mais entradas num único tubo.</t>
  </si>
  <si>
    <t>Conexión de tubería simétrica que une dos o más entradas en una sola tubería.</t>
  </si>
  <si>
    <t>Symmetrical pipe connection that joins two or more inlets into a single pipe.</t>
  </si>
  <si>
    <t>[ IfcFireSuppressionTerminalBREECHINGINLET ]</t>
  </si>
  <si>
    <t>Mangueira.Carretel</t>
  </si>
  <si>
    <t>Estrutura de suporte na qual uma mangueira pode ser enrolada.</t>
  </si>
  <si>
    <t>Estructura de soporte en la que se puede enrollar una manguera.</t>
  </si>
  <si>
    <t>Support structure on which a hose can be wound.</t>
  </si>
  <si>
    <t>[ IfcFireSuppressionTerminalHOSEREEL ]</t>
  </si>
  <si>
    <t>Mangueira.Canhão</t>
  </si>
  <si>
    <t>Monitor de incêndio.</t>
  </si>
  <si>
    <t>Monitor de incendios.</t>
  </si>
  <si>
    <t>Fire monitor.</t>
  </si>
  <si>
    <t>[ OST_SecurityDevices ]</t>
  </si>
  <si>
    <t>[ IfcFireSuppressionTerminalFIREMONITOR ]</t>
  </si>
  <si>
    <t>Detetor.de.Fumaça</t>
  </si>
  <si>
    <t>Detetor de fumação.</t>
  </si>
  <si>
    <t>Detector de humo.</t>
  </si>
  <si>
    <t>Smoke detector.</t>
  </si>
  <si>
    <t>[ IfcFireSuppressionTerminalFIREHYDRANT ]</t>
  </si>
  <si>
    <t>Hidrante</t>
  </si>
  <si>
    <t>Dispositivo, instalado num tubo, através do qual um suprimento temporário de água pode ser fornecido.</t>
  </si>
  <si>
    <t>Un dispositivo, instalado en una tubería, a través del cual se puede suministrar un suministro temporal de agua.</t>
  </si>
  <si>
    <t>A device, installed in a pipe, through which a temporary supply of water can be supplied.</t>
  </si>
  <si>
    <t>Sprinkler</t>
  </si>
  <si>
    <t>Dispositivo para aspergir água de um cano sob pressão sobre uma área.</t>
  </si>
  <si>
    <t>Un dispositivo para rociar agua de una tubería bajo presión sobre un área.</t>
  </si>
  <si>
    <t>A device for spraying water from a pipe under pressure over an area.</t>
  </si>
  <si>
    <t>[ OST_Sprinklers ]</t>
  </si>
  <si>
    <t>[ IfcFireSuppressionTerminalSPRINKLER ]</t>
  </si>
  <si>
    <t>Sprinkler.Defletor</t>
  </si>
  <si>
    <t>Dispositivo conectado a um aspersor para desviar o fluxo de água num padrão de propagação para cobrir o necessário.</t>
  </si>
  <si>
    <t>Dispositivo conectado a un aspersor para desviar el flujo de agua en un patrón de propagación para cubrir lo que se necesita.</t>
  </si>
  <si>
    <t>Device connected to a sprinkler to divert the flow of water in a propagation pattern to cover what is needed.</t>
  </si>
  <si>
    <t>[ IfcFireSuppressionTerminalSPRINKLERDEFLECTOR ]</t>
  </si>
  <si>
    <t>Acessório.Incêndio</t>
  </si>
  <si>
    <t>Reserva.Superior</t>
  </si>
  <si>
    <t>Reserva.Intermediária</t>
  </si>
  <si>
    <t>Reserva.Inferior</t>
  </si>
  <si>
    <t>Tubulação.Sprinklers</t>
  </si>
  <si>
    <t>Tubulação.Mangueira</t>
  </si>
  <si>
    <t>Porta corta-fogo que fechada impede a passagem de fogo e fumaça.</t>
  </si>
  <si>
    <t>La puerta cortafuegos que se cierra impide el paso del fuego y el humo.</t>
  </si>
  <si>
    <t>Fire door that closed prevents the passage of fire and smoke.</t>
  </si>
  <si>
    <t>[ OST_Doors ]</t>
  </si>
  <si>
    <t>[ IfcDoor ]</t>
  </si>
  <si>
    <t>Paredes e divisórias que limitam a propagação das chamas graças às suas propriedades de resistência ao fogo, projetadas especificamente para essa função.</t>
  </si>
  <si>
    <t>Muros y tabiques que limitan la propagación de las llamas gracias a sus propiedades de resistencia al fuego, diseñados específicamente para esta función.</t>
  </si>
  <si>
    <t>Walls and partitions that limit the spread of flames thanks to their fire resistance properties, designed specifically for this function.</t>
  </si>
  <si>
    <t>[ OST_Walls ]</t>
  </si>
  <si>
    <t>Shafts e passagens verticais projetados com selagem intumescente, dumpers antifumaça e barreiras corta-fogo em cada pavimento.</t>
  </si>
  <si>
    <t>Pozos y pasadizos verticales diseñados con sellado intumescente, volcadores sin humo y barreras cortafuego en cada planta.</t>
  </si>
  <si>
    <t>Shafts and vertical passages designed with intumescent sealing, smoke-free dumpers and fire barriers on each floor.</t>
  </si>
  <si>
    <t>[ null ]</t>
  </si>
  <si>
    <t>Sprinkler Pendente é um chuveiro automático instalado no teto com o jato de água para baixo.</t>
  </si>
  <si>
    <t>El colgante de aspersores es una ducha automática instalada en el techo con el chorro de agua hacia abajo.</t>
  </si>
  <si>
    <t>Sprinkler Pendant is an automatic shower installed on the ceiling with the water jet down.</t>
  </si>
  <si>
    <t>Sprinkler Upright é um chuveiro automático instalado em tubulação exposta abaixo do teto com o jato de água para cima.</t>
  </si>
  <si>
    <t>El rociador vertical es una ducha automática instalada en tuberías expuestas bajo el techo con el chorro de agua hacia arriba.</t>
  </si>
  <si>
    <t>Upright Sprinkler is an automatic shower installed in exposed piping below the ceiling with the water jet up.</t>
  </si>
  <si>
    <t>Sprinkler Lateral é um chuveiro automático instalado em paredes, ideal para corredores.</t>
  </si>
  <si>
    <t>El rociador lateral es una ducha automática instalada en las paredes, ideal para pasillos.</t>
  </si>
  <si>
    <t>Side Sprinkler is an automatic shower installed on walls, ideal for corridors.</t>
  </si>
  <si>
    <t>Detecta partículas muito pequenas de fumaça em incêndios de combustão rápida.</t>
  </si>
  <si>
    <t>Detecta partículas muy pequeñas de humo en incendios de combustión rápida.</t>
  </si>
  <si>
    <t>Detects very small particles of smoke in fast-burning fires.</t>
  </si>
  <si>
    <t>Detecta fumaça por meio da dispersão da luz em uma câmara interna. Mais eficaz em incêndios de combustão lenta (fumaça densa). É o tipo mais comum em edifícios residenciais e comerciais.</t>
  </si>
  <si>
    <t>Detecta el humo dispersando la luz en una cámara interna. Más efectivo en incendios latentes (humo denso). Es el tipo más común en edificios residenciales y comerciales.</t>
  </si>
  <si>
    <t>It detects smoke by scattering light in an internal chamber. Most effective on smoldering fires (dense smoke). It is the most common type in residential and commercial buildings.</t>
  </si>
  <si>
    <t>Detecta usando uma rede de tubos que aspira continuamente o ar do ambiente. Detecta partículas muito pequenas, permitindo detecção precoce. Ideal para data centers, museus, bibliotecas e ambientes críticos.</t>
  </si>
  <si>
    <t>Detecta el uso de una red de tuberías que succiona continuamente aire del entorno. Detecta partículas muy pequeñas, permitiendo una detección temprana. Ideal para centros de datos, museos, bibliotecas y entornos críticos.</t>
  </si>
  <si>
    <t>It detects using a network of pipes that continuously sucks in air from the environment. Detects very small particles, allowing early detection. Ideal for data centers, museums, libraries, and critical environments.</t>
  </si>
  <si>
    <t>Detecta graças a um feixe de luz (laser ou infravermelho) entre emissor e receptor.</t>
  </si>
  <si>
    <t>Detecta gracias a un haz de luz (láser o infrarrojo) entre el emisor y el receptor.</t>
  </si>
  <si>
    <t>It detects thanks to a beam of light (laser or infrared) between emitter and receiver.</t>
  </si>
  <si>
    <t>Detector que integra detecção de fumaça e calor no mesmo dispositivo. Aumenta a confiabilidade, sendo indicado para ambientes industriais ou com variações de temperatura.</t>
  </si>
  <si>
    <t>Detector que integra detección de humo y calor en el mismo dispositivo. Aumenta la fiabilidad, estando indicado para entornos industriales o con variaciones de temperatura.</t>
  </si>
  <si>
    <t>Detector that integrates smoke and heat detection in the same device. Increases reliability, being indicated for industrial environments or with temperature variations.</t>
  </si>
  <si>
    <t>Sis_INC_01</t>
  </si>
  <si>
    <t>"Um sistema do Projeto Específico de Incêndio 01"</t>
  </si>
  <si>
    <t>"Sistema de Incêndio 1 do Predio"</t>
  </si>
  <si>
    <t>Sis_INC_02</t>
  </si>
  <si>
    <t>"Sistema de Incêndio 2 do Predio"</t>
  </si>
  <si>
    <t>"Instância de Sprinkler do sistema INC01 pode ser individualizado pelo ID de Revit ou pelo indentificador IfcGlobalId de IFC"</t>
  </si>
  <si>
    <t>"Sistema Ativo de Extinção de Incêndio"</t>
  </si>
  <si>
    <t>"Nome da empresa fabricante do produto."</t>
  </si>
  <si>
    <t>"[ OST_FireProtection : OST_Sprinklers : OST_PipeSegments : OST_PipeFitting ]"</t>
  </si>
  <si>
    <t>"[ IfcSensorSMOKESENSOR : IfcFireSuppressionTerminalSPRINKLER : IfcPipeSegment : IfcPipeFitting ]"</t>
  </si>
  <si>
    <t>"[ 3E.62.04 ]"</t>
  </si>
  <si>
    <t>SPK_ID_453908</t>
  </si>
  <si>
    <t>SPK_ID_453909</t>
  </si>
  <si>
    <t>SPK_ID_678250</t>
  </si>
  <si>
    <t>SPK_ID_678251</t>
  </si>
  <si>
    <t>SPK_ID_678252</t>
  </si>
  <si>
    <t>SPK_ID_678253</t>
  </si>
  <si>
    <t>SPK_ID_678254</t>
  </si>
  <si>
    <t>SPK_ID_678255</t>
  </si>
  <si>
    <t>"Instância de Sprinkler do sistema INC02 pode ser individualizado pelo ID de Revit ou pelo indentificador IfcGlobalId de IFC"</t>
  </si>
  <si>
    <t>SPK_ID_678256</t>
  </si>
  <si>
    <t>SPK_ID_678257</t>
  </si>
  <si>
    <t>SPK_ID_678258</t>
  </si>
  <si>
    <t>SPK_ID_678259</t>
  </si>
  <si>
    <t>SPK_ID_678260</t>
  </si>
  <si>
    <t>SPK_ID_678261</t>
  </si>
  <si>
    <t>DET_ID_678221</t>
  </si>
  <si>
    <t>"Instância de Detector de fumaça do sistema INC02 pode ser individualizado pelo ID de Revit ou pelo indentificador IfcGlobalId de IFC"</t>
  </si>
  <si>
    <t>"Sistema Ativo para detecção de fumaça"</t>
  </si>
  <si>
    <t>"Betta Sistemas Eletrônicos"</t>
  </si>
  <si>
    <t>"[ 3E.62.20 ]"</t>
  </si>
  <si>
    <t>DET_ID_678342</t>
  </si>
  <si>
    <t>Projeto_INC</t>
  </si>
  <si>
    <t>Sis_INC_Ativo_01</t>
  </si>
  <si>
    <t>Sis_INC_Ativo_02</t>
  </si>
  <si>
    <t>Tgas_ID_434250</t>
  </si>
  <si>
    <t>Tgas_ID_434251</t>
  </si>
  <si>
    <t>Catálogo.SGC</t>
  </si>
  <si>
    <t>Catálogo.SGC.Seção.Tubos</t>
  </si>
  <si>
    <t>Catálogo.SGC.Seção.Válvulas</t>
  </si>
  <si>
    <t>Instalação de Esgoto</t>
  </si>
  <si>
    <t>Instalación de alcantarillado</t>
  </si>
  <si>
    <t>Sewer Installation</t>
  </si>
  <si>
    <t>Instalación de agua fría</t>
  </si>
  <si>
    <t>Cold water installation</t>
  </si>
  <si>
    <t>Instalación de agua caliente</t>
  </si>
  <si>
    <t>Installation of hot water</t>
  </si>
  <si>
    <t>Instalação de águas pluviais.</t>
  </si>
  <si>
    <t>Instalación de agua de lluvia.</t>
  </si>
  <si>
    <t>Rainwater installation.</t>
  </si>
  <si>
    <t>Ventilação de la instalação de desague.</t>
  </si>
  <si>
    <t>Ventilación de la instalación del desagüe.</t>
  </si>
  <si>
    <t>Ventilation of the drain installation.</t>
  </si>
  <si>
    <t>Catálogos.Usados</t>
  </si>
  <si>
    <t>Catálogo.ESG</t>
  </si>
  <si>
    <t>"Indivíduos dos sistemas de Esgoto do projeto"</t>
  </si>
  <si>
    <t>"Indivíduos dos sistemas de Hidráulica do projeto"</t>
  </si>
  <si>
    <t>"Indivíduos dos sistemas de Incêndio do projeto"</t>
  </si>
  <si>
    <t>Projeto_A</t>
  </si>
  <si>
    <t>"Indivíduo principal com a identificação geral do Projeto"</t>
  </si>
  <si>
    <t>Sis.ESG</t>
  </si>
  <si>
    <t>Sis.VEN</t>
  </si>
  <si>
    <t>Sis.AFR</t>
  </si>
  <si>
    <t>Sis.AQT</t>
  </si>
  <si>
    <t>Sis.PLU</t>
  </si>
  <si>
    <t>Sis.GAS</t>
  </si>
  <si>
    <t>Sis.INC</t>
  </si>
  <si>
    <t>Sistema.Hidráulico</t>
  </si>
  <si>
    <t>Sistema.Pluvial</t>
  </si>
  <si>
    <t>Tub.AF</t>
  </si>
  <si>
    <t>Tub.AQ</t>
  </si>
  <si>
    <t>Tubería hidráulica de agua caliente.</t>
  </si>
  <si>
    <t>Tubería hidráulica de agua fria.</t>
  </si>
  <si>
    <t>Tubería de gas hospitalar.</t>
  </si>
  <si>
    <t>Tubería de gas.</t>
  </si>
  <si>
    <t>Hydraulic Tubing of hot water.</t>
  </si>
  <si>
    <t>Hydraulic Tubing of cold water.</t>
  </si>
  <si>
    <t>Hospital Gas Pipe.</t>
  </si>
  <si>
    <t>Gas Pipe.</t>
  </si>
  <si>
    <t>Reuse Water Pipe.</t>
  </si>
  <si>
    <t>Boiler.</t>
  </si>
  <si>
    <t>Hot Water Pipe.</t>
  </si>
  <si>
    <t>Upper Cistern.</t>
  </si>
  <si>
    <t>Intermediate Cistern.</t>
  </si>
  <si>
    <t>Lower Cistern.</t>
  </si>
  <si>
    <t>Cold Water Pipe.</t>
  </si>
  <si>
    <t>Acessório do sistema de hidráulica como suportes, ganchos, pedestais, etc.</t>
  </si>
  <si>
    <t>Corta.Fogo.Porta</t>
  </si>
  <si>
    <t>Corta.Fogo.Shaft</t>
  </si>
  <si>
    <t>Corta.Fogo.Alvenaria</t>
  </si>
  <si>
    <t>Dut.Avac</t>
  </si>
  <si>
    <t>Equ.Avac</t>
  </si>
  <si>
    <t>Acessório dos sistemas de Avac como suportes, ganchos, pedestais, etc.</t>
  </si>
  <si>
    <t>Equipamento de sistema de Avac.</t>
  </si>
  <si>
    <t>Dutos de Avac.</t>
  </si>
  <si>
    <t>Tubulação de Avac.</t>
  </si>
  <si>
    <t>Accesorios de sistemas HVAC como soportes, ganchos, pedestales, etc.</t>
  </si>
  <si>
    <t>Accessory of HVAC systems like brackets, hooks, pedestals, etc.</t>
  </si>
  <si>
    <t>Equipo del sistema HVAC.</t>
  </si>
  <si>
    <t>HVAC system equipment.</t>
  </si>
  <si>
    <t>Conductos de climatización.</t>
  </si>
  <si>
    <t>HVAC ducts.</t>
  </si>
  <si>
    <t>HVAC Tubing.</t>
  </si>
  <si>
    <t>Equ.AF</t>
  </si>
  <si>
    <t>Equ.Pluvial</t>
  </si>
  <si>
    <t>Equ.AQ</t>
  </si>
  <si>
    <t>Equ.Aquecedor</t>
  </si>
  <si>
    <t>Equ.Buchão.de.Gás</t>
  </si>
  <si>
    <t>Equ.Boiler</t>
  </si>
  <si>
    <t>Equ.Caldeira</t>
  </si>
  <si>
    <t>Equ.Cilindro.de.Gás</t>
  </si>
  <si>
    <t>Equ.Medidor.de.Gás</t>
  </si>
  <si>
    <t>Equ.Queimador</t>
  </si>
  <si>
    <t>Equ.Registro.de.Gás</t>
  </si>
  <si>
    <t>Equ.Tanque.de.Gás</t>
  </si>
  <si>
    <t>Equ.Hospitalar.Aquecedor</t>
  </si>
  <si>
    <t>Equ.Hospitalar.Boiler</t>
  </si>
  <si>
    <t>Equ.Hospitalar.Caldeira</t>
  </si>
  <si>
    <t>Ace.Hidráulico</t>
  </si>
  <si>
    <t>Ace.Avac</t>
  </si>
  <si>
    <t>Equ.Esgoto</t>
  </si>
  <si>
    <t>Equ.Ventilação</t>
  </si>
  <si>
    <t>Sistemas.de.Incêndio</t>
  </si>
  <si>
    <t>Sistemas.de.Gás</t>
  </si>
  <si>
    <t>De.Catalogação</t>
  </si>
  <si>
    <t>Catálogo.Dutos</t>
  </si>
  <si>
    <t>Catálogo.Tubulações</t>
  </si>
  <si>
    <t>Catálogo.Incêndio</t>
  </si>
  <si>
    <t>Catálogos</t>
  </si>
  <si>
    <t>Ace.Esgoto</t>
  </si>
  <si>
    <t>Acessório do sistema de esgotos como suportes, ganchos, pedestais, etc.</t>
  </si>
  <si>
    <t>Tub.Hospitalar.Gás</t>
  </si>
  <si>
    <t>"Cataloga os produtos da SGC utilizados nas tubulações de esgoto do projeto"</t>
  </si>
  <si>
    <t>Sistemas.Incêndio</t>
  </si>
  <si>
    <t>Sistemas.Esgotos</t>
  </si>
  <si>
    <t>Sistema.Esgoto</t>
  </si>
  <si>
    <t>Sistemas.Avac</t>
  </si>
  <si>
    <t>Sistema.Avac</t>
  </si>
  <si>
    <t>Sistema.Passivo</t>
  </si>
  <si>
    <t>Sistema.Ativo</t>
  </si>
  <si>
    <t>Sistemas.Gás</t>
  </si>
  <si>
    <t>Sistema.Gás</t>
  </si>
  <si>
    <t>Sistema.Gás.Doméstico</t>
  </si>
  <si>
    <t>Sistema.Gás.Hospitalar</t>
  </si>
  <si>
    <t>Sistema.Exaustão</t>
  </si>
  <si>
    <t>Sistema.Ventilação</t>
  </si>
  <si>
    <t>Sistema.ArCondicionado</t>
  </si>
  <si>
    <t>Sistema.Esgoto.Ventilação</t>
  </si>
  <si>
    <t>Sistema.Agua.Quente</t>
  </si>
  <si>
    <t>Sistema.Agua.Fria</t>
  </si>
  <si>
    <t>Sistema passivo de combate a incêndio.</t>
  </si>
  <si>
    <t>Sistema ativo de combate a incêndio.</t>
  </si>
  <si>
    <t>Sistema de água fria doméstica.</t>
  </si>
  <si>
    <t>Sistema de água quente doméstica.</t>
  </si>
  <si>
    <t>Sistema de águas pluviais.</t>
  </si>
  <si>
    <t>Sistema de esgoto.</t>
  </si>
  <si>
    <t>Sistema de ventilação do esgoto.</t>
  </si>
  <si>
    <t>Sistema de ar condicionado.</t>
  </si>
  <si>
    <t>Sistema de exaustão do ar interno.</t>
  </si>
  <si>
    <t>Sistema de ventilação do ar interno.</t>
  </si>
  <si>
    <t>Sistema de gás doméstico.</t>
  </si>
  <si>
    <t>Sistema de gases hospitalares.</t>
  </si>
  <si>
    <t>Sistema de aire acondicionado.</t>
  </si>
  <si>
    <t>Sistema interno de extracción de aire.</t>
  </si>
  <si>
    <t>Sistema de ventilación interna de aire.</t>
  </si>
  <si>
    <t>Sistema de alcantarillado.</t>
  </si>
  <si>
    <t>Sistema de ventilación de alcantarillado.</t>
  </si>
  <si>
    <t>Sistema de gas doméstico.</t>
  </si>
  <si>
    <t>Sistema de gas del hospital.</t>
  </si>
  <si>
    <t>Sistema doméstico de agua fría.</t>
  </si>
  <si>
    <t>Sistema de agua caliente doméstica.</t>
  </si>
  <si>
    <t>Sistema de agua de lluvia.</t>
  </si>
  <si>
    <t>Sistema activo de extinción de incendios.</t>
  </si>
  <si>
    <t>Sistema pasivo de extinción de incendios.</t>
  </si>
  <si>
    <t>Air conditioning system.</t>
  </si>
  <si>
    <t>Internal air exhaust system.</t>
  </si>
  <si>
    <t>Internal air ventilation system.</t>
  </si>
  <si>
    <t>Sewage system.</t>
  </si>
  <si>
    <t>Sewer ventilation system.</t>
  </si>
  <si>
    <t>Home gas system.</t>
  </si>
  <si>
    <t>Hospital gas system.</t>
  </si>
  <si>
    <t>Domestic cold water system.</t>
  </si>
  <si>
    <t>Domestic hot water system.</t>
  </si>
  <si>
    <t>Rainwater system.</t>
  </si>
  <si>
    <t>Active firefighting system.</t>
  </si>
  <si>
    <t>Passive firefighting system.</t>
  </si>
  <si>
    <t>[ IfcDistributionSystem ]</t>
  </si>
  <si>
    <t>Elementos.Incêndio</t>
  </si>
  <si>
    <t>Tubulação.Agua</t>
  </si>
  <si>
    <t>Tubulação.Agua.Reuso</t>
  </si>
  <si>
    <t>Pia</t>
  </si>
  <si>
    <t>Cuba</t>
  </si>
  <si>
    <t>Acessório.Esgoto</t>
  </si>
  <si>
    <t>Elementos.Avac</t>
  </si>
  <si>
    <t>Acessório do sistema Avac como suportes, ganchos, pedestais, etc.</t>
  </si>
  <si>
    <t>HVAC system accessory like brackets, hooks, pedestals, etc.</t>
  </si>
  <si>
    <t>Accesorios para sistemas de Avac como soportes, ganchos, pedestales, etc.</t>
  </si>
  <si>
    <t>Elementos.Gás</t>
  </si>
  <si>
    <t>Acessório.Gás</t>
  </si>
  <si>
    <t>Terminal.Gás</t>
  </si>
  <si>
    <t>Tubulação.Gás</t>
  </si>
  <si>
    <t>Válvula.Gás</t>
  </si>
  <si>
    <t>Elementos.Esgoto</t>
  </si>
  <si>
    <t>Elementos.Instalações</t>
  </si>
  <si>
    <t>Sistemas.de.Avac</t>
  </si>
  <si>
    <t>Sistema.de.Avac</t>
  </si>
  <si>
    <t>Sis.EXA</t>
  </si>
  <si>
    <t>Sis.OXI</t>
  </si>
  <si>
    <t>Sis.NITRO</t>
  </si>
  <si>
    <t>Sis.HELIO</t>
  </si>
  <si>
    <t>Sis.VAC</t>
  </si>
  <si>
    <t>Sis.OXINIT</t>
  </si>
  <si>
    <t>Sis.ACOM</t>
  </si>
  <si>
    <t>Sis.ARMED</t>
  </si>
  <si>
    <t>Sis.ARCON</t>
  </si>
  <si>
    <t>Sistema.de.Gás.Doméstico</t>
  </si>
  <si>
    <t>Sistemas.de.Hidráulica</t>
  </si>
  <si>
    <t>Canalização.de.Hidráulica</t>
  </si>
  <si>
    <t>Canalização.de.Esgoto</t>
  </si>
  <si>
    <t>Canalização.de.Incêndio</t>
  </si>
  <si>
    <t>Projeto_AVA</t>
  </si>
  <si>
    <t>"Indivíduos dos sistemas de AVAC do projeto"</t>
  </si>
  <si>
    <t>Canalização.de.Gás.Hospitalar</t>
  </si>
  <si>
    <t>Ace.Gás.Hospitalar</t>
  </si>
  <si>
    <t>Ace.Gás</t>
  </si>
  <si>
    <t>Accesorios del sistema de gas hospitalar como soportes, ganchos, pedestales, etc.</t>
  </si>
  <si>
    <t>Hospital Gas system accessories like brackets, hooks, pedestals, etc.</t>
  </si>
  <si>
    <t>Acessório do sistema de gás hospitalar como suportes, ganchos, pedestais, etc.</t>
  </si>
  <si>
    <t>Tubulação de gás.</t>
  </si>
  <si>
    <t>Boiler a gás.</t>
  </si>
  <si>
    <t>Tanque de gás.</t>
  </si>
  <si>
    <t>Buchão de gás.</t>
  </si>
  <si>
    <t>Registro de gás.</t>
  </si>
  <si>
    <t>Medidores de gás.</t>
  </si>
  <si>
    <t>Queimador de gás.</t>
  </si>
  <si>
    <t>Cilindro de gás.</t>
  </si>
  <si>
    <t>Aquecedor a gás.</t>
  </si>
  <si>
    <t>Caldeira a gás.</t>
  </si>
  <si>
    <t>Aquecedor a gás hospitalar.</t>
  </si>
  <si>
    <t>Boiler a gás hospitalar.</t>
  </si>
  <si>
    <t>Caldeira a gás hospitalar.</t>
  </si>
  <si>
    <t>Tubulação de gás hospitalar.</t>
  </si>
  <si>
    <t>Instalação de água fria.</t>
  </si>
  <si>
    <t>Instalação de água caliente.</t>
  </si>
  <si>
    <t>Tubulação pluvial.</t>
  </si>
  <si>
    <t>Tubulação hidráulica de água fria.</t>
  </si>
  <si>
    <t>Tubulação hidráulica de água quente.</t>
  </si>
  <si>
    <t>Catálogo de elementos de dutagem.</t>
  </si>
  <si>
    <t>Catálogo de elementos de incêndio.</t>
  </si>
  <si>
    <t>Catálogo de elementos de tubulações.</t>
  </si>
  <si>
    <t>Catálogo de elementos de tuberías.</t>
  </si>
  <si>
    <t>Catalogue of piping elements.</t>
  </si>
  <si>
    <t>Catálogo de elementos de oleoductos.</t>
  </si>
  <si>
    <t>Catalogue of pipeline elements.</t>
  </si>
  <si>
    <t>Catálogo de elementos de fuego.</t>
  </si>
  <si>
    <t>Fire elements catalogue.</t>
  </si>
  <si>
    <t>[ IfcWall ]</t>
  </si>
  <si>
    <t>[ OST_Sprinklers : OST_PipingSystem : OST_PipeSegments : OST_PipeFitting : OST_PipeCurves : OST_PipeConnections : OST_PipeFittingInsulation ]</t>
  </si>
  <si>
    <t>[ IfcFireSuppressionTerminalSPRINKLER : IfcPipeSegment : IfcPipeFitting ]</t>
  </si>
  <si>
    <t>Objetos.Passivos.Incêndio</t>
  </si>
  <si>
    <t>De.Objetos.Passivos</t>
  </si>
  <si>
    <t>Sistemas.de.Esgotos</t>
  </si>
  <si>
    <t>Sistema.de.Esgoto</t>
  </si>
  <si>
    <t>Sistema.de.Hidráulica</t>
  </si>
  <si>
    <t>Sistema.de.Incêndio</t>
  </si>
  <si>
    <t>Sis.TOX</t>
  </si>
  <si>
    <t>Sistema de esgoto de fluídos tóxicos separados do esgoto normal.</t>
  </si>
  <si>
    <t>Sistema de desagües de fluídos tóxicos separados del desagües normal.</t>
  </si>
  <si>
    <t>Toxic fluid drain system separated from normal drains.</t>
  </si>
  <si>
    <t>De.Climatização</t>
  </si>
  <si>
    <t>Dutos.de.Avac</t>
  </si>
  <si>
    <t>Qualidade.de.Ar</t>
  </si>
  <si>
    <t>Ar.Aquecido</t>
  </si>
  <si>
    <t>Projeto de instalação de aquecimento de ar.</t>
  </si>
  <si>
    <t>Air heating installation project.</t>
  </si>
  <si>
    <t>Ar.Insuflado</t>
  </si>
  <si>
    <t>Projeto de instalação de resfriamento de ar (Insuflado).</t>
  </si>
  <si>
    <t>Air cooling installation project (Inflated).</t>
  </si>
  <si>
    <t>Ar.Retornado</t>
  </si>
  <si>
    <t>Projeto de instalação de resfriamento de ar (Retorno).</t>
  </si>
  <si>
    <t>Air Cooling Installation Project (Return).</t>
  </si>
  <si>
    <t>Mechanical exhaust installation project.</t>
  </si>
  <si>
    <t>Projeto de instalação de ventilação de ar interno.</t>
  </si>
  <si>
    <t>Indoor air ventilation installation project.</t>
  </si>
  <si>
    <t>Ar.Filtrado.Interno</t>
  </si>
  <si>
    <t>Projeto de instalação de filtragem de ar interior.</t>
  </si>
  <si>
    <t>Indoor air filtration installation project.</t>
  </si>
  <si>
    <t>Ar.Filtrado.Externo</t>
  </si>
  <si>
    <t>Projeto de instalação de filtragem de ar externo.</t>
  </si>
  <si>
    <t>Outdoor air filtration installation project.</t>
  </si>
  <si>
    <t>Projeto de instalação de captação de ar externo.</t>
  </si>
  <si>
    <t>Outdoor air intake installation project.</t>
  </si>
  <si>
    <t>Ar.Ventilado</t>
  </si>
  <si>
    <t>Ar.Exausto</t>
  </si>
  <si>
    <t>Ar.Resfriado</t>
  </si>
  <si>
    <t>Projeto de instalação de resfriamento de ar.</t>
  </si>
  <si>
    <t>Projeto de instalação de exaustão mecânica do ar.</t>
  </si>
  <si>
    <t>Air cooling installation project.</t>
  </si>
  <si>
    <t>Ar.Interior</t>
  </si>
  <si>
    <t>Ar.Exterior</t>
  </si>
  <si>
    <t>Ar.Captado</t>
  </si>
  <si>
    <t>[ OST_DuctSystem ]</t>
  </si>
  <si>
    <t>[ IfcDistributionSystem  ]</t>
  </si>
  <si>
    <t>[ OST_DuctFitting ]</t>
  </si>
  <si>
    <t>[ IfcDuctFitting ]</t>
  </si>
  <si>
    <t>[ OST_FlexDuctCurves ]</t>
  </si>
  <si>
    <t>[ IfcDuctSegment ]</t>
  </si>
  <si>
    <t>[ OST_DuctCurves ]</t>
  </si>
  <si>
    <t>[ OST_DuctInsulations ]</t>
  </si>
  <si>
    <t>[ IfcDuctSilencer ]</t>
  </si>
  <si>
    <t>[ OST_DuctFittingInsulation ]</t>
  </si>
  <si>
    <t>[ OST_DuctCurves : OST_FlexDuctCurves : OST_DuctFitting : OST_DuctInsulations : OST_DuctFittingInsulation  ]</t>
  </si>
  <si>
    <t>[ OST_DuctCurves : OST_FlexDuctCurves : OST_DuctFitting : OST_DuctInsulations : OST_DuctFittingInsulation : OST_PipeSegments : OST_PipeFitting : OST_PipeAccessory ]</t>
  </si>
  <si>
    <t>[ IfcDuctSegment : IfcDuctFitting : IfcDuctSilencer : IfcDiscreteAccessory ]</t>
  </si>
  <si>
    <t>[ IfcDuctSegment : IfcDuctFitting : IfcDuctSilencer : IfcDiscreteAccessory : IfcPipeSegment : IfcPipeFitting : IfcValve ]</t>
  </si>
  <si>
    <t>Conexão de duto é uma junção ou transição no sistema de distribuição de fluxo em dutos.</t>
  </si>
  <si>
    <t>La conexión de conductos es una unión o transición en el sistema de distribución de flujo en tuberías.</t>
  </si>
  <si>
    <t>Duct connection is a junction or transition in the flow distribution system in pipelines.</t>
  </si>
  <si>
    <t>[ 3E ]</t>
  </si>
  <si>
    <t>Segmentos flexível é um segmentos contínuo não linear do duto que pode ser deformado.</t>
  </si>
  <si>
    <t>Los segmentos flexibles son un segmento continuo no lineal del conducto que se puede deformar.</t>
  </si>
  <si>
    <t>Flexible segments are a continuous nonlinear segment of the duct that can be deformed.</t>
  </si>
  <si>
    <t>Segmentos de duto é usado tipicamente para unir duas seções da rede de dutos.</t>
  </si>
  <si>
    <t>Los segmentos de conducto se utilizan normalmente para unir dos secciones de la red de conductos.</t>
  </si>
  <si>
    <t>Duct segments are typically used to join two sections of the duct network.</t>
  </si>
  <si>
    <t>Silenciador de dutos é um dispositivo que geralmente é instalado dentro de sistema de distribuição.</t>
  </si>
  <si>
    <t>El silenciador de conducto es un dispositivo que generalmente se instala dentro del sistema de distribución.</t>
  </si>
  <si>
    <t>Duct muffler is a device that is usually installed inside distribution system.</t>
  </si>
  <si>
    <t>Tipo de isolador de dutos.</t>
  </si>
  <si>
    <t>Tipo aislante de conducto.</t>
  </si>
  <si>
    <t>Duct insulator type.</t>
  </si>
  <si>
    <t>Avac.Tubo.Conexão</t>
  </si>
  <si>
    <t>Conexão de tubulação é uma junção ou transição no sistema de distribuição de fluxo de tubulação.</t>
  </si>
  <si>
    <t>La conexión de tubería es una unión o transición en el sistema de distribución de flujo de tubería.</t>
  </si>
  <si>
    <t>Pipe connection is a junction or transition in the pipe flow distribution system.</t>
  </si>
  <si>
    <t>[ IfcPipeFitting ]</t>
  </si>
  <si>
    <t>Avac.Tubo.Segmento</t>
  </si>
  <si>
    <t>Segmentos de tubo é usado para normalmente juntar duas seções de uma rede de canalização.</t>
  </si>
  <si>
    <t>Los segmentos de tubería se utilizan normalmente para unir dos secciones de una red de plomería.</t>
  </si>
  <si>
    <t>Pipe segments is used to typically join two sections of a plumbing network.</t>
  </si>
  <si>
    <t>[ IfcPipeSegment ]</t>
  </si>
  <si>
    <t>Avac.Tubo.Válvula</t>
  </si>
  <si>
    <t>La válvula se utiliza en el sistema de distribución de plomería para servicios de construcción.</t>
  </si>
  <si>
    <t>Terminal de duto, pode ser um difusor ou uma boca de retorno.</t>
  </si>
  <si>
    <t>Terminal de condutos puede ser un difusor o una boca de retorno.</t>
  </si>
  <si>
    <t>Duct terminal, it can be a diffuser or a return mouth.</t>
  </si>
  <si>
    <t>[ OST_DuctTerminal ]</t>
  </si>
  <si>
    <t>[ IfcAirTerminal ]</t>
  </si>
  <si>
    <t>Avac.Caixa.Junção</t>
  </si>
  <si>
    <t>Caixa de junção é um compartimento onde dutos estão conectados.</t>
  </si>
  <si>
    <t>La caja de conexiones es un compartimento donde se conectan los conductos.</t>
  </si>
  <si>
    <t>Junction box is a compartment where ducts are connected.</t>
  </si>
  <si>
    <t>[ IfcJunctionBox ]</t>
  </si>
  <si>
    <t>Avac.Caixa.Terminal</t>
  </si>
  <si>
    <t>Caixa terminal de ar normalmente faz parte de sistema de distribuição de dutos de AVAC.</t>
  </si>
  <si>
    <t>La caja de terminales de aire suele ser parte del sistema de distribución de conductos de AVAC..</t>
  </si>
  <si>
    <t>Air terminal box is usually part of HVAC duct distribution system.</t>
  </si>
  <si>
    <t>[ IfcAirTerminalBox ]</t>
  </si>
  <si>
    <t>Avac.Compressor</t>
  </si>
  <si>
    <t>Compressor é um dispositivo que comprime um fluido normalmente utilizado num circuito de refrigeração.</t>
  </si>
  <si>
    <t>Un compresor es un dispositivo que comprime un fluido normalmente utilizado en un circuito de refrigeración.</t>
  </si>
  <si>
    <t>A compressor is a device that compresses a fluid normally used in a refrigeration circuit.</t>
  </si>
  <si>
    <t>[ IfcCompressor ]</t>
  </si>
  <si>
    <t>Avac.Filtro</t>
  </si>
  <si>
    <t>Filtro é um aparelho utilizado para remover partículas ou matérias gasosas de fluidos e gases.</t>
  </si>
  <si>
    <t>Un filtro es un dispositivo que se utiliza para eliminar partículas o materia gaseosa de fluidos y gases.</t>
  </si>
  <si>
    <t>A filter is a device used to remove particles or gaseous matter from fluids and gases.</t>
  </si>
  <si>
    <t>[ IfcFilter ]</t>
  </si>
  <si>
    <t>Avac.Unitário</t>
  </si>
  <si>
    <t>Os equipamentos unitários normalmente combinam vários componentes num único produto, como alça de ar.</t>
  </si>
  <si>
    <t>Los equipos unitarios suelen combinar varios componentes en un solo producto, como una manija de aire.</t>
  </si>
  <si>
    <t>Unitary equipment usually combines several components into a single product, such as an air handle.</t>
  </si>
  <si>
    <t>[ IfcUnitaryEquipment ]</t>
  </si>
  <si>
    <t>Avac.Bobina.de.Tubos</t>
  </si>
  <si>
    <t>Feixe de tubos é um dispositivo que consiste em tubos e feixes de tubos usados para transferência de calor e contenção.</t>
  </si>
  <si>
    <t>El haz de tubos es un dispositivo que consta de tubos y haces de tubos que se utilizan para la transferencia y contención de calor.</t>
  </si>
  <si>
    <t>Bundle of tubes is a device consisting of tubes and bundles of tubes used for heat transfer and containment.</t>
  </si>
  <si>
    <t>[ IfcTubeBundle ]</t>
  </si>
  <si>
    <t>Avac.Caldeira</t>
  </si>
  <si>
    <t>Caldeira é um equipamento fechado, classificado para pressão, no qual a água ou outro fluido.</t>
  </si>
  <si>
    <t>Una caldera es un equipo cerrado, clasificado para la presión, en el que agua u otro fluido.</t>
  </si>
  <si>
    <t>A boiler is a closed piece of equipment, rated for pressure, in which water or other fluid.</t>
  </si>
  <si>
    <t>Avac.Chaminé</t>
  </si>
  <si>
    <t>Dutos geralmente verticais, utilizados para exaurir gases de equipamentos como caldeiras.</t>
  </si>
  <si>
    <t>Generalmente conductos verticales, utilizados para extraer gases de equipos como calderas.</t>
  </si>
  <si>
    <t>Generally vertical ducts, used to exhaust gases from equipment such as boilers.</t>
  </si>
  <si>
    <t>[ IfcChimney ]</t>
  </si>
  <si>
    <t>Avac.Chiller</t>
  </si>
  <si>
    <t>Dispositivo utilizado para remover calor de um líquido através de um ciclo de refrigeração.</t>
  </si>
  <si>
    <t>Dispositivo utilizado para eliminar el calor de un líquido a través de un ciclo de refrigeración.</t>
  </si>
  <si>
    <t>A device used to remove heat from a liquid through a refrigeration cycle.</t>
  </si>
  <si>
    <t>[ IfcChiller ]</t>
  </si>
  <si>
    <t>Avac.Condensador</t>
  </si>
  <si>
    <t>Dispositivo utilizado para dissipar calor, geralmente condensando uma substância.</t>
  </si>
  <si>
    <t>Dispositivo que se utiliza para disipar el calor, generalmente mediante la condensación de una sustancia.</t>
  </si>
  <si>
    <t>A device used to dissipate heat, usually by condensing a substance.</t>
  </si>
  <si>
    <t>[ IfcCondenser ]</t>
  </si>
  <si>
    <t>Avac.Evaporador</t>
  </si>
  <si>
    <t>Dispositivo no qual um fluido refrigerante é vaporizado que absorve o calor do fluído.</t>
  </si>
  <si>
    <t>Dispositivo en el que se vaporiza un fluido refrigerante que absorbe el calor del fluido.</t>
  </si>
  <si>
    <t>A device in which a refrigerant fluid is vaporized that absorbs heat from the fluid.</t>
  </si>
  <si>
    <t>[ IfcEvaporator ]</t>
  </si>
  <si>
    <t>Avac.Queimador</t>
  </si>
  <si>
    <t>Dispositivo que converte combustível em calor através da combustão.</t>
  </si>
  <si>
    <t>Un dispositivo que convierte el combustible en calor a través de la combustión.</t>
  </si>
  <si>
    <t>A device that converts fuel into heat through combustion.</t>
  </si>
  <si>
    <t>Avac.Recuperador.Ar-Ar</t>
  </si>
  <si>
    <t>Dispositivo de recuperação de calor ar-ar utiliza um trocador de calor de contracorrente.</t>
  </si>
  <si>
    <t>El dispositivo de recuperación de calor aire-aire utiliza un intercambiador de calor a contracorriente.</t>
  </si>
  <si>
    <t>Air-to-air heat recovery device uses a countercurrent heat exchanger.</t>
  </si>
  <si>
    <t>[ IfcAirToAirHeatRecovery ]</t>
  </si>
  <si>
    <t>Avac.Resfriador.Evaporativo</t>
  </si>
  <si>
    <t>Dispositivo que esfria o ar saturando-o com vapor de água.</t>
  </si>
  <si>
    <t>Un dispositivo que enfría el aire saturándolo con vapor de agua.</t>
  </si>
  <si>
    <t>A device that cools the air by saturating it with water vapor.</t>
  </si>
  <si>
    <t>[ IfcEvaporativeCooler ]</t>
  </si>
  <si>
    <t>Avac.Serpentina</t>
  </si>
  <si>
    <t>Serpentina é um dispositivo usado para fornecer transferência de calor entre as mídias não misturadas.</t>
  </si>
  <si>
    <t>La bobina es un dispositivo que se utiliza para proporcionar transferencia de calor entre los medios no mezclados.</t>
  </si>
  <si>
    <t>Coil is a device used to provide heat transfer between the unmixed media.</t>
  </si>
  <si>
    <t>[ IfcCoil ]</t>
  </si>
  <si>
    <t>Avac.Torre.Arrefecimento</t>
  </si>
  <si>
    <t>Torre de refrigeração é um dispositivo que rejeita o calor ao ar ambiente, circulando um fluido.</t>
  </si>
  <si>
    <t>La torre de enfriamiento es un dispositivo que rechaza el calor en el aire ambiente mediante la circulación de un fluido.</t>
  </si>
  <si>
    <t>Cooling tower is a device that rejects heat into ambient air by circulating a fluid.</t>
  </si>
  <si>
    <t>[ IfcCoolingTower ]</t>
  </si>
  <si>
    <t>Avac.Trocador.de.Calor</t>
  </si>
  <si>
    <t>Trocador de calor é um dispositivo usado para fornecer transferência de calor entre meios.</t>
  </si>
  <si>
    <t>El intercambiador de calor es un dispositivo que se utiliza para proporcionar transferencia de calor entre medios.</t>
  </si>
  <si>
    <t>Heat exchanger is a device used to provide heat transfer between media.</t>
  </si>
  <si>
    <t>[ IfcHeatExchanger ]</t>
  </si>
  <si>
    <t>Avac.Umidificador</t>
  </si>
  <si>
    <t>Dispositivo que adiciona umidade ao ar.</t>
  </si>
  <si>
    <t>Dispositivo que añade humedad al aire.</t>
  </si>
  <si>
    <t>Device that adds moisture to the air.</t>
  </si>
  <si>
    <t>[ IfcHumidifier ]</t>
  </si>
  <si>
    <t>Avac.Ventilador</t>
  </si>
  <si>
    <t>Ventilador é um dispositivo que transmite trabalho mecânico a um gás.</t>
  </si>
  <si>
    <t>Un ventilador es un dispositivo que transmite el trabajo mecánico a un gas.</t>
  </si>
  <si>
    <t>A fan is a device that transmits mechanical work to a gas.</t>
  </si>
  <si>
    <t>[ IfcFan ]</t>
  </si>
  <si>
    <t>Avac.Aquecedor.de.Ambiente</t>
  </si>
  <si>
    <t>Os aquecedores de ambiente utilizam uma combinação de radiação e/ou convecção natural.</t>
  </si>
  <si>
    <t>Los calefactores utilizan una combinación de radiación natural y/o convección.</t>
  </si>
  <si>
    <t>Space heaters use a combination of natural radiation and/or convection.</t>
  </si>
  <si>
    <t>[ IfcSpaceHeater ]</t>
  </si>
  <si>
    <t>Avac.Aquecedor.Convector</t>
  </si>
  <si>
    <t>Unidade de distribuição de calor que opera com ar circulado por gravidade.</t>
  </si>
  <si>
    <t>Unidad de distribución de calor que funciona con aire circulado por gravedad.</t>
  </si>
  <si>
    <t>Heat distribution unit that operates with air circulated by gravity.</t>
  </si>
  <si>
    <t>[ IfcSpaceHeaterCONVECTOR ]</t>
  </si>
  <si>
    <t>Avac.Aquecedor.Radiação</t>
  </si>
  <si>
    <t>Unidade de distribuição de calor que opera com radiação térmica.</t>
  </si>
  <si>
    <t>Unidad de distribución de calor que funciona con radiación térmica.</t>
  </si>
  <si>
    <t>Heat distribution unit that operates with thermal radiation.</t>
  </si>
  <si>
    <t>[ IfcSpaceHeaterRADIATOR ]</t>
  </si>
  <si>
    <t>Amortecedor normalmente participa de sistema de distribuição de dutos hvac e é usado para controlar ou modular.</t>
  </si>
  <si>
    <t>El amortiguador generalmente participa en el sistema de distribución de conductos de HVAC y se usa para controlar o modular.</t>
  </si>
  <si>
    <t>Damper typically participates in HVAC duct distribution system and is used to control or modulate.</t>
  </si>
  <si>
    <t>[ OST_VibrationDampers ]</t>
  </si>
  <si>
    <t>[ IfcDamper ]</t>
  </si>
  <si>
    <t>Amortecedor de vibração é um dispositivo usado para minimizar os efeitos de vibração numa estrutura.</t>
  </si>
  <si>
    <t>El amortiguador de vibraciones es un dispositivo utilizado para minimizar los efectos de la vibración en una estructura.</t>
  </si>
  <si>
    <t>Vibration damper is a device used to minimize the effects of vibration on a structure.</t>
  </si>
  <si>
    <t>[ IfcVibrationDamper ]</t>
  </si>
  <si>
    <t>Isolador de vibração é um dispositivo usado para minimizar os efeitos de transmissibilidade de vibrações.</t>
  </si>
  <si>
    <t>El aislador de vibraciones es un dispositivo utilizado para minimizar los efectos de transmisibilidad de las vibraciones.</t>
  </si>
  <si>
    <t>Vibration isolator is a device used to minimize the transmissibility effects of vibrations.</t>
  </si>
  <si>
    <t>[ OST_VibrationIsolators ]</t>
  </si>
  <si>
    <t>[ IfcVibrationIsolator ]</t>
  </si>
  <si>
    <t>Sensor é um dispositivo que mede uma quantidade física e a converte num sinal que pode ser lido. Verificar (MQTT) Message Queuing Telemetry Transport.</t>
  </si>
  <si>
    <t>Un sensor es un dispositivo que mide una cantidad física y la convierte en una señal que se puede leer.</t>
  </si>
  <si>
    <t>A sensor is a device that measures a physical quantity and converts it into a signal that can be read. Verify (MQTT) message queuing telemetry transport.</t>
  </si>
  <si>
    <t>[ IfcSensor ]</t>
  </si>
  <si>
    <t>Dispositivo que identifica ou detecta monóxido de carbono. Verificar (MQTT) Message Queuing Telemetry Transport.</t>
  </si>
  <si>
    <t>Dispositivo que identifica o detecta monóxido de carbono.</t>
  </si>
  <si>
    <t>A device that identifies or detects carbon monoxide. Verify (MQTT) message queuing telemetry transport.</t>
  </si>
  <si>
    <t>[ IfcSensorCOSENSOR ]</t>
  </si>
  <si>
    <t>Dispositivo que identifica ou detecta dióxido de carbono. Verificar (MQTT) Message Queuing Telemetry Transport.</t>
  </si>
  <si>
    <t>Dispositivo que identifica o detecta el dióxido de carbono.</t>
  </si>
  <si>
    <t>A device that identifies or detects carbon dioxide. Verify (MQTT) message queuing telemetry transport.</t>
  </si>
  <si>
    <t>[ IfcSensorCO2SENSOR ]</t>
  </si>
  <si>
    <t>Dispositivo que detecta ou detecta condutância elétrica. Verificar (MQTT) Message Queuing Telemetry Transport.</t>
  </si>
  <si>
    <t>Un dispositivo que detecta o detecta la conductancia eléctrica.</t>
  </si>
  <si>
    <t>A device that detects or detects electrical conductance. Verify (MQTT) message queuing telemetry transport.</t>
  </si>
  <si>
    <t>[ IfcSensorCONDUCTANCESENSOR ]</t>
  </si>
  <si>
    <t>Dispositivo que percebe ou detecta contato, como para detectar se uma porta está fechada. Verificar (MQTT) Message Queuing Telemetry Transport.</t>
  </si>
  <si>
    <t>Un dispositivo que detecta o detecta el contacto, por ejemplo, para detectar si una puerta está cerrada.</t>
  </si>
  <si>
    <t>A device that senses or detects contact, such as to detect if a door is closed. Verify (MQTT) message queuing telemetry transport.</t>
  </si>
  <si>
    <t>[ IfcSensorCONTACTSENSOR ]</t>
  </si>
  <si>
    <t>Dispositivo que sente ou detecta a onda sísmica e mede a intensidade sísmica em caso de terremoto. Verificar (MQTT) Message Queuing Telemetry Transport.</t>
  </si>
  <si>
    <t>Dispositivo que detecta o detecta la onda sísmica y mide la intensidad sísmica en caso de terremoto.</t>
  </si>
  <si>
    <t>A device that senses or detects the seismic wave and measures the seismic intensity in the event of an earthquake. Verify (MQTT) message queuing telemetry transport.</t>
  </si>
  <si>
    <t>[ IfcSensorEARTHQUAKESENSOR ]</t>
  </si>
  <si>
    <t>Dispositivo detector combinado (multi-critério). Pode detectar presença de calor, fogo e fumaça. Verificar (MQTT) Message Queuing Telemetry Transport.</t>
  </si>
  <si>
    <t>Dispositivo detector combinado (multicriterio). Puede detectar la presencia de calor, fuego y humo.</t>
  </si>
  <si>
    <t>Combined detector device (multi-criteria). It can detect the presence of heat, fire and smoke. Verify (MQTT) message queuing telemetry transport.</t>
  </si>
  <si>
    <t>[ IfcSensorFIRESENSOR ]</t>
  </si>
  <si>
    <t>Dispositivo que identifica ou detecta fluxo num fluido. Verificar (MQTT) Message Queuing Telemetry Transport.</t>
  </si>
  <si>
    <t>Un dispositivo que identifica o detecta el flujo en un fluido.</t>
  </si>
  <si>
    <t>A device that identifies or detects flow in a fluid. Verify (MQTT) message queuing telemetry transport.</t>
  </si>
  <si>
    <t>[ IfcSensorFLOWSENSOR ]</t>
  </si>
  <si>
    <t>Dispositivo que sente ou detecta objetos estranhos que interferem com a rede de energia. Verificar (MQTT) Message Queuing Telemetry Transport.</t>
  </si>
  <si>
    <t>Un dispositivo que detecta o detecta objetos extraños que interfieren con la red eléctrica.</t>
  </si>
  <si>
    <t>A device that senses or detects foreign objects that interfere with the power grid. Verify (MQTT) message queuing telemetry transport.</t>
  </si>
  <si>
    <t>[ IfcSensorFOREIGNOBJECTDETECTIONSENSOR ]</t>
  </si>
  <si>
    <t>Dispositivo que identifica ou detecta congelamento numa janela. Verificar (MQTT) Message Queuing Telemetry Transport.</t>
  </si>
  <si>
    <t>Dispositivo que identifica o detecta la congelación en una ventana.</t>
  </si>
  <si>
    <t>Device that identifies or detects freezing in a window. Verify (MQTT) message queuing telemetry transport.</t>
  </si>
  <si>
    <t>[ IfcSensorFROSTSENSOR ]</t>
  </si>
  <si>
    <t>Dispositivo que detecta ou detecta concentração de gás (exceto CO2). Verificar (MQTT) Message Queuing Telemetry Transport.</t>
  </si>
  <si>
    <t>Dispositivo que detecta o detecta la concentración de gases (distintos del CO2).</t>
  </si>
  <si>
    <t>A device that detects or detects gas concentration (except CO2). Verify (MQTT) message queuing telemetry transport.</t>
  </si>
  <si>
    <t>[ IfcSensorGASSENSOR ]</t>
  </si>
  <si>
    <t>Dispositivo que identifica ou detecta calor. Verificar (MQTT) Message Queuing Telemetry Transport.</t>
  </si>
  <si>
    <t>Un dispositivo que identifica o detecta el calor.</t>
  </si>
  <si>
    <t>A device that identifies or detects heat. Verify (MQTT) message queuing telemetry transport.</t>
  </si>
  <si>
    <t>[ IfcSensorHEATSENSOR ]</t>
  </si>
  <si>
    <t>Dispositivo que identifica ou detecta umidade. Verificar (MQTT) Message Queuing Telemetry Transport.</t>
  </si>
  <si>
    <t>Dispositivo que identifica o detecta humedad.</t>
  </si>
  <si>
    <t>Device that identifies or detects moisture. Verify (MQTT) message queuing telemetry transport.</t>
  </si>
  <si>
    <t>[ IfcSensorHUMIDITYSENSOR ]</t>
  </si>
  <si>
    <t>Dispositivo que lê uma etiqueta, como para obter acesso a uma porta ou elevador. Verificar (MQTT) Message Queuing Telemetry Transport.</t>
  </si>
  <si>
    <t>Un dispositivo que lee una etiqueta, como para acceder a una puerta o ascensor.</t>
  </si>
  <si>
    <t>A device that reads a label, such as to gain access to a door or elevator. Verify (MQTT) message queuing telemetry transport.</t>
  </si>
  <si>
    <t>[ IfcSensorIDENTIFIERSENSOR ]</t>
  </si>
  <si>
    <t>Dispositivo que sente ou detecta a concentração de íon, como para medir a dureza da água. Verificar (MQTT) Message Queuing Telemetry Transport.</t>
  </si>
  <si>
    <t>Dispositivo que detecta la concentración de iones, por ejemplo, para medir la dureza del agua.</t>
  </si>
  <si>
    <t>A device that senses or detects the concentration of ion, such as to measure the hardness of water. Verify (MQTT) message queuing telemetry transport.</t>
  </si>
  <si>
    <t>[ IfcSensorIONCONCENTRATIONSENSOR ]</t>
  </si>
  <si>
    <t>Dispositivo que percebe ou detecta o nível de preenchimento, como para um tanque. Verificar (MQTT) Message Queuing Telemetry Transport.</t>
  </si>
  <si>
    <t>Un dispositivo que detecta o detecta el nivel de llenado, como en el caso de un tanque.</t>
  </si>
  <si>
    <t>A device that senses or detects the fill level, such as for a tank. Verify (MQTT) message queuing telemetry transport.</t>
  </si>
  <si>
    <t>[ IfcSensorLEVELSENSOR ]</t>
  </si>
  <si>
    <t>Dispositivo que identifica ou detecta luz. Verificar (MQTT) Message Queuing Telemetry Transport.</t>
  </si>
  <si>
    <t>Un dispositivo que identifica o detecta la luz.</t>
  </si>
  <si>
    <t>A device that identifies or detects light. Verify (MQTT) message queuing telemetry transport.</t>
  </si>
  <si>
    <t>[ IfcSensorLIGHTSENSOR ]</t>
  </si>
  <si>
    <t>Dispositivo que sente ou detecta umidade. Verificar (MQTT) Message Queuing Telemetry Transport.</t>
  </si>
  <si>
    <t>Dispositivo que detecta o detecta humedad.</t>
  </si>
  <si>
    <t>Device that senses or detects moisture. Verify (MQTT) message queuing telemetry transport.</t>
  </si>
  <si>
    <t>[ IfcSensorMOISTURESENSOR ]</t>
  </si>
  <si>
    <t>Dispositivo que identifica ou detecta movimento. Verificar (MQTT) Message Queuing Telemetry Transport.</t>
  </si>
  <si>
    <t>Un dispositivo que identifica o detecta movimiento.</t>
  </si>
  <si>
    <t>A device that identifies or detects motion. Verify (MQTT) message queuing telemetry transport.</t>
  </si>
  <si>
    <t>[ IfcSensorMOVEMENTSENSOR ]</t>
  </si>
  <si>
    <t>Dispositivo que detecta ou detecta quaisquer obstáculos. Verificar (MQTT) Message Queuing Telemetry Transport.</t>
  </si>
  <si>
    <t>Dispositivo que detecta o detecta cualquier obstáculo.</t>
  </si>
  <si>
    <t>Device that detects or detects any obstacles. Verify (MQTT) message queuing telemetry transport.</t>
  </si>
  <si>
    <t>[ IfcSensorOBSTACLESENSOR ]</t>
  </si>
  <si>
    <t>Dispositivo que identifica ou detecta acidez. Verificar (MQTT) Message Queuing Telemetry Transport.</t>
  </si>
  <si>
    <t>Dispositivo que identifica o detecta la acidez.</t>
  </si>
  <si>
    <t>Device that identifies or detects acidity. Verify (MQTT) message queuing telemetry transport.</t>
  </si>
  <si>
    <t>[ IfcSensorPHSENSOR ]</t>
  </si>
  <si>
    <t>Dispositivo que sente ou detecta pressão. Verificar (MQTT) Message Queuing Telemetry Transport.</t>
  </si>
  <si>
    <t>Dispositivo que detecta o percibe la presión.</t>
  </si>
  <si>
    <t>Device that senses or senses pressure. Verify (MQTT) message queuing telemetry transport.</t>
  </si>
  <si>
    <t>[ IfcSensorPRESSURESENSOR ]</t>
  </si>
  <si>
    <t>Dispositivo que sente ou detecta radiação. Verificar (MQTT) Message Queuing Telemetry Transport.</t>
  </si>
  <si>
    <t>Dispositivo que detecta o detecta radiación.</t>
  </si>
  <si>
    <t>A device that senses or detects radiation. Verify (MQTT) message queuing telemetry transport.</t>
  </si>
  <si>
    <t>[ IfcSensorRADIATIONSENSOR ]</t>
  </si>
  <si>
    <t>Dispositivo que percebe ou detecta a decaimento atômico. Verificar (MQTT) Message Queuing Telemetry Transport.</t>
  </si>
  <si>
    <t>Dispositivo que detecta o desintegración atómica.</t>
  </si>
  <si>
    <t>A device that senses or detects atomic decay. Verify (MQTT) message queuing telemetry transport.</t>
  </si>
  <si>
    <t>[ IfcSensorRADIOACTIVITYSENSOR ]</t>
  </si>
  <si>
    <t>Dispositivo que percebe ou coleta informações relacionadas à chuva. Verificar (MQTT) Message Queuing Telemetry Transport.</t>
  </si>
  <si>
    <t>Un dispositivo que percibe o recopila información relacionada con la lluvia.</t>
  </si>
  <si>
    <t>A device that perceives or collects information related to rainfall. Verify (MQTT) message queuing telemetry transport.</t>
  </si>
  <si>
    <t>[ IfcSensorRAINSENSOR ]</t>
  </si>
  <si>
    <t>Dispositivo que identifica ou detecta fumaça. Verificar (MQTT) Message Queuing Telemetry Transport.</t>
  </si>
  <si>
    <t>Dispositivo que identifica o detecta humo.</t>
  </si>
  <si>
    <t>Device that identifies or detects smoke. Verify (MQTT) message queuing telemetry transport.</t>
  </si>
  <si>
    <t>[ IfcSensorSMOKESENSOR ]</t>
  </si>
  <si>
    <t>Dispositivo que percebe ou mede a profundidade da neve acumulada. Verificar (MQTT) Message Queuing Telemetry Transport.</t>
  </si>
  <si>
    <t>Un dispositivo que percibe o mide la profundidad de la nieve acumulada.</t>
  </si>
  <si>
    <t>A device that perceives or measures the depth of accumulated snow. Verify (MQTT) message queuing telemetry transport.</t>
  </si>
  <si>
    <t>[ IfcSensorSNOWDEPTHSENSOR ]</t>
  </si>
  <si>
    <t>Dispositivo que identifica ou detecta som. Verificar (MQTT) Message Queuing Telemetry Transport.</t>
  </si>
  <si>
    <t>Un dispositivo que identifica o detecta sonido.</t>
  </si>
  <si>
    <t>A device that identifies or detects sound. Verify (MQTT) message queuing telemetry transport.</t>
  </si>
  <si>
    <t>[ IfcSensorSOUNDSENSOR ]</t>
  </si>
  <si>
    <t>Dispositivo que identifica ou detecta temperatura. Verificar (MQTT) Message Queuing Telemetry Transport.</t>
  </si>
  <si>
    <t>Dispositivo que identifica o detecta la temperatura.</t>
  </si>
  <si>
    <t>Device that identifies or detects temperature. Verify (MQTT) message queuing telemetry transport.</t>
  </si>
  <si>
    <t>[ IfcSensorTEMPERATURESENSOR ]</t>
  </si>
  <si>
    <t>Dispositivo que é colocado na extremidade traseira do último vagão de um trem atuando num equipamento fixo. Verificar (MQTT) Message Queuing Telemetry Transport.</t>
  </si>
  <si>
    <t>Un dispositivo que es conectado a la parte trasera del último vagón de un tren que actúa sobre un equipo fijo.</t>
  </si>
  <si>
    <t>A device that is placed at the rear end of the last car of a train acting on a fixed equipment. Verify (MQTT) message queuing telemetry transport.</t>
  </si>
  <si>
    <t>[ IfcSensorTRAINSENSOR ]</t>
  </si>
  <si>
    <t>Dispositivo que detecta ou detecta a posição de uma lâmina de um AMV. Verificar (MQTT) Message Queuing Telemetry Transport.</t>
  </si>
  <si>
    <t>Un dispositivo que detecta o detecta la posición de una cuchilla de un AMV ferroviario.</t>
  </si>
  <si>
    <t>A device that detects or detects the position of a blade of an AMV. Verify (MQTT) message queuing telemetry transport.</t>
  </si>
  <si>
    <t>[ IfcSensorTURNOUTCLOSURESENSOR ]</t>
  </si>
  <si>
    <t>Dispositivo que percebe ou detecta a passagem de uma roda. Verificar (MQTT) Message Queuing Telemetry Transport.</t>
  </si>
  <si>
    <t>Un dispositivo que detecta el paso de una rueda.</t>
  </si>
  <si>
    <t>A device that senses or detects the passage of a wheel. Verify (MQTT) message queuing telemetry transport.</t>
  </si>
  <si>
    <t>[ IfcSensorWHEELSENSOR ]</t>
  </si>
  <si>
    <t>Dispositivo que percebe ou detecta a velocidade e direção do fluxo de ar. Verificar (MQTT) Message Queuing Telemetry Transport.</t>
  </si>
  <si>
    <t>Un dispositivo que percibe o detecta la velocidad y la dirección del flujo de aire.</t>
  </si>
  <si>
    <t>A device that perceives or senses the speed and direction of airflow. Verify (MQTT) message queuing telemetry transport.</t>
  </si>
  <si>
    <t>[ IfcSensorWINDSENSOR ]</t>
  </si>
  <si>
    <t>Elementos.AntiVibração</t>
  </si>
  <si>
    <t>Elementos.Sensorização</t>
  </si>
  <si>
    <t>Amortecedor</t>
  </si>
  <si>
    <t>Vibração.Amortecedor</t>
  </si>
  <si>
    <t>Vibração.Isolador</t>
  </si>
  <si>
    <t>Sensor</t>
  </si>
  <si>
    <t>Sensor.de.Monóxido.Carbono</t>
  </si>
  <si>
    <t>Sensor.de.Dióxido.Carbono</t>
  </si>
  <si>
    <t>Sensor.de.Condutância</t>
  </si>
  <si>
    <t>Sensor.de.Contato</t>
  </si>
  <si>
    <t>Sensor.de.Sismos</t>
  </si>
  <si>
    <t>Sensor.de.Incêndio</t>
  </si>
  <si>
    <t>Sensor.de.Fluxo</t>
  </si>
  <si>
    <t>Sensor.de.Detecção.Objeto.Estranho</t>
  </si>
  <si>
    <t>Sensor.de.Geada</t>
  </si>
  <si>
    <t>Sensor.de.Gás</t>
  </si>
  <si>
    <t>Sensor.de.Calor</t>
  </si>
  <si>
    <t>Sensor.de.Umidade</t>
  </si>
  <si>
    <t>Sensor.de.Identificação</t>
  </si>
  <si>
    <t>Sensor.de.Concentração.de.Íons</t>
  </si>
  <si>
    <t>Sensor.de.Nível</t>
  </si>
  <si>
    <t>Sensor.de.Luz</t>
  </si>
  <si>
    <t>Sensor.de.Umidade.do.Solo</t>
  </si>
  <si>
    <t>Sensor.de.Movimento</t>
  </si>
  <si>
    <t>Sensor.de.Obstáculo</t>
  </si>
  <si>
    <t>Sensor.de.pH</t>
  </si>
  <si>
    <t>Sensor.de.Pressão</t>
  </si>
  <si>
    <t>Sensor.de.Radiação</t>
  </si>
  <si>
    <t>Sensor.de.Radioatividade</t>
  </si>
  <si>
    <t>Sensor.de.Chuva</t>
  </si>
  <si>
    <t>Sensor.de.Fumaça</t>
  </si>
  <si>
    <t>Sensor.de.Profundidade.da.Neve</t>
  </si>
  <si>
    <t>Sensor.de.Som</t>
  </si>
  <si>
    <t>Sensor.de.Temperatura</t>
  </si>
  <si>
    <t>Sensor.de.Trem</t>
  </si>
  <si>
    <t>Sensor.de.Desvio.Ferroviário</t>
  </si>
  <si>
    <t>Sensor.de.Roda</t>
  </si>
  <si>
    <t>Sensor.de.Vento</t>
  </si>
  <si>
    <t>Duto de AVAC</t>
  </si>
  <si>
    <t>Conducto de AVAC.</t>
  </si>
  <si>
    <t>HVAC Duct.</t>
  </si>
  <si>
    <t>Avac.Terminal</t>
  </si>
  <si>
    <t>Avac.Tubulação</t>
  </si>
  <si>
    <t>Avac.Duto</t>
  </si>
  <si>
    <t>Avac.Duto.Silenciador.Conexão</t>
  </si>
  <si>
    <t>Avac.Duto.Silenciador</t>
  </si>
  <si>
    <t>Avac.Duto.Segmento</t>
  </si>
  <si>
    <t>Avac.Duto.Flexível</t>
  </si>
  <si>
    <t>Avac.Duto.Conexão</t>
  </si>
  <si>
    <t>Avac.Acessório</t>
  </si>
  <si>
    <t>[ 0M ]</t>
  </si>
  <si>
    <t>[ IfcMaterial : IfcCoveringINSULATION ]</t>
  </si>
  <si>
    <t>[ IfcMaterial : IfcCoveringMEMBRANE ]</t>
  </si>
  <si>
    <t>[ IfcMaterial : IfcFastener ]</t>
  </si>
  <si>
    <t>Elemento.Damper</t>
  </si>
  <si>
    <t>Elemento.Sensor</t>
  </si>
  <si>
    <t>Elemento.Equipamento.Avac</t>
  </si>
  <si>
    <t>Elemento.Tubulação.Avac</t>
  </si>
  <si>
    <t>Elemento.Tubulação.Gás</t>
  </si>
  <si>
    <t>Elemento.Tubulação.Hidráulica</t>
  </si>
  <si>
    <t>Elemento.Tubulação.Incêndio</t>
  </si>
  <si>
    <t>Peça.de.Esgoto</t>
  </si>
  <si>
    <t>Peça.de.Gás</t>
  </si>
  <si>
    <t>Peça.de.Gás.Hospitalar</t>
  </si>
  <si>
    <t>Peça.de.Hidráulica</t>
  </si>
  <si>
    <t>Peça.de.Incêndio</t>
  </si>
  <si>
    <t>Peça.de.Avac</t>
  </si>
  <si>
    <t>Elemento.Coletor.Esgoto</t>
  </si>
  <si>
    <t>Elemento.Visita.Esgoto</t>
  </si>
  <si>
    <t>Elemento.Acessório.Esgoto</t>
  </si>
  <si>
    <t>Elemento.Terminal.Avac</t>
  </si>
  <si>
    <t>Elemento.Terminal.Gás</t>
  </si>
  <si>
    <t>Elemento.Terminal.Incêndio</t>
  </si>
  <si>
    <t>Elemento.Terminal.Hidráulico</t>
  </si>
  <si>
    <t>Elemento.Acessório.Hidráulico</t>
  </si>
  <si>
    <t>Elemento.Equipamento.Hidráulico</t>
  </si>
  <si>
    <t>Elemento.Acessório.Incêndio</t>
  </si>
  <si>
    <t>Elemento.Alarme.Incêndio</t>
  </si>
  <si>
    <t>Peça.Passiva.Incêndio</t>
  </si>
  <si>
    <t>"Dutos de insuflamento de ar condicionado"</t>
  </si>
  <si>
    <t>tema</t>
  </si>
  <si>
    <t>"Qualidade do ar interno"</t>
  </si>
  <si>
    <t>subtema</t>
  </si>
  <si>
    <t>"Ar condicionado"</t>
  </si>
  <si>
    <t>código</t>
  </si>
  <si>
    <t>"AIN-01"</t>
  </si>
  <si>
    <t>"[ OST_DuctSystem : OST_DuctCurves : OST_DuctFitting : OST_DuctAccessory : OST_DuctTerminal ]"</t>
  </si>
  <si>
    <t>"[ IfcDistributionSystem : IfcDuctSegment : IfcDuctFitting : IfcDiscreteAccessory : IfcDuctSilencer : IfcJunctionBox : IfcAirTerminalBox : IfcAirTerminal ]"</t>
  </si>
  <si>
    <t>"[ 3E.50.02.06 ]"</t>
  </si>
  <si>
    <t>"Dutos de retorno de ar condicionado"</t>
  </si>
  <si>
    <t>"ART-01"</t>
  </si>
  <si>
    <t>"Dutos de exaustão mecânica"</t>
  </si>
  <si>
    <t>"Exaustão mecânica"</t>
  </si>
  <si>
    <t>"EXA-01"</t>
  </si>
  <si>
    <t>"[ 3E.30.04.04 ]"</t>
  </si>
  <si>
    <t>Sis_AVA_01</t>
  </si>
  <si>
    <t>Sis_AVA_02</t>
  </si>
  <si>
    <t>Sis_AVA_03</t>
  </si>
  <si>
    <t>"Sistema de insuflamento de ar condicionado"</t>
  </si>
  <si>
    <t>"Sistema de retorno de ar condicionado"</t>
  </si>
  <si>
    <t>"Sistema de exaustão mecânica"</t>
  </si>
  <si>
    <t>Dutos.Insuflamento</t>
  </si>
  <si>
    <t>Dutos.Retorno</t>
  </si>
  <si>
    <t>Dutos.Exaustão</t>
  </si>
  <si>
    <t>Grelha.Alumínio</t>
  </si>
  <si>
    <t>Difusor.Alumínio</t>
  </si>
  <si>
    <t>Material construtivo usado para fazer grelhas.</t>
  </si>
  <si>
    <t>Material de construcción utilizado para fabricar rejillas.</t>
  </si>
  <si>
    <t>Material de construcción utilizado para fabricar difusores de aire.</t>
  </si>
  <si>
    <t>Construction material used to make ar diffusers.</t>
  </si>
  <si>
    <t>Construction material used to make grilles.</t>
  </si>
  <si>
    <t>Material construtivo usado para fazer difusores de ar.</t>
  </si>
  <si>
    <t>Argamassa.Reguladora</t>
  </si>
  <si>
    <t>Liga.Estrutural</t>
  </si>
  <si>
    <t>Conduíte.Flex.de.Elétrica</t>
  </si>
  <si>
    <t>Conduíte.Flex.de.Telecom</t>
  </si>
  <si>
    <t>Catálogo.de.Material</t>
  </si>
  <si>
    <t>Materiais.Construtivos</t>
  </si>
  <si>
    <t>Catalogações</t>
  </si>
  <si>
    <t>Rede.Fornecedora</t>
  </si>
  <si>
    <t>Rede.Coletora</t>
  </si>
  <si>
    <t>Rede.Transmissora</t>
  </si>
  <si>
    <t>Rede.Iluminação</t>
  </si>
  <si>
    <t>Rede.Aérea</t>
  </si>
  <si>
    <t>Rede.Subterrânea</t>
  </si>
  <si>
    <t>Junta</t>
  </si>
  <si>
    <t>Caixa.Pluvial</t>
  </si>
  <si>
    <t>Ralo</t>
  </si>
  <si>
    <t>Tubo</t>
  </si>
  <si>
    <t>Conexão</t>
  </si>
  <si>
    <t>Acessório</t>
  </si>
  <si>
    <t>Duto.de.Transporte</t>
  </si>
  <si>
    <t>Elemento.Acessório.Avac</t>
  </si>
  <si>
    <t>Elemento.Duto.Avac</t>
  </si>
  <si>
    <t>Elemento.Equipamento.Avac.Uni</t>
  </si>
  <si>
    <t>Elemento.Acessório.Gás</t>
  </si>
  <si>
    <t>Elemento.Válvula.Gás</t>
  </si>
  <si>
    <t>Caixa.Esgoto</t>
  </si>
  <si>
    <t>Terminais</t>
  </si>
  <si>
    <t>Reguladores</t>
  </si>
  <si>
    <t>Acessorios</t>
  </si>
  <si>
    <t>Tubo.de.Concreto.Armado</t>
  </si>
  <si>
    <t>Tubo.de.Concreto.Simples</t>
  </si>
  <si>
    <t>Material construtivo usado para conduzir água de drenagem pluvial superficial e galerias leves.</t>
  </si>
  <si>
    <t>Material construtivo usado para conduzir água de drenagem, com aberturas ao longo da peça.</t>
  </si>
  <si>
    <t>Material construtivo usado para instalação subterrânea por método não destrutivo.</t>
  </si>
  <si>
    <t>Material construtivo usado para conduzir água de drenagem pluvial, sob vias públicas e grandes aterros</t>
  </si>
  <si>
    <t>Tubo.de.Concreto.Perfurado</t>
  </si>
  <si>
    <t>Tubo.de.Concreto.Cravação</t>
  </si>
  <si>
    <t>Material de construcción utilizado para conducir el drenaje de aguas pluviales bajo carreteras públicas y grandes terraplenes</t>
  </si>
  <si>
    <t>Construction material used to conduct rainwater drainage, under public roads and large embankments</t>
  </si>
  <si>
    <t>Material de construcción utilizado para realizar el drenaje superficial de aguas pluviales y las galerías de iluminación.</t>
  </si>
  <si>
    <t>Construction material used to conduct surface rainwater drainage and light galleries.</t>
  </si>
  <si>
    <t>Material de construcción utilizado para conducir el agua de drenaje, con aberturas a lo largo de la pieza.</t>
  </si>
  <si>
    <t>Construction material used to conduct drainage water, with openings along the piece.</t>
  </si>
  <si>
    <t>Material de construcción utilizado para la instalación subterránea mediante métodos no destructivos.</t>
  </si>
  <si>
    <t>Construction material used for underground installation by non-destructive method.</t>
  </si>
  <si>
    <t>[ IfcMaterial : IfcPipeSegmentRIGIDSEGMENT : IfcPipeFitting ]</t>
  </si>
  <si>
    <t>[ IfcMaterial : IfcPipeSegmentFLEXIBLESEGMENT : IfcPipeFitting ]</t>
  </si>
  <si>
    <t>[ IfcMaterial : IfcPipeSegmentCULVERT : IfcPipeFitting ]</t>
  </si>
  <si>
    <t>Equ.Sprinkler.Pendente</t>
  </si>
  <si>
    <t xml:space="preserve">Equ.Sprinkler.Upright </t>
  </si>
  <si>
    <t>Equ.Sprinkler.Lateral</t>
  </si>
  <si>
    <t>Equ.Detector.Iônico</t>
  </si>
  <si>
    <t>Equ.Detector.Óptico</t>
  </si>
  <si>
    <t>Equ.Detector.Aspiração</t>
  </si>
  <si>
    <t>Equ.Detector.Lineal</t>
  </si>
  <si>
    <t>Equ.Detector.Combinado</t>
  </si>
  <si>
    <t>Concreto.C10</t>
  </si>
  <si>
    <t>Material construtivo usado como concreto magro para lastro de regularização não estrutural.</t>
  </si>
  <si>
    <t>Material de construcción utilizado como hormigón pobre para lastre de regularización no estructural.</t>
  </si>
  <si>
    <t>Construction material used as lean concrete for non-structural regularization ballast.</t>
  </si>
  <si>
    <t>Concreto.C15</t>
  </si>
  <si>
    <t>Material construtivo usado como concreto de contrapiso, enchimento, calçadas não permitido em armado estrutural.</t>
  </si>
  <si>
    <t>Material de construcción utilizado como hormigón de contrapiso, relleno y aceras sin resistencia para refuerzo estructural.</t>
  </si>
  <si>
    <t>Construction material used as subfloor concrete, filling, sidewalks not allowed in structural reinforcement.</t>
  </si>
  <si>
    <t>Concreto.C20</t>
  </si>
  <si>
    <t>Material construtivo usado como concreto mínimo para concreto armado em ambientes pouco agressivos.</t>
  </si>
  <si>
    <t>Material de construcción utilizado como hormigón armado mínimo en entornos de baja agresividad.</t>
  </si>
  <si>
    <t>Construction material used as minimum concrete for reinforced concrete in low aggressive environments.</t>
  </si>
  <si>
    <t>[ IfcMaterial : IfcReinforcingBar : IfcStructuralSurfaceMember : IfcFooting : IfcColumn : IfcBeam : IfcMember ]</t>
  </si>
  <si>
    <t>Concreto.C25</t>
  </si>
  <si>
    <t>Material construtivo usado como concreto estrutural em obras correntes: sapatas, vigas, pilares, lajes</t>
  </si>
  <si>
    <t>Material de construcción utilizado como hormigón estructural en obras de: zapatas, vigas, columnas, losas.</t>
  </si>
  <si>
    <t>Construction material used as structural concrete in current works: footings, beams, columns, slabs</t>
  </si>
  <si>
    <t>Concreto.C30</t>
  </si>
  <si>
    <t>Material construtivo usado como concreto de ambientes urbanos agressivos, pisos industriais, cargas elevadas.</t>
  </si>
  <si>
    <t>Material de construcción utilizado como hormigón para entornos urbanos agresivos, suelos industriales, cargas elevadas.</t>
  </si>
  <si>
    <t>Construction material used as concrete for aggressive urban environments, industrial floors, high loads.</t>
  </si>
  <si>
    <t>Concreto.C35</t>
  </si>
  <si>
    <t>Material construtivo usado como concreto de estruturas solicitadas, pré-moldados, elementos esbeltos.</t>
  </si>
  <si>
    <t>Material de construcción utilizado como hormigón para estructuras solicitadas, elementos prefabricados, delgados.</t>
  </si>
  <si>
    <t>Construction material used as concrete for requested structures, precast, slender elements.</t>
  </si>
  <si>
    <t>Concreto.C40</t>
  </si>
  <si>
    <t>Material construtivo usado como concreto de ambientes marinhos/industriais agressivos, edifícios altos.</t>
  </si>
  <si>
    <t>Material de construcción utilizado como hormigón para entornos marinos/industriales hostiles, edificios altos.</t>
  </si>
  <si>
    <t>Construction material used as concrete for harsh marine/industrial environments, tall buildings.</t>
  </si>
  <si>
    <t>Concreto.C45</t>
  </si>
  <si>
    <t>Material construtivo usado como concreto de protendidos e pré-moldados de maior desempenho.</t>
  </si>
  <si>
    <t>Material de construcción utilizado como hormigón pretenado y prefabricado con mayor rendimiento.</t>
  </si>
  <si>
    <t>Construction material used as prestressed and precast concrete with higher performance.</t>
  </si>
  <si>
    <t>Concreto.C50</t>
  </si>
  <si>
    <t>Material construtivo usado como concreto de protendidos e obras especiais.</t>
  </si>
  <si>
    <t>Material de construcción utilizado como hormigón pretensado y obras especiales.</t>
  </si>
  <si>
    <t>Construction material used as prestressed concrete and special works.</t>
  </si>
  <si>
    <t>Concreto.C55</t>
  </si>
  <si>
    <t>Material construtivo usado como concreto de concretos de alto desempenho (pontes, túneis e Obras de Arte Especial OAE).</t>
  </si>
  <si>
    <t>Material de construcción utilizado como hormigón para hormigones de alto rendimiento (puentes, túneles y obras especiales de arte de la OAE).</t>
  </si>
  <si>
    <t>Construction material used as concrete for high-performance concretes (bridges, tunnels and OAE Special Works of Art).</t>
  </si>
  <si>
    <t>Concreto.C100</t>
  </si>
  <si>
    <t>[ 5I ]</t>
  </si>
  <si>
    <t>[ IfcMaterial : IfcPipeSegment : IfcPipeFitting ]</t>
  </si>
  <si>
    <t>API</t>
  </si>
  <si>
    <t>API.Plataforma</t>
  </si>
  <si>
    <t>API.Macros</t>
  </si>
  <si>
    <t>API.Método</t>
  </si>
  <si>
    <t>API.Método.Visual</t>
  </si>
  <si>
    <t>API.Macros.Visuais</t>
  </si>
  <si>
    <t>Norma-Número</t>
  </si>
  <si>
    <t>Norma-Edição</t>
  </si>
  <si>
    <t>Norma-ISBN</t>
  </si>
  <si>
    <t>Norma-Escopo</t>
  </si>
  <si>
    <t>Norma-Referência-01</t>
  </si>
  <si>
    <t>Norma-Referência-02</t>
  </si>
  <si>
    <t>Norma-Referência-03</t>
  </si>
  <si>
    <t>Advertência</t>
  </si>
  <si>
    <t>Aviso</t>
  </si>
  <si>
    <t>Alert</t>
  </si>
  <si>
    <t>Fonte-Brasil-01</t>
  </si>
  <si>
    <t>Fonte-Brasil-02</t>
  </si>
  <si>
    <t>Fonte-Brasil-03</t>
  </si>
  <si>
    <t>Fonte-Brasil-04</t>
  </si>
  <si>
    <t>Fonte-Vegetação-01</t>
  </si>
  <si>
    <t>Fonte-Vegetação-02</t>
  </si>
  <si>
    <t>Fonte-Vegetação-03</t>
  </si>
  <si>
    <t>Fonte-Vegetação-04</t>
  </si>
  <si>
    <t>Fonte-Vegetação-05</t>
  </si>
  <si>
    <t>Fonte-Vegetação-06</t>
  </si>
  <si>
    <t>Fonte-Vegetação-07</t>
  </si>
  <si>
    <t>Fonte-Vegetação-08</t>
  </si>
  <si>
    <t>Fonte-SINAPI</t>
  </si>
  <si>
    <t>Fonte-Brasil-Saúde-01</t>
  </si>
  <si>
    <t>Fonte-Brasil-Saúde-02</t>
  </si>
  <si>
    <t>Fonte-Brasil-Saúde-03</t>
  </si>
  <si>
    <t>Fonte-Brasil-Saúde-04</t>
  </si>
  <si>
    <t>Fonte-NBR-01</t>
  </si>
  <si>
    <t>Fonte-NBR-02</t>
  </si>
  <si>
    <t>Fonte-NBR-03</t>
  </si>
  <si>
    <t>Fonte-NBR-04</t>
  </si>
  <si>
    <t>Fonte-NBR-05</t>
  </si>
  <si>
    <t>Fonte-Bombeiros-01</t>
  </si>
  <si>
    <t>https://brasil.un.org/pt-br/sdgs</t>
  </si>
  <si>
    <t>https://eaesp.fgv.br/centros/centro-estudos-sustentabilidade/projetos/programa-brasileiro-ghg-protocol</t>
  </si>
  <si>
    <t>https://www.gov.br/fazenda/pt-br/acesso-a-informacao/acoes-e-programas/transformacao-ecologica/transformacao-ecologica</t>
  </si>
  <si>
    <t>https://www.gov.br/fazenda/pt-br/orgaos/spe/taxonomia-sustentavel-brasileira/cadernos</t>
  </si>
  <si>
    <t>https://museunacional.ufrj.br/hortobotanico</t>
  </si>
  <si>
    <t>https://www.embrapa.br/florestas/publicacoes</t>
  </si>
  <si>
    <t>https://www.arvoresgigantes.org</t>
  </si>
  <si>
    <t>https://www.scielo.br/j/abb</t>
  </si>
  <si>
    <t>https://www.gov.br/inpa/pt-br/Pesquisa/colecoes/botanica</t>
  </si>
  <si>
    <t>https://botanicasaopaulo.org</t>
  </si>
  <si>
    <t>https://pesquisa.in.gov.br/imprensa</t>
  </si>
  <si>
    <t>https://mapas.florestal.gov.br</t>
  </si>
  <si>
    <t>https://www.caixa.gov.br/site/Paginas/downloads.aspx#categoria_888</t>
  </si>
  <si>
    <t>https://somasus.saude.gov.br/sistema/home</t>
  </si>
  <si>
    <t>https://anvisalegis.datalegis.net</t>
  </si>
  <si>
    <t>RDC 611/2022. Radiologia diagnóstica. Blindagem, proteção radiológica.</t>
  </si>
  <si>
    <t>RDC 222/2018. Gerenciamento de resíduos. Plano de gerenciamento obrigatório.</t>
  </si>
  <si>
    <t>NBR 9050. Acessibilidade. Todos os ambientes de uso público.</t>
  </si>
  <si>
    <t>NBR 7256. Climatização em EAS. Obrigatória para CC, CTI, CME, hemodinâmica.</t>
  </si>
  <si>
    <t>NBR 15575. Desempenho de edificações. Conforto térmico, acústico, lumínico.</t>
  </si>
  <si>
    <t>NBR 13534. Instalações elétricas em EAS. Circuitos, aterramento, emergência.</t>
  </si>
  <si>
    <t>NBR 12188. Gases medicinais. Centrais, redes, pontos de uso.</t>
  </si>
  <si>
    <t>Segurança contra incêndio. Varia por estado, consultar regulamento local.</t>
  </si>
  <si>
    <t>Algumas traduções podem precisar de revisão.</t>
  </si>
  <si>
    <t>Argamassas</t>
  </si>
  <si>
    <t>Concretos.Reguladores</t>
  </si>
  <si>
    <t>Concretos.Estruturais</t>
  </si>
  <si>
    <t>Concretos.Formados</t>
  </si>
  <si>
    <t>Adesivos</t>
  </si>
  <si>
    <t>Espumados</t>
  </si>
  <si>
    <t>Isolantes</t>
  </si>
  <si>
    <t>Selantes</t>
  </si>
  <si>
    <t>Tubos.Termoplásticos</t>
  </si>
  <si>
    <t>Tubos.Plásticos</t>
  </si>
  <si>
    <t>Tubos.Metálicos</t>
  </si>
  <si>
    <t>Conduítes.Rígidos</t>
  </si>
  <si>
    <t>Caixas.Metálicas</t>
  </si>
  <si>
    <t>Calhas.Metálicas</t>
  </si>
  <si>
    <t>Peças.Metálicas</t>
  </si>
  <si>
    <t>Quadros.Metálicos</t>
  </si>
  <si>
    <t>Caixas.Plásticas</t>
  </si>
  <si>
    <t>Calhas.Plásticas</t>
  </si>
  <si>
    <t>Quadros.Plásticos</t>
  </si>
  <si>
    <t>Tubos.Multicamadas</t>
  </si>
  <si>
    <t>Fiações.Metálicas</t>
  </si>
  <si>
    <t>Aditivos</t>
  </si>
  <si>
    <t>Defloculante</t>
  </si>
  <si>
    <t>Usado para melhorar a trabalhabilidade do material.</t>
  </si>
  <si>
    <t>Se usa para mejorar la manifiabilidad del material.</t>
  </si>
  <si>
    <t>Used to improve the workability of the material.</t>
  </si>
  <si>
    <t>Interdisciplinar</t>
  </si>
  <si>
    <t>[ OST_Materials : OST_MaterialTags ]</t>
  </si>
  <si>
    <t>[ IfcMaterial : IfcText : IfcLabel : IfcMaterialRelationship ]</t>
  </si>
  <si>
    <t>Pigmento</t>
  </si>
  <si>
    <t>Usado para alterar as propriedades cromáticas.</t>
  </si>
  <si>
    <t>Se usaba para cambiar propiedades cromáticas.</t>
  </si>
  <si>
    <t>Used to change chromatic properties.</t>
  </si>
  <si>
    <t>Conduítes.Flex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</si>
</sst>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rgb="FF000000"/>
      <name val="Aptos Narrow"/>
      <family val="2"/>
      <charset val="1"/>
    </font>
    <font>
      <sz val="8"/>
      <name val="Aptos Narrow"/>
      <family val="2"/>
      <charset val="1"/>
    </font>
    <font>
      <sz val="6"/>
      <color rgb="FF000000"/>
      <name val="Arial Nova Cond Light"/>
      <family val="2"/>
    </font>
    <font>
      <b/>
      <sz val="6"/>
      <color rgb="FF000000"/>
      <name val="Arial Nova Cond Light"/>
      <family val="2"/>
    </font>
    <font>
      <sz val="6"/>
      <name val="Arial Nova Cond Light"/>
      <family val="2"/>
    </font>
    <font>
      <b/>
      <sz val="6"/>
      <name val="Arial Nova Cond Light"/>
      <family val="2"/>
    </font>
    <font>
      <sz val="6"/>
      <color theme="1"/>
      <name val="Arial Nova Cond Light"/>
      <family val="2"/>
    </font>
    <font>
      <i/>
      <sz val="6"/>
      <name val="Arial Nova Cond Light"/>
      <family val="2"/>
    </font>
    <font>
      <sz val="11"/>
      <name val="Aptos Narrow"/>
      <family val="2"/>
      <charset val="1"/>
    </font>
    <font>
      <sz val="6"/>
      <color rgb="FF424242"/>
      <name val="Arial Nova Cond Light"/>
      <family val="2"/>
    </font>
    <font>
      <b/>
      <sz val="5"/>
      <color rgb="FF000000"/>
      <name val="Arial Nova Cond Light"/>
      <family val="2"/>
    </font>
    <font>
      <sz val="8"/>
      <color theme="1"/>
      <name val="Arial Nova Cond"/>
      <family val="2"/>
    </font>
    <font>
      <b/>
      <sz val="6"/>
      <color theme="1"/>
      <name val="Arial Nova Cond Light"/>
      <family val="2"/>
    </font>
    <font>
      <sz val="8"/>
      <color theme="1"/>
      <name val="Arial Nova Cond Light"/>
      <family val="2"/>
    </font>
    <font>
      <b/>
      <sz val="5"/>
      <name val="Arial Nova Cond Light"/>
      <family val="2"/>
    </font>
    <font>
      <b/>
      <sz val="11"/>
      <color rgb="FF000000"/>
      <name val="Aptos Narrow"/>
      <family val="2"/>
      <charset val="1"/>
    </font>
    <font>
      <u/>
      <sz val="11"/>
      <color theme="10"/>
      <name val="Aptos Narrow"/>
      <family val="2"/>
      <charset val="1"/>
    </font>
  </fonts>
  <fills count="26">
    <fill>
      <patternFill patternType="none"/>
    </fill>
    <fill>
      <patternFill patternType="gray125"/>
    </fill>
    <fill>
      <patternFill patternType="solid">
        <fgColor rgb="FFFFC000"/>
        <bgColor rgb="FFFF9900"/>
      </patternFill>
    </fill>
    <fill>
      <patternFill patternType="solid">
        <fgColor rgb="FFF2AA84"/>
        <bgColor rgb="FFF6C6AD"/>
      </patternFill>
    </fill>
    <fill>
      <patternFill patternType="solid">
        <fgColor rgb="FFD9D9D9"/>
        <bgColor rgb="FFD1D1D1"/>
      </patternFill>
    </fill>
    <fill>
      <patternFill patternType="solid">
        <fgColor rgb="FFFBE79D"/>
        <bgColor indexed="64"/>
      </patternFill>
    </fill>
    <fill>
      <patternFill patternType="solid">
        <fgColor rgb="FFAEAAAA"/>
        <bgColor rgb="FF000000"/>
      </patternFill>
    </fill>
    <fill>
      <patternFill patternType="solid">
        <fgColor rgb="FFFFFFFF"/>
        <bgColor rgb="FF000000"/>
      </patternFill>
    </fill>
    <fill>
      <patternFill patternType="solid">
        <fgColor theme="2" tint="-0.249977111117893"/>
        <bgColor indexed="64"/>
      </patternFill>
    </fill>
    <fill>
      <patternFill patternType="solid">
        <fgColor theme="0" tint="-0.14999847407452621"/>
        <bgColor rgb="FFFEF2CB"/>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59999389629810485"/>
        <bgColor rgb="FFFF9900"/>
      </patternFill>
    </fill>
    <fill>
      <patternFill patternType="solid">
        <fgColor theme="5" tint="0.59999389629810485"/>
        <bgColor rgb="FFC0C0C0"/>
      </patternFill>
    </fill>
    <fill>
      <patternFill patternType="solid">
        <fgColor theme="5" tint="0.79998168889431442"/>
        <bgColor indexed="64"/>
      </patternFill>
    </fill>
    <fill>
      <patternFill patternType="solid">
        <fgColor theme="0" tint="-0.14999847407452621"/>
        <bgColor indexed="64"/>
      </patternFill>
    </fill>
    <fill>
      <patternFill patternType="solid">
        <fgColor theme="5" tint="0.79998168889431442"/>
        <bgColor rgb="FFFFC7CE"/>
      </patternFill>
    </fill>
    <fill>
      <patternFill patternType="solid">
        <fgColor theme="3" tint="0.749992370372631"/>
        <bgColor indexed="64"/>
      </patternFill>
    </fill>
    <fill>
      <patternFill patternType="solid">
        <fgColor theme="0" tint="-0.34998626667073579"/>
        <bgColor indexed="64"/>
      </patternFill>
    </fill>
    <fill>
      <patternFill patternType="solid">
        <fgColor theme="5" tint="0.79998168889431442"/>
        <bgColor rgb="FFD9F2D0"/>
      </patternFill>
    </fill>
    <fill>
      <patternFill patternType="solid">
        <fgColor theme="5" tint="0.79998168889431442"/>
        <bgColor rgb="FFFEF2CB"/>
      </patternFill>
    </fill>
    <fill>
      <patternFill patternType="solid">
        <fgColor theme="8" tint="0.79998168889431442"/>
        <bgColor indexed="64"/>
      </patternFill>
    </fill>
    <fill>
      <patternFill patternType="solid">
        <fgColor theme="9" tint="0.59999389629810485"/>
        <bgColor rgb="FFFEF2CB"/>
      </patternFill>
    </fill>
    <fill>
      <patternFill patternType="solid">
        <fgColor theme="8" tint="0.79998168889431442"/>
        <bgColor rgb="FFFFFFCC"/>
      </patternFill>
    </fill>
    <fill>
      <patternFill patternType="solid">
        <fgColor theme="8" tint="0.59999389629810485"/>
        <bgColor rgb="FFFFFFCC"/>
      </patternFill>
    </fill>
    <fill>
      <patternFill patternType="solid">
        <fgColor theme="0"/>
        <bgColor indexed="64"/>
      </patternFill>
    </fill>
  </fills>
  <borders count="8">
    <border>
      <left/>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
    <xf numFmtId="0" fontId="0" fillId="0" borderId="0"/>
    <xf numFmtId="0" fontId="16" fillId="0" borderId="0" applyNumberFormat="0" applyFill="0" applyBorder="0" applyAlignment="0" applyProtection="0"/>
  </cellStyleXfs>
  <cellXfs count="110">
    <xf numFmtId="0" fontId="0" fillId="0" borderId="0" xfId="0"/>
    <xf numFmtId="0" fontId="2" fillId="5" borderId="4" xfId="0" applyFont="1" applyFill="1" applyBorder="1" applyAlignment="1">
      <alignment horizontal="left" vertical="center"/>
    </xf>
    <xf numFmtId="0" fontId="7" fillId="4" borderId="6"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4" fillId="0" borderId="0" xfId="0" applyFont="1" applyAlignment="1">
      <alignment horizontal="left"/>
    </xf>
    <xf numFmtId="0" fontId="5" fillId="4" borderId="3"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4" fillId="2" borderId="4" xfId="0" applyFont="1" applyFill="1" applyBorder="1" applyAlignment="1">
      <alignment vertical="center"/>
    </xf>
    <xf numFmtId="0" fontId="4" fillId="0" borderId="0" xfId="0" applyFont="1"/>
    <xf numFmtId="0" fontId="4" fillId="0" borderId="0" xfId="0" applyFont="1" applyAlignment="1">
      <alignment horizontal="center" vertical="center"/>
    </xf>
    <xf numFmtId="0" fontId="4" fillId="0" borderId="0" xfId="0" applyFont="1" applyAlignment="1">
      <alignment vertical="center"/>
    </xf>
    <xf numFmtId="0" fontId="3" fillId="6" borderId="4" xfId="0" applyFont="1" applyFill="1" applyBorder="1" applyAlignment="1">
      <alignment vertical="center"/>
    </xf>
    <xf numFmtId="0" fontId="2" fillId="7" borderId="4" xfId="0" applyFont="1" applyFill="1" applyBorder="1" applyAlignment="1">
      <alignment vertical="center"/>
    </xf>
    <xf numFmtId="0" fontId="6" fillId="0" borderId="4" xfId="0" applyFont="1" applyBorder="1" applyAlignment="1">
      <alignment vertical="center"/>
    </xf>
    <xf numFmtId="0" fontId="6" fillId="0" borderId="4" xfId="0" applyFont="1" applyBorder="1" applyAlignment="1">
      <alignment vertical="center" wrapText="1"/>
    </xf>
    <xf numFmtId="0" fontId="2" fillId="0" borderId="0" xfId="0" applyFont="1" applyAlignment="1">
      <alignment horizontal="left" vertical="center"/>
    </xf>
    <xf numFmtId="0" fontId="2" fillId="0" borderId="0" xfId="0" applyFont="1" applyAlignment="1">
      <alignment horizontal="center" vertical="center"/>
    </xf>
    <xf numFmtId="0" fontId="3" fillId="12" borderId="4" xfId="0" applyFont="1" applyFill="1" applyBorder="1" applyAlignment="1">
      <alignment horizontal="left" vertical="center" wrapText="1"/>
    </xf>
    <xf numFmtId="0" fontId="3" fillId="13" borderId="4" xfId="0" applyFont="1" applyFill="1" applyBorder="1" applyAlignment="1">
      <alignment horizontal="left" vertical="center" wrapText="1"/>
    </xf>
    <xf numFmtId="0" fontId="2" fillId="14" borderId="4" xfId="0" applyFont="1" applyFill="1" applyBorder="1" applyAlignment="1">
      <alignment horizontal="left" vertical="center"/>
    </xf>
    <xf numFmtId="0" fontId="3" fillId="12" borderId="4" xfId="0" applyFont="1" applyFill="1" applyBorder="1" applyAlignment="1">
      <alignment horizontal="center" vertical="center" wrapText="1"/>
    </xf>
    <xf numFmtId="0" fontId="2" fillId="15" borderId="4" xfId="0" applyFont="1" applyFill="1" applyBorder="1" applyAlignment="1">
      <alignment horizontal="center" vertical="center"/>
    </xf>
    <xf numFmtId="0" fontId="2" fillId="5" borderId="4" xfId="0" applyFont="1" applyFill="1" applyBorder="1" applyAlignment="1">
      <alignment horizontal="left" vertical="center" wrapText="1"/>
    </xf>
    <xf numFmtId="0" fontId="2" fillId="16" borderId="4" xfId="0" applyFont="1" applyFill="1" applyBorder="1" applyAlignment="1">
      <alignment horizontal="left" vertical="center"/>
    </xf>
    <xf numFmtId="0" fontId="0" fillId="0" borderId="0" xfId="0" applyAlignment="1">
      <alignment vertical="center"/>
    </xf>
    <xf numFmtId="22" fontId="6" fillId="0" borderId="4" xfId="0" applyNumberFormat="1" applyFont="1" applyBorder="1" applyAlignment="1">
      <alignment vertical="center"/>
    </xf>
    <xf numFmtId="22" fontId="6" fillId="0" borderId="4" xfId="0" applyNumberFormat="1" applyFont="1" applyBorder="1" applyAlignment="1">
      <alignment horizontal="left" vertical="center"/>
    </xf>
    <xf numFmtId="0" fontId="8" fillId="0" borderId="0" xfId="0" applyFont="1" applyAlignment="1">
      <alignment vertical="center"/>
    </xf>
    <xf numFmtId="0" fontId="8" fillId="0" borderId="0" xfId="0" applyFont="1" applyAlignment="1">
      <alignment horizontal="left" vertical="center"/>
    </xf>
    <xf numFmtId="0" fontId="3" fillId="3" borderId="4" xfId="0" applyFont="1" applyFill="1" applyBorder="1" applyAlignment="1">
      <alignment horizontal="left" vertical="center" wrapText="1"/>
    </xf>
    <xf numFmtId="0" fontId="10" fillId="3" borderId="4" xfId="0" applyFont="1" applyFill="1" applyBorder="1" applyAlignment="1">
      <alignment horizontal="left" vertical="center" wrapText="1"/>
    </xf>
    <xf numFmtId="0" fontId="6" fillId="0" borderId="4" xfId="0" applyFont="1" applyBorder="1" applyAlignment="1">
      <alignment horizontal="left" vertical="center"/>
    </xf>
    <xf numFmtId="0" fontId="11" fillId="0" borderId="0" xfId="0" applyFont="1" applyAlignment="1">
      <alignment vertical="center"/>
    </xf>
    <xf numFmtId="0" fontId="12" fillId="18" borderId="4" xfId="0" applyFont="1" applyFill="1" applyBorder="1" applyAlignment="1">
      <alignment horizontal="center" vertical="center"/>
    </xf>
    <xf numFmtId="0" fontId="6" fillId="0" borderId="4" xfId="0" applyFont="1" applyBorder="1" applyAlignment="1">
      <alignment horizontal="center" vertical="center"/>
    </xf>
    <xf numFmtId="0" fontId="13" fillId="0" borderId="0" xfId="0" applyFont="1" applyAlignment="1">
      <alignment vertical="center"/>
    </xf>
    <xf numFmtId="0" fontId="0" fillId="0" borderId="0" xfId="0" applyAlignment="1">
      <alignment horizontal="left"/>
    </xf>
    <xf numFmtId="0" fontId="2" fillId="14" borderId="4" xfId="0" applyFont="1" applyFill="1" applyBorder="1" applyAlignment="1">
      <alignment horizontal="left" vertical="center" wrapText="1"/>
    </xf>
    <xf numFmtId="0" fontId="2" fillId="15" borderId="4" xfId="0" applyFont="1" applyFill="1" applyBorder="1" applyAlignment="1">
      <alignment horizontal="right" vertical="center"/>
    </xf>
    <xf numFmtId="0" fontId="4" fillId="2" borderId="4" xfId="0" applyFont="1" applyFill="1" applyBorder="1" applyAlignment="1">
      <alignment horizontal="left" vertical="center"/>
    </xf>
    <xf numFmtId="0" fontId="2" fillId="19" borderId="4" xfId="0" applyFont="1" applyFill="1" applyBorder="1" applyAlignment="1">
      <alignment horizontal="left" vertical="center"/>
    </xf>
    <xf numFmtId="0" fontId="6" fillId="14" borderId="4" xfId="0" applyFont="1" applyFill="1" applyBorder="1" applyAlignment="1">
      <alignment horizontal="left" vertical="center"/>
    </xf>
    <xf numFmtId="0" fontId="10" fillId="2" borderId="4" xfId="0" applyFont="1" applyFill="1" applyBorder="1" applyAlignment="1">
      <alignment horizontal="center" vertical="center" wrapText="1"/>
    </xf>
    <xf numFmtId="0" fontId="10" fillId="2" borderId="4" xfId="0" applyFont="1" applyFill="1" applyBorder="1" applyAlignment="1">
      <alignment horizontal="left" vertical="center" wrapText="1"/>
    </xf>
    <xf numFmtId="0" fontId="14" fillId="2" borderId="4" xfId="0" applyFont="1" applyFill="1" applyBorder="1" applyAlignment="1">
      <alignment horizontal="left" vertical="center" wrapText="1"/>
    </xf>
    <xf numFmtId="0" fontId="15" fillId="0" borderId="0" xfId="0" applyFont="1" applyAlignment="1">
      <alignment horizontal="left"/>
    </xf>
    <xf numFmtId="0" fontId="2" fillId="14" borderId="4" xfId="0" applyFont="1" applyFill="1" applyBorder="1" applyAlignment="1">
      <alignment vertical="center"/>
    </xf>
    <xf numFmtId="0" fontId="4" fillId="20" borderId="4" xfId="0" applyFont="1" applyFill="1" applyBorder="1" applyAlignment="1">
      <alignment horizontal="left" vertical="center"/>
    </xf>
    <xf numFmtId="0" fontId="13" fillId="0" borderId="0" xfId="0" applyFont="1" applyAlignment="1">
      <alignment horizontal="left"/>
    </xf>
    <xf numFmtId="0" fontId="6" fillId="5" borderId="4" xfId="0" applyFont="1" applyFill="1" applyBorder="1" applyAlignment="1">
      <alignment horizontal="left" vertical="center"/>
    </xf>
    <xf numFmtId="0" fontId="8" fillId="0" borderId="0" xfId="0" applyFont="1" applyAlignment="1">
      <alignment horizontal="right" vertical="center"/>
    </xf>
    <xf numFmtId="0" fontId="0" fillId="0" borderId="0" xfId="0" applyAlignment="1">
      <alignment horizontal="left" vertical="center"/>
    </xf>
    <xf numFmtId="0" fontId="2" fillId="5" borderId="4" xfId="0" applyFont="1" applyFill="1" applyBorder="1" applyAlignment="1">
      <alignment vertical="center"/>
    </xf>
    <xf numFmtId="0" fontId="2" fillId="0" borderId="0" xfId="0" applyFont="1" applyAlignment="1">
      <alignment vertical="center"/>
    </xf>
    <xf numFmtId="0" fontId="2" fillId="14" borderId="4" xfId="0" applyFont="1" applyFill="1" applyBorder="1" applyAlignment="1">
      <alignment horizontal="center" vertical="center"/>
    </xf>
    <xf numFmtId="0" fontId="10" fillId="3" borderId="4" xfId="0" applyFont="1" applyFill="1" applyBorder="1" applyAlignment="1">
      <alignment horizontal="center" vertical="center" wrapText="1"/>
    </xf>
    <xf numFmtId="0" fontId="0" fillId="0" borderId="0" xfId="0" applyAlignment="1">
      <alignment horizontal="center"/>
    </xf>
    <xf numFmtId="0" fontId="2" fillId="5" borderId="5" xfId="0" applyFont="1" applyFill="1" applyBorder="1" applyAlignment="1">
      <alignment horizontal="left" vertical="center"/>
    </xf>
    <xf numFmtId="0" fontId="2" fillId="14" borderId="5" xfId="0" applyFont="1" applyFill="1" applyBorder="1" applyAlignment="1">
      <alignment horizontal="left" vertical="center"/>
    </xf>
    <xf numFmtId="0" fontId="2" fillId="5" borderId="5" xfId="0" applyFont="1" applyFill="1" applyBorder="1" applyAlignment="1">
      <alignment horizontal="left" vertical="center" wrapText="1"/>
    </xf>
    <xf numFmtId="0" fontId="2" fillId="14" borderId="5" xfId="0" applyFont="1" applyFill="1" applyBorder="1" applyAlignment="1">
      <alignment vertical="center"/>
    </xf>
    <xf numFmtId="0" fontId="2" fillId="14" borderId="4" xfId="0" applyFont="1" applyFill="1" applyBorder="1" applyAlignment="1">
      <alignment vertical="center" wrapText="1"/>
    </xf>
    <xf numFmtId="0" fontId="2" fillId="5" borderId="1" xfId="0" applyFont="1" applyFill="1" applyBorder="1" applyAlignment="1">
      <alignment horizontal="left" vertical="center"/>
    </xf>
    <xf numFmtId="0" fontId="5" fillId="8" borderId="7" xfId="0" applyFont="1" applyFill="1" applyBorder="1" applyAlignment="1">
      <alignment horizontal="center" vertical="center"/>
    </xf>
    <xf numFmtId="0" fontId="5" fillId="8" borderId="7" xfId="0" applyFont="1" applyFill="1" applyBorder="1" applyAlignment="1">
      <alignment horizontal="left" vertical="center"/>
    </xf>
    <xf numFmtId="0" fontId="5" fillId="8" borderId="7" xfId="0" applyFont="1" applyFill="1" applyBorder="1" applyAlignment="1">
      <alignment vertical="center"/>
    </xf>
    <xf numFmtId="0" fontId="5" fillId="8" borderId="7" xfId="0" applyFont="1" applyFill="1" applyBorder="1" applyAlignment="1">
      <alignment horizontal="left" vertical="center" wrapText="1"/>
    </xf>
    <xf numFmtId="0" fontId="5" fillId="8" borderId="7" xfId="0" applyFont="1" applyFill="1" applyBorder="1" applyAlignment="1">
      <alignment horizontal="right" vertical="center"/>
    </xf>
    <xf numFmtId="0" fontId="5" fillId="8" borderId="7" xfId="0" applyFont="1" applyFill="1" applyBorder="1" applyAlignment="1">
      <alignment vertical="center" wrapText="1"/>
    </xf>
    <xf numFmtId="0" fontId="4" fillId="9" borderId="7" xfId="0" applyFont="1" applyFill="1" applyBorder="1" applyAlignment="1">
      <alignment horizontal="center" vertical="center"/>
    </xf>
    <xf numFmtId="0" fontId="2" fillId="24" borderId="7" xfId="0" applyFont="1" applyFill="1" applyBorder="1" applyAlignment="1">
      <alignment vertical="center"/>
    </xf>
    <xf numFmtId="0" fontId="2" fillId="5" borderId="7" xfId="0" applyFont="1" applyFill="1" applyBorder="1" applyAlignment="1">
      <alignment horizontal="left" vertical="center"/>
    </xf>
    <xf numFmtId="0" fontId="4" fillId="17" borderId="7" xfId="0" applyFont="1" applyFill="1" applyBorder="1" applyAlignment="1">
      <alignment vertical="center"/>
    </xf>
    <xf numFmtId="0" fontId="4" fillId="21" borderId="7" xfId="0" applyFont="1" applyFill="1" applyBorder="1" applyAlignment="1">
      <alignment vertical="center"/>
    </xf>
    <xf numFmtId="0" fontId="4" fillId="22" borderId="7" xfId="0" applyFont="1" applyFill="1" applyBorder="1" applyAlignment="1">
      <alignment vertical="center"/>
    </xf>
    <xf numFmtId="0" fontId="6" fillId="10" borderId="7" xfId="0" applyFont="1" applyFill="1" applyBorder="1" applyAlignment="1">
      <alignment horizontal="left" vertical="center"/>
    </xf>
    <xf numFmtId="0" fontId="6" fillId="11" borderId="7" xfId="0" applyFont="1" applyFill="1" applyBorder="1" applyAlignment="1">
      <alignment vertical="center"/>
    </xf>
    <xf numFmtId="0" fontId="4" fillId="10" borderId="7" xfId="0" applyFont="1" applyFill="1" applyBorder="1" applyAlignment="1">
      <alignment vertical="center"/>
    </xf>
    <xf numFmtId="0" fontId="4" fillId="11" borderId="7" xfId="0" applyFont="1" applyFill="1" applyBorder="1" applyAlignment="1">
      <alignment horizontal="left" vertical="center"/>
    </xf>
    <xf numFmtId="0" fontId="4" fillId="10" borderId="7" xfId="0" applyFont="1" applyFill="1" applyBorder="1" applyAlignment="1">
      <alignment horizontal="left" vertical="center"/>
    </xf>
    <xf numFmtId="0" fontId="4" fillId="10" borderId="7" xfId="0" applyFont="1" applyFill="1" applyBorder="1" applyAlignment="1">
      <alignment horizontal="right" vertical="center"/>
    </xf>
    <xf numFmtId="0" fontId="4" fillId="11" borderId="7" xfId="0" applyFont="1" applyFill="1" applyBorder="1" applyAlignment="1">
      <alignment horizontal="left" vertical="center" wrapText="1"/>
    </xf>
    <xf numFmtId="0" fontId="4" fillId="10" borderId="7" xfId="0" applyFont="1" applyFill="1" applyBorder="1" applyAlignment="1">
      <alignment horizontal="right" vertical="center" wrapText="1"/>
    </xf>
    <xf numFmtId="0" fontId="4" fillId="24" borderId="7" xfId="0" applyFont="1" applyFill="1" applyBorder="1" applyAlignment="1">
      <alignment vertical="center"/>
    </xf>
    <xf numFmtId="0" fontId="4" fillId="5" borderId="7" xfId="0" applyFont="1" applyFill="1" applyBorder="1" applyAlignment="1">
      <alignment horizontal="left" vertical="center" wrapText="1"/>
    </xf>
    <xf numFmtId="0" fontId="4" fillId="17" borderId="7" xfId="0" applyFont="1" applyFill="1" applyBorder="1" applyAlignment="1">
      <alignment vertical="center" wrapText="1"/>
    </xf>
    <xf numFmtId="0" fontId="4" fillId="10" borderId="7" xfId="0" applyFont="1" applyFill="1" applyBorder="1" applyAlignment="1">
      <alignment horizontal="left" vertical="center" wrapText="1"/>
    </xf>
    <xf numFmtId="0" fontId="4" fillId="23" borderId="7" xfId="0" applyFont="1" applyFill="1" applyBorder="1" applyAlignment="1">
      <alignment vertical="center"/>
    </xf>
    <xf numFmtId="0" fontId="2" fillId="23" borderId="7" xfId="0" applyFont="1" applyFill="1" applyBorder="1" applyAlignment="1">
      <alignment vertical="center"/>
    </xf>
    <xf numFmtId="0" fontId="6" fillId="11" borderId="7" xfId="0" applyFont="1" applyFill="1" applyBorder="1" applyAlignment="1">
      <alignment horizontal="left" vertical="center"/>
    </xf>
    <xf numFmtId="0" fontId="4" fillId="17" borderId="7" xfId="0" applyFont="1" applyFill="1" applyBorder="1" applyAlignment="1">
      <alignment horizontal="left" vertical="center"/>
    </xf>
    <xf numFmtId="0" fontId="2" fillId="24" borderId="7" xfId="0" applyFont="1" applyFill="1" applyBorder="1" applyAlignment="1">
      <alignment vertical="center" wrapText="1"/>
    </xf>
    <xf numFmtId="0" fontId="4" fillId="5" borderId="7" xfId="0" applyFont="1" applyFill="1" applyBorder="1" applyAlignment="1">
      <alignment horizontal="left" vertical="center"/>
    </xf>
    <xf numFmtId="0" fontId="4" fillId="21" borderId="7" xfId="0" applyFont="1" applyFill="1" applyBorder="1" applyAlignment="1">
      <alignment vertical="center" wrapText="1"/>
    </xf>
    <xf numFmtId="0" fontId="9" fillId="10" borderId="7" xfId="0" applyFont="1" applyFill="1" applyBorder="1" applyAlignment="1">
      <alignment horizontal="right" vertical="center" wrapText="1"/>
    </xf>
    <xf numFmtId="0" fontId="4" fillId="10" borderId="7" xfId="0" applyFont="1" applyFill="1" applyBorder="1" applyAlignment="1">
      <alignment vertical="center" wrapText="1"/>
    </xf>
    <xf numFmtId="0" fontId="4" fillId="11" borderId="7" xfId="0" applyFont="1" applyFill="1" applyBorder="1" applyAlignment="1">
      <alignment vertical="center"/>
    </xf>
    <xf numFmtId="0" fontId="2" fillId="5" borderId="4" xfId="0" applyFont="1" applyFill="1" applyBorder="1" applyAlignment="1">
      <alignment vertical="center" wrapText="1"/>
    </xf>
    <xf numFmtId="0" fontId="2" fillId="16" borderId="5" xfId="0" applyFont="1" applyFill="1" applyBorder="1" applyAlignment="1">
      <alignment horizontal="left" vertical="center"/>
    </xf>
    <xf numFmtId="0" fontId="13" fillId="0" borderId="0" xfId="0" applyFont="1" applyAlignment="1">
      <alignment horizontal="left" vertical="center"/>
    </xf>
    <xf numFmtId="0" fontId="4" fillId="0" borderId="4" xfId="1" applyFont="1" applyBorder="1" applyAlignment="1">
      <alignment horizontal="left" vertical="center"/>
    </xf>
    <xf numFmtId="0" fontId="4" fillId="0" borderId="4" xfId="1" applyFont="1" applyFill="1" applyBorder="1" applyAlignment="1">
      <alignment vertical="center"/>
    </xf>
    <xf numFmtId="0" fontId="4" fillId="0" borderId="4" xfId="1" applyFont="1" applyBorder="1" applyAlignment="1">
      <alignment vertical="center" wrapText="1"/>
    </xf>
    <xf numFmtId="0" fontId="4" fillId="0" borderId="4" xfId="0" applyFont="1" applyBorder="1" applyAlignment="1">
      <alignment vertical="center"/>
    </xf>
    <xf numFmtId="0" fontId="4" fillId="25" borderId="4" xfId="0" applyFont="1" applyFill="1" applyBorder="1" applyAlignment="1">
      <alignment vertical="center"/>
    </xf>
    <xf numFmtId="22" fontId="4" fillId="0" borderId="4" xfId="1" applyNumberFormat="1" applyFont="1" applyBorder="1" applyAlignment="1">
      <alignment horizontal="left" vertical="center"/>
    </xf>
    <xf numFmtId="0" fontId="4" fillId="0" borderId="4" xfId="1" applyFont="1" applyBorder="1" applyAlignment="1">
      <alignment vertical="center"/>
    </xf>
    <xf numFmtId="0" fontId="6" fillId="25" borderId="4" xfId="0" applyFont="1" applyFill="1" applyBorder="1" applyAlignment="1">
      <alignment vertical="center" wrapText="1"/>
    </xf>
    <xf numFmtId="0" fontId="6" fillId="5" borderId="4" xfId="0" applyFont="1" applyFill="1" applyBorder="1" applyAlignment="1">
      <alignment horizontal="left" vertical="center" wrapText="1"/>
    </xf>
    <xf numFmtId="0" fontId="6" fillId="0" borderId="0" xfId="0" applyFont="1" applyAlignment="1">
      <alignment horizontal="left" vertical="center"/>
    </xf>
  </cellXfs>
  <cellStyles count="2">
    <cellStyle name="Hiperlink" xfId="1" builtinId="8"/>
    <cellStyle name="Normal" xfId="0" builtinId="0"/>
  </cellStyles>
  <dxfs count="92">
    <dxf>
      <font>
        <b val="0"/>
        <i/>
        <color theme="0" tint="-0.499984740745262"/>
      </font>
    </dxf>
    <dxf>
      <font>
        <b val="0"/>
        <i/>
        <color theme="0" tint="-0.499984740745262"/>
      </font>
    </dxf>
    <dxf>
      <font>
        <b val="0"/>
        <i/>
        <color theme="0" tint="-0.499984740745262"/>
      </font>
    </dxf>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rgb="FFFFFFFF"/>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747474"/>
      <rgbColor rgb="FF9999FF"/>
      <rgbColor rgb="FF993366"/>
      <rgbColor rgb="FFFFCCCC"/>
      <rgbColor rgb="FFDCEAF7"/>
      <rgbColor rgb="FF660066"/>
      <rgbColor rgb="FFF2AA84"/>
      <rgbColor rgb="FF0066CC"/>
      <rgbColor rgb="FFD1D1D1"/>
      <rgbColor rgb="FF000080"/>
      <rgbColor rgb="FFFF00FF"/>
      <rgbColor rgb="FFFFFF00"/>
      <rgbColor rgb="FF00FFFF"/>
      <rgbColor rgb="FF800080"/>
      <rgbColor rgb="FF800000"/>
      <rgbColor rgb="FF008080"/>
      <rgbColor rgb="FF0000FF"/>
      <rgbColor rgb="FF00CCFF"/>
      <rgbColor rgb="FFB4E5A2"/>
      <rgbColor rgb="FFD9F2D0"/>
      <rgbColor rgb="FFF6E896"/>
      <rgbColor rgb="FFA6CAEC"/>
      <rgbColor rgb="FFE59EDD"/>
      <rgbColor rgb="FFFFC7CE"/>
      <rgbColor rgb="FFF6C6AD"/>
      <rgbColor rgb="FF3366FF"/>
      <rgbColor rgb="FF46B1E1"/>
      <rgbColor rgb="FF8ED973"/>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E49EDD"/>
      <color rgb="FFFBE79D"/>
      <color rgb="FFFDF2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4" displayName="Tabla4" ref="A1:U2" totalsRowShown="0">
  <tableColumns count="21">
    <tableColumn id="1" xr3:uid="{00000000-0010-0000-0000-000001000000}" name="1"/>
    <tableColumn id="2" xr3:uid="{00000000-0010-0000-0000-000002000000}" name="Disjunta 1"/>
    <tableColumn id="3" xr3:uid="{00000000-0010-0000-0000-000003000000}" name="Disjunta 2"/>
    <tableColumn id="4" xr3:uid="{00000000-0010-0000-0000-000004000000}" name="Disjunta 3"/>
    <tableColumn id="5" xr3:uid="{00000000-0010-0000-0000-000005000000}" name="Disjunta 4"/>
    <tableColumn id="6" xr3:uid="{00000000-0010-0000-0000-000006000000}" name="Disjunta 5"/>
    <tableColumn id="7" xr3:uid="{00000000-0010-0000-0000-000007000000}" name="Disjunta 6"/>
    <tableColumn id="8" xr3:uid="{00000000-0010-0000-0000-000008000000}" name="Disjunta 7"/>
    <tableColumn id="9" xr3:uid="{00000000-0010-0000-0000-000009000000}" name="Disjunta 8"/>
    <tableColumn id="10" xr3:uid="{00000000-0010-0000-0000-00000A000000}" name="Disjunta 9"/>
    <tableColumn id="11" xr3:uid="{00000000-0010-0000-0000-00000B000000}" name="Disjunta 10"/>
    <tableColumn id="12" xr3:uid="{00000000-0010-0000-0000-00000C000000}" name="Disjunta 11"/>
    <tableColumn id="13" xr3:uid="{00000000-0010-0000-0000-00000D000000}" name="Disjunta 12"/>
    <tableColumn id="14" xr3:uid="{00000000-0010-0000-0000-00000E000000}" name="Disjunta 13"/>
    <tableColumn id="15" xr3:uid="{00000000-0010-0000-0000-00000F000000}" name="Disjunta 14"/>
    <tableColumn id="16" xr3:uid="{00000000-0010-0000-0000-000010000000}" name="Disjunta 15"/>
    <tableColumn id="17" xr3:uid="{00000000-0010-0000-0000-000011000000}" name="Disjunta 16"/>
    <tableColumn id="18" xr3:uid="{00000000-0010-0000-0000-000012000000}" name="Disjunta 17"/>
    <tableColumn id="19" xr3:uid="{00000000-0010-0000-0000-000013000000}" name="Disjunta 18"/>
    <tableColumn id="20" xr3:uid="{00000000-0010-0000-0000-000014000000}" name="Disjunta 19"/>
    <tableColumn id="21" xr3:uid="{00000000-0010-0000-0000-000015000000}" name="Disjunta 20"/>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aesp.fgv.br/centros/centro-estudos-sustentabilidade/projetos/programa-brasileiro-ghg-protocol" TargetMode="External"/><Relationship Id="rId7" Type="http://schemas.openxmlformats.org/officeDocument/2006/relationships/hyperlink" Target="https://www.gov.br/fazenda/pt-br/orgaos/spe/taxonomia-sustentavel-brasileira/cadernos" TargetMode="External"/><Relationship Id="rId2" Type="http://schemas.openxmlformats.org/officeDocument/2006/relationships/hyperlink" Target="https://www.gov.br/fazenda/pt-br/acesso-a-informacao/acoes-e-programas/transformacao-ecologica/transformacao-ecologica" TargetMode="External"/><Relationship Id="rId1" Type="http://schemas.openxmlformats.org/officeDocument/2006/relationships/hyperlink" Target="https://brasil.un.org/pt-br/sdgs" TargetMode="External"/><Relationship Id="rId6" Type="http://schemas.openxmlformats.org/officeDocument/2006/relationships/hyperlink" Target="https://anvisalegis.datalegis.net/" TargetMode="External"/><Relationship Id="rId5" Type="http://schemas.openxmlformats.org/officeDocument/2006/relationships/hyperlink" Target="https://somasus.saude.gov.br/sistema/home" TargetMode="External"/><Relationship Id="rId4" Type="http://schemas.openxmlformats.org/officeDocument/2006/relationships/hyperlink" Target="https://www.caixa.gov.br/site/Paginas/downloads.aspx"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84A63-55AB-497E-9EBD-4681BB9AFAFF}">
  <sheetPr codeName="Planilha1"/>
  <dimension ref="A1:C49"/>
  <sheetViews>
    <sheetView zoomScale="160" zoomScaleNormal="160" workbookViewId="0">
      <pane ySplit="1" topLeftCell="A2" activePane="bottomLeft" state="frozen"/>
      <selection pane="bottomLeft"/>
    </sheetView>
  </sheetViews>
  <sheetFormatPr defaultColWidth="9.140625" defaultRowHeight="7.5" customHeight="1" x14ac:dyDescent="0.25"/>
  <cols>
    <col min="1" max="1" width="10.7109375" customWidth="1"/>
    <col min="2" max="2" width="64.5703125" style="24" customWidth="1"/>
    <col min="3" max="3" width="3.42578125" style="35" bestFit="1" customWidth="1"/>
    <col min="4" max="16384" width="9.140625" style="24"/>
  </cols>
  <sheetData>
    <row r="1" spans="1:3" ht="20.25" customHeight="1" x14ac:dyDescent="0.25">
      <c r="A1" s="11" t="s">
        <v>44</v>
      </c>
      <c r="B1" s="11" t="s">
        <v>45</v>
      </c>
      <c r="C1" s="33" t="s">
        <v>432</v>
      </c>
    </row>
    <row r="2" spans="1:3" ht="7.5" customHeight="1" x14ac:dyDescent="0.25">
      <c r="A2" s="12" t="s">
        <v>46</v>
      </c>
      <c r="B2" s="12" t="s">
        <v>47</v>
      </c>
      <c r="C2" s="34" t="s">
        <v>433</v>
      </c>
    </row>
    <row r="3" spans="1:3" ht="7.5" customHeight="1" x14ac:dyDescent="0.25">
      <c r="A3" s="12" t="s">
        <v>48</v>
      </c>
      <c r="B3" s="12" t="s">
        <v>99</v>
      </c>
      <c r="C3" s="34" t="s">
        <v>433</v>
      </c>
    </row>
    <row r="4" spans="1:3" ht="7.5" customHeight="1" x14ac:dyDescent="0.25">
      <c r="A4" s="13" t="s">
        <v>49</v>
      </c>
      <c r="B4" s="13" t="s">
        <v>32</v>
      </c>
      <c r="C4" s="34" t="s">
        <v>433</v>
      </c>
    </row>
    <row r="5" spans="1:3" ht="7.5" customHeight="1" x14ac:dyDescent="0.25">
      <c r="A5" s="13" t="s">
        <v>50</v>
      </c>
      <c r="B5" s="13" t="str">
        <f>_xlfn.CONCAT(B4,"Prop")</f>
        <v>BIMProp</v>
      </c>
      <c r="C5" s="34" t="s">
        <v>433</v>
      </c>
    </row>
    <row r="6" spans="1:3" ht="7.5" customHeight="1" x14ac:dyDescent="0.25">
      <c r="A6" s="13" t="s">
        <v>51</v>
      </c>
      <c r="B6" s="13" t="str">
        <f>_xlfn.CONCAT(B4,"Data")</f>
        <v>BIMData</v>
      </c>
      <c r="C6" s="34" t="s">
        <v>433</v>
      </c>
    </row>
    <row r="7" spans="1:3" ht="7.5" customHeight="1" x14ac:dyDescent="0.25">
      <c r="A7" s="13" t="s">
        <v>52</v>
      </c>
      <c r="B7" s="13" t="s">
        <v>53</v>
      </c>
      <c r="C7" s="34" t="s">
        <v>433</v>
      </c>
    </row>
    <row r="8" spans="1:3" s="32" customFormat="1" ht="7.5" customHeight="1" x14ac:dyDescent="0.25">
      <c r="A8" s="31" t="s">
        <v>54</v>
      </c>
      <c r="B8" s="31" t="s">
        <v>430</v>
      </c>
      <c r="C8" s="34" t="s">
        <v>433</v>
      </c>
    </row>
    <row r="9" spans="1:3" ht="7.5" customHeight="1" x14ac:dyDescent="0.25">
      <c r="A9" s="13" t="s">
        <v>55</v>
      </c>
      <c r="B9" s="13" t="s">
        <v>56</v>
      </c>
      <c r="C9" s="34" t="s">
        <v>433</v>
      </c>
    </row>
    <row r="10" spans="1:3" ht="7.5" customHeight="1" x14ac:dyDescent="0.25">
      <c r="A10" s="13" t="s">
        <v>2213</v>
      </c>
      <c r="B10" s="13" t="s">
        <v>57</v>
      </c>
      <c r="C10" s="34" t="s">
        <v>433</v>
      </c>
    </row>
    <row r="11" spans="1:3" ht="7.5" customHeight="1" x14ac:dyDescent="0.25">
      <c r="A11" s="13" t="s">
        <v>2214</v>
      </c>
      <c r="B11" s="13" t="s">
        <v>57</v>
      </c>
      <c r="C11" s="34" t="s">
        <v>433</v>
      </c>
    </row>
    <row r="12" spans="1:3" ht="7.5" customHeight="1" x14ac:dyDescent="0.25">
      <c r="A12" s="13" t="s">
        <v>2215</v>
      </c>
      <c r="B12" s="13" t="s">
        <v>57</v>
      </c>
      <c r="C12" s="34" t="s">
        <v>433</v>
      </c>
    </row>
    <row r="13" spans="1:3" ht="7.5" customHeight="1" x14ac:dyDescent="0.25">
      <c r="A13" s="13" t="s">
        <v>2216</v>
      </c>
      <c r="B13" s="13" t="s">
        <v>57</v>
      </c>
      <c r="C13" s="34" t="s">
        <v>433</v>
      </c>
    </row>
    <row r="14" spans="1:3" ht="7.5" customHeight="1" x14ac:dyDescent="0.25">
      <c r="A14" s="13" t="s">
        <v>2217</v>
      </c>
      <c r="B14" s="13" t="s">
        <v>57</v>
      </c>
      <c r="C14" s="34" t="s">
        <v>433</v>
      </c>
    </row>
    <row r="15" spans="1:3" ht="7.5" customHeight="1" x14ac:dyDescent="0.25">
      <c r="A15" s="13" t="s">
        <v>2218</v>
      </c>
      <c r="B15" s="13" t="s">
        <v>57</v>
      </c>
      <c r="C15" s="34" t="s">
        <v>433</v>
      </c>
    </row>
    <row r="16" spans="1:3" ht="7.5" customHeight="1" x14ac:dyDescent="0.25">
      <c r="A16" s="13" t="s">
        <v>2219</v>
      </c>
      <c r="B16" s="13" t="s">
        <v>57</v>
      </c>
      <c r="C16" s="34" t="s">
        <v>433</v>
      </c>
    </row>
    <row r="17" spans="1:3" ht="7.5" customHeight="1" x14ac:dyDescent="0.25">
      <c r="A17" s="13" t="s">
        <v>58</v>
      </c>
      <c r="B17" s="13" t="s">
        <v>105</v>
      </c>
      <c r="C17" s="34" t="s">
        <v>433</v>
      </c>
    </row>
    <row r="18" spans="1:3" ht="7.5" customHeight="1" x14ac:dyDescent="0.25">
      <c r="A18" s="13" t="s">
        <v>59</v>
      </c>
      <c r="B18" s="26">
        <f ca="1">NOW()</f>
        <v>46283.516291898151</v>
      </c>
      <c r="C18" s="34" t="s">
        <v>433</v>
      </c>
    </row>
    <row r="19" spans="1:3" ht="7.5" customHeight="1" x14ac:dyDescent="0.25">
      <c r="A19" s="13" t="s">
        <v>2220</v>
      </c>
      <c r="B19" s="25" t="s">
        <v>2269</v>
      </c>
      <c r="C19" s="34" t="s">
        <v>433</v>
      </c>
    </row>
    <row r="20" spans="1:3" ht="7.5" customHeight="1" x14ac:dyDescent="0.25">
      <c r="A20" s="31" t="s">
        <v>2221</v>
      </c>
      <c r="B20" s="14" t="str">
        <f>_xlfn.TRANSLATE(B19,"pt","es")</f>
        <v>Algunas traducciones pueden necesitar revisión.</v>
      </c>
      <c r="C20" s="34" t="s">
        <v>434</v>
      </c>
    </row>
    <row r="21" spans="1:3" ht="7.5" customHeight="1" x14ac:dyDescent="0.25">
      <c r="A21" s="31" t="s">
        <v>2222</v>
      </c>
      <c r="B21" s="14" t="str">
        <f>_xlfn.TRANSLATE(B19,"pt","en")</f>
        <v>Some translations may need revision.</v>
      </c>
      <c r="C21" s="34" t="s">
        <v>435</v>
      </c>
    </row>
    <row r="22" spans="1:3" ht="7.5" customHeight="1" x14ac:dyDescent="0.25">
      <c r="A22" s="13" t="s">
        <v>60</v>
      </c>
      <c r="B22" s="13" t="s">
        <v>57</v>
      </c>
      <c r="C22" s="34" t="s">
        <v>433</v>
      </c>
    </row>
    <row r="23" spans="1:3" ht="7.5" customHeight="1" x14ac:dyDescent="0.25">
      <c r="A23" s="13" t="s">
        <v>61</v>
      </c>
      <c r="B23" s="13" t="s">
        <v>57</v>
      </c>
      <c r="C23" s="34" t="s">
        <v>433</v>
      </c>
    </row>
    <row r="24" spans="1:3" s="32" customFormat="1" ht="7.5" customHeight="1" x14ac:dyDescent="0.25">
      <c r="A24" s="13" t="s">
        <v>62</v>
      </c>
      <c r="B24" s="14" t="s">
        <v>106</v>
      </c>
      <c r="C24" s="34" t="s">
        <v>433</v>
      </c>
    </row>
    <row r="25" spans="1:3" ht="7.5" customHeight="1" x14ac:dyDescent="0.25">
      <c r="A25" s="13" t="s">
        <v>63</v>
      </c>
      <c r="B25" s="14" t="s">
        <v>107</v>
      </c>
      <c r="C25" s="34" t="s">
        <v>434</v>
      </c>
    </row>
    <row r="26" spans="1:3" ht="7.5" customHeight="1" x14ac:dyDescent="0.25">
      <c r="A26" s="31" t="s">
        <v>431</v>
      </c>
      <c r="B26" s="14" t="str">
        <f>_xlfn.TRANSLATE(B24,"pt","en")</f>
        <v>Formalize piping elements in BIM design. Guiding ontology of the correspondence relationship between IFC Classes and Revit categories.</v>
      </c>
      <c r="C26" s="34" t="s">
        <v>435</v>
      </c>
    </row>
    <row r="27" spans="1:3" ht="7.5" customHeight="1" x14ac:dyDescent="0.25">
      <c r="A27" s="31" t="s">
        <v>2223</v>
      </c>
      <c r="B27" s="100" t="s">
        <v>2246</v>
      </c>
      <c r="C27" s="34" t="s">
        <v>433</v>
      </c>
    </row>
    <row r="28" spans="1:3" ht="7.5" customHeight="1" x14ac:dyDescent="0.25">
      <c r="A28" s="31" t="s">
        <v>2224</v>
      </c>
      <c r="B28" s="101" t="s">
        <v>2247</v>
      </c>
      <c r="C28" s="34" t="s">
        <v>433</v>
      </c>
    </row>
    <row r="29" spans="1:3" ht="7.5" customHeight="1" x14ac:dyDescent="0.25">
      <c r="A29" s="31" t="s">
        <v>2225</v>
      </c>
      <c r="B29" s="101" t="s">
        <v>2248</v>
      </c>
      <c r="C29" s="34" t="s">
        <v>433</v>
      </c>
    </row>
    <row r="30" spans="1:3" ht="7.5" customHeight="1" x14ac:dyDescent="0.25">
      <c r="A30" s="31" t="s">
        <v>2226</v>
      </c>
      <c r="B30" s="102" t="s">
        <v>2249</v>
      </c>
      <c r="C30" s="34" t="s">
        <v>433</v>
      </c>
    </row>
    <row r="31" spans="1:3" ht="7.5" customHeight="1" x14ac:dyDescent="0.25">
      <c r="A31" s="31" t="s">
        <v>2227</v>
      </c>
      <c r="B31" s="103" t="s">
        <v>2250</v>
      </c>
      <c r="C31" s="34" t="s">
        <v>433</v>
      </c>
    </row>
    <row r="32" spans="1:3" ht="7.5" customHeight="1" x14ac:dyDescent="0.25">
      <c r="A32" s="31" t="s">
        <v>2228</v>
      </c>
      <c r="B32" s="103" t="s">
        <v>2251</v>
      </c>
      <c r="C32" s="34" t="s">
        <v>433</v>
      </c>
    </row>
    <row r="33" spans="1:3" ht="7.5" customHeight="1" x14ac:dyDescent="0.25">
      <c r="A33" s="31" t="s">
        <v>2229</v>
      </c>
      <c r="B33" s="103" t="s">
        <v>2252</v>
      </c>
      <c r="C33" s="34" t="s">
        <v>433</v>
      </c>
    </row>
    <row r="34" spans="1:3" ht="7.5" customHeight="1" x14ac:dyDescent="0.25">
      <c r="A34" s="31" t="s">
        <v>2230</v>
      </c>
      <c r="B34" s="104" t="s">
        <v>2253</v>
      </c>
      <c r="C34" s="34" t="s">
        <v>433</v>
      </c>
    </row>
    <row r="35" spans="1:3" ht="7.5" customHeight="1" x14ac:dyDescent="0.25">
      <c r="A35" s="31" t="s">
        <v>2231</v>
      </c>
      <c r="B35" s="104" t="s">
        <v>2254</v>
      </c>
      <c r="C35" s="34" t="s">
        <v>433</v>
      </c>
    </row>
    <row r="36" spans="1:3" ht="7.5" customHeight="1" x14ac:dyDescent="0.25">
      <c r="A36" s="31" t="s">
        <v>2232</v>
      </c>
      <c r="B36" s="103" t="s">
        <v>2255</v>
      </c>
      <c r="C36" s="34" t="s">
        <v>433</v>
      </c>
    </row>
    <row r="37" spans="1:3" ht="7.5" customHeight="1" x14ac:dyDescent="0.25">
      <c r="A37" s="31" t="s">
        <v>2233</v>
      </c>
      <c r="B37" s="104" t="s">
        <v>2256</v>
      </c>
      <c r="C37" s="34" t="s">
        <v>433</v>
      </c>
    </row>
    <row r="38" spans="1:3" ht="7.5" customHeight="1" x14ac:dyDescent="0.25">
      <c r="A38" s="31" t="s">
        <v>2234</v>
      </c>
      <c r="B38" s="103" t="s">
        <v>2257</v>
      </c>
      <c r="C38" s="34" t="s">
        <v>433</v>
      </c>
    </row>
    <row r="39" spans="1:3" ht="7.5" customHeight="1" x14ac:dyDescent="0.25">
      <c r="A39" s="31" t="s">
        <v>2235</v>
      </c>
      <c r="B39" s="105" t="s">
        <v>2258</v>
      </c>
      <c r="C39" s="34" t="s">
        <v>433</v>
      </c>
    </row>
    <row r="40" spans="1:3" ht="7.5" customHeight="1" x14ac:dyDescent="0.25">
      <c r="A40" s="31" t="s">
        <v>2236</v>
      </c>
      <c r="B40" s="105" t="s">
        <v>2259</v>
      </c>
      <c r="C40" s="34" t="s">
        <v>433</v>
      </c>
    </row>
    <row r="41" spans="1:3" ht="7.5" customHeight="1" x14ac:dyDescent="0.25">
      <c r="A41" s="31" t="s">
        <v>2237</v>
      </c>
      <c r="B41" s="106" t="s">
        <v>2260</v>
      </c>
      <c r="C41" s="34" t="s">
        <v>433</v>
      </c>
    </row>
    <row r="42" spans="1:3" ht="7.5" customHeight="1" x14ac:dyDescent="0.25">
      <c r="A42" s="31" t="s">
        <v>2238</v>
      </c>
      <c r="B42" s="107" t="s">
        <v>2261</v>
      </c>
      <c r="C42" s="34" t="s">
        <v>433</v>
      </c>
    </row>
    <row r="43" spans="1:3" ht="7.5" customHeight="1" x14ac:dyDescent="0.25">
      <c r="A43" s="31" t="s">
        <v>2239</v>
      </c>
      <c r="B43" s="107" t="s">
        <v>2262</v>
      </c>
      <c r="C43" s="34" t="s">
        <v>433</v>
      </c>
    </row>
    <row r="44" spans="1:3" ht="7.5" customHeight="1" x14ac:dyDescent="0.25">
      <c r="A44" s="31" t="s">
        <v>2240</v>
      </c>
      <c r="B44" s="107" t="s">
        <v>2263</v>
      </c>
      <c r="C44" s="34" t="s">
        <v>433</v>
      </c>
    </row>
    <row r="45" spans="1:3" ht="7.5" customHeight="1" x14ac:dyDescent="0.25">
      <c r="A45" s="31" t="s">
        <v>2241</v>
      </c>
      <c r="B45" s="107" t="s">
        <v>2264</v>
      </c>
      <c r="C45" s="34" t="s">
        <v>433</v>
      </c>
    </row>
    <row r="46" spans="1:3" ht="7.5" customHeight="1" x14ac:dyDescent="0.25">
      <c r="A46" s="31" t="s">
        <v>2242</v>
      </c>
      <c r="B46" s="107" t="s">
        <v>2265</v>
      </c>
      <c r="C46" s="34" t="s">
        <v>433</v>
      </c>
    </row>
    <row r="47" spans="1:3" ht="7.5" customHeight="1" x14ac:dyDescent="0.25">
      <c r="A47" s="31" t="s">
        <v>2243</v>
      </c>
      <c r="B47" s="107" t="s">
        <v>2266</v>
      </c>
      <c r="C47" s="34" t="s">
        <v>433</v>
      </c>
    </row>
    <row r="48" spans="1:3" ht="7.5" customHeight="1" x14ac:dyDescent="0.25">
      <c r="A48" s="31" t="s">
        <v>2244</v>
      </c>
      <c r="B48" s="107" t="s">
        <v>2267</v>
      </c>
      <c r="C48" s="34" t="s">
        <v>433</v>
      </c>
    </row>
    <row r="49" spans="1:3" ht="7.5" customHeight="1" x14ac:dyDescent="0.25">
      <c r="A49" s="31" t="s">
        <v>2245</v>
      </c>
      <c r="B49" s="107" t="s">
        <v>2268</v>
      </c>
      <c r="C49" s="34" t="s">
        <v>433</v>
      </c>
    </row>
  </sheetData>
  <hyperlinks>
    <hyperlink ref="B27" r:id="rId1" xr:uid="{CB8988DF-A845-42A5-8A28-1C928C83BA24}"/>
    <hyperlink ref="B29" r:id="rId2" xr:uid="{C4B3C98F-1159-4331-8ED6-291A56676841}"/>
    <hyperlink ref="B28" r:id="rId3" xr:uid="{69020188-AE4F-4E14-818E-8F4572AFC43E}"/>
    <hyperlink ref="B39" r:id="rId4" location="categoria_888" xr:uid="{6F61CEAF-75FF-4935-8A41-40B15208AAF8}"/>
    <hyperlink ref="B40" r:id="rId5" xr:uid="{281F95E9-6010-416F-94D8-FEBA68152353}"/>
    <hyperlink ref="B41" r:id="rId6" xr:uid="{02D120CF-A230-480F-A36B-A3226E0D9C36}"/>
    <hyperlink ref="B30" r:id="rId7" xr:uid="{C350FB92-83A2-48D6-86EA-DDE54D6434ED}"/>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59519-D9E5-4433-9132-270924474650}">
  <sheetPr codeName="Planilha2"/>
  <dimension ref="A1:AD409"/>
  <sheetViews>
    <sheetView tabSelected="1" zoomScale="265" zoomScaleNormal="265" workbookViewId="0">
      <pane ySplit="1" topLeftCell="A71" activePane="bottomLeft" state="frozen"/>
      <selection pane="bottomLeft" activeCell="D75" sqref="D75"/>
    </sheetView>
  </sheetViews>
  <sheetFormatPr defaultColWidth="9.140625" defaultRowHeight="6.75" customHeight="1" x14ac:dyDescent="0.25"/>
  <cols>
    <col min="1" max="1" width="2.5703125" customWidth="1"/>
    <col min="2" max="2" width="5.140625" style="36" customWidth="1"/>
    <col min="3" max="3" width="10.85546875" style="36" customWidth="1"/>
    <col min="4" max="4" width="13.7109375" style="36" customWidth="1"/>
    <col min="5" max="5" width="15.42578125" style="36" customWidth="1"/>
    <col min="6" max="6" width="13.7109375" style="36" customWidth="1"/>
    <col min="7" max="11" width="5.7109375" style="36" bestFit="1" customWidth="1"/>
    <col min="12" max="12" width="9.85546875" style="36" customWidth="1"/>
    <col min="13" max="13" width="12.7109375" style="36" customWidth="1"/>
    <col min="14" max="14" width="18.42578125" style="36" bestFit="1" customWidth="1"/>
    <col min="15" max="15" width="15.85546875" style="36" customWidth="1"/>
    <col min="16" max="16" width="115.140625" style="36" bestFit="1" customWidth="1"/>
    <col min="17" max="17" width="24.28515625" style="36" customWidth="1"/>
    <col min="18" max="18" width="20.7109375" style="36" customWidth="1"/>
    <col min="19" max="19" width="3.7109375" style="56" bestFit="1" customWidth="1"/>
    <col min="20" max="20" width="9.85546875" style="36" customWidth="1"/>
    <col min="21" max="21" width="13.140625" style="36" customWidth="1"/>
    <col min="22" max="22" width="18.42578125" style="36" bestFit="1" customWidth="1"/>
    <col min="23" max="23" width="6.7109375" style="36" bestFit="1" customWidth="1"/>
    <col min="24" max="24" width="8" style="36" bestFit="1" customWidth="1"/>
    <col min="25" max="25" width="155.7109375" style="36" bestFit="1" customWidth="1"/>
    <col min="26" max="26" width="6.85546875" style="36" bestFit="1" customWidth="1"/>
    <col min="27" max="27" width="36" style="36" bestFit="1" customWidth="1"/>
    <col min="28" max="28" width="6" style="36" bestFit="1" customWidth="1"/>
    <col min="29" max="29" width="12.42578125" style="36" bestFit="1" customWidth="1"/>
    <col min="30" max="30" width="5.28515625" style="36" customWidth="1"/>
    <col min="31" max="16384" width="9.140625" style="36"/>
  </cols>
  <sheetData>
    <row r="1" spans="1:30" s="45" customFormat="1" ht="39.75" customHeight="1" x14ac:dyDescent="0.25">
      <c r="A1" s="42">
        <v>1</v>
      </c>
      <c r="B1" s="43" t="s">
        <v>42</v>
      </c>
      <c r="C1" s="43" t="s">
        <v>40</v>
      </c>
      <c r="D1" s="43" t="s">
        <v>41</v>
      </c>
      <c r="E1" s="43" t="s">
        <v>39</v>
      </c>
      <c r="F1" s="43" t="s">
        <v>36</v>
      </c>
      <c r="G1" s="44" t="s">
        <v>0</v>
      </c>
      <c r="H1" s="44" t="s">
        <v>1</v>
      </c>
      <c r="I1" s="44" t="s">
        <v>2</v>
      </c>
      <c r="J1" s="44" t="s">
        <v>3</v>
      </c>
      <c r="K1" s="44" t="s">
        <v>4</v>
      </c>
      <c r="L1" s="30" t="s">
        <v>5</v>
      </c>
      <c r="M1" s="30" t="s">
        <v>6</v>
      </c>
      <c r="N1" s="30" t="s">
        <v>93</v>
      </c>
      <c r="O1" s="30" t="s">
        <v>7</v>
      </c>
      <c r="P1" s="30" t="s">
        <v>37</v>
      </c>
      <c r="Q1" s="30" t="s">
        <v>43</v>
      </c>
      <c r="R1" s="30" t="s">
        <v>429</v>
      </c>
      <c r="S1" s="55" t="s">
        <v>95</v>
      </c>
      <c r="T1" s="30" t="s">
        <v>33</v>
      </c>
      <c r="U1" s="30" t="s">
        <v>38</v>
      </c>
      <c r="V1" s="30" t="s">
        <v>35</v>
      </c>
      <c r="W1" s="30" t="s">
        <v>34</v>
      </c>
      <c r="X1" s="43" t="s">
        <v>8</v>
      </c>
      <c r="Y1" s="29" t="s">
        <v>736</v>
      </c>
      <c r="Z1" s="29" t="s">
        <v>737</v>
      </c>
      <c r="AA1" s="29" t="s">
        <v>738</v>
      </c>
      <c r="AB1" s="29" t="s">
        <v>739</v>
      </c>
      <c r="AC1" s="29" t="s">
        <v>428</v>
      </c>
      <c r="AD1" s="29" t="s">
        <v>760</v>
      </c>
    </row>
    <row r="2" spans="1:30" s="51" customFormat="1" ht="6.75" customHeight="1" x14ac:dyDescent="0.25">
      <c r="A2" s="38">
        <v>2</v>
      </c>
      <c r="B2" s="1" t="s">
        <v>725</v>
      </c>
      <c r="C2" s="1" t="s">
        <v>803</v>
      </c>
      <c r="D2" s="1" t="s">
        <v>2112</v>
      </c>
      <c r="E2" s="1" t="s">
        <v>2274</v>
      </c>
      <c r="F2" s="22" t="s">
        <v>826</v>
      </c>
      <c r="G2" s="7" t="s">
        <v>9</v>
      </c>
      <c r="H2" s="7" t="s">
        <v>9</v>
      </c>
      <c r="I2" s="7" t="s">
        <v>9</v>
      </c>
      <c r="J2" s="7" t="s">
        <v>9</v>
      </c>
      <c r="K2" s="7" t="s">
        <v>9</v>
      </c>
      <c r="L2" s="23" t="str">
        <f>CONCATENATE("", C2)</f>
        <v>De.Materialidade</v>
      </c>
      <c r="M2" s="23" t="str">
        <f>CONCATENATE("", D2)</f>
        <v>Materiais.Construtivos</v>
      </c>
      <c r="N2" s="23" t="str">
        <f t="shared" ref="N2:O38" si="0">(SUBSTITUTE(SUBSTITUTE(CONCATENATE("",E2),"."," ")," De "," de "))</f>
        <v>Adesivos</v>
      </c>
      <c r="O2" s="23" t="str">
        <f>(SUBSTITUTE(SUBSTITUTE(CONCATENATE("",F2),"."," ")," De "," de "))</f>
        <v>Cola Espuma</v>
      </c>
      <c r="P2" s="37" t="s">
        <v>852</v>
      </c>
      <c r="Q2" s="41" t="s">
        <v>944</v>
      </c>
      <c r="R2" s="41" t="s">
        <v>901</v>
      </c>
      <c r="S2" s="54" t="s">
        <v>9</v>
      </c>
      <c r="T2" s="46" t="str">
        <f t="shared" ref="T2:V38" si="1">SUBSTITUTE(C2, ".", " ")</f>
        <v>De Materialidade</v>
      </c>
      <c r="U2" s="46" t="str">
        <f t="shared" si="1"/>
        <v>Materiais Construtivos</v>
      </c>
      <c r="V2" s="46" t="str">
        <f t="shared" si="1"/>
        <v>Adesivos</v>
      </c>
      <c r="W2" s="19" t="s">
        <v>459</v>
      </c>
      <c r="X2" s="40" t="str">
        <f>CONCATENATE("Key-TUB-",A2)</f>
        <v>Key-TUB-2</v>
      </c>
      <c r="Y2" s="19" t="s">
        <v>976</v>
      </c>
      <c r="Z2" s="46" t="s">
        <v>9</v>
      </c>
      <c r="AA2" s="46" t="s">
        <v>2048</v>
      </c>
      <c r="AB2" s="46" t="s">
        <v>9</v>
      </c>
      <c r="AC2" s="46" t="s">
        <v>2045</v>
      </c>
      <c r="AD2" s="46" t="s">
        <v>9</v>
      </c>
    </row>
    <row r="3" spans="1:30" s="51" customFormat="1" ht="6.75" customHeight="1" x14ac:dyDescent="0.25">
      <c r="A3" s="38">
        <v>3</v>
      </c>
      <c r="B3" s="1" t="s">
        <v>725</v>
      </c>
      <c r="C3" s="1" t="s">
        <v>803</v>
      </c>
      <c r="D3" s="1" t="s">
        <v>2112</v>
      </c>
      <c r="E3" s="1" t="s">
        <v>2274</v>
      </c>
      <c r="F3" s="22" t="s">
        <v>827</v>
      </c>
      <c r="G3" s="7" t="s">
        <v>9</v>
      </c>
      <c r="H3" s="7" t="s">
        <v>9</v>
      </c>
      <c r="I3" s="7" t="s">
        <v>9</v>
      </c>
      <c r="J3" s="7" t="s">
        <v>9</v>
      </c>
      <c r="K3" s="7" t="s">
        <v>9</v>
      </c>
      <c r="L3" s="23" t="str">
        <f t="shared" ref="L3:M38" si="2">CONCATENATE("", C3)</f>
        <v>De.Materialidade</v>
      </c>
      <c r="M3" s="23" t="str">
        <f t="shared" si="2"/>
        <v>Materiais.Construtivos</v>
      </c>
      <c r="N3" s="23" t="str">
        <f t="shared" si="0"/>
        <v>Adesivos</v>
      </c>
      <c r="O3" s="23" t="str">
        <f t="shared" si="0"/>
        <v>Cola Louça</v>
      </c>
      <c r="P3" s="37" t="s">
        <v>853</v>
      </c>
      <c r="Q3" s="41" t="s">
        <v>945</v>
      </c>
      <c r="R3" s="41" t="s">
        <v>902</v>
      </c>
      <c r="S3" s="54" t="s">
        <v>9</v>
      </c>
      <c r="T3" s="46" t="str">
        <f t="shared" si="1"/>
        <v>De Materialidade</v>
      </c>
      <c r="U3" s="46" t="str">
        <f t="shared" si="1"/>
        <v>Materiais Construtivos</v>
      </c>
      <c r="V3" s="46" t="str">
        <f t="shared" si="1"/>
        <v>Adesivos</v>
      </c>
      <c r="W3" s="19" t="s">
        <v>459</v>
      </c>
      <c r="X3" s="40" t="str">
        <f t="shared" ref="X3:X38" si="3">CONCATENATE("Key-TUB-",A3)</f>
        <v>Key-TUB-3</v>
      </c>
      <c r="Y3" s="19" t="s">
        <v>976</v>
      </c>
      <c r="Z3" s="46" t="s">
        <v>9</v>
      </c>
      <c r="AA3" s="46" t="s">
        <v>2048</v>
      </c>
      <c r="AB3" s="46" t="s">
        <v>9</v>
      </c>
      <c r="AC3" s="46" t="s">
        <v>2045</v>
      </c>
      <c r="AD3" s="46" t="s">
        <v>9</v>
      </c>
    </row>
    <row r="4" spans="1:30" s="51" customFormat="1" ht="6.75" customHeight="1" x14ac:dyDescent="0.25">
      <c r="A4" s="38">
        <v>4</v>
      </c>
      <c r="B4" s="1" t="s">
        <v>725</v>
      </c>
      <c r="C4" s="1" t="s">
        <v>803</v>
      </c>
      <c r="D4" s="1" t="s">
        <v>2112</v>
      </c>
      <c r="E4" s="1" t="s">
        <v>2274</v>
      </c>
      <c r="F4" s="22" t="s">
        <v>823</v>
      </c>
      <c r="G4" s="7" t="s">
        <v>9</v>
      </c>
      <c r="H4" s="7" t="s">
        <v>9</v>
      </c>
      <c r="I4" s="7" t="s">
        <v>9</v>
      </c>
      <c r="J4" s="7" t="s">
        <v>9</v>
      </c>
      <c r="K4" s="7" t="s">
        <v>9</v>
      </c>
      <c r="L4" s="23" t="str">
        <f t="shared" si="2"/>
        <v>De.Materialidade</v>
      </c>
      <c r="M4" s="23" t="str">
        <f t="shared" si="2"/>
        <v>Materiais.Construtivos</v>
      </c>
      <c r="N4" s="23" t="str">
        <f t="shared" si="0"/>
        <v>Adesivos</v>
      </c>
      <c r="O4" s="23" t="str">
        <f t="shared" si="0"/>
        <v>Cola Madeira</v>
      </c>
      <c r="P4" s="37" t="s">
        <v>849</v>
      </c>
      <c r="Q4" s="41" t="s">
        <v>946</v>
      </c>
      <c r="R4" s="41" t="s">
        <v>903</v>
      </c>
      <c r="S4" s="54" t="s">
        <v>9</v>
      </c>
      <c r="T4" s="46" t="str">
        <f t="shared" si="1"/>
        <v>De Materialidade</v>
      </c>
      <c r="U4" s="46" t="str">
        <f t="shared" si="1"/>
        <v>Materiais Construtivos</v>
      </c>
      <c r="V4" s="46" t="str">
        <f t="shared" si="1"/>
        <v>Adesivos</v>
      </c>
      <c r="W4" s="19" t="s">
        <v>459</v>
      </c>
      <c r="X4" s="40" t="str">
        <f t="shared" si="3"/>
        <v>Key-TUB-4</v>
      </c>
      <c r="Y4" s="19" t="s">
        <v>976</v>
      </c>
      <c r="Z4" s="46" t="s">
        <v>9</v>
      </c>
      <c r="AA4" s="46" t="s">
        <v>2048</v>
      </c>
      <c r="AB4" s="46" t="s">
        <v>9</v>
      </c>
      <c r="AC4" s="46" t="s">
        <v>2045</v>
      </c>
      <c r="AD4" s="46" t="s">
        <v>9</v>
      </c>
    </row>
    <row r="5" spans="1:30" s="51" customFormat="1" ht="6.75" customHeight="1" x14ac:dyDescent="0.25">
      <c r="A5" s="38">
        <v>5</v>
      </c>
      <c r="B5" s="1" t="s">
        <v>725</v>
      </c>
      <c r="C5" s="1" t="s">
        <v>803</v>
      </c>
      <c r="D5" s="1" t="s">
        <v>2112</v>
      </c>
      <c r="E5" s="1" t="s">
        <v>2274</v>
      </c>
      <c r="F5" s="22" t="s">
        <v>824</v>
      </c>
      <c r="G5" s="7" t="s">
        <v>9</v>
      </c>
      <c r="H5" s="7" t="s">
        <v>9</v>
      </c>
      <c r="I5" s="7" t="s">
        <v>9</v>
      </c>
      <c r="J5" s="7" t="s">
        <v>9</v>
      </c>
      <c r="K5" s="7" t="s">
        <v>9</v>
      </c>
      <c r="L5" s="23" t="str">
        <f t="shared" si="2"/>
        <v>De.Materialidade</v>
      </c>
      <c r="M5" s="23" t="str">
        <f t="shared" si="2"/>
        <v>Materiais.Construtivos</v>
      </c>
      <c r="N5" s="23" t="str">
        <f t="shared" si="0"/>
        <v>Adesivos</v>
      </c>
      <c r="O5" s="23" t="str">
        <f t="shared" si="0"/>
        <v>Cola Metal</v>
      </c>
      <c r="P5" s="37" t="s">
        <v>850</v>
      </c>
      <c r="Q5" s="41" t="s">
        <v>947</v>
      </c>
      <c r="R5" s="41" t="s">
        <v>904</v>
      </c>
      <c r="S5" s="54" t="s">
        <v>9</v>
      </c>
      <c r="T5" s="46" t="str">
        <f t="shared" si="1"/>
        <v>De Materialidade</v>
      </c>
      <c r="U5" s="46" t="str">
        <f t="shared" si="1"/>
        <v>Materiais Construtivos</v>
      </c>
      <c r="V5" s="46" t="str">
        <f t="shared" si="1"/>
        <v>Adesivos</v>
      </c>
      <c r="W5" s="19" t="s">
        <v>459</v>
      </c>
      <c r="X5" s="40" t="str">
        <f t="shared" si="3"/>
        <v>Key-TUB-5</v>
      </c>
      <c r="Y5" s="19" t="s">
        <v>976</v>
      </c>
      <c r="Z5" s="46" t="s">
        <v>9</v>
      </c>
      <c r="AA5" s="46" t="s">
        <v>2048</v>
      </c>
      <c r="AB5" s="46" t="s">
        <v>9</v>
      </c>
      <c r="AC5" s="46" t="s">
        <v>2045</v>
      </c>
      <c r="AD5" s="46" t="s">
        <v>9</v>
      </c>
    </row>
    <row r="6" spans="1:30" s="51" customFormat="1" ht="6.75" customHeight="1" x14ac:dyDescent="0.25">
      <c r="A6" s="38">
        <v>6</v>
      </c>
      <c r="B6" s="1" t="s">
        <v>725</v>
      </c>
      <c r="C6" s="1" t="s">
        <v>803</v>
      </c>
      <c r="D6" s="1" t="s">
        <v>2112</v>
      </c>
      <c r="E6" s="1" t="s">
        <v>2274</v>
      </c>
      <c r="F6" s="22" t="s">
        <v>825</v>
      </c>
      <c r="G6" s="7" t="s">
        <v>9</v>
      </c>
      <c r="H6" s="7" t="s">
        <v>9</v>
      </c>
      <c r="I6" s="7" t="s">
        <v>9</v>
      </c>
      <c r="J6" s="7" t="s">
        <v>9</v>
      </c>
      <c r="K6" s="7" t="s">
        <v>9</v>
      </c>
      <c r="L6" s="23" t="str">
        <f t="shared" si="2"/>
        <v>De.Materialidade</v>
      </c>
      <c r="M6" s="23" t="str">
        <f t="shared" si="2"/>
        <v>Materiais.Construtivos</v>
      </c>
      <c r="N6" s="23" t="str">
        <f t="shared" si="0"/>
        <v>Adesivos</v>
      </c>
      <c r="O6" s="23" t="str">
        <f t="shared" si="0"/>
        <v>Cola Textil</v>
      </c>
      <c r="P6" s="37" t="s">
        <v>851</v>
      </c>
      <c r="Q6" s="41" t="s">
        <v>948</v>
      </c>
      <c r="R6" s="41" t="s">
        <v>905</v>
      </c>
      <c r="S6" s="54" t="s">
        <v>9</v>
      </c>
      <c r="T6" s="46" t="str">
        <f t="shared" si="1"/>
        <v>De Materialidade</v>
      </c>
      <c r="U6" s="46" t="str">
        <f t="shared" si="1"/>
        <v>Materiais Construtivos</v>
      </c>
      <c r="V6" s="46" t="str">
        <f t="shared" si="1"/>
        <v>Adesivos</v>
      </c>
      <c r="W6" s="19" t="s">
        <v>459</v>
      </c>
      <c r="X6" s="40" t="str">
        <f t="shared" si="3"/>
        <v>Key-TUB-6</v>
      </c>
      <c r="Y6" s="19" t="s">
        <v>976</v>
      </c>
      <c r="Z6" s="46" t="s">
        <v>9</v>
      </c>
      <c r="AA6" s="46" t="s">
        <v>2048</v>
      </c>
      <c r="AB6" s="46" t="s">
        <v>9</v>
      </c>
      <c r="AC6" s="46" t="s">
        <v>2045</v>
      </c>
      <c r="AD6" s="46" t="s">
        <v>9</v>
      </c>
    </row>
    <row r="7" spans="1:30" s="109" customFormat="1" ht="6.75" customHeight="1" x14ac:dyDescent="0.25">
      <c r="A7" s="38">
        <v>7</v>
      </c>
      <c r="B7" s="1" t="s">
        <v>725</v>
      </c>
      <c r="C7" s="1" t="s">
        <v>803</v>
      </c>
      <c r="D7" s="1" t="s">
        <v>2112</v>
      </c>
      <c r="E7" s="108" t="s">
        <v>2291</v>
      </c>
      <c r="F7" s="49" t="s">
        <v>2292</v>
      </c>
      <c r="G7" s="39" t="s">
        <v>9</v>
      </c>
      <c r="H7" s="39" t="s">
        <v>9</v>
      </c>
      <c r="I7" s="39" t="s">
        <v>9</v>
      </c>
      <c r="J7" s="39" t="s">
        <v>9</v>
      </c>
      <c r="K7" s="39" t="s">
        <v>9</v>
      </c>
      <c r="L7" s="23" t="str">
        <f t="shared" ref="L7:O8" si="4">SUBSTITUTE(CONCATENATE("", C7), ".", " ")</f>
        <v>De Materialidade</v>
      </c>
      <c r="M7" s="23" t="str">
        <f t="shared" si="4"/>
        <v>Materiais Construtivos</v>
      </c>
      <c r="N7" s="23" t="str">
        <f t="shared" si="4"/>
        <v>Aditivos</v>
      </c>
      <c r="O7" s="23" t="str">
        <f t="shared" si="4"/>
        <v>Defloculante</v>
      </c>
      <c r="P7" s="19" t="s">
        <v>2293</v>
      </c>
      <c r="Q7" s="41" t="s">
        <v>2294</v>
      </c>
      <c r="R7" s="19" t="s">
        <v>2295</v>
      </c>
      <c r="S7" s="19" t="s">
        <v>9</v>
      </c>
      <c r="T7" s="19" t="str">
        <f t="shared" si="1"/>
        <v>De Materialidade</v>
      </c>
      <c r="U7" s="19" t="str">
        <f t="shared" si="1"/>
        <v>Materiais Construtivos</v>
      </c>
      <c r="V7" s="19" t="str">
        <f t="shared" si="1"/>
        <v>Aditivos</v>
      </c>
      <c r="W7" s="19" t="s">
        <v>2296</v>
      </c>
      <c r="X7" s="40" t="str">
        <f t="shared" ref="X7:X8" si="5">CONCATENATE("Key-MAT-",A7)</f>
        <v>Key-MAT-7</v>
      </c>
      <c r="Y7" s="19" t="s">
        <v>2297</v>
      </c>
      <c r="Z7" s="47" t="s">
        <v>9</v>
      </c>
      <c r="AA7" s="19" t="s">
        <v>2298</v>
      </c>
      <c r="AB7" s="47" t="s">
        <v>9</v>
      </c>
      <c r="AC7" s="19" t="s">
        <v>2045</v>
      </c>
      <c r="AD7" s="19" t="s">
        <v>9</v>
      </c>
    </row>
    <row r="8" spans="1:30" s="109" customFormat="1" ht="6.75" customHeight="1" x14ac:dyDescent="0.25">
      <c r="A8" s="38">
        <v>8</v>
      </c>
      <c r="B8" s="1" t="s">
        <v>725</v>
      </c>
      <c r="C8" s="1" t="s">
        <v>803</v>
      </c>
      <c r="D8" s="1" t="s">
        <v>2112</v>
      </c>
      <c r="E8" s="108" t="s">
        <v>2291</v>
      </c>
      <c r="F8" s="49" t="s">
        <v>2299</v>
      </c>
      <c r="G8" s="39" t="s">
        <v>9</v>
      </c>
      <c r="H8" s="39" t="s">
        <v>9</v>
      </c>
      <c r="I8" s="39" t="s">
        <v>9</v>
      </c>
      <c r="J8" s="39" t="s">
        <v>9</v>
      </c>
      <c r="K8" s="39" t="s">
        <v>9</v>
      </c>
      <c r="L8" s="23" t="str">
        <f t="shared" si="4"/>
        <v>De Materialidade</v>
      </c>
      <c r="M8" s="23" t="str">
        <f t="shared" si="4"/>
        <v>Materiais Construtivos</v>
      </c>
      <c r="N8" s="23" t="str">
        <f t="shared" si="4"/>
        <v>Aditivos</v>
      </c>
      <c r="O8" s="23" t="str">
        <f t="shared" si="4"/>
        <v>Pigmento</v>
      </c>
      <c r="P8" s="19" t="s">
        <v>2300</v>
      </c>
      <c r="Q8" s="41" t="s">
        <v>2301</v>
      </c>
      <c r="R8" s="19" t="s">
        <v>2302</v>
      </c>
      <c r="S8" s="19" t="s">
        <v>9</v>
      </c>
      <c r="T8" s="19" t="str">
        <f t="shared" si="1"/>
        <v>De Materialidade</v>
      </c>
      <c r="U8" s="19" t="str">
        <f t="shared" si="1"/>
        <v>Materiais Construtivos</v>
      </c>
      <c r="V8" s="19" t="str">
        <f t="shared" si="1"/>
        <v>Aditivos</v>
      </c>
      <c r="W8" s="19" t="s">
        <v>2296</v>
      </c>
      <c r="X8" s="40" t="str">
        <f t="shared" si="5"/>
        <v>Key-MAT-8</v>
      </c>
      <c r="Y8" s="19" t="s">
        <v>2297</v>
      </c>
      <c r="Z8" s="47" t="s">
        <v>9</v>
      </c>
      <c r="AA8" s="19" t="s">
        <v>2298</v>
      </c>
      <c r="AB8" s="47" t="s">
        <v>9</v>
      </c>
      <c r="AC8" s="19" t="s">
        <v>2045</v>
      </c>
      <c r="AD8" s="19" t="s">
        <v>9</v>
      </c>
    </row>
    <row r="9" spans="1:30" s="51" customFormat="1" ht="6.75" customHeight="1" x14ac:dyDescent="0.25">
      <c r="A9" s="38">
        <v>9</v>
      </c>
      <c r="B9" s="1" t="s">
        <v>725</v>
      </c>
      <c r="C9" s="1" t="s">
        <v>803</v>
      </c>
      <c r="D9" s="1" t="s">
        <v>2112</v>
      </c>
      <c r="E9" s="1" t="s">
        <v>2270</v>
      </c>
      <c r="F9" s="52" t="s">
        <v>831</v>
      </c>
      <c r="G9" s="7" t="s">
        <v>9</v>
      </c>
      <c r="H9" s="7" t="s">
        <v>9</v>
      </c>
      <c r="I9" s="7" t="s">
        <v>9</v>
      </c>
      <c r="J9" s="7" t="s">
        <v>9</v>
      </c>
      <c r="K9" s="7" t="s">
        <v>9</v>
      </c>
      <c r="L9" s="23" t="str">
        <f t="shared" si="2"/>
        <v>De.Materialidade</v>
      </c>
      <c r="M9" s="23" t="str">
        <f t="shared" si="2"/>
        <v>Materiais.Construtivos</v>
      </c>
      <c r="N9" s="23" t="str">
        <f t="shared" si="0"/>
        <v>Argamassas</v>
      </c>
      <c r="O9" s="23" t="str">
        <f t="shared" si="0"/>
        <v>Argamassa Baritada</v>
      </c>
      <c r="P9" s="46" t="s">
        <v>835</v>
      </c>
      <c r="Q9" s="41" t="s">
        <v>929</v>
      </c>
      <c r="R9" s="41" t="s">
        <v>884</v>
      </c>
      <c r="S9" s="54" t="s">
        <v>9</v>
      </c>
      <c r="T9" s="46" t="str">
        <f t="shared" si="1"/>
        <v>De Materialidade</v>
      </c>
      <c r="U9" s="46" t="str">
        <f t="shared" si="1"/>
        <v>Materiais Construtivos</v>
      </c>
      <c r="V9" s="46" t="str">
        <f t="shared" si="1"/>
        <v>Argamassas</v>
      </c>
      <c r="W9" s="19" t="s">
        <v>459</v>
      </c>
      <c r="X9" s="40" t="str">
        <f t="shared" si="3"/>
        <v>Key-TUB-9</v>
      </c>
      <c r="Y9" s="19" t="s">
        <v>975</v>
      </c>
      <c r="Z9" s="46" t="s">
        <v>9</v>
      </c>
      <c r="AA9" s="46" t="s">
        <v>2046</v>
      </c>
      <c r="AB9" s="46" t="s">
        <v>9</v>
      </c>
      <c r="AC9" s="46" t="s">
        <v>2045</v>
      </c>
      <c r="AD9" s="46" t="s">
        <v>9</v>
      </c>
    </row>
    <row r="10" spans="1:30" s="51" customFormat="1" ht="6.75" customHeight="1" x14ac:dyDescent="0.25">
      <c r="A10" s="38">
        <v>10</v>
      </c>
      <c r="B10" s="1" t="s">
        <v>725</v>
      </c>
      <c r="C10" s="1" t="s">
        <v>803</v>
      </c>
      <c r="D10" s="1" t="s">
        <v>2112</v>
      </c>
      <c r="E10" s="1" t="s">
        <v>2270</v>
      </c>
      <c r="F10" s="22" t="s">
        <v>829</v>
      </c>
      <c r="G10" s="7" t="s">
        <v>9</v>
      </c>
      <c r="H10" s="7" t="s">
        <v>9</v>
      </c>
      <c r="I10" s="7" t="s">
        <v>9</v>
      </c>
      <c r="J10" s="7" t="s">
        <v>9</v>
      </c>
      <c r="K10" s="7" t="s">
        <v>9</v>
      </c>
      <c r="L10" s="23" t="str">
        <f t="shared" si="2"/>
        <v>De.Materialidade</v>
      </c>
      <c r="M10" s="23" t="str">
        <f t="shared" si="2"/>
        <v>Materiais.Construtivos</v>
      </c>
      <c r="N10" s="23" t="str">
        <f t="shared" si="0"/>
        <v>Argamassas</v>
      </c>
      <c r="O10" s="23" t="str">
        <f t="shared" si="0"/>
        <v>Argamassa Colante</v>
      </c>
      <c r="P10" s="37" t="s">
        <v>833</v>
      </c>
      <c r="Q10" s="41" t="s">
        <v>930</v>
      </c>
      <c r="R10" s="41" t="s">
        <v>885</v>
      </c>
      <c r="S10" s="54" t="s">
        <v>9</v>
      </c>
      <c r="T10" s="46" t="str">
        <f t="shared" si="1"/>
        <v>De Materialidade</v>
      </c>
      <c r="U10" s="46" t="str">
        <f t="shared" si="1"/>
        <v>Materiais Construtivos</v>
      </c>
      <c r="V10" s="46" t="str">
        <f t="shared" si="1"/>
        <v>Argamassas</v>
      </c>
      <c r="W10" s="19" t="s">
        <v>459</v>
      </c>
      <c r="X10" s="40" t="str">
        <f t="shared" si="3"/>
        <v>Key-TUB-10</v>
      </c>
      <c r="Y10" s="19" t="s">
        <v>975</v>
      </c>
      <c r="Z10" s="46" t="s">
        <v>9</v>
      </c>
      <c r="AA10" s="46" t="s">
        <v>2047</v>
      </c>
      <c r="AB10" s="46" t="s">
        <v>9</v>
      </c>
      <c r="AC10" s="46" t="s">
        <v>2045</v>
      </c>
      <c r="AD10" s="46" t="s">
        <v>9</v>
      </c>
    </row>
    <row r="11" spans="1:30" s="51" customFormat="1" ht="6.75" customHeight="1" x14ac:dyDescent="0.25">
      <c r="A11" s="38">
        <v>11</v>
      </c>
      <c r="B11" s="1" t="s">
        <v>725</v>
      </c>
      <c r="C11" s="1" t="s">
        <v>803</v>
      </c>
      <c r="D11" s="1" t="s">
        <v>2112</v>
      </c>
      <c r="E11" s="1" t="s">
        <v>2270</v>
      </c>
      <c r="F11" s="52" t="s">
        <v>830</v>
      </c>
      <c r="G11" s="7" t="s">
        <v>9</v>
      </c>
      <c r="H11" s="7" t="s">
        <v>9</v>
      </c>
      <c r="I11" s="7" t="s">
        <v>9</v>
      </c>
      <c r="J11" s="7" t="s">
        <v>9</v>
      </c>
      <c r="K11" s="7" t="s">
        <v>9</v>
      </c>
      <c r="L11" s="23" t="str">
        <f t="shared" si="2"/>
        <v>De.Materialidade</v>
      </c>
      <c r="M11" s="23" t="str">
        <f t="shared" si="2"/>
        <v>Materiais.Construtivos</v>
      </c>
      <c r="N11" s="23" t="str">
        <f t="shared" si="0"/>
        <v>Argamassas</v>
      </c>
      <c r="O11" s="23" t="str">
        <f t="shared" si="0"/>
        <v>Argamassa Isolante</v>
      </c>
      <c r="P11" s="46" t="s">
        <v>834</v>
      </c>
      <c r="Q11" s="41" t="s">
        <v>931</v>
      </c>
      <c r="R11" s="41" t="s">
        <v>886</v>
      </c>
      <c r="S11" s="54" t="s">
        <v>9</v>
      </c>
      <c r="T11" s="46" t="str">
        <f t="shared" si="1"/>
        <v>De Materialidade</v>
      </c>
      <c r="U11" s="46" t="str">
        <f t="shared" si="1"/>
        <v>Materiais Construtivos</v>
      </c>
      <c r="V11" s="46" t="str">
        <f t="shared" si="1"/>
        <v>Argamassas</v>
      </c>
      <c r="W11" s="19" t="s">
        <v>459</v>
      </c>
      <c r="X11" s="40" t="str">
        <f t="shared" si="3"/>
        <v>Key-TUB-11</v>
      </c>
      <c r="Y11" s="19" t="s">
        <v>975</v>
      </c>
      <c r="Z11" s="46" t="s">
        <v>9</v>
      </c>
      <c r="AA11" s="46" t="s">
        <v>2046</v>
      </c>
      <c r="AB11" s="46" t="s">
        <v>9</v>
      </c>
      <c r="AC11" s="46" t="s">
        <v>2045</v>
      </c>
      <c r="AD11" s="46" t="s">
        <v>9</v>
      </c>
    </row>
    <row r="12" spans="1:30" s="51" customFormat="1" ht="6.75" customHeight="1" x14ac:dyDescent="0.25">
      <c r="A12" s="38">
        <v>12</v>
      </c>
      <c r="B12" s="1" t="s">
        <v>725</v>
      </c>
      <c r="C12" s="1" t="s">
        <v>803</v>
      </c>
      <c r="D12" s="1" t="s">
        <v>2112</v>
      </c>
      <c r="E12" s="1" t="s">
        <v>2270</v>
      </c>
      <c r="F12" s="1" t="s">
        <v>828</v>
      </c>
      <c r="G12" s="7" t="s">
        <v>9</v>
      </c>
      <c r="H12" s="7" t="s">
        <v>9</v>
      </c>
      <c r="I12" s="7" t="s">
        <v>9</v>
      </c>
      <c r="J12" s="7" t="s">
        <v>9</v>
      </c>
      <c r="K12" s="7" t="s">
        <v>9</v>
      </c>
      <c r="L12" s="23" t="str">
        <f t="shared" si="2"/>
        <v>De.Materialidade</v>
      </c>
      <c r="M12" s="23" t="str">
        <f t="shared" si="2"/>
        <v>Materiais.Construtivos</v>
      </c>
      <c r="N12" s="23" t="str">
        <f t="shared" si="0"/>
        <v>Argamassas</v>
      </c>
      <c r="O12" s="23" t="str">
        <f t="shared" si="0"/>
        <v>Argamassa Lastro</v>
      </c>
      <c r="P12" s="19" t="s">
        <v>832</v>
      </c>
      <c r="Q12" s="41" t="s">
        <v>928</v>
      </c>
      <c r="R12" s="41" t="s">
        <v>883</v>
      </c>
      <c r="S12" s="54" t="s">
        <v>9</v>
      </c>
      <c r="T12" s="46" t="str">
        <f t="shared" si="1"/>
        <v>De Materialidade</v>
      </c>
      <c r="U12" s="46" t="str">
        <f t="shared" si="1"/>
        <v>Materiais Construtivos</v>
      </c>
      <c r="V12" s="46" t="str">
        <f t="shared" si="1"/>
        <v>Argamassas</v>
      </c>
      <c r="W12" s="19" t="s">
        <v>459</v>
      </c>
      <c r="X12" s="40" t="str">
        <f t="shared" si="3"/>
        <v>Key-TUB-12</v>
      </c>
      <c r="Y12" s="19" t="s">
        <v>975</v>
      </c>
      <c r="Z12" s="46" t="s">
        <v>9</v>
      </c>
      <c r="AA12" s="46" t="s">
        <v>2047</v>
      </c>
      <c r="AB12" s="46" t="s">
        <v>9</v>
      </c>
      <c r="AC12" s="46" t="s">
        <v>2045</v>
      </c>
      <c r="AD12" s="46" t="s">
        <v>9</v>
      </c>
    </row>
    <row r="13" spans="1:30" s="51" customFormat="1" ht="6.75" customHeight="1" x14ac:dyDescent="0.25">
      <c r="A13" s="38">
        <v>13</v>
      </c>
      <c r="B13" s="1" t="s">
        <v>725</v>
      </c>
      <c r="C13" s="1" t="s">
        <v>803</v>
      </c>
      <c r="D13" s="1" t="s">
        <v>2112</v>
      </c>
      <c r="E13" s="1" t="s">
        <v>2270</v>
      </c>
      <c r="F13" s="52" t="s">
        <v>2107</v>
      </c>
      <c r="G13" s="7" t="s">
        <v>9</v>
      </c>
      <c r="H13" s="7" t="s">
        <v>9</v>
      </c>
      <c r="I13" s="7" t="s">
        <v>9</v>
      </c>
      <c r="J13" s="7" t="s">
        <v>9</v>
      </c>
      <c r="K13" s="7" t="s">
        <v>9</v>
      </c>
      <c r="L13" s="23" t="str">
        <f t="shared" si="2"/>
        <v>De.Materialidade</v>
      </c>
      <c r="M13" s="23" t="str">
        <f t="shared" si="2"/>
        <v>Materiais.Construtivos</v>
      </c>
      <c r="N13" s="23" t="str">
        <f t="shared" si="0"/>
        <v>Argamassas</v>
      </c>
      <c r="O13" s="23" t="str">
        <f t="shared" si="0"/>
        <v>Argamassa Reguladora</v>
      </c>
      <c r="P13" s="46" t="s">
        <v>876</v>
      </c>
      <c r="Q13" s="41" t="s">
        <v>932</v>
      </c>
      <c r="R13" s="41" t="s">
        <v>887</v>
      </c>
      <c r="S13" s="54" t="s">
        <v>9</v>
      </c>
      <c r="T13" s="46" t="str">
        <f t="shared" si="1"/>
        <v>De Materialidade</v>
      </c>
      <c r="U13" s="46" t="str">
        <f t="shared" si="1"/>
        <v>Materiais Construtivos</v>
      </c>
      <c r="V13" s="46" t="str">
        <f t="shared" si="1"/>
        <v>Argamassas</v>
      </c>
      <c r="W13" s="19" t="s">
        <v>459</v>
      </c>
      <c r="X13" s="40" t="str">
        <f t="shared" si="3"/>
        <v>Key-TUB-13</v>
      </c>
      <c r="Y13" s="19" t="s">
        <v>975</v>
      </c>
      <c r="Z13" s="46" t="s">
        <v>9</v>
      </c>
      <c r="AA13" s="46" t="s">
        <v>2046</v>
      </c>
      <c r="AB13" s="46" t="s">
        <v>9</v>
      </c>
      <c r="AC13" s="46" t="s">
        <v>2045</v>
      </c>
      <c r="AD13" s="46" t="s">
        <v>9</v>
      </c>
    </row>
    <row r="14" spans="1:30" s="53" customFormat="1" ht="6.75" customHeight="1" x14ac:dyDescent="0.25">
      <c r="A14" s="38">
        <v>14</v>
      </c>
      <c r="B14" s="1" t="s">
        <v>725</v>
      </c>
      <c r="C14" s="1" t="s">
        <v>803</v>
      </c>
      <c r="D14" s="1" t="s">
        <v>2112</v>
      </c>
      <c r="E14" s="1" t="s">
        <v>2271</v>
      </c>
      <c r="F14" s="97" t="s">
        <v>2163</v>
      </c>
      <c r="G14" s="39" t="s">
        <v>9</v>
      </c>
      <c r="H14" s="39" t="s">
        <v>9</v>
      </c>
      <c r="I14" s="39" t="s">
        <v>9</v>
      </c>
      <c r="J14" s="39" t="s">
        <v>9</v>
      </c>
      <c r="K14" s="39" t="s">
        <v>9</v>
      </c>
      <c r="L14" s="23" t="str">
        <f t="shared" si="2"/>
        <v>De.Materialidade</v>
      </c>
      <c r="M14" s="23" t="str">
        <f t="shared" si="2"/>
        <v>Materiais.Construtivos</v>
      </c>
      <c r="N14" s="23" t="str">
        <f t="shared" si="0"/>
        <v>Concretos Reguladores</v>
      </c>
      <c r="O14" s="98" t="str">
        <f t="shared" si="0"/>
        <v>Concreto C10</v>
      </c>
      <c r="P14" s="61" t="s">
        <v>2164</v>
      </c>
      <c r="Q14" s="46" t="s">
        <v>2165</v>
      </c>
      <c r="R14" s="46" t="s">
        <v>2166</v>
      </c>
      <c r="S14" s="54" t="s">
        <v>9</v>
      </c>
      <c r="T14" s="46" t="str">
        <f t="shared" si="1"/>
        <v>De Materialidade</v>
      </c>
      <c r="U14" s="46" t="str">
        <f t="shared" si="1"/>
        <v>Materiais Construtivos</v>
      </c>
      <c r="V14" s="46" t="str">
        <f t="shared" si="1"/>
        <v>Concretos Reguladores</v>
      </c>
      <c r="W14" s="19" t="s">
        <v>459</v>
      </c>
      <c r="X14" s="40" t="str">
        <f t="shared" si="3"/>
        <v>Key-TUB-14</v>
      </c>
      <c r="Y14" s="19" t="s">
        <v>975</v>
      </c>
      <c r="Z14" s="46" t="s">
        <v>9</v>
      </c>
      <c r="AA14" s="46" t="s">
        <v>2047</v>
      </c>
      <c r="AB14" s="46" t="s">
        <v>9</v>
      </c>
      <c r="AC14" s="46" t="s">
        <v>2045</v>
      </c>
      <c r="AD14" s="46" t="s">
        <v>9</v>
      </c>
    </row>
    <row r="15" spans="1:30" s="53" customFormat="1" ht="6.75" customHeight="1" x14ac:dyDescent="0.25">
      <c r="A15" s="38">
        <v>15</v>
      </c>
      <c r="B15" s="1" t="s">
        <v>725</v>
      </c>
      <c r="C15" s="1" t="s">
        <v>803</v>
      </c>
      <c r="D15" s="1" t="s">
        <v>2112</v>
      </c>
      <c r="E15" s="1" t="s">
        <v>2271</v>
      </c>
      <c r="F15" s="97" t="s">
        <v>2167</v>
      </c>
      <c r="G15" s="39" t="s">
        <v>9</v>
      </c>
      <c r="H15" s="39" t="s">
        <v>9</v>
      </c>
      <c r="I15" s="39" t="s">
        <v>9</v>
      </c>
      <c r="J15" s="39" t="s">
        <v>9</v>
      </c>
      <c r="K15" s="39" t="s">
        <v>9</v>
      </c>
      <c r="L15" s="23" t="str">
        <f t="shared" si="2"/>
        <v>De.Materialidade</v>
      </c>
      <c r="M15" s="23" t="str">
        <f t="shared" si="2"/>
        <v>Materiais.Construtivos</v>
      </c>
      <c r="N15" s="23" t="str">
        <f t="shared" si="0"/>
        <v>Concretos Reguladores</v>
      </c>
      <c r="O15" s="98" t="str">
        <f t="shared" si="0"/>
        <v>Concreto C15</v>
      </c>
      <c r="P15" s="61" t="s">
        <v>2168</v>
      </c>
      <c r="Q15" s="46" t="s">
        <v>2169</v>
      </c>
      <c r="R15" s="46" t="s">
        <v>2170</v>
      </c>
      <c r="S15" s="54" t="s">
        <v>9</v>
      </c>
      <c r="T15" s="46" t="str">
        <f t="shared" si="1"/>
        <v>De Materialidade</v>
      </c>
      <c r="U15" s="46" t="str">
        <f t="shared" si="1"/>
        <v>Materiais Construtivos</v>
      </c>
      <c r="V15" s="46" t="str">
        <f t="shared" si="1"/>
        <v>Concretos Reguladores</v>
      </c>
      <c r="W15" s="19" t="s">
        <v>459</v>
      </c>
      <c r="X15" s="40" t="str">
        <f t="shared" si="3"/>
        <v>Key-TUB-15</v>
      </c>
      <c r="Y15" s="19" t="s">
        <v>975</v>
      </c>
      <c r="Z15" s="46" t="s">
        <v>9</v>
      </c>
      <c r="AA15" s="46" t="s">
        <v>2047</v>
      </c>
      <c r="AB15" s="46" t="s">
        <v>9</v>
      </c>
      <c r="AC15" s="46" t="s">
        <v>2045</v>
      </c>
      <c r="AD15" s="46" t="s">
        <v>9</v>
      </c>
    </row>
    <row r="16" spans="1:30" s="53" customFormat="1" ht="6.75" customHeight="1" x14ac:dyDescent="0.25">
      <c r="A16" s="38">
        <v>16</v>
      </c>
      <c r="B16" s="1" t="s">
        <v>725</v>
      </c>
      <c r="C16" s="1" t="s">
        <v>803</v>
      </c>
      <c r="D16" s="1" t="s">
        <v>2112</v>
      </c>
      <c r="E16" s="1" t="s">
        <v>2272</v>
      </c>
      <c r="F16" s="97" t="s">
        <v>2171</v>
      </c>
      <c r="G16" s="39" t="s">
        <v>9</v>
      </c>
      <c r="H16" s="39" t="s">
        <v>9</v>
      </c>
      <c r="I16" s="39" t="s">
        <v>9</v>
      </c>
      <c r="J16" s="39" t="s">
        <v>9</v>
      </c>
      <c r="K16" s="39" t="s">
        <v>9</v>
      </c>
      <c r="L16" s="23" t="str">
        <f t="shared" si="2"/>
        <v>De.Materialidade</v>
      </c>
      <c r="M16" s="23" t="str">
        <f t="shared" si="2"/>
        <v>Materiais.Construtivos</v>
      </c>
      <c r="N16" s="23" t="str">
        <f t="shared" si="0"/>
        <v>Concretos Estruturais</v>
      </c>
      <c r="O16" s="98" t="str">
        <f t="shared" si="0"/>
        <v>Concreto C20</v>
      </c>
      <c r="P16" s="61" t="s">
        <v>2172</v>
      </c>
      <c r="Q16" s="46" t="s">
        <v>2173</v>
      </c>
      <c r="R16" s="46" t="s">
        <v>2174</v>
      </c>
      <c r="S16" s="54" t="s">
        <v>9</v>
      </c>
      <c r="T16" s="46" t="str">
        <f t="shared" si="1"/>
        <v>De Materialidade</v>
      </c>
      <c r="U16" s="46" t="str">
        <f t="shared" si="1"/>
        <v>Materiais Construtivos</v>
      </c>
      <c r="V16" s="46" t="str">
        <f t="shared" si="1"/>
        <v>Concretos Estruturais</v>
      </c>
      <c r="W16" s="19" t="s">
        <v>459</v>
      </c>
      <c r="X16" s="40" t="str">
        <f t="shared" si="3"/>
        <v>Key-TUB-16</v>
      </c>
      <c r="Y16" s="19" t="s">
        <v>973</v>
      </c>
      <c r="Z16" s="47" t="s">
        <v>9</v>
      </c>
      <c r="AA16" s="19" t="s">
        <v>2175</v>
      </c>
      <c r="AB16" s="46" t="s">
        <v>9</v>
      </c>
      <c r="AC16" s="46" t="s">
        <v>2045</v>
      </c>
      <c r="AD16" s="46" t="s">
        <v>9</v>
      </c>
    </row>
    <row r="17" spans="1:30" s="53" customFormat="1" ht="6.75" customHeight="1" x14ac:dyDescent="0.25">
      <c r="A17" s="38">
        <v>17</v>
      </c>
      <c r="B17" s="1" t="s">
        <v>725</v>
      </c>
      <c r="C17" s="1" t="s">
        <v>803</v>
      </c>
      <c r="D17" s="1" t="s">
        <v>2112</v>
      </c>
      <c r="E17" s="1" t="s">
        <v>2272</v>
      </c>
      <c r="F17" s="97" t="s">
        <v>2176</v>
      </c>
      <c r="G17" s="39" t="s">
        <v>9</v>
      </c>
      <c r="H17" s="39" t="s">
        <v>9</v>
      </c>
      <c r="I17" s="39" t="s">
        <v>9</v>
      </c>
      <c r="J17" s="39" t="s">
        <v>9</v>
      </c>
      <c r="K17" s="39" t="s">
        <v>9</v>
      </c>
      <c r="L17" s="23" t="str">
        <f t="shared" si="2"/>
        <v>De.Materialidade</v>
      </c>
      <c r="M17" s="23" t="str">
        <f t="shared" si="2"/>
        <v>Materiais.Construtivos</v>
      </c>
      <c r="N17" s="23" t="str">
        <f t="shared" si="0"/>
        <v>Concretos Estruturais</v>
      </c>
      <c r="O17" s="98" t="str">
        <f t="shared" si="0"/>
        <v>Concreto C25</v>
      </c>
      <c r="P17" s="61" t="s">
        <v>2177</v>
      </c>
      <c r="Q17" s="46" t="s">
        <v>2178</v>
      </c>
      <c r="R17" s="46" t="s">
        <v>2179</v>
      </c>
      <c r="S17" s="54" t="s">
        <v>9</v>
      </c>
      <c r="T17" s="46" t="str">
        <f t="shared" si="1"/>
        <v>De Materialidade</v>
      </c>
      <c r="U17" s="46" t="str">
        <f t="shared" si="1"/>
        <v>Materiais Construtivos</v>
      </c>
      <c r="V17" s="46" t="str">
        <f t="shared" si="1"/>
        <v>Concretos Estruturais</v>
      </c>
      <c r="W17" s="19" t="s">
        <v>459</v>
      </c>
      <c r="X17" s="40" t="str">
        <f t="shared" si="3"/>
        <v>Key-TUB-17</v>
      </c>
      <c r="Y17" s="19" t="s">
        <v>973</v>
      </c>
      <c r="Z17" s="47" t="s">
        <v>9</v>
      </c>
      <c r="AA17" s="19" t="s">
        <v>2175</v>
      </c>
      <c r="AB17" s="46" t="s">
        <v>9</v>
      </c>
      <c r="AC17" s="46" t="s">
        <v>2045</v>
      </c>
      <c r="AD17" s="46" t="s">
        <v>9</v>
      </c>
    </row>
    <row r="18" spans="1:30" s="53" customFormat="1" ht="6.75" customHeight="1" x14ac:dyDescent="0.25">
      <c r="A18" s="38">
        <v>18</v>
      </c>
      <c r="B18" s="1" t="s">
        <v>725</v>
      </c>
      <c r="C18" s="1" t="s">
        <v>803</v>
      </c>
      <c r="D18" s="1" t="s">
        <v>2112</v>
      </c>
      <c r="E18" s="1" t="s">
        <v>2272</v>
      </c>
      <c r="F18" s="97" t="s">
        <v>2180</v>
      </c>
      <c r="G18" s="39" t="s">
        <v>9</v>
      </c>
      <c r="H18" s="39" t="s">
        <v>9</v>
      </c>
      <c r="I18" s="39" t="s">
        <v>9</v>
      </c>
      <c r="J18" s="39" t="s">
        <v>9</v>
      </c>
      <c r="K18" s="39" t="s">
        <v>9</v>
      </c>
      <c r="L18" s="23" t="str">
        <f t="shared" si="2"/>
        <v>De.Materialidade</v>
      </c>
      <c r="M18" s="23" t="str">
        <f t="shared" si="2"/>
        <v>Materiais.Construtivos</v>
      </c>
      <c r="N18" s="23" t="str">
        <f t="shared" si="0"/>
        <v>Concretos Estruturais</v>
      </c>
      <c r="O18" s="98" t="str">
        <f t="shared" si="0"/>
        <v>Concreto C30</v>
      </c>
      <c r="P18" s="61" t="s">
        <v>2181</v>
      </c>
      <c r="Q18" s="46" t="s">
        <v>2182</v>
      </c>
      <c r="R18" s="46" t="s">
        <v>2183</v>
      </c>
      <c r="S18" s="54" t="s">
        <v>9</v>
      </c>
      <c r="T18" s="46" t="str">
        <f t="shared" si="1"/>
        <v>De Materialidade</v>
      </c>
      <c r="U18" s="46" t="str">
        <f t="shared" si="1"/>
        <v>Materiais Construtivos</v>
      </c>
      <c r="V18" s="46" t="str">
        <f t="shared" si="1"/>
        <v>Concretos Estruturais</v>
      </c>
      <c r="W18" s="19" t="s">
        <v>459</v>
      </c>
      <c r="X18" s="40" t="str">
        <f t="shared" si="3"/>
        <v>Key-TUB-18</v>
      </c>
      <c r="Y18" s="19" t="s">
        <v>973</v>
      </c>
      <c r="Z18" s="47" t="s">
        <v>9</v>
      </c>
      <c r="AA18" s="19" t="s">
        <v>2175</v>
      </c>
      <c r="AB18" s="46" t="s">
        <v>9</v>
      </c>
      <c r="AC18" s="46" t="s">
        <v>2045</v>
      </c>
      <c r="AD18" s="46" t="s">
        <v>9</v>
      </c>
    </row>
    <row r="19" spans="1:30" s="53" customFormat="1" ht="6.75" customHeight="1" x14ac:dyDescent="0.25">
      <c r="A19" s="38">
        <v>19</v>
      </c>
      <c r="B19" s="1" t="s">
        <v>725</v>
      </c>
      <c r="C19" s="1" t="s">
        <v>803</v>
      </c>
      <c r="D19" s="1" t="s">
        <v>2112</v>
      </c>
      <c r="E19" s="1" t="s">
        <v>2272</v>
      </c>
      <c r="F19" s="97" t="s">
        <v>2184</v>
      </c>
      <c r="G19" s="39" t="s">
        <v>9</v>
      </c>
      <c r="H19" s="39" t="s">
        <v>9</v>
      </c>
      <c r="I19" s="39" t="s">
        <v>9</v>
      </c>
      <c r="J19" s="39" t="s">
        <v>9</v>
      </c>
      <c r="K19" s="39" t="s">
        <v>9</v>
      </c>
      <c r="L19" s="23" t="str">
        <f t="shared" si="2"/>
        <v>De.Materialidade</v>
      </c>
      <c r="M19" s="23" t="str">
        <f t="shared" si="2"/>
        <v>Materiais.Construtivos</v>
      </c>
      <c r="N19" s="23" t="str">
        <f t="shared" si="0"/>
        <v>Concretos Estruturais</v>
      </c>
      <c r="O19" s="98" t="str">
        <f t="shared" si="0"/>
        <v>Concreto C35</v>
      </c>
      <c r="P19" s="61" t="s">
        <v>2185</v>
      </c>
      <c r="Q19" s="46" t="s">
        <v>2186</v>
      </c>
      <c r="R19" s="46" t="s">
        <v>2187</v>
      </c>
      <c r="S19" s="54" t="s">
        <v>9</v>
      </c>
      <c r="T19" s="46" t="str">
        <f t="shared" si="1"/>
        <v>De Materialidade</v>
      </c>
      <c r="U19" s="46" t="str">
        <f t="shared" si="1"/>
        <v>Materiais Construtivos</v>
      </c>
      <c r="V19" s="46" t="str">
        <f t="shared" si="1"/>
        <v>Concretos Estruturais</v>
      </c>
      <c r="W19" s="19" t="s">
        <v>459</v>
      </c>
      <c r="X19" s="40" t="str">
        <f t="shared" si="3"/>
        <v>Key-TUB-19</v>
      </c>
      <c r="Y19" s="19" t="s">
        <v>973</v>
      </c>
      <c r="Z19" s="47" t="s">
        <v>9</v>
      </c>
      <c r="AA19" s="19" t="s">
        <v>2175</v>
      </c>
      <c r="AB19" s="46" t="s">
        <v>9</v>
      </c>
      <c r="AC19" s="46" t="s">
        <v>2045</v>
      </c>
      <c r="AD19" s="46" t="s">
        <v>9</v>
      </c>
    </row>
    <row r="20" spans="1:30" s="53" customFormat="1" ht="6.75" customHeight="1" x14ac:dyDescent="0.25">
      <c r="A20" s="38">
        <v>20</v>
      </c>
      <c r="B20" s="1" t="s">
        <v>725</v>
      </c>
      <c r="C20" s="1" t="s">
        <v>803</v>
      </c>
      <c r="D20" s="1" t="s">
        <v>2112</v>
      </c>
      <c r="E20" s="1" t="s">
        <v>2272</v>
      </c>
      <c r="F20" s="97" t="s">
        <v>2188</v>
      </c>
      <c r="G20" s="39" t="s">
        <v>9</v>
      </c>
      <c r="H20" s="39" t="s">
        <v>9</v>
      </c>
      <c r="I20" s="39" t="s">
        <v>9</v>
      </c>
      <c r="J20" s="39" t="s">
        <v>9</v>
      </c>
      <c r="K20" s="39" t="s">
        <v>9</v>
      </c>
      <c r="L20" s="23" t="str">
        <f t="shared" si="2"/>
        <v>De.Materialidade</v>
      </c>
      <c r="M20" s="23" t="str">
        <f t="shared" si="2"/>
        <v>Materiais.Construtivos</v>
      </c>
      <c r="N20" s="23" t="str">
        <f t="shared" si="0"/>
        <v>Concretos Estruturais</v>
      </c>
      <c r="O20" s="98" t="str">
        <f t="shared" si="0"/>
        <v>Concreto C40</v>
      </c>
      <c r="P20" s="61" t="s">
        <v>2189</v>
      </c>
      <c r="Q20" s="46" t="s">
        <v>2190</v>
      </c>
      <c r="R20" s="46" t="s">
        <v>2191</v>
      </c>
      <c r="S20" s="54" t="s">
        <v>9</v>
      </c>
      <c r="T20" s="46" t="str">
        <f t="shared" si="1"/>
        <v>De Materialidade</v>
      </c>
      <c r="U20" s="46" t="str">
        <f t="shared" si="1"/>
        <v>Materiais Construtivos</v>
      </c>
      <c r="V20" s="46" t="str">
        <f t="shared" si="1"/>
        <v>Concretos Estruturais</v>
      </c>
      <c r="W20" s="19" t="s">
        <v>459</v>
      </c>
      <c r="X20" s="40" t="str">
        <f t="shared" si="3"/>
        <v>Key-TUB-20</v>
      </c>
      <c r="Y20" s="19" t="s">
        <v>973</v>
      </c>
      <c r="Z20" s="47" t="s">
        <v>9</v>
      </c>
      <c r="AA20" s="19" t="s">
        <v>2175</v>
      </c>
      <c r="AB20" s="46" t="s">
        <v>9</v>
      </c>
      <c r="AC20" s="46" t="s">
        <v>2045</v>
      </c>
      <c r="AD20" s="46" t="s">
        <v>9</v>
      </c>
    </row>
    <row r="21" spans="1:30" s="53" customFormat="1" ht="6.75" customHeight="1" x14ac:dyDescent="0.25">
      <c r="A21" s="38">
        <v>21</v>
      </c>
      <c r="B21" s="1" t="s">
        <v>725</v>
      </c>
      <c r="C21" s="1" t="s">
        <v>803</v>
      </c>
      <c r="D21" s="1" t="s">
        <v>2112</v>
      </c>
      <c r="E21" s="1" t="s">
        <v>2272</v>
      </c>
      <c r="F21" s="97" t="s">
        <v>2192</v>
      </c>
      <c r="G21" s="39" t="s">
        <v>9</v>
      </c>
      <c r="H21" s="39" t="s">
        <v>9</v>
      </c>
      <c r="I21" s="39" t="s">
        <v>9</v>
      </c>
      <c r="J21" s="39" t="s">
        <v>9</v>
      </c>
      <c r="K21" s="39" t="s">
        <v>9</v>
      </c>
      <c r="L21" s="23" t="str">
        <f t="shared" si="2"/>
        <v>De.Materialidade</v>
      </c>
      <c r="M21" s="23" t="str">
        <f t="shared" si="2"/>
        <v>Materiais.Construtivos</v>
      </c>
      <c r="N21" s="23" t="str">
        <f t="shared" si="0"/>
        <v>Concretos Estruturais</v>
      </c>
      <c r="O21" s="98" t="str">
        <f t="shared" si="0"/>
        <v>Concreto C45</v>
      </c>
      <c r="P21" s="61" t="s">
        <v>2193</v>
      </c>
      <c r="Q21" s="46" t="s">
        <v>2194</v>
      </c>
      <c r="R21" s="46" t="s">
        <v>2195</v>
      </c>
      <c r="S21" s="54" t="s">
        <v>9</v>
      </c>
      <c r="T21" s="46" t="str">
        <f t="shared" si="1"/>
        <v>De Materialidade</v>
      </c>
      <c r="U21" s="46" t="str">
        <f t="shared" si="1"/>
        <v>Materiais Construtivos</v>
      </c>
      <c r="V21" s="46" t="str">
        <f t="shared" si="1"/>
        <v>Concretos Estruturais</v>
      </c>
      <c r="W21" s="19" t="s">
        <v>459</v>
      </c>
      <c r="X21" s="40" t="str">
        <f t="shared" si="3"/>
        <v>Key-TUB-21</v>
      </c>
      <c r="Y21" s="19" t="s">
        <v>973</v>
      </c>
      <c r="Z21" s="47" t="s">
        <v>9</v>
      </c>
      <c r="AA21" s="19" t="s">
        <v>2175</v>
      </c>
      <c r="AB21" s="46" t="s">
        <v>9</v>
      </c>
      <c r="AC21" s="46" t="s">
        <v>2045</v>
      </c>
      <c r="AD21" s="46" t="s">
        <v>9</v>
      </c>
    </row>
    <row r="22" spans="1:30" s="53" customFormat="1" ht="6.75" customHeight="1" x14ac:dyDescent="0.25">
      <c r="A22" s="38">
        <v>22</v>
      </c>
      <c r="B22" s="1" t="s">
        <v>725</v>
      </c>
      <c r="C22" s="1" t="s">
        <v>803</v>
      </c>
      <c r="D22" s="1" t="s">
        <v>2112</v>
      </c>
      <c r="E22" s="1" t="s">
        <v>2272</v>
      </c>
      <c r="F22" s="97" t="s">
        <v>2196</v>
      </c>
      <c r="G22" s="39" t="s">
        <v>9</v>
      </c>
      <c r="H22" s="39" t="s">
        <v>9</v>
      </c>
      <c r="I22" s="39" t="s">
        <v>9</v>
      </c>
      <c r="J22" s="39" t="s">
        <v>9</v>
      </c>
      <c r="K22" s="39" t="s">
        <v>9</v>
      </c>
      <c r="L22" s="23" t="str">
        <f t="shared" si="2"/>
        <v>De.Materialidade</v>
      </c>
      <c r="M22" s="23" t="str">
        <f t="shared" si="2"/>
        <v>Materiais.Construtivos</v>
      </c>
      <c r="N22" s="23" t="str">
        <f t="shared" si="0"/>
        <v>Concretos Estruturais</v>
      </c>
      <c r="O22" s="98" t="str">
        <f t="shared" si="0"/>
        <v>Concreto C50</v>
      </c>
      <c r="P22" s="61" t="s">
        <v>2197</v>
      </c>
      <c r="Q22" s="46" t="s">
        <v>2198</v>
      </c>
      <c r="R22" s="46" t="s">
        <v>2199</v>
      </c>
      <c r="S22" s="54" t="s">
        <v>9</v>
      </c>
      <c r="T22" s="46" t="str">
        <f t="shared" si="1"/>
        <v>De Materialidade</v>
      </c>
      <c r="U22" s="46" t="str">
        <f t="shared" si="1"/>
        <v>Materiais Construtivos</v>
      </c>
      <c r="V22" s="46" t="str">
        <f t="shared" si="1"/>
        <v>Concretos Estruturais</v>
      </c>
      <c r="W22" s="19" t="s">
        <v>459</v>
      </c>
      <c r="X22" s="40" t="str">
        <f t="shared" si="3"/>
        <v>Key-TUB-22</v>
      </c>
      <c r="Y22" s="19" t="s">
        <v>973</v>
      </c>
      <c r="Z22" s="47" t="s">
        <v>9</v>
      </c>
      <c r="AA22" s="19" t="s">
        <v>2175</v>
      </c>
      <c r="AB22" s="46" t="s">
        <v>9</v>
      </c>
      <c r="AC22" s="46" t="s">
        <v>2045</v>
      </c>
      <c r="AD22" s="46" t="s">
        <v>9</v>
      </c>
    </row>
    <row r="23" spans="1:30" s="53" customFormat="1" ht="6.75" customHeight="1" x14ac:dyDescent="0.25">
      <c r="A23" s="38">
        <v>23</v>
      </c>
      <c r="B23" s="1" t="s">
        <v>725</v>
      </c>
      <c r="C23" s="1" t="s">
        <v>803</v>
      </c>
      <c r="D23" s="1" t="s">
        <v>2112</v>
      </c>
      <c r="E23" s="1" t="s">
        <v>2272</v>
      </c>
      <c r="F23" s="97" t="s">
        <v>2200</v>
      </c>
      <c r="G23" s="39" t="s">
        <v>9</v>
      </c>
      <c r="H23" s="39" t="s">
        <v>9</v>
      </c>
      <c r="I23" s="39" t="s">
        <v>9</v>
      </c>
      <c r="J23" s="39" t="s">
        <v>9</v>
      </c>
      <c r="K23" s="39" t="s">
        <v>9</v>
      </c>
      <c r="L23" s="23" t="str">
        <f t="shared" si="2"/>
        <v>De.Materialidade</v>
      </c>
      <c r="M23" s="23" t="str">
        <f t="shared" si="2"/>
        <v>Materiais.Construtivos</v>
      </c>
      <c r="N23" s="23" t="str">
        <f t="shared" si="0"/>
        <v>Concretos Estruturais</v>
      </c>
      <c r="O23" s="98" t="str">
        <f t="shared" si="0"/>
        <v>Concreto C55</v>
      </c>
      <c r="P23" s="61" t="s">
        <v>2201</v>
      </c>
      <c r="Q23" s="46" t="s">
        <v>2202</v>
      </c>
      <c r="R23" s="46" t="s">
        <v>2203</v>
      </c>
      <c r="S23" s="54" t="s">
        <v>9</v>
      </c>
      <c r="T23" s="46" t="str">
        <f t="shared" si="1"/>
        <v>De Materialidade</v>
      </c>
      <c r="U23" s="46" t="str">
        <f t="shared" si="1"/>
        <v>Materiais Construtivos</v>
      </c>
      <c r="V23" s="46" t="str">
        <f t="shared" si="1"/>
        <v>Concretos Estruturais</v>
      </c>
      <c r="W23" s="19" t="s">
        <v>459</v>
      </c>
      <c r="X23" s="40" t="str">
        <f t="shared" si="3"/>
        <v>Key-TUB-23</v>
      </c>
      <c r="Y23" s="19" t="s">
        <v>973</v>
      </c>
      <c r="Z23" s="47" t="s">
        <v>9</v>
      </c>
      <c r="AA23" s="19" t="s">
        <v>2175</v>
      </c>
      <c r="AB23" s="46" t="s">
        <v>9</v>
      </c>
      <c r="AC23" s="46" t="s">
        <v>2045</v>
      </c>
      <c r="AD23" s="46" t="s">
        <v>9</v>
      </c>
    </row>
    <row r="24" spans="1:30" s="53" customFormat="1" ht="6.75" customHeight="1" x14ac:dyDescent="0.25">
      <c r="A24" s="38">
        <v>24</v>
      </c>
      <c r="B24" s="1" t="s">
        <v>725</v>
      </c>
      <c r="C24" s="1" t="s">
        <v>803</v>
      </c>
      <c r="D24" s="1" t="s">
        <v>2112</v>
      </c>
      <c r="E24" s="1" t="s">
        <v>2272</v>
      </c>
      <c r="F24" s="97" t="s">
        <v>2204</v>
      </c>
      <c r="G24" s="39" t="s">
        <v>9</v>
      </c>
      <c r="H24" s="39" t="s">
        <v>9</v>
      </c>
      <c r="I24" s="39" t="s">
        <v>9</v>
      </c>
      <c r="J24" s="39" t="s">
        <v>9</v>
      </c>
      <c r="K24" s="39" t="s">
        <v>9</v>
      </c>
      <c r="L24" s="23" t="str">
        <f t="shared" si="2"/>
        <v>De.Materialidade</v>
      </c>
      <c r="M24" s="23" t="str">
        <f t="shared" si="2"/>
        <v>Materiais.Construtivos</v>
      </c>
      <c r="N24" s="23" t="str">
        <f t="shared" si="0"/>
        <v>Concretos Estruturais</v>
      </c>
      <c r="O24" s="98" t="str">
        <f t="shared" si="0"/>
        <v>Concreto C100</v>
      </c>
      <c r="P24" s="61" t="s">
        <v>2201</v>
      </c>
      <c r="Q24" s="46" t="s">
        <v>2202</v>
      </c>
      <c r="R24" s="46" t="s">
        <v>2203</v>
      </c>
      <c r="S24" s="54" t="s">
        <v>9</v>
      </c>
      <c r="T24" s="46" t="str">
        <f t="shared" si="1"/>
        <v>De Materialidade</v>
      </c>
      <c r="U24" s="46" t="str">
        <f t="shared" si="1"/>
        <v>Materiais Construtivos</v>
      </c>
      <c r="V24" s="46" t="str">
        <f t="shared" si="1"/>
        <v>Concretos Estruturais</v>
      </c>
      <c r="W24" s="19" t="s">
        <v>459</v>
      </c>
      <c r="X24" s="40" t="str">
        <f t="shared" si="3"/>
        <v>Key-TUB-24</v>
      </c>
      <c r="Y24" s="19" t="s">
        <v>973</v>
      </c>
      <c r="Z24" s="47" t="s">
        <v>9</v>
      </c>
      <c r="AA24" s="19" t="s">
        <v>2175</v>
      </c>
      <c r="AB24" s="46" t="s">
        <v>9</v>
      </c>
      <c r="AC24" s="46" t="s">
        <v>2045</v>
      </c>
      <c r="AD24" s="46" t="s">
        <v>9</v>
      </c>
    </row>
    <row r="25" spans="1:30" s="51" customFormat="1" ht="6.75" customHeight="1" x14ac:dyDescent="0.25">
      <c r="A25" s="38">
        <v>25</v>
      </c>
      <c r="B25" s="1" t="s">
        <v>725</v>
      </c>
      <c r="C25" s="1" t="s">
        <v>803</v>
      </c>
      <c r="D25" s="1" t="s">
        <v>2112</v>
      </c>
      <c r="E25" s="1" t="s">
        <v>2273</v>
      </c>
      <c r="F25" s="52" t="s">
        <v>2136</v>
      </c>
      <c r="G25" s="39" t="s">
        <v>9</v>
      </c>
      <c r="H25" s="39" t="s">
        <v>9</v>
      </c>
      <c r="I25" s="39" t="s">
        <v>9</v>
      </c>
      <c r="J25" s="39" t="s">
        <v>9</v>
      </c>
      <c r="K25" s="39" t="s">
        <v>9</v>
      </c>
      <c r="L25" s="23" t="str">
        <f t="shared" si="2"/>
        <v>De.Materialidade</v>
      </c>
      <c r="M25" s="23" t="str">
        <f t="shared" si="2"/>
        <v>Materiais.Construtivos</v>
      </c>
      <c r="N25" s="23" t="str">
        <f t="shared" si="0"/>
        <v>Concretos Formados</v>
      </c>
      <c r="O25" s="23" t="str">
        <f t="shared" si="0"/>
        <v>Tubo de Concreto Armado</v>
      </c>
      <c r="P25" s="46" t="s">
        <v>2141</v>
      </c>
      <c r="Q25" s="41" t="s">
        <v>2144</v>
      </c>
      <c r="R25" s="41" t="s">
        <v>2145</v>
      </c>
      <c r="S25" s="54" t="s">
        <v>9</v>
      </c>
      <c r="T25" s="46" t="str">
        <f t="shared" si="1"/>
        <v>De Materialidade</v>
      </c>
      <c r="U25" s="46" t="str">
        <f t="shared" si="1"/>
        <v>Materiais Construtivos</v>
      </c>
      <c r="V25" s="46" t="str">
        <f t="shared" si="1"/>
        <v>Concretos Formados</v>
      </c>
      <c r="W25" s="19" t="s">
        <v>459</v>
      </c>
      <c r="X25" s="40" t="str">
        <f t="shared" si="3"/>
        <v>Key-TUB-25</v>
      </c>
      <c r="Y25" s="19" t="s">
        <v>812</v>
      </c>
      <c r="Z25" s="47" t="s">
        <v>9</v>
      </c>
      <c r="AA25" s="19" t="s">
        <v>2154</v>
      </c>
      <c r="AB25" s="47" t="s">
        <v>9</v>
      </c>
      <c r="AC25" s="19" t="s">
        <v>511</v>
      </c>
      <c r="AD25" s="47" t="s">
        <v>9</v>
      </c>
    </row>
    <row r="26" spans="1:30" s="51" customFormat="1" ht="6.75" customHeight="1" x14ac:dyDescent="0.25">
      <c r="A26" s="38">
        <v>26</v>
      </c>
      <c r="B26" s="1" t="s">
        <v>725</v>
      </c>
      <c r="C26" s="1" t="s">
        <v>803</v>
      </c>
      <c r="D26" s="1" t="s">
        <v>2112</v>
      </c>
      <c r="E26" s="1" t="s">
        <v>2273</v>
      </c>
      <c r="F26" s="52" t="s">
        <v>2137</v>
      </c>
      <c r="G26" s="39" t="s">
        <v>9</v>
      </c>
      <c r="H26" s="39" t="s">
        <v>9</v>
      </c>
      <c r="I26" s="39" t="s">
        <v>9</v>
      </c>
      <c r="J26" s="39" t="s">
        <v>9</v>
      </c>
      <c r="K26" s="39" t="s">
        <v>9</v>
      </c>
      <c r="L26" s="23" t="str">
        <f t="shared" si="2"/>
        <v>De.Materialidade</v>
      </c>
      <c r="M26" s="23" t="str">
        <f t="shared" si="2"/>
        <v>Materiais.Construtivos</v>
      </c>
      <c r="N26" s="23" t="str">
        <f t="shared" si="0"/>
        <v>Concretos Formados</v>
      </c>
      <c r="O26" s="23" t="str">
        <f t="shared" si="0"/>
        <v>Tubo de Concreto Simples</v>
      </c>
      <c r="P26" s="46" t="s">
        <v>2138</v>
      </c>
      <c r="Q26" s="41" t="s">
        <v>2146</v>
      </c>
      <c r="R26" s="41" t="s">
        <v>2147</v>
      </c>
      <c r="S26" s="54" t="s">
        <v>9</v>
      </c>
      <c r="T26" s="46" t="str">
        <f t="shared" si="1"/>
        <v>De Materialidade</v>
      </c>
      <c r="U26" s="46" t="str">
        <f t="shared" si="1"/>
        <v>Materiais Construtivos</v>
      </c>
      <c r="V26" s="46" t="str">
        <f t="shared" si="1"/>
        <v>Concretos Formados</v>
      </c>
      <c r="W26" s="19" t="s">
        <v>459</v>
      </c>
      <c r="X26" s="40" t="str">
        <f t="shared" si="3"/>
        <v>Key-TUB-26</v>
      </c>
      <c r="Y26" s="19" t="s">
        <v>812</v>
      </c>
      <c r="Z26" s="47" t="s">
        <v>9</v>
      </c>
      <c r="AA26" s="19" t="s">
        <v>2154</v>
      </c>
      <c r="AB26" s="47" t="s">
        <v>9</v>
      </c>
      <c r="AC26" s="19" t="s">
        <v>511</v>
      </c>
      <c r="AD26" s="47" t="s">
        <v>9</v>
      </c>
    </row>
    <row r="27" spans="1:30" s="51" customFormat="1" ht="6.75" customHeight="1" x14ac:dyDescent="0.25">
      <c r="A27" s="38">
        <v>27</v>
      </c>
      <c r="B27" s="1" t="s">
        <v>725</v>
      </c>
      <c r="C27" s="1" t="s">
        <v>803</v>
      </c>
      <c r="D27" s="1" t="s">
        <v>2112</v>
      </c>
      <c r="E27" s="1" t="s">
        <v>2273</v>
      </c>
      <c r="F27" s="52" t="s">
        <v>2142</v>
      </c>
      <c r="G27" s="39" t="s">
        <v>9</v>
      </c>
      <c r="H27" s="39" t="s">
        <v>9</v>
      </c>
      <c r="I27" s="39" t="s">
        <v>9</v>
      </c>
      <c r="J27" s="39" t="s">
        <v>9</v>
      </c>
      <c r="K27" s="39" t="s">
        <v>9</v>
      </c>
      <c r="L27" s="23" t="str">
        <f t="shared" si="2"/>
        <v>De.Materialidade</v>
      </c>
      <c r="M27" s="23" t="str">
        <f t="shared" si="2"/>
        <v>Materiais.Construtivos</v>
      </c>
      <c r="N27" s="23" t="str">
        <f t="shared" si="0"/>
        <v>Concretos Formados</v>
      </c>
      <c r="O27" s="23" t="str">
        <f t="shared" si="0"/>
        <v>Tubo de Concreto Perfurado</v>
      </c>
      <c r="P27" s="46" t="s">
        <v>2139</v>
      </c>
      <c r="Q27" s="41" t="s">
        <v>2148</v>
      </c>
      <c r="R27" s="41" t="s">
        <v>2149</v>
      </c>
      <c r="S27" s="54" t="s">
        <v>9</v>
      </c>
      <c r="T27" s="46" t="str">
        <f t="shared" si="1"/>
        <v>De Materialidade</v>
      </c>
      <c r="U27" s="46" t="str">
        <f t="shared" si="1"/>
        <v>Materiais Construtivos</v>
      </c>
      <c r="V27" s="46" t="str">
        <f t="shared" si="1"/>
        <v>Concretos Formados</v>
      </c>
      <c r="W27" s="19" t="s">
        <v>459</v>
      </c>
      <c r="X27" s="40" t="str">
        <f t="shared" si="3"/>
        <v>Key-TUB-27</v>
      </c>
      <c r="Y27" s="19" t="s">
        <v>812</v>
      </c>
      <c r="Z27" s="47" t="s">
        <v>9</v>
      </c>
      <c r="AA27" s="19" t="s">
        <v>2154</v>
      </c>
      <c r="AB27" s="47" t="s">
        <v>9</v>
      </c>
      <c r="AC27" s="19" t="s">
        <v>511</v>
      </c>
      <c r="AD27" s="47" t="s">
        <v>9</v>
      </c>
    </row>
    <row r="28" spans="1:30" s="51" customFormat="1" ht="6.75" customHeight="1" x14ac:dyDescent="0.25">
      <c r="A28" s="38">
        <v>28</v>
      </c>
      <c r="B28" s="1" t="s">
        <v>725</v>
      </c>
      <c r="C28" s="1" t="s">
        <v>803</v>
      </c>
      <c r="D28" s="1" t="s">
        <v>2112</v>
      </c>
      <c r="E28" s="1" t="s">
        <v>2273</v>
      </c>
      <c r="F28" s="52" t="s">
        <v>2143</v>
      </c>
      <c r="G28" s="39" t="s">
        <v>9</v>
      </c>
      <c r="H28" s="39" t="s">
        <v>9</v>
      </c>
      <c r="I28" s="39" t="s">
        <v>9</v>
      </c>
      <c r="J28" s="39" t="s">
        <v>9</v>
      </c>
      <c r="K28" s="39" t="s">
        <v>9</v>
      </c>
      <c r="L28" s="23" t="str">
        <f t="shared" si="2"/>
        <v>De.Materialidade</v>
      </c>
      <c r="M28" s="23" t="str">
        <f t="shared" si="2"/>
        <v>Materiais.Construtivos</v>
      </c>
      <c r="N28" s="23" t="str">
        <f t="shared" si="0"/>
        <v>Concretos Formados</v>
      </c>
      <c r="O28" s="23" t="str">
        <f t="shared" si="0"/>
        <v>Tubo de Concreto Cravação</v>
      </c>
      <c r="P28" s="46" t="s">
        <v>2140</v>
      </c>
      <c r="Q28" s="41" t="s">
        <v>2150</v>
      </c>
      <c r="R28" s="41" t="s">
        <v>2151</v>
      </c>
      <c r="S28" s="54" t="s">
        <v>9</v>
      </c>
      <c r="T28" s="46" t="str">
        <f t="shared" si="1"/>
        <v>De Materialidade</v>
      </c>
      <c r="U28" s="46" t="str">
        <f t="shared" si="1"/>
        <v>Materiais Construtivos</v>
      </c>
      <c r="V28" s="46" t="str">
        <f t="shared" si="1"/>
        <v>Concretos Formados</v>
      </c>
      <c r="W28" s="19" t="s">
        <v>459</v>
      </c>
      <c r="X28" s="40" t="str">
        <f t="shared" si="3"/>
        <v>Key-TUB-28</v>
      </c>
      <c r="Y28" s="19" t="s">
        <v>812</v>
      </c>
      <c r="Z28" s="47" t="s">
        <v>9</v>
      </c>
      <c r="AA28" s="19" t="s">
        <v>2154</v>
      </c>
      <c r="AB28" s="47" t="s">
        <v>9</v>
      </c>
      <c r="AC28" s="19" t="s">
        <v>511</v>
      </c>
      <c r="AD28" s="47" t="s">
        <v>9</v>
      </c>
    </row>
    <row r="29" spans="1:30" s="51" customFormat="1" ht="6.75" customHeight="1" x14ac:dyDescent="0.25">
      <c r="A29" s="38">
        <v>29</v>
      </c>
      <c r="B29" s="1" t="s">
        <v>725</v>
      </c>
      <c r="C29" s="1" t="s">
        <v>803</v>
      </c>
      <c r="D29" s="1" t="s">
        <v>2112</v>
      </c>
      <c r="E29" s="1" t="s">
        <v>2275</v>
      </c>
      <c r="F29" s="52" t="s">
        <v>818</v>
      </c>
      <c r="G29" s="39" t="s">
        <v>9</v>
      </c>
      <c r="H29" s="39" t="s">
        <v>9</v>
      </c>
      <c r="I29" s="39" t="s">
        <v>9</v>
      </c>
      <c r="J29" s="39" t="s">
        <v>9</v>
      </c>
      <c r="K29" s="39" t="s">
        <v>9</v>
      </c>
      <c r="L29" s="23" t="str">
        <f t="shared" si="2"/>
        <v>De.Materialidade</v>
      </c>
      <c r="M29" s="23" t="str">
        <f t="shared" si="2"/>
        <v>Materiais.Construtivos</v>
      </c>
      <c r="N29" s="23" t="str">
        <f t="shared" si="0"/>
        <v>Espumados</v>
      </c>
      <c r="O29" s="23" t="str">
        <f t="shared" si="0"/>
        <v>Espuma Expandida</v>
      </c>
      <c r="P29" s="46" t="s">
        <v>854</v>
      </c>
      <c r="Q29" s="41" t="s">
        <v>949</v>
      </c>
      <c r="R29" s="41" t="s">
        <v>906</v>
      </c>
      <c r="S29" s="54" t="s">
        <v>9</v>
      </c>
      <c r="T29" s="46" t="str">
        <f t="shared" si="1"/>
        <v>De Materialidade</v>
      </c>
      <c r="U29" s="46" t="str">
        <f t="shared" si="1"/>
        <v>Materiais Construtivos</v>
      </c>
      <c r="V29" s="46" t="str">
        <f t="shared" si="1"/>
        <v>Espumados</v>
      </c>
      <c r="W29" s="19" t="s">
        <v>459</v>
      </c>
      <c r="X29" s="40" t="str">
        <f t="shared" si="3"/>
        <v>Key-TUB-29</v>
      </c>
      <c r="Y29" s="19" t="s">
        <v>812</v>
      </c>
      <c r="Z29" s="47" t="s">
        <v>9</v>
      </c>
      <c r="AA29" s="19" t="s">
        <v>2152</v>
      </c>
      <c r="AB29" s="47" t="s">
        <v>9</v>
      </c>
      <c r="AC29" s="19" t="s">
        <v>511</v>
      </c>
      <c r="AD29" s="47" t="s">
        <v>9</v>
      </c>
    </row>
    <row r="30" spans="1:30" s="51" customFormat="1" ht="6.75" customHeight="1" x14ac:dyDescent="0.25">
      <c r="A30" s="38">
        <v>30</v>
      </c>
      <c r="B30" s="1" t="s">
        <v>725</v>
      </c>
      <c r="C30" s="1" t="s">
        <v>803</v>
      </c>
      <c r="D30" s="1" t="s">
        <v>2112</v>
      </c>
      <c r="E30" s="1" t="s">
        <v>2275</v>
      </c>
      <c r="F30" s="52" t="s">
        <v>819</v>
      </c>
      <c r="G30" s="39" t="s">
        <v>9</v>
      </c>
      <c r="H30" s="39" t="s">
        <v>9</v>
      </c>
      <c r="I30" s="39" t="s">
        <v>9</v>
      </c>
      <c r="J30" s="39" t="s">
        <v>9</v>
      </c>
      <c r="K30" s="39" t="s">
        <v>9</v>
      </c>
      <c r="L30" s="23" t="str">
        <f t="shared" si="2"/>
        <v>De.Materialidade</v>
      </c>
      <c r="M30" s="23" t="str">
        <f t="shared" si="2"/>
        <v>Materiais.Construtivos</v>
      </c>
      <c r="N30" s="23" t="str">
        <f t="shared" si="0"/>
        <v>Espumados</v>
      </c>
      <c r="O30" s="23" t="str">
        <f t="shared" si="0"/>
        <v>Espuma MPU</v>
      </c>
      <c r="P30" s="46" t="s">
        <v>855</v>
      </c>
      <c r="Q30" s="41" t="s">
        <v>950</v>
      </c>
      <c r="R30" s="41" t="s">
        <v>907</v>
      </c>
      <c r="S30" s="54" t="s">
        <v>9</v>
      </c>
      <c r="T30" s="46" t="str">
        <f t="shared" si="1"/>
        <v>De Materialidade</v>
      </c>
      <c r="U30" s="46" t="str">
        <f t="shared" si="1"/>
        <v>Materiais Construtivos</v>
      </c>
      <c r="V30" s="46" t="str">
        <f t="shared" si="1"/>
        <v>Espumados</v>
      </c>
      <c r="W30" s="19" t="s">
        <v>459</v>
      </c>
      <c r="X30" s="40" t="str">
        <f t="shared" si="3"/>
        <v>Key-TUB-30</v>
      </c>
      <c r="Y30" s="19" t="s">
        <v>812</v>
      </c>
      <c r="Z30" s="47" t="s">
        <v>9</v>
      </c>
      <c r="AA30" s="19" t="s">
        <v>2152</v>
      </c>
      <c r="AB30" s="47" t="s">
        <v>9</v>
      </c>
      <c r="AC30" s="19" t="s">
        <v>511</v>
      </c>
      <c r="AD30" s="47" t="s">
        <v>9</v>
      </c>
    </row>
    <row r="31" spans="1:30" s="51" customFormat="1" ht="6.75" customHeight="1" x14ac:dyDescent="0.25">
      <c r="A31" s="38">
        <v>31</v>
      </c>
      <c r="B31" s="1" t="s">
        <v>725</v>
      </c>
      <c r="C31" s="1" t="s">
        <v>803</v>
      </c>
      <c r="D31" s="1" t="s">
        <v>2112</v>
      </c>
      <c r="E31" s="1" t="s">
        <v>2275</v>
      </c>
      <c r="F31" s="52" t="s">
        <v>820</v>
      </c>
      <c r="G31" s="39" t="s">
        <v>9</v>
      </c>
      <c r="H31" s="39" t="s">
        <v>9</v>
      </c>
      <c r="I31" s="39" t="s">
        <v>9</v>
      </c>
      <c r="J31" s="39" t="s">
        <v>9</v>
      </c>
      <c r="K31" s="39" t="s">
        <v>9</v>
      </c>
      <c r="L31" s="23" t="str">
        <f t="shared" si="2"/>
        <v>De.Materialidade</v>
      </c>
      <c r="M31" s="23" t="str">
        <f t="shared" si="2"/>
        <v>Materiais.Construtivos</v>
      </c>
      <c r="N31" s="23" t="str">
        <f t="shared" si="0"/>
        <v>Espumados</v>
      </c>
      <c r="O31" s="23" t="str">
        <f t="shared" si="0"/>
        <v>Espuma PIR</v>
      </c>
      <c r="P31" s="46" t="s">
        <v>856</v>
      </c>
      <c r="Q31" s="41" t="s">
        <v>951</v>
      </c>
      <c r="R31" s="41" t="s">
        <v>908</v>
      </c>
      <c r="S31" s="54" t="s">
        <v>9</v>
      </c>
      <c r="T31" s="46" t="str">
        <f t="shared" si="1"/>
        <v>De Materialidade</v>
      </c>
      <c r="U31" s="46" t="str">
        <f t="shared" si="1"/>
        <v>Materiais Construtivos</v>
      </c>
      <c r="V31" s="46" t="str">
        <f t="shared" si="1"/>
        <v>Espumados</v>
      </c>
      <c r="W31" s="19" t="s">
        <v>459</v>
      </c>
      <c r="X31" s="40" t="str">
        <f t="shared" si="3"/>
        <v>Key-TUB-31</v>
      </c>
      <c r="Y31" s="19" t="s">
        <v>812</v>
      </c>
      <c r="Z31" s="47" t="s">
        <v>9</v>
      </c>
      <c r="AA31" s="19" t="s">
        <v>2152</v>
      </c>
      <c r="AB31" s="47" t="s">
        <v>9</v>
      </c>
      <c r="AC31" s="19" t="s">
        <v>511</v>
      </c>
      <c r="AD31" s="47" t="s">
        <v>9</v>
      </c>
    </row>
    <row r="32" spans="1:30" s="51" customFormat="1" ht="6.75" customHeight="1" x14ac:dyDescent="0.25">
      <c r="A32" s="38">
        <v>32</v>
      </c>
      <c r="B32" s="1" t="s">
        <v>725</v>
      </c>
      <c r="C32" s="1" t="s">
        <v>803</v>
      </c>
      <c r="D32" s="1" t="s">
        <v>2112</v>
      </c>
      <c r="E32" s="1" t="s">
        <v>2275</v>
      </c>
      <c r="F32" s="52" t="s">
        <v>821</v>
      </c>
      <c r="G32" s="39" t="s">
        <v>9</v>
      </c>
      <c r="H32" s="39" t="s">
        <v>9</v>
      </c>
      <c r="I32" s="39" t="s">
        <v>9</v>
      </c>
      <c r="J32" s="39" t="s">
        <v>9</v>
      </c>
      <c r="K32" s="39" t="s">
        <v>9</v>
      </c>
      <c r="L32" s="23" t="str">
        <f t="shared" si="2"/>
        <v>De.Materialidade</v>
      </c>
      <c r="M32" s="23" t="str">
        <f t="shared" si="2"/>
        <v>Materiais.Construtivos</v>
      </c>
      <c r="N32" s="23" t="str">
        <f t="shared" si="0"/>
        <v>Espumados</v>
      </c>
      <c r="O32" s="23" t="str">
        <f t="shared" si="0"/>
        <v>Espuma PUR</v>
      </c>
      <c r="P32" s="46" t="s">
        <v>857</v>
      </c>
      <c r="Q32" s="41" t="s">
        <v>952</v>
      </c>
      <c r="R32" s="41" t="s">
        <v>909</v>
      </c>
      <c r="S32" s="54" t="s">
        <v>9</v>
      </c>
      <c r="T32" s="46" t="str">
        <f t="shared" si="1"/>
        <v>De Materialidade</v>
      </c>
      <c r="U32" s="46" t="str">
        <f t="shared" si="1"/>
        <v>Materiais Construtivos</v>
      </c>
      <c r="V32" s="46" t="str">
        <f t="shared" si="1"/>
        <v>Espumados</v>
      </c>
      <c r="W32" s="19" t="s">
        <v>459</v>
      </c>
      <c r="X32" s="40" t="str">
        <f t="shared" si="3"/>
        <v>Key-TUB-32</v>
      </c>
      <c r="Y32" s="19" t="s">
        <v>812</v>
      </c>
      <c r="Z32" s="47" t="s">
        <v>9</v>
      </c>
      <c r="AA32" s="19" t="s">
        <v>2152</v>
      </c>
      <c r="AB32" s="47" t="s">
        <v>9</v>
      </c>
      <c r="AC32" s="19" t="s">
        <v>511</v>
      </c>
      <c r="AD32" s="47" t="s">
        <v>9</v>
      </c>
    </row>
    <row r="33" spans="1:30" s="51" customFormat="1" ht="6.75" customHeight="1" x14ac:dyDescent="0.25">
      <c r="A33" s="38">
        <v>33</v>
      </c>
      <c r="B33" s="1" t="s">
        <v>725</v>
      </c>
      <c r="C33" s="1" t="s">
        <v>803</v>
      </c>
      <c r="D33" s="1" t="s">
        <v>2112</v>
      </c>
      <c r="E33" s="1" t="s">
        <v>2276</v>
      </c>
      <c r="F33" s="52" t="s">
        <v>816</v>
      </c>
      <c r="G33" s="39" t="s">
        <v>9</v>
      </c>
      <c r="H33" s="39" t="s">
        <v>9</v>
      </c>
      <c r="I33" s="39" t="s">
        <v>9</v>
      </c>
      <c r="J33" s="39" t="s">
        <v>9</v>
      </c>
      <c r="K33" s="39" t="s">
        <v>9</v>
      </c>
      <c r="L33" s="23" t="str">
        <f t="shared" si="2"/>
        <v>De.Materialidade</v>
      </c>
      <c r="M33" s="23" t="str">
        <f t="shared" si="2"/>
        <v>Materiais.Construtivos</v>
      </c>
      <c r="N33" s="23" t="str">
        <f t="shared" si="0"/>
        <v>Isolantes</v>
      </c>
      <c r="O33" s="23" t="str">
        <f t="shared" si="0"/>
        <v xml:space="preserve">Lã de Rocha </v>
      </c>
      <c r="P33" s="46" t="s">
        <v>858</v>
      </c>
      <c r="Q33" s="41" t="s">
        <v>953</v>
      </c>
      <c r="R33" s="41" t="s">
        <v>910</v>
      </c>
      <c r="S33" s="54" t="s">
        <v>9</v>
      </c>
      <c r="T33" s="46" t="str">
        <f t="shared" si="1"/>
        <v>De Materialidade</v>
      </c>
      <c r="U33" s="46" t="str">
        <f t="shared" si="1"/>
        <v>Materiais Construtivos</v>
      </c>
      <c r="V33" s="46" t="str">
        <f t="shared" si="1"/>
        <v>Isolantes</v>
      </c>
      <c r="W33" s="19" t="s">
        <v>459</v>
      </c>
      <c r="X33" s="40" t="str">
        <f t="shared" si="3"/>
        <v>Key-TUB-33</v>
      </c>
      <c r="Y33" s="19" t="s">
        <v>812</v>
      </c>
      <c r="Z33" s="47" t="s">
        <v>9</v>
      </c>
      <c r="AA33" s="19" t="s">
        <v>2152</v>
      </c>
      <c r="AB33" s="47" t="s">
        <v>9</v>
      </c>
      <c r="AC33" s="19" t="s">
        <v>511</v>
      </c>
      <c r="AD33" s="47" t="s">
        <v>9</v>
      </c>
    </row>
    <row r="34" spans="1:30" s="51" customFormat="1" ht="6.75" customHeight="1" x14ac:dyDescent="0.25">
      <c r="A34" s="38">
        <v>34</v>
      </c>
      <c r="B34" s="1" t="s">
        <v>725</v>
      </c>
      <c r="C34" s="1" t="s">
        <v>803</v>
      </c>
      <c r="D34" s="1" t="s">
        <v>2112</v>
      </c>
      <c r="E34" s="1" t="s">
        <v>2276</v>
      </c>
      <c r="F34" s="52" t="s">
        <v>817</v>
      </c>
      <c r="G34" s="39" t="s">
        <v>9</v>
      </c>
      <c r="H34" s="39" t="s">
        <v>9</v>
      </c>
      <c r="I34" s="39" t="s">
        <v>9</v>
      </c>
      <c r="J34" s="39" t="s">
        <v>9</v>
      </c>
      <c r="K34" s="39" t="s">
        <v>9</v>
      </c>
      <c r="L34" s="23" t="str">
        <f t="shared" si="2"/>
        <v>De.Materialidade</v>
      </c>
      <c r="M34" s="23" t="str">
        <f t="shared" si="2"/>
        <v>Materiais.Construtivos</v>
      </c>
      <c r="N34" s="23" t="str">
        <f t="shared" si="0"/>
        <v>Isolantes</v>
      </c>
      <c r="O34" s="23" t="str">
        <f t="shared" si="0"/>
        <v xml:space="preserve">Lã de Vidro </v>
      </c>
      <c r="P34" s="46" t="s">
        <v>971</v>
      </c>
      <c r="Q34" s="41" t="s">
        <v>998</v>
      </c>
      <c r="R34" s="41" t="s">
        <v>1010</v>
      </c>
      <c r="S34" s="54" t="s">
        <v>9</v>
      </c>
      <c r="T34" s="46" t="str">
        <f t="shared" si="1"/>
        <v>De Materialidade</v>
      </c>
      <c r="U34" s="46" t="str">
        <f t="shared" si="1"/>
        <v>Materiais Construtivos</v>
      </c>
      <c r="V34" s="46" t="str">
        <f t="shared" si="1"/>
        <v>Isolantes</v>
      </c>
      <c r="W34" s="19" t="s">
        <v>459</v>
      </c>
      <c r="X34" s="40" t="str">
        <f t="shared" si="3"/>
        <v>Key-TUB-34</v>
      </c>
      <c r="Y34" s="19" t="s">
        <v>812</v>
      </c>
      <c r="Z34" s="47" t="s">
        <v>9</v>
      </c>
      <c r="AA34" s="19" t="s">
        <v>2152</v>
      </c>
      <c r="AB34" s="47" t="s">
        <v>9</v>
      </c>
      <c r="AC34" s="19" t="s">
        <v>511</v>
      </c>
      <c r="AD34" s="47" t="s">
        <v>9</v>
      </c>
    </row>
    <row r="35" spans="1:30" s="51" customFormat="1" ht="6.75" customHeight="1" x14ac:dyDescent="0.25">
      <c r="A35" s="38">
        <v>35</v>
      </c>
      <c r="B35" s="1" t="s">
        <v>725</v>
      </c>
      <c r="C35" s="1" t="s">
        <v>803</v>
      </c>
      <c r="D35" s="1" t="s">
        <v>2112</v>
      </c>
      <c r="E35" s="1" t="s">
        <v>2276</v>
      </c>
      <c r="F35" s="52" t="s">
        <v>814</v>
      </c>
      <c r="G35" s="39" t="s">
        <v>9</v>
      </c>
      <c r="H35" s="39" t="s">
        <v>9</v>
      </c>
      <c r="I35" s="39" t="s">
        <v>9</v>
      </c>
      <c r="J35" s="39" t="s">
        <v>9</v>
      </c>
      <c r="K35" s="39" t="s">
        <v>9</v>
      </c>
      <c r="L35" s="23" t="str">
        <f t="shared" si="2"/>
        <v>De.Materialidade</v>
      </c>
      <c r="M35" s="23" t="str">
        <f t="shared" si="2"/>
        <v>Materiais.Construtivos</v>
      </c>
      <c r="N35" s="23" t="str">
        <f t="shared" si="0"/>
        <v>Isolantes</v>
      </c>
      <c r="O35" s="23" t="str">
        <f t="shared" si="0"/>
        <v>Borracha Antivibratória</v>
      </c>
      <c r="P35" s="46" t="s">
        <v>859</v>
      </c>
      <c r="Q35" s="41" t="s">
        <v>954</v>
      </c>
      <c r="R35" s="41" t="s">
        <v>911</v>
      </c>
      <c r="S35" s="54" t="s">
        <v>9</v>
      </c>
      <c r="T35" s="46" t="str">
        <f t="shared" si="1"/>
        <v>De Materialidade</v>
      </c>
      <c r="U35" s="46" t="str">
        <f t="shared" si="1"/>
        <v>Materiais Construtivos</v>
      </c>
      <c r="V35" s="46" t="str">
        <f t="shared" si="1"/>
        <v>Isolantes</v>
      </c>
      <c r="W35" s="19" t="s">
        <v>459</v>
      </c>
      <c r="X35" s="40" t="str">
        <f t="shared" si="3"/>
        <v>Key-TUB-35</v>
      </c>
      <c r="Y35" s="19" t="s">
        <v>812</v>
      </c>
      <c r="Z35" s="47" t="s">
        <v>9</v>
      </c>
      <c r="AA35" s="19" t="s">
        <v>2152</v>
      </c>
      <c r="AB35" s="47" t="s">
        <v>9</v>
      </c>
      <c r="AC35" s="19" t="s">
        <v>511</v>
      </c>
      <c r="AD35" s="47" t="s">
        <v>9</v>
      </c>
    </row>
    <row r="36" spans="1:30" s="51" customFormat="1" ht="6.75" customHeight="1" x14ac:dyDescent="0.25">
      <c r="A36" s="38">
        <v>36</v>
      </c>
      <c r="B36" s="1" t="s">
        <v>725</v>
      </c>
      <c r="C36" s="1" t="s">
        <v>803</v>
      </c>
      <c r="D36" s="1" t="s">
        <v>2112</v>
      </c>
      <c r="E36" s="1" t="s">
        <v>2276</v>
      </c>
      <c r="F36" s="52" t="s">
        <v>815</v>
      </c>
      <c r="G36" s="39" t="s">
        <v>9</v>
      </c>
      <c r="H36" s="39" t="s">
        <v>9</v>
      </c>
      <c r="I36" s="39" t="s">
        <v>9</v>
      </c>
      <c r="J36" s="39" t="s">
        <v>9</v>
      </c>
      <c r="K36" s="39" t="s">
        <v>9</v>
      </c>
      <c r="L36" s="23" t="str">
        <f t="shared" si="2"/>
        <v>De.Materialidade</v>
      </c>
      <c r="M36" s="23" t="str">
        <f t="shared" si="2"/>
        <v>Materiais.Construtivos</v>
      </c>
      <c r="N36" s="23" t="str">
        <f t="shared" si="0"/>
        <v>Isolantes</v>
      </c>
      <c r="O36" s="23" t="str">
        <f t="shared" si="0"/>
        <v>Borracha Elastomérica</v>
      </c>
      <c r="P36" s="46" t="s">
        <v>860</v>
      </c>
      <c r="Q36" s="41" t="s">
        <v>955</v>
      </c>
      <c r="R36" s="41" t="s">
        <v>912</v>
      </c>
      <c r="S36" s="54" t="s">
        <v>9</v>
      </c>
      <c r="T36" s="46" t="str">
        <f t="shared" si="1"/>
        <v>De Materialidade</v>
      </c>
      <c r="U36" s="46" t="str">
        <f t="shared" si="1"/>
        <v>Materiais Construtivos</v>
      </c>
      <c r="V36" s="46" t="str">
        <f t="shared" si="1"/>
        <v>Isolantes</v>
      </c>
      <c r="W36" s="19" t="s">
        <v>459</v>
      </c>
      <c r="X36" s="40" t="str">
        <f t="shared" si="3"/>
        <v>Key-TUB-36</v>
      </c>
      <c r="Y36" s="19" t="s">
        <v>812</v>
      </c>
      <c r="Z36" s="47" t="s">
        <v>9</v>
      </c>
      <c r="AA36" s="19" t="s">
        <v>2152</v>
      </c>
      <c r="AB36" s="47" t="s">
        <v>9</v>
      </c>
      <c r="AC36" s="19" t="s">
        <v>511</v>
      </c>
      <c r="AD36" s="47" t="s">
        <v>9</v>
      </c>
    </row>
    <row r="37" spans="1:30" s="51" customFormat="1" ht="6.75" customHeight="1" x14ac:dyDescent="0.25">
      <c r="A37" s="38">
        <v>37</v>
      </c>
      <c r="B37" s="1" t="s">
        <v>725</v>
      </c>
      <c r="C37" s="1" t="s">
        <v>803</v>
      </c>
      <c r="D37" s="1" t="s">
        <v>2112</v>
      </c>
      <c r="E37" s="1" t="s">
        <v>2108</v>
      </c>
      <c r="F37" s="49" t="s">
        <v>810</v>
      </c>
      <c r="G37" s="39" t="s">
        <v>9</v>
      </c>
      <c r="H37" s="39" t="s">
        <v>9</v>
      </c>
      <c r="I37" s="39" t="s">
        <v>9</v>
      </c>
      <c r="J37" s="39" t="s">
        <v>9</v>
      </c>
      <c r="K37" s="39" t="s">
        <v>9</v>
      </c>
      <c r="L37" s="23" t="str">
        <f t="shared" si="2"/>
        <v>De.Materialidade</v>
      </c>
      <c r="M37" s="23" t="str">
        <f t="shared" si="2"/>
        <v>Materiais.Construtivos</v>
      </c>
      <c r="N37" s="23" t="str">
        <f t="shared" si="0"/>
        <v>Liga Estrutural</v>
      </c>
      <c r="O37" s="23" t="str">
        <f t="shared" si="0"/>
        <v>Aço Estrutural</v>
      </c>
      <c r="P37" s="41" t="s">
        <v>847</v>
      </c>
      <c r="Q37" s="41" t="s">
        <v>1004</v>
      </c>
      <c r="R37" s="41" t="s">
        <v>899</v>
      </c>
      <c r="S37" s="54" t="s">
        <v>9</v>
      </c>
      <c r="T37" s="46" t="str">
        <f t="shared" si="1"/>
        <v>De Materialidade</v>
      </c>
      <c r="U37" s="46" t="str">
        <f t="shared" si="1"/>
        <v>Materiais Construtivos</v>
      </c>
      <c r="V37" s="46" t="str">
        <f t="shared" si="1"/>
        <v>Liga Estrutural</v>
      </c>
      <c r="W37" s="19" t="s">
        <v>459</v>
      </c>
      <c r="X37" s="40" t="str">
        <f t="shared" si="3"/>
        <v>Key-TUB-37</v>
      </c>
      <c r="Y37" s="19" t="s">
        <v>973</v>
      </c>
      <c r="Z37" s="47" t="s">
        <v>9</v>
      </c>
      <c r="AA37" s="19" t="s">
        <v>974</v>
      </c>
      <c r="AB37" s="47" t="s">
        <v>9</v>
      </c>
      <c r="AC37" s="19" t="s">
        <v>2045</v>
      </c>
      <c r="AD37" s="19" t="s">
        <v>9</v>
      </c>
    </row>
    <row r="38" spans="1:30" s="51" customFormat="1" ht="6.75" customHeight="1" x14ac:dyDescent="0.25">
      <c r="A38" s="38">
        <v>38</v>
      </c>
      <c r="B38" s="1" t="s">
        <v>725</v>
      </c>
      <c r="C38" s="1" t="s">
        <v>803</v>
      </c>
      <c r="D38" s="1" t="s">
        <v>2112</v>
      </c>
      <c r="E38" s="1" t="s">
        <v>2108</v>
      </c>
      <c r="F38" s="49" t="s">
        <v>811</v>
      </c>
      <c r="G38" s="39" t="s">
        <v>9</v>
      </c>
      <c r="H38" s="39" t="s">
        <v>9</v>
      </c>
      <c r="I38" s="39" t="s">
        <v>9</v>
      </c>
      <c r="J38" s="39" t="s">
        <v>9</v>
      </c>
      <c r="K38" s="39" t="s">
        <v>9</v>
      </c>
      <c r="L38" s="23" t="str">
        <f t="shared" si="2"/>
        <v>De.Materialidade</v>
      </c>
      <c r="M38" s="23" t="str">
        <f t="shared" si="2"/>
        <v>Materiais.Construtivos</v>
      </c>
      <c r="N38" s="23" t="str">
        <f t="shared" si="0"/>
        <v>Liga Estrutural</v>
      </c>
      <c r="O38" s="23" t="str">
        <f t="shared" si="0"/>
        <v>Alumínio Estrutural</v>
      </c>
      <c r="P38" s="41" t="s">
        <v>848</v>
      </c>
      <c r="Q38" s="41" t="s">
        <v>1003</v>
      </c>
      <c r="R38" s="41" t="s">
        <v>900</v>
      </c>
      <c r="S38" s="54" t="s">
        <v>9</v>
      </c>
      <c r="T38" s="46" t="str">
        <f t="shared" si="1"/>
        <v>De Materialidade</v>
      </c>
      <c r="U38" s="46" t="str">
        <f t="shared" si="1"/>
        <v>Materiais Construtivos</v>
      </c>
      <c r="V38" s="46" t="str">
        <f t="shared" si="1"/>
        <v>Liga Estrutural</v>
      </c>
      <c r="W38" s="19" t="s">
        <v>459</v>
      </c>
      <c r="X38" s="40" t="str">
        <f t="shared" si="3"/>
        <v>Key-TUB-38</v>
      </c>
      <c r="Y38" s="19" t="s">
        <v>973</v>
      </c>
      <c r="Z38" s="47" t="s">
        <v>9</v>
      </c>
      <c r="AA38" s="19" t="s">
        <v>974</v>
      </c>
      <c r="AB38" s="47" t="s">
        <v>9</v>
      </c>
      <c r="AC38" s="19" t="s">
        <v>2045</v>
      </c>
      <c r="AD38" s="19" t="s">
        <v>9</v>
      </c>
    </row>
    <row r="39" spans="1:30" s="53" customFormat="1" ht="6.75" customHeight="1" x14ac:dyDescent="0.25">
      <c r="A39" s="38">
        <v>39</v>
      </c>
      <c r="B39" s="1" t="s">
        <v>725</v>
      </c>
      <c r="C39" s="1" t="s">
        <v>803</v>
      </c>
      <c r="D39" s="1" t="s">
        <v>2112</v>
      </c>
      <c r="E39" s="1" t="s">
        <v>2282</v>
      </c>
      <c r="F39" s="22" t="s">
        <v>1015</v>
      </c>
      <c r="G39" s="39" t="s">
        <v>9</v>
      </c>
      <c r="H39" s="39" t="s">
        <v>9</v>
      </c>
      <c r="I39" s="39" t="s">
        <v>9</v>
      </c>
      <c r="J39" s="39" t="s">
        <v>9</v>
      </c>
      <c r="K39" s="39" t="s">
        <v>9</v>
      </c>
      <c r="L39" s="23" t="str">
        <f t="shared" ref="L39:L71" si="6">CONCATENATE("", C39)</f>
        <v>De.Materialidade</v>
      </c>
      <c r="M39" s="23" t="str">
        <f t="shared" ref="M39:M71" si="7">CONCATENATE("", D39)</f>
        <v>Materiais.Construtivos</v>
      </c>
      <c r="N39" s="23" t="str">
        <f t="shared" ref="N39:N71" si="8">(SUBSTITUTE(SUBSTITUTE(CONCATENATE("",E39),"."," ")," De "," de "))</f>
        <v>Caixas Metálicas</v>
      </c>
      <c r="O39" s="23" t="str">
        <f t="shared" ref="O39:O71" si="9">(SUBSTITUTE(SUBSTITUTE(CONCATENATE("",F39),"."," ")," De "," de "))</f>
        <v>Caixa Metálica de Elétrica</v>
      </c>
      <c r="P39" s="41" t="s">
        <v>977</v>
      </c>
      <c r="Q39" s="41" t="s">
        <v>993</v>
      </c>
      <c r="R39" s="41" t="s">
        <v>1005</v>
      </c>
      <c r="S39" s="54" t="s">
        <v>9</v>
      </c>
      <c r="T39" s="46" t="str">
        <f t="shared" ref="T39:T71" si="10">SUBSTITUTE(C39, ".", " ")</f>
        <v>De Materialidade</v>
      </c>
      <c r="U39" s="46" t="str">
        <f t="shared" ref="U39:U71" si="11">SUBSTITUTE(D39, ".", " ")</f>
        <v>Materiais Construtivos</v>
      </c>
      <c r="V39" s="46" t="str">
        <f t="shared" ref="V39:V71" si="12">SUBSTITUTE(E39, ".", " ")</f>
        <v>Caixas Metálicas</v>
      </c>
      <c r="W39" s="19" t="s">
        <v>459</v>
      </c>
      <c r="X39" s="40" t="str">
        <f t="shared" ref="X39:X71" si="13">CONCATENATE("Key-TUB-",A39)</f>
        <v>Key-TUB-39</v>
      </c>
      <c r="Y39" s="19" t="s">
        <v>812</v>
      </c>
      <c r="Z39" s="47" t="s">
        <v>9</v>
      </c>
      <c r="AA39" s="19" t="s">
        <v>2152</v>
      </c>
      <c r="AB39" s="47" t="s">
        <v>9</v>
      </c>
      <c r="AC39" s="19" t="s">
        <v>809</v>
      </c>
      <c r="AD39" s="47" t="s">
        <v>9</v>
      </c>
    </row>
    <row r="40" spans="1:30" s="53" customFormat="1" ht="6.75" customHeight="1" x14ac:dyDescent="0.25">
      <c r="A40" s="38">
        <v>40</v>
      </c>
      <c r="B40" s="1" t="s">
        <v>725</v>
      </c>
      <c r="C40" s="1" t="s">
        <v>803</v>
      </c>
      <c r="D40" s="1" t="s">
        <v>2112</v>
      </c>
      <c r="E40" s="1" t="s">
        <v>2282</v>
      </c>
      <c r="F40" s="22" t="s">
        <v>1016</v>
      </c>
      <c r="G40" s="39" t="s">
        <v>9</v>
      </c>
      <c r="H40" s="39" t="s">
        <v>9</v>
      </c>
      <c r="I40" s="39" t="s">
        <v>9</v>
      </c>
      <c r="J40" s="39" t="s">
        <v>9</v>
      </c>
      <c r="K40" s="39" t="s">
        <v>9</v>
      </c>
      <c r="L40" s="23" t="str">
        <f t="shared" si="6"/>
        <v>De.Materialidade</v>
      </c>
      <c r="M40" s="23" t="str">
        <f t="shared" si="7"/>
        <v>Materiais.Construtivos</v>
      </c>
      <c r="N40" s="23" t="str">
        <f t="shared" si="8"/>
        <v>Caixas Metálicas</v>
      </c>
      <c r="O40" s="23" t="str">
        <f t="shared" si="9"/>
        <v>Caixa Metálica de Telecom</v>
      </c>
      <c r="P40" s="41" t="s">
        <v>980</v>
      </c>
      <c r="Q40" s="41" t="s">
        <v>994</v>
      </c>
      <c r="R40" s="41" t="s">
        <v>1006</v>
      </c>
      <c r="S40" s="54" t="s">
        <v>9</v>
      </c>
      <c r="T40" s="46" t="str">
        <f t="shared" si="10"/>
        <v>De Materialidade</v>
      </c>
      <c r="U40" s="46" t="str">
        <f t="shared" si="11"/>
        <v>Materiais Construtivos</v>
      </c>
      <c r="V40" s="46" t="str">
        <f t="shared" si="12"/>
        <v>Caixas Metálicas</v>
      </c>
      <c r="W40" s="19" t="s">
        <v>459</v>
      </c>
      <c r="X40" s="40" t="str">
        <f t="shared" si="13"/>
        <v>Key-TUB-40</v>
      </c>
      <c r="Y40" s="19" t="s">
        <v>812</v>
      </c>
      <c r="Z40" s="47" t="s">
        <v>9</v>
      </c>
      <c r="AA40" s="19" t="s">
        <v>2152</v>
      </c>
      <c r="AB40" s="47" t="s">
        <v>9</v>
      </c>
      <c r="AC40" s="19" t="s">
        <v>809</v>
      </c>
      <c r="AD40" s="47" t="s">
        <v>9</v>
      </c>
    </row>
    <row r="41" spans="1:30" s="53" customFormat="1" ht="6.75" customHeight="1" x14ac:dyDescent="0.25">
      <c r="A41" s="38">
        <v>41</v>
      </c>
      <c r="B41" s="1" t="s">
        <v>725</v>
      </c>
      <c r="C41" s="1" t="s">
        <v>803</v>
      </c>
      <c r="D41" s="1" t="s">
        <v>2112</v>
      </c>
      <c r="E41" s="1" t="s">
        <v>2286</v>
      </c>
      <c r="F41" s="22" t="s">
        <v>981</v>
      </c>
      <c r="G41" s="39" t="s">
        <v>9</v>
      </c>
      <c r="H41" s="39" t="s">
        <v>9</v>
      </c>
      <c r="I41" s="39" t="s">
        <v>9</v>
      </c>
      <c r="J41" s="39" t="s">
        <v>9</v>
      </c>
      <c r="K41" s="39" t="s">
        <v>9</v>
      </c>
      <c r="L41" s="23" t="str">
        <f t="shared" si="6"/>
        <v>De.Materialidade</v>
      </c>
      <c r="M41" s="23" t="str">
        <f t="shared" si="7"/>
        <v>Materiais.Construtivos</v>
      </c>
      <c r="N41" s="23" t="str">
        <f t="shared" si="8"/>
        <v>Caixas Plásticas</v>
      </c>
      <c r="O41" s="23" t="str">
        <f t="shared" si="9"/>
        <v>Caixa PVC de Elétrica</v>
      </c>
      <c r="P41" s="41" t="s">
        <v>978</v>
      </c>
      <c r="Q41" s="41" t="s">
        <v>995</v>
      </c>
      <c r="R41" s="41" t="s">
        <v>1007</v>
      </c>
      <c r="S41" s="54" t="s">
        <v>9</v>
      </c>
      <c r="T41" s="46" t="str">
        <f t="shared" si="10"/>
        <v>De Materialidade</v>
      </c>
      <c r="U41" s="46" t="str">
        <f t="shared" si="11"/>
        <v>Materiais Construtivos</v>
      </c>
      <c r="V41" s="46" t="str">
        <f t="shared" si="12"/>
        <v>Caixas Plásticas</v>
      </c>
      <c r="W41" s="19" t="s">
        <v>459</v>
      </c>
      <c r="X41" s="40" t="str">
        <f t="shared" si="13"/>
        <v>Key-TUB-41</v>
      </c>
      <c r="Y41" s="19" t="s">
        <v>812</v>
      </c>
      <c r="Z41" s="47" t="s">
        <v>9</v>
      </c>
      <c r="AA41" s="19" t="s">
        <v>2152</v>
      </c>
      <c r="AB41" s="47" t="s">
        <v>9</v>
      </c>
      <c r="AC41" s="19" t="s">
        <v>809</v>
      </c>
      <c r="AD41" s="47" t="s">
        <v>9</v>
      </c>
    </row>
    <row r="42" spans="1:30" s="53" customFormat="1" ht="6.75" customHeight="1" x14ac:dyDescent="0.25">
      <c r="A42" s="38">
        <v>42</v>
      </c>
      <c r="B42" s="1" t="s">
        <v>725</v>
      </c>
      <c r="C42" s="1" t="s">
        <v>803</v>
      </c>
      <c r="D42" s="1" t="s">
        <v>2112</v>
      </c>
      <c r="E42" s="1" t="s">
        <v>2286</v>
      </c>
      <c r="F42" s="22" t="s">
        <v>982</v>
      </c>
      <c r="G42" s="39" t="s">
        <v>9</v>
      </c>
      <c r="H42" s="39" t="s">
        <v>9</v>
      </c>
      <c r="I42" s="39" t="s">
        <v>9</v>
      </c>
      <c r="J42" s="39" t="s">
        <v>9</v>
      </c>
      <c r="K42" s="39" t="s">
        <v>9</v>
      </c>
      <c r="L42" s="23" t="str">
        <f t="shared" si="6"/>
        <v>De.Materialidade</v>
      </c>
      <c r="M42" s="23" t="str">
        <f t="shared" si="7"/>
        <v>Materiais.Construtivos</v>
      </c>
      <c r="N42" s="23" t="str">
        <f t="shared" si="8"/>
        <v>Caixas Plásticas</v>
      </c>
      <c r="O42" s="23" t="str">
        <f t="shared" si="9"/>
        <v>Caixa PVC de Telecom</v>
      </c>
      <c r="P42" s="41" t="s">
        <v>979</v>
      </c>
      <c r="Q42" s="41" t="s">
        <v>996</v>
      </c>
      <c r="R42" s="41" t="s">
        <v>1008</v>
      </c>
      <c r="S42" s="54" t="s">
        <v>9</v>
      </c>
      <c r="T42" s="46" t="str">
        <f t="shared" si="10"/>
        <v>De Materialidade</v>
      </c>
      <c r="U42" s="46" t="str">
        <f t="shared" si="11"/>
        <v>Materiais Construtivos</v>
      </c>
      <c r="V42" s="46" t="str">
        <f t="shared" si="12"/>
        <v>Caixas Plásticas</v>
      </c>
      <c r="W42" s="19" t="s">
        <v>459</v>
      </c>
      <c r="X42" s="40" t="str">
        <f t="shared" si="13"/>
        <v>Key-TUB-42</v>
      </c>
      <c r="Y42" s="19" t="s">
        <v>812</v>
      </c>
      <c r="Z42" s="47" t="s">
        <v>9</v>
      </c>
      <c r="AA42" s="19" t="s">
        <v>2152</v>
      </c>
      <c r="AB42" s="47" t="s">
        <v>9</v>
      </c>
      <c r="AC42" s="19" t="s">
        <v>809</v>
      </c>
      <c r="AD42" s="47" t="s">
        <v>9</v>
      </c>
    </row>
    <row r="43" spans="1:30" s="53" customFormat="1" ht="6.75" customHeight="1" x14ac:dyDescent="0.25">
      <c r="A43" s="38">
        <v>43</v>
      </c>
      <c r="B43" s="1" t="s">
        <v>725</v>
      </c>
      <c r="C43" s="1" t="s">
        <v>803</v>
      </c>
      <c r="D43" s="1" t="s">
        <v>2112</v>
      </c>
      <c r="E43" s="1" t="s">
        <v>2283</v>
      </c>
      <c r="F43" s="22" t="s">
        <v>813</v>
      </c>
      <c r="G43" s="39" t="s">
        <v>9</v>
      </c>
      <c r="H43" s="39" t="s">
        <v>9</v>
      </c>
      <c r="I43" s="39" t="s">
        <v>9</v>
      </c>
      <c r="J43" s="39" t="s">
        <v>9</v>
      </c>
      <c r="K43" s="39" t="s">
        <v>9</v>
      </c>
      <c r="L43" s="23" t="str">
        <f t="shared" si="6"/>
        <v>De.Materialidade</v>
      </c>
      <c r="M43" s="23" t="str">
        <f t="shared" si="7"/>
        <v>Materiais.Construtivos</v>
      </c>
      <c r="N43" s="23" t="str">
        <f t="shared" si="8"/>
        <v>Calhas Metálicas</v>
      </c>
      <c r="O43" s="23" t="str">
        <f t="shared" si="9"/>
        <v>Calha de Elétrica</v>
      </c>
      <c r="P43" s="41" t="s">
        <v>836</v>
      </c>
      <c r="Q43" s="41" t="s">
        <v>933</v>
      </c>
      <c r="R43" s="41" t="s">
        <v>888</v>
      </c>
      <c r="S43" s="54" t="s">
        <v>9</v>
      </c>
      <c r="T43" s="46" t="str">
        <f t="shared" si="10"/>
        <v>De Materialidade</v>
      </c>
      <c r="U43" s="46" t="str">
        <f t="shared" si="11"/>
        <v>Materiais Construtivos</v>
      </c>
      <c r="V43" s="46" t="str">
        <f t="shared" si="12"/>
        <v>Calhas Metálicas</v>
      </c>
      <c r="W43" s="19" t="s">
        <v>459</v>
      </c>
      <c r="X43" s="40" t="str">
        <f t="shared" si="13"/>
        <v>Key-TUB-43</v>
      </c>
      <c r="Y43" s="19" t="s">
        <v>812</v>
      </c>
      <c r="Z43" s="47" t="s">
        <v>9</v>
      </c>
      <c r="AA43" s="19" t="s">
        <v>2152</v>
      </c>
      <c r="AB43" s="47" t="s">
        <v>9</v>
      </c>
      <c r="AC43" s="19" t="s">
        <v>809</v>
      </c>
      <c r="AD43" s="47" t="s">
        <v>9</v>
      </c>
    </row>
    <row r="44" spans="1:30" s="53" customFormat="1" ht="6.75" customHeight="1" x14ac:dyDescent="0.25">
      <c r="A44" s="38">
        <v>44</v>
      </c>
      <c r="B44" s="1" t="s">
        <v>725</v>
      </c>
      <c r="C44" s="1" t="s">
        <v>803</v>
      </c>
      <c r="D44" s="1" t="s">
        <v>2112</v>
      </c>
      <c r="E44" s="1" t="s">
        <v>2283</v>
      </c>
      <c r="F44" s="22" t="s">
        <v>991</v>
      </c>
      <c r="G44" s="39" t="s">
        <v>9</v>
      </c>
      <c r="H44" s="39" t="s">
        <v>9</v>
      </c>
      <c r="I44" s="39" t="s">
        <v>9</v>
      </c>
      <c r="J44" s="39" t="s">
        <v>9</v>
      </c>
      <c r="K44" s="39" t="s">
        <v>9</v>
      </c>
      <c r="L44" s="23" t="str">
        <f t="shared" si="6"/>
        <v>De.Materialidade</v>
      </c>
      <c r="M44" s="23" t="str">
        <f t="shared" si="7"/>
        <v>Materiais.Construtivos</v>
      </c>
      <c r="N44" s="23" t="str">
        <f t="shared" si="8"/>
        <v>Calhas Metálicas</v>
      </c>
      <c r="O44" s="23" t="str">
        <f t="shared" si="9"/>
        <v>Calha de Telecom</v>
      </c>
      <c r="P44" s="41" t="s">
        <v>837</v>
      </c>
      <c r="Q44" s="41" t="s">
        <v>934</v>
      </c>
      <c r="R44" s="41" t="s">
        <v>889</v>
      </c>
      <c r="S44" s="54" t="s">
        <v>9</v>
      </c>
      <c r="T44" s="46" t="str">
        <f t="shared" si="10"/>
        <v>De Materialidade</v>
      </c>
      <c r="U44" s="46" t="str">
        <f t="shared" si="11"/>
        <v>Materiais Construtivos</v>
      </c>
      <c r="V44" s="46" t="str">
        <f t="shared" si="12"/>
        <v>Calhas Metálicas</v>
      </c>
      <c r="W44" s="19" t="s">
        <v>459</v>
      </c>
      <c r="X44" s="40" t="str">
        <f t="shared" si="13"/>
        <v>Key-TUB-44</v>
      </c>
      <c r="Y44" s="19" t="s">
        <v>812</v>
      </c>
      <c r="Z44" s="47" t="s">
        <v>9</v>
      </c>
      <c r="AA44" s="19" t="s">
        <v>2152</v>
      </c>
      <c r="AB44" s="47" t="s">
        <v>9</v>
      </c>
      <c r="AC44" s="19" t="s">
        <v>809</v>
      </c>
      <c r="AD44" s="47" t="s">
        <v>9</v>
      </c>
    </row>
    <row r="45" spans="1:30" s="53" customFormat="1" ht="6.75" customHeight="1" x14ac:dyDescent="0.25">
      <c r="A45" s="38">
        <v>45</v>
      </c>
      <c r="B45" s="1" t="s">
        <v>725</v>
      </c>
      <c r="C45" s="1" t="s">
        <v>803</v>
      </c>
      <c r="D45" s="1" t="s">
        <v>2112</v>
      </c>
      <c r="E45" s="1" t="s">
        <v>2283</v>
      </c>
      <c r="F45" s="22" t="s">
        <v>1017</v>
      </c>
      <c r="G45" s="39" t="s">
        <v>9</v>
      </c>
      <c r="H45" s="39" t="s">
        <v>9</v>
      </c>
      <c r="I45" s="39" t="s">
        <v>9</v>
      </c>
      <c r="J45" s="39" t="s">
        <v>9</v>
      </c>
      <c r="K45" s="39" t="s">
        <v>9</v>
      </c>
      <c r="L45" s="23" t="str">
        <f t="shared" si="6"/>
        <v>De.Materialidade</v>
      </c>
      <c r="M45" s="23" t="str">
        <f t="shared" si="7"/>
        <v>Materiais.Construtivos</v>
      </c>
      <c r="N45" s="23" t="str">
        <f t="shared" si="8"/>
        <v>Calhas Metálicas</v>
      </c>
      <c r="O45" s="23" t="str">
        <f t="shared" si="9"/>
        <v>Calha Leito de Elétrica</v>
      </c>
      <c r="P45" s="41" t="s">
        <v>992</v>
      </c>
      <c r="Q45" s="41" t="s">
        <v>997</v>
      </c>
      <c r="R45" s="41" t="s">
        <v>1009</v>
      </c>
      <c r="S45" s="54" t="s">
        <v>9</v>
      </c>
      <c r="T45" s="46" t="str">
        <f t="shared" si="10"/>
        <v>De Materialidade</v>
      </c>
      <c r="U45" s="46" t="str">
        <f t="shared" si="11"/>
        <v>Materiais Construtivos</v>
      </c>
      <c r="V45" s="46" t="str">
        <f t="shared" si="12"/>
        <v>Calhas Metálicas</v>
      </c>
      <c r="W45" s="19" t="s">
        <v>459</v>
      </c>
      <c r="X45" s="40" t="str">
        <f t="shared" si="13"/>
        <v>Key-TUB-45</v>
      </c>
      <c r="Y45" s="19" t="s">
        <v>812</v>
      </c>
      <c r="Z45" s="47" t="s">
        <v>9</v>
      </c>
      <c r="AA45" s="19" t="s">
        <v>2152</v>
      </c>
      <c r="AB45" s="47" t="s">
        <v>9</v>
      </c>
      <c r="AC45" s="19" t="s">
        <v>809</v>
      </c>
      <c r="AD45" s="47" t="s">
        <v>9</v>
      </c>
    </row>
    <row r="46" spans="1:30" s="53" customFormat="1" ht="6.75" customHeight="1" x14ac:dyDescent="0.25">
      <c r="A46" s="38">
        <v>46</v>
      </c>
      <c r="B46" s="1" t="s">
        <v>725</v>
      </c>
      <c r="C46" s="1" t="s">
        <v>803</v>
      </c>
      <c r="D46" s="1" t="s">
        <v>2112</v>
      </c>
      <c r="E46" s="1" t="s">
        <v>2283</v>
      </c>
      <c r="F46" s="22" t="s">
        <v>1018</v>
      </c>
      <c r="G46" s="39" t="s">
        <v>9</v>
      </c>
      <c r="H46" s="39" t="s">
        <v>9</v>
      </c>
      <c r="I46" s="39" t="s">
        <v>9</v>
      </c>
      <c r="J46" s="39" t="s">
        <v>9</v>
      </c>
      <c r="K46" s="39" t="s">
        <v>9</v>
      </c>
      <c r="L46" s="23" t="str">
        <f t="shared" si="6"/>
        <v>De.Materialidade</v>
      </c>
      <c r="M46" s="23" t="str">
        <f t="shared" si="7"/>
        <v>Materiais.Construtivos</v>
      </c>
      <c r="N46" s="23" t="str">
        <f t="shared" si="8"/>
        <v>Calhas Metálicas</v>
      </c>
      <c r="O46" s="23" t="str">
        <f t="shared" si="9"/>
        <v>Calha Leito de Telecom</v>
      </c>
      <c r="P46" s="41" t="s">
        <v>838</v>
      </c>
      <c r="Q46" s="41" t="s">
        <v>935</v>
      </c>
      <c r="R46" s="41" t="s">
        <v>890</v>
      </c>
      <c r="S46" s="54" t="s">
        <v>9</v>
      </c>
      <c r="T46" s="46" t="str">
        <f t="shared" si="10"/>
        <v>De Materialidade</v>
      </c>
      <c r="U46" s="46" t="str">
        <f t="shared" si="11"/>
        <v>Materiais Construtivos</v>
      </c>
      <c r="V46" s="46" t="str">
        <f t="shared" si="12"/>
        <v>Calhas Metálicas</v>
      </c>
      <c r="W46" s="19" t="s">
        <v>459</v>
      </c>
      <c r="X46" s="40" t="str">
        <f t="shared" si="13"/>
        <v>Key-TUB-46</v>
      </c>
      <c r="Y46" s="19" t="s">
        <v>812</v>
      </c>
      <c r="Z46" s="47" t="s">
        <v>9</v>
      </c>
      <c r="AA46" s="19" t="s">
        <v>2152</v>
      </c>
      <c r="AB46" s="47" t="s">
        <v>9</v>
      </c>
      <c r="AC46" s="19" t="s">
        <v>809</v>
      </c>
      <c r="AD46" s="47" t="s">
        <v>9</v>
      </c>
    </row>
    <row r="47" spans="1:30" s="53" customFormat="1" ht="6.75" customHeight="1" x14ac:dyDescent="0.25">
      <c r="A47" s="38">
        <v>47</v>
      </c>
      <c r="B47" s="1" t="s">
        <v>725</v>
      </c>
      <c r="C47" s="1" t="s">
        <v>803</v>
      </c>
      <c r="D47" s="1" t="s">
        <v>2112</v>
      </c>
      <c r="E47" s="1" t="s">
        <v>2287</v>
      </c>
      <c r="F47" s="22" t="s">
        <v>1019</v>
      </c>
      <c r="G47" s="39" t="s">
        <v>9</v>
      </c>
      <c r="H47" s="39" t="s">
        <v>9</v>
      </c>
      <c r="I47" s="39" t="s">
        <v>9</v>
      </c>
      <c r="J47" s="39" t="s">
        <v>9</v>
      </c>
      <c r="K47" s="39" t="s">
        <v>9</v>
      </c>
      <c r="L47" s="23" t="str">
        <f t="shared" si="6"/>
        <v>De.Materialidade</v>
      </c>
      <c r="M47" s="23" t="str">
        <f t="shared" si="7"/>
        <v>Materiais.Construtivos</v>
      </c>
      <c r="N47" s="23" t="str">
        <f t="shared" si="8"/>
        <v>Calhas Plásticas</v>
      </c>
      <c r="O47" s="23" t="str">
        <f t="shared" si="9"/>
        <v>Canaleta de Elétrica</v>
      </c>
      <c r="P47" s="41" t="s">
        <v>839</v>
      </c>
      <c r="Q47" s="41" t="s">
        <v>936</v>
      </c>
      <c r="R47" s="41" t="s">
        <v>891</v>
      </c>
      <c r="S47" s="54" t="s">
        <v>9</v>
      </c>
      <c r="T47" s="46" t="str">
        <f t="shared" si="10"/>
        <v>De Materialidade</v>
      </c>
      <c r="U47" s="46" t="str">
        <f t="shared" si="11"/>
        <v>Materiais Construtivos</v>
      </c>
      <c r="V47" s="46" t="str">
        <f t="shared" si="12"/>
        <v>Calhas Plásticas</v>
      </c>
      <c r="W47" s="19" t="s">
        <v>459</v>
      </c>
      <c r="X47" s="40" t="str">
        <f t="shared" si="13"/>
        <v>Key-TUB-47</v>
      </c>
      <c r="Y47" s="19" t="s">
        <v>812</v>
      </c>
      <c r="Z47" s="47" t="s">
        <v>9</v>
      </c>
      <c r="AA47" s="19" t="s">
        <v>2152</v>
      </c>
      <c r="AB47" s="47" t="s">
        <v>9</v>
      </c>
      <c r="AC47" s="19" t="s">
        <v>809</v>
      </c>
      <c r="AD47" s="47" t="s">
        <v>9</v>
      </c>
    </row>
    <row r="48" spans="1:30" s="53" customFormat="1" ht="6.75" customHeight="1" x14ac:dyDescent="0.25">
      <c r="A48" s="38">
        <v>48</v>
      </c>
      <c r="B48" s="1" t="s">
        <v>725</v>
      </c>
      <c r="C48" s="1" t="s">
        <v>803</v>
      </c>
      <c r="D48" s="1" t="s">
        <v>2112</v>
      </c>
      <c r="E48" s="1" t="s">
        <v>2287</v>
      </c>
      <c r="F48" s="22" t="s">
        <v>1020</v>
      </c>
      <c r="G48" s="39" t="s">
        <v>9</v>
      </c>
      <c r="H48" s="39" t="s">
        <v>9</v>
      </c>
      <c r="I48" s="39" t="s">
        <v>9</v>
      </c>
      <c r="J48" s="39" t="s">
        <v>9</v>
      </c>
      <c r="K48" s="39" t="s">
        <v>9</v>
      </c>
      <c r="L48" s="23" t="str">
        <f t="shared" si="6"/>
        <v>De.Materialidade</v>
      </c>
      <c r="M48" s="23" t="str">
        <f t="shared" si="7"/>
        <v>Materiais.Construtivos</v>
      </c>
      <c r="N48" s="23" t="str">
        <f t="shared" si="8"/>
        <v>Calhas Plásticas</v>
      </c>
      <c r="O48" s="23" t="str">
        <f t="shared" si="9"/>
        <v>Canaleta de Telecom</v>
      </c>
      <c r="P48" s="41" t="s">
        <v>840</v>
      </c>
      <c r="Q48" s="41" t="s">
        <v>937</v>
      </c>
      <c r="R48" s="41" t="s">
        <v>892</v>
      </c>
      <c r="S48" s="54" t="s">
        <v>9</v>
      </c>
      <c r="T48" s="46" t="str">
        <f t="shared" si="10"/>
        <v>De Materialidade</v>
      </c>
      <c r="U48" s="46" t="str">
        <f t="shared" si="11"/>
        <v>Materiais Construtivos</v>
      </c>
      <c r="V48" s="46" t="str">
        <f t="shared" si="12"/>
        <v>Calhas Plásticas</v>
      </c>
      <c r="W48" s="19" t="s">
        <v>459</v>
      </c>
      <c r="X48" s="40" t="str">
        <f t="shared" si="13"/>
        <v>Key-TUB-48</v>
      </c>
      <c r="Y48" s="19" t="s">
        <v>812</v>
      </c>
      <c r="Z48" s="47" t="s">
        <v>9</v>
      </c>
      <c r="AA48" s="19" t="s">
        <v>2152</v>
      </c>
      <c r="AB48" s="47" t="s">
        <v>9</v>
      </c>
      <c r="AC48" s="19" t="s">
        <v>809</v>
      </c>
      <c r="AD48" s="47" t="s">
        <v>9</v>
      </c>
    </row>
    <row r="49" spans="1:30" s="53" customFormat="1" ht="6.75" customHeight="1" x14ac:dyDescent="0.25">
      <c r="A49" s="38">
        <v>49</v>
      </c>
      <c r="B49" s="1" t="s">
        <v>725</v>
      </c>
      <c r="C49" s="1" t="s">
        <v>803</v>
      </c>
      <c r="D49" s="1" t="s">
        <v>2112</v>
      </c>
      <c r="E49" s="1" t="s">
        <v>2303</v>
      </c>
      <c r="F49" s="22" t="s">
        <v>2109</v>
      </c>
      <c r="G49" s="39" t="s">
        <v>9</v>
      </c>
      <c r="H49" s="39" t="s">
        <v>9</v>
      </c>
      <c r="I49" s="39" t="s">
        <v>9</v>
      </c>
      <c r="J49" s="39" t="s">
        <v>9</v>
      </c>
      <c r="K49" s="39" t="s">
        <v>9</v>
      </c>
      <c r="L49" s="23" t="str">
        <f t="shared" si="6"/>
        <v>De.Materialidade</v>
      </c>
      <c r="M49" s="23" t="str">
        <f t="shared" si="7"/>
        <v>Materiais.Construtivos</v>
      </c>
      <c r="N49" s="23" t="str">
        <f t="shared" si="8"/>
        <v>Conduítes Flex</v>
      </c>
      <c r="O49" s="23" t="str">
        <f t="shared" si="9"/>
        <v>Conduíte Flex de Elétrica</v>
      </c>
      <c r="P49" s="41" t="s">
        <v>842</v>
      </c>
      <c r="Q49" s="41" t="s">
        <v>938</v>
      </c>
      <c r="R49" s="41" t="s">
        <v>893</v>
      </c>
      <c r="S49" s="54" t="s">
        <v>9</v>
      </c>
      <c r="T49" s="46" t="str">
        <f t="shared" si="10"/>
        <v>De Materialidade</v>
      </c>
      <c r="U49" s="46" t="str">
        <f t="shared" si="11"/>
        <v>Materiais Construtivos</v>
      </c>
      <c r="V49" s="46" t="str">
        <f t="shared" si="12"/>
        <v>Conduítes Flex</v>
      </c>
      <c r="W49" s="19" t="s">
        <v>459</v>
      </c>
      <c r="X49" s="40" t="str">
        <f t="shared" si="13"/>
        <v>Key-TUB-49</v>
      </c>
      <c r="Y49" s="19" t="s">
        <v>812</v>
      </c>
      <c r="Z49" s="47" t="s">
        <v>9</v>
      </c>
      <c r="AA49" s="19" t="s">
        <v>2153</v>
      </c>
      <c r="AB49" s="47" t="s">
        <v>9</v>
      </c>
      <c r="AC49" s="19" t="s">
        <v>809</v>
      </c>
      <c r="AD49" s="47" t="s">
        <v>9</v>
      </c>
    </row>
    <row r="50" spans="1:30" s="53" customFormat="1" ht="6.75" customHeight="1" x14ac:dyDescent="0.25">
      <c r="A50" s="38">
        <v>50</v>
      </c>
      <c r="B50" s="1" t="s">
        <v>725</v>
      </c>
      <c r="C50" s="1" t="s">
        <v>803</v>
      </c>
      <c r="D50" s="1" t="s">
        <v>2112</v>
      </c>
      <c r="E50" s="1" t="s">
        <v>2303</v>
      </c>
      <c r="F50" s="22" t="s">
        <v>2110</v>
      </c>
      <c r="G50" s="39" t="s">
        <v>9</v>
      </c>
      <c r="H50" s="39" t="s">
        <v>9</v>
      </c>
      <c r="I50" s="39" t="s">
        <v>9</v>
      </c>
      <c r="J50" s="39" t="s">
        <v>9</v>
      </c>
      <c r="K50" s="39" t="s">
        <v>9</v>
      </c>
      <c r="L50" s="23" t="str">
        <f t="shared" si="6"/>
        <v>De.Materialidade</v>
      </c>
      <c r="M50" s="23" t="str">
        <f t="shared" si="7"/>
        <v>Materiais.Construtivos</v>
      </c>
      <c r="N50" s="23" t="str">
        <f t="shared" si="8"/>
        <v>Conduítes Flex</v>
      </c>
      <c r="O50" s="23" t="str">
        <f t="shared" si="9"/>
        <v>Conduíte Flex de Telecom</v>
      </c>
      <c r="P50" s="41" t="s">
        <v>841</v>
      </c>
      <c r="Q50" s="41" t="s">
        <v>939</v>
      </c>
      <c r="R50" s="41" t="s">
        <v>894</v>
      </c>
      <c r="S50" s="54" t="s">
        <v>9</v>
      </c>
      <c r="T50" s="46" t="str">
        <f t="shared" si="10"/>
        <v>De Materialidade</v>
      </c>
      <c r="U50" s="46" t="str">
        <f t="shared" si="11"/>
        <v>Materiais Construtivos</v>
      </c>
      <c r="V50" s="46" t="str">
        <f t="shared" si="12"/>
        <v>Conduítes Flex</v>
      </c>
      <c r="W50" s="19" t="s">
        <v>459</v>
      </c>
      <c r="X50" s="40" t="str">
        <f t="shared" si="13"/>
        <v>Key-TUB-50</v>
      </c>
      <c r="Y50" s="19" t="s">
        <v>812</v>
      </c>
      <c r="Z50" s="47" t="s">
        <v>9</v>
      </c>
      <c r="AA50" s="19" t="s">
        <v>2153</v>
      </c>
      <c r="AB50" s="47" t="s">
        <v>9</v>
      </c>
      <c r="AC50" s="19" t="s">
        <v>809</v>
      </c>
      <c r="AD50" s="47" t="s">
        <v>9</v>
      </c>
    </row>
    <row r="51" spans="1:30" s="53" customFormat="1" ht="6.75" customHeight="1" x14ac:dyDescent="0.25">
      <c r="A51" s="38">
        <v>51</v>
      </c>
      <c r="B51" s="1" t="s">
        <v>725</v>
      </c>
      <c r="C51" s="1" t="s">
        <v>803</v>
      </c>
      <c r="D51" s="1" t="s">
        <v>2112</v>
      </c>
      <c r="E51" s="1" t="s">
        <v>2281</v>
      </c>
      <c r="F51" s="22" t="s">
        <v>1021</v>
      </c>
      <c r="G51" s="39" t="s">
        <v>9</v>
      </c>
      <c r="H51" s="39" t="s">
        <v>9</v>
      </c>
      <c r="I51" s="39" t="s">
        <v>9</v>
      </c>
      <c r="J51" s="39" t="s">
        <v>9</v>
      </c>
      <c r="K51" s="39" t="s">
        <v>9</v>
      </c>
      <c r="L51" s="23" t="str">
        <f t="shared" si="6"/>
        <v>De.Materialidade</v>
      </c>
      <c r="M51" s="23" t="str">
        <f t="shared" si="7"/>
        <v>Materiais.Construtivos</v>
      </c>
      <c r="N51" s="23" t="str">
        <f t="shared" si="8"/>
        <v>Conduítes Rígidos</v>
      </c>
      <c r="O51" s="23" t="str">
        <f t="shared" si="9"/>
        <v>Conduíte Rígido de Elétrica</v>
      </c>
      <c r="P51" s="41" t="s">
        <v>844</v>
      </c>
      <c r="Q51" s="41" t="s">
        <v>940</v>
      </c>
      <c r="R51" s="41" t="s">
        <v>895</v>
      </c>
      <c r="S51" s="54" t="s">
        <v>9</v>
      </c>
      <c r="T51" s="46" t="str">
        <f t="shared" si="10"/>
        <v>De Materialidade</v>
      </c>
      <c r="U51" s="46" t="str">
        <f t="shared" si="11"/>
        <v>Materiais Construtivos</v>
      </c>
      <c r="V51" s="46" t="str">
        <f t="shared" si="12"/>
        <v>Conduítes Rígidos</v>
      </c>
      <c r="W51" s="19" t="s">
        <v>459</v>
      </c>
      <c r="X51" s="40" t="str">
        <f t="shared" si="13"/>
        <v>Key-TUB-51</v>
      </c>
      <c r="Y51" s="19" t="s">
        <v>812</v>
      </c>
      <c r="Z51" s="47" t="s">
        <v>9</v>
      </c>
      <c r="AA51" s="19" t="s">
        <v>2152</v>
      </c>
      <c r="AB51" s="47" t="s">
        <v>9</v>
      </c>
      <c r="AC51" s="19" t="s">
        <v>809</v>
      </c>
      <c r="AD51" s="47" t="s">
        <v>9</v>
      </c>
    </row>
    <row r="52" spans="1:30" s="53" customFormat="1" ht="6.75" customHeight="1" x14ac:dyDescent="0.25">
      <c r="A52" s="38">
        <v>52</v>
      </c>
      <c r="B52" s="1" t="s">
        <v>725</v>
      </c>
      <c r="C52" s="1" t="s">
        <v>803</v>
      </c>
      <c r="D52" s="1" t="s">
        <v>2112</v>
      </c>
      <c r="E52" s="1" t="s">
        <v>2281</v>
      </c>
      <c r="F52" s="22" t="s">
        <v>1022</v>
      </c>
      <c r="G52" s="39" t="s">
        <v>9</v>
      </c>
      <c r="H52" s="39" t="s">
        <v>9</v>
      </c>
      <c r="I52" s="39" t="s">
        <v>9</v>
      </c>
      <c r="J52" s="39" t="s">
        <v>9</v>
      </c>
      <c r="K52" s="39" t="s">
        <v>9</v>
      </c>
      <c r="L52" s="23" t="str">
        <f t="shared" si="6"/>
        <v>De.Materialidade</v>
      </c>
      <c r="M52" s="23" t="str">
        <f t="shared" si="7"/>
        <v>Materiais.Construtivos</v>
      </c>
      <c r="N52" s="23" t="str">
        <f t="shared" si="8"/>
        <v>Conduítes Rígidos</v>
      </c>
      <c r="O52" s="23" t="str">
        <f t="shared" si="9"/>
        <v>Conduíte Rígido de Telecom</v>
      </c>
      <c r="P52" s="41" t="s">
        <v>843</v>
      </c>
      <c r="Q52" s="41" t="s">
        <v>941</v>
      </c>
      <c r="R52" s="41" t="s">
        <v>896</v>
      </c>
      <c r="S52" s="54" t="s">
        <v>9</v>
      </c>
      <c r="T52" s="46" t="str">
        <f t="shared" si="10"/>
        <v>De Materialidade</v>
      </c>
      <c r="U52" s="46" t="str">
        <f t="shared" si="11"/>
        <v>Materiais Construtivos</v>
      </c>
      <c r="V52" s="46" t="str">
        <f t="shared" si="12"/>
        <v>Conduítes Rígidos</v>
      </c>
      <c r="W52" s="19" t="s">
        <v>459</v>
      </c>
      <c r="X52" s="40" t="str">
        <f t="shared" si="13"/>
        <v>Key-TUB-52</v>
      </c>
      <c r="Y52" s="19" t="s">
        <v>812</v>
      </c>
      <c r="Z52" s="47" t="s">
        <v>9</v>
      </c>
      <c r="AA52" s="19" t="s">
        <v>2152</v>
      </c>
      <c r="AB52" s="47" t="s">
        <v>9</v>
      </c>
      <c r="AC52" s="19" t="s">
        <v>809</v>
      </c>
      <c r="AD52" s="47" t="s">
        <v>9</v>
      </c>
    </row>
    <row r="53" spans="1:30" s="53" customFormat="1" ht="6.75" customHeight="1" x14ac:dyDescent="0.25">
      <c r="A53" s="38">
        <v>53</v>
      </c>
      <c r="B53" s="1" t="s">
        <v>725</v>
      </c>
      <c r="C53" s="1" t="s">
        <v>803</v>
      </c>
      <c r="D53" s="1" t="s">
        <v>2112</v>
      </c>
      <c r="E53" s="1" t="s">
        <v>2290</v>
      </c>
      <c r="F53" s="22" t="s">
        <v>822</v>
      </c>
      <c r="G53" s="39" t="s">
        <v>9</v>
      </c>
      <c r="H53" s="39" t="s">
        <v>9</v>
      </c>
      <c r="I53" s="39" t="s">
        <v>9</v>
      </c>
      <c r="J53" s="39" t="s">
        <v>9</v>
      </c>
      <c r="K53" s="39" t="s">
        <v>9</v>
      </c>
      <c r="L53" s="23" t="str">
        <f t="shared" si="6"/>
        <v>De.Materialidade</v>
      </c>
      <c r="M53" s="23" t="str">
        <f t="shared" si="7"/>
        <v>Materiais.Construtivos</v>
      </c>
      <c r="N53" s="23" t="str">
        <f t="shared" si="8"/>
        <v>Fiações Metálicas</v>
      </c>
      <c r="O53" s="23" t="str">
        <f t="shared" si="9"/>
        <v>Fiação de Elétrica</v>
      </c>
      <c r="P53" s="41" t="s">
        <v>845</v>
      </c>
      <c r="Q53" s="41" t="s">
        <v>942</v>
      </c>
      <c r="R53" s="41" t="s">
        <v>897</v>
      </c>
      <c r="S53" s="54" t="s">
        <v>9</v>
      </c>
      <c r="T53" s="46" t="str">
        <f t="shared" si="10"/>
        <v>De Materialidade</v>
      </c>
      <c r="U53" s="46" t="str">
        <f t="shared" si="11"/>
        <v>Materiais Construtivos</v>
      </c>
      <c r="V53" s="46" t="str">
        <f t="shared" si="12"/>
        <v>Fiações Metálicas</v>
      </c>
      <c r="W53" s="19" t="s">
        <v>459</v>
      </c>
      <c r="X53" s="40" t="str">
        <f t="shared" si="13"/>
        <v>Key-TUB-53</v>
      </c>
      <c r="Y53" s="19" t="s">
        <v>808</v>
      </c>
      <c r="Z53" s="47" t="s">
        <v>9</v>
      </c>
      <c r="AA53" s="19" t="s">
        <v>460</v>
      </c>
      <c r="AB53" s="47" t="s">
        <v>9</v>
      </c>
      <c r="AC53" s="19" t="s">
        <v>809</v>
      </c>
      <c r="AD53" s="47" t="s">
        <v>9</v>
      </c>
    </row>
    <row r="54" spans="1:30" s="53" customFormat="1" ht="6.75" customHeight="1" x14ac:dyDescent="0.25">
      <c r="A54" s="38">
        <v>54</v>
      </c>
      <c r="B54" s="1" t="s">
        <v>725</v>
      </c>
      <c r="C54" s="1" t="s">
        <v>803</v>
      </c>
      <c r="D54" s="1" t="s">
        <v>2112</v>
      </c>
      <c r="E54" s="1" t="s">
        <v>2290</v>
      </c>
      <c r="F54" s="22" t="s">
        <v>972</v>
      </c>
      <c r="G54" s="39" t="s">
        <v>9</v>
      </c>
      <c r="H54" s="39" t="s">
        <v>9</v>
      </c>
      <c r="I54" s="39" t="s">
        <v>9</v>
      </c>
      <c r="J54" s="39" t="s">
        <v>9</v>
      </c>
      <c r="K54" s="39" t="s">
        <v>9</v>
      </c>
      <c r="L54" s="23" t="str">
        <f t="shared" si="6"/>
        <v>De.Materialidade</v>
      </c>
      <c r="M54" s="23" t="str">
        <f t="shared" si="7"/>
        <v>Materiais.Construtivos</v>
      </c>
      <c r="N54" s="23" t="str">
        <f t="shared" si="8"/>
        <v>Fiações Metálicas</v>
      </c>
      <c r="O54" s="23" t="str">
        <f t="shared" si="9"/>
        <v>Fiação de Telecom</v>
      </c>
      <c r="P54" s="41" t="s">
        <v>846</v>
      </c>
      <c r="Q54" s="41" t="s">
        <v>943</v>
      </c>
      <c r="R54" s="41" t="s">
        <v>898</v>
      </c>
      <c r="S54" s="54" t="s">
        <v>9</v>
      </c>
      <c r="T54" s="46" t="str">
        <f t="shared" si="10"/>
        <v>De Materialidade</v>
      </c>
      <c r="U54" s="46" t="str">
        <f t="shared" si="11"/>
        <v>Materiais Construtivos</v>
      </c>
      <c r="V54" s="46" t="str">
        <f t="shared" si="12"/>
        <v>Fiações Metálicas</v>
      </c>
      <c r="W54" s="19" t="s">
        <v>459</v>
      </c>
      <c r="X54" s="40" t="str">
        <f t="shared" si="13"/>
        <v>Key-TUB-54</v>
      </c>
      <c r="Y54" s="19" t="s">
        <v>808</v>
      </c>
      <c r="Z54" s="47" t="s">
        <v>9</v>
      </c>
      <c r="AA54" s="19" t="s">
        <v>460</v>
      </c>
      <c r="AB54" s="47" t="s">
        <v>9</v>
      </c>
      <c r="AC54" s="19" t="s">
        <v>809</v>
      </c>
      <c r="AD54" s="47" t="s">
        <v>9</v>
      </c>
    </row>
    <row r="55" spans="1:30" s="51" customFormat="1" ht="6.75" customHeight="1" x14ac:dyDescent="0.25">
      <c r="A55" s="38">
        <v>55</v>
      </c>
      <c r="B55" s="1" t="s">
        <v>725</v>
      </c>
      <c r="C55" s="1" t="s">
        <v>803</v>
      </c>
      <c r="D55" s="1" t="s">
        <v>2112</v>
      </c>
      <c r="E55" s="1" t="s">
        <v>2284</v>
      </c>
      <c r="F55" s="52" t="s">
        <v>2099</v>
      </c>
      <c r="G55" s="39" t="s">
        <v>9</v>
      </c>
      <c r="H55" s="39" t="s">
        <v>9</v>
      </c>
      <c r="I55" s="39" t="s">
        <v>9</v>
      </c>
      <c r="J55" s="39" t="s">
        <v>9</v>
      </c>
      <c r="K55" s="39" t="s">
        <v>9</v>
      </c>
      <c r="L55" s="23" t="str">
        <f t="shared" si="6"/>
        <v>De.Materialidade</v>
      </c>
      <c r="M55" s="23" t="str">
        <f t="shared" si="7"/>
        <v>Materiais.Construtivos</v>
      </c>
      <c r="N55" s="23" t="str">
        <f t="shared" si="8"/>
        <v>Peças Metálicas</v>
      </c>
      <c r="O55" s="23" t="str">
        <f t="shared" si="9"/>
        <v>Grelha Alumínio</v>
      </c>
      <c r="P55" s="46" t="s">
        <v>2101</v>
      </c>
      <c r="Q55" s="41" t="s">
        <v>2102</v>
      </c>
      <c r="R55" s="41" t="s">
        <v>2105</v>
      </c>
      <c r="S55" s="54" t="s">
        <v>9</v>
      </c>
      <c r="T55" s="46" t="str">
        <f t="shared" si="10"/>
        <v>De Materialidade</v>
      </c>
      <c r="U55" s="46" t="str">
        <f t="shared" si="11"/>
        <v>Materiais Construtivos</v>
      </c>
      <c r="V55" s="46" t="str">
        <f t="shared" si="12"/>
        <v>Peças Metálicas</v>
      </c>
      <c r="W55" s="19" t="s">
        <v>459</v>
      </c>
      <c r="X55" s="40" t="str">
        <f t="shared" si="13"/>
        <v>Key-TUB-55</v>
      </c>
      <c r="Y55" s="19" t="s">
        <v>812</v>
      </c>
      <c r="Z55" s="47" t="s">
        <v>9</v>
      </c>
      <c r="AA55" s="19" t="s">
        <v>2152</v>
      </c>
      <c r="AB55" s="47" t="s">
        <v>9</v>
      </c>
      <c r="AC55" s="19" t="s">
        <v>511</v>
      </c>
      <c r="AD55" s="47" t="s">
        <v>9</v>
      </c>
    </row>
    <row r="56" spans="1:30" s="51" customFormat="1" ht="6.75" customHeight="1" x14ac:dyDescent="0.25">
      <c r="A56" s="38">
        <v>56</v>
      </c>
      <c r="B56" s="1" t="s">
        <v>725</v>
      </c>
      <c r="C56" s="1" t="s">
        <v>803</v>
      </c>
      <c r="D56" s="1" t="s">
        <v>2112</v>
      </c>
      <c r="E56" s="1" t="s">
        <v>2284</v>
      </c>
      <c r="F56" s="52" t="s">
        <v>2100</v>
      </c>
      <c r="G56" s="39" t="s">
        <v>9</v>
      </c>
      <c r="H56" s="39" t="s">
        <v>9</v>
      </c>
      <c r="I56" s="39" t="s">
        <v>9</v>
      </c>
      <c r="J56" s="39" t="s">
        <v>9</v>
      </c>
      <c r="K56" s="39" t="s">
        <v>9</v>
      </c>
      <c r="L56" s="23" t="str">
        <f t="shared" si="6"/>
        <v>De.Materialidade</v>
      </c>
      <c r="M56" s="23" t="str">
        <f t="shared" si="7"/>
        <v>Materiais.Construtivos</v>
      </c>
      <c r="N56" s="23" t="str">
        <f t="shared" si="8"/>
        <v>Peças Metálicas</v>
      </c>
      <c r="O56" s="23" t="str">
        <f t="shared" si="9"/>
        <v>Difusor Alumínio</v>
      </c>
      <c r="P56" s="46" t="s">
        <v>2106</v>
      </c>
      <c r="Q56" s="41" t="s">
        <v>2103</v>
      </c>
      <c r="R56" s="41" t="s">
        <v>2104</v>
      </c>
      <c r="S56" s="54" t="s">
        <v>9</v>
      </c>
      <c r="T56" s="46" t="str">
        <f t="shared" si="10"/>
        <v>De Materialidade</v>
      </c>
      <c r="U56" s="46" t="str">
        <f t="shared" si="11"/>
        <v>Materiais Construtivos</v>
      </c>
      <c r="V56" s="46" t="str">
        <f t="shared" si="12"/>
        <v>Peças Metálicas</v>
      </c>
      <c r="W56" s="19" t="s">
        <v>459</v>
      </c>
      <c r="X56" s="40" t="str">
        <f t="shared" si="13"/>
        <v>Key-TUB-56</v>
      </c>
      <c r="Y56" s="19" t="s">
        <v>812</v>
      </c>
      <c r="Z56" s="47" t="s">
        <v>9</v>
      </c>
      <c r="AA56" s="19" t="s">
        <v>2152</v>
      </c>
      <c r="AB56" s="47" t="s">
        <v>9</v>
      </c>
      <c r="AC56" s="19" t="s">
        <v>511</v>
      </c>
      <c r="AD56" s="47" t="s">
        <v>9</v>
      </c>
    </row>
    <row r="57" spans="1:30" s="51" customFormat="1" ht="6.75" customHeight="1" x14ac:dyDescent="0.25">
      <c r="A57" s="38">
        <v>57</v>
      </c>
      <c r="B57" s="1" t="s">
        <v>725</v>
      </c>
      <c r="C57" s="1" t="s">
        <v>803</v>
      </c>
      <c r="D57" s="1" t="s">
        <v>2112</v>
      </c>
      <c r="E57" s="1" t="s">
        <v>2285</v>
      </c>
      <c r="F57" s="22" t="s">
        <v>989</v>
      </c>
      <c r="G57" s="39" t="s">
        <v>9</v>
      </c>
      <c r="H57" s="39" t="s">
        <v>9</v>
      </c>
      <c r="I57" s="39" t="s">
        <v>9</v>
      </c>
      <c r="J57" s="39" t="s">
        <v>9</v>
      </c>
      <c r="K57" s="39" t="s">
        <v>9</v>
      </c>
      <c r="L57" s="23" t="str">
        <f t="shared" si="6"/>
        <v>De.Materialidade</v>
      </c>
      <c r="M57" s="23" t="str">
        <f t="shared" si="7"/>
        <v>Materiais.Construtivos</v>
      </c>
      <c r="N57" s="23" t="str">
        <f t="shared" si="8"/>
        <v>Quadros Metálicos</v>
      </c>
      <c r="O57" s="23" t="str">
        <f t="shared" si="9"/>
        <v>Quadro Metálico Elétrica</v>
      </c>
      <c r="P57" s="41" t="s">
        <v>986</v>
      </c>
      <c r="Q57" s="41" t="s">
        <v>999</v>
      </c>
      <c r="R57" s="41" t="s">
        <v>1011</v>
      </c>
      <c r="S57" s="54" t="s">
        <v>9</v>
      </c>
      <c r="T57" s="46" t="str">
        <f t="shared" si="10"/>
        <v>De Materialidade</v>
      </c>
      <c r="U57" s="46" t="str">
        <f t="shared" si="11"/>
        <v>Materiais Construtivos</v>
      </c>
      <c r="V57" s="46" t="str">
        <f t="shared" si="12"/>
        <v>Quadros Metálicos</v>
      </c>
      <c r="W57" s="19" t="s">
        <v>459</v>
      </c>
      <c r="X57" s="40" t="str">
        <f t="shared" si="13"/>
        <v>Key-TUB-57</v>
      </c>
      <c r="Y57" s="19" t="s">
        <v>812</v>
      </c>
      <c r="Z57" s="47" t="s">
        <v>9</v>
      </c>
      <c r="AA57" s="19" t="s">
        <v>2152</v>
      </c>
      <c r="AB57" s="47" t="s">
        <v>9</v>
      </c>
      <c r="AC57" s="19" t="s">
        <v>809</v>
      </c>
      <c r="AD57" s="47" t="s">
        <v>9</v>
      </c>
    </row>
    <row r="58" spans="1:30" s="51" customFormat="1" ht="6.75" customHeight="1" x14ac:dyDescent="0.25">
      <c r="A58" s="38">
        <v>58</v>
      </c>
      <c r="B58" s="1" t="s">
        <v>725</v>
      </c>
      <c r="C58" s="1" t="s">
        <v>803</v>
      </c>
      <c r="D58" s="1" t="s">
        <v>2112</v>
      </c>
      <c r="E58" s="1" t="s">
        <v>2285</v>
      </c>
      <c r="F58" s="22" t="s">
        <v>990</v>
      </c>
      <c r="G58" s="39" t="s">
        <v>9</v>
      </c>
      <c r="H58" s="39" t="s">
        <v>9</v>
      </c>
      <c r="I58" s="39" t="s">
        <v>9</v>
      </c>
      <c r="J58" s="39" t="s">
        <v>9</v>
      </c>
      <c r="K58" s="39" t="s">
        <v>9</v>
      </c>
      <c r="L58" s="23" t="str">
        <f t="shared" si="6"/>
        <v>De.Materialidade</v>
      </c>
      <c r="M58" s="23" t="str">
        <f t="shared" si="7"/>
        <v>Materiais.Construtivos</v>
      </c>
      <c r="N58" s="23" t="str">
        <f t="shared" si="8"/>
        <v>Quadros Metálicos</v>
      </c>
      <c r="O58" s="23" t="str">
        <f t="shared" si="9"/>
        <v>Quadro Metálico Telecom</v>
      </c>
      <c r="P58" s="41" t="s">
        <v>985</v>
      </c>
      <c r="Q58" s="41" t="s">
        <v>1000</v>
      </c>
      <c r="R58" s="41" t="s">
        <v>1012</v>
      </c>
      <c r="S58" s="54" t="s">
        <v>9</v>
      </c>
      <c r="T58" s="46" t="str">
        <f t="shared" si="10"/>
        <v>De Materialidade</v>
      </c>
      <c r="U58" s="46" t="str">
        <f t="shared" si="11"/>
        <v>Materiais Construtivos</v>
      </c>
      <c r="V58" s="46" t="str">
        <f t="shared" si="12"/>
        <v>Quadros Metálicos</v>
      </c>
      <c r="W58" s="19" t="s">
        <v>459</v>
      </c>
      <c r="X58" s="40" t="str">
        <f t="shared" si="13"/>
        <v>Key-TUB-58</v>
      </c>
      <c r="Y58" s="19" t="s">
        <v>812</v>
      </c>
      <c r="Z58" s="47" t="s">
        <v>9</v>
      </c>
      <c r="AA58" s="19" t="s">
        <v>2152</v>
      </c>
      <c r="AB58" s="47" t="s">
        <v>9</v>
      </c>
      <c r="AC58" s="19" t="s">
        <v>809</v>
      </c>
      <c r="AD58" s="47" t="s">
        <v>9</v>
      </c>
    </row>
    <row r="59" spans="1:30" s="24" customFormat="1" ht="6.75" customHeight="1" x14ac:dyDescent="0.25">
      <c r="A59" s="38">
        <v>59</v>
      </c>
      <c r="B59" s="1" t="s">
        <v>725</v>
      </c>
      <c r="C59" s="1" t="s">
        <v>803</v>
      </c>
      <c r="D59" s="1" t="s">
        <v>2112</v>
      </c>
      <c r="E59" s="1" t="s">
        <v>2288</v>
      </c>
      <c r="F59" s="22" t="s">
        <v>987</v>
      </c>
      <c r="G59" s="39" t="s">
        <v>9</v>
      </c>
      <c r="H59" s="39" t="s">
        <v>9</v>
      </c>
      <c r="I59" s="39" t="s">
        <v>9</v>
      </c>
      <c r="J59" s="39" t="s">
        <v>9</v>
      </c>
      <c r="K59" s="39" t="s">
        <v>9</v>
      </c>
      <c r="L59" s="23" t="str">
        <f t="shared" si="6"/>
        <v>De.Materialidade</v>
      </c>
      <c r="M59" s="23" t="str">
        <f t="shared" si="7"/>
        <v>Materiais.Construtivos</v>
      </c>
      <c r="N59" s="23" t="str">
        <f t="shared" si="8"/>
        <v>Quadros Plásticos</v>
      </c>
      <c r="O59" s="23" t="str">
        <f t="shared" si="9"/>
        <v>Quadro PVC Elétrica</v>
      </c>
      <c r="P59" s="41" t="s">
        <v>984</v>
      </c>
      <c r="Q59" s="41" t="s">
        <v>1001</v>
      </c>
      <c r="R59" s="41" t="s">
        <v>1013</v>
      </c>
      <c r="S59" s="54" t="s">
        <v>9</v>
      </c>
      <c r="T59" s="46" t="str">
        <f t="shared" si="10"/>
        <v>De Materialidade</v>
      </c>
      <c r="U59" s="46" t="str">
        <f t="shared" si="11"/>
        <v>Materiais Construtivos</v>
      </c>
      <c r="V59" s="46" t="str">
        <f t="shared" si="12"/>
        <v>Quadros Plásticos</v>
      </c>
      <c r="W59" s="19" t="s">
        <v>459</v>
      </c>
      <c r="X59" s="40" t="str">
        <f t="shared" si="13"/>
        <v>Key-TUB-59</v>
      </c>
      <c r="Y59" s="19" t="s">
        <v>812</v>
      </c>
      <c r="Z59" s="47" t="s">
        <v>9</v>
      </c>
      <c r="AA59" s="19" t="s">
        <v>2152</v>
      </c>
      <c r="AB59" s="47" t="s">
        <v>9</v>
      </c>
      <c r="AC59" s="19" t="s">
        <v>809</v>
      </c>
      <c r="AD59" s="47" t="s">
        <v>9</v>
      </c>
    </row>
    <row r="60" spans="1:30" s="24" customFormat="1" ht="6.75" customHeight="1" x14ac:dyDescent="0.25">
      <c r="A60" s="38">
        <v>60</v>
      </c>
      <c r="B60" s="1" t="s">
        <v>725</v>
      </c>
      <c r="C60" s="1" t="s">
        <v>803</v>
      </c>
      <c r="D60" s="1" t="s">
        <v>2112</v>
      </c>
      <c r="E60" s="1" t="s">
        <v>2288</v>
      </c>
      <c r="F60" s="22" t="s">
        <v>988</v>
      </c>
      <c r="G60" s="39" t="s">
        <v>9</v>
      </c>
      <c r="H60" s="39" t="s">
        <v>9</v>
      </c>
      <c r="I60" s="39" t="s">
        <v>9</v>
      </c>
      <c r="J60" s="39" t="s">
        <v>9</v>
      </c>
      <c r="K60" s="39" t="s">
        <v>9</v>
      </c>
      <c r="L60" s="23" t="str">
        <f t="shared" si="6"/>
        <v>De.Materialidade</v>
      </c>
      <c r="M60" s="23" t="str">
        <f t="shared" si="7"/>
        <v>Materiais.Construtivos</v>
      </c>
      <c r="N60" s="23" t="str">
        <f t="shared" si="8"/>
        <v>Quadros Plásticos</v>
      </c>
      <c r="O60" s="23" t="str">
        <f t="shared" si="9"/>
        <v>Quadro PVC Telecom</v>
      </c>
      <c r="P60" s="41" t="s">
        <v>983</v>
      </c>
      <c r="Q60" s="41" t="s">
        <v>1002</v>
      </c>
      <c r="R60" s="41" t="s">
        <v>1014</v>
      </c>
      <c r="S60" s="54" t="s">
        <v>9</v>
      </c>
      <c r="T60" s="46" t="str">
        <f t="shared" si="10"/>
        <v>De Materialidade</v>
      </c>
      <c r="U60" s="46" t="str">
        <f t="shared" si="11"/>
        <v>Materiais Construtivos</v>
      </c>
      <c r="V60" s="46" t="str">
        <f t="shared" si="12"/>
        <v>Quadros Plásticos</v>
      </c>
      <c r="W60" s="19" t="s">
        <v>459</v>
      </c>
      <c r="X60" s="40" t="str">
        <f t="shared" si="13"/>
        <v>Key-TUB-60</v>
      </c>
      <c r="Y60" s="19" t="s">
        <v>812</v>
      </c>
      <c r="Z60" s="47" t="s">
        <v>9</v>
      </c>
      <c r="AA60" s="19" t="s">
        <v>2152</v>
      </c>
      <c r="AB60" s="47" t="s">
        <v>9</v>
      </c>
      <c r="AC60" s="19" t="s">
        <v>809</v>
      </c>
      <c r="AD60" s="47" t="s">
        <v>9</v>
      </c>
    </row>
    <row r="61" spans="1:30" s="24" customFormat="1" ht="6.75" customHeight="1" x14ac:dyDescent="0.25">
      <c r="A61" s="38">
        <v>61</v>
      </c>
      <c r="B61" s="1" t="s">
        <v>725</v>
      </c>
      <c r="C61" s="1" t="s">
        <v>803</v>
      </c>
      <c r="D61" s="1" t="s">
        <v>2112</v>
      </c>
      <c r="E61" s="1" t="s">
        <v>2277</v>
      </c>
      <c r="F61" s="52" t="s">
        <v>1023</v>
      </c>
      <c r="G61" s="39" t="s">
        <v>9</v>
      </c>
      <c r="H61" s="39" t="s">
        <v>9</v>
      </c>
      <c r="I61" s="39" t="s">
        <v>9</v>
      </c>
      <c r="J61" s="39" t="s">
        <v>9</v>
      </c>
      <c r="K61" s="39" t="s">
        <v>9</v>
      </c>
      <c r="L61" s="23" t="str">
        <f t="shared" si="6"/>
        <v>De.Materialidade</v>
      </c>
      <c r="M61" s="23" t="str">
        <f t="shared" si="7"/>
        <v>Materiais.Construtivos</v>
      </c>
      <c r="N61" s="23" t="str">
        <f t="shared" si="8"/>
        <v>Selantes</v>
      </c>
      <c r="O61" s="23" t="str">
        <f t="shared" si="9"/>
        <v>Vedante Mastique</v>
      </c>
      <c r="P61" s="46" t="s">
        <v>861</v>
      </c>
      <c r="Q61" s="41" t="s">
        <v>956</v>
      </c>
      <c r="R61" s="41" t="s">
        <v>913</v>
      </c>
      <c r="S61" s="54" t="s">
        <v>9</v>
      </c>
      <c r="T61" s="46" t="str">
        <f t="shared" si="10"/>
        <v>De Materialidade</v>
      </c>
      <c r="U61" s="46" t="str">
        <f t="shared" si="11"/>
        <v>Materiais Construtivos</v>
      </c>
      <c r="V61" s="46" t="str">
        <f t="shared" si="12"/>
        <v>Selantes</v>
      </c>
      <c r="W61" s="19" t="s">
        <v>459</v>
      </c>
      <c r="X61" s="40" t="str">
        <f t="shared" si="13"/>
        <v>Key-TUB-61</v>
      </c>
      <c r="Y61" s="19" t="s">
        <v>812</v>
      </c>
      <c r="Z61" s="47" t="s">
        <v>9</v>
      </c>
      <c r="AA61" s="19" t="s">
        <v>2152</v>
      </c>
      <c r="AB61" s="47" t="s">
        <v>9</v>
      </c>
      <c r="AC61" s="19" t="s">
        <v>511</v>
      </c>
      <c r="AD61" s="47" t="s">
        <v>9</v>
      </c>
    </row>
    <row r="62" spans="1:30" s="24" customFormat="1" ht="6.75" customHeight="1" x14ac:dyDescent="0.25">
      <c r="A62" s="38">
        <v>62</v>
      </c>
      <c r="B62" s="1" t="s">
        <v>725</v>
      </c>
      <c r="C62" s="1" t="s">
        <v>803</v>
      </c>
      <c r="D62" s="1" t="s">
        <v>2112</v>
      </c>
      <c r="E62" s="1" t="s">
        <v>2277</v>
      </c>
      <c r="F62" s="52" t="s">
        <v>1024</v>
      </c>
      <c r="G62" s="39" t="s">
        <v>9</v>
      </c>
      <c r="H62" s="39" t="s">
        <v>9</v>
      </c>
      <c r="I62" s="39" t="s">
        <v>9</v>
      </c>
      <c r="J62" s="39" t="s">
        <v>9</v>
      </c>
      <c r="K62" s="39" t="s">
        <v>9</v>
      </c>
      <c r="L62" s="23" t="str">
        <f t="shared" si="6"/>
        <v>De.Materialidade</v>
      </c>
      <c r="M62" s="23" t="str">
        <f t="shared" si="7"/>
        <v>Materiais.Construtivos</v>
      </c>
      <c r="N62" s="23" t="str">
        <f t="shared" si="8"/>
        <v>Selantes</v>
      </c>
      <c r="O62" s="23" t="str">
        <f t="shared" si="9"/>
        <v>Vedante Plástico ABS</v>
      </c>
      <c r="P62" s="46" t="s">
        <v>862</v>
      </c>
      <c r="Q62" s="41" t="s">
        <v>957</v>
      </c>
      <c r="R62" s="41" t="s">
        <v>914</v>
      </c>
      <c r="S62" s="54" t="s">
        <v>9</v>
      </c>
      <c r="T62" s="46" t="str">
        <f t="shared" si="10"/>
        <v>De Materialidade</v>
      </c>
      <c r="U62" s="46" t="str">
        <f t="shared" si="11"/>
        <v>Materiais Construtivos</v>
      </c>
      <c r="V62" s="46" t="str">
        <f t="shared" si="12"/>
        <v>Selantes</v>
      </c>
      <c r="W62" s="19" t="s">
        <v>459</v>
      </c>
      <c r="X62" s="40" t="str">
        <f t="shared" si="13"/>
        <v>Key-TUB-62</v>
      </c>
      <c r="Y62" s="19" t="s">
        <v>812</v>
      </c>
      <c r="Z62" s="47" t="s">
        <v>9</v>
      </c>
      <c r="AA62" s="19" t="s">
        <v>2152</v>
      </c>
      <c r="AB62" s="47" t="s">
        <v>9</v>
      </c>
      <c r="AC62" s="19" t="s">
        <v>511</v>
      </c>
      <c r="AD62" s="47" t="s">
        <v>9</v>
      </c>
    </row>
    <row r="63" spans="1:30" s="51" customFormat="1" ht="6.75" customHeight="1" x14ac:dyDescent="0.25">
      <c r="A63" s="38">
        <v>63</v>
      </c>
      <c r="B63" s="1" t="s">
        <v>725</v>
      </c>
      <c r="C63" s="1" t="s">
        <v>803</v>
      </c>
      <c r="D63" s="1" t="s">
        <v>2112</v>
      </c>
      <c r="E63" s="1" t="s">
        <v>2277</v>
      </c>
      <c r="F63" s="52" t="s">
        <v>1025</v>
      </c>
      <c r="G63" s="39" t="s">
        <v>9</v>
      </c>
      <c r="H63" s="39" t="s">
        <v>9</v>
      </c>
      <c r="I63" s="39" t="s">
        <v>9</v>
      </c>
      <c r="J63" s="39" t="s">
        <v>9</v>
      </c>
      <c r="K63" s="39" t="s">
        <v>9</v>
      </c>
      <c r="L63" s="23" t="str">
        <f t="shared" si="6"/>
        <v>De.Materialidade</v>
      </c>
      <c r="M63" s="23" t="str">
        <f t="shared" si="7"/>
        <v>Materiais.Construtivos</v>
      </c>
      <c r="N63" s="23" t="str">
        <f t="shared" si="8"/>
        <v>Selantes</v>
      </c>
      <c r="O63" s="23" t="str">
        <f t="shared" si="9"/>
        <v>Vedante de Silicone</v>
      </c>
      <c r="P63" s="46" t="s">
        <v>861</v>
      </c>
      <c r="Q63" s="41" t="s">
        <v>956</v>
      </c>
      <c r="R63" s="41" t="s">
        <v>913</v>
      </c>
      <c r="S63" s="54" t="s">
        <v>9</v>
      </c>
      <c r="T63" s="46" t="str">
        <f t="shared" si="10"/>
        <v>De Materialidade</v>
      </c>
      <c r="U63" s="46" t="str">
        <f t="shared" si="11"/>
        <v>Materiais Construtivos</v>
      </c>
      <c r="V63" s="46" t="str">
        <f t="shared" si="12"/>
        <v>Selantes</v>
      </c>
      <c r="W63" s="19" t="s">
        <v>459</v>
      </c>
      <c r="X63" s="40" t="str">
        <f t="shared" si="13"/>
        <v>Key-TUB-63</v>
      </c>
      <c r="Y63" s="19" t="s">
        <v>812</v>
      </c>
      <c r="Z63" s="47" t="s">
        <v>9</v>
      </c>
      <c r="AA63" s="19" t="s">
        <v>2152</v>
      </c>
      <c r="AB63" s="47" t="s">
        <v>9</v>
      </c>
      <c r="AC63" s="19" t="s">
        <v>511</v>
      </c>
      <c r="AD63" s="47" t="s">
        <v>9</v>
      </c>
    </row>
    <row r="64" spans="1:30" s="53" customFormat="1" ht="6.75" customHeight="1" x14ac:dyDescent="0.25">
      <c r="A64" s="38">
        <v>64</v>
      </c>
      <c r="B64" s="1" t="s">
        <v>725</v>
      </c>
      <c r="C64" s="1" t="s">
        <v>803</v>
      </c>
      <c r="D64" s="1" t="s">
        <v>2112</v>
      </c>
      <c r="E64" s="1" t="s">
        <v>2280</v>
      </c>
      <c r="F64" s="52" t="s">
        <v>878</v>
      </c>
      <c r="G64" s="39" t="s">
        <v>9</v>
      </c>
      <c r="H64" s="39" t="s">
        <v>9</v>
      </c>
      <c r="I64" s="39" t="s">
        <v>9</v>
      </c>
      <c r="J64" s="39" t="s">
        <v>9</v>
      </c>
      <c r="K64" s="39" t="s">
        <v>9</v>
      </c>
      <c r="L64" s="23" t="str">
        <f t="shared" si="6"/>
        <v>De.Materialidade</v>
      </c>
      <c r="M64" s="23" t="str">
        <f t="shared" si="7"/>
        <v>Materiais.Construtivos</v>
      </c>
      <c r="N64" s="23" t="str">
        <f t="shared" si="8"/>
        <v>Tubos Metálicos</v>
      </c>
      <c r="O64" s="23" t="str">
        <f t="shared" si="9"/>
        <v>Tubo de Aço Carbono</v>
      </c>
      <c r="P64" s="46" t="s">
        <v>865</v>
      </c>
      <c r="Q64" s="41" t="s">
        <v>959</v>
      </c>
      <c r="R64" s="41" t="s">
        <v>916</v>
      </c>
      <c r="S64" s="54" t="s">
        <v>9</v>
      </c>
      <c r="T64" s="46" t="str">
        <f t="shared" si="10"/>
        <v>De Materialidade</v>
      </c>
      <c r="U64" s="46" t="str">
        <f t="shared" si="11"/>
        <v>Materiais Construtivos</v>
      </c>
      <c r="V64" s="46" t="str">
        <f t="shared" si="12"/>
        <v>Tubos Metálicos</v>
      </c>
      <c r="W64" s="19" t="s">
        <v>459</v>
      </c>
      <c r="X64" s="40" t="str">
        <f t="shared" si="13"/>
        <v>Key-TUB-64</v>
      </c>
      <c r="Y64" s="19" t="s">
        <v>812</v>
      </c>
      <c r="Z64" s="47" t="s">
        <v>9</v>
      </c>
      <c r="AA64" s="19" t="s">
        <v>2152</v>
      </c>
      <c r="AB64" s="47" t="s">
        <v>9</v>
      </c>
      <c r="AC64" s="19" t="s">
        <v>511</v>
      </c>
      <c r="AD64" s="47" t="s">
        <v>9</v>
      </c>
    </row>
    <row r="65" spans="1:30" s="51" customFormat="1" ht="6.75" customHeight="1" x14ac:dyDescent="0.25">
      <c r="A65" s="38">
        <v>65</v>
      </c>
      <c r="B65" s="1" t="s">
        <v>725</v>
      </c>
      <c r="C65" s="1" t="s">
        <v>803</v>
      </c>
      <c r="D65" s="1" t="s">
        <v>2112</v>
      </c>
      <c r="E65" s="1" t="s">
        <v>2280</v>
      </c>
      <c r="F65" s="22" t="s">
        <v>804</v>
      </c>
      <c r="G65" s="39" t="s">
        <v>9</v>
      </c>
      <c r="H65" s="39" t="s">
        <v>9</v>
      </c>
      <c r="I65" s="39" t="s">
        <v>9</v>
      </c>
      <c r="J65" s="39" t="s">
        <v>9</v>
      </c>
      <c r="K65" s="39" t="s">
        <v>9</v>
      </c>
      <c r="L65" s="23" t="str">
        <f t="shared" si="6"/>
        <v>De.Materialidade</v>
      </c>
      <c r="M65" s="23" t="str">
        <f t="shared" si="7"/>
        <v>Materiais.Construtivos</v>
      </c>
      <c r="N65" s="23" t="str">
        <f t="shared" si="8"/>
        <v>Tubos Metálicos</v>
      </c>
      <c r="O65" s="23" t="str">
        <f t="shared" si="9"/>
        <v>Tubo de Aço Costura</v>
      </c>
      <c r="P65" s="41" t="s">
        <v>866</v>
      </c>
      <c r="Q65" s="41" t="s">
        <v>960</v>
      </c>
      <c r="R65" s="41" t="s">
        <v>917</v>
      </c>
      <c r="S65" s="54" t="s">
        <v>9</v>
      </c>
      <c r="T65" s="46" t="str">
        <f t="shared" si="10"/>
        <v>De Materialidade</v>
      </c>
      <c r="U65" s="46" t="str">
        <f t="shared" si="11"/>
        <v>Materiais Construtivos</v>
      </c>
      <c r="V65" s="46" t="str">
        <f t="shared" si="12"/>
        <v>Tubos Metálicos</v>
      </c>
      <c r="W65" s="19" t="s">
        <v>459</v>
      </c>
      <c r="X65" s="40" t="str">
        <f t="shared" si="13"/>
        <v>Key-TUB-65</v>
      </c>
      <c r="Y65" s="19" t="s">
        <v>812</v>
      </c>
      <c r="Z65" s="47" t="s">
        <v>9</v>
      </c>
      <c r="AA65" s="19" t="s">
        <v>2152</v>
      </c>
      <c r="AB65" s="47" t="s">
        <v>9</v>
      </c>
      <c r="AC65" s="19" t="s">
        <v>508</v>
      </c>
      <c r="AD65" s="47" t="s">
        <v>9</v>
      </c>
    </row>
    <row r="66" spans="1:30" s="51" customFormat="1" ht="6.75" customHeight="1" x14ac:dyDescent="0.25">
      <c r="A66" s="38">
        <v>66</v>
      </c>
      <c r="B66" s="1" t="s">
        <v>725</v>
      </c>
      <c r="C66" s="1" t="s">
        <v>803</v>
      </c>
      <c r="D66" s="1" t="s">
        <v>2112</v>
      </c>
      <c r="E66" s="1" t="s">
        <v>2280</v>
      </c>
      <c r="F66" s="52" t="s">
        <v>879</v>
      </c>
      <c r="G66" s="39" t="s">
        <v>9</v>
      </c>
      <c r="H66" s="39" t="s">
        <v>9</v>
      </c>
      <c r="I66" s="39" t="s">
        <v>9</v>
      </c>
      <c r="J66" s="39" t="s">
        <v>9</v>
      </c>
      <c r="K66" s="39" t="s">
        <v>9</v>
      </c>
      <c r="L66" s="23" t="str">
        <f t="shared" si="6"/>
        <v>De.Materialidade</v>
      </c>
      <c r="M66" s="23" t="str">
        <f t="shared" si="7"/>
        <v>Materiais.Construtivos</v>
      </c>
      <c r="N66" s="23" t="str">
        <f t="shared" si="8"/>
        <v>Tubos Metálicos</v>
      </c>
      <c r="O66" s="23" t="str">
        <f t="shared" si="9"/>
        <v>Tubo de Aço Galvanizado</v>
      </c>
      <c r="P66" s="46" t="s">
        <v>867</v>
      </c>
      <c r="Q66" s="41" t="s">
        <v>961</v>
      </c>
      <c r="R66" s="41" t="s">
        <v>918</v>
      </c>
      <c r="S66" s="54" t="s">
        <v>9</v>
      </c>
      <c r="T66" s="46" t="str">
        <f t="shared" si="10"/>
        <v>De Materialidade</v>
      </c>
      <c r="U66" s="46" t="str">
        <f t="shared" si="11"/>
        <v>Materiais Construtivos</v>
      </c>
      <c r="V66" s="46" t="str">
        <f t="shared" si="12"/>
        <v>Tubos Metálicos</v>
      </c>
      <c r="W66" s="19" t="s">
        <v>459</v>
      </c>
      <c r="X66" s="40" t="str">
        <f t="shared" si="13"/>
        <v>Key-TUB-66</v>
      </c>
      <c r="Y66" s="19" t="s">
        <v>812</v>
      </c>
      <c r="Z66" s="47" t="s">
        <v>9</v>
      </c>
      <c r="AA66" s="19" t="s">
        <v>2152</v>
      </c>
      <c r="AB66" s="47" t="s">
        <v>9</v>
      </c>
      <c r="AC66" s="19" t="s">
        <v>511</v>
      </c>
      <c r="AD66" s="47" t="s">
        <v>9</v>
      </c>
    </row>
    <row r="67" spans="1:30" s="51" customFormat="1" ht="6.75" customHeight="1" x14ac:dyDescent="0.25">
      <c r="A67" s="38">
        <v>67</v>
      </c>
      <c r="B67" s="1" t="s">
        <v>725</v>
      </c>
      <c r="C67" s="1" t="s">
        <v>803</v>
      </c>
      <c r="D67" s="1" t="s">
        <v>2112</v>
      </c>
      <c r="E67" s="1" t="s">
        <v>2280</v>
      </c>
      <c r="F67" s="52" t="s">
        <v>880</v>
      </c>
      <c r="G67" s="39" t="s">
        <v>9</v>
      </c>
      <c r="H67" s="39" t="s">
        <v>9</v>
      </c>
      <c r="I67" s="39" t="s">
        <v>9</v>
      </c>
      <c r="J67" s="39" t="s">
        <v>9</v>
      </c>
      <c r="K67" s="39" t="s">
        <v>9</v>
      </c>
      <c r="L67" s="23" t="str">
        <f t="shared" si="6"/>
        <v>De.Materialidade</v>
      </c>
      <c r="M67" s="23" t="str">
        <f t="shared" si="7"/>
        <v>Materiais.Construtivos</v>
      </c>
      <c r="N67" s="23" t="str">
        <f t="shared" si="8"/>
        <v>Tubos Metálicos</v>
      </c>
      <c r="O67" s="23" t="str">
        <f t="shared" si="9"/>
        <v>Tubo de Aço Inoxidável</v>
      </c>
      <c r="P67" s="46" t="s">
        <v>868</v>
      </c>
      <c r="Q67" s="41" t="s">
        <v>962</v>
      </c>
      <c r="R67" s="41" t="s">
        <v>919</v>
      </c>
      <c r="S67" s="54" t="s">
        <v>9</v>
      </c>
      <c r="T67" s="46" t="str">
        <f t="shared" si="10"/>
        <v>De Materialidade</v>
      </c>
      <c r="U67" s="46" t="str">
        <f t="shared" si="11"/>
        <v>Materiais Construtivos</v>
      </c>
      <c r="V67" s="46" t="str">
        <f t="shared" si="12"/>
        <v>Tubos Metálicos</v>
      </c>
      <c r="W67" s="19" t="s">
        <v>459</v>
      </c>
      <c r="X67" s="40" t="str">
        <f t="shared" si="13"/>
        <v>Key-TUB-67</v>
      </c>
      <c r="Y67" s="19" t="s">
        <v>812</v>
      </c>
      <c r="Z67" s="47" t="s">
        <v>9</v>
      </c>
      <c r="AA67" s="19" t="s">
        <v>2152</v>
      </c>
      <c r="AB67" s="47" t="s">
        <v>9</v>
      </c>
      <c r="AC67" s="19" t="s">
        <v>511</v>
      </c>
      <c r="AD67" s="47" t="s">
        <v>9</v>
      </c>
    </row>
    <row r="68" spans="1:30" s="24" customFormat="1" ht="6.75" customHeight="1" x14ac:dyDescent="0.25">
      <c r="A68" s="38">
        <v>68</v>
      </c>
      <c r="B68" s="1" t="s">
        <v>725</v>
      </c>
      <c r="C68" s="1" t="s">
        <v>803</v>
      </c>
      <c r="D68" s="1" t="s">
        <v>2112</v>
      </c>
      <c r="E68" s="1" t="s">
        <v>2280</v>
      </c>
      <c r="F68" s="52" t="s">
        <v>877</v>
      </c>
      <c r="G68" s="39" t="s">
        <v>9</v>
      </c>
      <c r="H68" s="39" t="s">
        <v>9</v>
      </c>
      <c r="I68" s="39" t="s">
        <v>9</v>
      </c>
      <c r="J68" s="39" t="s">
        <v>9</v>
      </c>
      <c r="K68" s="39" t="s">
        <v>9</v>
      </c>
      <c r="L68" s="23" t="str">
        <f t="shared" si="6"/>
        <v>De.Materialidade</v>
      </c>
      <c r="M68" s="23" t="str">
        <f t="shared" si="7"/>
        <v>Materiais.Construtivos</v>
      </c>
      <c r="N68" s="23" t="str">
        <f t="shared" si="8"/>
        <v>Tubos Metálicos</v>
      </c>
      <c r="O68" s="23" t="str">
        <f t="shared" si="9"/>
        <v>Tubo de Alumínio</v>
      </c>
      <c r="P68" s="46" t="s">
        <v>864</v>
      </c>
      <c r="Q68" s="41" t="s">
        <v>963</v>
      </c>
      <c r="R68" s="41" t="s">
        <v>920</v>
      </c>
      <c r="S68" s="54" t="s">
        <v>9</v>
      </c>
      <c r="T68" s="46" t="str">
        <f t="shared" si="10"/>
        <v>De Materialidade</v>
      </c>
      <c r="U68" s="46" t="str">
        <f t="shared" si="11"/>
        <v>Materiais Construtivos</v>
      </c>
      <c r="V68" s="46" t="str">
        <f t="shared" si="12"/>
        <v>Tubos Metálicos</v>
      </c>
      <c r="W68" s="19" t="s">
        <v>459</v>
      </c>
      <c r="X68" s="40" t="str">
        <f t="shared" si="13"/>
        <v>Key-TUB-68</v>
      </c>
      <c r="Y68" s="19" t="s">
        <v>812</v>
      </c>
      <c r="Z68" s="47" t="s">
        <v>9</v>
      </c>
      <c r="AA68" s="19" t="s">
        <v>2152</v>
      </c>
      <c r="AB68" s="47" t="s">
        <v>9</v>
      </c>
      <c r="AC68" s="19" t="s">
        <v>511</v>
      </c>
      <c r="AD68" s="47" t="s">
        <v>9</v>
      </c>
    </row>
    <row r="69" spans="1:30" s="24" customFormat="1" ht="6.75" customHeight="1" x14ac:dyDescent="0.25">
      <c r="A69" s="38">
        <v>69</v>
      </c>
      <c r="B69" s="1" t="s">
        <v>725</v>
      </c>
      <c r="C69" s="1" t="s">
        <v>803</v>
      </c>
      <c r="D69" s="1" t="s">
        <v>2112</v>
      </c>
      <c r="E69" s="1" t="s">
        <v>2280</v>
      </c>
      <c r="F69" s="22" t="s">
        <v>450</v>
      </c>
      <c r="G69" s="39" t="s">
        <v>9</v>
      </c>
      <c r="H69" s="39" t="s">
        <v>9</v>
      </c>
      <c r="I69" s="39" t="s">
        <v>9</v>
      </c>
      <c r="J69" s="39" t="s">
        <v>9</v>
      </c>
      <c r="K69" s="39" t="s">
        <v>9</v>
      </c>
      <c r="L69" s="23" t="str">
        <f t="shared" si="6"/>
        <v>De.Materialidade</v>
      </c>
      <c r="M69" s="23" t="str">
        <f t="shared" si="7"/>
        <v>Materiais.Construtivos</v>
      </c>
      <c r="N69" s="23" t="str">
        <f t="shared" si="8"/>
        <v>Tubos Metálicos</v>
      </c>
      <c r="O69" s="23" t="str">
        <f t="shared" si="9"/>
        <v>Tubo de Cobre</v>
      </c>
      <c r="P69" s="41" t="s">
        <v>869</v>
      </c>
      <c r="Q69" s="41" t="s">
        <v>964</v>
      </c>
      <c r="R69" s="41" t="s">
        <v>921</v>
      </c>
      <c r="S69" s="54" t="s">
        <v>9</v>
      </c>
      <c r="T69" s="46" t="str">
        <f t="shared" si="10"/>
        <v>De Materialidade</v>
      </c>
      <c r="U69" s="46" t="str">
        <f t="shared" si="11"/>
        <v>Materiais Construtivos</v>
      </c>
      <c r="V69" s="46" t="str">
        <f t="shared" si="12"/>
        <v>Tubos Metálicos</v>
      </c>
      <c r="W69" s="19" t="s">
        <v>459</v>
      </c>
      <c r="X69" s="40" t="str">
        <f t="shared" si="13"/>
        <v>Key-TUB-69</v>
      </c>
      <c r="Y69" s="19" t="s">
        <v>812</v>
      </c>
      <c r="Z69" s="47" t="s">
        <v>9</v>
      </c>
      <c r="AA69" s="19" t="s">
        <v>2152</v>
      </c>
      <c r="AB69" s="47" t="s">
        <v>9</v>
      </c>
      <c r="AC69" s="19" t="s">
        <v>510</v>
      </c>
      <c r="AD69" s="47" t="s">
        <v>9</v>
      </c>
    </row>
    <row r="70" spans="1:30" s="24" customFormat="1" ht="6.75" customHeight="1" x14ac:dyDescent="0.25">
      <c r="A70" s="38">
        <v>70</v>
      </c>
      <c r="B70" s="1" t="s">
        <v>725</v>
      </c>
      <c r="C70" s="1" t="s">
        <v>803</v>
      </c>
      <c r="D70" s="1" t="s">
        <v>2112</v>
      </c>
      <c r="E70" s="1" t="s">
        <v>2280</v>
      </c>
      <c r="F70" s="22" t="s">
        <v>447</v>
      </c>
      <c r="G70" s="39" t="s">
        <v>9</v>
      </c>
      <c r="H70" s="39" t="s">
        <v>9</v>
      </c>
      <c r="I70" s="39" t="s">
        <v>9</v>
      </c>
      <c r="J70" s="39" t="s">
        <v>9</v>
      </c>
      <c r="K70" s="39" t="s">
        <v>9</v>
      </c>
      <c r="L70" s="23" t="str">
        <f t="shared" si="6"/>
        <v>De.Materialidade</v>
      </c>
      <c r="M70" s="23" t="str">
        <f t="shared" si="7"/>
        <v>Materiais.Construtivos</v>
      </c>
      <c r="N70" s="23" t="str">
        <f t="shared" si="8"/>
        <v>Tubos Metálicos</v>
      </c>
      <c r="O70" s="23" t="str">
        <f t="shared" si="9"/>
        <v>Tubo de FoFo</v>
      </c>
      <c r="P70" s="41" t="s">
        <v>870</v>
      </c>
      <c r="Q70" s="41" t="s">
        <v>965</v>
      </c>
      <c r="R70" s="41" t="s">
        <v>922</v>
      </c>
      <c r="S70" s="54" t="s">
        <v>9</v>
      </c>
      <c r="T70" s="46" t="str">
        <f t="shared" si="10"/>
        <v>De Materialidade</v>
      </c>
      <c r="U70" s="46" t="str">
        <f t="shared" si="11"/>
        <v>Materiais Construtivos</v>
      </c>
      <c r="V70" s="46" t="str">
        <f t="shared" si="12"/>
        <v>Tubos Metálicos</v>
      </c>
      <c r="W70" s="19" t="s">
        <v>459</v>
      </c>
      <c r="X70" s="40" t="str">
        <f t="shared" si="13"/>
        <v>Key-TUB-70</v>
      </c>
      <c r="Y70" s="19" t="s">
        <v>812</v>
      </c>
      <c r="Z70" s="47" t="s">
        <v>9</v>
      </c>
      <c r="AA70" s="19" t="s">
        <v>2152</v>
      </c>
      <c r="AB70" s="47" t="s">
        <v>9</v>
      </c>
      <c r="AC70" s="19" t="s">
        <v>507</v>
      </c>
      <c r="AD70" s="47" t="s">
        <v>9</v>
      </c>
    </row>
    <row r="71" spans="1:30" s="24" customFormat="1" ht="6.75" customHeight="1" x14ac:dyDescent="0.25">
      <c r="A71" s="38">
        <v>71</v>
      </c>
      <c r="B71" s="1" t="s">
        <v>725</v>
      </c>
      <c r="C71" s="1" t="s">
        <v>803</v>
      </c>
      <c r="D71" s="1" t="s">
        <v>2112</v>
      </c>
      <c r="E71" s="1" t="s">
        <v>2280</v>
      </c>
      <c r="F71" s="22" t="s">
        <v>449</v>
      </c>
      <c r="G71" s="39" t="s">
        <v>9</v>
      </c>
      <c r="H71" s="39" t="s">
        <v>9</v>
      </c>
      <c r="I71" s="39" t="s">
        <v>9</v>
      </c>
      <c r="J71" s="39" t="s">
        <v>9</v>
      </c>
      <c r="K71" s="39" t="s">
        <v>9</v>
      </c>
      <c r="L71" s="23" t="str">
        <f t="shared" si="6"/>
        <v>De.Materialidade</v>
      </c>
      <c r="M71" s="23" t="str">
        <f t="shared" si="7"/>
        <v>Materiais.Construtivos</v>
      </c>
      <c r="N71" s="23" t="str">
        <f t="shared" si="8"/>
        <v>Tubos Metálicos</v>
      </c>
      <c r="O71" s="23" t="str">
        <f t="shared" si="9"/>
        <v>Tubo de Latão</v>
      </c>
      <c r="P71" s="41" t="s">
        <v>871</v>
      </c>
      <c r="Q71" s="41" t="s">
        <v>966</v>
      </c>
      <c r="R71" s="41" t="s">
        <v>923</v>
      </c>
      <c r="S71" s="54" t="s">
        <v>9</v>
      </c>
      <c r="T71" s="46" t="str">
        <f t="shared" si="10"/>
        <v>De Materialidade</v>
      </c>
      <c r="U71" s="46" t="str">
        <f t="shared" si="11"/>
        <v>Materiais Construtivos</v>
      </c>
      <c r="V71" s="46" t="str">
        <f t="shared" si="12"/>
        <v>Tubos Metálicos</v>
      </c>
      <c r="W71" s="19" t="s">
        <v>459</v>
      </c>
      <c r="X71" s="40" t="str">
        <f t="shared" si="13"/>
        <v>Key-TUB-71</v>
      </c>
      <c r="Y71" s="19" t="s">
        <v>812</v>
      </c>
      <c r="Z71" s="47" t="s">
        <v>9</v>
      </c>
      <c r="AA71" s="19" t="s">
        <v>2152</v>
      </c>
      <c r="AB71" s="47" t="s">
        <v>9</v>
      </c>
      <c r="AC71" s="19" t="s">
        <v>509</v>
      </c>
      <c r="AD71" s="47" t="s">
        <v>9</v>
      </c>
    </row>
    <row r="72" spans="1:30" s="51" customFormat="1" ht="6.75" customHeight="1" x14ac:dyDescent="0.25">
      <c r="A72" s="38">
        <v>72</v>
      </c>
      <c r="B72" s="1" t="s">
        <v>725</v>
      </c>
      <c r="C72" s="1" t="s">
        <v>803</v>
      </c>
      <c r="D72" s="1" t="s">
        <v>2112</v>
      </c>
      <c r="E72" s="1" t="s">
        <v>2289</v>
      </c>
      <c r="F72" s="22" t="s">
        <v>1026</v>
      </c>
      <c r="G72" s="39" t="s">
        <v>9</v>
      </c>
      <c r="H72" s="39" t="s">
        <v>9</v>
      </c>
      <c r="I72" s="39" t="s">
        <v>9</v>
      </c>
      <c r="J72" s="39" t="s">
        <v>9</v>
      </c>
      <c r="K72" s="39" t="s">
        <v>9</v>
      </c>
      <c r="L72" s="23" t="str">
        <f t="shared" ref="L72:M72" si="14">CONCATENATE("", C72)</f>
        <v>De.Materialidade</v>
      </c>
      <c r="M72" s="23" t="str">
        <f t="shared" si="14"/>
        <v>Materiais.Construtivos</v>
      </c>
      <c r="N72" s="23" t="str">
        <f t="shared" ref="N72:O72" si="15">(SUBSTITUTE(SUBSTITUTE(CONCATENATE("",E72),"."," ")," De "," de "))</f>
        <v>Tubos Multicamadas</v>
      </c>
      <c r="O72" s="23" t="str">
        <f t="shared" si="15"/>
        <v>Tubo de Multicamada</v>
      </c>
      <c r="P72" s="41" t="s">
        <v>863</v>
      </c>
      <c r="Q72" s="41" t="s">
        <v>958</v>
      </c>
      <c r="R72" s="41" t="s">
        <v>915</v>
      </c>
      <c r="S72" s="54" t="s">
        <v>9</v>
      </c>
      <c r="T72" s="46" t="str">
        <f t="shared" ref="T72:V72" si="16">SUBSTITUTE(C72, ".", " ")</f>
        <v>De Materialidade</v>
      </c>
      <c r="U72" s="46" t="str">
        <f t="shared" si="16"/>
        <v>Materiais Construtivos</v>
      </c>
      <c r="V72" s="46" t="str">
        <f t="shared" si="16"/>
        <v>Tubos Multicamadas</v>
      </c>
      <c r="W72" s="19" t="s">
        <v>459</v>
      </c>
      <c r="X72" s="40" t="str">
        <f t="shared" ref="X72" si="17">CONCATENATE("Key-TUB-",A72)</f>
        <v>Key-TUB-72</v>
      </c>
      <c r="Y72" s="19" t="s">
        <v>812</v>
      </c>
      <c r="Z72" s="47" t="s">
        <v>9</v>
      </c>
      <c r="AA72" s="19" t="s">
        <v>2152</v>
      </c>
      <c r="AB72" s="47" t="s">
        <v>9</v>
      </c>
      <c r="AC72" s="19" t="s">
        <v>511</v>
      </c>
      <c r="AD72" s="47" t="s">
        <v>9</v>
      </c>
    </row>
    <row r="73" spans="1:30" s="24" customFormat="1" ht="6.75" customHeight="1" x14ac:dyDescent="0.25">
      <c r="A73" s="38">
        <v>73</v>
      </c>
      <c r="B73" s="1" t="s">
        <v>725</v>
      </c>
      <c r="C73" s="1" t="s">
        <v>803</v>
      </c>
      <c r="D73" s="1" t="s">
        <v>2112</v>
      </c>
      <c r="E73" s="1" t="s">
        <v>2279</v>
      </c>
      <c r="F73" s="22" t="s">
        <v>448</v>
      </c>
      <c r="G73" s="39" t="s">
        <v>9</v>
      </c>
      <c r="H73" s="39" t="s">
        <v>9</v>
      </c>
      <c r="I73" s="39" t="s">
        <v>9</v>
      </c>
      <c r="J73" s="39" t="s">
        <v>9</v>
      </c>
      <c r="K73" s="39" t="s">
        <v>9</v>
      </c>
      <c r="L73" s="23" t="str">
        <f t="shared" ref="L73:M77" si="18">CONCATENATE("", C73)</f>
        <v>De.Materialidade</v>
      </c>
      <c r="M73" s="23" t="str">
        <f t="shared" si="18"/>
        <v>Materiais.Construtivos</v>
      </c>
      <c r="N73" s="23" t="str">
        <f t="shared" ref="N73:O77" si="19">(SUBSTITUTE(SUBSTITUTE(CONCATENATE("",E73),"."," ")," De "," de "))</f>
        <v>Tubos Plásticos</v>
      </c>
      <c r="O73" s="23" t="str">
        <f t="shared" si="19"/>
        <v>Tubo de PVC</v>
      </c>
      <c r="P73" s="41" t="s">
        <v>872</v>
      </c>
      <c r="Q73" s="41" t="s">
        <v>967</v>
      </c>
      <c r="R73" s="41" t="s">
        <v>924</v>
      </c>
      <c r="S73" s="54" t="s">
        <v>9</v>
      </c>
      <c r="T73" s="46" t="str">
        <f t="shared" ref="T73:V77" si="20">SUBSTITUTE(C73, ".", " ")</f>
        <v>De Materialidade</v>
      </c>
      <c r="U73" s="46" t="str">
        <f t="shared" si="20"/>
        <v>Materiais Construtivos</v>
      </c>
      <c r="V73" s="46" t="str">
        <f t="shared" si="20"/>
        <v>Tubos Plásticos</v>
      </c>
      <c r="W73" s="19" t="s">
        <v>459</v>
      </c>
      <c r="X73" s="40" t="str">
        <f>CONCATENATE("Key-TUB-",A73)</f>
        <v>Key-TUB-73</v>
      </c>
      <c r="Y73" s="19" t="s">
        <v>812</v>
      </c>
      <c r="Z73" s="47" t="s">
        <v>9</v>
      </c>
      <c r="AA73" s="19" t="s">
        <v>2152</v>
      </c>
      <c r="AB73" s="47" t="s">
        <v>9</v>
      </c>
      <c r="AC73" s="19" t="s">
        <v>506</v>
      </c>
      <c r="AD73" s="47" t="s">
        <v>9</v>
      </c>
    </row>
    <row r="74" spans="1:30" s="24" customFormat="1" ht="6.75" customHeight="1" x14ac:dyDescent="0.25">
      <c r="A74" s="38">
        <v>74</v>
      </c>
      <c r="B74" s="1" t="s">
        <v>725</v>
      </c>
      <c r="C74" s="1" t="s">
        <v>803</v>
      </c>
      <c r="D74" s="1" t="s">
        <v>2112</v>
      </c>
      <c r="E74" s="1" t="s">
        <v>2279</v>
      </c>
      <c r="F74" s="22" t="s">
        <v>452</v>
      </c>
      <c r="G74" s="39" t="s">
        <v>9</v>
      </c>
      <c r="H74" s="39" t="s">
        <v>9</v>
      </c>
      <c r="I74" s="39" t="s">
        <v>9</v>
      </c>
      <c r="J74" s="39" t="s">
        <v>9</v>
      </c>
      <c r="K74" s="39" t="s">
        <v>9</v>
      </c>
      <c r="L74" s="23" t="str">
        <f t="shared" si="18"/>
        <v>De.Materialidade</v>
      </c>
      <c r="M74" s="23" t="str">
        <f t="shared" si="18"/>
        <v>Materiais.Construtivos</v>
      </c>
      <c r="N74" s="23" t="str">
        <f t="shared" si="19"/>
        <v>Tubos Plásticos</v>
      </c>
      <c r="O74" s="23" t="str">
        <f t="shared" si="19"/>
        <v>Tubo de PVCO</v>
      </c>
      <c r="P74" s="41" t="s">
        <v>873</v>
      </c>
      <c r="Q74" s="41" t="s">
        <v>968</v>
      </c>
      <c r="R74" s="41" t="s">
        <v>925</v>
      </c>
      <c r="S74" s="54" t="s">
        <v>9</v>
      </c>
      <c r="T74" s="46" t="str">
        <f t="shared" si="20"/>
        <v>De Materialidade</v>
      </c>
      <c r="U74" s="46" t="str">
        <f t="shared" si="20"/>
        <v>Materiais Construtivos</v>
      </c>
      <c r="V74" s="46" t="str">
        <f t="shared" si="20"/>
        <v>Tubos Plásticos</v>
      </c>
      <c r="W74" s="19" t="s">
        <v>459</v>
      </c>
      <c r="X74" s="40" t="str">
        <f>CONCATENATE("Key-TUB-",A74)</f>
        <v>Key-TUB-74</v>
      </c>
      <c r="Y74" s="19" t="s">
        <v>812</v>
      </c>
      <c r="Z74" s="47" t="s">
        <v>9</v>
      </c>
      <c r="AA74" s="19" t="s">
        <v>2152</v>
      </c>
      <c r="AB74" s="47" t="s">
        <v>9</v>
      </c>
      <c r="AC74" s="19" t="s">
        <v>506</v>
      </c>
      <c r="AD74" s="47" t="s">
        <v>9</v>
      </c>
    </row>
    <row r="75" spans="1:30" s="24" customFormat="1" ht="6.75" customHeight="1" x14ac:dyDescent="0.25">
      <c r="A75" s="38">
        <v>75</v>
      </c>
      <c r="B75" s="1" t="s">
        <v>725</v>
      </c>
      <c r="C75" s="1" t="s">
        <v>803</v>
      </c>
      <c r="D75" s="1" t="s">
        <v>2112</v>
      </c>
      <c r="E75" s="1" t="s">
        <v>2278</v>
      </c>
      <c r="F75" s="22" t="s">
        <v>451</v>
      </c>
      <c r="G75" s="39" t="s">
        <v>9</v>
      </c>
      <c r="H75" s="39" t="s">
        <v>9</v>
      </c>
      <c r="I75" s="39" t="s">
        <v>9</v>
      </c>
      <c r="J75" s="39" t="s">
        <v>9</v>
      </c>
      <c r="K75" s="39" t="s">
        <v>9</v>
      </c>
      <c r="L75" s="23" t="str">
        <f t="shared" si="18"/>
        <v>De.Materialidade</v>
      </c>
      <c r="M75" s="23" t="str">
        <f t="shared" si="18"/>
        <v>Materiais.Construtivos</v>
      </c>
      <c r="N75" s="23" t="str">
        <f t="shared" si="19"/>
        <v>Tubos Termoplásticos</v>
      </c>
      <c r="O75" s="23" t="str">
        <f t="shared" si="19"/>
        <v>Tubo de PEAD</v>
      </c>
      <c r="P75" s="41" t="s">
        <v>874</v>
      </c>
      <c r="Q75" s="41" t="s">
        <v>969</v>
      </c>
      <c r="R75" s="41" t="s">
        <v>926</v>
      </c>
      <c r="S75" s="54" t="s">
        <v>9</v>
      </c>
      <c r="T75" s="46" t="str">
        <f t="shared" si="20"/>
        <v>De Materialidade</v>
      </c>
      <c r="U75" s="46" t="str">
        <f t="shared" si="20"/>
        <v>Materiais Construtivos</v>
      </c>
      <c r="V75" s="46" t="str">
        <f t="shared" si="20"/>
        <v>Tubos Termoplásticos</v>
      </c>
      <c r="W75" s="19" t="s">
        <v>459</v>
      </c>
      <c r="X75" s="40" t="str">
        <f>CONCATENATE("Key-TUB-",A75)</f>
        <v>Key-TUB-75</v>
      </c>
      <c r="Y75" s="19" t="s">
        <v>812</v>
      </c>
      <c r="Z75" s="47" t="s">
        <v>9</v>
      </c>
      <c r="AA75" s="19" t="s">
        <v>2152</v>
      </c>
      <c r="AB75" s="47" t="s">
        <v>9</v>
      </c>
      <c r="AC75" s="19" t="s">
        <v>511</v>
      </c>
      <c r="AD75" s="47" t="s">
        <v>9</v>
      </c>
    </row>
    <row r="76" spans="1:30" s="24" customFormat="1" ht="6.75" customHeight="1" x14ac:dyDescent="0.25">
      <c r="A76" s="38">
        <v>76</v>
      </c>
      <c r="B76" s="1" t="s">
        <v>725</v>
      </c>
      <c r="C76" s="1" t="s">
        <v>803</v>
      </c>
      <c r="D76" s="1" t="s">
        <v>2112</v>
      </c>
      <c r="E76" s="1" t="s">
        <v>2278</v>
      </c>
      <c r="F76" s="52" t="s">
        <v>881</v>
      </c>
      <c r="G76" s="39" t="s">
        <v>9</v>
      </c>
      <c r="H76" s="39" t="s">
        <v>9</v>
      </c>
      <c r="I76" s="39" t="s">
        <v>9</v>
      </c>
      <c r="J76" s="39" t="s">
        <v>9</v>
      </c>
      <c r="K76" s="39" t="s">
        <v>9</v>
      </c>
      <c r="L76" s="23" t="str">
        <f t="shared" si="18"/>
        <v>De.Materialidade</v>
      </c>
      <c r="M76" s="23" t="str">
        <f t="shared" si="18"/>
        <v>Materiais.Construtivos</v>
      </c>
      <c r="N76" s="23" t="str">
        <f t="shared" si="19"/>
        <v>Tubos Termoplásticos</v>
      </c>
      <c r="O76" s="23" t="str">
        <f t="shared" si="19"/>
        <v>Tubo de PEX</v>
      </c>
      <c r="P76" s="46" t="s">
        <v>875</v>
      </c>
      <c r="Q76" s="41" t="s">
        <v>970</v>
      </c>
      <c r="R76" s="41" t="s">
        <v>927</v>
      </c>
      <c r="S76" s="54" t="s">
        <v>9</v>
      </c>
      <c r="T76" s="46" t="str">
        <f t="shared" si="20"/>
        <v>De Materialidade</v>
      </c>
      <c r="U76" s="46" t="str">
        <f t="shared" si="20"/>
        <v>Materiais Construtivos</v>
      </c>
      <c r="V76" s="46" t="str">
        <f t="shared" si="20"/>
        <v>Tubos Termoplásticos</v>
      </c>
      <c r="W76" s="19" t="s">
        <v>459</v>
      </c>
      <c r="X76" s="40" t="str">
        <f>CONCATENATE("Key-TUB-",A76)</f>
        <v>Key-TUB-76</v>
      </c>
      <c r="Y76" s="19" t="s">
        <v>812</v>
      </c>
      <c r="Z76" s="47" t="s">
        <v>9</v>
      </c>
      <c r="AA76" s="19" t="s">
        <v>2152</v>
      </c>
      <c r="AB76" s="47" t="s">
        <v>9</v>
      </c>
      <c r="AC76" s="19" t="s">
        <v>511</v>
      </c>
      <c r="AD76" s="47" t="s">
        <v>9</v>
      </c>
    </row>
    <row r="77" spans="1:30" s="24" customFormat="1" ht="6.75" customHeight="1" x14ac:dyDescent="0.25">
      <c r="A77" s="38">
        <v>77</v>
      </c>
      <c r="B77" s="1" t="s">
        <v>725</v>
      </c>
      <c r="C77" s="1" t="s">
        <v>803</v>
      </c>
      <c r="D77" s="1" t="s">
        <v>2112</v>
      </c>
      <c r="E77" s="1" t="s">
        <v>2278</v>
      </c>
      <c r="F77" s="52" t="s">
        <v>882</v>
      </c>
      <c r="G77" s="39" t="s">
        <v>9</v>
      </c>
      <c r="H77" s="39" t="s">
        <v>9</v>
      </c>
      <c r="I77" s="39" t="s">
        <v>9</v>
      </c>
      <c r="J77" s="39" t="s">
        <v>9</v>
      </c>
      <c r="K77" s="39" t="s">
        <v>9</v>
      </c>
      <c r="L77" s="23" t="str">
        <f t="shared" si="18"/>
        <v>De.Materialidade</v>
      </c>
      <c r="M77" s="23" t="str">
        <f t="shared" si="18"/>
        <v>Materiais.Construtivos</v>
      </c>
      <c r="N77" s="23" t="str">
        <f t="shared" si="19"/>
        <v>Tubos Termoplásticos</v>
      </c>
      <c r="O77" s="23" t="str">
        <f t="shared" si="19"/>
        <v>Tubo de PPR</v>
      </c>
      <c r="P77" s="46" t="s">
        <v>875</v>
      </c>
      <c r="Q77" s="41" t="s">
        <v>970</v>
      </c>
      <c r="R77" s="41" t="s">
        <v>927</v>
      </c>
      <c r="S77" s="54" t="s">
        <v>9</v>
      </c>
      <c r="T77" s="46" t="str">
        <f t="shared" si="20"/>
        <v>De Materialidade</v>
      </c>
      <c r="U77" s="46" t="str">
        <f t="shared" si="20"/>
        <v>Materiais Construtivos</v>
      </c>
      <c r="V77" s="46" t="str">
        <f t="shared" si="20"/>
        <v>Tubos Termoplásticos</v>
      </c>
      <c r="W77" s="19" t="s">
        <v>459</v>
      </c>
      <c r="X77" s="40" t="str">
        <f>CONCATENATE("Key-TUB-",A77)</f>
        <v>Key-TUB-77</v>
      </c>
      <c r="Y77" s="19" t="s">
        <v>812</v>
      </c>
      <c r="Z77" s="47" t="s">
        <v>9</v>
      </c>
      <c r="AA77" s="19" t="s">
        <v>2152</v>
      </c>
      <c r="AB77" s="47" t="s">
        <v>9</v>
      </c>
      <c r="AC77" s="19" t="s">
        <v>511</v>
      </c>
      <c r="AD77" s="47" t="s">
        <v>9</v>
      </c>
    </row>
    <row r="78" spans="1:30" s="24" customFormat="1" ht="6.75" customHeight="1" x14ac:dyDescent="0.25">
      <c r="A78" s="38">
        <v>78</v>
      </c>
      <c r="B78" s="1" t="s">
        <v>725</v>
      </c>
      <c r="C78" s="1" t="s">
        <v>803</v>
      </c>
      <c r="D78" s="1" t="s">
        <v>2113</v>
      </c>
      <c r="E78" s="1" t="s">
        <v>2111</v>
      </c>
      <c r="F78" s="52" t="s">
        <v>1027</v>
      </c>
      <c r="G78" s="39" t="s">
        <v>9</v>
      </c>
      <c r="H78" s="39" t="s">
        <v>9</v>
      </c>
      <c r="I78" s="39" t="s">
        <v>9</v>
      </c>
      <c r="J78" s="39" t="s">
        <v>9</v>
      </c>
      <c r="K78" s="39" t="s">
        <v>9</v>
      </c>
      <c r="L78" s="23" t="str">
        <f t="shared" ref="L78:M79" si="21">CONCATENATE("", C78)</f>
        <v>De.Materialidade</v>
      </c>
      <c r="M78" s="23" t="str">
        <f t="shared" si="21"/>
        <v>Catalogações</v>
      </c>
      <c r="N78" s="23" t="str">
        <f t="shared" ref="N78:O78" si="22">(SUBSTITUTE(SUBSTITUTE(CONCATENATE("",E78),"."," ")," De "," de "))</f>
        <v>Catálogo de Material</v>
      </c>
      <c r="O78" s="23" t="str">
        <f t="shared" si="22"/>
        <v>Catálogo de Fabricante</v>
      </c>
      <c r="P78" s="46" t="s">
        <v>1028</v>
      </c>
      <c r="Q78" s="41" t="s">
        <v>1029</v>
      </c>
      <c r="R78" s="41" t="s">
        <v>1030</v>
      </c>
      <c r="S78" s="54" t="s">
        <v>9</v>
      </c>
      <c r="T78" s="46" t="str">
        <f t="shared" ref="T78:V80" si="23">SUBSTITUTE(C78, ".", " ")</f>
        <v>De Materialidade</v>
      </c>
      <c r="U78" s="46" t="str">
        <f t="shared" si="23"/>
        <v>Catalogações</v>
      </c>
      <c r="V78" s="46" t="str">
        <f t="shared" si="23"/>
        <v>Catálogo de Material</v>
      </c>
      <c r="W78" s="19" t="s">
        <v>459</v>
      </c>
      <c r="X78" s="40" t="str">
        <f t="shared" ref="X78:X80" si="24">CONCATENATE("Key-TUB-",A78)</f>
        <v>Key-TUB-78</v>
      </c>
      <c r="Y78" s="19" t="s">
        <v>812</v>
      </c>
      <c r="Z78" s="47" t="s">
        <v>9</v>
      </c>
      <c r="AA78" s="19" t="s">
        <v>2206</v>
      </c>
      <c r="AB78" s="47" t="s">
        <v>9</v>
      </c>
      <c r="AC78" s="19" t="s">
        <v>2205</v>
      </c>
      <c r="AD78" s="47" t="s">
        <v>9</v>
      </c>
    </row>
    <row r="79" spans="1:30" s="24" customFormat="1" ht="6.75" customHeight="1" x14ac:dyDescent="0.25">
      <c r="A79" s="38">
        <v>79</v>
      </c>
      <c r="B79" s="1" t="s">
        <v>725</v>
      </c>
      <c r="C79" s="1" t="s">
        <v>803</v>
      </c>
      <c r="D79" s="1" t="s">
        <v>2113</v>
      </c>
      <c r="E79" s="1" t="s">
        <v>2111</v>
      </c>
      <c r="F79" s="52" t="s">
        <v>1031</v>
      </c>
      <c r="G79" s="39" t="s">
        <v>9</v>
      </c>
      <c r="H79" s="39" t="s">
        <v>9</v>
      </c>
      <c r="I79" s="39" t="s">
        <v>9</v>
      </c>
      <c r="J79" s="39" t="s">
        <v>9</v>
      </c>
      <c r="K79" s="39" t="s">
        <v>9</v>
      </c>
      <c r="L79" s="23" t="str">
        <f t="shared" si="21"/>
        <v>De.Materialidade</v>
      </c>
      <c r="M79" s="23" t="str">
        <f t="shared" si="21"/>
        <v>Catalogações</v>
      </c>
      <c r="N79" s="23" t="str">
        <f t="shared" ref="N79:O80" si="25">(SUBSTITUTE(SUBSTITUTE(CONCATENATE("",E79),"."," ")," De "," de "))</f>
        <v>Catálogo de Material</v>
      </c>
      <c r="O79" s="23" t="str">
        <f t="shared" si="25"/>
        <v>Catálogo de Fornecedor</v>
      </c>
      <c r="P79" s="46" t="s">
        <v>1032</v>
      </c>
      <c r="Q79" s="41" t="s">
        <v>1033</v>
      </c>
      <c r="R79" s="41" t="s">
        <v>1034</v>
      </c>
      <c r="S79" s="54" t="s">
        <v>9</v>
      </c>
      <c r="T79" s="46" t="str">
        <f t="shared" si="23"/>
        <v>De Materialidade</v>
      </c>
      <c r="U79" s="46" t="str">
        <f t="shared" si="23"/>
        <v>Catalogações</v>
      </c>
      <c r="V79" s="46" t="str">
        <f t="shared" si="23"/>
        <v>Catálogo de Material</v>
      </c>
      <c r="W79" s="19" t="s">
        <v>459</v>
      </c>
      <c r="X79" s="40" t="str">
        <f t="shared" si="24"/>
        <v>Key-TUB-79</v>
      </c>
      <c r="Y79" s="19" t="s">
        <v>812</v>
      </c>
      <c r="Z79" s="47" t="s">
        <v>9</v>
      </c>
      <c r="AA79" s="19" t="s">
        <v>2206</v>
      </c>
      <c r="AB79" s="47" t="s">
        <v>9</v>
      </c>
      <c r="AC79" s="19" t="s">
        <v>2205</v>
      </c>
      <c r="AD79" s="47" t="s">
        <v>9</v>
      </c>
    </row>
    <row r="80" spans="1:30" s="24" customFormat="1" ht="6.75" customHeight="1" x14ac:dyDescent="0.25">
      <c r="A80" s="38">
        <v>80</v>
      </c>
      <c r="B80" s="1" t="s">
        <v>725</v>
      </c>
      <c r="C80" s="1" t="s">
        <v>803</v>
      </c>
      <c r="D80" s="1" t="s">
        <v>2113</v>
      </c>
      <c r="E80" s="1" t="s">
        <v>2111</v>
      </c>
      <c r="F80" s="52" t="s">
        <v>1035</v>
      </c>
      <c r="G80" s="39" t="s">
        <v>9</v>
      </c>
      <c r="H80" s="39" t="s">
        <v>9</v>
      </c>
      <c r="I80" s="39" t="s">
        <v>9</v>
      </c>
      <c r="J80" s="39" t="s">
        <v>9</v>
      </c>
      <c r="K80" s="39" t="s">
        <v>9</v>
      </c>
      <c r="L80" s="23" t="str">
        <f t="shared" ref="L80:M80" si="26">CONCATENATE("", C80)</f>
        <v>De.Materialidade</v>
      </c>
      <c r="M80" s="23" t="str">
        <f t="shared" si="26"/>
        <v>Catalogações</v>
      </c>
      <c r="N80" s="23" t="str">
        <f t="shared" si="25"/>
        <v>Catálogo de Material</v>
      </c>
      <c r="O80" s="23" t="str">
        <f t="shared" si="25"/>
        <v>Catálogo de Construtor</v>
      </c>
      <c r="P80" s="46" t="s">
        <v>1036</v>
      </c>
      <c r="Q80" s="46" t="s">
        <v>1037</v>
      </c>
      <c r="R80" s="41" t="s">
        <v>1038</v>
      </c>
      <c r="S80" s="54" t="s">
        <v>9</v>
      </c>
      <c r="T80" s="46" t="str">
        <f t="shared" si="23"/>
        <v>De Materialidade</v>
      </c>
      <c r="U80" s="46" t="str">
        <f t="shared" si="23"/>
        <v>Catalogações</v>
      </c>
      <c r="V80" s="46" t="str">
        <f t="shared" si="23"/>
        <v>Catálogo de Material</v>
      </c>
      <c r="W80" s="19" t="s">
        <v>459</v>
      </c>
      <c r="X80" s="40" t="str">
        <f t="shared" si="24"/>
        <v>Key-TUB-80</v>
      </c>
      <c r="Y80" s="19" t="s">
        <v>812</v>
      </c>
      <c r="Z80" s="47" t="s">
        <v>9</v>
      </c>
      <c r="AA80" s="19" t="s">
        <v>2206</v>
      </c>
      <c r="AB80" s="47" t="s">
        <v>9</v>
      </c>
      <c r="AC80" s="19" t="s">
        <v>2205</v>
      </c>
      <c r="AD80" s="47" t="s">
        <v>9</v>
      </c>
    </row>
    <row r="81" spans="1:30" ht="6.75" customHeight="1" x14ac:dyDescent="0.25">
      <c r="A81" s="38">
        <v>81</v>
      </c>
      <c r="B81" s="1" t="s">
        <v>725</v>
      </c>
      <c r="C81" s="1" t="s">
        <v>352</v>
      </c>
      <c r="D81" s="1" t="s">
        <v>324</v>
      </c>
      <c r="E81" s="1" t="s">
        <v>2114</v>
      </c>
      <c r="F81" s="22" t="s">
        <v>308</v>
      </c>
      <c r="G81" s="39" t="s">
        <v>9</v>
      </c>
      <c r="H81" s="39" t="s">
        <v>9</v>
      </c>
      <c r="I81" s="39" t="s">
        <v>9</v>
      </c>
      <c r="J81" s="39" t="s">
        <v>9</v>
      </c>
      <c r="K81" s="39" t="s">
        <v>9</v>
      </c>
      <c r="L81" s="23" t="str">
        <f t="shared" ref="L81:L143" si="27">CONCATENATE("", C81)</f>
        <v>Redes.Urbanas</v>
      </c>
      <c r="M81" s="23" t="str">
        <f t="shared" ref="M81:M143" si="28">CONCATENATE("", D81)</f>
        <v>Redes.Fluídos</v>
      </c>
      <c r="N81" s="23" t="str">
        <f t="shared" ref="N81:N142" si="29">(SUBSTITUTE(SUBSTITUTE(CONCATENATE("",E81),"."," ")," De "," de "))</f>
        <v>Rede Fornecedora</v>
      </c>
      <c r="O81" s="23" t="str">
        <f t="shared" ref="O81:O143" si="30">(SUBSTITUTE(SUBSTITUTE(CONCATENATE("",F81),"."," ")," De "," de "))</f>
        <v>Rede de Agua</v>
      </c>
      <c r="P81" s="19" t="s">
        <v>289</v>
      </c>
      <c r="Q81" s="19" t="s">
        <v>512</v>
      </c>
      <c r="R81" s="19" t="s">
        <v>605</v>
      </c>
      <c r="S81" s="54" t="s">
        <v>9</v>
      </c>
      <c r="T81" s="46" t="str">
        <f t="shared" ref="T81:T83" si="31">SUBSTITUTE(C81, ".", " ")</f>
        <v>Redes Urbanas</v>
      </c>
      <c r="U81" s="46" t="str">
        <f t="shared" ref="U81:U83" si="32">SUBSTITUTE(D81, ".", " ")</f>
        <v>Redes Fluídos</v>
      </c>
      <c r="V81" s="46" t="str">
        <f t="shared" ref="V81:V93" si="33">SUBSTITUTE(E81, ".", " ")</f>
        <v>Rede Fornecedora</v>
      </c>
      <c r="W81" s="19" t="s">
        <v>459</v>
      </c>
      <c r="X81" s="40" t="str">
        <f t="shared" ref="X81:X143" si="34">CONCATENATE("Key-TUB-",A81)</f>
        <v>Key-TUB-81</v>
      </c>
      <c r="Y81" s="19" t="s">
        <v>461</v>
      </c>
      <c r="Z81" s="47" t="s">
        <v>9</v>
      </c>
      <c r="AA81" s="37" t="s">
        <v>462</v>
      </c>
      <c r="AB81" s="47" t="s">
        <v>9</v>
      </c>
      <c r="AC81" s="19" t="s">
        <v>463</v>
      </c>
      <c r="AD81" s="47" t="s">
        <v>9</v>
      </c>
    </row>
    <row r="82" spans="1:30" ht="6.75" customHeight="1" x14ac:dyDescent="0.25">
      <c r="A82" s="38">
        <v>82</v>
      </c>
      <c r="B82" s="1" t="s">
        <v>725</v>
      </c>
      <c r="C82" s="1" t="s">
        <v>352</v>
      </c>
      <c r="D82" s="1" t="s">
        <v>324</v>
      </c>
      <c r="E82" s="1" t="s">
        <v>2114</v>
      </c>
      <c r="F82" s="22" t="s">
        <v>290</v>
      </c>
      <c r="G82" s="39" t="s">
        <v>9</v>
      </c>
      <c r="H82" s="39" t="s">
        <v>9</v>
      </c>
      <c r="I82" s="39" t="s">
        <v>9</v>
      </c>
      <c r="J82" s="39" t="s">
        <v>9</v>
      </c>
      <c r="K82" s="39" t="s">
        <v>9</v>
      </c>
      <c r="L82" s="23" t="str">
        <f t="shared" si="27"/>
        <v>Redes.Urbanas</v>
      </c>
      <c r="M82" s="23" t="str">
        <f t="shared" si="28"/>
        <v>Redes.Fluídos</v>
      </c>
      <c r="N82" s="23" t="str">
        <f t="shared" si="29"/>
        <v>Rede Fornecedora</v>
      </c>
      <c r="O82" s="23" t="str">
        <f t="shared" si="30"/>
        <v>Rede de Substâncias</v>
      </c>
      <c r="P82" s="19" t="s">
        <v>292</v>
      </c>
      <c r="Q82" s="19" t="s">
        <v>513</v>
      </c>
      <c r="R82" s="19" t="s">
        <v>606</v>
      </c>
      <c r="S82" s="54" t="s">
        <v>9</v>
      </c>
      <c r="T82" s="46" t="str">
        <f t="shared" si="31"/>
        <v>Redes Urbanas</v>
      </c>
      <c r="U82" s="46" t="str">
        <f t="shared" si="32"/>
        <v>Redes Fluídos</v>
      </c>
      <c r="V82" s="46" t="str">
        <f t="shared" si="33"/>
        <v>Rede Fornecedora</v>
      </c>
      <c r="W82" s="19" t="s">
        <v>459</v>
      </c>
      <c r="X82" s="40" t="str">
        <f t="shared" si="34"/>
        <v>Key-TUB-82</v>
      </c>
      <c r="Y82" s="19" t="s">
        <v>461</v>
      </c>
      <c r="Z82" s="47" t="s">
        <v>9</v>
      </c>
      <c r="AA82" s="37" t="s">
        <v>464</v>
      </c>
      <c r="AB82" s="47" t="s">
        <v>9</v>
      </c>
      <c r="AC82" s="19" t="s">
        <v>463</v>
      </c>
      <c r="AD82" s="47" t="s">
        <v>9</v>
      </c>
    </row>
    <row r="83" spans="1:30" ht="6.75" customHeight="1" x14ac:dyDescent="0.25">
      <c r="A83" s="38">
        <v>83</v>
      </c>
      <c r="B83" s="1" t="s">
        <v>725</v>
      </c>
      <c r="C83" s="1" t="s">
        <v>352</v>
      </c>
      <c r="D83" s="1" t="s">
        <v>324</v>
      </c>
      <c r="E83" s="1" t="s">
        <v>2114</v>
      </c>
      <c r="F83" s="1" t="s">
        <v>297</v>
      </c>
      <c r="G83" s="39" t="s">
        <v>9</v>
      </c>
      <c r="H83" s="39" t="s">
        <v>9</v>
      </c>
      <c r="I83" s="39" t="s">
        <v>9</v>
      </c>
      <c r="J83" s="39" t="s">
        <v>9</v>
      </c>
      <c r="K83" s="39" t="s">
        <v>9</v>
      </c>
      <c r="L83" s="23" t="str">
        <f t="shared" si="27"/>
        <v>Redes.Urbanas</v>
      </c>
      <c r="M83" s="23" t="str">
        <f t="shared" si="28"/>
        <v>Redes.Fluídos</v>
      </c>
      <c r="N83" s="23" t="str">
        <f t="shared" si="29"/>
        <v>Rede Fornecedora</v>
      </c>
      <c r="O83" s="23" t="str">
        <f t="shared" si="30"/>
        <v>Rede de Combustíveis</v>
      </c>
      <c r="P83" s="19" t="s">
        <v>295</v>
      </c>
      <c r="Q83" s="19" t="s">
        <v>514</v>
      </c>
      <c r="R83" s="19" t="s">
        <v>607</v>
      </c>
      <c r="S83" s="54" t="s">
        <v>9</v>
      </c>
      <c r="T83" s="46" t="str">
        <f t="shared" si="31"/>
        <v>Redes Urbanas</v>
      </c>
      <c r="U83" s="46" t="str">
        <f t="shared" si="32"/>
        <v>Redes Fluídos</v>
      </c>
      <c r="V83" s="46" t="str">
        <f t="shared" si="33"/>
        <v>Rede Fornecedora</v>
      </c>
      <c r="W83" s="19" t="s">
        <v>459</v>
      </c>
      <c r="X83" s="40" t="str">
        <f t="shared" si="34"/>
        <v>Key-TUB-83</v>
      </c>
      <c r="Y83" s="19" t="s">
        <v>461</v>
      </c>
      <c r="Z83" s="47" t="s">
        <v>9</v>
      </c>
      <c r="AA83" s="37" t="s">
        <v>465</v>
      </c>
      <c r="AB83" s="47" t="s">
        <v>9</v>
      </c>
      <c r="AC83" s="19" t="s">
        <v>463</v>
      </c>
      <c r="AD83" s="47" t="s">
        <v>9</v>
      </c>
    </row>
    <row r="84" spans="1:30" ht="6.75" customHeight="1" x14ac:dyDescent="0.25">
      <c r="A84" s="38">
        <v>84</v>
      </c>
      <c r="B84" s="1" t="s">
        <v>725</v>
      </c>
      <c r="C84" s="1" t="s">
        <v>352</v>
      </c>
      <c r="D84" s="1" t="s">
        <v>324</v>
      </c>
      <c r="E84" s="1" t="s">
        <v>2114</v>
      </c>
      <c r="F84" s="22" t="s">
        <v>311</v>
      </c>
      <c r="G84" s="39" t="s">
        <v>9</v>
      </c>
      <c r="H84" s="39" t="s">
        <v>9</v>
      </c>
      <c r="I84" s="39" t="s">
        <v>9</v>
      </c>
      <c r="J84" s="39" t="s">
        <v>9</v>
      </c>
      <c r="K84" s="39" t="s">
        <v>9</v>
      </c>
      <c r="L84" s="23" t="str">
        <f t="shared" si="27"/>
        <v>Redes.Urbanas</v>
      </c>
      <c r="M84" s="23" t="str">
        <f t="shared" si="28"/>
        <v>Redes.Fluídos</v>
      </c>
      <c r="N84" s="23" t="str">
        <f t="shared" si="29"/>
        <v>Rede Fornecedora</v>
      </c>
      <c r="O84" s="23" t="str">
        <f t="shared" si="30"/>
        <v>Rede de Operacionalização</v>
      </c>
      <c r="P84" s="19" t="s">
        <v>294</v>
      </c>
      <c r="Q84" s="19" t="s">
        <v>515</v>
      </c>
      <c r="R84" s="19" t="s">
        <v>608</v>
      </c>
      <c r="S84" s="54" t="s">
        <v>9</v>
      </c>
      <c r="T84" s="46" t="str">
        <f t="shared" ref="T84:V118" si="35">SUBSTITUTE(C84, ".", " ")</f>
        <v>Redes Urbanas</v>
      </c>
      <c r="U84" s="46" t="str">
        <f t="shared" si="35"/>
        <v>Redes Fluídos</v>
      </c>
      <c r="V84" s="46" t="str">
        <f t="shared" si="33"/>
        <v>Rede Fornecedora</v>
      </c>
      <c r="W84" s="19" t="s">
        <v>459</v>
      </c>
      <c r="X84" s="40" t="str">
        <f t="shared" si="34"/>
        <v>Key-TUB-84</v>
      </c>
      <c r="Y84" s="19" t="s">
        <v>461</v>
      </c>
      <c r="Z84" s="47" t="s">
        <v>9</v>
      </c>
      <c r="AA84" s="37" t="s">
        <v>466</v>
      </c>
      <c r="AB84" s="47" t="s">
        <v>9</v>
      </c>
      <c r="AC84" s="19" t="s">
        <v>463</v>
      </c>
      <c r="AD84" s="47" t="s">
        <v>9</v>
      </c>
    </row>
    <row r="85" spans="1:30" ht="6.75" customHeight="1" x14ac:dyDescent="0.25">
      <c r="A85" s="38">
        <v>85</v>
      </c>
      <c r="B85" s="1" t="s">
        <v>725</v>
      </c>
      <c r="C85" s="1" t="s">
        <v>352</v>
      </c>
      <c r="D85" s="1" t="s">
        <v>324</v>
      </c>
      <c r="E85" s="1" t="s">
        <v>2115</v>
      </c>
      <c r="F85" s="22" t="s">
        <v>310</v>
      </c>
      <c r="G85" s="39" t="s">
        <v>9</v>
      </c>
      <c r="H85" s="39" t="s">
        <v>9</v>
      </c>
      <c r="I85" s="39" t="s">
        <v>9</v>
      </c>
      <c r="J85" s="39" t="s">
        <v>9</v>
      </c>
      <c r="K85" s="39" t="s">
        <v>9</v>
      </c>
      <c r="L85" s="23" t="str">
        <f t="shared" si="27"/>
        <v>Redes.Urbanas</v>
      </c>
      <c r="M85" s="23" t="str">
        <f t="shared" si="28"/>
        <v>Redes.Fluídos</v>
      </c>
      <c r="N85" s="23" t="str">
        <f t="shared" si="29"/>
        <v>Rede Coletora</v>
      </c>
      <c r="O85" s="23" t="str">
        <f t="shared" si="30"/>
        <v>Rede de Tormenta</v>
      </c>
      <c r="P85" s="19" t="s">
        <v>287</v>
      </c>
      <c r="Q85" s="19" t="s">
        <v>516</v>
      </c>
      <c r="R85" s="19" t="s">
        <v>609</v>
      </c>
      <c r="S85" s="54" t="s">
        <v>9</v>
      </c>
      <c r="T85" s="46" t="str">
        <f t="shared" si="35"/>
        <v>Redes Urbanas</v>
      </c>
      <c r="U85" s="46" t="str">
        <f t="shared" si="35"/>
        <v>Redes Fluídos</v>
      </c>
      <c r="V85" s="46" t="str">
        <f t="shared" si="33"/>
        <v>Rede Coletora</v>
      </c>
      <c r="W85" s="19" t="s">
        <v>459</v>
      </c>
      <c r="X85" s="40" t="str">
        <f t="shared" si="34"/>
        <v>Key-TUB-85</v>
      </c>
      <c r="Y85" s="19" t="s">
        <v>461</v>
      </c>
      <c r="Z85" s="47" t="s">
        <v>9</v>
      </c>
      <c r="AA85" s="37" t="s">
        <v>467</v>
      </c>
      <c r="AB85" s="47" t="s">
        <v>9</v>
      </c>
      <c r="AC85" s="19" t="s">
        <v>463</v>
      </c>
      <c r="AD85" s="47" t="s">
        <v>9</v>
      </c>
    </row>
    <row r="86" spans="1:30" ht="6.75" customHeight="1" x14ac:dyDescent="0.25">
      <c r="A86" s="38">
        <v>86</v>
      </c>
      <c r="B86" s="1" t="s">
        <v>725</v>
      </c>
      <c r="C86" s="1" t="s">
        <v>352</v>
      </c>
      <c r="D86" s="1" t="s">
        <v>324</v>
      </c>
      <c r="E86" s="1" t="s">
        <v>2115</v>
      </c>
      <c r="F86" s="22" t="s">
        <v>334</v>
      </c>
      <c r="G86" s="39" t="s">
        <v>9</v>
      </c>
      <c r="H86" s="39" t="s">
        <v>9</v>
      </c>
      <c r="I86" s="39" t="s">
        <v>9</v>
      </c>
      <c r="J86" s="39" t="s">
        <v>9</v>
      </c>
      <c r="K86" s="39" t="s">
        <v>9</v>
      </c>
      <c r="L86" s="23" t="str">
        <f t="shared" si="27"/>
        <v>Redes.Urbanas</v>
      </c>
      <c r="M86" s="23" t="str">
        <f t="shared" si="28"/>
        <v>Redes.Fluídos</v>
      </c>
      <c r="N86" s="23" t="str">
        <f t="shared" si="29"/>
        <v>Rede Coletora</v>
      </c>
      <c r="O86" s="23" t="str">
        <f t="shared" si="30"/>
        <v>Rede de Agua Residual</v>
      </c>
      <c r="P86" s="19" t="s">
        <v>288</v>
      </c>
      <c r="Q86" s="19" t="s">
        <v>517</v>
      </c>
      <c r="R86" s="19" t="s">
        <v>610</v>
      </c>
      <c r="S86" s="54" t="s">
        <v>9</v>
      </c>
      <c r="T86" s="46" t="str">
        <f t="shared" si="35"/>
        <v>Redes Urbanas</v>
      </c>
      <c r="U86" s="46" t="str">
        <f t="shared" si="35"/>
        <v>Redes Fluídos</v>
      </c>
      <c r="V86" s="46" t="str">
        <f t="shared" si="33"/>
        <v>Rede Coletora</v>
      </c>
      <c r="W86" s="19" t="s">
        <v>459</v>
      </c>
      <c r="X86" s="40" t="str">
        <f t="shared" si="34"/>
        <v>Key-TUB-86</v>
      </c>
      <c r="Y86" s="19" t="s">
        <v>461</v>
      </c>
      <c r="Z86" s="47" t="s">
        <v>9</v>
      </c>
      <c r="AA86" s="37" t="s">
        <v>468</v>
      </c>
      <c r="AB86" s="47" t="s">
        <v>9</v>
      </c>
      <c r="AC86" s="19" t="s">
        <v>463</v>
      </c>
      <c r="AD86" s="47" t="s">
        <v>9</v>
      </c>
    </row>
    <row r="87" spans="1:30" ht="6.75" customHeight="1" x14ac:dyDescent="0.25">
      <c r="A87" s="38">
        <v>87</v>
      </c>
      <c r="B87" s="1" t="s">
        <v>725</v>
      </c>
      <c r="C87" s="1" t="s">
        <v>352</v>
      </c>
      <c r="D87" s="1" t="s">
        <v>324</v>
      </c>
      <c r="E87" s="1" t="s">
        <v>2115</v>
      </c>
      <c r="F87" s="22" t="s">
        <v>309</v>
      </c>
      <c r="G87" s="39" t="s">
        <v>9</v>
      </c>
      <c r="H87" s="39" t="s">
        <v>9</v>
      </c>
      <c r="I87" s="39" t="s">
        <v>9</v>
      </c>
      <c r="J87" s="39" t="s">
        <v>9</v>
      </c>
      <c r="K87" s="39" t="s">
        <v>9</v>
      </c>
      <c r="L87" s="23" t="str">
        <f t="shared" si="27"/>
        <v>Redes.Urbanas</v>
      </c>
      <c r="M87" s="23" t="str">
        <f t="shared" si="28"/>
        <v>Redes.Fluídos</v>
      </c>
      <c r="N87" s="23" t="str">
        <f t="shared" si="29"/>
        <v>Rede Coletora</v>
      </c>
      <c r="O87" s="23" t="str">
        <f t="shared" si="30"/>
        <v>Rede de Esgoto</v>
      </c>
      <c r="P87" s="19" t="s">
        <v>286</v>
      </c>
      <c r="Q87" s="19" t="s">
        <v>518</v>
      </c>
      <c r="R87" s="19" t="s">
        <v>611</v>
      </c>
      <c r="S87" s="54" t="s">
        <v>9</v>
      </c>
      <c r="T87" s="46" t="str">
        <f t="shared" si="35"/>
        <v>Redes Urbanas</v>
      </c>
      <c r="U87" s="46" t="str">
        <f t="shared" si="35"/>
        <v>Redes Fluídos</v>
      </c>
      <c r="V87" s="46" t="str">
        <f t="shared" si="33"/>
        <v>Rede Coletora</v>
      </c>
      <c r="W87" s="19" t="s">
        <v>459</v>
      </c>
      <c r="X87" s="40" t="str">
        <f t="shared" si="34"/>
        <v>Key-TUB-87</v>
      </c>
      <c r="Y87" s="19" t="s">
        <v>461</v>
      </c>
      <c r="Z87" s="47" t="s">
        <v>9</v>
      </c>
      <c r="AA87" s="37" t="s">
        <v>469</v>
      </c>
      <c r="AB87" s="47" t="s">
        <v>9</v>
      </c>
      <c r="AC87" s="19" t="s">
        <v>463</v>
      </c>
      <c r="AD87" s="47" t="s">
        <v>9</v>
      </c>
    </row>
    <row r="88" spans="1:30" ht="6.75" customHeight="1" x14ac:dyDescent="0.25">
      <c r="A88" s="38">
        <v>88</v>
      </c>
      <c r="B88" s="1" t="s">
        <v>725</v>
      </c>
      <c r="C88" s="1" t="s">
        <v>352</v>
      </c>
      <c r="D88" s="1" t="s">
        <v>324</v>
      </c>
      <c r="E88" s="1" t="s">
        <v>2115</v>
      </c>
      <c r="F88" s="1" t="s">
        <v>291</v>
      </c>
      <c r="G88" s="39" t="s">
        <v>9</v>
      </c>
      <c r="H88" s="39" t="s">
        <v>9</v>
      </c>
      <c r="I88" s="39" t="s">
        <v>9</v>
      </c>
      <c r="J88" s="39" t="s">
        <v>9</v>
      </c>
      <c r="K88" s="39" t="s">
        <v>9</v>
      </c>
      <c r="L88" s="23" t="str">
        <f t="shared" si="27"/>
        <v>Redes.Urbanas</v>
      </c>
      <c r="M88" s="23" t="str">
        <f t="shared" si="28"/>
        <v>Redes.Fluídos</v>
      </c>
      <c r="N88" s="23" t="str">
        <f t="shared" si="29"/>
        <v>Rede Coletora</v>
      </c>
      <c r="O88" s="23" t="str">
        <f t="shared" si="30"/>
        <v>Rede de Descartes</v>
      </c>
      <c r="P88" s="19" t="s">
        <v>293</v>
      </c>
      <c r="Q88" s="19" t="s">
        <v>519</v>
      </c>
      <c r="R88" s="19" t="s">
        <v>612</v>
      </c>
      <c r="S88" s="54" t="s">
        <v>9</v>
      </c>
      <c r="T88" s="46" t="str">
        <f t="shared" si="35"/>
        <v>Redes Urbanas</v>
      </c>
      <c r="U88" s="46" t="str">
        <f t="shared" si="35"/>
        <v>Redes Fluídos</v>
      </c>
      <c r="V88" s="46" t="str">
        <f t="shared" si="33"/>
        <v>Rede Coletora</v>
      </c>
      <c r="W88" s="19" t="s">
        <v>459</v>
      </c>
      <c r="X88" s="40" t="str">
        <f t="shared" si="34"/>
        <v>Key-TUB-88</v>
      </c>
      <c r="Y88" s="19" t="s">
        <v>461</v>
      </c>
      <c r="Z88" s="47" t="s">
        <v>9</v>
      </c>
      <c r="AA88" s="37" t="s">
        <v>470</v>
      </c>
      <c r="AB88" s="47" t="s">
        <v>9</v>
      </c>
      <c r="AC88" s="19" t="s">
        <v>463</v>
      </c>
      <c r="AD88" s="47" t="s">
        <v>9</v>
      </c>
    </row>
    <row r="89" spans="1:30" ht="6.75" customHeight="1" x14ac:dyDescent="0.25">
      <c r="A89" s="38">
        <v>89</v>
      </c>
      <c r="B89" s="1" t="s">
        <v>725</v>
      </c>
      <c r="C89" s="1" t="s">
        <v>352</v>
      </c>
      <c r="D89" s="1" t="s">
        <v>324</v>
      </c>
      <c r="E89" s="1" t="s">
        <v>2115</v>
      </c>
      <c r="F89" s="1" t="s">
        <v>312</v>
      </c>
      <c r="G89" s="39" t="s">
        <v>9</v>
      </c>
      <c r="H89" s="39" t="s">
        <v>9</v>
      </c>
      <c r="I89" s="39" t="s">
        <v>9</v>
      </c>
      <c r="J89" s="39" t="s">
        <v>9</v>
      </c>
      <c r="K89" s="39" t="s">
        <v>9</v>
      </c>
      <c r="L89" s="23" t="str">
        <f t="shared" si="27"/>
        <v>Redes.Urbanas</v>
      </c>
      <c r="M89" s="23" t="str">
        <f t="shared" si="28"/>
        <v>Redes.Fluídos</v>
      </c>
      <c r="N89" s="23" t="str">
        <f t="shared" si="29"/>
        <v>Rede Coletora</v>
      </c>
      <c r="O89" s="23" t="str">
        <f t="shared" si="30"/>
        <v>Rede de Hospitalares</v>
      </c>
      <c r="P89" s="19" t="s">
        <v>296</v>
      </c>
      <c r="Q89" s="19" t="s">
        <v>520</v>
      </c>
      <c r="R89" s="19" t="s">
        <v>613</v>
      </c>
      <c r="S89" s="54" t="s">
        <v>9</v>
      </c>
      <c r="T89" s="46" t="str">
        <f t="shared" si="35"/>
        <v>Redes Urbanas</v>
      </c>
      <c r="U89" s="46" t="str">
        <f t="shared" si="35"/>
        <v>Redes Fluídos</v>
      </c>
      <c r="V89" s="46" t="str">
        <f t="shared" si="33"/>
        <v>Rede Coletora</v>
      </c>
      <c r="W89" s="19" t="s">
        <v>459</v>
      </c>
      <c r="X89" s="40" t="str">
        <f t="shared" si="34"/>
        <v>Key-TUB-89</v>
      </c>
      <c r="Y89" s="19" t="s">
        <v>461</v>
      </c>
      <c r="Z89" s="47" t="s">
        <v>9</v>
      </c>
      <c r="AA89" s="37" t="s">
        <v>471</v>
      </c>
      <c r="AB89" s="47" t="s">
        <v>9</v>
      </c>
      <c r="AC89" s="19" t="s">
        <v>463</v>
      </c>
      <c r="AD89" s="47" t="s">
        <v>9</v>
      </c>
    </row>
    <row r="90" spans="1:30" ht="6.75" customHeight="1" x14ac:dyDescent="0.25">
      <c r="A90" s="38">
        <v>90</v>
      </c>
      <c r="B90" s="1" t="s">
        <v>725</v>
      </c>
      <c r="C90" s="1" t="s">
        <v>352</v>
      </c>
      <c r="D90" s="1" t="s">
        <v>313</v>
      </c>
      <c r="E90" s="1" t="s">
        <v>2116</v>
      </c>
      <c r="F90" s="1" t="s">
        <v>298</v>
      </c>
      <c r="G90" s="39" t="s">
        <v>9</v>
      </c>
      <c r="H90" s="39" t="s">
        <v>9</v>
      </c>
      <c r="I90" s="39" t="s">
        <v>9</v>
      </c>
      <c r="J90" s="39" t="s">
        <v>9</v>
      </c>
      <c r="K90" s="39" t="s">
        <v>9</v>
      </c>
      <c r="L90" s="23" t="str">
        <f t="shared" si="27"/>
        <v>Redes.Urbanas</v>
      </c>
      <c r="M90" s="23" t="str">
        <f t="shared" si="28"/>
        <v>Redes.Elétricas</v>
      </c>
      <c r="N90" s="23" t="str">
        <f t="shared" si="29"/>
        <v>Rede Transmissora</v>
      </c>
      <c r="O90" s="23" t="str">
        <f t="shared" si="30"/>
        <v>Rede de Alta Tensão</v>
      </c>
      <c r="P90" s="19" t="s">
        <v>323</v>
      </c>
      <c r="Q90" s="19" t="s">
        <v>521</v>
      </c>
      <c r="R90" s="19" t="s">
        <v>614</v>
      </c>
      <c r="S90" s="54" t="s">
        <v>9</v>
      </c>
      <c r="T90" s="46" t="str">
        <f t="shared" si="35"/>
        <v>Redes Urbanas</v>
      </c>
      <c r="U90" s="46" t="str">
        <f t="shared" si="35"/>
        <v>Redes Elétricas</v>
      </c>
      <c r="V90" s="46" t="str">
        <f t="shared" si="33"/>
        <v>Rede Transmissora</v>
      </c>
      <c r="W90" s="19" t="s">
        <v>459</v>
      </c>
      <c r="X90" s="40" t="str">
        <f t="shared" si="34"/>
        <v>Key-TUB-90</v>
      </c>
      <c r="Y90" s="19" t="s">
        <v>472</v>
      </c>
      <c r="Z90" s="47" t="s">
        <v>9</v>
      </c>
      <c r="AA90" s="37" t="s">
        <v>473</v>
      </c>
      <c r="AB90" s="47" t="s">
        <v>9</v>
      </c>
      <c r="AC90" s="19" t="s">
        <v>474</v>
      </c>
      <c r="AD90" s="47" t="s">
        <v>9</v>
      </c>
    </row>
    <row r="91" spans="1:30" ht="6.75" customHeight="1" x14ac:dyDescent="0.25">
      <c r="A91" s="38">
        <v>91</v>
      </c>
      <c r="B91" s="1" t="s">
        <v>725</v>
      </c>
      <c r="C91" s="1" t="s">
        <v>352</v>
      </c>
      <c r="D91" s="1" t="s">
        <v>313</v>
      </c>
      <c r="E91" s="1" t="s">
        <v>2116</v>
      </c>
      <c r="F91" s="1" t="s">
        <v>315</v>
      </c>
      <c r="G91" s="39" t="s">
        <v>9</v>
      </c>
      <c r="H91" s="39" t="s">
        <v>9</v>
      </c>
      <c r="I91" s="39" t="s">
        <v>9</v>
      </c>
      <c r="J91" s="39" t="s">
        <v>9</v>
      </c>
      <c r="K91" s="39" t="s">
        <v>9</v>
      </c>
      <c r="L91" s="23" t="str">
        <f t="shared" si="27"/>
        <v>Redes.Urbanas</v>
      </c>
      <c r="M91" s="23" t="str">
        <f t="shared" si="28"/>
        <v>Redes.Elétricas</v>
      </c>
      <c r="N91" s="23" t="str">
        <f t="shared" si="29"/>
        <v>Rede Transmissora</v>
      </c>
      <c r="O91" s="23" t="str">
        <f t="shared" si="30"/>
        <v>Rede de MT Aérea</v>
      </c>
      <c r="P91" s="19" t="s">
        <v>321</v>
      </c>
      <c r="Q91" s="19" t="s">
        <v>522</v>
      </c>
      <c r="R91" s="19" t="s">
        <v>615</v>
      </c>
      <c r="S91" s="54" t="s">
        <v>9</v>
      </c>
      <c r="T91" s="46" t="str">
        <f t="shared" si="35"/>
        <v>Redes Urbanas</v>
      </c>
      <c r="U91" s="46" t="str">
        <f t="shared" si="35"/>
        <v>Redes Elétricas</v>
      </c>
      <c r="V91" s="46" t="str">
        <f t="shared" si="33"/>
        <v>Rede Transmissora</v>
      </c>
      <c r="W91" s="19" t="s">
        <v>459</v>
      </c>
      <c r="X91" s="40" t="str">
        <f t="shared" si="34"/>
        <v>Key-TUB-91</v>
      </c>
      <c r="Y91" s="19" t="s">
        <v>472</v>
      </c>
      <c r="Z91" s="47" t="s">
        <v>9</v>
      </c>
      <c r="AA91" s="37" t="s">
        <v>473</v>
      </c>
      <c r="AB91" s="47" t="s">
        <v>9</v>
      </c>
      <c r="AC91" s="19" t="s">
        <v>474</v>
      </c>
      <c r="AD91" s="47" t="s">
        <v>9</v>
      </c>
    </row>
    <row r="92" spans="1:30" ht="6.75" customHeight="1" x14ac:dyDescent="0.25">
      <c r="A92" s="38">
        <v>92</v>
      </c>
      <c r="B92" s="1" t="s">
        <v>725</v>
      </c>
      <c r="C92" s="1" t="s">
        <v>352</v>
      </c>
      <c r="D92" s="1" t="s">
        <v>313</v>
      </c>
      <c r="E92" s="1" t="s">
        <v>2116</v>
      </c>
      <c r="F92" s="1" t="s">
        <v>316</v>
      </c>
      <c r="G92" s="39" t="s">
        <v>9</v>
      </c>
      <c r="H92" s="39" t="s">
        <v>9</v>
      </c>
      <c r="I92" s="39" t="s">
        <v>9</v>
      </c>
      <c r="J92" s="39" t="s">
        <v>9</v>
      </c>
      <c r="K92" s="39" t="s">
        <v>9</v>
      </c>
      <c r="L92" s="23" t="str">
        <f t="shared" si="27"/>
        <v>Redes.Urbanas</v>
      </c>
      <c r="M92" s="23" t="str">
        <f t="shared" si="28"/>
        <v>Redes.Elétricas</v>
      </c>
      <c r="N92" s="23" t="str">
        <f t="shared" si="29"/>
        <v>Rede Transmissora</v>
      </c>
      <c r="O92" s="23" t="str">
        <f t="shared" si="30"/>
        <v>Rede de MT Subterrânea</v>
      </c>
      <c r="P92" s="19" t="s">
        <v>322</v>
      </c>
      <c r="Q92" s="19" t="s">
        <v>523</v>
      </c>
      <c r="R92" s="19" t="s">
        <v>616</v>
      </c>
      <c r="S92" s="54" t="s">
        <v>9</v>
      </c>
      <c r="T92" s="46" t="str">
        <f t="shared" si="35"/>
        <v>Redes Urbanas</v>
      </c>
      <c r="U92" s="46" t="str">
        <f t="shared" si="35"/>
        <v>Redes Elétricas</v>
      </c>
      <c r="V92" s="46" t="str">
        <f t="shared" si="33"/>
        <v>Rede Transmissora</v>
      </c>
      <c r="W92" s="19" t="s">
        <v>459</v>
      </c>
      <c r="X92" s="40" t="str">
        <f t="shared" si="34"/>
        <v>Key-TUB-92</v>
      </c>
      <c r="Y92" s="19" t="s">
        <v>472</v>
      </c>
      <c r="Z92" s="47" t="s">
        <v>9</v>
      </c>
      <c r="AA92" s="37" t="s">
        <v>473</v>
      </c>
      <c r="AB92" s="47" t="s">
        <v>9</v>
      </c>
      <c r="AC92" s="19" t="s">
        <v>474</v>
      </c>
      <c r="AD92" s="47" t="s">
        <v>9</v>
      </c>
    </row>
    <row r="93" spans="1:30" ht="6.75" customHeight="1" x14ac:dyDescent="0.25">
      <c r="A93" s="38">
        <v>93</v>
      </c>
      <c r="B93" s="1" t="s">
        <v>725</v>
      </c>
      <c r="C93" s="1" t="s">
        <v>352</v>
      </c>
      <c r="D93" s="1" t="s">
        <v>313</v>
      </c>
      <c r="E93" s="1" t="s">
        <v>2116</v>
      </c>
      <c r="F93" s="1" t="s">
        <v>318</v>
      </c>
      <c r="G93" s="39" t="s">
        <v>9</v>
      </c>
      <c r="H93" s="39" t="s">
        <v>9</v>
      </c>
      <c r="I93" s="39" t="s">
        <v>9</v>
      </c>
      <c r="J93" s="39" t="s">
        <v>9</v>
      </c>
      <c r="K93" s="39" t="s">
        <v>9</v>
      </c>
      <c r="L93" s="23" t="str">
        <f t="shared" si="27"/>
        <v>Redes.Urbanas</v>
      </c>
      <c r="M93" s="23" t="str">
        <f t="shared" si="28"/>
        <v>Redes.Elétricas</v>
      </c>
      <c r="N93" s="23" t="str">
        <f t="shared" si="29"/>
        <v>Rede Transmissora</v>
      </c>
      <c r="O93" s="23" t="str">
        <f t="shared" si="30"/>
        <v>Rede de BT Aérea</v>
      </c>
      <c r="P93" s="19" t="s">
        <v>319</v>
      </c>
      <c r="Q93" s="19" t="s">
        <v>524</v>
      </c>
      <c r="R93" s="19" t="s">
        <v>617</v>
      </c>
      <c r="S93" s="54" t="s">
        <v>9</v>
      </c>
      <c r="T93" s="46" t="str">
        <f t="shared" si="35"/>
        <v>Redes Urbanas</v>
      </c>
      <c r="U93" s="46" t="str">
        <f t="shared" si="35"/>
        <v>Redes Elétricas</v>
      </c>
      <c r="V93" s="46" t="str">
        <f t="shared" si="33"/>
        <v>Rede Transmissora</v>
      </c>
      <c r="W93" s="19" t="s">
        <v>459</v>
      </c>
      <c r="X93" s="40" t="str">
        <f t="shared" si="34"/>
        <v>Key-TUB-93</v>
      </c>
      <c r="Y93" s="19" t="s">
        <v>472</v>
      </c>
      <c r="Z93" s="47" t="s">
        <v>9</v>
      </c>
      <c r="AA93" s="37" t="s">
        <v>473</v>
      </c>
      <c r="AB93" s="47" t="s">
        <v>9</v>
      </c>
      <c r="AC93" s="19" t="s">
        <v>474</v>
      </c>
      <c r="AD93" s="47" t="s">
        <v>9</v>
      </c>
    </row>
    <row r="94" spans="1:30" ht="6.75" customHeight="1" x14ac:dyDescent="0.25">
      <c r="A94" s="38">
        <v>94</v>
      </c>
      <c r="B94" s="1" t="s">
        <v>725</v>
      </c>
      <c r="C94" s="1" t="s">
        <v>352</v>
      </c>
      <c r="D94" s="1" t="s">
        <v>313</v>
      </c>
      <c r="E94" s="1" t="s">
        <v>2116</v>
      </c>
      <c r="F94" s="1" t="s">
        <v>317</v>
      </c>
      <c r="G94" s="39" t="s">
        <v>9</v>
      </c>
      <c r="H94" s="39" t="s">
        <v>9</v>
      </c>
      <c r="I94" s="39" t="s">
        <v>9</v>
      </c>
      <c r="J94" s="39" t="s">
        <v>9</v>
      </c>
      <c r="K94" s="39" t="s">
        <v>9</v>
      </c>
      <c r="L94" s="23" t="str">
        <f t="shared" si="27"/>
        <v>Redes.Urbanas</v>
      </c>
      <c r="M94" s="23" t="str">
        <f t="shared" si="28"/>
        <v>Redes.Elétricas</v>
      </c>
      <c r="N94" s="23" t="str">
        <f t="shared" si="29"/>
        <v>Rede Transmissora</v>
      </c>
      <c r="O94" s="23" t="str">
        <f t="shared" si="30"/>
        <v>Rede de BT Subterrânea</v>
      </c>
      <c r="P94" s="19" t="s">
        <v>320</v>
      </c>
      <c r="Q94" s="19" t="s">
        <v>525</v>
      </c>
      <c r="R94" s="19" t="s">
        <v>618</v>
      </c>
      <c r="S94" s="54" t="s">
        <v>9</v>
      </c>
      <c r="T94" s="46" t="str">
        <f t="shared" si="35"/>
        <v>Redes Urbanas</v>
      </c>
      <c r="U94" s="46" t="str">
        <f t="shared" si="35"/>
        <v>Redes Elétricas</v>
      </c>
      <c r="V94" s="46" t="str">
        <f t="shared" si="35"/>
        <v>Rede Transmissora</v>
      </c>
      <c r="W94" s="19" t="s">
        <v>459</v>
      </c>
      <c r="X94" s="40" t="str">
        <f t="shared" si="34"/>
        <v>Key-TUB-94</v>
      </c>
      <c r="Y94" s="19" t="s">
        <v>472</v>
      </c>
      <c r="Z94" s="47" t="s">
        <v>9</v>
      </c>
      <c r="AA94" s="37" t="s">
        <v>473</v>
      </c>
      <c r="AB94" s="47" t="s">
        <v>9</v>
      </c>
      <c r="AC94" s="19" t="s">
        <v>474</v>
      </c>
      <c r="AD94" s="47" t="s">
        <v>9</v>
      </c>
    </row>
    <row r="95" spans="1:30" ht="6.75" customHeight="1" x14ac:dyDescent="0.25">
      <c r="A95" s="38">
        <v>95</v>
      </c>
      <c r="B95" s="1" t="s">
        <v>725</v>
      </c>
      <c r="C95" s="1" t="s">
        <v>352</v>
      </c>
      <c r="D95" s="1" t="s">
        <v>313</v>
      </c>
      <c r="E95" s="1" t="s">
        <v>2117</v>
      </c>
      <c r="F95" s="1" t="s">
        <v>355</v>
      </c>
      <c r="G95" s="39" t="s">
        <v>9</v>
      </c>
      <c r="H95" s="39" t="s">
        <v>9</v>
      </c>
      <c r="I95" s="39" t="s">
        <v>9</v>
      </c>
      <c r="J95" s="39" t="s">
        <v>9</v>
      </c>
      <c r="K95" s="39" t="s">
        <v>9</v>
      </c>
      <c r="L95" s="23" t="str">
        <f t="shared" si="27"/>
        <v>Redes.Urbanas</v>
      </c>
      <c r="M95" s="23" t="str">
        <f t="shared" si="28"/>
        <v>Redes.Elétricas</v>
      </c>
      <c r="N95" s="23" t="str">
        <f t="shared" si="29"/>
        <v>Rede Iluminação</v>
      </c>
      <c r="O95" s="23" t="str">
        <f t="shared" si="30"/>
        <v>Rede de Iluminação Pública</v>
      </c>
      <c r="P95" s="19" t="s">
        <v>786</v>
      </c>
      <c r="Q95" s="19" t="s">
        <v>783</v>
      </c>
      <c r="R95" s="19" t="s">
        <v>619</v>
      </c>
      <c r="S95" s="54" t="s">
        <v>9</v>
      </c>
      <c r="T95" s="46" t="str">
        <f t="shared" si="35"/>
        <v>Redes Urbanas</v>
      </c>
      <c r="U95" s="46" t="str">
        <f t="shared" si="35"/>
        <v>Redes Elétricas</v>
      </c>
      <c r="V95" s="46" t="str">
        <f t="shared" si="35"/>
        <v>Rede Iluminação</v>
      </c>
      <c r="W95" s="19" t="s">
        <v>459</v>
      </c>
      <c r="X95" s="40" t="str">
        <f t="shared" si="34"/>
        <v>Key-TUB-95</v>
      </c>
      <c r="Y95" s="19" t="s">
        <v>472</v>
      </c>
      <c r="Z95" s="47" t="s">
        <v>9</v>
      </c>
      <c r="AA95" s="37" t="s">
        <v>475</v>
      </c>
      <c r="AB95" s="47" t="s">
        <v>9</v>
      </c>
      <c r="AC95" s="19" t="s">
        <v>474</v>
      </c>
      <c r="AD95" s="47" t="s">
        <v>9</v>
      </c>
    </row>
    <row r="96" spans="1:30" ht="6.75" customHeight="1" x14ac:dyDescent="0.25">
      <c r="A96" s="38">
        <v>96</v>
      </c>
      <c r="B96" s="1" t="s">
        <v>725</v>
      </c>
      <c r="C96" s="1" t="s">
        <v>352</v>
      </c>
      <c r="D96" s="1" t="s">
        <v>313</v>
      </c>
      <c r="E96" s="1" t="s">
        <v>2117</v>
      </c>
      <c r="F96" s="1" t="s">
        <v>356</v>
      </c>
      <c r="G96" s="39" t="s">
        <v>9</v>
      </c>
      <c r="H96" s="39" t="s">
        <v>9</v>
      </c>
      <c r="I96" s="39" t="s">
        <v>9</v>
      </c>
      <c r="J96" s="39" t="s">
        <v>9</v>
      </c>
      <c r="K96" s="39" t="s">
        <v>9</v>
      </c>
      <c r="L96" s="23" t="str">
        <f t="shared" si="27"/>
        <v>Redes.Urbanas</v>
      </c>
      <c r="M96" s="23" t="str">
        <f t="shared" si="28"/>
        <v>Redes.Elétricas</v>
      </c>
      <c r="N96" s="23" t="str">
        <f t="shared" si="29"/>
        <v>Rede Iluminação</v>
      </c>
      <c r="O96" s="23" t="str">
        <f t="shared" si="30"/>
        <v>Rede de Sinalização Pública</v>
      </c>
      <c r="P96" s="19" t="s">
        <v>785</v>
      </c>
      <c r="Q96" s="19" t="s">
        <v>784</v>
      </c>
      <c r="R96" s="19" t="s">
        <v>620</v>
      </c>
      <c r="S96" s="54" t="s">
        <v>9</v>
      </c>
      <c r="T96" s="46" t="str">
        <f t="shared" si="35"/>
        <v>Redes Urbanas</v>
      </c>
      <c r="U96" s="46" t="str">
        <f t="shared" si="35"/>
        <v>Redes Elétricas</v>
      </c>
      <c r="V96" s="46" t="str">
        <f t="shared" si="35"/>
        <v>Rede Iluminação</v>
      </c>
      <c r="W96" s="19" t="s">
        <v>459</v>
      </c>
      <c r="X96" s="40" t="str">
        <f t="shared" si="34"/>
        <v>Key-TUB-96</v>
      </c>
      <c r="Y96" s="19" t="s">
        <v>472</v>
      </c>
      <c r="Z96" s="47" t="s">
        <v>9</v>
      </c>
      <c r="AA96" s="37" t="s">
        <v>476</v>
      </c>
      <c r="AB96" s="47" t="s">
        <v>9</v>
      </c>
      <c r="AC96" s="19" t="s">
        <v>474</v>
      </c>
      <c r="AD96" s="47" t="s">
        <v>9</v>
      </c>
    </row>
    <row r="97" spans="1:30" ht="6.75" customHeight="1" x14ac:dyDescent="0.25">
      <c r="A97" s="38">
        <v>97</v>
      </c>
      <c r="B97" s="1" t="s">
        <v>725</v>
      </c>
      <c r="C97" s="1" t="s">
        <v>352</v>
      </c>
      <c r="D97" s="1" t="s">
        <v>314</v>
      </c>
      <c r="E97" s="1" t="s">
        <v>2118</v>
      </c>
      <c r="F97" s="1" t="s">
        <v>325</v>
      </c>
      <c r="G97" s="39" t="s">
        <v>9</v>
      </c>
      <c r="H97" s="39" t="s">
        <v>9</v>
      </c>
      <c r="I97" s="39" t="s">
        <v>9</v>
      </c>
      <c r="J97" s="39" t="s">
        <v>9</v>
      </c>
      <c r="K97" s="39" t="s">
        <v>9</v>
      </c>
      <c r="L97" s="23" t="str">
        <f t="shared" si="27"/>
        <v>Redes.Urbanas</v>
      </c>
      <c r="M97" s="23" t="str">
        <f t="shared" si="28"/>
        <v>Redes.Telecom</v>
      </c>
      <c r="N97" s="23" t="str">
        <f t="shared" si="29"/>
        <v>Rede Aérea</v>
      </c>
      <c r="O97" s="23" t="str">
        <f t="shared" si="30"/>
        <v>Rede de Fibra Ótica Aérea</v>
      </c>
      <c r="P97" s="19" t="s">
        <v>787</v>
      </c>
      <c r="Q97" s="19" t="s">
        <v>526</v>
      </c>
      <c r="R97" s="19" t="s">
        <v>621</v>
      </c>
      <c r="S97" s="54" t="s">
        <v>9</v>
      </c>
      <c r="T97" s="46" t="str">
        <f t="shared" si="35"/>
        <v>Redes Urbanas</v>
      </c>
      <c r="U97" s="46" t="str">
        <f t="shared" si="35"/>
        <v>Redes Telecom</v>
      </c>
      <c r="V97" s="46" t="str">
        <f t="shared" si="35"/>
        <v>Rede Aérea</v>
      </c>
      <c r="W97" s="19" t="s">
        <v>459</v>
      </c>
      <c r="X97" s="40" t="str">
        <f t="shared" si="34"/>
        <v>Key-TUB-97</v>
      </c>
      <c r="Y97" s="19" t="s">
        <v>472</v>
      </c>
      <c r="Z97" s="47" t="s">
        <v>9</v>
      </c>
      <c r="AA97" s="37" t="s">
        <v>477</v>
      </c>
      <c r="AB97" s="47" t="s">
        <v>9</v>
      </c>
      <c r="AC97" s="19" t="s">
        <v>474</v>
      </c>
      <c r="AD97" s="47" t="s">
        <v>9</v>
      </c>
    </row>
    <row r="98" spans="1:30" ht="6.75" customHeight="1" x14ac:dyDescent="0.25">
      <c r="A98" s="38">
        <v>98</v>
      </c>
      <c r="B98" s="1" t="s">
        <v>725</v>
      </c>
      <c r="C98" s="1" t="s">
        <v>352</v>
      </c>
      <c r="D98" s="1" t="s">
        <v>314</v>
      </c>
      <c r="E98" s="1" t="s">
        <v>2118</v>
      </c>
      <c r="F98" s="1" t="s">
        <v>326</v>
      </c>
      <c r="G98" s="39" t="s">
        <v>9</v>
      </c>
      <c r="H98" s="39" t="s">
        <v>9</v>
      </c>
      <c r="I98" s="39" t="s">
        <v>9</v>
      </c>
      <c r="J98" s="39" t="s">
        <v>9</v>
      </c>
      <c r="K98" s="39" t="s">
        <v>9</v>
      </c>
      <c r="L98" s="23" t="str">
        <f t="shared" si="27"/>
        <v>Redes.Urbanas</v>
      </c>
      <c r="M98" s="23" t="str">
        <f t="shared" si="28"/>
        <v>Redes.Telecom</v>
      </c>
      <c r="N98" s="23" t="str">
        <f t="shared" si="29"/>
        <v>Rede Aérea</v>
      </c>
      <c r="O98" s="23" t="str">
        <f t="shared" si="30"/>
        <v>Rede Aérea de Telefonia</v>
      </c>
      <c r="P98" s="19" t="s">
        <v>337</v>
      </c>
      <c r="Q98" s="19" t="s">
        <v>527</v>
      </c>
      <c r="R98" s="19" t="s">
        <v>622</v>
      </c>
      <c r="S98" s="54" t="s">
        <v>9</v>
      </c>
      <c r="T98" s="46" t="str">
        <f t="shared" si="35"/>
        <v>Redes Urbanas</v>
      </c>
      <c r="U98" s="46" t="str">
        <f t="shared" si="35"/>
        <v>Redes Telecom</v>
      </c>
      <c r="V98" s="46" t="str">
        <f t="shared" si="35"/>
        <v>Rede Aérea</v>
      </c>
      <c r="W98" s="19" t="s">
        <v>459</v>
      </c>
      <c r="X98" s="40" t="str">
        <f t="shared" si="34"/>
        <v>Key-TUB-98</v>
      </c>
      <c r="Y98" s="19" t="s">
        <v>472</v>
      </c>
      <c r="Z98" s="47" t="s">
        <v>9</v>
      </c>
      <c r="AA98" s="37" t="s">
        <v>477</v>
      </c>
      <c r="AB98" s="47" t="s">
        <v>9</v>
      </c>
      <c r="AC98" s="19" t="s">
        <v>474</v>
      </c>
      <c r="AD98" s="47" t="s">
        <v>9</v>
      </c>
    </row>
    <row r="99" spans="1:30" ht="6.75" customHeight="1" x14ac:dyDescent="0.25">
      <c r="A99" s="38">
        <v>99</v>
      </c>
      <c r="B99" s="1" t="s">
        <v>725</v>
      </c>
      <c r="C99" s="1" t="s">
        <v>352</v>
      </c>
      <c r="D99" s="1" t="s">
        <v>314</v>
      </c>
      <c r="E99" s="1" t="s">
        <v>2118</v>
      </c>
      <c r="F99" s="1" t="s">
        <v>333</v>
      </c>
      <c r="G99" s="39" t="s">
        <v>9</v>
      </c>
      <c r="H99" s="39" t="s">
        <v>9</v>
      </c>
      <c r="I99" s="39" t="s">
        <v>9</v>
      </c>
      <c r="J99" s="39" t="s">
        <v>9</v>
      </c>
      <c r="K99" s="39" t="s">
        <v>9</v>
      </c>
      <c r="L99" s="23" t="str">
        <f t="shared" si="27"/>
        <v>Redes.Urbanas</v>
      </c>
      <c r="M99" s="23" t="str">
        <f t="shared" si="28"/>
        <v>Redes.Telecom</v>
      </c>
      <c r="N99" s="23" t="str">
        <f t="shared" si="29"/>
        <v>Rede Aérea</v>
      </c>
      <c r="O99" s="23" t="str">
        <f t="shared" si="30"/>
        <v>Rede Aérea de Dados</v>
      </c>
      <c r="P99" s="19" t="s">
        <v>788</v>
      </c>
      <c r="Q99" s="19" t="s">
        <v>777</v>
      </c>
      <c r="R99" s="19" t="s">
        <v>623</v>
      </c>
      <c r="S99" s="54" t="s">
        <v>9</v>
      </c>
      <c r="T99" s="46" t="str">
        <f t="shared" si="35"/>
        <v>Redes Urbanas</v>
      </c>
      <c r="U99" s="46" t="str">
        <f t="shared" si="35"/>
        <v>Redes Telecom</v>
      </c>
      <c r="V99" s="46" t="str">
        <f t="shared" si="35"/>
        <v>Rede Aérea</v>
      </c>
      <c r="W99" s="19" t="s">
        <v>459</v>
      </c>
      <c r="X99" s="40" t="str">
        <f t="shared" si="34"/>
        <v>Key-TUB-99</v>
      </c>
      <c r="Y99" s="19" t="s">
        <v>472</v>
      </c>
      <c r="Z99" s="47" t="s">
        <v>9</v>
      </c>
      <c r="AA99" s="37" t="s">
        <v>478</v>
      </c>
      <c r="AB99" s="47" t="s">
        <v>9</v>
      </c>
      <c r="AC99" s="19" t="s">
        <v>474</v>
      </c>
      <c r="AD99" s="47" t="s">
        <v>9</v>
      </c>
    </row>
    <row r="100" spans="1:30" ht="6.75" customHeight="1" x14ac:dyDescent="0.25">
      <c r="A100" s="38">
        <v>100</v>
      </c>
      <c r="B100" s="1" t="s">
        <v>725</v>
      </c>
      <c r="C100" s="1" t="s">
        <v>352</v>
      </c>
      <c r="D100" s="1" t="s">
        <v>314</v>
      </c>
      <c r="E100" s="1" t="s">
        <v>2118</v>
      </c>
      <c r="F100" s="1" t="s">
        <v>327</v>
      </c>
      <c r="G100" s="39" t="s">
        <v>9</v>
      </c>
      <c r="H100" s="39" t="s">
        <v>9</v>
      </c>
      <c r="I100" s="39" t="s">
        <v>9</v>
      </c>
      <c r="J100" s="39" t="s">
        <v>9</v>
      </c>
      <c r="K100" s="39" t="s">
        <v>9</v>
      </c>
      <c r="L100" s="23" t="str">
        <f t="shared" si="27"/>
        <v>Redes.Urbanas</v>
      </c>
      <c r="M100" s="23" t="str">
        <f t="shared" si="28"/>
        <v>Redes.Telecom</v>
      </c>
      <c r="N100" s="23" t="str">
        <f t="shared" si="29"/>
        <v>Rede Aérea</v>
      </c>
      <c r="O100" s="23" t="str">
        <f t="shared" si="30"/>
        <v>Rede Aérea de Net Fixa</v>
      </c>
      <c r="P100" s="19" t="s">
        <v>789</v>
      </c>
      <c r="Q100" s="19" t="s">
        <v>528</v>
      </c>
      <c r="R100" s="19" t="s">
        <v>624</v>
      </c>
      <c r="S100" s="54" t="s">
        <v>9</v>
      </c>
      <c r="T100" s="46" t="str">
        <f t="shared" si="35"/>
        <v>Redes Urbanas</v>
      </c>
      <c r="U100" s="46" t="str">
        <f t="shared" si="35"/>
        <v>Redes Telecom</v>
      </c>
      <c r="V100" s="46" t="str">
        <f t="shared" si="35"/>
        <v>Rede Aérea</v>
      </c>
      <c r="W100" s="19" t="s">
        <v>459</v>
      </c>
      <c r="X100" s="40" t="str">
        <f t="shared" si="34"/>
        <v>Key-TUB-100</v>
      </c>
      <c r="Y100" s="19" t="s">
        <v>472</v>
      </c>
      <c r="Z100" s="47" t="s">
        <v>9</v>
      </c>
      <c r="AA100" s="37" t="s">
        <v>479</v>
      </c>
      <c r="AB100" s="47" t="s">
        <v>9</v>
      </c>
      <c r="AC100" s="19" t="s">
        <v>474</v>
      </c>
      <c r="AD100" s="47" t="s">
        <v>9</v>
      </c>
    </row>
    <row r="101" spans="1:30" ht="6.75" customHeight="1" x14ac:dyDescent="0.25">
      <c r="A101" s="38">
        <v>101</v>
      </c>
      <c r="B101" s="1" t="s">
        <v>725</v>
      </c>
      <c r="C101" s="1" t="s">
        <v>352</v>
      </c>
      <c r="D101" s="1" t="s">
        <v>314</v>
      </c>
      <c r="E101" s="1" t="s">
        <v>2118</v>
      </c>
      <c r="F101" s="1" t="s">
        <v>328</v>
      </c>
      <c r="G101" s="39" t="s">
        <v>9</v>
      </c>
      <c r="H101" s="39" t="s">
        <v>9</v>
      </c>
      <c r="I101" s="39" t="s">
        <v>9</v>
      </c>
      <c r="J101" s="39" t="s">
        <v>9</v>
      </c>
      <c r="K101" s="39" t="s">
        <v>9</v>
      </c>
      <c r="L101" s="23" t="str">
        <f t="shared" si="27"/>
        <v>Redes.Urbanas</v>
      </c>
      <c r="M101" s="23" t="str">
        <f t="shared" si="28"/>
        <v>Redes.Telecom</v>
      </c>
      <c r="N101" s="23" t="str">
        <f t="shared" si="29"/>
        <v>Rede Aérea</v>
      </c>
      <c r="O101" s="23" t="str">
        <f t="shared" si="30"/>
        <v>Rede Aérea de Net Móvel</v>
      </c>
      <c r="P101" s="19" t="s">
        <v>790</v>
      </c>
      <c r="Q101" s="19" t="s">
        <v>778</v>
      </c>
      <c r="R101" s="19" t="s">
        <v>625</v>
      </c>
      <c r="S101" s="54" t="s">
        <v>9</v>
      </c>
      <c r="T101" s="46" t="str">
        <f t="shared" si="35"/>
        <v>Redes Urbanas</v>
      </c>
      <c r="U101" s="46" t="str">
        <f t="shared" si="35"/>
        <v>Redes Telecom</v>
      </c>
      <c r="V101" s="46" t="str">
        <f t="shared" si="35"/>
        <v>Rede Aérea</v>
      </c>
      <c r="W101" s="19" t="s">
        <v>459</v>
      </c>
      <c r="X101" s="40" t="str">
        <f t="shared" si="34"/>
        <v>Key-TUB-101</v>
      </c>
      <c r="Y101" s="19" t="s">
        <v>472</v>
      </c>
      <c r="Z101" s="47" t="s">
        <v>9</v>
      </c>
      <c r="AA101" s="37" t="s">
        <v>480</v>
      </c>
      <c r="AB101" s="47" t="s">
        <v>9</v>
      </c>
      <c r="AC101" s="19" t="s">
        <v>474</v>
      </c>
      <c r="AD101" s="47" t="s">
        <v>9</v>
      </c>
    </row>
    <row r="102" spans="1:30" ht="6.75" customHeight="1" x14ac:dyDescent="0.25">
      <c r="A102" s="38">
        <v>102</v>
      </c>
      <c r="B102" s="1" t="s">
        <v>725</v>
      </c>
      <c r="C102" s="1" t="s">
        <v>352</v>
      </c>
      <c r="D102" s="1" t="s">
        <v>314</v>
      </c>
      <c r="E102" s="1" t="s">
        <v>2119</v>
      </c>
      <c r="F102" s="1" t="s">
        <v>329</v>
      </c>
      <c r="G102" s="39" t="s">
        <v>9</v>
      </c>
      <c r="H102" s="39" t="s">
        <v>9</v>
      </c>
      <c r="I102" s="39" t="s">
        <v>9</v>
      </c>
      <c r="J102" s="39" t="s">
        <v>9</v>
      </c>
      <c r="K102" s="39" t="s">
        <v>9</v>
      </c>
      <c r="L102" s="23" t="str">
        <f t="shared" si="27"/>
        <v>Redes.Urbanas</v>
      </c>
      <c r="M102" s="23" t="str">
        <f t="shared" si="28"/>
        <v>Redes.Telecom</v>
      </c>
      <c r="N102" s="23" t="str">
        <f t="shared" si="29"/>
        <v>Rede Subterrânea</v>
      </c>
      <c r="O102" s="23" t="str">
        <f t="shared" si="30"/>
        <v>Rede Subte de Fibra Ótica</v>
      </c>
      <c r="P102" s="19" t="s">
        <v>338</v>
      </c>
      <c r="Q102" s="19" t="s">
        <v>779</v>
      </c>
      <c r="R102" s="19" t="s">
        <v>626</v>
      </c>
      <c r="S102" s="54" t="s">
        <v>9</v>
      </c>
      <c r="T102" s="46" t="str">
        <f t="shared" si="35"/>
        <v>Redes Urbanas</v>
      </c>
      <c r="U102" s="46" t="str">
        <f t="shared" si="35"/>
        <v>Redes Telecom</v>
      </c>
      <c r="V102" s="46" t="str">
        <f t="shared" si="35"/>
        <v>Rede Subterrânea</v>
      </c>
      <c r="W102" s="19" t="s">
        <v>459</v>
      </c>
      <c r="X102" s="40" t="str">
        <f t="shared" si="34"/>
        <v>Key-TUB-102</v>
      </c>
      <c r="Y102" s="19" t="s">
        <v>472</v>
      </c>
      <c r="Z102" s="47" t="s">
        <v>9</v>
      </c>
      <c r="AA102" s="37" t="s">
        <v>477</v>
      </c>
      <c r="AB102" s="47" t="s">
        <v>9</v>
      </c>
      <c r="AC102" s="19" t="s">
        <v>474</v>
      </c>
      <c r="AD102" s="47" t="s">
        <v>9</v>
      </c>
    </row>
    <row r="103" spans="1:30" ht="6.75" customHeight="1" x14ac:dyDescent="0.25">
      <c r="A103" s="38">
        <v>103</v>
      </c>
      <c r="B103" s="1" t="s">
        <v>725</v>
      </c>
      <c r="C103" s="1" t="s">
        <v>352</v>
      </c>
      <c r="D103" s="1" t="s">
        <v>314</v>
      </c>
      <c r="E103" s="1" t="s">
        <v>2119</v>
      </c>
      <c r="F103" s="1" t="s">
        <v>330</v>
      </c>
      <c r="G103" s="39" t="s">
        <v>9</v>
      </c>
      <c r="H103" s="39" t="s">
        <v>9</v>
      </c>
      <c r="I103" s="39" t="s">
        <v>9</v>
      </c>
      <c r="J103" s="39" t="s">
        <v>9</v>
      </c>
      <c r="K103" s="39" t="s">
        <v>9</v>
      </c>
      <c r="L103" s="23" t="str">
        <f t="shared" si="27"/>
        <v>Redes.Urbanas</v>
      </c>
      <c r="M103" s="23" t="str">
        <f t="shared" si="28"/>
        <v>Redes.Telecom</v>
      </c>
      <c r="N103" s="23" t="str">
        <f t="shared" si="29"/>
        <v>Rede Subterrânea</v>
      </c>
      <c r="O103" s="23" t="str">
        <f t="shared" si="30"/>
        <v>Rede Subte de Dados</v>
      </c>
      <c r="P103" s="19" t="s">
        <v>791</v>
      </c>
      <c r="Q103" s="19" t="s">
        <v>780</v>
      </c>
      <c r="R103" s="19" t="s">
        <v>627</v>
      </c>
      <c r="S103" s="54" t="s">
        <v>9</v>
      </c>
      <c r="T103" s="46" t="str">
        <f t="shared" si="35"/>
        <v>Redes Urbanas</v>
      </c>
      <c r="U103" s="46" t="str">
        <f t="shared" si="35"/>
        <v>Redes Telecom</v>
      </c>
      <c r="V103" s="46" t="str">
        <f t="shared" si="35"/>
        <v>Rede Subterrânea</v>
      </c>
      <c r="W103" s="19" t="s">
        <v>459</v>
      </c>
      <c r="X103" s="40" t="str">
        <f t="shared" si="34"/>
        <v>Key-TUB-103</v>
      </c>
      <c r="Y103" s="19" t="s">
        <v>472</v>
      </c>
      <c r="Z103" s="47" t="s">
        <v>9</v>
      </c>
      <c r="AA103" s="37" t="s">
        <v>478</v>
      </c>
      <c r="AB103" s="47" t="s">
        <v>9</v>
      </c>
      <c r="AC103" s="19" t="s">
        <v>474</v>
      </c>
      <c r="AD103" s="47" t="s">
        <v>9</v>
      </c>
    </row>
    <row r="104" spans="1:30" ht="6.75" customHeight="1" x14ac:dyDescent="0.25">
      <c r="A104" s="38">
        <v>104</v>
      </c>
      <c r="B104" s="1" t="s">
        <v>725</v>
      </c>
      <c r="C104" s="1" t="s">
        <v>352</v>
      </c>
      <c r="D104" s="1" t="s">
        <v>314</v>
      </c>
      <c r="E104" s="1" t="s">
        <v>2119</v>
      </c>
      <c r="F104" s="1" t="s">
        <v>331</v>
      </c>
      <c r="G104" s="39" t="s">
        <v>9</v>
      </c>
      <c r="H104" s="39" t="s">
        <v>9</v>
      </c>
      <c r="I104" s="39" t="s">
        <v>9</v>
      </c>
      <c r="J104" s="39" t="s">
        <v>9</v>
      </c>
      <c r="K104" s="39" t="s">
        <v>9</v>
      </c>
      <c r="L104" s="23" t="str">
        <f t="shared" si="27"/>
        <v>Redes.Urbanas</v>
      </c>
      <c r="M104" s="23" t="str">
        <f t="shared" si="28"/>
        <v>Redes.Telecom</v>
      </c>
      <c r="N104" s="23" t="str">
        <f t="shared" si="29"/>
        <v>Rede Subterrânea</v>
      </c>
      <c r="O104" s="23" t="str">
        <f t="shared" si="30"/>
        <v>Rede Subte de Net Fixa</v>
      </c>
      <c r="P104" s="19" t="s">
        <v>792</v>
      </c>
      <c r="Q104" s="19" t="s">
        <v>781</v>
      </c>
      <c r="R104" s="19" t="s">
        <v>628</v>
      </c>
      <c r="S104" s="54" t="s">
        <v>9</v>
      </c>
      <c r="T104" s="46" t="str">
        <f t="shared" si="35"/>
        <v>Redes Urbanas</v>
      </c>
      <c r="U104" s="46" t="str">
        <f t="shared" si="35"/>
        <v>Redes Telecom</v>
      </c>
      <c r="V104" s="46" t="str">
        <f t="shared" si="35"/>
        <v>Rede Subterrânea</v>
      </c>
      <c r="W104" s="19" t="s">
        <v>459</v>
      </c>
      <c r="X104" s="40" t="str">
        <f t="shared" si="34"/>
        <v>Key-TUB-104</v>
      </c>
      <c r="Y104" s="19" t="s">
        <v>472</v>
      </c>
      <c r="Z104" s="47" t="s">
        <v>9</v>
      </c>
      <c r="AA104" s="37" t="s">
        <v>479</v>
      </c>
      <c r="AB104" s="47" t="s">
        <v>9</v>
      </c>
      <c r="AC104" s="19" t="s">
        <v>474</v>
      </c>
      <c r="AD104" s="47" t="s">
        <v>9</v>
      </c>
    </row>
    <row r="105" spans="1:30" ht="6.75" customHeight="1" x14ac:dyDescent="0.25">
      <c r="A105" s="38">
        <v>105</v>
      </c>
      <c r="B105" s="1" t="s">
        <v>725</v>
      </c>
      <c r="C105" s="1" t="s">
        <v>352</v>
      </c>
      <c r="D105" s="1" t="s">
        <v>314</v>
      </c>
      <c r="E105" s="1" t="s">
        <v>2119</v>
      </c>
      <c r="F105" s="1" t="s">
        <v>332</v>
      </c>
      <c r="G105" s="39" t="s">
        <v>9</v>
      </c>
      <c r="H105" s="39" t="s">
        <v>9</v>
      </c>
      <c r="I105" s="39" t="s">
        <v>9</v>
      </c>
      <c r="J105" s="39" t="s">
        <v>9</v>
      </c>
      <c r="K105" s="39" t="s">
        <v>9</v>
      </c>
      <c r="L105" s="23" t="str">
        <f t="shared" si="27"/>
        <v>Redes.Urbanas</v>
      </c>
      <c r="M105" s="23" t="str">
        <f t="shared" si="28"/>
        <v>Redes.Telecom</v>
      </c>
      <c r="N105" s="23" t="str">
        <f t="shared" si="29"/>
        <v>Rede Subterrânea</v>
      </c>
      <c r="O105" s="23" t="str">
        <f t="shared" si="30"/>
        <v>Rede Subte de Net Móvel</v>
      </c>
      <c r="P105" s="19" t="s">
        <v>793</v>
      </c>
      <c r="Q105" s="19" t="s">
        <v>782</v>
      </c>
      <c r="R105" s="19" t="s">
        <v>629</v>
      </c>
      <c r="S105" s="54" t="s">
        <v>9</v>
      </c>
      <c r="T105" s="46" t="str">
        <f t="shared" si="35"/>
        <v>Redes Urbanas</v>
      </c>
      <c r="U105" s="46" t="str">
        <f t="shared" si="35"/>
        <v>Redes Telecom</v>
      </c>
      <c r="V105" s="46" t="str">
        <f t="shared" si="35"/>
        <v>Rede Subterrânea</v>
      </c>
      <c r="W105" s="19" t="s">
        <v>459</v>
      </c>
      <c r="X105" s="40" t="str">
        <f t="shared" si="34"/>
        <v>Key-TUB-105</v>
      </c>
      <c r="Y105" s="19" t="s">
        <v>472</v>
      </c>
      <c r="Z105" s="47" t="s">
        <v>9</v>
      </c>
      <c r="AA105" s="37" t="s">
        <v>480</v>
      </c>
      <c r="AB105" s="47" t="s">
        <v>9</v>
      </c>
      <c r="AC105" s="19" t="s">
        <v>474</v>
      </c>
      <c r="AD105" s="47" t="s">
        <v>9</v>
      </c>
    </row>
    <row r="106" spans="1:30" ht="6.75" customHeight="1" x14ac:dyDescent="0.25">
      <c r="A106" s="38">
        <v>106</v>
      </c>
      <c r="B106" s="1" t="s">
        <v>725</v>
      </c>
      <c r="C106" s="1" t="s">
        <v>453</v>
      </c>
      <c r="D106" s="1" t="s">
        <v>351</v>
      </c>
      <c r="E106" s="1" t="s">
        <v>763</v>
      </c>
      <c r="F106" s="1" t="s">
        <v>342</v>
      </c>
      <c r="G106" s="39" t="s">
        <v>9</v>
      </c>
      <c r="H106" s="39" t="s">
        <v>9</v>
      </c>
      <c r="I106" s="39" t="s">
        <v>9</v>
      </c>
      <c r="J106" s="39" t="s">
        <v>9</v>
      </c>
      <c r="K106" s="39" t="s">
        <v>9</v>
      </c>
      <c r="L106" s="23" t="str">
        <f t="shared" si="27"/>
        <v>Redes.Prediais</v>
      </c>
      <c r="M106" s="23" t="str">
        <f t="shared" si="28"/>
        <v>Sistemas.Prediais</v>
      </c>
      <c r="N106" s="23" t="str">
        <f t="shared" si="29"/>
        <v>Sistema Alimentador</v>
      </c>
      <c r="O106" s="23" t="str">
        <f t="shared" si="30"/>
        <v>Sistema de Agua</v>
      </c>
      <c r="P106" s="19" t="s">
        <v>794</v>
      </c>
      <c r="Q106" s="19" t="s">
        <v>529</v>
      </c>
      <c r="R106" s="19" t="s">
        <v>630</v>
      </c>
      <c r="S106" s="54" t="s">
        <v>9</v>
      </c>
      <c r="T106" s="46" t="str">
        <f t="shared" si="35"/>
        <v>Redes Prediais</v>
      </c>
      <c r="U106" s="46" t="str">
        <f t="shared" si="35"/>
        <v>Sistemas Prediais</v>
      </c>
      <c r="V106" s="46" t="str">
        <f t="shared" si="35"/>
        <v>Sistema Alimentador</v>
      </c>
      <c r="W106" s="19" t="s">
        <v>459</v>
      </c>
      <c r="X106" s="40" t="str">
        <f t="shared" si="34"/>
        <v>Key-TUB-106</v>
      </c>
      <c r="Y106" s="19" t="s">
        <v>461</v>
      </c>
      <c r="Z106" s="47" t="s">
        <v>9</v>
      </c>
      <c r="AA106" s="37" t="s">
        <v>481</v>
      </c>
      <c r="AB106" s="47" t="s">
        <v>9</v>
      </c>
      <c r="AC106" s="19" t="s">
        <v>463</v>
      </c>
      <c r="AD106" s="47" t="s">
        <v>9</v>
      </c>
    </row>
    <row r="107" spans="1:30" ht="6.75" customHeight="1" x14ac:dyDescent="0.25">
      <c r="A107" s="38">
        <v>107</v>
      </c>
      <c r="B107" s="1" t="s">
        <v>725</v>
      </c>
      <c r="C107" s="1" t="s">
        <v>453</v>
      </c>
      <c r="D107" s="1" t="s">
        <v>351</v>
      </c>
      <c r="E107" s="1" t="s">
        <v>763</v>
      </c>
      <c r="F107" s="1" t="s">
        <v>343</v>
      </c>
      <c r="G107" s="39" t="s">
        <v>9</v>
      </c>
      <c r="H107" s="39" t="s">
        <v>9</v>
      </c>
      <c r="I107" s="39" t="s">
        <v>9</v>
      </c>
      <c r="J107" s="39" t="s">
        <v>9</v>
      </c>
      <c r="K107" s="39" t="s">
        <v>9</v>
      </c>
      <c r="L107" s="23" t="str">
        <f t="shared" si="27"/>
        <v>Redes.Prediais</v>
      </c>
      <c r="M107" s="23" t="str">
        <f t="shared" si="28"/>
        <v>Sistemas.Prediais</v>
      </c>
      <c r="N107" s="23" t="str">
        <f t="shared" si="29"/>
        <v>Sistema Alimentador</v>
      </c>
      <c r="O107" s="23" t="str">
        <f t="shared" si="30"/>
        <v>Sistema de Agua Fria</v>
      </c>
      <c r="P107" s="19" t="s">
        <v>795</v>
      </c>
      <c r="Q107" s="19" t="s">
        <v>769</v>
      </c>
      <c r="R107" s="19" t="s">
        <v>631</v>
      </c>
      <c r="S107" s="54" t="s">
        <v>9</v>
      </c>
      <c r="T107" s="46" t="str">
        <f t="shared" si="35"/>
        <v>Redes Prediais</v>
      </c>
      <c r="U107" s="46" t="str">
        <f t="shared" si="35"/>
        <v>Sistemas Prediais</v>
      </c>
      <c r="V107" s="46" t="str">
        <f t="shared" si="35"/>
        <v>Sistema Alimentador</v>
      </c>
      <c r="W107" s="19" t="s">
        <v>459</v>
      </c>
      <c r="X107" s="40" t="str">
        <f t="shared" si="34"/>
        <v>Key-TUB-107</v>
      </c>
      <c r="Y107" s="19" t="s">
        <v>461</v>
      </c>
      <c r="Z107" s="47" t="s">
        <v>9</v>
      </c>
      <c r="AA107" s="37" t="s">
        <v>481</v>
      </c>
      <c r="AB107" s="47" t="s">
        <v>9</v>
      </c>
      <c r="AC107" s="19" t="s">
        <v>463</v>
      </c>
      <c r="AD107" s="47" t="s">
        <v>9</v>
      </c>
    </row>
    <row r="108" spans="1:30" ht="6.75" customHeight="1" x14ac:dyDescent="0.25">
      <c r="A108" s="38">
        <v>108</v>
      </c>
      <c r="B108" s="1" t="s">
        <v>725</v>
      </c>
      <c r="C108" s="1" t="s">
        <v>453</v>
      </c>
      <c r="D108" s="1" t="s">
        <v>351</v>
      </c>
      <c r="E108" s="1" t="s">
        <v>763</v>
      </c>
      <c r="F108" s="1" t="s">
        <v>344</v>
      </c>
      <c r="G108" s="39" t="s">
        <v>9</v>
      </c>
      <c r="H108" s="39" t="s">
        <v>9</v>
      </c>
      <c r="I108" s="39" t="s">
        <v>9</v>
      </c>
      <c r="J108" s="39" t="s">
        <v>9</v>
      </c>
      <c r="K108" s="39" t="s">
        <v>9</v>
      </c>
      <c r="L108" s="23" t="str">
        <f t="shared" si="27"/>
        <v>Redes.Prediais</v>
      </c>
      <c r="M108" s="23" t="str">
        <f t="shared" si="28"/>
        <v>Sistemas.Prediais</v>
      </c>
      <c r="N108" s="23" t="str">
        <f t="shared" si="29"/>
        <v>Sistema Alimentador</v>
      </c>
      <c r="O108" s="23" t="str">
        <f t="shared" si="30"/>
        <v>Sistema de Agua Quente</v>
      </c>
      <c r="P108" s="19" t="s">
        <v>796</v>
      </c>
      <c r="Q108" s="19" t="s">
        <v>770</v>
      </c>
      <c r="R108" s="19" t="s">
        <v>632</v>
      </c>
      <c r="S108" s="54" t="s">
        <v>9</v>
      </c>
      <c r="T108" s="46" t="str">
        <f t="shared" si="35"/>
        <v>Redes Prediais</v>
      </c>
      <c r="U108" s="46" t="str">
        <f t="shared" si="35"/>
        <v>Sistemas Prediais</v>
      </c>
      <c r="V108" s="46" t="str">
        <f t="shared" si="35"/>
        <v>Sistema Alimentador</v>
      </c>
      <c r="W108" s="19" t="s">
        <v>459</v>
      </c>
      <c r="X108" s="40" t="str">
        <f t="shared" si="34"/>
        <v>Key-TUB-108</v>
      </c>
      <c r="Y108" s="19" t="s">
        <v>461</v>
      </c>
      <c r="Z108" s="47" t="s">
        <v>9</v>
      </c>
      <c r="AA108" s="37" t="s">
        <v>482</v>
      </c>
      <c r="AB108" s="47" t="s">
        <v>9</v>
      </c>
      <c r="AC108" s="19" t="s">
        <v>463</v>
      </c>
      <c r="AD108" s="47" t="s">
        <v>9</v>
      </c>
    </row>
    <row r="109" spans="1:30" ht="6.75" customHeight="1" x14ac:dyDescent="0.25">
      <c r="A109" s="38">
        <v>109</v>
      </c>
      <c r="B109" s="1" t="s">
        <v>725</v>
      </c>
      <c r="C109" s="1" t="s">
        <v>453</v>
      </c>
      <c r="D109" s="1" t="s">
        <v>351</v>
      </c>
      <c r="E109" s="1" t="s">
        <v>763</v>
      </c>
      <c r="F109" s="1" t="s">
        <v>341</v>
      </c>
      <c r="G109" s="39" t="s">
        <v>9</v>
      </c>
      <c r="H109" s="39" t="s">
        <v>9</v>
      </c>
      <c r="I109" s="39" t="s">
        <v>9</v>
      </c>
      <c r="J109" s="39" t="s">
        <v>9</v>
      </c>
      <c r="K109" s="39" t="s">
        <v>9</v>
      </c>
      <c r="L109" s="23" t="str">
        <f t="shared" si="27"/>
        <v>Redes.Prediais</v>
      </c>
      <c r="M109" s="23" t="str">
        <f t="shared" si="28"/>
        <v>Sistemas.Prediais</v>
      </c>
      <c r="N109" s="23" t="str">
        <f t="shared" si="29"/>
        <v>Sistema Alimentador</v>
      </c>
      <c r="O109" s="23" t="str">
        <f t="shared" si="30"/>
        <v>Sistema de Gas</v>
      </c>
      <c r="P109" s="19" t="s">
        <v>797</v>
      </c>
      <c r="Q109" s="19" t="s">
        <v>768</v>
      </c>
      <c r="R109" s="19" t="s">
        <v>633</v>
      </c>
      <c r="S109" s="54" t="s">
        <v>9</v>
      </c>
      <c r="T109" s="46" t="str">
        <f t="shared" si="35"/>
        <v>Redes Prediais</v>
      </c>
      <c r="U109" s="46" t="str">
        <f t="shared" si="35"/>
        <v>Sistemas Prediais</v>
      </c>
      <c r="V109" s="46" t="str">
        <f t="shared" si="35"/>
        <v>Sistema Alimentador</v>
      </c>
      <c r="W109" s="19" t="s">
        <v>459</v>
      </c>
      <c r="X109" s="40" t="str">
        <f t="shared" si="34"/>
        <v>Key-TUB-109</v>
      </c>
      <c r="Y109" s="19" t="s">
        <v>461</v>
      </c>
      <c r="Z109" s="47" t="s">
        <v>9</v>
      </c>
      <c r="AA109" s="37" t="s">
        <v>483</v>
      </c>
      <c r="AB109" s="47" t="s">
        <v>9</v>
      </c>
      <c r="AC109" s="19" t="s">
        <v>463</v>
      </c>
      <c r="AD109" s="47" t="s">
        <v>9</v>
      </c>
    </row>
    <row r="110" spans="1:30" ht="6.75" customHeight="1" x14ac:dyDescent="0.25">
      <c r="A110" s="38">
        <v>110</v>
      </c>
      <c r="B110" s="1" t="s">
        <v>725</v>
      </c>
      <c r="C110" s="1" t="s">
        <v>453</v>
      </c>
      <c r="D110" s="1" t="s">
        <v>351</v>
      </c>
      <c r="E110" s="1" t="s">
        <v>763</v>
      </c>
      <c r="F110" s="1" t="s">
        <v>345</v>
      </c>
      <c r="G110" s="39" t="s">
        <v>9</v>
      </c>
      <c r="H110" s="39" t="s">
        <v>9</v>
      </c>
      <c r="I110" s="39" t="s">
        <v>9</v>
      </c>
      <c r="J110" s="39" t="s">
        <v>9</v>
      </c>
      <c r="K110" s="39" t="s">
        <v>9</v>
      </c>
      <c r="L110" s="23" t="str">
        <f t="shared" si="27"/>
        <v>Redes.Prediais</v>
      </c>
      <c r="M110" s="23" t="str">
        <f t="shared" si="28"/>
        <v>Sistemas.Prediais</v>
      </c>
      <c r="N110" s="23" t="str">
        <f t="shared" si="29"/>
        <v>Sistema Alimentador</v>
      </c>
      <c r="O110" s="23" t="str">
        <f t="shared" si="30"/>
        <v>Sistema de Elétrica</v>
      </c>
      <c r="P110" s="19" t="s">
        <v>335</v>
      </c>
      <c r="Q110" s="19" t="s">
        <v>767</v>
      </c>
      <c r="R110" s="19" t="s">
        <v>634</v>
      </c>
      <c r="S110" s="54" t="s">
        <v>9</v>
      </c>
      <c r="T110" s="46" t="str">
        <f t="shared" si="35"/>
        <v>Redes Prediais</v>
      </c>
      <c r="U110" s="46" t="str">
        <f t="shared" si="35"/>
        <v>Sistemas Prediais</v>
      </c>
      <c r="V110" s="46" t="str">
        <f t="shared" si="35"/>
        <v>Sistema Alimentador</v>
      </c>
      <c r="W110" s="19" t="s">
        <v>459</v>
      </c>
      <c r="X110" s="40" t="str">
        <f t="shared" si="34"/>
        <v>Key-TUB-110</v>
      </c>
      <c r="Y110" s="19" t="s">
        <v>472</v>
      </c>
      <c r="Z110" s="47" t="s">
        <v>9</v>
      </c>
      <c r="AA110" s="37" t="s">
        <v>484</v>
      </c>
      <c r="AB110" s="47" t="s">
        <v>9</v>
      </c>
      <c r="AC110" s="19" t="s">
        <v>474</v>
      </c>
      <c r="AD110" s="47" t="s">
        <v>9</v>
      </c>
    </row>
    <row r="111" spans="1:30" ht="6.75" customHeight="1" x14ac:dyDescent="0.25">
      <c r="A111" s="38">
        <v>111</v>
      </c>
      <c r="B111" s="1" t="s">
        <v>725</v>
      </c>
      <c r="C111" s="1" t="s">
        <v>453</v>
      </c>
      <c r="D111" s="1" t="s">
        <v>351</v>
      </c>
      <c r="E111" s="1" t="s">
        <v>763</v>
      </c>
      <c r="F111" s="1" t="s">
        <v>346</v>
      </c>
      <c r="G111" s="39" t="s">
        <v>9</v>
      </c>
      <c r="H111" s="39" t="s">
        <v>9</v>
      </c>
      <c r="I111" s="39" t="s">
        <v>9</v>
      </c>
      <c r="J111" s="39" t="s">
        <v>9</v>
      </c>
      <c r="K111" s="39" t="s">
        <v>9</v>
      </c>
      <c r="L111" s="23" t="str">
        <f t="shared" si="27"/>
        <v>Redes.Prediais</v>
      </c>
      <c r="M111" s="23" t="str">
        <f t="shared" si="28"/>
        <v>Sistemas.Prediais</v>
      </c>
      <c r="N111" s="23" t="str">
        <f t="shared" si="29"/>
        <v>Sistema Alimentador</v>
      </c>
      <c r="O111" s="23" t="str">
        <f t="shared" si="30"/>
        <v>Sistema de Dados</v>
      </c>
      <c r="P111" s="19" t="s">
        <v>336</v>
      </c>
      <c r="Q111" s="19" t="s">
        <v>771</v>
      </c>
      <c r="R111" s="19" t="s">
        <v>635</v>
      </c>
      <c r="S111" s="54" t="s">
        <v>9</v>
      </c>
      <c r="T111" s="46" t="str">
        <f t="shared" si="35"/>
        <v>Redes Prediais</v>
      </c>
      <c r="U111" s="46" t="str">
        <f t="shared" si="35"/>
        <v>Sistemas Prediais</v>
      </c>
      <c r="V111" s="46" t="str">
        <f t="shared" si="35"/>
        <v>Sistema Alimentador</v>
      </c>
      <c r="W111" s="19" t="s">
        <v>459</v>
      </c>
      <c r="X111" s="40" t="str">
        <f t="shared" si="34"/>
        <v>Key-TUB-111</v>
      </c>
      <c r="Y111" s="19" t="s">
        <v>472</v>
      </c>
      <c r="Z111" s="47" t="s">
        <v>9</v>
      </c>
      <c r="AA111" s="37" t="s">
        <v>478</v>
      </c>
      <c r="AB111" s="47" t="s">
        <v>9</v>
      </c>
      <c r="AC111" s="19" t="s">
        <v>474</v>
      </c>
      <c r="AD111" s="47" t="s">
        <v>9</v>
      </c>
    </row>
    <row r="112" spans="1:30" ht="6.75" customHeight="1" x14ac:dyDescent="0.25">
      <c r="A112" s="38">
        <v>112</v>
      </c>
      <c r="B112" s="1" t="s">
        <v>725</v>
      </c>
      <c r="C112" s="1" t="s">
        <v>453</v>
      </c>
      <c r="D112" s="1" t="s">
        <v>351</v>
      </c>
      <c r="E112" s="1" t="s">
        <v>764</v>
      </c>
      <c r="F112" s="1" t="s">
        <v>347</v>
      </c>
      <c r="G112" s="39" t="s">
        <v>9</v>
      </c>
      <c r="H112" s="39" t="s">
        <v>9</v>
      </c>
      <c r="I112" s="39" t="s">
        <v>9</v>
      </c>
      <c r="J112" s="39" t="s">
        <v>9</v>
      </c>
      <c r="K112" s="39" t="s">
        <v>9</v>
      </c>
      <c r="L112" s="23" t="str">
        <f t="shared" si="27"/>
        <v>Redes.Prediais</v>
      </c>
      <c r="M112" s="23" t="str">
        <f t="shared" si="28"/>
        <v>Sistemas.Prediais</v>
      </c>
      <c r="N112" s="23" t="str">
        <f t="shared" si="29"/>
        <v>Sistema Coletor</v>
      </c>
      <c r="O112" s="23" t="str">
        <f t="shared" si="30"/>
        <v>Sistema de Esgoto Primário</v>
      </c>
      <c r="P112" s="19" t="s">
        <v>339</v>
      </c>
      <c r="Q112" s="19" t="s">
        <v>772</v>
      </c>
      <c r="R112" s="19" t="s">
        <v>636</v>
      </c>
      <c r="S112" s="54" t="s">
        <v>9</v>
      </c>
      <c r="T112" s="46" t="str">
        <f t="shared" si="35"/>
        <v>Redes Prediais</v>
      </c>
      <c r="U112" s="46" t="str">
        <f t="shared" si="35"/>
        <v>Sistemas Prediais</v>
      </c>
      <c r="V112" s="46" t="str">
        <f t="shared" si="35"/>
        <v>Sistema Coletor</v>
      </c>
      <c r="W112" s="19" t="s">
        <v>459</v>
      </c>
      <c r="X112" s="40" t="str">
        <f t="shared" si="34"/>
        <v>Key-TUB-112</v>
      </c>
      <c r="Y112" s="19" t="s">
        <v>461</v>
      </c>
      <c r="Z112" s="47" t="s">
        <v>9</v>
      </c>
      <c r="AA112" s="37" t="s">
        <v>470</v>
      </c>
      <c r="AB112" s="47" t="s">
        <v>9</v>
      </c>
      <c r="AC112" s="19" t="s">
        <v>463</v>
      </c>
      <c r="AD112" s="47" t="s">
        <v>9</v>
      </c>
    </row>
    <row r="113" spans="1:30" ht="6.75" customHeight="1" x14ac:dyDescent="0.25">
      <c r="A113" s="38">
        <v>113</v>
      </c>
      <c r="B113" s="1" t="s">
        <v>725</v>
      </c>
      <c r="C113" s="1" t="s">
        <v>453</v>
      </c>
      <c r="D113" s="1" t="s">
        <v>351</v>
      </c>
      <c r="E113" s="1" t="s">
        <v>764</v>
      </c>
      <c r="F113" s="1" t="s">
        <v>348</v>
      </c>
      <c r="G113" s="39" t="s">
        <v>9</v>
      </c>
      <c r="H113" s="39" t="s">
        <v>9</v>
      </c>
      <c r="I113" s="39" t="s">
        <v>9</v>
      </c>
      <c r="J113" s="39" t="s">
        <v>9</v>
      </c>
      <c r="K113" s="39" t="s">
        <v>9</v>
      </c>
      <c r="L113" s="23" t="str">
        <f t="shared" si="27"/>
        <v>Redes.Prediais</v>
      </c>
      <c r="M113" s="23" t="str">
        <f t="shared" si="28"/>
        <v>Sistemas.Prediais</v>
      </c>
      <c r="N113" s="23" t="str">
        <f t="shared" si="29"/>
        <v>Sistema Coletor</v>
      </c>
      <c r="O113" s="23" t="str">
        <f t="shared" si="30"/>
        <v>Sistema de Esgoto Secundário</v>
      </c>
      <c r="P113" s="19" t="s">
        <v>340</v>
      </c>
      <c r="Q113" s="19" t="s">
        <v>773</v>
      </c>
      <c r="R113" s="19" t="s">
        <v>637</v>
      </c>
      <c r="S113" s="54" t="s">
        <v>9</v>
      </c>
      <c r="T113" s="46" t="str">
        <f t="shared" si="35"/>
        <v>Redes Prediais</v>
      </c>
      <c r="U113" s="46" t="str">
        <f t="shared" si="35"/>
        <v>Sistemas Prediais</v>
      </c>
      <c r="V113" s="46" t="str">
        <f t="shared" si="35"/>
        <v>Sistema Coletor</v>
      </c>
      <c r="W113" s="19" t="s">
        <v>459</v>
      </c>
      <c r="X113" s="40" t="str">
        <f t="shared" si="34"/>
        <v>Key-TUB-113</v>
      </c>
      <c r="Y113" s="19" t="s">
        <v>461</v>
      </c>
      <c r="Z113" s="47" t="s">
        <v>9</v>
      </c>
      <c r="AA113" s="37" t="s">
        <v>470</v>
      </c>
      <c r="AB113" s="47" t="s">
        <v>9</v>
      </c>
      <c r="AC113" s="19" t="s">
        <v>463</v>
      </c>
      <c r="AD113" s="47" t="s">
        <v>9</v>
      </c>
    </row>
    <row r="114" spans="1:30" ht="6.75" customHeight="1" x14ac:dyDescent="0.25">
      <c r="A114" s="38">
        <v>114</v>
      </c>
      <c r="B114" s="1" t="s">
        <v>725</v>
      </c>
      <c r="C114" s="1" t="s">
        <v>453</v>
      </c>
      <c r="D114" s="1" t="s">
        <v>351</v>
      </c>
      <c r="E114" s="1" t="s">
        <v>764</v>
      </c>
      <c r="F114" s="1" t="s">
        <v>766</v>
      </c>
      <c r="G114" s="39" t="s">
        <v>9</v>
      </c>
      <c r="H114" s="39" t="s">
        <v>9</v>
      </c>
      <c r="I114" s="39" t="s">
        <v>9</v>
      </c>
      <c r="J114" s="39" t="s">
        <v>9</v>
      </c>
      <c r="K114" s="39" t="s">
        <v>9</v>
      </c>
      <c r="L114" s="23" t="str">
        <f t="shared" si="27"/>
        <v>Redes.Prediais</v>
      </c>
      <c r="M114" s="23" t="str">
        <f t="shared" si="28"/>
        <v>Sistemas.Prediais</v>
      </c>
      <c r="N114" s="23" t="str">
        <f t="shared" si="29"/>
        <v>Sistema Coletor</v>
      </c>
      <c r="O114" s="23" t="str">
        <f t="shared" si="30"/>
        <v>Sistema de Gordura</v>
      </c>
      <c r="P114" s="19" t="s">
        <v>798</v>
      </c>
      <c r="Q114" s="19" t="s">
        <v>774</v>
      </c>
      <c r="R114" s="19" t="s">
        <v>637</v>
      </c>
      <c r="S114" s="54" t="s">
        <v>9</v>
      </c>
      <c r="T114" s="46" t="str">
        <f t="shared" si="35"/>
        <v>Redes Prediais</v>
      </c>
      <c r="U114" s="46" t="str">
        <f t="shared" si="35"/>
        <v>Sistemas Prediais</v>
      </c>
      <c r="V114" s="46" t="str">
        <f t="shared" si="35"/>
        <v>Sistema Coletor</v>
      </c>
      <c r="W114" s="19" t="s">
        <v>459</v>
      </c>
      <c r="X114" s="40" t="str">
        <f t="shared" si="34"/>
        <v>Key-TUB-114</v>
      </c>
      <c r="Y114" s="19" t="s">
        <v>461</v>
      </c>
      <c r="Z114" s="47" t="s">
        <v>9</v>
      </c>
      <c r="AA114" s="37" t="s">
        <v>470</v>
      </c>
      <c r="AB114" s="47" t="s">
        <v>9</v>
      </c>
      <c r="AC114" s="19" t="s">
        <v>463</v>
      </c>
      <c r="AD114" s="47" t="s">
        <v>9</v>
      </c>
    </row>
    <row r="115" spans="1:30" ht="6.75" customHeight="1" x14ac:dyDescent="0.25">
      <c r="A115" s="38">
        <v>115</v>
      </c>
      <c r="B115" s="1" t="s">
        <v>725</v>
      </c>
      <c r="C115" s="1" t="s">
        <v>453</v>
      </c>
      <c r="D115" s="1" t="s">
        <v>351</v>
      </c>
      <c r="E115" s="1" t="s">
        <v>764</v>
      </c>
      <c r="F115" s="1" t="s">
        <v>349</v>
      </c>
      <c r="G115" s="39" t="s">
        <v>9</v>
      </c>
      <c r="H115" s="39" t="s">
        <v>9</v>
      </c>
      <c r="I115" s="39" t="s">
        <v>9</v>
      </c>
      <c r="J115" s="39" t="s">
        <v>9</v>
      </c>
      <c r="K115" s="39" t="s">
        <v>9</v>
      </c>
      <c r="L115" s="23" t="str">
        <f t="shared" si="27"/>
        <v>Redes.Prediais</v>
      </c>
      <c r="M115" s="23" t="str">
        <f t="shared" si="28"/>
        <v>Sistemas.Prediais</v>
      </c>
      <c r="N115" s="23" t="str">
        <f t="shared" si="29"/>
        <v>Sistema Coletor</v>
      </c>
      <c r="O115" s="23" t="str">
        <f t="shared" si="30"/>
        <v>Sistema de Ventilação</v>
      </c>
      <c r="P115" s="19" t="s">
        <v>285</v>
      </c>
      <c r="Q115" s="19" t="s">
        <v>775</v>
      </c>
      <c r="R115" s="19" t="s">
        <v>638</v>
      </c>
      <c r="S115" s="54" t="s">
        <v>9</v>
      </c>
      <c r="T115" s="46" t="str">
        <f t="shared" si="35"/>
        <v>Redes Prediais</v>
      </c>
      <c r="U115" s="46" t="str">
        <f t="shared" si="35"/>
        <v>Sistemas Prediais</v>
      </c>
      <c r="V115" s="46" t="str">
        <f t="shared" si="35"/>
        <v>Sistema Coletor</v>
      </c>
      <c r="W115" s="19" t="s">
        <v>459</v>
      </c>
      <c r="X115" s="40" t="str">
        <f t="shared" si="34"/>
        <v>Key-TUB-115</v>
      </c>
      <c r="Y115" s="19" t="s">
        <v>461</v>
      </c>
      <c r="Z115" s="47" t="s">
        <v>9</v>
      </c>
      <c r="AA115" s="37" t="s">
        <v>485</v>
      </c>
      <c r="AB115" s="47" t="s">
        <v>9</v>
      </c>
      <c r="AC115" s="19" t="s">
        <v>463</v>
      </c>
      <c r="AD115" s="47" t="s">
        <v>9</v>
      </c>
    </row>
    <row r="116" spans="1:30" ht="6.75" customHeight="1" x14ac:dyDescent="0.25">
      <c r="A116" s="38">
        <v>116</v>
      </c>
      <c r="B116" s="1" t="s">
        <v>725</v>
      </c>
      <c r="C116" s="1" t="s">
        <v>453</v>
      </c>
      <c r="D116" s="1" t="s">
        <v>351</v>
      </c>
      <c r="E116" s="1" t="s">
        <v>764</v>
      </c>
      <c r="F116" s="22" t="s">
        <v>350</v>
      </c>
      <c r="G116" s="39" t="s">
        <v>9</v>
      </c>
      <c r="H116" s="39" t="s">
        <v>9</v>
      </c>
      <c r="I116" s="39" t="s">
        <v>9</v>
      </c>
      <c r="J116" s="39" t="s">
        <v>9</v>
      </c>
      <c r="K116" s="39" t="s">
        <v>9</v>
      </c>
      <c r="L116" s="23" t="str">
        <f t="shared" si="27"/>
        <v>Redes.Prediais</v>
      </c>
      <c r="M116" s="23" t="str">
        <f t="shared" si="28"/>
        <v>Sistemas.Prediais</v>
      </c>
      <c r="N116" s="23" t="str">
        <f t="shared" si="29"/>
        <v>Sistema Coletor</v>
      </c>
      <c r="O116" s="23" t="str">
        <f t="shared" si="30"/>
        <v>Sistema de Pluvial</v>
      </c>
      <c r="P116" s="19" t="s">
        <v>799</v>
      </c>
      <c r="Q116" s="19" t="s">
        <v>776</v>
      </c>
      <c r="R116" s="19" t="s">
        <v>639</v>
      </c>
      <c r="S116" s="54" t="s">
        <v>9</v>
      </c>
      <c r="T116" s="46" t="str">
        <f t="shared" si="35"/>
        <v>Redes Prediais</v>
      </c>
      <c r="U116" s="46" t="str">
        <f t="shared" si="35"/>
        <v>Sistemas Prediais</v>
      </c>
      <c r="V116" s="46" t="str">
        <f t="shared" si="35"/>
        <v>Sistema Coletor</v>
      </c>
      <c r="W116" s="19" t="s">
        <v>459</v>
      </c>
      <c r="X116" s="40" t="str">
        <f t="shared" si="34"/>
        <v>Key-TUB-116</v>
      </c>
      <c r="Y116" s="19" t="s">
        <v>461</v>
      </c>
      <c r="Z116" s="47" t="s">
        <v>9</v>
      </c>
      <c r="AA116" s="37" t="s">
        <v>486</v>
      </c>
      <c r="AB116" s="47" t="s">
        <v>9</v>
      </c>
      <c r="AC116" s="19" t="s">
        <v>463</v>
      </c>
      <c r="AD116" s="47" t="s">
        <v>9</v>
      </c>
    </row>
    <row r="117" spans="1:30" ht="6.75" customHeight="1" x14ac:dyDescent="0.25">
      <c r="A117" s="38">
        <v>117</v>
      </c>
      <c r="B117" s="1" t="s">
        <v>725</v>
      </c>
      <c r="C117" s="1" t="s">
        <v>453</v>
      </c>
      <c r="D117" s="1" t="s">
        <v>351</v>
      </c>
      <c r="E117" s="1" t="s">
        <v>765</v>
      </c>
      <c r="F117" s="22" t="s">
        <v>354</v>
      </c>
      <c r="G117" s="39" t="s">
        <v>9</v>
      </c>
      <c r="H117" s="39" t="s">
        <v>9</v>
      </c>
      <c r="I117" s="39" t="s">
        <v>9</v>
      </c>
      <c r="J117" s="39" t="s">
        <v>9</v>
      </c>
      <c r="K117" s="39" t="s">
        <v>9</v>
      </c>
      <c r="L117" s="23" t="str">
        <f t="shared" si="27"/>
        <v>Redes.Prediais</v>
      </c>
      <c r="M117" s="23" t="str">
        <f t="shared" si="28"/>
        <v>Sistemas.Prediais</v>
      </c>
      <c r="N117" s="23" t="str">
        <f t="shared" si="29"/>
        <v>Sistema Protetor</v>
      </c>
      <c r="O117" s="23" t="str">
        <f t="shared" si="30"/>
        <v>Sistema de Aterramento</v>
      </c>
      <c r="P117" s="19" t="s">
        <v>800</v>
      </c>
      <c r="Q117" s="19" t="s">
        <v>530</v>
      </c>
      <c r="R117" s="19" t="s">
        <v>640</v>
      </c>
      <c r="S117" s="54" t="s">
        <v>9</v>
      </c>
      <c r="T117" s="46" t="str">
        <f t="shared" si="35"/>
        <v>Redes Prediais</v>
      </c>
      <c r="U117" s="46" t="str">
        <f t="shared" si="35"/>
        <v>Sistemas Prediais</v>
      </c>
      <c r="V117" s="46" t="str">
        <f t="shared" si="35"/>
        <v>Sistema Protetor</v>
      </c>
      <c r="W117" s="19" t="s">
        <v>459</v>
      </c>
      <c r="X117" s="40" t="str">
        <f t="shared" si="34"/>
        <v>Key-TUB-117</v>
      </c>
      <c r="Y117" s="19" t="s">
        <v>472</v>
      </c>
      <c r="Z117" s="47" t="s">
        <v>9</v>
      </c>
      <c r="AA117" s="37" t="s">
        <v>487</v>
      </c>
      <c r="AB117" s="47" t="s">
        <v>9</v>
      </c>
      <c r="AC117" s="19" t="s">
        <v>474</v>
      </c>
      <c r="AD117" s="47" t="s">
        <v>9</v>
      </c>
    </row>
    <row r="118" spans="1:30" ht="6.75" customHeight="1" x14ac:dyDescent="0.25">
      <c r="A118" s="38">
        <v>118</v>
      </c>
      <c r="B118" s="1" t="s">
        <v>725</v>
      </c>
      <c r="C118" s="1" t="s">
        <v>453</v>
      </c>
      <c r="D118" s="1" t="s">
        <v>351</v>
      </c>
      <c r="E118" s="1" t="s">
        <v>765</v>
      </c>
      <c r="F118" s="22" t="s">
        <v>353</v>
      </c>
      <c r="G118" s="39" t="s">
        <v>9</v>
      </c>
      <c r="H118" s="39" t="s">
        <v>9</v>
      </c>
      <c r="I118" s="39" t="s">
        <v>9</v>
      </c>
      <c r="J118" s="39" t="s">
        <v>9</v>
      </c>
      <c r="K118" s="39" t="s">
        <v>9</v>
      </c>
      <c r="L118" s="23" t="str">
        <f t="shared" si="27"/>
        <v>Redes.Prediais</v>
      </c>
      <c r="M118" s="23" t="str">
        <f t="shared" si="28"/>
        <v>Sistemas.Prediais</v>
      </c>
      <c r="N118" s="23" t="str">
        <f t="shared" si="29"/>
        <v>Sistema Protetor</v>
      </c>
      <c r="O118" s="23" t="str">
        <f t="shared" si="30"/>
        <v>Sistema de Pararaios</v>
      </c>
      <c r="P118" s="19" t="s">
        <v>801</v>
      </c>
      <c r="Q118" s="19" t="s">
        <v>531</v>
      </c>
      <c r="R118" s="19" t="s">
        <v>641</v>
      </c>
      <c r="S118" s="54" t="s">
        <v>9</v>
      </c>
      <c r="T118" s="46" t="str">
        <f t="shared" si="35"/>
        <v>Redes Prediais</v>
      </c>
      <c r="U118" s="46" t="str">
        <f t="shared" si="35"/>
        <v>Sistemas Prediais</v>
      </c>
      <c r="V118" s="46" t="str">
        <f t="shared" si="35"/>
        <v>Sistema Protetor</v>
      </c>
      <c r="W118" s="19" t="s">
        <v>459</v>
      </c>
      <c r="X118" s="40" t="str">
        <f t="shared" si="34"/>
        <v>Key-TUB-118</v>
      </c>
      <c r="Y118" s="19" t="s">
        <v>472</v>
      </c>
      <c r="Z118" s="47" t="s">
        <v>9</v>
      </c>
      <c r="AA118" s="37" t="s">
        <v>488</v>
      </c>
      <c r="AB118" s="47" t="s">
        <v>9</v>
      </c>
      <c r="AC118" s="19" t="s">
        <v>474</v>
      </c>
      <c r="AD118" s="47" t="s">
        <v>9</v>
      </c>
    </row>
    <row r="119" spans="1:30" ht="6.75" customHeight="1" x14ac:dyDescent="0.25">
      <c r="A119" s="38">
        <v>119</v>
      </c>
      <c r="B119" s="1" t="s">
        <v>725</v>
      </c>
      <c r="C119" s="1" t="s">
        <v>453</v>
      </c>
      <c r="D119" s="1" t="s">
        <v>2135</v>
      </c>
      <c r="E119" s="1" t="s">
        <v>2125</v>
      </c>
      <c r="F119" s="1" t="s">
        <v>277</v>
      </c>
      <c r="G119" s="39" t="s">
        <v>9</v>
      </c>
      <c r="H119" s="39" t="s">
        <v>9</v>
      </c>
      <c r="I119" s="39" t="s">
        <v>9</v>
      </c>
      <c r="J119" s="39" t="s">
        <v>9</v>
      </c>
      <c r="K119" s="39" t="s">
        <v>9</v>
      </c>
      <c r="L119" s="23" t="str">
        <f t="shared" si="27"/>
        <v>Redes.Prediais</v>
      </c>
      <c r="M119" s="23" t="str">
        <f t="shared" si="28"/>
        <v>Acessorios</v>
      </c>
      <c r="N119" s="23" t="str">
        <f t="shared" si="29"/>
        <v>Acessório</v>
      </c>
      <c r="O119" s="23" t="str">
        <f t="shared" si="30"/>
        <v>Abraçadeira</v>
      </c>
      <c r="P119" s="19" t="s">
        <v>280</v>
      </c>
      <c r="Q119" s="19" t="s">
        <v>596</v>
      </c>
      <c r="R119" s="19" t="s">
        <v>705</v>
      </c>
      <c r="S119" s="54" t="s">
        <v>9</v>
      </c>
      <c r="T119" s="46" t="str">
        <f t="shared" ref="T119:T150" si="36">SUBSTITUTE(C119, ".", " ")</f>
        <v>Redes Prediais</v>
      </c>
      <c r="U119" s="46" t="str">
        <f t="shared" ref="U119:U150" si="37">SUBSTITUTE(D119, ".", " ")</f>
        <v>Acessorios</v>
      </c>
      <c r="V119" s="46" t="str">
        <f t="shared" ref="V119:V182" si="38">SUBSTITUTE(E119, ".", " ")</f>
        <v>Acessório</v>
      </c>
      <c r="W119" s="19" t="s">
        <v>459</v>
      </c>
      <c r="X119" s="40" t="str">
        <f t="shared" si="34"/>
        <v>Key-TUB-119</v>
      </c>
      <c r="Y119" s="19" t="s">
        <v>503</v>
      </c>
      <c r="Z119" s="47" t="s">
        <v>9</v>
      </c>
      <c r="AA119" s="19" t="s">
        <v>504</v>
      </c>
      <c r="AB119" s="47" t="s">
        <v>9</v>
      </c>
      <c r="AC119" s="19" t="s">
        <v>463</v>
      </c>
      <c r="AD119" s="47" t="s">
        <v>9</v>
      </c>
    </row>
    <row r="120" spans="1:30" ht="6.75" customHeight="1" x14ac:dyDescent="0.25">
      <c r="A120" s="38">
        <v>120</v>
      </c>
      <c r="B120" s="1" t="s">
        <v>725</v>
      </c>
      <c r="C120" s="1" t="s">
        <v>453</v>
      </c>
      <c r="D120" s="1" t="s">
        <v>2135</v>
      </c>
      <c r="E120" s="1" t="s">
        <v>2125</v>
      </c>
      <c r="F120" s="1" t="s">
        <v>278</v>
      </c>
      <c r="G120" s="39" t="s">
        <v>9</v>
      </c>
      <c r="H120" s="39" t="s">
        <v>9</v>
      </c>
      <c r="I120" s="39" t="s">
        <v>9</v>
      </c>
      <c r="J120" s="39" t="s">
        <v>9</v>
      </c>
      <c r="K120" s="39" t="s">
        <v>9</v>
      </c>
      <c r="L120" s="23" t="str">
        <f t="shared" si="27"/>
        <v>Redes.Prediais</v>
      </c>
      <c r="M120" s="23" t="str">
        <f t="shared" si="28"/>
        <v>Acessorios</v>
      </c>
      <c r="N120" s="23" t="str">
        <f t="shared" si="29"/>
        <v>Acessório</v>
      </c>
      <c r="O120" s="23" t="str">
        <f t="shared" si="30"/>
        <v>Haste</v>
      </c>
      <c r="P120" s="19" t="s">
        <v>281</v>
      </c>
      <c r="Q120" s="19" t="s">
        <v>597</v>
      </c>
      <c r="R120" s="19" t="s">
        <v>706</v>
      </c>
      <c r="S120" s="54" t="s">
        <v>9</v>
      </c>
      <c r="T120" s="46" t="str">
        <f t="shared" si="36"/>
        <v>Redes Prediais</v>
      </c>
      <c r="U120" s="46" t="str">
        <f t="shared" si="37"/>
        <v>Acessorios</v>
      </c>
      <c r="V120" s="46" t="str">
        <f t="shared" si="38"/>
        <v>Acessório</v>
      </c>
      <c r="W120" s="19" t="s">
        <v>459</v>
      </c>
      <c r="X120" s="40" t="str">
        <f t="shared" si="34"/>
        <v>Key-TUB-120</v>
      </c>
      <c r="Y120" s="19" t="s">
        <v>503</v>
      </c>
      <c r="Z120" s="47" t="s">
        <v>9</v>
      </c>
      <c r="AA120" s="19" t="s">
        <v>505</v>
      </c>
      <c r="AB120" s="47" t="s">
        <v>9</v>
      </c>
      <c r="AC120" s="19" t="s">
        <v>463</v>
      </c>
      <c r="AD120" s="47" t="s">
        <v>9</v>
      </c>
    </row>
    <row r="121" spans="1:30" ht="6.75" customHeight="1" x14ac:dyDescent="0.25">
      <c r="A121" s="38">
        <v>121</v>
      </c>
      <c r="B121" s="1" t="s">
        <v>725</v>
      </c>
      <c r="C121" s="1" t="s">
        <v>453</v>
      </c>
      <c r="D121" s="1" t="s">
        <v>2135</v>
      </c>
      <c r="E121" s="1" t="s">
        <v>2125</v>
      </c>
      <c r="F121" s="1" t="s">
        <v>279</v>
      </c>
      <c r="G121" s="39" t="s">
        <v>9</v>
      </c>
      <c r="H121" s="39" t="s">
        <v>9</v>
      </c>
      <c r="I121" s="39" t="s">
        <v>9</v>
      </c>
      <c r="J121" s="39" t="s">
        <v>9</v>
      </c>
      <c r="K121" s="39" t="s">
        <v>9</v>
      </c>
      <c r="L121" s="23" t="str">
        <f t="shared" si="27"/>
        <v>Redes.Prediais</v>
      </c>
      <c r="M121" s="23" t="str">
        <f t="shared" si="28"/>
        <v>Acessorios</v>
      </c>
      <c r="N121" s="23" t="str">
        <f t="shared" si="29"/>
        <v>Acessório</v>
      </c>
      <c r="O121" s="23" t="str">
        <f t="shared" si="30"/>
        <v>Volante</v>
      </c>
      <c r="P121" s="19" t="s">
        <v>282</v>
      </c>
      <c r="Q121" s="19" t="s">
        <v>598</v>
      </c>
      <c r="R121" s="19" t="s">
        <v>707</v>
      </c>
      <c r="S121" s="54" t="s">
        <v>9</v>
      </c>
      <c r="T121" s="46" t="str">
        <f t="shared" si="36"/>
        <v>Redes Prediais</v>
      </c>
      <c r="U121" s="46" t="str">
        <f t="shared" si="37"/>
        <v>Acessorios</v>
      </c>
      <c r="V121" s="46" t="str">
        <f t="shared" si="38"/>
        <v>Acessório</v>
      </c>
      <c r="W121" s="19" t="s">
        <v>459</v>
      </c>
      <c r="X121" s="40" t="str">
        <f t="shared" si="34"/>
        <v>Key-TUB-121</v>
      </c>
      <c r="Y121" s="19" t="s">
        <v>503</v>
      </c>
      <c r="Z121" s="47" t="s">
        <v>9</v>
      </c>
      <c r="AA121" s="19" t="s">
        <v>505</v>
      </c>
      <c r="AB121" s="47" t="s">
        <v>9</v>
      </c>
      <c r="AC121" s="19" t="s">
        <v>463</v>
      </c>
      <c r="AD121" s="47" t="s">
        <v>9</v>
      </c>
    </row>
    <row r="122" spans="1:30" ht="6.75" customHeight="1" x14ac:dyDescent="0.25">
      <c r="A122" s="38">
        <v>122</v>
      </c>
      <c r="B122" s="1" t="s">
        <v>725</v>
      </c>
      <c r="C122" s="1" t="s">
        <v>453</v>
      </c>
      <c r="D122" s="1" t="s">
        <v>2134</v>
      </c>
      <c r="E122" s="1" t="s">
        <v>1169</v>
      </c>
      <c r="F122" s="1" t="s">
        <v>404</v>
      </c>
      <c r="G122" s="39" t="s">
        <v>9</v>
      </c>
      <c r="H122" s="39" t="s">
        <v>9</v>
      </c>
      <c r="I122" s="39" t="s">
        <v>9</v>
      </c>
      <c r="J122" s="39" t="s">
        <v>9</v>
      </c>
      <c r="K122" s="39" t="s">
        <v>9</v>
      </c>
      <c r="L122" s="23" t="str">
        <f t="shared" si="27"/>
        <v>Redes.Prediais</v>
      </c>
      <c r="M122" s="23" t="str">
        <f t="shared" si="28"/>
        <v>Reguladores</v>
      </c>
      <c r="N122" s="23" t="str">
        <f t="shared" si="29"/>
        <v>Válvula</v>
      </c>
      <c r="O122" s="23" t="str">
        <f t="shared" si="30"/>
        <v>Válvula Euro20</v>
      </c>
      <c r="P122" s="19" t="s">
        <v>259</v>
      </c>
      <c r="Q122" s="19" t="s">
        <v>577</v>
      </c>
      <c r="R122" s="19" t="s">
        <v>687</v>
      </c>
      <c r="S122" s="54" t="s">
        <v>9</v>
      </c>
      <c r="T122" s="46" t="str">
        <f t="shared" si="36"/>
        <v>Redes Prediais</v>
      </c>
      <c r="U122" s="46" t="str">
        <f t="shared" si="37"/>
        <v>Reguladores</v>
      </c>
      <c r="V122" s="46" t="str">
        <f t="shared" si="38"/>
        <v>Válvula</v>
      </c>
      <c r="W122" s="19" t="s">
        <v>459</v>
      </c>
      <c r="X122" s="40" t="str">
        <f t="shared" si="34"/>
        <v>Key-TUB-122</v>
      </c>
      <c r="Y122" s="19" t="s">
        <v>491</v>
      </c>
      <c r="Z122" s="47" t="s">
        <v>9</v>
      </c>
      <c r="AA122" s="19" t="s">
        <v>502</v>
      </c>
      <c r="AB122" s="47" t="s">
        <v>9</v>
      </c>
      <c r="AC122" s="19" t="s">
        <v>463</v>
      </c>
      <c r="AD122" s="47" t="s">
        <v>9</v>
      </c>
    </row>
    <row r="123" spans="1:30" ht="6.75" customHeight="1" x14ac:dyDescent="0.25">
      <c r="A123" s="38">
        <v>123</v>
      </c>
      <c r="B123" s="1" t="s">
        <v>725</v>
      </c>
      <c r="C123" s="1" t="s">
        <v>453</v>
      </c>
      <c r="D123" s="1" t="s">
        <v>2134</v>
      </c>
      <c r="E123" s="1" t="s">
        <v>1169</v>
      </c>
      <c r="F123" s="1" t="s">
        <v>405</v>
      </c>
      <c r="G123" s="39" t="s">
        <v>9</v>
      </c>
      <c r="H123" s="39" t="s">
        <v>9</v>
      </c>
      <c r="I123" s="39" t="s">
        <v>9</v>
      </c>
      <c r="J123" s="39" t="s">
        <v>9</v>
      </c>
      <c r="K123" s="39" t="s">
        <v>9</v>
      </c>
      <c r="L123" s="23" t="str">
        <f t="shared" si="27"/>
        <v>Redes.Prediais</v>
      </c>
      <c r="M123" s="23" t="str">
        <f t="shared" si="28"/>
        <v>Reguladores</v>
      </c>
      <c r="N123" s="23" t="str">
        <f t="shared" si="29"/>
        <v>Válvula</v>
      </c>
      <c r="O123" s="23" t="str">
        <f t="shared" si="30"/>
        <v>Válvula Borboleta</v>
      </c>
      <c r="P123" s="19" t="s">
        <v>71</v>
      </c>
      <c r="Q123" s="19" t="s">
        <v>578</v>
      </c>
      <c r="R123" s="19" t="s">
        <v>688</v>
      </c>
      <c r="S123" s="54" t="s">
        <v>9</v>
      </c>
      <c r="T123" s="46" t="str">
        <f t="shared" si="36"/>
        <v>Redes Prediais</v>
      </c>
      <c r="U123" s="46" t="str">
        <f t="shared" si="37"/>
        <v>Reguladores</v>
      </c>
      <c r="V123" s="46" t="str">
        <f t="shared" si="38"/>
        <v>Válvula</v>
      </c>
      <c r="W123" s="19" t="s">
        <v>459</v>
      </c>
      <c r="X123" s="40" t="str">
        <f t="shared" si="34"/>
        <v>Key-TUB-123</v>
      </c>
      <c r="Y123" s="19" t="s">
        <v>491</v>
      </c>
      <c r="Z123" s="47" t="s">
        <v>9</v>
      </c>
      <c r="AA123" s="19" t="s">
        <v>502</v>
      </c>
      <c r="AB123" s="47" t="s">
        <v>9</v>
      </c>
      <c r="AC123" s="19" t="s">
        <v>463</v>
      </c>
      <c r="AD123" s="47" t="s">
        <v>9</v>
      </c>
    </row>
    <row r="124" spans="1:30" ht="6.75" customHeight="1" x14ac:dyDescent="0.25">
      <c r="A124" s="38">
        <v>124</v>
      </c>
      <c r="B124" s="1" t="s">
        <v>725</v>
      </c>
      <c r="C124" s="1" t="s">
        <v>453</v>
      </c>
      <c r="D124" s="1" t="s">
        <v>2134</v>
      </c>
      <c r="E124" s="1" t="s">
        <v>1169</v>
      </c>
      <c r="F124" s="1" t="s">
        <v>406</v>
      </c>
      <c r="G124" s="39" t="s">
        <v>9</v>
      </c>
      <c r="H124" s="39" t="s">
        <v>9</v>
      </c>
      <c r="I124" s="39" t="s">
        <v>9</v>
      </c>
      <c r="J124" s="39" t="s">
        <v>9</v>
      </c>
      <c r="K124" s="39" t="s">
        <v>9</v>
      </c>
      <c r="L124" s="23" t="str">
        <f t="shared" si="27"/>
        <v>Redes.Prediais</v>
      </c>
      <c r="M124" s="23" t="str">
        <f t="shared" si="28"/>
        <v>Reguladores</v>
      </c>
      <c r="N124" s="23" t="str">
        <f t="shared" si="29"/>
        <v>Válvula</v>
      </c>
      <c r="O124" s="23" t="str">
        <f t="shared" si="30"/>
        <v>Válvula de Globo</v>
      </c>
      <c r="P124" s="19" t="s">
        <v>84</v>
      </c>
      <c r="Q124" s="19" t="s">
        <v>579</v>
      </c>
      <c r="R124" s="19" t="s">
        <v>689</v>
      </c>
      <c r="S124" s="54" t="s">
        <v>9</v>
      </c>
      <c r="T124" s="46" t="str">
        <f t="shared" si="36"/>
        <v>Redes Prediais</v>
      </c>
      <c r="U124" s="46" t="str">
        <f t="shared" si="37"/>
        <v>Reguladores</v>
      </c>
      <c r="V124" s="46" t="str">
        <f t="shared" si="38"/>
        <v>Válvula</v>
      </c>
      <c r="W124" s="19" t="s">
        <v>459</v>
      </c>
      <c r="X124" s="40" t="str">
        <f t="shared" si="34"/>
        <v>Key-TUB-124</v>
      </c>
      <c r="Y124" s="19" t="s">
        <v>491</v>
      </c>
      <c r="Z124" s="47" t="s">
        <v>9</v>
      </c>
      <c r="AA124" s="19" t="s">
        <v>502</v>
      </c>
      <c r="AB124" s="47" t="s">
        <v>9</v>
      </c>
      <c r="AC124" s="19" t="s">
        <v>463</v>
      </c>
      <c r="AD124" s="47" t="s">
        <v>9</v>
      </c>
    </row>
    <row r="125" spans="1:30" ht="6.75" customHeight="1" x14ac:dyDescent="0.25">
      <c r="A125" s="38">
        <v>125</v>
      </c>
      <c r="B125" s="1" t="s">
        <v>725</v>
      </c>
      <c r="C125" s="1" t="s">
        <v>453</v>
      </c>
      <c r="D125" s="1" t="s">
        <v>2134</v>
      </c>
      <c r="E125" s="1" t="s">
        <v>1169</v>
      </c>
      <c r="F125" s="1" t="s">
        <v>407</v>
      </c>
      <c r="G125" s="39" t="s">
        <v>9</v>
      </c>
      <c r="H125" s="39" t="s">
        <v>9</v>
      </c>
      <c r="I125" s="39" t="s">
        <v>9</v>
      </c>
      <c r="J125" s="39" t="s">
        <v>9</v>
      </c>
      <c r="K125" s="39" t="s">
        <v>9</v>
      </c>
      <c r="L125" s="23" t="str">
        <f t="shared" si="27"/>
        <v>Redes.Prediais</v>
      </c>
      <c r="M125" s="23" t="str">
        <f t="shared" si="28"/>
        <v>Reguladores</v>
      </c>
      <c r="N125" s="23" t="str">
        <f t="shared" si="29"/>
        <v>Válvula</v>
      </c>
      <c r="O125" s="23" t="str">
        <f t="shared" si="30"/>
        <v>Válvula de Vácuo</v>
      </c>
      <c r="P125" s="19" t="s">
        <v>73</v>
      </c>
      <c r="Q125" s="19" t="s">
        <v>580</v>
      </c>
      <c r="R125" s="19" t="s">
        <v>690</v>
      </c>
      <c r="S125" s="54" t="s">
        <v>9</v>
      </c>
      <c r="T125" s="46" t="str">
        <f t="shared" si="36"/>
        <v>Redes Prediais</v>
      </c>
      <c r="U125" s="46" t="str">
        <f t="shared" si="37"/>
        <v>Reguladores</v>
      </c>
      <c r="V125" s="46" t="str">
        <f t="shared" si="38"/>
        <v>Válvula</v>
      </c>
      <c r="W125" s="19" t="s">
        <v>459</v>
      </c>
      <c r="X125" s="40" t="str">
        <f t="shared" si="34"/>
        <v>Key-TUB-125</v>
      </c>
      <c r="Y125" s="19" t="s">
        <v>491</v>
      </c>
      <c r="Z125" s="47" t="s">
        <v>9</v>
      </c>
      <c r="AA125" s="19" t="s">
        <v>502</v>
      </c>
      <c r="AB125" s="47" t="s">
        <v>9</v>
      </c>
      <c r="AC125" s="19" t="s">
        <v>463</v>
      </c>
      <c r="AD125" s="47" t="s">
        <v>9</v>
      </c>
    </row>
    <row r="126" spans="1:30" ht="6.75" customHeight="1" x14ac:dyDescent="0.25">
      <c r="A126" s="38">
        <v>126</v>
      </c>
      <c r="B126" s="1" t="s">
        <v>725</v>
      </c>
      <c r="C126" s="1" t="s">
        <v>453</v>
      </c>
      <c r="D126" s="1" t="s">
        <v>2134</v>
      </c>
      <c r="E126" s="1" t="s">
        <v>1169</v>
      </c>
      <c r="F126" s="1" t="s">
        <v>408</v>
      </c>
      <c r="G126" s="39" t="s">
        <v>9</v>
      </c>
      <c r="H126" s="39" t="s">
        <v>9</v>
      </c>
      <c r="I126" s="39" t="s">
        <v>9</v>
      </c>
      <c r="J126" s="39" t="s">
        <v>9</v>
      </c>
      <c r="K126" s="39" t="s">
        <v>9</v>
      </c>
      <c r="L126" s="23" t="str">
        <f t="shared" si="27"/>
        <v>Redes.Prediais</v>
      </c>
      <c r="M126" s="23" t="str">
        <f t="shared" si="28"/>
        <v>Reguladores</v>
      </c>
      <c r="N126" s="23" t="str">
        <f t="shared" si="29"/>
        <v>Válvula</v>
      </c>
      <c r="O126" s="23" t="str">
        <f t="shared" si="30"/>
        <v>Válvula de Desvio</v>
      </c>
      <c r="P126" s="19" t="s">
        <v>74</v>
      </c>
      <c r="Q126" s="19" t="s">
        <v>581</v>
      </c>
      <c r="R126" s="19" t="s">
        <v>691</v>
      </c>
      <c r="S126" s="54" t="s">
        <v>9</v>
      </c>
      <c r="T126" s="46" t="str">
        <f t="shared" si="36"/>
        <v>Redes Prediais</v>
      </c>
      <c r="U126" s="46" t="str">
        <f t="shared" si="37"/>
        <v>Reguladores</v>
      </c>
      <c r="V126" s="46" t="str">
        <f t="shared" si="38"/>
        <v>Válvula</v>
      </c>
      <c r="W126" s="19" t="s">
        <v>459</v>
      </c>
      <c r="X126" s="40" t="str">
        <f t="shared" si="34"/>
        <v>Key-TUB-126</v>
      </c>
      <c r="Y126" s="19" t="s">
        <v>491</v>
      </c>
      <c r="Z126" s="47" t="s">
        <v>9</v>
      </c>
      <c r="AA126" s="19" t="s">
        <v>502</v>
      </c>
      <c r="AB126" s="47" t="s">
        <v>9</v>
      </c>
      <c r="AC126" s="19" t="s">
        <v>463</v>
      </c>
      <c r="AD126" s="47" t="s">
        <v>9</v>
      </c>
    </row>
    <row r="127" spans="1:30" ht="6.75" customHeight="1" x14ac:dyDescent="0.25">
      <c r="A127" s="38">
        <v>127</v>
      </c>
      <c r="B127" s="1" t="s">
        <v>725</v>
      </c>
      <c r="C127" s="1" t="s">
        <v>453</v>
      </c>
      <c r="D127" s="1" t="s">
        <v>2134</v>
      </c>
      <c r="E127" s="1" t="s">
        <v>1169</v>
      </c>
      <c r="F127" s="1" t="s">
        <v>409</v>
      </c>
      <c r="G127" s="39" t="s">
        <v>9</v>
      </c>
      <c r="H127" s="39" t="s">
        <v>9</v>
      </c>
      <c r="I127" s="39" t="s">
        <v>9</v>
      </c>
      <c r="J127" s="39" t="s">
        <v>9</v>
      </c>
      <c r="K127" s="39" t="s">
        <v>9</v>
      </c>
      <c r="L127" s="23" t="str">
        <f t="shared" si="27"/>
        <v>Redes.Prediais</v>
      </c>
      <c r="M127" s="23" t="str">
        <f t="shared" si="28"/>
        <v>Reguladores</v>
      </c>
      <c r="N127" s="23" t="str">
        <f t="shared" si="29"/>
        <v>Válvula</v>
      </c>
      <c r="O127" s="23" t="str">
        <f t="shared" si="30"/>
        <v>Válvula de Retenção</v>
      </c>
      <c r="P127" s="19" t="s">
        <v>75</v>
      </c>
      <c r="Q127" s="19" t="s">
        <v>582</v>
      </c>
      <c r="R127" s="19" t="s">
        <v>692</v>
      </c>
      <c r="S127" s="54" t="s">
        <v>9</v>
      </c>
      <c r="T127" s="46" t="str">
        <f t="shared" si="36"/>
        <v>Redes Prediais</v>
      </c>
      <c r="U127" s="46" t="str">
        <f t="shared" si="37"/>
        <v>Reguladores</v>
      </c>
      <c r="V127" s="46" t="str">
        <f t="shared" si="38"/>
        <v>Válvula</v>
      </c>
      <c r="W127" s="19" t="s">
        <v>459</v>
      </c>
      <c r="X127" s="40" t="str">
        <f t="shared" si="34"/>
        <v>Key-TUB-127</v>
      </c>
      <c r="Y127" s="19" t="s">
        <v>491</v>
      </c>
      <c r="Z127" s="47" t="s">
        <v>9</v>
      </c>
      <c r="AA127" s="19" t="s">
        <v>502</v>
      </c>
      <c r="AB127" s="47" t="s">
        <v>9</v>
      </c>
      <c r="AC127" s="19" t="s">
        <v>463</v>
      </c>
      <c r="AD127" s="47" t="s">
        <v>9</v>
      </c>
    </row>
    <row r="128" spans="1:30" ht="6.75" customHeight="1" x14ac:dyDescent="0.25">
      <c r="A128" s="38">
        <v>128</v>
      </c>
      <c r="B128" s="1" t="s">
        <v>725</v>
      </c>
      <c r="C128" s="1" t="s">
        <v>453</v>
      </c>
      <c r="D128" s="1" t="s">
        <v>2134</v>
      </c>
      <c r="E128" s="1" t="s">
        <v>1169</v>
      </c>
      <c r="F128" s="1" t="s">
        <v>410</v>
      </c>
      <c r="G128" s="39" t="s">
        <v>9</v>
      </c>
      <c r="H128" s="39" t="s">
        <v>9</v>
      </c>
      <c r="I128" s="39" t="s">
        <v>9</v>
      </c>
      <c r="J128" s="39" t="s">
        <v>9</v>
      </c>
      <c r="K128" s="39" t="s">
        <v>9</v>
      </c>
      <c r="L128" s="23" t="str">
        <f t="shared" si="27"/>
        <v>Redes.Prediais</v>
      </c>
      <c r="M128" s="23" t="str">
        <f t="shared" si="28"/>
        <v>Reguladores</v>
      </c>
      <c r="N128" s="23" t="str">
        <f t="shared" si="29"/>
        <v>Válvula</v>
      </c>
      <c r="O128" s="23" t="str">
        <f t="shared" si="30"/>
        <v xml:space="preserve">Válvula de Isolamento </v>
      </c>
      <c r="P128" s="19" t="s">
        <v>76</v>
      </c>
      <c r="Q128" s="19" t="s">
        <v>583</v>
      </c>
      <c r="R128" s="19" t="s">
        <v>693</v>
      </c>
      <c r="S128" s="54" t="s">
        <v>9</v>
      </c>
      <c r="T128" s="46" t="str">
        <f t="shared" si="36"/>
        <v>Redes Prediais</v>
      </c>
      <c r="U128" s="46" t="str">
        <f t="shared" si="37"/>
        <v>Reguladores</v>
      </c>
      <c r="V128" s="46" t="str">
        <f t="shared" si="38"/>
        <v>Válvula</v>
      </c>
      <c r="W128" s="19" t="s">
        <v>459</v>
      </c>
      <c r="X128" s="40" t="str">
        <f t="shared" si="34"/>
        <v>Key-TUB-128</v>
      </c>
      <c r="Y128" s="19" t="s">
        <v>491</v>
      </c>
      <c r="Z128" s="47" t="s">
        <v>9</v>
      </c>
      <c r="AA128" s="19" t="s">
        <v>502</v>
      </c>
      <c r="AB128" s="47" t="s">
        <v>9</v>
      </c>
      <c r="AC128" s="19" t="s">
        <v>463</v>
      </c>
      <c r="AD128" s="47" t="s">
        <v>9</v>
      </c>
    </row>
    <row r="129" spans="1:30" ht="6.75" customHeight="1" x14ac:dyDescent="0.25">
      <c r="A129" s="38">
        <v>129</v>
      </c>
      <c r="B129" s="1" t="s">
        <v>725</v>
      </c>
      <c r="C129" s="1" t="s">
        <v>453</v>
      </c>
      <c r="D129" s="1" t="s">
        <v>2134</v>
      </c>
      <c r="E129" s="1" t="s">
        <v>1169</v>
      </c>
      <c r="F129" s="1" t="s">
        <v>411</v>
      </c>
      <c r="G129" s="39" t="s">
        <v>9</v>
      </c>
      <c r="H129" s="39" t="s">
        <v>9</v>
      </c>
      <c r="I129" s="39" t="s">
        <v>9</v>
      </c>
      <c r="J129" s="39" t="s">
        <v>9</v>
      </c>
      <c r="K129" s="39" t="s">
        <v>9</v>
      </c>
      <c r="L129" s="23" t="str">
        <f t="shared" si="27"/>
        <v>Redes.Prediais</v>
      </c>
      <c r="M129" s="23" t="str">
        <f t="shared" si="28"/>
        <v>Reguladores</v>
      </c>
      <c r="N129" s="23" t="str">
        <f t="shared" si="29"/>
        <v>Válvula</v>
      </c>
      <c r="O129" s="23" t="str">
        <f t="shared" si="30"/>
        <v xml:space="preserve">Válvula de Fluxo </v>
      </c>
      <c r="P129" s="19" t="s">
        <v>77</v>
      </c>
      <c r="Q129" s="19" t="s">
        <v>584</v>
      </c>
      <c r="R129" s="19" t="s">
        <v>694</v>
      </c>
      <c r="S129" s="54" t="s">
        <v>9</v>
      </c>
      <c r="T129" s="46" t="str">
        <f t="shared" si="36"/>
        <v>Redes Prediais</v>
      </c>
      <c r="U129" s="46" t="str">
        <f t="shared" si="37"/>
        <v>Reguladores</v>
      </c>
      <c r="V129" s="46" t="str">
        <f t="shared" si="38"/>
        <v>Válvula</v>
      </c>
      <c r="W129" s="19" t="s">
        <v>459</v>
      </c>
      <c r="X129" s="40" t="str">
        <f t="shared" si="34"/>
        <v>Key-TUB-129</v>
      </c>
      <c r="Y129" s="19" t="s">
        <v>491</v>
      </c>
      <c r="Z129" s="47" t="s">
        <v>9</v>
      </c>
      <c r="AA129" s="19" t="s">
        <v>502</v>
      </c>
      <c r="AB129" s="47" t="s">
        <v>9</v>
      </c>
      <c r="AC129" s="19" t="s">
        <v>463</v>
      </c>
      <c r="AD129" s="47" t="s">
        <v>9</v>
      </c>
    </row>
    <row r="130" spans="1:30" ht="6.75" customHeight="1" x14ac:dyDescent="0.25">
      <c r="A130" s="38">
        <v>130</v>
      </c>
      <c r="B130" s="1" t="s">
        <v>725</v>
      </c>
      <c r="C130" s="1" t="s">
        <v>453</v>
      </c>
      <c r="D130" s="1" t="s">
        <v>2134</v>
      </c>
      <c r="E130" s="1" t="s">
        <v>1169</v>
      </c>
      <c r="F130" s="1" t="s">
        <v>412</v>
      </c>
      <c r="G130" s="39" t="s">
        <v>9</v>
      </c>
      <c r="H130" s="39" t="s">
        <v>9</v>
      </c>
      <c r="I130" s="39" t="s">
        <v>9</v>
      </c>
      <c r="J130" s="39" t="s">
        <v>9</v>
      </c>
      <c r="K130" s="39" t="s">
        <v>9</v>
      </c>
      <c r="L130" s="23" t="str">
        <f t="shared" si="27"/>
        <v>Redes.Prediais</v>
      </c>
      <c r="M130" s="23" t="str">
        <f t="shared" si="28"/>
        <v>Reguladores</v>
      </c>
      <c r="N130" s="23" t="str">
        <f t="shared" si="29"/>
        <v>Válvula</v>
      </c>
      <c r="O130" s="23" t="str">
        <f t="shared" si="30"/>
        <v>Válvula de Antirrefluxo Dupla</v>
      </c>
      <c r="P130" s="19" t="s">
        <v>78</v>
      </c>
      <c r="Q130" s="19" t="s">
        <v>585</v>
      </c>
      <c r="R130" s="19" t="s">
        <v>695</v>
      </c>
      <c r="S130" s="54" t="s">
        <v>9</v>
      </c>
      <c r="T130" s="46" t="str">
        <f t="shared" si="36"/>
        <v>Redes Prediais</v>
      </c>
      <c r="U130" s="46" t="str">
        <f t="shared" si="37"/>
        <v>Reguladores</v>
      </c>
      <c r="V130" s="46" t="str">
        <f t="shared" si="38"/>
        <v>Válvula</v>
      </c>
      <c r="W130" s="19" t="s">
        <v>459</v>
      </c>
      <c r="X130" s="40" t="str">
        <f t="shared" si="34"/>
        <v>Key-TUB-130</v>
      </c>
      <c r="Y130" s="19" t="s">
        <v>491</v>
      </c>
      <c r="Z130" s="47" t="s">
        <v>9</v>
      </c>
      <c r="AA130" s="19" t="s">
        <v>502</v>
      </c>
      <c r="AB130" s="47" t="s">
        <v>9</v>
      </c>
      <c r="AC130" s="19" t="s">
        <v>463</v>
      </c>
      <c r="AD130" s="47" t="s">
        <v>9</v>
      </c>
    </row>
    <row r="131" spans="1:30" ht="6.75" customHeight="1" x14ac:dyDescent="0.25">
      <c r="A131" s="38">
        <v>131</v>
      </c>
      <c r="B131" s="1" t="s">
        <v>725</v>
      </c>
      <c r="C131" s="1" t="s">
        <v>453</v>
      </c>
      <c r="D131" s="1" t="s">
        <v>2134</v>
      </c>
      <c r="E131" s="1" t="s">
        <v>1169</v>
      </c>
      <c r="F131" s="1" t="s">
        <v>413</v>
      </c>
      <c r="G131" s="39" t="s">
        <v>9</v>
      </c>
      <c r="H131" s="39" t="s">
        <v>9</v>
      </c>
      <c r="I131" s="39" t="s">
        <v>9</v>
      </c>
      <c r="J131" s="39" t="s">
        <v>9</v>
      </c>
      <c r="K131" s="39" t="s">
        <v>9</v>
      </c>
      <c r="L131" s="23" t="str">
        <f t="shared" si="27"/>
        <v>Redes.Prediais</v>
      </c>
      <c r="M131" s="23" t="str">
        <f t="shared" si="28"/>
        <v>Reguladores</v>
      </c>
      <c r="N131" s="23" t="str">
        <f t="shared" si="29"/>
        <v>Válvula</v>
      </c>
      <c r="O131" s="23" t="str">
        <f t="shared" si="30"/>
        <v>Válvula de Regulação</v>
      </c>
      <c r="P131" s="19" t="s">
        <v>79</v>
      </c>
      <c r="Q131" s="19" t="s">
        <v>586</v>
      </c>
      <c r="R131" s="19" t="s">
        <v>696</v>
      </c>
      <c r="S131" s="54" t="s">
        <v>9</v>
      </c>
      <c r="T131" s="46" t="str">
        <f t="shared" si="36"/>
        <v>Redes Prediais</v>
      </c>
      <c r="U131" s="46" t="str">
        <f t="shared" si="37"/>
        <v>Reguladores</v>
      </c>
      <c r="V131" s="46" t="str">
        <f t="shared" si="38"/>
        <v>Válvula</v>
      </c>
      <c r="W131" s="19" t="s">
        <v>459</v>
      </c>
      <c r="X131" s="40" t="str">
        <f t="shared" si="34"/>
        <v>Key-TUB-131</v>
      </c>
      <c r="Y131" s="19" t="s">
        <v>491</v>
      </c>
      <c r="Z131" s="47" t="s">
        <v>9</v>
      </c>
      <c r="AA131" s="19" t="s">
        <v>502</v>
      </c>
      <c r="AB131" s="47" t="s">
        <v>9</v>
      </c>
      <c r="AC131" s="19" t="s">
        <v>463</v>
      </c>
      <c r="AD131" s="47" t="s">
        <v>9</v>
      </c>
    </row>
    <row r="132" spans="1:30" ht="6.75" customHeight="1" x14ac:dyDescent="0.25">
      <c r="A132" s="38">
        <v>132</v>
      </c>
      <c r="B132" s="1" t="s">
        <v>725</v>
      </c>
      <c r="C132" s="1" t="s">
        <v>453</v>
      </c>
      <c r="D132" s="1" t="s">
        <v>2134</v>
      </c>
      <c r="E132" s="1" t="s">
        <v>1169</v>
      </c>
      <c r="F132" s="1" t="s">
        <v>414</v>
      </c>
      <c r="G132" s="39" t="s">
        <v>9</v>
      </c>
      <c r="H132" s="39" t="s">
        <v>9</v>
      </c>
      <c r="I132" s="39" t="s">
        <v>9</v>
      </c>
      <c r="J132" s="39" t="s">
        <v>9</v>
      </c>
      <c r="K132" s="39" t="s">
        <v>9</v>
      </c>
      <c r="L132" s="23" t="str">
        <f t="shared" si="27"/>
        <v>Redes.Prediais</v>
      </c>
      <c r="M132" s="23" t="str">
        <f t="shared" si="28"/>
        <v>Reguladores</v>
      </c>
      <c r="N132" s="23" t="str">
        <f t="shared" si="29"/>
        <v>Válvula</v>
      </c>
      <c r="O132" s="23" t="str">
        <f t="shared" si="30"/>
        <v>Válvula de Descarga</v>
      </c>
      <c r="P132" s="19" t="s">
        <v>81</v>
      </c>
      <c r="Q132" s="19" t="s">
        <v>587</v>
      </c>
      <c r="R132" s="19" t="s">
        <v>697</v>
      </c>
      <c r="S132" s="54" t="s">
        <v>9</v>
      </c>
      <c r="T132" s="46" t="str">
        <f t="shared" si="36"/>
        <v>Redes Prediais</v>
      </c>
      <c r="U132" s="46" t="str">
        <f t="shared" si="37"/>
        <v>Reguladores</v>
      </c>
      <c r="V132" s="46" t="str">
        <f t="shared" si="38"/>
        <v>Válvula</v>
      </c>
      <c r="W132" s="19" t="s">
        <v>459</v>
      </c>
      <c r="X132" s="40" t="str">
        <f t="shared" si="34"/>
        <v>Key-TUB-132</v>
      </c>
      <c r="Y132" s="19" t="s">
        <v>491</v>
      </c>
      <c r="Z132" s="47" t="s">
        <v>9</v>
      </c>
      <c r="AA132" s="19" t="s">
        <v>502</v>
      </c>
      <c r="AB132" s="47" t="s">
        <v>9</v>
      </c>
      <c r="AC132" s="19" t="s">
        <v>463</v>
      </c>
      <c r="AD132" s="47" t="s">
        <v>9</v>
      </c>
    </row>
    <row r="133" spans="1:30" ht="6.75" customHeight="1" x14ac:dyDescent="0.25">
      <c r="A133" s="38">
        <v>133</v>
      </c>
      <c r="B133" s="1" t="s">
        <v>725</v>
      </c>
      <c r="C133" s="1" t="s">
        <v>453</v>
      </c>
      <c r="D133" s="1" t="s">
        <v>2134</v>
      </c>
      <c r="E133" s="1" t="s">
        <v>1169</v>
      </c>
      <c r="F133" s="1" t="s">
        <v>415</v>
      </c>
      <c r="G133" s="39" t="s">
        <v>9</v>
      </c>
      <c r="H133" s="39" t="s">
        <v>9</v>
      </c>
      <c r="I133" s="39" t="s">
        <v>9</v>
      </c>
      <c r="J133" s="39" t="s">
        <v>9</v>
      </c>
      <c r="K133" s="39" t="s">
        <v>9</v>
      </c>
      <c r="L133" s="23" t="str">
        <f t="shared" si="27"/>
        <v>Redes.Prediais</v>
      </c>
      <c r="M133" s="23" t="str">
        <f t="shared" si="28"/>
        <v>Reguladores</v>
      </c>
      <c r="N133" s="23" t="str">
        <f t="shared" si="29"/>
        <v>Válvula</v>
      </c>
      <c r="O133" s="23" t="str">
        <f t="shared" si="30"/>
        <v>Válvula de Gás</v>
      </c>
      <c r="P133" s="19" t="s">
        <v>82</v>
      </c>
      <c r="Q133" s="19" t="s">
        <v>588</v>
      </c>
      <c r="R133" s="19" t="s">
        <v>698</v>
      </c>
      <c r="S133" s="54" t="s">
        <v>9</v>
      </c>
      <c r="T133" s="46" t="str">
        <f t="shared" si="36"/>
        <v>Redes Prediais</v>
      </c>
      <c r="U133" s="46" t="str">
        <f t="shared" si="37"/>
        <v>Reguladores</v>
      </c>
      <c r="V133" s="46" t="str">
        <f t="shared" si="38"/>
        <v>Válvula</v>
      </c>
      <c r="W133" s="19" t="s">
        <v>459</v>
      </c>
      <c r="X133" s="40" t="str">
        <f t="shared" si="34"/>
        <v>Key-TUB-133</v>
      </c>
      <c r="Y133" s="19" t="s">
        <v>491</v>
      </c>
      <c r="Z133" s="47" t="s">
        <v>9</v>
      </c>
      <c r="AA133" s="19" t="s">
        <v>502</v>
      </c>
      <c r="AB133" s="47" t="s">
        <v>9</v>
      </c>
      <c r="AC133" s="19" t="s">
        <v>463</v>
      </c>
      <c r="AD133" s="47" t="s">
        <v>9</v>
      </c>
    </row>
    <row r="134" spans="1:30" ht="6.75" customHeight="1" x14ac:dyDescent="0.25">
      <c r="A134" s="38">
        <v>134</v>
      </c>
      <c r="B134" s="1" t="s">
        <v>725</v>
      </c>
      <c r="C134" s="1" t="s">
        <v>453</v>
      </c>
      <c r="D134" s="1" t="s">
        <v>2134</v>
      </c>
      <c r="E134" s="1" t="s">
        <v>1169</v>
      </c>
      <c r="F134" s="1" t="s">
        <v>416</v>
      </c>
      <c r="G134" s="39" t="s">
        <v>9</v>
      </c>
      <c r="H134" s="39" t="s">
        <v>9</v>
      </c>
      <c r="I134" s="39" t="s">
        <v>9</v>
      </c>
      <c r="J134" s="39" t="s">
        <v>9</v>
      </c>
      <c r="K134" s="39" t="s">
        <v>9</v>
      </c>
      <c r="L134" s="23" t="str">
        <f t="shared" si="27"/>
        <v>Redes.Prediais</v>
      </c>
      <c r="M134" s="23" t="str">
        <f t="shared" si="28"/>
        <v>Reguladores</v>
      </c>
      <c r="N134" s="23" t="str">
        <f t="shared" si="29"/>
        <v>Válvula</v>
      </c>
      <c r="O134" s="23" t="str">
        <f t="shared" si="30"/>
        <v>Válvula de Segurança</v>
      </c>
      <c r="P134" s="19" t="s">
        <v>83</v>
      </c>
      <c r="Q134" s="19" t="s">
        <v>589</v>
      </c>
      <c r="R134" s="19" t="s">
        <v>699</v>
      </c>
      <c r="S134" s="54" t="s">
        <v>9</v>
      </c>
      <c r="T134" s="46" t="str">
        <f t="shared" si="36"/>
        <v>Redes Prediais</v>
      </c>
      <c r="U134" s="46" t="str">
        <f t="shared" si="37"/>
        <v>Reguladores</v>
      </c>
      <c r="V134" s="46" t="str">
        <f t="shared" si="38"/>
        <v>Válvula</v>
      </c>
      <c r="W134" s="19" t="s">
        <v>459</v>
      </c>
      <c r="X134" s="40" t="str">
        <f t="shared" si="34"/>
        <v>Key-TUB-134</v>
      </c>
      <c r="Y134" s="19" t="s">
        <v>491</v>
      </c>
      <c r="Z134" s="47" t="s">
        <v>9</v>
      </c>
      <c r="AA134" s="19" t="s">
        <v>502</v>
      </c>
      <c r="AB134" s="47" t="s">
        <v>9</v>
      </c>
      <c r="AC134" s="19" t="s">
        <v>463</v>
      </c>
      <c r="AD134" s="47" t="s">
        <v>9</v>
      </c>
    </row>
    <row r="135" spans="1:30" ht="6.75" customHeight="1" x14ac:dyDescent="0.25">
      <c r="A135" s="38">
        <v>135</v>
      </c>
      <c r="B135" s="1" t="s">
        <v>725</v>
      </c>
      <c r="C135" s="1" t="s">
        <v>453</v>
      </c>
      <c r="D135" s="1" t="s">
        <v>2134</v>
      </c>
      <c r="E135" s="1" t="s">
        <v>1169</v>
      </c>
      <c r="F135" s="1" t="s">
        <v>417</v>
      </c>
      <c r="G135" s="39" t="s">
        <v>9</v>
      </c>
      <c r="H135" s="39" t="s">
        <v>9</v>
      </c>
      <c r="I135" s="39" t="s">
        <v>9</v>
      </c>
      <c r="J135" s="39" t="s">
        <v>9</v>
      </c>
      <c r="K135" s="39" t="s">
        <v>9</v>
      </c>
      <c r="L135" s="23" t="str">
        <f t="shared" si="27"/>
        <v>Redes.Prediais</v>
      </c>
      <c r="M135" s="23" t="str">
        <f t="shared" si="28"/>
        <v>Reguladores</v>
      </c>
      <c r="N135" s="23" t="str">
        <f t="shared" si="29"/>
        <v>Válvula</v>
      </c>
      <c r="O135" s="23" t="str">
        <f t="shared" si="30"/>
        <v>Válvula Ventosa</v>
      </c>
      <c r="P135" s="19" t="s">
        <v>72</v>
      </c>
      <c r="Q135" s="19" t="s">
        <v>590</v>
      </c>
      <c r="R135" s="19" t="s">
        <v>700</v>
      </c>
      <c r="S135" s="54" t="s">
        <v>9</v>
      </c>
      <c r="T135" s="46" t="str">
        <f t="shared" si="36"/>
        <v>Redes Prediais</v>
      </c>
      <c r="U135" s="46" t="str">
        <f t="shared" si="37"/>
        <v>Reguladores</v>
      </c>
      <c r="V135" s="46" t="str">
        <f t="shared" si="38"/>
        <v>Válvula</v>
      </c>
      <c r="W135" s="19" t="s">
        <v>459</v>
      </c>
      <c r="X135" s="40" t="str">
        <f t="shared" si="34"/>
        <v>Key-TUB-135</v>
      </c>
      <c r="Y135" s="19" t="s">
        <v>491</v>
      </c>
      <c r="Z135" s="47" t="s">
        <v>9</v>
      </c>
      <c r="AA135" s="19" t="s">
        <v>502</v>
      </c>
      <c r="AB135" s="47" t="s">
        <v>9</v>
      </c>
      <c r="AC135" s="19" t="s">
        <v>463</v>
      </c>
      <c r="AD135" s="47" t="s">
        <v>9</v>
      </c>
    </row>
    <row r="136" spans="1:30" ht="6.75" customHeight="1" x14ac:dyDescent="0.25">
      <c r="A136" s="38">
        <v>136</v>
      </c>
      <c r="B136" s="1" t="s">
        <v>725</v>
      </c>
      <c r="C136" s="1" t="s">
        <v>453</v>
      </c>
      <c r="D136" s="1" t="s">
        <v>2134</v>
      </c>
      <c r="E136" s="1" t="s">
        <v>1169</v>
      </c>
      <c r="F136" s="1" t="s">
        <v>418</v>
      </c>
      <c r="G136" s="39" t="s">
        <v>9</v>
      </c>
      <c r="H136" s="39" t="s">
        <v>9</v>
      </c>
      <c r="I136" s="39" t="s">
        <v>9</v>
      </c>
      <c r="J136" s="39" t="s">
        <v>9</v>
      </c>
      <c r="K136" s="39" t="s">
        <v>9</v>
      </c>
      <c r="L136" s="23" t="str">
        <f t="shared" si="27"/>
        <v>Redes.Prediais</v>
      </c>
      <c r="M136" s="23" t="str">
        <f t="shared" si="28"/>
        <v>Reguladores</v>
      </c>
      <c r="N136" s="23" t="str">
        <f t="shared" si="29"/>
        <v>Válvula</v>
      </c>
      <c r="O136" s="23" t="str">
        <f t="shared" si="30"/>
        <v>Válvula Ventosa Tríplice</v>
      </c>
      <c r="P136" s="19" t="s">
        <v>85</v>
      </c>
      <c r="Q136" s="19" t="s">
        <v>591</v>
      </c>
      <c r="R136" s="19" t="s">
        <v>701</v>
      </c>
      <c r="S136" s="54" t="s">
        <v>9</v>
      </c>
      <c r="T136" s="46" t="str">
        <f t="shared" si="36"/>
        <v>Redes Prediais</v>
      </c>
      <c r="U136" s="46" t="str">
        <f t="shared" si="37"/>
        <v>Reguladores</v>
      </c>
      <c r="V136" s="46" t="str">
        <f t="shared" si="38"/>
        <v>Válvula</v>
      </c>
      <c r="W136" s="19" t="s">
        <v>459</v>
      </c>
      <c r="X136" s="40" t="str">
        <f t="shared" si="34"/>
        <v>Key-TUB-136</v>
      </c>
      <c r="Y136" s="19" t="s">
        <v>491</v>
      </c>
      <c r="Z136" s="47" t="s">
        <v>9</v>
      </c>
      <c r="AA136" s="19" t="s">
        <v>502</v>
      </c>
      <c r="AB136" s="47" t="s">
        <v>9</v>
      </c>
      <c r="AC136" s="19" t="s">
        <v>463</v>
      </c>
      <c r="AD136" s="47" t="s">
        <v>9</v>
      </c>
    </row>
    <row r="137" spans="1:30" ht="6.75" customHeight="1" x14ac:dyDescent="0.25">
      <c r="A137" s="38">
        <v>137</v>
      </c>
      <c r="B137" s="1" t="s">
        <v>725</v>
      </c>
      <c r="C137" s="1" t="s">
        <v>453</v>
      </c>
      <c r="D137" s="1" t="s">
        <v>2134</v>
      </c>
      <c r="E137" s="1" t="s">
        <v>1169</v>
      </c>
      <c r="F137" s="1" t="s">
        <v>419</v>
      </c>
      <c r="G137" s="39" t="s">
        <v>9</v>
      </c>
      <c r="H137" s="39" t="s">
        <v>9</v>
      </c>
      <c r="I137" s="39" t="s">
        <v>9</v>
      </c>
      <c r="J137" s="39" t="s">
        <v>9</v>
      </c>
      <c r="K137" s="39" t="s">
        <v>9</v>
      </c>
      <c r="L137" s="23" t="str">
        <f t="shared" si="27"/>
        <v>Redes.Prediais</v>
      </c>
      <c r="M137" s="23" t="str">
        <f t="shared" si="28"/>
        <v>Reguladores</v>
      </c>
      <c r="N137" s="23" t="str">
        <f t="shared" si="29"/>
        <v>Válvula</v>
      </c>
      <c r="O137" s="23" t="str">
        <f t="shared" si="30"/>
        <v>Válvula de Pressão</v>
      </c>
      <c r="P137" s="19" t="s">
        <v>86</v>
      </c>
      <c r="Q137" s="19" t="s">
        <v>592</v>
      </c>
      <c r="R137" s="19" t="s">
        <v>702</v>
      </c>
      <c r="S137" s="54" t="s">
        <v>9</v>
      </c>
      <c r="T137" s="46" t="str">
        <f t="shared" si="36"/>
        <v>Redes Prediais</v>
      </c>
      <c r="U137" s="46" t="str">
        <f t="shared" si="37"/>
        <v>Reguladores</v>
      </c>
      <c r="V137" s="46" t="str">
        <f t="shared" si="38"/>
        <v>Válvula</v>
      </c>
      <c r="W137" s="19" t="s">
        <v>459</v>
      </c>
      <c r="X137" s="40" t="str">
        <f t="shared" si="34"/>
        <v>Key-TUB-137</v>
      </c>
      <c r="Y137" s="19" t="s">
        <v>491</v>
      </c>
      <c r="Z137" s="47" t="s">
        <v>9</v>
      </c>
      <c r="AA137" s="19" t="s">
        <v>502</v>
      </c>
      <c r="AB137" s="47" t="s">
        <v>9</v>
      </c>
      <c r="AC137" s="19" t="s">
        <v>463</v>
      </c>
      <c r="AD137" s="47" t="s">
        <v>9</v>
      </c>
    </row>
    <row r="138" spans="1:30" ht="6.75" customHeight="1" x14ac:dyDescent="0.25">
      <c r="A138" s="38">
        <v>138</v>
      </c>
      <c r="B138" s="1" t="s">
        <v>725</v>
      </c>
      <c r="C138" s="1" t="s">
        <v>453</v>
      </c>
      <c r="D138" s="1" t="s">
        <v>2134</v>
      </c>
      <c r="E138" s="1" t="s">
        <v>1169</v>
      </c>
      <c r="F138" s="1" t="s">
        <v>420</v>
      </c>
      <c r="G138" s="39" t="s">
        <v>9</v>
      </c>
      <c r="H138" s="39" t="s">
        <v>9</v>
      </c>
      <c r="I138" s="39" t="s">
        <v>9</v>
      </c>
      <c r="J138" s="39" t="s">
        <v>9</v>
      </c>
      <c r="K138" s="39" t="s">
        <v>9</v>
      </c>
      <c r="L138" s="23" t="str">
        <f t="shared" si="27"/>
        <v>Redes.Prediais</v>
      </c>
      <c r="M138" s="23" t="str">
        <f t="shared" si="28"/>
        <v>Reguladores</v>
      </c>
      <c r="N138" s="23" t="str">
        <f t="shared" si="29"/>
        <v>Válvula</v>
      </c>
      <c r="O138" s="23" t="str">
        <f t="shared" si="30"/>
        <v>Válvula de Alívio</v>
      </c>
      <c r="P138" s="19" t="s">
        <v>87</v>
      </c>
      <c r="Q138" s="19" t="s">
        <v>593</v>
      </c>
      <c r="R138" s="19" t="s">
        <v>604</v>
      </c>
      <c r="S138" s="54" t="s">
        <v>9</v>
      </c>
      <c r="T138" s="46" t="str">
        <f t="shared" si="36"/>
        <v>Redes Prediais</v>
      </c>
      <c r="U138" s="46" t="str">
        <f t="shared" si="37"/>
        <v>Reguladores</v>
      </c>
      <c r="V138" s="46" t="str">
        <f t="shared" si="38"/>
        <v>Válvula</v>
      </c>
      <c r="W138" s="19" t="s">
        <v>459</v>
      </c>
      <c r="X138" s="40" t="str">
        <f t="shared" si="34"/>
        <v>Key-TUB-138</v>
      </c>
      <c r="Y138" s="19" t="s">
        <v>491</v>
      </c>
      <c r="Z138" s="47" t="s">
        <v>9</v>
      </c>
      <c r="AA138" s="19" t="s">
        <v>502</v>
      </c>
      <c r="AB138" s="47" t="s">
        <v>9</v>
      </c>
      <c r="AC138" s="19" t="s">
        <v>463</v>
      </c>
      <c r="AD138" s="47" t="s">
        <v>9</v>
      </c>
    </row>
    <row r="139" spans="1:30" ht="6.75" customHeight="1" x14ac:dyDescent="0.25">
      <c r="A139" s="38">
        <v>139</v>
      </c>
      <c r="B139" s="1" t="s">
        <v>725</v>
      </c>
      <c r="C139" s="1" t="s">
        <v>453</v>
      </c>
      <c r="D139" s="1" t="s">
        <v>2134</v>
      </c>
      <c r="E139" s="1" t="s">
        <v>1169</v>
      </c>
      <c r="F139" s="1" t="s">
        <v>421</v>
      </c>
      <c r="G139" s="39" t="s">
        <v>9</v>
      </c>
      <c r="H139" s="39" t="s">
        <v>9</v>
      </c>
      <c r="I139" s="39" t="s">
        <v>9</v>
      </c>
      <c r="J139" s="39" t="s">
        <v>9</v>
      </c>
      <c r="K139" s="39" t="s">
        <v>9</v>
      </c>
      <c r="L139" s="23" t="str">
        <f t="shared" si="27"/>
        <v>Redes.Prediais</v>
      </c>
      <c r="M139" s="23" t="str">
        <f t="shared" si="28"/>
        <v>Reguladores</v>
      </c>
      <c r="N139" s="23" t="str">
        <f t="shared" si="29"/>
        <v>Válvula</v>
      </c>
      <c r="O139" s="23" t="str">
        <f t="shared" si="30"/>
        <v>Válvula de Controle</v>
      </c>
      <c r="P139" s="19" t="s">
        <v>88</v>
      </c>
      <c r="Q139" s="19" t="s">
        <v>586</v>
      </c>
      <c r="R139" s="19" t="s">
        <v>696</v>
      </c>
      <c r="S139" s="54" t="s">
        <v>9</v>
      </c>
      <c r="T139" s="46" t="str">
        <f t="shared" si="36"/>
        <v>Redes Prediais</v>
      </c>
      <c r="U139" s="46" t="str">
        <f t="shared" si="37"/>
        <v>Reguladores</v>
      </c>
      <c r="V139" s="46" t="str">
        <f t="shared" si="38"/>
        <v>Válvula</v>
      </c>
      <c r="W139" s="19" t="s">
        <v>459</v>
      </c>
      <c r="X139" s="40" t="str">
        <f t="shared" si="34"/>
        <v>Key-TUB-139</v>
      </c>
      <c r="Y139" s="19" t="s">
        <v>491</v>
      </c>
      <c r="Z139" s="47" t="s">
        <v>9</v>
      </c>
      <c r="AA139" s="19" t="s">
        <v>502</v>
      </c>
      <c r="AB139" s="47" t="s">
        <v>9</v>
      </c>
      <c r="AC139" s="19" t="s">
        <v>463</v>
      </c>
      <c r="AD139" s="47" t="s">
        <v>9</v>
      </c>
    </row>
    <row r="140" spans="1:30" ht="6.75" customHeight="1" x14ac:dyDescent="0.25">
      <c r="A140" s="38">
        <v>140</v>
      </c>
      <c r="B140" s="1" t="s">
        <v>725</v>
      </c>
      <c r="C140" s="1" t="s">
        <v>453</v>
      </c>
      <c r="D140" s="1" t="s">
        <v>2134</v>
      </c>
      <c r="E140" s="1" t="s">
        <v>1169</v>
      </c>
      <c r="F140" s="1" t="s">
        <v>422</v>
      </c>
      <c r="G140" s="39" t="s">
        <v>9</v>
      </c>
      <c r="H140" s="39" t="s">
        <v>9</v>
      </c>
      <c r="I140" s="39" t="s">
        <v>9</v>
      </c>
      <c r="J140" s="39" t="s">
        <v>9</v>
      </c>
      <c r="K140" s="39" t="s">
        <v>9</v>
      </c>
      <c r="L140" s="23" t="str">
        <f t="shared" si="27"/>
        <v>Redes.Prediais</v>
      </c>
      <c r="M140" s="23" t="str">
        <f t="shared" si="28"/>
        <v>Reguladores</v>
      </c>
      <c r="N140" s="23" t="str">
        <f t="shared" si="29"/>
        <v>Válvula</v>
      </c>
      <c r="O140" s="23" t="str">
        <f t="shared" si="30"/>
        <v>Válvula de Purga</v>
      </c>
      <c r="P140" s="19" t="s">
        <v>80</v>
      </c>
      <c r="Q140" s="19" t="s">
        <v>594</v>
      </c>
      <c r="R140" s="19" t="s">
        <v>703</v>
      </c>
      <c r="S140" s="54" t="s">
        <v>9</v>
      </c>
      <c r="T140" s="46" t="str">
        <f t="shared" si="36"/>
        <v>Redes Prediais</v>
      </c>
      <c r="U140" s="46" t="str">
        <f t="shared" si="37"/>
        <v>Reguladores</v>
      </c>
      <c r="V140" s="46" t="str">
        <f t="shared" si="38"/>
        <v>Válvula</v>
      </c>
      <c r="W140" s="19" t="s">
        <v>459</v>
      </c>
      <c r="X140" s="40" t="str">
        <f t="shared" si="34"/>
        <v>Key-TUB-140</v>
      </c>
      <c r="Y140" s="19" t="s">
        <v>491</v>
      </c>
      <c r="Z140" s="47" t="s">
        <v>9</v>
      </c>
      <c r="AA140" s="19" t="s">
        <v>502</v>
      </c>
      <c r="AB140" s="47" t="s">
        <v>9</v>
      </c>
      <c r="AC140" s="19" t="s">
        <v>463</v>
      </c>
      <c r="AD140" s="47" t="s">
        <v>9</v>
      </c>
    </row>
    <row r="141" spans="1:30" ht="6.75" customHeight="1" x14ac:dyDescent="0.25">
      <c r="A141" s="38">
        <v>141</v>
      </c>
      <c r="B141" s="1" t="s">
        <v>725</v>
      </c>
      <c r="C141" s="1" t="s">
        <v>453</v>
      </c>
      <c r="D141" s="1" t="s">
        <v>2134</v>
      </c>
      <c r="E141" s="1" t="s">
        <v>1169</v>
      </c>
      <c r="F141" s="1" t="s">
        <v>423</v>
      </c>
      <c r="G141" s="39" t="s">
        <v>9</v>
      </c>
      <c r="H141" s="39" t="s">
        <v>9</v>
      </c>
      <c r="I141" s="39" t="s">
        <v>9</v>
      </c>
      <c r="J141" s="39" t="s">
        <v>9</v>
      </c>
      <c r="K141" s="39" t="s">
        <v>9</v>
      </c>
      <c r="L141" s="23" t="str">
        <f t="shared" si="27"/>
        <v>Redes.Prediais</v>
      </c>
      <c r="M141" s="23" t="str">
        <f t="shared" si="28"/>
        <v>Reguladores</v>
      </c>
      <c r="N141" s="23" t="str">
        <f t="shared" si="29"/>
        <v>Válvula</v>
      </c>
      <c r="O141" s="23" t="str">
        <f t="shared" si="30"/>
        <v>Válvula de Purga Vapor</v>
      </c>
      <c r="P141" s="19" t="s">
        <v>89</v>
      </c>
      <c r="Q141" s="19" t="s">
        <v>595</v>
      </c>
      <c r="R141" s="19" t="s">
        <v>704</v>
      </c>
      <c r="S141" s="54" t="s">
        <v>9</v>
      </c>
      <c r="T141" s="46" t="str">
        <f t="shared" si="36"/>
        <v>Redes Prediais</v>
      </c>
      <c r="U141" s="46" t="str">
        <f t="shared" si="37"/>
        <v>Reguladores</v>
      </c>
      <c r="V141" s="46" t="str">
        <f t="shared" si="38"/>
        <v>Válvula</v>
      </c>
      <c r="W141" s="19" t="s">
        <v>459</v>
      </c>
      <c r="X141" s="40" t="str">
        <f t="shared" si="34"/>
        <v>Key-TUB-141</v>
      </c>
      <c r="Y141" s="19" t="s">
        <v>491</v>
      </c>
      <c r="Z141" s="47" t="s">
        <v>9</v>
      </c>
      <c r="AA141" s="19" t="s">
        <v>502</v>
      </c>
      <c r="AB141" s="47" t="s">
        <v>9</v>
      </c>
      <c r="AC141" s="19" t="s">
        <v>463</v>
      </c>
      <c r="AD141" s="47" t="s">
        <v>9</v>
      </c>
    </row>
    <row r="142" spans="1:30" ht="6.75" customHeight="1" x14ac:dyDescent="0.25">
      <c r="A142" s="38">
        <v>142</v>
      </c>
      <c r="B142" s="1" t="s">
        <v>725</v>
      </c>
      <c r="C142" s="1" t="s">
        <v>453</v>
      </c>
      <c r="D142" s="1" t="s">
        <v>2133</v>
      </c>
      <c r="E142" s="1" t="s">
        <v>2122</v>
      </c>
      <c r="F142" s="1" t="s">
        <v>301</v>
      </c>
      <c r="G142" s="39" t="s">
        <v>9</v>
      </c>
      <c r="H142" s="39" t="s">
        <v>9</v>
      </c>
      <c r="I142" s="39" t="s">
        <v>9</v>
      </c>
      <c r="J142" s="39" t="s">
        <v>9</v>
      </c>
      <c r="K142" s="39" t="s">
        <v>9</v>
      </c>
      <c r="L142" s="23" t="str">
        <f t="shared" si="27"/>
        <v>Redes.Prediais</v>
      </c>
      <c r="M142" s="23" t="str">
        <f t="shared" si="28"/>
        <v>Terminais</v>
      </c>
      <c r="N142" s="23" t="str">
        <f t="shared" si="29"/>
        <v>Ralo</v>
      </c>
      <c r="O142" s="23" t="str">
        <f t="shared" si="30"/>
        <v>Ralo Seco</v>
      </c>
      <c r="P142" s="19" t="s">
        <v>305</v>
      </c>
      <c r="Q142" s="19" t="s">
        <v>548</v>
      </c>
      <c r="R142" s="19" t="s">
        <v>658</v>
      </c>
      <c r="S142" s="54" t="s">
        <v>9</v>
      </c>
      <c r="T142" s="46" t="str">
        <f t="shared" si="36"/>
        <v>Redes Prediais</v>
      </c>
      <c r="U142" s="46" t="str">
        <f t="shared" si="37"/>
        <v>Terminais</v>
      </c>
      <c r="V142" s="46" t="str">
        <f t="shared" si="38"/>
        <v>Ralo</v>
      </c>
      <c r="W142" s="19" t="s">
        <v>459</v>
      </c>
      <c r="X142" s="40" t="str">
        <f t="shared" si="34"/>
        <v>Key-TUB-142</v>
      </c>
      <c r="Y142" s="19" t="s">
        <v>491</v>
      </c>
      <c r="Z142" s="47" t="s">
        <v>9</v>
      </c>
      <c r="AA142" s="19" t="s">
        <v>492</v>
      </c>
      <c r="AB142" s="47" t="s">
        <v>9</v>
      </c>
      <c r="AC142" s="19" t="s">
        <v>463</v>
      </c>
      <c r="AD142" s="47" t="s">
        <v>9</v>
      </c>
    </row>
    <row r="143" spans="1:30" ht="6.75" customHeight="1" x14ac:dyDescent="0.25">
      <c r="A143" s="38">
        <v>143</v>
      </c>
      <c r="B143" s="1" t="s">
        <v>725</v>
      </c>
      <c r="C143" s="1" t="s">
        <v>453</v>
      </c>
      <c r="D143" s="1" t="s">
        <v>2133</v>
      </c>
      <c r="E143" s="1" t="s">
        <v>2122</v>
      </c>
      <c r="F143" s="1" t="s">
        <v>299</v>
      </c>
      <c r="G143" s="39" t="s">
        <v>9</v>
      </c>
      <c r="H143" s="39" t="s">
        <v>9</v>
      </c>
      <c r="I143" s="39" t="s">
        <v>9</v>
      </c>
      <c r="J143" s="39" t="s">
        <v>9</v>
      </c>
      <c r="K143" s="39" t="s">
        <v>9</v>
      </c>
      <c r="L143" s="23" t="str">
        <f t="shared" si="27"/>
        <v>Redes.Prediais</v>
      </c>
      <c r="M143" s="23" t="str">
        <f t="shared" si="28"/>
        <v>Terminais</v>
      </c>
      <c r="N143" s="23" t="str">
        <f t="shared" ref="N143:N206" si="39">(SUBSTITUTE(SUBSTITUTE(CONCATENATE("",E143),"."," ")," De "," de "))</f>
        <v>Ralo</v>
      </c>
      <c r="O143" s="23" t="str">
        <f t="shared" si="30"/>
        <v>Ralo Sifonado</v>
      </c>
      <c r="P143" s="19" t="s">
        <v>304</v>
      </c>
      <c r="Q143" s="19" t="s">
        <v>549</v>
      </c>
      <c r="R143" s="19" t="s">
        <v>659</v>
      </c>
      <c r="S143" s="54" t="s">
        <v>9</v>
      </c>
      <c r="T143" s="46" t="str">
        <f t="shared" si="36"/>
        <v>Redes Prediais</v>
      </c>
      <c r="U143" s="46" t="str">
        <f t="shared" si="37"/>
        <v>Terminais</v>
      </c>
      <c r="V143" s="46" t="str">
        <f t="shared" si="38"/>
        <v>Ralo</v>
      </c>
      <c r="W143" s="19" t="s">
        <v>459</v>
      </c>
      <c r="X143" s="40" t="str">
        <f t="shared" si="34"/>
        <v>Key-TUB-143</v>
      </c>
      <c r="Y143" s="19" t="s">
        <v>491</v>
      </c>
      <c r="Z143" s="47" t="s">
        <v>9</v>
      </c>
      <c r="AA143" s="19" t="s">
        <v>492</v>
      </c>
      <c r="AB143" s="47" t="s">
        <v>9</v>
      </c>
      <c r="AC143" s="19" t="s">
        <v>463</v>
      </c>
      <c r="AD143" s="47" t="s">
        <v>9</v>
      </c>
    </row>
    <row r="144" spans="1:30" ht="6.75" customHeight="1" x14ac:dyDescent="0.25">
      <c r="A144" s="38">
        <v>144</v>
      </c>
      <c r="B144" s="1" t="s">
        <v>725</v>
      </c>
      <c r="C144" s="1" t="s">
        <v>453</v>
      </c>
      <c r="D144" s="1" t="s">
        <v>2133</v>
      </c>
      <c r="E144" s="1" t="s">
        <v>2122</v>
      </c>
      <c r="F144" s="1" t="s">
        <v>300</v>
      </c>
      <c r="G144" s="39" t="s">
        <v>9</v>
      </c>
      <c r="H144" s="39" t="s">
        <v>9</v>
      </c>
      <c r="I144" s="39" t="s">
        <v>9</v>
      </c>
      <c r="J144" s="39" t="s">
        <v>9</v>
      </c>
      <c r="K144" s="39" t="s">
        <v>9</v>
      </c>
      <c r="L144" s="23" t="str">
        <f t="shared" ref="L144:L207" si="40">CONCATENATE("", C144)</f>
        <v>Redes.Prediais</v>
      </c>
      <c r="M144" s="23" t="str">
        <f t="shared" ref="M144:M207" si="41">CONCATENATE("", D144)</f>
        <v>Terminais</v>
      </c>
      <c r="N144" s="23" t="str">
        <f t="shared" si="39"/>
        <v>Ralo</v>
      </c>
      <c r="O144" s="23" t="str">
        <f t="shared" ref="O144:O207" si="42">(SUBSTITUTE(SUBSTITUTE(CONCATENATE("",F144),"."," ")," De "," de "))</f>
        <v>Ralo Sifonado Prolongado</v>
      </c>
      <c r="P144" s="19" t="s">
        <v>306</v>
      </c>
      <c r="Q144" s="19" t="s">
        <v>550</v>
      </c>
      <c r="R144" s="19" t="s">
        <v>660</v>
      </c>
      <c r="S144" s="54" t="s">
        <v>9</v>
      </c>
      <c r="T144" s="46" t="str">
        <f t="shared" si="36"/>
        <v>Redes Prediais</v>
      </c>
      <c r="U144" s="46" t="str">
        <f t="shared" si="37"/>
        <v>Terminais</v>
      </c>
      <c r="V144" s="46" t="str">
        <f t="shared" si="38"/>
        <v>Ralo</v>
      </c>
      <c r="W144" s="19" t="s">
        <v>459</v>
      </c>
      <c r="X144" s="40" t="str">
        <f t="shared" ref="X144:X207" si="43">CONCATENATE("Key-TUB-",A144)</f>
        <v>Key-TUB-144</v>
      </c>
      <c r="Y144" s="19" t="s">
        <v>491</v>
      </c>
      <c r="Z144" s="47" t="s">
        <v>9</v>
      </c>
      <c r="AA144" s="19" t="s">
        <v>492</v>
      </c>
      <c r="AB144" s="47" t="s">
        <v>9</v>
      </c>
      <c r="AC144" s="19" t="s">
        <v>463</v>
      </c>
      <c r="AD144" s="47" t="s">
        <v>9</v>
      </c>
    </row>
    <row r="145" spans="1:30" ht="6.75" customHeight="1" x14ac:dyDescent="0.25">
      <c r="A145" s="38">
        <v>145</v>
      </c>
      <c r="B145" s="1" t="s">
        <v>725</v>
      </c>
      <c r="C145" s="1" t="s">
        <v>453</v>
      </c>
      <c r="D145" s="1" t="s">
        <v>2133</v>
      </c>
      <c r="E145" s="1" t="s">
        <v>2122</v>
      </c>
      <c r="F145" s="1" t="s">
        <v>302</v>
      </c>
      <c r="G145" s="39" t="s">
        <v>9</v>
      </c>
      <c r="H145" s="39" t="s">
        <v>9</v>
      </c>
      <c r="I145" s="39" t="s">
        <v>9</v>
      </c>
      <c r="J145" s="39" t="s">
        <v>9</v>
      </c>
      <c r="K145" s="39" t="s">
        <v>9</v>
      </c>
      <c r="L145" s="23" t="str">
        <f t="shared" si="40"/>
        <v>Redes.Prediais</v>
      </c>
      <c r="M145" s="23" t="str">
        <f t="shared" si="41"/>
        <v>Terminais</v>
      </c>
      <c r="N145" s="23" t="str">
        <f t="shared" si="39"/>
        <v>Ralo</v>
      </c>
      <c r="O145" s="23" t="str">
        <f t="shared" si="42"/>
        <v>Ralo Pluvial Hemisfêrico</v>
      </c>
      <c r="P145" s="19" t="s">
        <v>307</v>
      </c>
      <c r="Q145" s="19" t="s">
        <v>551</v>
      </c>
      <c r="R145" s="19" t="s">
        <v>661</v>
      </c>
      <c r="S145" s="54" t="s">
        <v>9</v>
      </c>
      <c r="T145" s="46" t="str">
        <f t="shared" si="36"/>
        <v>Redes Prediais</v>
      </c>
      <c r="U145" s="46" t="str">
        <f t="shared" si="37"/>
        <v>Terminais</v>
      </c>
      <c r="V145" s="46" t="str">
        <f t="shared" si="38"/>
        <v>Ralo</v>
      </c>
      <c r="W145" s="19" t="s">
        <v>459</v>
      </c>
      <c r="X145" s="40" t="str">
        <f t="shared" si="43"/>
        <v>Key-TUB-145</v>
      </c>
      <c r="Y145" s="19" t="s">
        <v>491</v>
      </c>
      <c r="Z145" s="47" t="s">
        <v>9</v>
      </c>
      <c r="AA145" s="19" t="s">
        <v>492</v>
      </c>
      <c r="AB145" s="47" t="s">
        <v>9</v>
      </c>
      <c r="AC145" s="19" t="s">
        <v>463</v>
      </c>
      <c r="AD145" s="47" t="s">
        <v>9</v>
      </c>
    </row>
    <row r="146" spans="1:30" ht="6.75" customHeight="1" x14ac:dyDescent="0.25">
      <c r="A146" s="38">
        <v>146</v>
      </c>
      <c r="B146" s="1" t="s">
        <v>725</v>
      </c>
      <c r="C146" s="1" t="s">
        <v>453</v>
      </c>
      <c r="D146" s="1" t="s">
        <v>2133</v>
      </c>
      <c r="E146" s="1" t="s">
        <v>2122</v>
      </c>
      <c r="F146" s="1" t="s">
        <v>303</v>
      </c>
      <c r="G146" s="39" t="s">
        <v>9</v>
      </c>
      <c r="H146" s="39" t="s">
        <v>9</v>
      </c>
      <c r="I146" s="39" t="s">
        <v>9</v>
      </c>
      <c r="J146" s="39" t="s">
        <v>9</v>
      </c>
      <c r="K146" s="39" t="s">
        <v>9</v>
      </c>
      <c r="L146" s="23" t="str">
        <f t="shared" si="40"/>
        <v>Redes.Prediais</v>
      </c>
      <c r="M146" s="23" t="str">
        <f t="shared" si="41"/>
        <v>Terminais</v>
      </c>
      <c r="N146" s="23" t="str">
        <f t="shared" si="39"/>
        <v>Ralo</v>
      </c>
      <c r="O146" s="23" t="str">
        <f t="shared" si="42"/>
        <v>Ralo Lineal</v>
      </c>
      <c r="P146" s="19" t="s">
        <v>358</v>
      </c>
      <c r="Q146" s="19" t="s">
        <v>552</v>
      </c>
      <c r="R146" s="19" t="s">
        <v>662</v>
      </c>
      <c r="S146" s="54" t="s">
        <v>9</v>
      </c>
      <c r="T146" s="46" t="str">
        <f t="shared" si="36"/>
        <v>Redes Prediais</v>
      </c>
      <c r="U146" s="46" t="str">
        <f t="shared" si="37"/>
        <v>Terminais</v>
      </c>
      <c r="V146" s="46" t="str">
        <f t="shared" si="38"/>
        <v>Ralo</v>
      </c>
      <c r="W146" s="19" t="s">
        <v>459</v>
      </c>
      <c r="X146" s="40" t="str">
        <f t="shared" si="43"/>
        <v>Key-TUB-146</v>
      </c>
      <c r="Y146" s="19" t="s">
        <v>491</v>
      </c>
      <c r="Z146" s="47" t="s">
        <v>9</v>
      </c>
      <c r="AA146" s="19" t="s">
        <v>492</v>
      </c>
      <c r="AB146" s="47" t="s">
        <v>9</v>
      </c>
      <c r="AC146" s="19" t="s">
        <v>463</v>
      </c>
      <c r="AD146" s="47" t="s">
        <v>9</v>
      </c>
    </row>
    <row r="147" spans="1:30" ht="6.75" customHeight="1" x14ac:dyDescent="0.25">
      <c r="A147" s="38">
        <v>147</v>
      </c>
      <c r="B147" s="1" t="s">
        <v>725</v>
      </c>
      <c r="C147" s="1" t="s">
        <v>453</v>
      </c>
      <c r="D147" s="1" t="s">
        <v>375</v>
      </c>
      <c r="E147" s="1" t="s">
        <v>2121</v>
      </c>
      <c r="F147" s="1" t="s">
        <v>357</v>
      </c>
      <c r="G147" s="39" t="s">
        <v>9</v>
      </c>
      <c r="H147" s="39" t="s">
        <v>9</v>
      </c>
      <c r="I147" s="39" t="s">
        <v>9</v>
      </c>
      <c r="J147" s="39" t="s">
        <v>9</v>
      </c>
      <c r="K147" s="39" t="s">
        <v>9</v>
      </c>
      <c r="L147" s="23" t="str">
        <f t="shared" si="40"/>
        <v>Redes.Prediais</v>
      </c>
      <c r="M147" s="23" t="str">
        <f t="shared" si="41"/>
        <v>Traçados</v>
      </c>
      <c r="N147" s="23" t="str">
        <f t="shared" si="39"/>
        <v>Caixa Pluvial</v>
      </c>
      <c r="O147" s="23" t="str">
        <f t="shared" si="42"/>
        <v>Caixa Areia Pluvial</v>
      </c>
      <c r="P147" s="19" t="s">
        <v>368</v>
      </c>
      <c r="Q147" s="19" t="s">
        <v>542</v>
      </c>
      <c r="R147" s="19" t="s">
        <v>652</v>
      </c>
      <c r="S147" s="54" t="s">
        <v>9</v>
      </c>
      <c r="T147" s="46" t="str">
        <f t="shared" si="36"/>
        <v>Redes Prediais</v>
      </c>
      <c r="U147" s="46" t="str">
        <f t="shared" si="37"/>
        <v>Traçados</v>
      </c>
      <c r="V147" s="46" t="str">
        <f t="shared" si="38"/>
        <v>Caixa Pluvial</v>
      </c>
      <c r="W147" s="19" t="s">
        <v>459</v>
      </c>
      <c r="X147" s="40" t="str">
        <f t="shared" si="43"/>
        <v>Key-TUB-147</v>
      </c>
      <c r="Y147" s="19" t="s">
        <v>491</v>
      </c>
      <c r="Z147" s="47" t="s">
        <v>9</v>
      </c>
      <c r="AA147" s="19" t="s">
        <v>492</v>
      </c>
      <c r="AB147" s="47" t="s">
        <v>9</v>
      </c>
      <c r="AC147" s="19" t="s">
        <v>463</v>
      </c>
      <c r="AD147" s="47" t="s">
        <v>9</v>
      </c>
    </row>
    <row r="148" spans="1:30" ht="6.75" customHeight="1" x14ac:dyDescent="0.25">
      <c r="A148" s="38">
        <v>148</v>
      </c>
      <c r="B148" s="1" t="s">
        <v>725</v>
      </c>
      <c r="C148" s="1" t="s">
        <v>453</v>
      </c>
      <c r="D148" s="1" t="s">
        <v>375</v>
      </c>
      <c r="E148" s="1" t="s">
        <v>2121</v>
      </c>
      <c r="F148" s="1" t="s">
        <v>360</v>
      </c>
      <c r="G148" s="39" t="s">
        <v>9</v>
      </c>
      <c r="H148" s="39" t="s">
        <v>9</v>
      </c>
      <c r="I148" s="39" t="s">
        <v>9</v>
      </c>
      <c r="J148" s="39" t="s">
        <v>9</v>
      </c>
      <c r="K148" s="39" t="s">
        <v>9</v>
      </c>
      <c r="L148" s="23" t="str">
        <f t="shared" si="40"/>
        <v>Redes.Prediais</v>
      </c>
      <c r="M148" s="23" t="str">
        <f t="shared" si="41"/>
        <v>Traçados</v>
      </c>
      <c r="N148" s="23" t="str">
        <f t="shared" si="39"/>
        <v>Caixa Pluvial</v>
      </c>
      <c r="O148" s="23" t="str">
        <f t="shared" si="42"/>
        <v>Tanque de Atenuação</v>
      </c>
      <c r="P148" s="19" t="s">
        <v>366</v>
      </c>
      <c r="Q148" s="19" t="s">
        <v>544</v>
      </c>
      <c r="R148" s="19" t="s">
        <v>654</v>
      </c>
      <c r="S148" s="54" t="s">
        <v>9</v>
      </c>
      <c r="T148" s="46" t="str">
        <f t="shared" si="36"/>
        <v>Redes Prediais</v>
      </c>
      <c r="U148" s="46" t="str">
        <f t="shared" si="37"/>
        <v>Traçados</v>
      </c>
      <c r="V148" s="46" t="str">
        <f t="shared" si="38"/>
        <v>Caixa Pluvial</v>
      </c>
      <c r="W148" s="19" t="s">
        <v>459</v>
      </c>
      <c r="X148" s="40" t="str">
        <f t="shared" si="43"/>
        <v>Key-TUB-148</v>
      </c>
      <c r="Y148" s="19" t="s">
        <v>491</v>
      </c>
      <c r="Z148" s="47" t="s">
        <v>9</v>
      </c>
      <c r="AA148" s="19" t="s">
        <v>492</v>
      </c>
      <c r="AB148" s="47" t="s">
        <v>9</v>
      </c>
      <c r="AC148" s="19" t="s">
        <v>463</v>
      </c>
      <c r="AD148" s="47" t="s">
        <v>9</v>
      </c>
    </row>
    <row r="149" spans="1:30" ht="6.75" customHeight="1" x14ac:dyDescent="0.25">
      <c r="A149" s="38">
        <v>149</v>
      </c>
      <c r="B149" s="1" t="s">
        <v>725</v>
      </c>
      <c r="C149" s="1" t="s">
        <v>453</v>
      </c>
      <c r="D149" s="1" t="s">
        <v>375</v>
      </c>
      <c r="E149" s="1" t="s">
        <v>2121</v>
      </c>
      <c r="F149" s="1" t="s">
        <v>359</v>
      </c>
      <c r="G149" s="39" t="s">
        <v>9</v>
      </c>
      <c r="H149" s="39" t="s">
        <v>9</v>
      </c>
      <c r="I149" s="39" t="s">
        <v>9</v>
      </c>
      <c r="J149" s="39" t="s">
        <v>9</v>
      </c>
      <c r="K149" s="39" t="s">
        <v>9</v>
      </c>
      <c r="L149" s="23" t="str">
        <f t="shared" si="40"/>
        <v>Redes.Prediais</v>
      </c>
      <c r="M149" s="23" t="str">
        <f t="shared" si="41"/>
        <v>Traçados</v>
      </c>
      <c r="N149" s="23" t="str">
        <f t="shared" si="39"/>
        <v>Caixa Pluvial</v>
      </c>
      <c r="O149" s="23" t="str">
        <f t="shared" si="42"/>
        <v>Tanque de Detenção</v>
      </c>
      <c r="P149" s="19" t="s">
        <v>367</v>
      </c>
      <c r="Q149" s="19" t="s">
        <v>543</v>
      </c>
      <c r="R149" s="19" t="s">
        <v>653</v>
      </c>
      <c r="S149" s="54" t="s">
        <v>9</v>
      </c>
      <c r="T149" s="46" t="str">
        <f t="shared" si="36"/>
        <v>Redes Prediais</v>
      </c>
      <c r="U149" s="46" t="str">
        <f t="shared" si="37"/>
        <v>Traçados</v>
      </c>
      <c r="V149" s="46" t="str">
        <f t="shared" si="38"/>
        <v>Caixa Pluvial</v>
      </c>
      <c r="W149" s="19" t="s">
        <v>459</v>
      </c>
      <c r="X149" s="40" t="str">
        <f t="shared" si="43"/>
        <v>Key-TUB-149</v>
      </c>
      <c r="Y149" s="19" t="s">
        <v>491</v>
      </c>
      <c r="Z149" s="47" t="s">
        <v>9</v>
      </c>
      <c r="AA149" s="19" t="s">
        <v>492</v>
      </c>
      <c r="AB149" s="47" t="s">
        <v>9</v>
      </c>
      <c r="AC149" s="19" t="s">
        <v>463</v>
      </c>
      <c r="AD149" s="47" t="s">
        <v>9</v>
      </c>
    </row>
    <row r="150" spans="1:30" ht="6.75" customHeight="1" x14ac:dyDescent="0.25">
      <c r="A150" s="38">
        <v>150</v>
      </c>
      <c r="B150" s="1" t="s">
        <v>725</v>
      </c>
      <c r="C150" s="1" t="s">
        <v>453</v>
      </c>
      <c r="D150" s="1" t="s">
        <v>375</v>
      </c>
      <c r="E150" s="1" t="s">
        <v>2132</v>
      </c>
      <c r="F150" s="1" t="s">
        <v>361</v>
      </c>
      <c r="G150" s="39" t="s">
        <v>9</v>
      </c>
      <c r="H150" s="39" t="s">
        <v>9</v>
      </c>
      <c r="I150" s="39" t="s">
        <v>9</v>
      </c>
      <c r="J150" s="39" t="s">
        <v>9</v>
      </c>
      <c r="K150" s="39" t="s">
        <v>9</v>
      </c>
      <c r="L150" s="23" t="str">
        <f t="shared" si="40"/>
        <v>Redes.Prediais</v>
      </c>
      <c r="M150" s="23" t="str">
        <f t="shared" si="41"/>
        <v>Traçados</v>
      </c>
      <c r="N150" s="23" t="str">
        <f t="shared" si="39"/>
        <v>Caixa Esgoto</v>
      </c>
      <c r="O150" s="23" t="str">
        <f t="shared" si="42"/>
        <v>Caixa de Gordura</v>
      </c>
      <c r="P150" s="19" t="s">
        <v>369</v>
      </c>
      <c r="Q150" s="19" t="s">
        <v>545</v>
      </c>
      <c r="R150" s="19" t="s">
        <v>655</v>
      </c>
      <c r="S150" s="54" t="s">
        <v>9</v>
      </c>
      <c r="T150" s="46" t="str">
        <f t="shared" si="36"/>
        <v>Redes Prediais</v>
      </c>
      <c r="U150" s="46" t="str">
        <f t="shared" si="37"/>
        <v>Traçados</v>
      </c>
      <c r="V150" s="46" t="str">
        <f t="shared" si="38"/>
        <v>Caixa Esgoto</v>
      </c>
      <c r="W150" s="19" t="s">
        <v>459</v>
      </c>
      <c r="X150" s="40" t="str">
        <f t="shared" si="43"/>
        <v>Key-TUB-150</v>
      </c>
      <c r="Y150" s="19" t="s">
        <v>491</v>
      </c>
      <c r="Z150" s="47" t="s">
        <v>9</v>
      </c>
      <c r="AA150" s="19" t="s">
        <v>492</v>
      </c>
      <c r="AB150" s="47" t="s">
        <v>9</v>
      </c>
      <c r="AC150" s="19" t="s">
        <v>463</v>
      </c>
      <c r="AD150" s="47" t="s">
        <v>9</v>
      </c>
    </row>
    <row r="151" spans="1:30" ht="6.75" customHeight="1" x14ac:dyDescent="0.25">
      <c r="A151" s="38">
        <v>151</v>
      </c>
      <c r="B151" s="1" t="s">
        <v>725</v>
      </c>
      <c r="C151" s="1" t="s">
        <v>453</v>
      </c>
      <c r="D151" s="1" t="s">
        <v>375</v>
      </c>
      <c r="E151" s="1" t="s">
        <v>2132</v>
      </c>
      <c r="F151" s="1" t="s">
        <v>363</v>
      </c>
      <c r="G151" s="39" t="s">
        <v>9</v>
      </c>
      <c r="H151" s="39" t="s">
        <v>9</v>
      </c>
      <c r="I151" s="39" t="s">
        <v>9</v>
      </c>
      <c r="J151" s="39" t="s">
        <v>9</v>
      </c>
      <c r="K151" s="39" t="s">
        <v>9</v>
      </c>
      <c r="L151" s="23" t="str">
        <f t="shared" si="40"/>
        <v>Redes.Prediais</v>
      </c>
      <c r="M151" s="23" t="str">
        <f t="shared" si="41"/>
        <v>Traçados</v>
      </c>
      <c r="N151" s="23" t="str">
        <f t="shared" si="39"/>
        <v>Caixa Esgoto</v>
      </c>
      <c r="O151" s="23" t="str">
        <f t="shared" si="42"/>
        <v>Caixa de Inspecção</v>
      </c>
      <c r="P151" s="19" t="s">
        <v>364</v>
      </c>
      <c r="Q151" s="19" t="s">
        <v>547</v>
      </c>
      <c r="R151" s="19" t="s">
        <v>657</v>
      </c>
      <c r="S151" s="54" t="s">
        <v>9</v>
      </c>
      <c r="T151" s="46" t="str">
        <f t="shared" ref="T151:T182" si="44">SUBSTITUTE(C151, ".", " ")</f>
        <v>Redes Prediais</v>
      </c>
      <c r="U151" s="46" t="str">
        <f t="shared" ref="U151:U182" si="45">SUBSTITUTE(D151, ".", " ")</f>
        <v>Traçados</v>
      </c>
      <c r="V151" s="46" t="str">
        <f t="shared" si="38"/>
        <v>Caixa Esgoto</v>
      </c>
      <c r="W151" s="19" t="s">
        <v>459</v>
      </c>
      <c r="X151" s="40" t="str">
        <f t="shared" si="43"/>
        <v>Key-TUB-151</v>
      </c>
      <c r="Y151" s="19" t="s">
        <v>491</v>
      </c>
      <c r="Z151" s="47" t="s">
        <v>9</v>
      </c>
      <c r="AA151" s="19" t="s">
        <v>492</v>
      </c>
      <c r="AB151" s="47" t="s">
        <v>9</v>
      </c>
      <c r="AC151" s="19" t="s">
        <v>463</v>
      </c>
      <c r="AD151" s="47" t="s">
        <v>9</v>
      </c>
    </row>
    <row r="152" spans="1:30" ht="6.75" customHeight="1" x14ac:dyDescent="0.25">
      <c r="A152" s="38">
        <v>152</v>
      </c>
      <c r="B152" s="1" t="s">
        <v>725</v>
      </c>
      <c r="C152" s="1" t="s">
        <v>453</v>
      </c>
      <c r="D152" s="1" t="s">
        <v>375</v>
      </c>
      <c r="E152" s="1" t="s">
        <v>2132</v>
      </c>
      <c r="F152" s="1" t="s">
        <v>362</v>
      </c>
      <c r="G152" s="39" t="s">
        <v>9</v>
      </c>
      <c r="H152" s="39" t="s">
        <v>9</v>
      </c>
      <c r="I152" s="39" t="s">
        <v>9</v>
      </c>
      <c r="J152" s="39" t="s">
        <v>9</v>
      </c>
      <c r="K152" s="39" t="s">
        <v>9</v>
      </c>
      <c r="L152" s="23" t="str">
        <f t="shared" si="40"/>
        <v>Redes.Prediais</v>
      </c>
      <c r="M152" s="23" t="str">
        <f t="shared" si="41"/>
        <v>Traçados</v>
      </c>
      <c r="N152" s="23" t="str">
        <f t="shared" si="39"/>
        <v>Caixa Esgoto</v>
      </c>
      <c r="O152" s="23" t="str">
        <f t="shared" si="42"/>
        <v>Caixa de Passagem</v>
      </c>
      <c r="P152" s="19" t="s">
        <v>365</v>
      </c>
      <c r="Q152" s="19" t="s">
        <v>546</v>
      </c>
      <c r="R152" s="19" t="s">
        <v>656</v>
      </c>
      <c r="S152" s="54" t="s">
        <v>9</v>
      </c>
      <c r="T152" s="46" t="str">
        <f t="shared" si="44"/>
        <v>Redes Prediais</v>
      </c>
      <c r="U152" s="46" t="str">
        <f t="shared" si="45"/>
        <v>Traçados</v>
      </c>
      <c r="V152" s="46" t="str">
        <f t="shared" si="38"/>
        <v>Caixa Esgoto</v>
      </c>
      <c r="W152" s="19" t="s">
        <v>459</v>
      </c>
      <c r="X152" s="40" t="str">
        <f t="shared" si="43"/>
        <v>Key-TUB-152</v>
      </c>
      <c r="Y152" s="19" t="s">
        <v>491</v>
      </c>
      <c r="Z152" s="47" t="s">
        <v>9</v>
      </c>
      <c r="AA152" s="19" t="s">
        <v>492</v>
      </c>
      <c r="AB152" s="47" t="s">
        <v>9</v>
      </c>
      <c r="AC152" s="19" t="s">
        <v>463</v>
      </c>
      <c r="AD152" s="47" t="s">
        <v>9</v>
      </c>
    </row>
    <row r="153" spans="1:30" ht="6.75" customHeight="1" x14ac:dyDescent="0.25">
      <c r="A153" s="38">
        <v>153</v>
      </c>
      <c r="B153" s="1" t="s">
        <v>725</v>
      </c>
      <c r="C153" s="1" t="s">
        <v>453</v>
      </c>
      <c r="D153" s="1" t="s">
        <v>375</v>
      </c>
      <c r="E153" s="1" t="s">
        <v>2123</v>
      </c>
      <c r="F153" s="1" t="s">
        <v>94</v>
      </c>
      <c r="G153" s="39" t="s">
        <v>9</v>
      </c>
      <c r="H153" s="39" t="s">
        <v>9</v>
      </c>
      <c r="I153" s="39" t="s">
        <v>9</v>
      </c>
      <c r="J153" s="39" t="s">
        <v>9</v>
      </c>
      <c r="K153" s="39" t="s">
        <v>9</v>
      </c>
      <c r="L153" s="23" t="str">
        <f t="shared" si="40"/>
        <v>Redes.Prediais</v>
      </c>
      <c r="M153" s="23" t="str">
        <f t="shared" si="41"/>
        <v>Traçados</v>
      </c>
      <c r="N153" s="23" t="str">
        <f t="shared" si="39"/>
        <v>Tubo</v>
      </c>
      <c r="O153" s="23" t="str">
        <f t="shared" si="42"/>
        <v>Tubo Flexível</v>
      </c>
      <c r="P153" s="19" t="s">
        <v>265</v>
      </c>
      <c r="Q153" s="19" t="s">
        <v>553</v>
      </c>
      <c r="R153" s="19" t="s">
        <v>663</v>
      </c>
      <c r="S153" s="54" t="s">
        <v>9</v>
      </c>
      <c r="T153" s="46" t="str">
        <f t="shared" si="44"/>
        <v>Redes Prediais</v>
      </c>
      <c r="U153" s="46" t="str">
        <f t="shared" si="45"/>
        <v>Traçados</v>
      </c>
      <c r="V153" s="46" t="str">
        <f t="shared" si="38"/>
        <v>Tubo</v>
      </c>
      <c r="W153" s="19" t="s">
        <v>459</v>
      </c>
      <c r="X153" s="40" t="str">
        <f t="shared" si="43"/>
        <v>Key-TUB-153</v>
      </c>
      <c r="Y153" s="19" t="s">
        <v>493</v>
      </c>
      <c r="Z153" s="47" t="s">
        <v>9</v>
      </c>
      <c r="AA153" s="19" t="s">
        <v>494</v>
      </c>
      <c r="AB153" s="47" t="s">
        <v>9</v>
      </c>
      <c r="AC153" s="19" t="s">
        <v>463</v>
      </c>
      <c r="AD153" s="47" t="s">
        <v>9</v>
      </c>
    </row>
    <row r="154" spans="1:30" ht="6.75" customHeight="1" x14ac:dyDescent="0.25">
      <c r="A154" s="38">
        <v>154</v>
      </c>
      <c r="B154" s="1" t="s">
        <v>725</v>
      </c>
      <c r="C154" s="1" t="s">
        <v>453</v>
      </c>
      <c r="D154" s="1" t="s">
        <v>375</v>
      </c>
      <c r="E154" s="1" t="s">
        <v>2123</v>
      </c>
      <c r="F154" s="1" t="s">
        <v>255</v>
      </c>
      <c r="G154" s="39" t="s">
        <v>9</v>
      </c>
      <c r="H154" s="39" t="s">
        <v>9</v>
      </c>
      <c r="I154" s="39" t="s">
        <v>9</v>
      </c>
      <c r="J154" s="39" t="s">
        <v>9</v>
      </c>
      <c r="K154" s="39" t="s">
        <v>9</v>
      </c>
      <c r="L154" s="23" t="str">
        <f t="shared" si="40"/>
        <v>Redes.Prediais</v>
      </c>
      <c r="M154" s="23" t="str">
        <f t="shared" si="41"/>
        <v>Traçados</v>
      </c>
      <c r="N154" s="23" t="str">
        <f t="shared" si="39"/>
        <v>Tubo</v>
      </c>
      <c r="O154" s="23" t="str">
        <f t="shared" si="42"/>
        <v>Tubo Rígido</v>
      </c>
      <c r="P154" s="19" t="s">
        <v>264</v>
      </c>
      <c r="Q154" s="19" t="s">
        <v>554</v>
      </c>
      <c r="R154" s="19" t="s">
        <v>664</v>
      </c>
      <c r="S154" s="54" t="s">
        <v>9</v>
      </c>
      <c r="T154" s="46" t="str">
        <f t="shared" si="44"/>
        <v>Redes Prediais</v>
      </c>
      <c r="U154" s="46" t="str">
        <f t="shared" si="45"/>
        <v>Traçados</v>
      </c>
      <c r="V154" s="46" t="str">
        <f t="shared" si="38"/>
        <v>Tubo</v>
      </c>
      <c r="W154" s="19" t="s">
        <v>459</v>
      </c>
      <c r="X154" s="40" t="str">
        <f t="shared" si="43"/>
        <v>Key-TUB-154</v>
      </c>
      <c r="Y154" s="19" t="s">
        <v>493</v>
      </c>
      <c r="Z154" s="47" t="s">
        <v>9</v>
      </c>
      <c r="AA154" s="19" t="s">
        <v>495</v>
      </c>
      <c r="AB154" s="47" t="s">
        <v>9</v>
      </c>
      <c r="AC154" s="19" t="s">
        <v>463</v>
      </c>
      <c r="AD154" s="47" t="s">
        <v>9</v>
      </c>
    </row>
    <row r="155" spans="1:30" ht="6.75" customHeight="1" x14ac:dyDescent="0.25">
      <c r="A155" s="38">
        <v>155</v>
      </c>
      <c r="B155" s="1" t="s">
        <v>725</v>
      </c>
      <c r="C155" s="1" t="s">
        <v>453</v>
      </c>
      <c r="D155" s="1" t="s">
        <v>375</v>
      </c>
      <c r="E155" s="1" t="s">
        <v>2123</v>
      </c>
      <c r="F155" s="1" t="s">
        <v>377</v>
      </c>
      <c r="G155" s="39" t="s">
        <v>9</v>
      </c>
      <c r="H155" s="39" t="s">
        <v>9</v>
      </c>
      <c r="I155" s="39" t="s">
        <v>9</v>
      </c>
      <c r="J155" s="39" t="s">
        <v>9</v>
      </c>
      <c r="K155" s="39" t="s">
        <v>9</v>
      </c>
      <c r="L155" s="23" t="str">
        <f t="shared" si="40"/>
        <v>Redes.Prediais</v>
      </c>
      <c r="M155" s="23" t="str">
        <f t="shared" si="41"/>
        <v>Traçados</v>
      </c>
      <c r="N155" s="23" t="str">
        <f t="shared" si="39"/>
        <v>Tubo</v>
      </c>
      <c r="O155" s="23" t="str">
        <f t="shared" si="42"/>
        <v>Tubo Rígido PB</v>
      </c>
      <c r="P155" s="19" t="s">
        <v>260</v>
      </c>
      <c r="Q155" s="19" t="s">
        <v>555</v>
      </c>
      <c r="R155" s="19" t="s">
        <v>665</v>
      </c>
      <c r="S155" s="54" t="s">
        <v>9</v>
      </c>
      <c r="T155" s="46" t="str">
        <f t="shared" si="44"/>
        <v>Redes Prediais</v>
      </c>
      <c r="U155" s="46" t="str">
        <f t="shared" si="45"/>
        <v>Traçados</v>
      </c>
      <c r="V155" s="46" t="str">
        <f t="shared" si="38"/>
        <v>Tubo</v>
      </c>
      <c r="W155" s="19" t="s">
        <v>459</v>
      </c>
      <c r="X155" s="40" t="str">
        <f t="shared" si="43"/>
        <v>Key-TUB-155</v>
      </c>
      <c r="Y155" s="19" t="s">
        <v>493</v>
      </c>
      <c r="Z155" s="47" t="s">
        <v>9</v>
      </c>
      <c r="AA155" s="19" t="s">
        <v>495</v>
      </c>
      <c r="AB155" s="47" t="s">
        <v>9</v>
      </c>
      <c r="AC155" s="19" t="s">
        <v>463</v>
      </c>
      <c r="AD155" s="47" t="s">
        <v>9</v>
      </c>
    </row>
    <row r="156" spans="1:30" ht="6.75" customHeight="1" x14ac:dyDescent="0.25">
      <c r="A156" s="38">
        <v>156</v>
      </c>
      <c r="B156" s="1" t="s">
        <v>725</v>
      </c>
      <c r="C156" s="1" t="s">
        <v>453</v>
      </c>
      <c r="D156" s="1" t="s">
        <v>375</v>
      </c>
      <c r="E156" s="1" t="s">
        <v>2123</v>
      </c>
      <c r="F156" s="1" t="s">
        <v>378</v>
      </c>
      <c r="G156" s="39" t="s">
        <v>9</v>
      </c>
      <c r="H156" s="39" t="s">
        <v>9</v>
      </c>
      <c r="I156" s="39" t="s">
        <v>9</v>
      </c>
      <c r="J156" s="39" t="s">
        <v>9</v>
      </c>
      <c r="K156" s="39" t="s">
        <v>9</v>
      </c>
      <c r="L156" s="23" t="str">
        <f t="shared" si="40"/>
        <v>Redes.Prediais</v>
      </c>
      <c r="M156" s="23" t="str">
        <f t="shared" si="41"/>
        <v>Traçados</v>
      </c>
      <c r="N156" s="23" t="str">
        <f t="shared" si="39"/>
        <v>Tubo</v>
      </c>
      <c r="O156" s="23" t="str">
        <f t="shared" si="42"/>
        <v>Tubo Rígido PF</v>
      </c>
      <c r="P156" s="19" t="s">
        <v>261</v>
      </c>
      <c r="Q156" s="19" t="s">
        <v>556</v>
      </c>
      <c r="R156" s="19" t="s">
        <v>666</v>
      </c>
      <c r="S156" s="54" t="s">
        <v>9</v>
      </c>
      <c r="T156" s="46" t="str">
        <f t="shared" si="44"/>
        <v>Redes Prediais</v>
      </c>
      <c r="U156" s="46" t="str">
        <f t="shared" si="45"/>
        <v>Traçados</v>
      </c>
      <c r="V156" s="46" t="str">
        <f t="shared" si="38"/>
        <v>Tubo</v>
      </c>
      <c r="W156" s="19" t="s">
        <v>459</v>
      </c>
      <c r="X156" s="40" t="str">
        <f t="shared" si="43"/>
        <v>Key-TUB-156</v>
      </c>
      <c r="Y156" s="19" t="s">
        <v>493</v>
      </c>
      <c r="Z156" s="47" t="s">
        <v>9</v>
      </c>
      <c r="AA156" s="19" t="s">
        <v>495</v>
      </c>
      <c r="AB156" s="47" t="s">
        <v>9</v>
      </c>
      <c r="AC156" s="19" t="s">
        <v>463</v>
      </c>
      <c r="AD156" s="47" t="s">
        <v>9</v>
      </c>
    </row>
    <row r="157" spans="1:30" ht="6.75" customHeight="1" x14ac:dyDescent="0.25">
      <c r="A157" s="38">
        <v>157</v>
      </c>
      <c r="B157" s="1" t="s">
        <v>725</v>
      </c>
      <c r="C157" s="1" t="s">
        <v>453</v>
      </c>
      <c r="D157" s="1" t="s">
        <v>375</v>
      </c>
      <c r="E157" s="1" t="s">
        <v>2123</v>
      </c>
      <c r="F157" s="1" t="s">
        <v>379</v>
      </c>
      <c r="G157" s="39" t="s">
        <v>9</v>
      </c>
      <c r="H157" s="39" t="s">
        <v>9</v>
      </c>
      <c r="I157" s="39" t="s">
        <v>9</v>
      </c>
      <c r="J157" s="39" t="s">
        <v>9</v>
      </c>
      <c r="K157" s="39" t="s">
        <v>9</v>
      </c>
      <c r="L157" s="23" t="str">
        <f t="shared" si="40"/>
        <v>Redes.Prediais</v>
      </c>
      <c r="M157" s="23" t="str">
        <f t="shared" si="41"/>
        <v>Traçados</v>
      </c>
      <c r="N157" s="23" t="str">
        <f t="shared" si="39"/>
        <v>Tubo</v>
      </c>
      <c r="O157" s="23" t="str">
        <f t="shared" si="42"/>
        <v>Tubo Rígido FF</v>
      </c>
      <c r="P157" s="19" t="s">
        <v>263</v>
      </c>
      <c r="Q157" s="19" t="s">
        <v>557</v>
      </c>
      <c r="R157" s="19" t="s">
        <v>667</v>
      </c>
      <c r="S157" s="54" t="s">
        <v>9</v>
      </c>
      <c r="T157" s="46" t="str">
        <f t="shared" si="44"/>
        <v>Redes Prediais</v>
      </c>
      <c r="U157" s="46" t="str">
        <f t="shared" si="45"/>
        <v>Traçados</v>
      </c>
      <c r="V157" s="46" t="str">
        <f t="shared" si="38"/>
        <v>Tubo</v>
      </c>
      <c r="W157" s="19" t="s">
        <v>459</v>
      </c>
      <c r="X157" s="40" t="str">
        <f t="shared" si="43"/>
        <v>Key-TUB-157</v>
      </c>
      <c r="Y157" s="19" t="s">
        <v>493</v>
      </c>
      <c r="Z157" s="47" t="s">
        <v>9</v>
      </c>
      <c r="AA157" s="19" t="s">
        <v>495</v>
      </c>
      <c r="AB157" s="47" t="s">
        <v>9</v>
      </c>
      <c r="AC157" s="19" t="s">
        <v>463</v>
      </c>
      <c r="AD157" s="47" t="s">
        <v>9</v>
      </c>
    </row>
    <row r="158" spans="1:30" ht="6.75" customHeight="1" x14ac:dyDescent="0.25">
      <c r="A158" s="38">
        <v>158</v>
      </c>
      <c r="B158" s="1" t="s">
        <v>725</v>
      </c>
      <c r="C158" s="1" t="s">
        <v>453</v>
      </c>
      <c r="D158" s="1" t="s">
        <v>375</v>
      </c>
      <c r="E158" s="1" t="s">
        <v>2123</v>
      </c>
      <c r="F158" s="1" t="s">
        <v>380</v>
      </c>
      <c r="G158" s="39" t="s">
        <v>9</v>
      </c>
      <c r="H158" s="39" t="s">
        <v>9</v>
      </c>
      <c r="I158" s="39" t="s">
        <v>9</v>
      </c>
      <c r="J158" s="39" t="s">
        <v>9</v>
      </c>
      <c r="K158" s="39" t="s">
        <v>9</v>
      </c>
      <c r="L158" s="23" t="str">
        <f t="shared" si="40"/>
        <v>Redes.Prediais</v>
      </c>
      <c r="M158" s="23" t="str">
        <f t="shared" si="41"/>
        <v>Traçados</v>
      </c>
      <c r="N158" s="23" t="str">
        <f t="shared" si="39"/>
        <v>Tubo</v>
      </c>
      <c r="O158" s="23" t="str">
        <f t="shared" si="42"/>
        <v>Tubo Rígido PP</v>
      </c>
      <c r="P158" s="19" t="s">
        <v>262</v>
      </c>
      <c r="Q158" s="19" t="s">
        <v>558</v>
      </c>
      <c r="R158" s="19" t="s">
        <v>668</v>
      </c>
      <c r="S158" s="54" t="s">
        <v>9</v>
      </c>
      <c r="T158" s="46" t="str">
        <f t="shared" si="44"/>
        <v>Redes Prediais</v>
      </c>
      <c r="U158" s="46" t="str">
        <f t="shared" si="45"/>
        <v>Traçados</v>
      </c>
      <c r="V158" s="46" t="str">
        <f t="shared" si="38"/>
        <v>Tubo</v>
      </c>
      <c r="W158" s="19" t="s">
        <v>459</v>
      </c>
      <c r="X158" s="40" t="str">
        <f t="shared" si="43"/>
        <v>Key-TUB-158</v>
      </c>
      <c r="Y158" s="19" t="s">
        <v>493</v>
      </c>
      <c r="Z158" s="47" t="s">
        <v>9</v>
      </c>
      <c r="AA158" s="19" t="s">
        <v>495</v>
      </c>
      <c r="AB158" s="47" t="s">
        <v>9</v>
      </c>
      <c r="AC158" s="19" t="s">
        <v>463</v>
      </c>
      <c r="AD158" s="47" t="s">
        <v>9</v>
      </c>
    </row>
    <row r="159" spans="1:30" ht="6.75" customHeight="1" x14ac:dyDescent="0.25">
      <c r="A159" s="38">
        <v>159</v>
      </c>
      <c r="B159" s="1" t="s">
        <v>725</v>
      </c>
      <c r="C159" s="1" t="s">
        <v>453</v>
      </c>
      <c r="D159" s="1" t="s">
        <v>375</v>
      </c>
      <c r="E159" s="1" t="s">
        <v>2123</v>
      </c>
      <c r="F159" s="1" t="s">
        <v>381</v>
      </c>
      <c r="G159" s="39" t="s">
        <v>9</v>
      </c>
      <c r="H159" s="39" t="s">
        <v>9</v>
      </c>
      <c r="I159" s="39" t="s">
        <v>9</v>
      </c>
      <c r="J159" s="39" t="s">
        <v>9</v>
      </c>
      <c r="K159" s="39" t="s">
        <v>9</v>
      </c>
      <c r="L159" s="23" t="str">
        <f t="shared" si="40"/>
        <v>Redes.Prediais</v>
      </c>
      <c r="M159" s="23" t="str">
        <f t="shared" si="41"/>
        <v>Traçados</v>
      </c>
      <c r="N159" s="23" t="str">
        <f t="shared" si="39"/>
        <v>Tubo</v>
      </c>
      <c r="O159" s="23" t="str">
        <f t="shared" si="42"/>
        <v>Tubo Rígido RR</v>
      </c>
      <c r="P159" s="19" t="s">
        <v>267</v>
      </c>
      <c r="Q159" s="19" t="s">
        <v>559</v>
      </c>
      <c r="R159" s="19" t="s">
        <v>669</v>
      </c>
      <c r="S159" s="54" t="s">
        <v>9</v>
      </c>
      <c r="T159" s="46" t="str">
        <f t="shared" si="44"/>
        <v>Redes Prediais</v>
      </c>
      <c r="U159" s="46" t="str">
        <f t="shared" si="45"/>
        <v>Traçados</v>
      </c>
      <c r="V159" s="46" t="str">
        <f t="shared" si="38"/>
        <v>Tubo</v>
      </c>
      <c r="W159" s="19" t="s">
        <v>459</v>
      </c>
      <c r="X159" s="40" t="str">
        <f t="shared" si="43"/>
        <v>Key-TUB-159</v>
      </c>
      <c r="Y159" s="19" t="s">
        <v>493</v>
      </c>
      <c r="Z159" s="47" t="s">
        <v>9</v>
      </c>
      <c r="AA159" s="19" t="s">
        <v>495</v>
      </c>
      <c r="AB159" s="47" t="s">
        <v>9</v>
      </c>
      <c r="AC159" s="19" t="s">
        <v>463</v>
      </c>
      <c r="AD159" s="47" t="s">
        <v>9</v>
      </c>
    </row>
    <row r="160" spans="1:30" ht="6.75" customHeight="1" x14ac:dyDescent="0.25">
      <c r="A160" s="38">
        <v>160</v>
      </c>
      <c r="B160" s="1" t="s">
        <v>725</v>
      </c>
      <c r="C160" s="1" t="s">
        <v>453</v>
      </c>
      <c r="D160" s="1" t="s">
        <v>375</v>
      </c>
      <c r="E160" s="1" t="s">
        <v>2124</v>
      </c>
      <c r="F160" s="1" t="s">
        <v>382</v>
      </c>
      <c r="G160" s="39" t="s">
        <v>9</v>
      </c>
      <c r="H160" s="39" t="s">
        <v>9</v>
      </c>
      <c r="I160" s="39" t="s">
        <v>9</v>
      </c>
      <c r="J160" s="39" t="s">
        <v>9</v>
      </c>
      <c r="K160" s="39" t="s">
        <v>9</v>
      </c>
      <c r="L160" s="23" t="str">
        <f t="shared" si="40"/>
        <v>Redes.Prediais</v>
      </c>
      <c r="M160" s="23" t="str">
        <f t="shared" si="41"/>
        <v>Traçados</v>
      </c>
      <c r="N160" s="23" t="str">
        <f t="shared" si="39"/>
        <v>Conexão</v>
      </c>
      <c r="O160" s="23" t="str">
        <f t="shared" si="42"/>
        <v>Curva 90 Com Pé</v>
      </c>
      <c r="P160" s="19" t="s">
        <v>390</v>
      </c>
      <c r="Q160" s="19" t="s">
        <v>560</v>
      </c>
      <c r="R160" s="19" t="s">
        <v>670</v>
      </c>
      <c r="S160" s="54" t="s">
        <v>9</v>
      </c>
      <c r="T160" s="46" t="str">
        <f t="shared" si="44"/>
        <v>Redes Prediais</v>
      </c>
      <c r="U160" s="46" t="str">
        <f t="shared" si="45"/>
        <v>Traçados</v>
      </c>
      <c r="V160" s="46" t="str">
        <f t="shared" si="38"/>
        <v>Conexão</v>
      </c>
      <c r="W160" s="19" t="s">
        <v>459</v>
      </c>
      <c r="X160" s="40" t="str">
        <f t="shared" si="43"/>
        <v>Key-TUB-160</v>
      </c>
      <c r="Y160" s="19" t="s">
        <v>491</v>
      </c>
      <c r="Z160" s="47" t="s">
        <v>9</v>
      </c>
      <c r="AA160" s="19" t="s">
        <v>496</v>
      </c>
      <c r="AB160" s="47" t="s">
        <v>9</v>
      </c>
      <c r="AC160" s="19" t="s">
        <v>463</v>
      </c>
      <c r="AD160" s="47" t="s">
        <v>9</v>
      </c>
    </row>
    <row r="161" spans="1:30" ht="6.75" customHeight="1" x14ac:dyDescent="0.25">
      <c r="A161" s="38">
        <v>161</v>
      </c>
      <c r="B161" s="1" t="s">
        <v>725</v>
      </c>
      <c r="C161" s="1" t="s">
        <v>453</v>
      </c>
      <c r="D161" s="1" t="s">
        <v>375</v>
      </c>
      <c r="E161" s="1" t="s">
        <v>2124</v>
      </c>
      <c r="F161" s="1" t="s">
        <v>383</v>
      </c>
      <c r="G161" s="39" t="s">
        <v>9</v>
      </c>
      <c r="H161" s="39" t="s">
        <v>9</v>
      </c>
      <c r="I161" s="39" t="s">
        <v>9</v>
      </c>
      <c r="J161" s="39" t="s">
        <v>9</v>
      </c>
      <c r="K161" s="39" t="s">
        <v>9</v>
      </c>
      <c r="L161" s="23" t="str">
        <f t="shared" si="40"/>
        <v>Redes.Prediais</v>
      </c>
      <c r="M161" s="23" t="str">
        <f t="shared" si="41"/>
        <v>Traçados</v>
      </c>
      <c r="N161" s="23" t="str">
        <f t="shared" si="39"/>
        <v>Conexão</v>
      </c>
      <c r="O161" s="23" t="str">
        <f t="shared" si="42"/>
        <v>Curva 90 Com Visita</v>
      </c>
      <c r="P161" s="19" t="s">
        <v>275</v>
      </c>
      <c r="Q161" s="19" t="s">
        <v>561</v>
      </c>
      <c r="R161" s="19" t="s">
        <v>671</v>
      </c>
      <c r="S161" s="54" t="s">
        <v>9</v>
      </c>
      <c r="T161" s="46" t="str">
        <f t="shared" si="44"/>
        <v>Redes Prediais</v>
      </c>
      <c r="U161" s="46" t="str">
        <f t="shared" si="45"/>
        <v>Traçados</v>
      </c>
      <c r="V161" s="46" t="str">
        <f t="shared" si="38"/>
        <v>Conexão</v>
      </c>
      <c r="W161" s="19" t="s">
        <v>459</v>
      </c>
      <c r="X161" s="40" t="str">
        <f t="shared" si="43"/>
        <v>Key-TUB-161</v>
      </c>
      <c r="Y161" s="19" t="s">
        <v>491</v>
      </c>
      <c r="Z161" s="47" t="s">
        <v>9</v>
      </c>
      <c r="AA161" s="19" t="s">
        <v>496</v>
      </c>
      <c r="AB161" s="47" t="s">
        <v>9</v>
      </c>
      <c r="AC161" s="19" t="s">
        <v>463</v>
      </c>
      <c r="AD161" s="47" t="s">
        <v>9</v>
      </c>
    </row>
    <row r="162" spans="1:30" ht="6.75" customHeight="1" x14ac:dyDescent="0.25">
      <c r="A162" s="38">
        <v>162</v>
      </c>
      <c r="B162" s="1" t="s">
        <v>725</v>
      </c>
      <c r="C162" s="1" t="s">
        <v>453</v>
      </c>
      <c r="D162" s="1" t="s">
        <v>375</v>
      </c>
      <c r="E162" s="1" t="s">
        <v>2124</v>
      </c>
      <c r="F162" s="1" t="s">
        <v>384</v>
      </c>
      <c r="G162" s="39" t="s">
        <v>9</v>
      </c>
      <c r="H162" s="39" t="s">
        <v>9</v>
      </c>
      <c r="I162" s="39" t="s">
        <v>9</v>
      </c>
      <c r="J162" s="39" t="s">
        <v>9</v>
      </c>
      <c r="K162" s="39" t="s">
        <v>9</v>
      </c>
      <c r="L162" s="23" t="str">
        <f t="shared" si="40"/>
        <v>Redes.Prediais</v>
      </c>
      <c r="M162" s="23" t="str">
        <f t="shared" si="41"/>
        <v>Traçados</v>
      </c>
      <c r="N162" s="23" t="str">
        <f t="shared" si="39"/>
        <v>Conexão</v>
      </c>
      <c r="O162" s="23" t="str">
        <f t="shared" si="42"/>
        <v>Curva 90 Curta</v>
      </c>
      <c r="P162" s="19" t="s">
        <v>248</v>
      </c>
      <c r="Q162" s="19" t="s">
        <v>562</v>
      </c>
      <c r="R162" s="19" t="s">
        <v>672</v>
      </c>
      <c r="S162" s="54" t="s">
        <v>9</v>
      </c>
      <c r="T162" s="46" t="str">
        <f t="shared" si="44"/>
        <v>Redes Prediais</v>
      </c>
      <c r="U162" s="46" t="str">
        <f t="shared" si="45"/>
        <v>Traçados</v>
      </c>
      <c r="V162" s="46" t="str">
        <f t="shared" si="38"/>
        <v>Conexão</v>
      </c>
      <c r="W162" s="19" t="s">
        <v>459</v>
      </c>
      <c r="X162" s="40" t="str">
        <f t="shared" si="43"/>
        <v>Key-TUB-162</v>
      </c>
      <c r="Y162" s="19" t="s">
        <v>491</v>
      </c>
      <c r="Z162" s="47" t="s">
        <v>9</v>
      </c>
      <c r="AA162" s="19" t="s">
        <v>496</v>
      </c>
      <c r="AB162" s="47" t="s">
        <v>9</v>
      </c>
      <c r="AC162" s="19" t="s">
        <v>463</v>
      </c>
      <c r="AD162" s="47" t="s">
        <v>9</v>
      </c>
    </row>
    <row r="163" spans="1:30" ht="6.75" customHeight="1" x14ac:dyDescent="0.25">
      <c r="A163" s="38">
        <v>163</v>
      </c>
      <c r="B163" s="1" t="s">
        <v>725</v>
      </c>
      <c r="C163" s="1" t="s">
        <v>453</v>
      </c>
      <c r="D163" s="1" t="s">
        <v>375</v>
      </c>
      <c r="E163" s="1" t="s">
        <v>2124</v>
      </c>
      <c r="F163" s="1" t="s">
        <v>385</v>
      </c>
      <c r="G163" s="39" t="s">
        <v>9</v>
      </c>
      <c r="H163" s="39" t="s">
        <v>9</v>
      </c>
      <c r="I163" s="39" t="s">
        <v>9</v>
      </c>
      <c r="J163" s="39" t="s">
        <v>9</v>
      </c>
      <c r="K163" s="39" t="s">
        <v>9</v>
      </c>
      <c r="L163" s="23" t="str">
        <f t="shared" si="40"/>
        <v>Redes.Prediais</v>
      </c>
      <c r="M163" s="23" t="str">
        <f t="shared" si="41"/>
        <v>Traçados</v>
      </c>
      <c r="N163" s="23" t="str">
        <f t="shared" si="39"/>
        <v>Conexão</v>
      </c>
      <c r="O163" s="23" t="str">
        <f t="shared" si="42"/>
        <v>Curva 90 Longa</v>
      </c>
      <c r="P163" s="19" t="s">
        <v>247</v>
      </c>
      <c r="Q163" s="19" t="s">
        <v>563</v>
      </c>
      <c r="R163" s="19" t="s">
        <v>673</v>
      </c>
      <c r="S163" s="54" t="s">
        <v>9</v>
      </c>
      <c r="T163" s="46" t="str">
        <f t="shared" si="44"/>
        <v>Redes Prediais</v>
      </c>
      <c r="U163" s="46" t="str">
        <f t="shared" si="45"/>
        <v>Traçados</v>
      </c>
      <c r="V163" s="46" t="str">
        <f t="shared" si="38"/>
        <v>Conexão</v>
      </c>
      <c r="W163" s="19" t="s">
        <v>459</v>
      </c>
      <c r="X163" s="40" t="str">
        <f t="shared" si="43"/>
        <v>Key-TUB-163</v>
      </c>
      <c r="Y163" s="19" t="s">
        <v>491</v>
      </c>
      <c r="Z163" s="47" t="s">
        <v>9</v>
      </c>
      <c r="AA163" s="19" t="s">
        <v>496</v>
      </c>
      <c r="AB163" s="47" t="s">
        <v>9</v>
      </c>
      <c r="AC163" s="19" t="s">
        <v>463</v>
      </c>
      <c r="AD163" s="47" t="s">
        <v>9</v>
      </c>
    </row>
    <row r="164" spans="1:30" ht="6.75" customHeight="1" x14ac:dyDescent="0.25">
      <c r="A164" s="38">
        <v>164</v>
      </c>
      <c r="B164" s="1" t="s">
        <v>725</v>
      </c>
      <c r="C164" s="1" t="s">
        <v>453</v>
      </c>
      <c r="D164" s="1" t="s">
        <v>375</v>
      </c>
      <c r="E164" s="1" t="s">
        <v>2124</v>
      </c>
      <c r="F164" s="1" t="s">
        <v>386</v>
      </c>
      <c r="G164" s="39" t="s">
        <v>9</v>
      </c>
      <c r="H164" s="39" t="s">
        <v>9</v>
      </c>
      <c r="I164" s="39" t="s">
        <v>9</v>
      </c>
      <c r="J164" s="39" t="s">
        <v>9</v>
      </c>
      <c r="K164" s="39" t="s">
        <v>9</v>
      </c>
      <c r="L164" s="23" t="str">
        <f t="shared" si="40"/>
        <v>Redes.Prediais</v>
      </c>
      <c r="M164" s="23" t="str">
        <f t="shared" si="41"/>
        <v>Traçados</v>
      </c>
      <c r="N164" s="23" t="str">
        <f t="shared" si="39"/>
        <v>Conexão</v>
      </c>
      <c r="O164" s="23" t="str">
        <f t="shared" si="42"/>
        <v>Curva 90</v>
      </c>
      <c r="P164" s="19" t="s">
        <v>252</v>
      </c>
      <c r="Q164" s="19" t="s">
        <v>564</v>
      </c>
      <c r="R164" s="19" t="s">
        <v>674</v>
      </c>
      <c r="S164" s="54" t="s">
        <v>9</v>
      </c>
      <c r="T164" s="46" t="str">
        <f t="shared" si="44"/>
        <v>Redes Prediais</v>
      </c>
      <c r="U164" s="46" t="str">
        <f t="shared" si="45"/>
        <v>Traçados</v>
      </c>
      <c r="V164" s="46" t="str">
        <f t="shared" si="38"/>
        <v>Conexão</v>
      </c>
      <c r="W164" s="19" t="s">
        <v>459</v>
      </c>
      <c r="X164" s="40" t="str">
        <f t="shared" si="43"/>
        <v>Key-TUB-164</v>
      </c>
      <c r="Y164" s="19" t="s">
        <v>491</v>
      </c>
      <c r="Z164" s="47" t="s">
        <v>9</v>
      </c>
      <c r="AA164" s="19" t="s">
        <v>496</v>
      </c>
      <c r="AB164" s="47" t="s">
        <v>9</v>
      </c>
      <c r="AC164" s="19" t="s">
        <v>463</v>
      </c>
      <c r="AD164" s="47" t="s">
        <v>9</v>
      </c>
    </row>
    <row r="165" spans="1:30" ht="6.75" customHeight="1" x14ac:dyDescent="0.25">
      <c r="A165" s="38">
        <v>165</v>
      </c>
      <c r="B165" s="1" t="s">
        <v>725</v>
      </c>
      <c r="C165" s="1" t="s">
        <v>453</v>
      </c>
      <c r="D165" s="1" t="s">
        <v>375</v>
      </c>
      <c r="E165" s="1" t="s">
        <v>2124</v>
      </c>
      <c r="F165" s="1" t="s">
        <v>387</v>
      </c>
      <c r="G165" s="39" t="s">
        <v>9</v>
      </c>
      <c r="H165" s="39" t="s">
        <v>9</v>
      </c>
      <c r="I165" s="39" t="s">
        <v>9</v>
      </c>
      <c r="J165" s="39" t="s">
        <v>9</v>
      </c>
      <c r="K165" s="39" t="s">
        <v>9</v>
      </c>
      <c r="L165" s="23" t="str">
        <f t="shared" si="40"/>
        <v>Redes.Prediais</v>
      </c>
      <c r="M165" s="23" t="str">
        <f t="shared" si="41"/>
        <v>Traçados</v>
      </c>
      <c r="N165" s="23" t="str">
        <f t="shared" si="39"/>
        <v>Conexão</v>
      </c>
      <c r="O165" s="23" t="str">
        <f t="shared" si="42"/>
        <v>Curva 45</v>
      </c>
      <c r="P165" s="19" t="s">
        <v>249</v>
      </c>
      <c r="Q165" s="19" t="s">
        <v>565</v>
      </c>
      <c r="R165" s="19" t="s">
        <v>675</v>
      </c>
      <c r="S165" s="54" t="s">
        <v>9</v>
      </c>
      <c r="T165" s="46" t="str">
        <f t="shared" si="44"/>
        <v>Redes Prediais</v>
      </c>
      <c r="U165" s="46" t="str">
        <f t="shared" si="45"/>
        <v>Traçados</v>
      </c>
      <c r="V165" s="46" t="str">
        <f t="shared" si="38"/>
        <v>Conexão</v>
      </c>
      <c r="W165" s="19" t="s">
        <v>459</v>
      </c>
      <c r="X165" s="40" t="str">
        <f t="shared" si="43"/>
        <v>Key-TUB-165</v>
      </c>
      <c r="Y165" s="19" t="s">
        <v>491</v>
      </c>
      <c r="Z165" s="47" t="s">
        <v>9</v>
      </c>
      <c r="AA165" s="19" t="s">
        <v>496</v>
      </c>
      <c r="AB165" s="47" t="s">
        <v>9</v>
      </c>
      <c r="AC165" s="19" t="s">
        <v>463</v>
      </c>
      <c r="AD165" s="47" t="s">
        <v>9</v>
      </c>
    </row>
    <row r="166" spans="1:30" ht="6.75" customHeight="1" x14ac:dyDescent="0.25">
      <c r="A166" s="38">
        <v>166</v>
      </c>
      <c r="B166" s="1" t="s">
        <v>725</v>
      </c>
      <c r="C166" s="1" t="s">
        <v>453</v>
      </c>
      <c r="D166" s="1" t="s">
        <v>375</v>
      </c>
      <c r="E166" s="1" t="s">
        <v>2124</v>
      </c>
      <c r="F166" s="1" t="s">
        <v>388</v>
      </c>
      <c r="G166" s="39" t="s">
        <v>9</v>
      </c>
      <c r="H166" s="39" t="s">
        <v>9</v>
      </c>
      <c r="I166" s="39" t="s">
        <v>9</v>
      </c>
      <c r="J166" s="39" t="s">
        <v>9</v>
      </c>
      <c r="K166" s="39" t="s">
        <v>9</v>
      </c>
      <c r="L166" s="23" t="str">
        <f t="shared" si="40"/>
        <v>Redes.Prediais</v>
      </c>
      <c r="M166" s="23" t="str">
        <f t="shared" si="41"/>
        <v>Traçados</v>
      </c>
      <c r="N166" s="23" t="str">
        <f t="shared" si="39"/>
        <v>Conexão</v>
      </c>
      <c r="O166" s="23" t="str">
        <f t="shared" si="42"/>
        <v>Curva 22</v>
      </c>
      <c r="P166" s="19" t="s">
        <v>250</v>
      </c>
      <c r="Q166" s="19" t="s">
        <v>566</v>
      </c>
      <c r="R166" s="19" t="s">
        <v>676</v>
      </c>
      <c r="S166" s="54" t="s">
        <v>9</v>
      </c>
      <c r="T166" s="46" t="str">
        <f t="shared" si="44"/>
        <v>Redes Prediais</v>
      </c>
      <c r="U166" s="46" t="str">
        <f t="shared" si="45"/>
        <v>Traçados</v>
      </c>
      <c r="V166" s="46" t="str">
        <f t="shared" si="38"/>
        <v>Conexão</v>
      </c>
      <c r="W166" s="19" t="s">
        <v>459</v>
      </c>
      <c r="X166" s="40" t="str">
        <f t="shared" si="43"/>
        <v>Key-TUB-166</v>
      </c>
      <c r="Y166" s="19" t="s">
        <v>491</v>
      </c>
      <c r="Z166" s="47" t="s">
        <v>9</v>
      </c>
      <c r="AA166" s="19" t="s">
        <v>496</v>
      </c>
      <c r="AB166" s="47" t="s">
        <v>9</v>
      </c>
      <c r="AC166" s="19" t="s">
        <v>463</v>
      </c>
      <c r="AD166" s="47" t="s">
        <v>9</v>
      </c>
    </row>
    <row r="167" spans="1:30" ht="6.75" customHeight="1" x14ac:dyDescent="0.25">
      <c r="A167" s="38">
        <v>167</v>
      </c>
      <c r="B167" s="1" t="s">
        <v>725</v>
      </c>
      <c r="C167" s="1" t="s">
        <v>453</v>
      </c>
      <c r="D167" s="1" t="s">
        <v>375</v>
      </c>
      <c r="E167" s="1" t="s">
        <v>2124</v>
      </c>
      <c r="F167" s="1" t="s">
        <v>389</v>
      </c>
      <c r="G167" s="39" t="s">
        <v>9</v>
      </c>
      <c r="H167" s="39" t="s">
        <v>9</v>
      </c>
      <c r="I167" s="39" t="s">
        <v>9</v>
      </c>
      <c r="J167" s="39" t="s">
        <v>9</v>
      </c>
      <c r="K167" s="39" t="s">
        <v>9</v>
      </c>
      <c r="L167" s="23" t="str">
        <f t="shared" si="40"/>
        <v>Redes.Prediais</v>
      </c>
      <c r="M167" s="23" t="str">
        <f t="shared" si="41"/>
        <v>Traçados</v>
      </c>
      <c r="N167" s="23" t="str">
        <f t="shared" si="39"/>
        <v>Conexão</v>
      </c>
      <c r="O167" s="23" t="str">
        <f t="shared" si="42"/>
        <v>Curva 11</v>
      </c>
      <c r="P167" s="19" t="s">
        <v>251</v>
      </c>
      <c r="Q167" s="19" t="s">
        <v>567</v>
      </c>
      <c r="R167" s="19" t="s">
        <v>677</v>
      </c>
      <c r="S167" s="54" t="s">
        <v>9</v>
      </c>
      <c r="T167" s="46" t="str">
        <f t="shared" si="44"/>
        <v>Redes Prediais</v>
      </c>
      <c r="U167" s="46" t="str">
        <f t="shared" si="45"/>
        <v>Traçados</v>
      </c>
      <c r="V167" s="46" t="str">
        <f t="shared" si="38"/>
        <v>Conexão</v>
      </c>
      <c r="W167" s="19" t="s">
        <v>459</v>
      </c>
      <c r="X167" s="40" t="str">
        <f t="shared" si="43"/>
        <v>Key-TUB-167</v>
      </c>
      <c r="Y167" s="19" t="s">
        <v>491</v>
      </c>
      <c r="Z167" s="47" t="s">
        <v>9</v>
      </c>
      <c r="AA167" s="19" t="s">
        <v>496</v>
      </c>
      <c r="AB167" s="47" t="s">
        <v>9</v>
      </c>
      <c r="AC167" s="19" t="s">
        <v>463</v>
      </c>
      <c r="AD167" s="47" t="s">
        <v>9</v>
      </c>
    </row>
    <row r="168" spans="1:30" ht="6.75" customHeight="1" x14ac:dyDescent="0.25">
      <c r="A168" s="38">
        <v>168</v>
      </c>
      <c r="B168" s="1" t="s">
        <v>725</v>
      </c>
      <c r="C168" s="1" t="s">
        <v>453</v>
      </c>
      <c r="D168" s="1" t="s">
        <v>375</v>
      </c>
      <c r="E168" s="1" t="s">
        <v>2124</v>
      </c>
      <c r="F168" s="1" t="s">
        <v>239</v>
      </c>
      <c r="G168" s="39" t="s">
        <v>9</v>
      </c>
      <c r="H168" s="39" t="s">
        <v>9</v>
      </c>
      <c r="I168" s="39" t="s">
        <v>9</v>
      </c>
      <c r="J168" s="39" t="s">
        <v>9</v>
      </c>
      <c r="K168" s="39" t="s">
        <v>9</v>
      </c>
      <c r="L168" s="23" t="str">
        <f t="shared" si="40"/>
        <v>Redes.Prediais</v>
      </c>
      <c r="M168" s="23" t="str">
        <f t="shared" si="41"/>
        <v>Traçados</v>
      </c>
      <c r="N168" s="23" t="str">
        <f t="shared" si="39"/>
        <v>Conexão</v>
      </c>
      <c r="O168" s="23" t="str">
        <f t="shared" si="42"/>
        <v>Luva</v>
      </c>
      <c r="P168" s="19" t="s">
        <v>256</v>
      </c>
      <c r="Q168" s="19" t="s">
        <v>568</v>
      </c>
      <c r="R168" s="19" t="s">
        <v>678</v>
      </c>
      <c r="S168" s="54" t="s">
        <v>9</v>
      </c>
      <c r="T168" s="46" t="str">
        <f t="shared" si="44"/>
        <v>Redes Prediais</v>
      </c>
      <c r="U168" s="46" t="str">
        <f t="shared" si="45"/>
        <v>Traçados</v>
      </c>
      <c r="V168" s="46" t="str">
        <f t="shared" si="38"/>
        <v>Conexão</v>
      </c>
      <c r="W168" s="19" t="s">
        <v>459</v>
      </c>
      <c r="X168" s="40" t="str">
        <f t="shared" si="43"/>
        <v>Key-TUB-168</v>
      </c>
      <c r="Y168" s="19" t="s">
        <v>491</v>
      </c>
      <c r="Z168" s="47" t="s">
        <v>9</v>
      </c>
      <c r="AA168" s="19" t="s">
        <v>496</v>
      </c>
      <c r="AB168" s="47" t="s">
        <v>9</v>
      </c>
      <c r="AC168" s="19" t="s">
        <v>463</v>
      </c>
      <c r="AD168" s="47" t="s">
        <v>9</v>
      </c>
    </row>
    <row r="169" spans="1:30" ht="6.75" customHeight="1" x14ac:dyDescent="0.25">
      <c r="A169" s="38">
        <v>169</v>
      </c>
      <c r="B169" s="1" t="s">
        <v>725</v>
      </c>
      <c r="C169" s="1" t="s">
        <v>453</v>
      </c>
      <c r="D169" s="1" t="s">
        <v>375</v>
      </c>
      <c r="E169" s="1" t="s">
        <v>2124</v>
      </c>
      <c r="F169" s="1" t="s">
        <v>253</v>
      </c>
      <c r="G169" s="39" t="s">
        <v>9</v>
      </c>
      <c r="H169" s="39" t="s">
        <v>9</v>
      </c>
      <c r="I169" s="39" t="s">
        <v>9</v>
      </c>
      <c r="J169" s="39" t="s">
        <v>9</v>
      </c>
      <c r="K169" s="39" t="s">
        <v>9</v>
      </c>
      <c r="L169" s="23" t="str">
        <f t="shared" si="40"/>
        <v>Redes.Prediais</v>
      </c>
      <c r="M169" s="23" t="str">
        <f t="shared" si="41"/>
        <v>Traçados</v>
      </c>
      <c r="N169" s="23" t="str">
        <f t="shared" si="39"/>
        <v>Conexão</v>
      </c>
      <c r="O169" s="23" t="str">
        <f t="shared" si="42"/>
        <v>Luva de Correr</v>
      </c>
      <c r="P169" s="19" t="s">
        <v>257</v>
      </c>
      <c r="Q169" s="19" t="s">
        <v>569</v>
      </c>
      <c r="R169" s="19" t="s">
        <v>679</v>
      </c>
      <c r="S169" s="54" t="s">
        <v>9</v>
      </c>
      <c r="T169" s="46" t="str">
        <f t="shared" si="44"/>
        <v>Redes Prediais</v>
      </c>
      <c r="U169" s="46" t="str">
        <f t="shared" si="45"/>
        <v>Traçados</v>
      </c>
      <c r="V169" s="46" t="str">
        <f t="shared" si="38"/>
        <v>Conexão</v>
      </c>
      <c r="W169" s="19" t="s">
        <v>459</v>
      </c>
      <c r="X169" s="40" t="str">
        <f t="shared" si="43"/>
        <v>Key-TUB-169</v>
      </c>
      <c r="Y169" s="19" t="s">
        <v>491</v>
      </c>
      <c r="Z169" s="47" t="s">
        <v>9</v>
      </c>
      <c r="AA169" s="19" t="s">
        <v>496</v>
      </c>
      <c r="AB169" s="47" t="s">
        <v>9</v>
      </c>
      <c r="AC169" s="19" t="s">
        <v>463</v>
      </c>
      <c r="AD169" s="47" t="s">
        <v>9</v>
      </c>
    </row>
    <row r="170" spans="1:30" ht="6.75" customHeight="1" x14ac:dyDescent="0.25">
      <c r="A170" s="38">
        <v>170</v>
      </c>
      <c r="B170" s="1" t="s">
        <v>725</v>
      </c>
      <c r="C170" s="1" t="s">
        <v>453</v>
      </c>
      <c r="D170" s="1" t="s">
        <v>375</v>
      </c>
      <c r="E170" s="1" t="s">
        <v>2124</v>
      </c>
      <c r="F170" s="1" t="s">
        <v>240</v>
      </c>
      <c r="G170" s="39" t="s">
        <v>9</v>
      </c>
      <c r="H170" s="39" t="s">
        <v>9</v>
      </c>
      <c r="I170" s="39" t="s">
        <v>9</v>
      </c>
      <c r="J170" s="39" t="s">
        <v>9</v>
      </c>
      <c r="K170" s="39" t="s">
        <v>9</v>
      </c>
      <c r="L170" s="23" t="str">
        <f t="shared" si="40"/>
        <v>Redes.Prediais</v>
      </c>
      <c r="M170" s="23" t="str">
        <f t="shared" si="41"/>
        <v>Traçados</v>
      </c>
      <c r="N170" s="23" t="str">
        <f t="shared" si="39"/>
        <v>Conexão</v>
      </c>
      <c r="O170" s="23" t="str">
        <f t="shared" si="42"/>
        <v>Té</v>
      </c>
      <c r="P170" s="19" t="s">
        <v>258</v>
      </c>
      <c r="Q170" s="19" t="s">
        <v>570</v>
      </c>
      <c r="R170" s="19" t="s">
        <v>680</v>
      </c>
      <c r="S170" s="54" t="s">
        <v>9</v>
      </c>
      <c r="T170" s="46" t="str">
        <f t="shared" si="44"/>
        <v>Redes Prediais</v>
      </c>
      <c r="U170" s="46" t="str">
        <f t="shared" si="45"/>
        <v>Traçados</v>
      </c>
      <c r="V170" s="46" t="str">
        <f t="shared" si="38"/>
        <v>Conexão</v>
      </c>
      <c r="W170" s="19" t="s">
        <v>459</v>
      </c>
      <c r="X170" s="40" t="str">
        <f t="shared" si="43"/>
        <v>Key-TUB-170</v>
      </c>
      <c r="Y170" s="19" t="s">
        <v>491</v>
      </c>
      <c r="Z170" s="47" t="s">
        <v>9</v>
      </c>
      <c r="AA170" s="19" t="s">
        <v>497</v>
      </c>
      <c r="AB170" s="47" t="s">
        <v>9</v>
      </c>
      <c r="AC170" s="19" t="s">
        <v>463</v>
      </c>
      <c r="AD170" s="47" t="s">
        <v>9</v>
      </c>
    </row>
    <row r="171" spans="1:30" ht="6.75" customHeight="1" x14ac:dyDescent="0.25">
      <c r="A171" s="38">
        <v>171</v>
      </c>
      <c r="B171" s="1" t="s">
        <v>725</v>
      </c>
      <c r="C171" s="1" t="s">
        <v>453</v>
      </c>
      <c r="D171" s="1" t="s">
        <v>375</v>
      </c>
      <c r="E171" s="1" t="s">
        <v>2124</v>
      </c>
      <c r="F171" s="1" t="s">
        <v>245</v>
      </c>
      <c r="G171" s="39" t="s">
        <v>9</v>
      </c>
      <c r="H171" s="39" t="s">
        <v>9</v>
      </c>
      <c r="I171" s="39" t="s">
        <v>9</v>
      </c>
      <c r="J171" s="39" t="s">
        <v>9</v>
      </c>
      <c r="K171" s="39" t="s">
        <v>9</v>
      </c>
      <c r="L171" s="23" t="str">
        <f t="shared" si="40"/>
        <v>Redes.Prediais</v>
      </c>
      <c r="M171" s="23" t="str">
        <f t="shared" si="41"/>
        <v>Traçados</v>
      </c>
      <c r="N171" s="23" t="str">
        <f t="shared" si="39"/>
        <v>Conexão</v>
      </c>
      <c r="O171" s="23" t="str">
        <f t="shared" si="42"/>
        <v>Cruzeta</v>
      </c>
      <c r="P171" s="19" t="s">
        <v>258</v>
      </c>
      <c r="Q171" s="19" t="s">
        <v>570</v>
      </c>
      <c r="R171" s="19" t="s">
        <v>680</v>
      </c>
      <c r="S171" s="54" t="s">
        <v>9</v>
      </c>
      <c r="T171" s="46" t="str">
        <f t="shared" si="44"/>
        <v>Redes Prediais</v>
      </c>
      <c r="U171" s="46" t="str">
        <f t="shared" si="45"/>
        <v>Traçados</v>
      </c>
      <c r="V171" s="46" t="str">
        <f t="shared" si="38"/>
        <v>Conexão</v>
      </c>
      <c r="W171" s="19" t="s">
        <v>459</v>
      </c>
      <c r="X171" s="40" t="str">
        <f t="shared" si="43"/>
        <v>Key-TUB-171</v>
      </c>
      <c r="Y171" s="19" t="s">
        <v>491</v>
      </c>
      <c r="Z171" s="47" t="s">
        <v>9</v>
      </c>
      <c r="AA171" s="19" t="s">
        <v>497</v>
      </c>
      <c r="AB171" s="47" t="s">
        <v>9</v>
      </c>
      <c r="AC171" s="19" t="s">
        <v>463</v>
      </c>
      <c r="AD171" s="47" t="s">
        <v>9</v>
      </c>
    </row>
    <row r="172" spans="1:30" ht="6.75" customHeight="1" x14ac:dyDescent="0.25">
      <c r="A172" s="38">
        <v>172</v>
      </c>
      <c r="B172" s="1" t="s">
        <v>725</v>
      </c>
      <c r="C172" s="1" t="s">
        <v>453</v>
      </c>
      <c r="D172" s="1" t="s">
        <v>375</v>
      </c>
      <c r="E172" s="1" t="s">
        <v>2124</v>
      </c>
      <c r="F172" s="1" t="s">
        <v>244</v>
      </c>
      <c r="G172" s="39" t="s">
        <v>9</v>
      </c>
      <c r="H172" s="39" t="s">
        <v>9</v>
      </c>
      <c r="I172" s="39" t="s">
        <v>9</v>
      </c>
      <c r="J172" s="39" t="s">
        <v>9</v>
      </c>
      <c r="K172" s="39" t="s">
        <v>9</v>
      </c>
      <c r="L172" s="23" t="str">
        <f t="shared" si="40"/>
        <v>Redes.Prediais</v>
      </c>
      <c r="M172" s="23" t="str">
        <f t="shared" si="41"/>
        <v>Traçados</v>
      </c>
      <c r="N172" s="23" t="str">
        <f t="shared" si="39"/>
        <v>Conexão</v>
      </c>
      <c r="O172" s="23" t="str">
        <f t="shared" si="42"/>
        <v>Junção</v>
      </c>
      <c r="P172" s="19" t="s">
        <v>258</v>
      </c>
      <c r="Q172" s="19" t="s">
        <v>570</v>
      </c>
      <c r="R172" s="19" t="s">
        <v>680</v>
      </c>
      <c r="S172" s="54" t="s">
        <v>9</v>
      </c>
      <c r="T172" s="46" t="str">
        <f t="shared" si="44"/>
        <v>Redes Prediais</v>
      </c>
      <c r="U172" s="46" t="str">
        <f t="shared" si="45"/>
        <v>Traçados</v>
      </c>
      <c r="V172" s="46" t="str">
        <f t="shared" si="38"/>
        <v>Conexão</v>
      </c>
      <c r="W172" s="19" t="s">
        <v>459</v>
      </c>
      <c r="X172" s="40" t="str">
        <f t="shared" si="43"/>
        <v>Key-TUB-172</v>
      </c>
      <c r="Y172" s="19" t="s">
        <v>491</v>
      </c>
      <c r="Z172" s="47" t="s">
        <v>9</v>
      </c>
      <c r="AA172" s="19" t="s">
        <v>497</v>
      </c>
      <c r="AB172" s="47" t="s">
        <v>9</v>
      </c>
      <c r="AC172" s="19" t="s">
        <v>463</v>
      </c>
      <c r="AD172" s="47" t="s">
        <v>9</v>
      </c>
    </row>
    <row r="173" spans="1:30" ht="6.75" customHeight="1" x14ac:dyDescent="0.25">
      <c r="A173" s="38">
        <v>173</v>
      </c>
      <c r="B173" s="1" t="s">
        <v>725</v>
      </c>
      <c r="C173" s="1" t="s">
        <v>453</v>
      </c>
      <c r="D173" s="1" t="s">
        <v>375</v>
      </c>
      <c r="E173" s="1" t="s">
        <v>2124</v>
      </c>
      <c r="F173" s="1" t="s">
        <v>273</v>
      </c>
      <c r="G173" s="39" t="s">
        <v>9</v>
      </c>
      <c r="H173" s="39" t="s">
        <v>9</v>
      </c>
      <c r="I173" s="39" t="s">
        <v>9</v>
      </c>
      <c r="J173" s="39" t="s">
        <v>9</v>
      </c>
      <c r="K173" s="39" t="s">
        <v>9</v>
      </c>
      <c r="L173" s="23" t="str">
        <f t="shared" si="40"/>
        <v>Redes.Prediais</v>
      </c>
      <c r="M173" s="23" t="str">
        <f t="shared" si="41"/>
        <v>Traçados</v>
      </c>
      <c r="N173" s="23" t="str">
        <f t="shared" si="39"/>
        <v>Conexão</v>
      </c>
      <c r="O173" s="23" t="str">
        <f t="shared" si="42"/>
        <v>Redução Concêntrica</v>
      </c>
      <c r="P173" s="19" t="s">
        <v>283</v>
      </c>
      <c r="Q173" s="19" t="s">
        <v>571</v>
      </c>
      <c r="R173" s="19" t="s">
        <v>681</v>
      </c>
      <c r="S173" s="54" t="s">
        <v>9</v>
      </c>
      <c r="T173" s="46" t="str">
        <f t="shared" si="44"/>
        <v>Redes Prediais</v>
      </c>
      <c r="U173" s="46" t="str">
        <f t="shared" si="45"/>
        <v>Traçados</v>
      </c>
      <c r="V173" s="46" t="str">
        <f t="shared" si="38"/>
        <v>Conexão</v>
      </c>
      <c r="W173" s="19" t="s">
        <v>459</v>
      </c>
      <c r="X173" s="40" t="str">
        <f t="shared" si="43"/>
        <v>Key-TUB-173</v>
      </c>
      <c r="Y173" s="19" t="s">
        <v>491</v>
      </c>
      <c r="Z173" s="47" t="s">
        <v>9</v>
      </c>
      <c r="AA173" s="19" t="s">
        <v>498</v>
      </c>
      <c r="AB173" s="47" t="s">
        <v>9</v>
      </c>
      <c r="AC173" s="19" t="s">
        <v>463</v>
      </c>
      <c r="AD173" s="47" t="s">
        <v>9</v>
      </c>
    </row>
    <row r="174" spans="1:30" ht="6.75" customHeight="1" x14ac:dyDescent="0.25">
      <c r="A174" s="38">
        <v>174</v>
      </c>
      <c r="B174" s="1" t="s">
        <v>725</v>
      </c>
      <c r="C174" s="1" t="s">
        <v>453</v>
      </c>
      <c r="D174" s="1" t="s">
        <v>375</v>
      </c>
      <c r="E174" s="1" t="s">
        <v>2124</v>
      </c>
      <c r="F174" s="1" t="s">
        <v>274</v>
      </c>
      <c r="G174" s="39" t="s">
        <v>9</v>
      </c>
      <c r="H174" s="39" t="s">
        <v>9</v>
      </c>
      <c r="I174" s="39" t="s">
        <v>9</v>
      </c>
      <c r="J174" s="39" t="s">
        <v>9</v>
      </c>
      <c r="K174" s="39" t="s">
        <v>9</v>
      </c>
      <c r="L174" s="23" t="str">
        <f t="shared" si="40"/>
        <v>Redes.Prediais</v>
      </c>
      <c r="M174" s="23" t="str">
        <f t="shared" si="41"/>
        <v>Traçados</v>
      </c>
      <c r="N174" s="23" t="str">
        <f t="shared" si="39"/>
        <v>Conexão</v>
      </c>
      <c r="O174" s="23" t="str">
        <f t="shared" si="42"/>
        <v>Redução Excêntrica</v>
      </c>
      <c r="P174" s="19" t="s">
        <v>284</v>
      </c>
      <c r="Q174" s="19" t="s">
        <v>572</v>
      </c>
      <c r="R174" s="19" t="s">
        <v>682</v>
      </c>
      <c r="S174" s="54" t="s">
        <v>9</v>
      </c>
      <c r="T174" s="46" t="str">
        <f t="shared" si="44"/>
        <v>Redes Prediais</v>
      </c>
      <c r="U174" s="46" t="str">
        <f t="shared" si="45"/>
        <v>Traçados</v>
      </c>
      <c r="V174" s="46" t="str">
        <f t="shared" si="38"/>
        <v>Conexão</v>
      </c>
      <c r="W174" s="19" t="s">
        <v>459</v>
      </c>
      <c r="X174" s="40" t="str">
        <f t="shared" si="43"/>
        <v>Key-TUB-174</v>
      </c>
      <c r="Y174" s="19" t="s">
        <v>491</v>
      </c>
      <c r="Z174" s="47" t="s">
        <v>9</v>
      </c>
      <c r="AA174" s="19" t="s">
        <v>498</v>
      </c>
      <c r="AB174" s="47" t="s">
        <v>9</v>
      </c>
      <c r="AC174" s="19" t="s">
        <v>463</v>
      </c>
      <c r="AD174" s="47" t="s">
        <v>9</v>
      </c>
    </row>
    <row r="175" spans="1:30" ht="6.75" customHeight="1" x14ac:dyDescent="0.25">
      <c r="A175" s="38">
        <v>175</v>
      </c>
      <c r="B175" s="1" t="s">
        <v>725</v>
      </c>
      <c r="C175" s="1" t="s">
        <v>453</v>
      </c>
      <c r="D175" s="1" t="s">
        <v>375</v>
      </c>
      <c r="E175" s="1" t="s">
        <v>2124</v>
      </c>
      <c r="F175" s="1" t="s">
        <v>243</v>
      </c>
      <c r="G175" s="39" t="s">
        <v>9</v>
      </c>
      <c r="H175" s="39" t="s">
        <v>9</v>
      </c>
      <c r="I175" s="39" t="s">
        <v>9</v>
      </c>
      <c r="J175" s="39" t="s">
        <v>9</v>
      </c>
      <c r="K175" s="39" t="s">
        <v>9</v>
      </c>
      <c r="L175" s="23" t="str">
        <f t="shared" si="40"/>
        <v>Redes.Prediais</v>
      </c>
      <c r="M175" s="23" t="str">
        <f t="shared" si="41"/>
        <v>Traçados</v>
      </c>
      <c r="N175" s="23" t="str">
        <f t="shared" si="39"/>
        <v>Conexão</v>
      </c>
      <c r="O175" s="23" t="str">
        <f t="shared" si="42"/>
        <v>Transição</v>
      </c>
      <c r="P175" s="19" t="s">
        <v>254</v>
      </c>
      <c r="Q175" s="19" t="s">
        <v>573</v>
      </c>
      <c r="R175" s="19" t="s">
        <v>683</v>
      </c>
      <c r="S175" s="54" t="s">
        <v>9</v>
      </c>
      <c r="T175" s="46" t="str">
        <f t="shared" si="44"/>
        <v>Redes Prediais</v>
      </c>
      <c r="U175" s="46" t="str">
        <f t="shared" si="45"/>
        <v>Traçados</v>
      </c>
      <c r="V175" s="46" t="str">
        <f t="shared" si="38"/>
        <v>Conexão</v>
      </c>
      <c r="W175" s="19" t="s">
        <v>459</v>
      </c>
      <c r="X175" s="40" t="str">
        <f t="shared" si="43"/>
        <v>Key-TUB-175</v>
      </c>
      <c r="Y175" s="19" t="s">
        <v>491</v>
      </c>
      <c r="Z175" s="47" t="s">
        <v>9</v>
      </c>
      <c r="AA175" s="19" t="s">
        <v>498</v>
      </c>
      <c r="AB175" s="47" t="s">
        <v>9</v>
      </c>
      <c r="AC175" s="19" t="s">
        <v>463</v>
      </c>
      <c r="AD175" s="47" t="s">
        <v>9</v>
      </c>
    </row>
    <row r="176" spans="1:30" ht="6.75" customHeight="1" x14ac:dyDescent="0.25">
      <c r="A176" s="38">
        <v>176</v>
      </c>
      <c r="B176" s="1" t="s">
        <v>725</v>
      </c>
      <c r="C176" s="1" t="s">
        <v>453</v>
      </c>
      <c r="D176" s="1" t="s">
        <v>375</v>
      </c>
      <c r="E176" s="1" t="s">
        <v>2124</v>
      </c>
      <c r="F176" s="1" t="s">
        <v>246</v>
      </c>
      <c r="G176" s="39" t="s">
        <v>9</v>
      </c>
      <c r="H176" s="39" t="s">
        <v>9</v>
      </c>
      <c r="I176" s="39" t="s">
        <v>9</v>
      </c>
      <c r="J176" s="39" t="s">
        <v>9</v>
      </c>
      <c r="K176" s="39" t="s">
        <v>9</v>
      </c>
      <c r="L176" s="23" t="str">
        <f t="shared" si="40"/>
        <v>Redes.Prediais</v>
      </c>
      <c r="M176" s="23" t="str">
        <f t="shared" si="41"/>
        <v>Traçados</v>
      </c>
      <c r="N176" s="23" t="str">
        <f t="shared" si="39"/>
        <v>Conexão</v>
      </c>
      <c r="O176" s="23" t="str">
        <f t="shared" si="42"/>
        <v>Cap</v>
      </c>
      <c r="P176" s="19" t="s">
        <v>266</v>
      </c>
      <c r="Q176" s="19" t="s">
        <v>574</v>
      </c>
      <c r="R176" s="19" t="s">
        <v>684</v>
      </c>
      <c r="S176" s="54" t="s">
        <v>9</v>
      </c>
      <c r="T176" s="46" t="str">
        <f t="shared" si="44"/>
        <v>Redes Prediais</v>
      </c>
      <c r="U176" s="46" t="str">
        <f t="shared" si="45"/>
        <v>Traçados</v>
      </c>
      <c r="V176" s="46" t="str">
        <f t="shared" si="38"/>
        <v>Conexão</v>
      </c>
      <c r="W176" s="19" t="s">
        <v>459</v>
      </c>
      <c r="X176" s="40" t="str">
        <f t="shared" si="43"/>
        <v>Key-TUB-176</v>
      </c>
      <c r="Y176" s="19" t="s">
        <v>491</v>
      </c>
      <c r="Z176" s="47" t="s">
        <v>9</v>
      </c>
      <c r="AA176" s="19" t="s">
        <v>499</v>
      </c>
      <c r="AB176" s="47" t="s">
        <v>9</v>
      </c>
      <c r="AC176" s="19" t="s">
        <v>463</v>
      </c>
      <c r="AD176" s="47" t="s">
        <v>9</v>
      </c>
    </row>
    <row r="177" spans="1:30" ht="6.75" customHeight="1" x14ac:dyDescent="0.25">
      <c r="A177" s="38">
        <v>177</v>
      </c>
      <c r="B177" s="1" t="s">
        <v>725</v>
      </c>
      <c r="C177" s="1" t="s">
        <v>453</v>
      </c>
      <c r="D177" s="1" t="s">
        <v>375</v>
      </c>
      <c r="E177" s="1" t="s">
        <v>2124</v>
      </c>
      <c r="F177" s="1" t="s">
        <v>241</v>
      </c>
      <c r="G177" s="39" t="s">
        <v>9</v>
      </c>
      <c r="H177" s="39" t="s">
        <v>9</v>
      </c>
      <c r="I177" s="39" t="s">
        <v>9</v>
      </c>
      <c r="J177" s="39" t="s">
        <v>9</v>
      </c>
      <c r="K177" s="39" t="s">
        <v>9</v>
      </c>
      <c r="L177" s="23" t="str">
        <f t="shared" si="40"/>
        <v>Redes.Prediais</v>
      </c>
      <c r="M177" s="23" t="str">
        <f t="shared" si="41"/>
        <v>Traçados</v>
      </c>
      <c r="N177" s="23" t="str">
        <f t="shared" si="39"/>
        <v>Conexão</v>
      </c>
      <c r="O177" s="23" t="str">
        <f t="shared" si="42"/>
        <v>Entrada</v>
      </c>
      <c r="P177" s="19" t="s">
        <v>69</v>
      </c>
      <c r="Q177" s="19" t="s">
        <v>575</v>
      </c>
      <c r="R177" s="19" t="s">
        <v>685</v>
      </c>
      <c r="S177" s="54" t="s">
        <v>9</v>
      </c>
      <c r="T177" s="46" t="str">
        <f t="shared" si="44"/>
        <v>Redes Prediais</v>
      </c>
      <c r="U177" s="46" t="str">
        <f t="shared" si="45"/>
        <v>Traçados</v>
      </c>
      <c r="V177" s="46" t="str">
        <f t="shared" si="38"/>
        <v>Conexão</v>
      </c>
      <c r="W177" s="19" t="s">
        <v>459</v>
      </c>
      <c r="X177" s="40" t="str">
        <f t="shared" si="43"/>
        <v>Key-TUB-177</v>
      </c>
      <c r="Y177" s="19" t="s">
        <v>491</v>
      </c>
      <c r="Z177" s="47" t="s">
        <v>9</v>
      </c>
      <c r="AA177" s="37" t="s">
        <v>500</v>
      </c>
      <c r="AB177" s="47" t="s">
        <v>9</v>
      </c>
      <c r="AC177" s="19" t="s">
        <v>463</v>
      </c>
      <c r="AD177" s="47" t="s">
        <v>9</v>
      </c>
    </row>
    <row r="178" spans="1:30" ht="6.75" customHeight="1" x14ac:dyDescent="0.25">
      <c r="A178" s="38">
        <v>178</v>
      </c>
      <c r="B178" s="1" t="s">
        <v>725</v>
      </c>
      <c r="C178" s="1" t="s">
        <v>453</v>
      </c>
      <c r="D178" s="1" t="s">
        <v>375</v>
      </c>
      <c r="E178" s="1" t="s">
        <v>2124</v>
      </c>
      <c r="F178" s="1" t="s">
        <v>242</v>
      </c>
      <c r="G178" s="39" t="s">
        <v>9</v>
      </c>
      <c r="H178" s="39" t="s">
        <v>9</v>
      </c>
      <c r="I178" s="39" t="s">
        <v>9</v>
      </c>
      <c r="J178" s="39" t="s">
        <v>9</v>
      </c>
      <c r="K178" s="39" t="s">
        <v>9</v>
      </c>
      <c r="L178" s="23" t="str">
        <f t="shared" si="40"/>
        <v>Redes.Prediais</v>
      </c>
      <c r="M178" s="23" t="str">
        <f t="shared" si="41"/>
        <v>Traçados</v>
      </c>
      <c r="N178" s="23" t="str">
        <f t="shared" si="39"/>
        <v>Conexão</v>
      </c>
      <c r="O178" s="23" t="str">
        <f t="shared" si="42"/>
        <v>Saída</v>
      </c>
      <c r="P178" s="19" t="s">
        <v>70</v>
      </c>
      <c r="Q178" s="19" t="s">
        <v>576</v>
      </c>
      <c r="R178" s="19" t="s">
        <v>686</v>
      </c>
      <c r="S178" s="54" t="s">
        <v>9</v>
      </c>
      <c r="T178" s="46" t="str">
        <f t="shared" si="44"/>
        <v>Redes Prediais</v>
      </c>
      <c r="U178" s="46" t="str">
        <f t="shared" si="45"/>
        <v>Traçados</v>
      </c>
      <c r="V178" s="46" t="str">
        <f t="shared" si="38"/>
        <v>Conexão</v>
      </c>
      <c r="W178" s="19" t="s">
        <v>459</v>
      </c>
      <c r="X178" s="40" t="str">
        <f t="shared" si="43"/>
        <v>Key-TUB-178</v>
      </c>
      <c r="Y178" s="19" t="s">
        <v>491</v>
      </c>
      <c r="Z178" s="47" t="s">
        <v>9</v>
      </c>
      <c r="AA178" s="37" t="s">
        <v>501</v>
      </c>
      <c r="AB178" s="47" t="s">
        <v>9</v>
      </c>
      <c r="AC178" s="19" t="s">
        <v>463</v>
      </c>
      <c r="AD178" s="47" t="s">
        <v>9</v>
      </c>
    </row>
    <row r="179" spans="1:30" ht="6.75" customHeight="1" x14ac:dyDescent="0.25">
      <c r="A179" s="38">
        <v>179</v>
      </c>
      <c r="B179" s="1" t="s">
        <v>725</v>
      </c>
      <c r="C179" s="1" t="s">
        <v>453</v>
      </c>
      <c r="D179" s="1" t="s">
        <v>376</v>
      </c>
      <c r="E179" s="1" t="s">
        <v>2120</v>
      </c>
      <c r="F179" s="1" t="s">
        <v>392</v>
      </c>
      <c r="G179" s="39" t="s">
        <v>9</v>
      </c>
      <c r="H179" s="39" t="s">
        <v>9</v>
      </c>
      <c r="I179" s="39" t="s">
        <v>9</v>
      </c>
      <c r="J179" s="39" t="s">
        <v>9</v>
      </c>
      <c r="K179" s="39" t="s">
        <v>9</v>
      </c>
      <c r="L179" s="23" t="str">
        <f t="shared" si="40"/>
        <v>Redes.Prediais</v>
      </c>
      <c r="M179" s="23" t="str">
        <f t="shared" si="41"/>
        <v>Uniões</v>
      </c>
      <c r="N179" s="23" t="str">
        <f t="shared" si="39"/>
        <v>Junta</v>
      </c>
      <c r="O179" s="23" t="str">
        <f t="shared" si="42"/>
        <v>Junta Elástica</v>
      </c>
      <c r="P179" s="19" t="s">
        <v>802</v>
      </c>
      <c r="Q179" s="19" t="s">
        <v>533</v>
      </c>
      <c r="R179" s="19" t="s">
        <v>643</v>
      </c>
      <c r="S179" s="54" t="s">
        <v>9</v>
      </c>
      <c r="T179" s="46" t="str">
        <f t="shared" si="44"/>
        <v>Redes Prediais</v>
      </c>
      <c r="U179" s="46" t="str">
        <f t="shared" si="45"/>
        <v>Uniões</v>
      </c>
      <c r="V179" s="46" t="str">
        <f t="shared" si="38"/>
        <v>Junta</v>
      </c>
      <c r="W179" s="19" t="s">
        <v>459</v>
      </c>
      <c r="X179" s="40" t="str">
        <f t="shared" si="43"/>
        <v>Key-TUB-179</v>
      </c>
      <c r="Y179" s="19" t="s">
        <v>489</v>
      </c>
      <c r="Z179" s="47" t="s">
        <v>9</v>
      </c>
      <c r="AA179" s="19" t="s">
        <v>490</v>
      </c>
      <c r="AB179" s="47" t="s">
        <v>9</v>
      </c>
      <c r="AC179" s="19" t="s">
        <v>463</v>
      </c>
      <c r="AD179" s="47" t="s">
        <v>9</v>
      </c>
    </row>
    <row r="180" spans="1:30" ht="6.75" customHeight="1" x14ac:dyDescent="0.25">
      <c r="A180" s="38">
        <v>180</v>
      </c>
      <c r="B180" s="1" t="s">
        <v>725</v>
      </c>
      <c r="C180" s="1" t="s">
        <v>453</v>
      </c>
      <c r="D180" s="1" t="s">
        <v>376</v>
      </c>
      <c r="E180" s="1" t="s">
        <v>2120</v>
      </c>
      <c r="F180" s="1" t="s">
        <v>391</v>
      </c>
      <c r="G180" s="39" t="s">
        <v>9</v>
      </c>
      <c r="H180" s="39" t="s">
        <v>9</v>
      </c>
      <c r="I180" s="39" t="s">
        <v>9</v>
      </c>
      <c r="J180" s="39" t="s">
        <v>9</v>
      </c>
      <c r="K180" s="39" t="s">
        <v>9</v>
      </c>
      <c r="L180" s="23" t="str">
        <f t="shared" si="40"/>
        <v>Redes.Prediais</v>
      </c>
      <c r="M180" s="23" t="str">
        <f t="shared" si="41"/>
        <v>Uniões</v>
      </c>
      <c r="N180" s="23" t="str">
        <f t="shared" si="39"/>
        <v>Junta</v>
      </c>
      <c r="O180" s="23" t="str">
        <f t="shared" si="42"/>
        <v>Junta Flangeada</v>
      </c>
      <c r="P180" s="19" t="s">
        <v>268</v>
      </c>
      <c r="Q180" s="19" t="s">
        <v>532</v>
      </c>
      <c r="R180" s="19" t="s">
        <v>642</v>
      </c>
      <c r="S180" s="54" t="s">
        <v>9</v>
      </c>
      <c r="T180" s="46" t="str">
        <f t="shared" si="44"/>
        <v>Redes Prediais</v>
      </c>
      <c r="U180" s="46" t="str">
        <f t="shared" si="45"/>
        <v>Uniões</v>
      </c>
      <c r="V180" s="46" t="str">
        <f t="shared" si="38"/>
        <v>Junta</v>
      </c>
      <c r="W180" s="19" t="s">
        <v>459</v>
      </c>
      <c r="X180" s="40" t="str">
        <f t="shared" si="43"/>
        <v>Key-TUB-180</v>
      </c>
      <c r="Y180" s="19" t="s">
        <v>489</v>
      </c>
      <c r="Z180" s="47" t="s">
        <v>9</v>
      </c>
      <c r="AA180" s="19" t="s">
        <v>490</v>
      </c>
      <c r="AB180" s="47" t="s">
        <v>9</v>
      </c>
      <c r="AC180" s="19" t="s">
        <v>463</v>
      </c>
      <c r="AD180" s="47" t="s">
        <v>9</v>
      </c>
    </row>
    <row r="181" spans="1:30" ht="6.75" customHeight="1" x14ac:dyDescent="0.25">
      <c r="A181" s="38">
        <v>181</v>
      </c>
      <c r="B181" s="1" t="s">
        <v>725</v>
      </c>
      <c r="C181" s="1" t="s">
        <v>453</v>
      </c>
      <c r="D181" s="1" t="s">
        <v>376</v>
      </c>
      <c r="E181" s="1" t="s">
        <v>2120</v>
      </c>
      <c r="F181" s="1" t="s">
        <v>395</v>
      </c>
      <c r="G181" s="39" t="s">
        <v>9</v>
      </c>
      <c r="H181" s="39" t="s">
        <v>9</v>
      </c>
      <c r="I181" s="39" t="s">
        <v>9</v>
      </c>
      <c r="J181" s="39" t="s">
        <v>9</v>
      </c>
      <c r="K181" s="39" t="s">
        <v>9</v>
      </c>
      <c r="L181" s="23" t="str">
        <f t="shared" si="40"/>
        <v>Redes.Prediais</v>
      </c>
      <c r="M181" s="23" t="str">
        <f t="shared" si="41"/>
        <v>Uniões</v>
      </c>
      <c r="N181" s="23" t="str">
        <f t="shared" si="39"/>
        <v>Junta</v>
      </c>
      <c r="O181" s="23" t="str">
        <f t="shared" si="42"/>
        <v>Junta Mecânica</v>
      </c>
      <c r="P181" s="19" t="s">
        <v>403</v>
      </c>
      <c r="Q181" s="19" t="s">
        <v>536</v>
      </c>
      <c r="R181" s="19" t="s">
        <v>646</v>
      </c>
      <c r="S181" s="54" t="s">
        <v>9</v>
      </c>
      <c r="T181" s="46" t="str">
        <f t="shared" si="44"/>
        <v>Redes Prediais</v>
      </c>
      <c r="U181" s="46" t="str">
        <f t="shared" si="45"/>
        <v>Uniões</v>
      </c>
      <c r="V181" s="46" t="str">
        <f t="shared" si="38"/>
        <v>Junta</v>
      </c>
      <c r="W181" s="19" t="s">
        <v>459</v>
      </c>
      <c r="X181" s="40" t="str">
        <f t="shared" si="43"/>
        <v>Key-TUB-181</v>
      </c>
      <c r="Y181" s="19" t="s">
        <v>489</v>
      </c>
      <c r="Z181" s="47" t="s">
        <v>9</v>
      </c>
      <c r="AA181" s="19" t="s">
        <v>490</v>
      </c>
      <c r="AB181" s="47" t="s">
        <v>9</v>
      </c>
      <c r="AC181" s="19" t="s">
        <v>463</v>
      </c>
      <c r="AD181" s="47" t="s">
        <v>9</v>
      </c>
    </row>
    <row r="182" spans="1:30" ht="6.75" customHeight="1" x14ac:dyDescent="0.25">
      <c r="A182" s="38">
        <v>182</v>
      </c>
      <c r="B182" s="1" t="s">
        <v>725</v>
      </c>
      <c r="C182" s="1" t="s">
        <v>453</v>
      </c>
      <c r="D182" s="1" t="s">
        <v>376</v>
      </c>
      <c r="E182" s="1" t="s">
        <v>2120</v>
      </c>
      <c r="F182" s="1" t="s">
        <v>400</v>
      </c>
      <c r="G182" s="39" t="s">
        <v>9</v>
      </c>
      <c r="H182" s="39" t="s">
        <v>9</v>
      </c>
      <c r="I182" s="39" t="s">
        <v>9</v>
      </c>
      <c r="J182" s="39" t="s">
        <v>9</v>
      </c>
      <c r="K182" s="39" t="s">
        <v>9</v>
      </c>
      <c r="L182" s="23" t="str">
        <f t="shared" si="40"/>
        <v>Redes.Prediais</v>
      </c>
      <c r="M182" s="23" t="str">
        <f t="shared" si="41"/>
        <v>Uniões</v>
      </c>
      <c r="N182" s="23" t="str">
        <f t="shared" si="39"/>
        <v>Junta</v>
      </c>
      <c r="O182" s="23" t="str">
        <f t="shared" si="42"/>
        <v>Junta Pressão</v>
      </c>
      <c r="P182" s="19" t="s">
        <v>276</v>
      </c>
      <c r="Q182" s="19" t="s">
        <v>541</v>
      </c>
      <c r="R182" s="19" t="s">
        <v>651</v>
      </c>
      <c r="S182" s="54" t="s">
        <v>9</v>
      </c>
      <c r="T182" s="46" t="str">
        <f t="shared" si="44"/>
        <v>Redes Prediais</v>
      </c>
      <c r="U182" s="46" t="str">
        <f t="shared" si="45"/>
        <v>Uniões</v>
      </c>
      <c r="V182" s="46" t="str">
        <f t="shared" si="38"/>
        <v>Junta</v>
      </c>
      <c r="W182" s="19" t="s">
        <v>459</v>
      </c>
      <c r="X182" s="40" t="str">
        <f t="shared" si="43"/>
        <v>Key-TUB-182</v>
      </c>
      <c r="Y182" s="19" t="s">
        <v>489</v>
      </c>
      <c r="Z182" s="47" t="s">
        <v>9</v>
      </c>
      <c r="AA182" s="19" t="s">
        <v>490</v>
      </c>
      <c r="AB182" s="47" t="s">
        <v>9</v>
      </c>
      <c r="AC182" s="19" t="s">
        <v>463</v>
      </c>
      <c r="AD182" s="47" t="s">
        <v>9</v>
      </c>
    </row>
    <row r="183" spans="1:30" ht="6.75" customHeight="1" x14ac:dyDescent="0.25">
      <c r="A183" s="38">
        <v>183</v>
      </c>
      <c r="B183" s="1" t="s">
        <v>725</v>
      </c>
      <c r="C183" s="1" t="s">
        <v>453</v>
      </c>
      <c r="D183" s="1" t="s">
        <v>376</v>
      </c>
      <c r="E183" s="1" t="s">
        <v>2120</v>
      </c>
      <c r="F183" s="1" t="s">
        <v>397</v>
      </c>
      <c r="G183" s="39" t="s">
        <v>9</v>
      </c>
      <c r="H183" s="39" t="s">
        <v>9</v>
      </c>
      <c r="I183" s="39" t="s">
        <v>9</v>
      </c>
      <c r="J183" s="39" t="s">
        <v>9</v>
      </c>
      <c r="K183" s="39" t="s">
        <v>9</v>
      </c>
      <c r="L183" s="23" t="str">
        <f t="shared" si="40"/>
        <v>Redes.Prediais</v>
      </c>
      <c r="M183" s="23" t="str">
        <f t="shared" si="41"/>
        <v>Uniões</v>
      </c>
      <c r="N183" s="23" t="str">
        <f t="shared" si="39"/>
        <v>Junta</v>
      </c>
      <c r="O183" s="23" t="str">
        <f t="shared" si="42"/>
        <v>Junta Roscável</v>
      </c>
      <c r="P183" s="19" t="s">
        <v>271</v>
      </c>
      <c r="Q183" s="19" t="s">
        <v>538</v>
      </c>
      <c r="R183" s="19" t="s">
        <v>648</v>
      </c>
      <c r="S183" s="54" t="s">
        <v>9</v>
      </c>
      <c r="T183" s="46" t="str">
        <f t="shared" ref="T183:T188" si="46">SUBSTITUTE(C183, ".", " ")</f>
        <v>Redes Prediais</v>
      </c>
      <c r="U183" s="46" t="str">
        <f t="shared" ref="U183:U188" si="47">SUBSTITUTE(D183, ".", " ")</f>
        <v>Uniões</v>
      </c>
      <c r="V183" s="46" t="str">
        <f t="shared" ref="V183:V246" si="48">SUBSTITUTE(E183, ".", " ")</f>
        <v>Junta</v>
      </c>
      <c r="W183" s="19" t="s">
        <v>459</v>
      </c>
      <c r="X183" s="40" t="str">
        <f t="shared" si="43"/>
        <v>Key-TUB-183</v>
      </c>
      <c r="Y183" s="19" t="s">
        <v>489</v>
      </c>
      <c r="Z183" s="47" t="s">
        <v>9</v>
      </c>
      <c r="AA183" s="19" t="s">
        <v>490</v>
      </c>
      <c r="AB183" s="47" t="s">
        <v>9</v>
      </c>
      <c r="AC183" s="19" t="s">
        <v>463</v>
      </c>
      <c r="AD183" s="47" t="s">
        <v>9</v>
      </c>
    </row>
    <row r="184" spans="1:30" ht="6.75" customHeight="1" x14ac:dyDescent="0.25">
      <c r="A184" s="38">
        <v>184</v>
      </c>
      <c r="B184" s="1" t="s">
        <v>725</v>
      </c>
      <c r="C184" s="1" t="s">
        <v>453</v>
      </c>
      <c r="D184" s="1" t="s">
        <v>376</v>
      </c>
      <c r="E184" s="1" t="s">
        <v>2120</v>
      </c>
      <c r="F184" s="1" t="s">
        <v>396</v>
      </c>
      <c r="G184" s="39" t="s">
        <v>9</v>
      </c>
      <c r="H184" s="39" t="s">
        <v>9</v>
      </c>
      <c r="I184" s="39" t="s">
        <v>9</v>
      </c>
      <c r="J184" s="39" t="s">
        <v>9</v>
      </c>
      <c r="K184" s="39" t="s">
        <v>9</v>
      </c>
      <c r="L184" s="23" t="str">
        <f t="shared" si="40"/>
        <v>Redes.Prediais</v>
      </c>
      <c r="M184" s="23" t="str">
        <f t="shared" si="41"/>
        <v>Uniões</v>
      </c>
      <c r="N184" s="23" t="str">
        <f t="shared" si="39"/>
        <v>Junta</v>
      </c>
      <c r="O184" s="23" t="str">
        <f t="shared" si="42"/>
        <v>Junta SMU</v>
      </c>
      <c r="P184" s="19" t="s">
        <v>269</v>
      </c>
      <c r="Q184" s="19" t="s">
        <v>537</v>
      </c>
      <c r="R184" s="19" t="s">
        <v>647</v>
      </c>
      <c r="S184" s="54" t="s">
        <v>9</v>
      </c>
      <c r="T184" s="46" t="str">
        <f t="shared" si="46"/>
        <v>Redes Prediais</v>
      </c>
      <c r="U184" s="46" t="str">
        <f t="shared" si="47"/>
        <v>Uniões</v>
      </c>
      <c r="V184" s="46" t="str">
        <f t="shared" si="48"/>
        <v>Junta</v>
      </c>
      <c r="W184" s="19" t="s">
        <v>459</v>
      </c>
      <c r="X184" s="40" t="str">
        <f t="shared" si="43"/>
        <v>Key-TUB-184</v>
      </c>
      <c r="Y184" s="19" t="s">
        <v>489</v>
      </c>
      <c r="Z184" s="47" t="s">
        <v>9</v>
      </c>
      <c r="AA184" s="19" t="s">
        <v>490</v>
      </c>
      <c r="AB184" s="47" t="s">
        <v>9</v>
      </c>
      <c r="AC184" s="19" t="s">
        <v>463</v>
      </c>
      <c r="AD184" s="47" t="s">
        <v>9</v>
      </c>
    </row>
    <row r="185" spans="1:30" ht="6.75" customHeight="1" x14ac:dyDescent="0.25">
      <c r="A185" s="38">
        <v>185</v>
      </c>
      <c r="B185" s="1" t="s">
        <v>725</v>
      </c>
      <c r="C185" s="1" t="s">
        <v>453</v>
      </c>
      <c r="D185" s="1" t="s">
        <v>376</v>
      </c>
      <c r="E185" s="1" t="s">
        <v>2120</v>
      </c>
      <c r="F185" s="1" t="s">
        <v>398</v>
      </c>
      <c r="G185" s="39" t="s">
        <v>9</v>
      </c>
      <c r="H185" s="39" t="s">
        <v>9</v>
      </c>
      <c r="I185" s="39" t="s">
        <v>9</v>
      </c>
      <c r="J185" s="39" t="s">
        <v>9</v>
      </c>
      <c r="K185" s="39" t="s">
        <v>9</v>
      </c>
      <c r="L185" s="23" t="str">
        <f t="shared" si="40"/>
        <v>Redes.Prediais</v>
      </c>
      <c r="M185" s="23" t="str">
        <f t="shared" si="41"/>
        <v>Uniões</v>
      </c>
      <c r="N185" s="23" t="str">
        <f t="shared" si="39"/>
        <v>Junta</v>
      </c>
      <c r="O185" s="23" t="str">
        <f t="shared" si="42"/>
        <v>Junta Soldável</v>
      </c>
      <c r="P185" s="19" t="s">
        <v>270</v>
      </c>
      <c r="Q185" s="19" t="s">
        <v>539</v>
      </c>
      <c r="R185" s="19" t="s">
        <v>649</v>
      </c>
      <c r="S185" s="54" t="s">
        <v>9</v>
      </c>
      <c r="T185" s="46" t="str">
        <f t="shared" si="46"/>
        <v>Redes Prediais</v>
      </c>
      <c r="U185" s="46" t="str">
        <f t="shared" si="47"/>
        <v>Uniões</v>
      </c>
      <c r="V185" s="46" t="str">
        <f t="shared" si="48"/>
        <v>Junta</v>
      </c>
      <c r="W185" s="19" t="s">
        <v>459</v>
      </c>
      <c r="X185" s="40" t="str">
        <f t="shared" si="43"/>
        <v>Key-TUB-185</v>
      </c>
      <c r="Y185" s="19" t="s">
        <v>489</v>
      </c>
      <c r="Z185" s="47" t="s">
        <v>9</v>
      </c>
      <c r="AA185" s="19" t="s">
        <v>490</v>
      </c>
      <c r="AB185" s="47" t="s">
        <v>9</v>
      </c>
      <c r="AC185" s="19" t="s">
        <v>463</v>
      </c>
      <c r="AD185" s="47" t="s">
        <v>9</v>
      </c>
    </row>
    <row r="186" spans="1:30" ht="6.75" customHeight="1" x14ac:dyDescent="0.25">
      <c r="A186" s="38">
        <v>186</v>
      </c>
      <c r="B186" s="1" t="s">
        <v>725</v>
      </c>
      <c r="C186" s="1" t="s">
        <v>453</v>
      </c>
      <c r="D186" s="1" t="s">
        <v>376</v>
      </c>
      <c r="E186" s="1" t="s">
        <v>2120</v>
      </c>
      <c r="F186" s="1" t="s">
        <v>399</v>
      </c>
      <c r="G186" s="39" t="s">
        <v>9</v>
      </c>
      <c r="H186" s="39" t="s">
        <v>9</v>
      </c>
      <c r="I186" s="39" t="s">
        <v>9</v>
      </c>
      <c r="J186" s="39" t="s">
        <v>9</v>
      </c>
      <c r="K186" s="39" t="s">
        <v>9</v>
      </c>
      <c r="L186" s="23" t="str">
        <f t="shared" si="40"/>
        <v>Redes.Prediais</v>
      </c>
      <c r="M186" s="23" t="str">
        <f t="shared" si="41"/>
        <v>Uniões</v>
      </c>
      <c r="N186" s="23" t="str">
        <f t="shared" si="39"/>
        <v>Junta</v>
      </c>
      <c r="O186" s="23" t="str">
        <f t="shared" si="42"/>
        <v>Junta TermoFusão</v>
      </c>
      <c r="P186" s="19" t="s">
        <v>272</v>
      </c>
      <c r="Q186" s="19" t="s">
        <v>540</v>
      </c>
      <c r="R186" s="19" t="s">
        <v>650</v>
      </c>
      <c r="S186" s="54" t="s">
        <v>9</v>
      </c>
      <c r="T186" s="46" t="str">
        <f t="shared" si="46"/>
        <v>Redes Prediais</v>
      </c>
      <c r="U186" s="46" t="str">
        <f t="shared" si="47"/>
        <v>Uniões</v>
      </c>
      <c r="V186" s="46" t="str">
        <f t="shared" si="48"/>
        <v>Junta</v>
      </c>
      <c r="W186" s="19" t="s">
        <v>459</v>
      </c>
      <c r="X186" s="40" t="str">
        <f t="shared" si="43"/>
        <v>Key-TUB-186</v>
      </c>
      <c r="Y186" s="19" t="s">
        <v>489</v>
      </c>
      <c r="Z186" s="47" t="s">
        <v>9</v>
      </c>
      <c r="AA186" s="19" t="s">
        <v>490</v>
      </c>
      <c r="AB186" s="47" t="s">
        <v>9</v>
      </c>
      <c r="AC186" s="19" t="s">
        <v>463</v>
      </c>
      <c r="AD186" s="47" t="s">
        <v>9</v>
      </c>
    </row>
    <row r="187" spans="1:30" ht="6.75" customHeight="1" x14ac:dyDescent="0.25">
      <c r="A187" s="38">
        <v>187</v>
      </c>
      <c r="B187" s="1" t="s">
        <v>725</v>
      </c>
      <c r="C187" s="1" t="s">
        <v>453</v>
      </c>
      <c r="D187" s="1" t="s">
        <v>376</v>
      </c>
      <c r="E187" s="1" t="s">
        <v>2120</v>
      </c>
      <c r="F187" s="1" t="s">
        <v>394</v>
      </c>
      <c r="G187" s="39" t="s">
        <v>9</v>
      </c>
      <c r="H187" s="39" t="s">
        <v>9</v>
      </c>
      <c r="I187" s="39" t="s">
        <v>9</v>
      </c>
      <c r="J187" s="39" t="s">
        <v>9</v>
      </c>
      <c r="K187" s="39" t="s">
        <v>9</v>
      </c>
      <c r="L187" s="23" t="str">
        <f t="shared" si="40"/>
        <v>Redes.Prediais</v>
      </c>
      <c r="M187" s="23" t="str">
        <f t="shared" si="41"/>
        <v>Uniões</v>
      </c>
      <c r="N187" s="23" t="str">
        <f t="shared" si="39"/>
        <v>Junta</v>
      </c>
      <c r="O187" s="23" t="str">
        <f t="shared" si="42"/>
        <v>Junta Travada Externa</v>
      </c>
      <c r="P187" s="19" t="s">
        <v>402</v>
      </c>
      <c r="Q187" s="19" t="s">
        <v>535</v>
      </c>
      <c r="R187" s="19" t="s">
        <v>645</v>
      </c>
      <c r="S187" s="54" t="s">
        <v>9</v>
      </c>
      <c r="T187" s="46" t="str">
        <f t="shared" si="46"/>
        <v>Redes Prediais</v>
      </c>
      <c r="U187" s="46" t="str">
        <f t="shared" si="47"/>
        <v>Uniões</v>
      </c>
      <c r="V187" s="46" t="str">
        <f t="shared" si="48"/>
        <v>Junta</v>
      </c>
      <c r="W187" s="19" t="s">
        <v>459</v>
      </c>
      <c r="X187" s="40" t="str">
        <f t="shared" si="43"/>
        <v>Key-TUB-187</v>
      </c>
      <c r="Y187" s="19" t="s">
        <v>489</v>
      </c>
      <c r="Z187" s="47" t="s">
        <v>9</v>
      </c>
      <c r="AA187" s="19" t="s">
        <v>490</v>
      </c>
      <c r="AB187" s="47" t="s">
        <v>9</v>
      </c>
      <c r="AC187" s="19" t="s">
        <v>463</v>
      </c>
      <c r="AD187" s="47" t="s">
        <v>9</v>
      </c>
    </row>
    <row r="188" spans="1:30" ht="6.75" customHeight="1" x14ac:dyDescent="0.25">
      <c r="A188" s="38">
        <v>188</v>
      </c>
      <c r="B188" s="1" t="s">
        <v>725</v>
      </c>
      <c r="C188" s="1" t="s">
        <v>453</v>
      </c>
      <c r="D188" s="1" t="s">
        <v>376</v>
      </c>
      <c r="E188" s="1" t="s">
        <v>2120</v>
      </c>
      <c r="F188" s="1" t="s">
        <v>393</v>
      </c>
      <c r="G188" s="39" t="s">
        <v>9</v>
      </c>
      <c r="H188" s="39" t="s">
        <v>9</v>
      </c>
      <c r="I188" s="39" t="s">
        <v>9</v>
      </c>
      <c r="J188" s="39" t="s">
        <v>9</v>
      </c>
      <c r="K188" s="39" t="s">
        <v>9</v>
      </c>
      <c r="L188" s="23" t="str">
        <f t="shared" si="40"/>
        <v>Redes.Prediais</v>
      </c>
      <c r="M188" s="23" t="str">
        <f t="shared" si="41"/>
        <v>Uniões</v>
      </c>
      <c r="N188" s="23" t="str">
        <f t="shared" si="39"/>
        <v>Junta</v>
      </c>
      <c r="O188" s="23" t="str">
        <f t="shared" si="42"/>
        <v>Junta Travada Interna</v>
      </c>
      <c r="P188" s="19" t="s">
        <v>401</v>
      </c>
      <c r="Q188" s="19" t="s">
        <v>534</v>
      </c>
      <c r="R188" s="19" t="s">
        <v>644</v>
      </c>
      <c r="S188" s="54" t="s">
        <v>9</v>
      </c>
      <c r="T188" s="46" t="str">
        <f t="shared" si="46"/>
        <v>Redes Prediais</v>
      </c>
      <c r="U188" s="46" t="str">
        <f t="shared" si="47"/>
        <v>Uniões</v>
      </c>
      <c r="V188" s="46" t="str">
        <f t="shared" si="48"/>
        <v>Junta</v>
      </c>
      <c r="W188" s="19" t="s">
        <v>459</v>
      </c>
      <c r="X188" s="40" t="str">
        <f t="shared" si="43"/>
        <v>Key-TUB-188</v>
      </c>
      <c r="Y188" s="19" t="s">
        <v>489</v>
      </c>
      <c r="Z188" s="47" t="s">
        <v>9</v>
      </c>
      <c r="AA188" s="19" t="s">
        <v>490</v>
      </c>
      <c r="AB188" s="47" t="s">
        <v>9</v>
      </c>
      <c r="AC188" s="19" t="s">
        <v>463</v>
      </c>
      <c r="AD188" s="47" t="s">
        <v>9</v>
      </c>
    </row>
    <row r="189" spans="1:30" ht="6.75" customHeight="1" x14ac:dyDescent="0.25">
      <c r="A189" s="38">
        <v>189</v>
      </c>
      <c r="B189" s="1" t="s">
        <v>725</v>
      </c>
      <c r="C189" s="1" t="s">
        <v>454</v>
      </c>
      <c r="D189" s="1" t="s">
        <v>438</v>
      </c>
      <c r="E189" s="1" t="s">
        <v>2126</v>
      </c>
      <c r="F189" s="1" t="s">
        <v>436</v>
      </c>
      <c r="G189" s="39" t="s">
        <v>9</v>
      </c>
      <c r="H189" s="39" t="s">
        <v>9</v>
      </c>
      <c r="I189" s="39" t="s">
        <v>9</v>
      </c>
      <c r="J189" s="39" t="s">
        <v>9</v>
      </c>
      <c r="K189" s="39" t="s">
        <v>9</v>
      </c>
      <c r="L189" s="23" t="str">
        <f t="shared" si="40"/>
        <v>Redes.Industriais</v>
      </c>
      <c r="M189" s="23" t="str">
        <f t="shared" si="41"/>
        <v>Complexos.de.Dutos</v>
      </c>
      <c r="N189" s="23" t="str">
        <f t="shared" si="39"/>
        <v>Duto de Transporte</v>
      </c>
      <c r="O189" s="23" t="str">
        <f t="shared" si="42"/>
        <v>Gasoduto</v>
      </c>
      <c r="P189" s="19" t="s">
        <v>442</v>
      </c>
      <c r="Q189" s="19" t="s">
        <v>599</v>
      </c>
      <c r="R189" s="19" t="s">
        <v>708</v>
      </c>
      <c r="S189" s="54" t="s">
        <v>9</v>
      </c>
      <c r="T189" s="46" t="str">
        <f t="shared" ref="T189:V277" si="49">SUBSTITUTE(C189, ".", " ")</f>
        <v>Redes Industriais</v>
      </c>
      <c r="U189" s="46" t="str">
        <f t="shared" si="49"/>
        <v>Complexos de Dutos</v>
      </c>
      <c r="V189" s="46" t="str">
        <f t="shared" si="48"/>
        <v>Duto de Transporte</v>
      </c>
      <c r="W189" s="19" t="s">
        <v>459</v>
      </c>
      <c r="X189" s="40" t="str">
        <f t="shared" si="43"/>
        <v>Key-TUB-189</v>
      </c>
      <c r="Y189" s="19" t="s">
        <v>503</v>
      </c>
      <c r="Z189" s="47" t="s">
        <v>9</v>
      </c>
      <c r="AA189" s="19" t="s">
        <v>505</v>
      </c>
      <c r="AB189" s="47" t="s">
        <v>9</v>
      </c>
      <c r="AC189" s="19" t="s">
        <v>463</v>
      </c>
      <c r="AD189" s="47" t="s">
        <v>9</v>
      </c>
    </row>
    <row r="190" spans="1:30" ht="6.75" customHeight="1" x14ac:dyDescent="0.25">
      <c r="A190" s="38">
        <v>190</v>
      </c>
      <c r="B190" s="1" t="s">
        <v>725</v>
      </c>
      <c r="C190" s="1" t="s">
        <v>454</v>
      </c>
      <c r="D190" s="1" t="s">
        <v>438</v>
      </c>
      <c r="E190" s="1" t="s">
        <v>2126</v>
      </c>
      <c r="F190" s="1" t="s">
        <v>437</v>
      </c>
      <c r="G190" s="39" t="s">
        <v>9</v>
      </c>
      <c r="H190" s="39" t="s">
        <v>9</v>
      </c>
      <c r="I190" s="39" t="s">
        <v>9</v>
      </c>
      <c r="J190" s="39" t="s">
        <v>9</v>
      </c>
      <c r="K190" s="39" t="s">
        <v>9</v>
      </c>
      <c r="L190" s="23" t="str">
        <f t="shared" si="40"/>
        <v>Redes.Industriais</v>
      </c>
      <c r="M190" s="23" t="str">
        <f t="shared" si="41"/>
        <v>Complexos.de.Dutos</v>
      </c>
      <c r="N190" s="23" t="str">
        <f t="shared" si="39"/>
        <v>Duto de Transporte</v>
      </c>
      <c r="O190" s="23" t="str">
        <f t="shared" si="42"/>
        <v>Oleoduto</v>
      </c>
      <c r="P190" s="19" t="s">
        <v>444</v>
      </c>
      <c r="Q190" s="19" t="s">
        <v>600</v>
      </c>
      <c r="R190" s="19" t="s">
        <v>709</v>
      </c>
      <c r="S190" s="54" t="s">
        <v>9</v>
      </c>
      <c r="T190" s="46" t="str">
        <f t="shared" si="49"/>
        <v>Redes Industriais</v>
      </c>
      <c r="U190" s="46" t="str">
        <f t="shared" si="49"/>
        <v>Complexos de Dutos</v>
      </c>
      <c r="V190" s="46" t="str">
        <f t="shared" si="48"/>
        <v>Duto de Transporte</v>
      </c>
      <c r="W190" s="19" t="s">
        <v>459</v>
      </c>
      <c r="X190" s="40" t="str">
        <f t="shared" si="43"/>
        <v>Key-TUB-190</v>
      </c>
      <c r="Y190" s="19" t="s">
        <v>503</v>
      </c>
      <c r="Z190" s="47" t="s">
        <v>9</v>
      </c>
      <c r="AA190" s="19" t="s">
        <v>505</v>
      </c>
      <c r="AB190" s="47" t="s">
        <v>9</v>
      </c>
      <c r="AC190" s="19" t="s">
        <v>463</v>
      </c>
      <c r="AD190" s="47" t="s">
        <v>9</v>
      </c>
    </row>
    <row r="191" spans="1:30" ht="6.75" customHeight="1" x14ac:dyDescent="0.25">
      <c r="A191" s="38">
        <v>191</v>
      </c>
      <c r="B191" s="1" t="s">
        <v>725</v>
      </c>
      <c r="C191" s="1" t="s">
        <v>454</v>
      </c>
      <c r="D191" s="1" t="s">
        <v>438</v>
      </c>
      <c r="E191" s="1" t="s">
        <v>2126</v>
      </c>
      <c r="F191" s="1" t="s">
        <v>439</v>
      </c>
      <c r="G191" s="39" t="s">
        <v>9</v>
      </c>
      <c r="H191" s="39" t="s">
        <v>9</v>
      </c>
      <c r="I191" s="39" t="s">
        <v>9</v>
      </c>
      <c r="J191" s="39" t="s">
        <v>9</v>
      </c>
      <c r="K191" s="39" t="s">
        <v>9</v>
      </c>
      <c r="L191" s="23" t="str">
        <f t="shared" si="40"/>
        <v>Redes.Industriais</v>
      </c>
      <c r="M191" s="23" t="str">
        <f t="shared" si="41"/>
        <v>Complexos.de.Dutos</v>
      </c>
      <c r="N191" s="23" t="str">
        <f t="shared" si="39"/>
        <v>Duto de Transporte</v>
      </c>
      <c r="O191" s="23" t="str">
        <f t="shared" si="42"/>
        <v>Mineroduto</v>
      </c>
      <c r="P191" s="19" t="s">
        <v>446</v>
      </c>
      <c r="Q191" s="19" t="s">
        <v>601</v>
      </c>
      <c r="R191" s="19" t="s">
        <v>710</v>
      </c>
      <c r="S191" s="54" t="s">
        <v>9</v>
      </c>
      <c r="T191" s="46" t="str">
        <f t="shared" si="49"/>
        <v>Redes Industriais</v>
      </c>
      <c r="U191" s="46" t="str">
        <f t="shared" si="49"/>
        <v>Complexos de Dutos</v>
      </c>
      <c r="V191" s="46" t="str">
        <f t="shared" si="48"/>
        <v>Duto de Transporte</v>
      </c>
      <c r="W191" s="19" t="s">
        <v>459</v>
      </c>
      <c r="X191" s="40" t="str">
        <f t="shared" si="43"/>
        <v>Key-TUB-191</v>
      </c>
      <c r="Y191" s="19" t="s">
        <v>503</v>
      </c>
      <c r="Z191" s="47" t="s">
        <v>9</v>
      </c>
      <c r="AA191" s="19" t="s">
        <v>505</v>
      </c>
      <c r="AB191" s="47" t="s">
        <v>9</v>
      </c>
      <c r="AC191" s="19" t="s">
        <v>463</v>
      </c>
      <c r="AD191" s="47" t="s">
        <v>9</v>
      </c>
    </row>
    <row r="192" spans="1:30" ht="6.75" customHeight="1" x14ac:dyDescent="0.25">
      <c r="A192" s="38">
        <v>192</v>
      </c>
      <c r="B192" s="1" t="s">
        <v>725</v>
      </c>
      <c r="C192" s="1" t="s">
        <v>454</v>
      </c>
      <c r="D192" s="1" t="s">
        <v>438</v>
      </c>
      <c r="E192" s="1" t="s">
        <v>2126</v>
      </c>
      <c r="F192" s="1" t="s">
        <v>440</v>
      </c>
      <c r="G192" s="39" t="s">
        <v>9</v>
      </c>
      <c r="H192" s="39" t="s">
        <v>9</v>
      </c>
      <c r="I192" s="39" t="s">
        <v>9</v>
      </c>
      <c r="J192" s="39" t="s">
        <v>9</v>
      </c>
      <c r="K192" s="39" t="s">
        <v>9</v>
      </c>
      <c r="L192" s="23" t="str">
        <f t="shared" si="40"/>
        <v>Redes.Industriais</v>
      </c>
      <c r="M192" s="23" t="str">
        <f t="shared" si="41"/>
        <v>Complexos.de.Dutos</v>
      </c>
      <c r="N192" s="23" t="str">
        <f t="shared" si="39"/>
        <v>Duto de Transporte</v>
      </c>
      <c r="O192" s="23" t="str">
        <f t="shared" si="42"/>
        <v>Carboduto</v>
      </c>
      <c r="P192" s="19" t="s">
        <v>445</v>
      </c>
      <c r="Q192" s="19" t="s">
        <v>602</v>
      </c>
      <c r="R192" s="19" t="s">
        <v>711</v>
      </c>
      <c r="S192" s="54" t="s">
        <v>9</v>
      </c>
      <c r="T192" s="46" t="str">
        <f t="shared" si="49"/>
        <v>Redes Industriais</v>
      </c>
      <c r="U192" s="46" t="str">
        <f t="shared" si="49"/>
        <v>Complexos de Dutos</v>
      </c>
      <c r="V192" s="46" t="str">
        <f t="shared" si="48"/>
        <v>Duto de Transporte</v>
      </c>
      <c r="W192" s="19" t="s">
        <v>459</v>
      </c>
      <c r="X192" s="40" t="str">
        <f t="shared" si="43"/>
        <v>Key-TUB-192</v>
      </c>
      <c r="Y192" s="19" t="s">
        <v>503</v>
      </c>
      <c r="Z192" s="47" t="s">
        <v>9</v>
      </c>
      <c r="AA192" s="19" t="s">
        <v>505</v>
      </c>
      <c r="AB192" s="47" t="s">
        <v>9</v>
      </c>
      <c r="AC192" s="19" t="s">
        <v>463</v>
      </c>
      <c r="AD192" s="47" t="s">
        <v>9</v>
      </c>
    </row>
    <row r="193" spans="1:30" ht="6.75" customHeight="1" x14ac:dyDescent="0.25">
      <c r="A193" s="38">
        <v>193</v>
      </c>
      <c r="B193" s="1" t="s">
        <v>725</v>
      </c>
      <c r="C193" s="1" t="s">
        <v>454</v>
      </c>
      <c r="D193" s="1" t="s">
        <v>438</v>
      </c>
      <c r="E193" s="1" t="s">
        <v>2126</v>
      </c>
      <c r="F193" s="1" t="s">
        <v>441</v>
      </c>
      <c r="G193" s="39" t="s">
        <v>9</v>
      </c>
      <c r="H193" s="39" t="s">
        <v>9</v>
      </c>
      <c r="I193" s="39" t="s">
        <v>9</v>
      </c>
      <c r="J193" s="39" t="s">
        <v>9</v>
      </c>
      <c r="K193" s="39" t="s">
        <v>9</v>
      </c>
      <c r="L193" s="23" t="str">
        <f t="shared" si="40"/>
        <v>Redes.Industriais</v>
      </c>
      <c r="M193" s="23" t="str">
        <f t="shared" si="41"/>
        <v>Complexos.de.Dutos</v>
      </c>
      <c r="N193" s="23" t="str">
        <f t="shared" si="39"/>
        <v>Duto de Transporte</v>
      </c>
      <c r="O193" s="23" t="str">
        <f t="shared" si="42"/>
        <v>Poliduto</v>
      </c>
      <c r="P193" s="19" t="s">
        <v>443</v>
      </c>
      <c r="Q193" s="19" t="s">
        <v>603</v>
      </c>
      <c r="R193" s="19" t="s">
        <v>712</v>
      </c>
      <c r="S193" s="54" t="s">
        <v>9</v>
      </c>
      <c r="T193" s="46" t="str">
        <f t="shared" si="49"/>
        <v>Redes Industriais</v>
      </c>
      <c r="U193" s="46" t="str">
        <f t="shared" si="49"/>
        <v>Complexos de Dutos</v>
      </c>
      <c r="V193" s="46" t="str">
        <f t="shared" si="48"/>
        <v>Duto de Transporte</v>
      </c>
      <c r="W193" s="19" t="s">
        <v>459</v>
      </c>
      <c r="X193" s="40" t="str">
        <f t="shared" si="43"/>
        <v>Key-TUB-193</v>
      </c>
      <c r="Y193" s="19" t="s">
        <v>503</v>
      </c>
      <c r="Z193" s="47" t="s">
        <v>9</v>
      </c>
      <c r="AA193" s="19" t="s">
        <v>505</v>
      </c>
      <c r="AB193" s="47" t="s">
        <v>9</v>
      </c>
      <c r="AC193" s="19" t="s">
        <v>463</v>
      </c>
      <c r="AD193" s="47" t="s">
        <v>9</v>
      </c>
    </row>
    <row r="194" spans="1:30" ht="6.75" customHeight="1" x14ac:dyDescent="0.25">
      <c r="A194" s="38">
        <v>194</v>
      </c>
      <c r="B194" s="1" t="s">
        <v>725</v>
      </c>
      <c r="C194" s="57" t="s">
        <v>351</v>
      </c>
      <c r="D194" s="1" t="s">
        <v>1529</v>
      </c>
      <c r="E194" s="57" t="s">
        <v>1530</v>
      </c>
      <c r="F194" s="57" t="s">
        <v>1539</v>
      </c>
      <c r="G194" s="39" t="s">
        <v>9</v>
      </c>
      <c r="H194" s="39" t="s">
        <v>9</v>
      </c>
      <c r="I194" s="39" t="s">
        <v>9</v>
      </c>
      <c r="J194" s="39" t="s">
        <v>9</v>
      </c>
      <c r="K194" s="39" t="s">
        <v>9</v>
      </c>
      <c r="L194" s="23" t="str">
        <f t="shared" si="40"/>
        <v>Sistemas.Prediais</v>
      </c>
      <c r="M194" s="23" t="str">
        <f t="shared" si="41"/>
        <v>Sistemas.Avac</v>
      </c>
      <c r="N194" s="23" t="str">
        <f t="shared" si="39"/>
        <v>Sistema Avac</v>
      </c>
      <c r="O194" s="23" t="str">
        <f t="shared" si="42"/>
        <v>Sistema ArCondicionado</v>
      </c>
      <c r="P194" s="58" t="s">
        <v>1550</v>
      </c>
      <c r="Q194" s="58" t="s">
        <v>1555</v>
      </c>
      <c r="R194" s="58" t="s">
        <v>1567</v>
      </c>
      <c r="S194" s="54" t="s">
        <v>9</v>
      </c>
      <c r="T194" s="46" t="str">
        <f t="shared" si="49"/>
        <v>Sistemas Prediais</v>
      </c>
      <c r="U194" s="46" t="str">
        <f t="shared" si="49"/>
        <v>Sistemas Avac</v>
      </c>
      <c r="V194" s="46" t="str">
        <f t="shared" si="48"/>
        <v>Sistema Avac</v>
      </c>
      <c r="W194" s="19" t="s">
        <v>459</v>
      </c>
      <c r="X194" s="40" t="str">
        <f t="shared" si="43"/>
        <v>Key-TUB-194</v>
      </c>
      <c r="Y194" s="37" t="s">
        <v>461</v>
      </c>
      <c r="Z194" s="47" t="s">
        <v>9</v>
      </c>
      <c r="AA194" s="37" t="s">
        <v>1579</v>
      </c>
      <c r="AB194" s="47" t="s">
        <v>9</v>
      </c>
      <c r="AC194" s="19" t="s">
        <v>1266</v>
      </c>
      <c r="AD194" s="47" t="s">
        <v>9</v>
      </c>
    </row>
    <row r="195" spans="1:30" ht="6.75" customHeight="1" x14ac:dyDescent="0.25">
      <c r="A195" s="38">
        <v>195</v>
      </c>
      <c r="B195" s="1" t="s">
        <v>725</v>
      </c>
      <c r="C195" s="57" t="s">
        <v>351</v>
      </c>
      <c r="D195" s="1" t="s">
        <v>1529</v>
      </c>
      <c r="E195" s="1" t="s">
        <v>1530</v>
      </c>
      <c r="F195" s="57" t="s">
        <v>1537</v>
      </c>
      <c r="G195" s="39" t="s">
        <v>9</v>
      </c>
      <c r="H195" s="39" t="s">
        <v>9</v>
      </c>
      <c r="I195" s="39" t="s">
        <v>9</v>
      </c>
      <c r="J195" s="39" t="s">
        <v>9</v>
      </c>
      <c r="K195" s="39" t="s">
        <v>9</v>
      </c>
      <c r="L195" s="23" t="str">
        <f t="shared" si="40"/>
        <v>Sistemas.Prediais</v>
      </c>
      <c r="M195" s="23" t="str">
        <f t="shared" si="41"/>
        <v>Sistemas.Avac</v>
      </c>
      <c r="N195" s="23" t="str">
        <f t="shared" si="39"/>
        <v>Sistema Avac</v>
      </c>
      <c r="O195" s="23" t="str">
        <f t="shared" si="42"/>
        <v>Sistema Exaustão</v>
      </c>
      <c r="P195" s="58" t="s">
        <v>1551</v>
      </c>
      <c r="Q195" s="58" t="s">
        <v>1556</v>
      </c>
      <c r="R195" s="58" t="s">
        <v>1568</v>
      </c>
      <c r="S195" s="54" t="s">
        <v>9</v>
      </c>
      <c r="T195" s="46" t="str">
        <f t="shared" si="49"/>
        <v>Sistemas Prediais</v>
      </c>
      <c r="U195" s="46" t="str">
        <f t="shared" si="49"/>
        <v>Sistemas Avac</v>
      </c>
      <c r="V195" s="46" t="str">
        <f t="shared" si="48"/>
        <v>Sistema Avac</v>
      </c>
      <c r="W195" s="19" t="s">
        <v>459</v>
      </c>
      <c r="X195" s="40" t="str">
        <f t="shared" si="43"/>
        <v>Key-TUB-195</v>
      </c>
      <c r="Y195" s="37" t="s">
        <v>461</v>
      </c>
      <c r="Z195" s="47" t="s">
        <v>9</v>
      </c>
      <c r="AA195" s="37" t="s">
        <v>1579</v>
      </c>
      <c r="AB195" s="47" t="s">
        <v>9</v>
      </c>
      <c r="AC195" s="19" t="s">
        <v>1266</v>
      </c>
      <c r="AD195" s="47" t="s">
        <v>9</v>
      </c>
    </row>
    <row r="196" spans="1:30" ht="6.75" customHeight="1" x14ac:dyDescent="0.25">
      <c r="A196" s="38">
        <v>196</v>
      </c>
      <c r="B196" s="1" t="s">
        <v>725</v>
      </c>
      <c r="C196" s="57" t="s">
        <v>351</v>
      </c>
      <c r="D196" s="1" t="s">
        <v>1529</v>
      </c>
      <c r="E196" s="57" t="s">
        <v>1530</v>
      </c>
      <c r="F196" s="57" t="s">
        <v>1538</v>
      </c>
      <c r="G196" s="39" t="s">
        <v>9</v>
      </c>
      <c r="H196" s="39" t="s">
        <v>9</v>
      </c>
      <c r="I196" s="39" t="s">
        <v>9</v>
      </c>
      <c r="J196" s="39" t="s">
        <v>9</v>
      </c>
      <c r="K196" s="39" t="s">
        <v>9</v>
      </c>
      <c r="L196" s="23" t="str">
        <f t="shared" si="40"/>
        <v>Sistemas.Prediais</v>
      </c>
      <c r="M196" s="23" t="str">
        <f t="shared" si="41"/>
        <v>Sistemas.Avac</v>
      </c>
      <c r="N196" s="23" t="str">
        <f t="shared" si="39"/>
        <v>Sistema Avac</v>
      </c>
      <c r="O196" s="23" t="str">
        <f t="shared" si="42"/>
        <v>Sistema Ventilação</v>
      </c>
      <c r="P196" s="58" t="s">
        <v>1552</v>
      </c>
      <c r="Q196" s="58" t="s">
        <v>1557</v>
      </c>
      <c r="R196" s="58" t="s">
        <v>1569</v>
      </c>
      <c r="S196" s="54" t="s">
        <v>9</v>
      </c>
      <c r="T196" s="46" t="str">
        <f t="shared" si="49"/>
        <v>Sistemas Prediais</v>
      </c>
      <c r="U196" s="46" t="str">
        <f t="shared" si="49"/>
        <v>Sistemas Avac</v>
      </c>
      <c r="V196" s="46" t="str">
        <f t="shared" si="48"/>
        <v>Sistema Avac</v>
      </c>
      <c r="W196" s="19" t="s">
        <v>459</v>
      </c>
      <c r="X196" s="40" t="str">
        <f t="shared" si="43"/>
        <v>Key-TUB-196</v>
      </c>
      <c r="Y196" s="37" t="s">
        <v>461</v>
      </c>
      <c r="Z196" s="47" t="s">
        <v>9</v>
      </c>
      <c r="AA196" s="37" t="s">
        <v>1579</v>
      </c>
      <c r="AB196" s="47" t="s">
        <v>9</v>
      </c>
      <c r="AC196" s="19" t="s">
        <v>1266</v>
      </c>
      <c r="AD196" s="47" t="s">
        <v>9</v>
      </c>
    </row>
    <row r="197" spans="1:30" ht="6.75" customHeight="1" x14ac:dyDescent="0.25">
      <c r="A197" s="38">
        <v>197</v>
      </c>
      <c r="B197" s="1" t="s">
        <v>725</v>
      </c>
      <c r="C197" s="57" t="s">
        <v>351</v>
      </c>
      <c r="D197" s="1" t="s">
        <v>1527</v>
      </c>
      <c r="E197" s="1" t="s">
        <v>1528</v>
      </c>
      <c r="F197" s="57" t="s">
        <v>1528</v>
      </c>
      <c r="G197" s="39" t="s">
        <v>9</v>
      </c>
      <c r="H197" s="39" t="s">
        <v>9</v>
      </c>
      <c r="I197" s="39" t="s">
        <v>9</v>
      </c>
      <c r="J197" s="39" t="s">
        <v>9</v>
      </c>
      <c r="K197" s="39" t="s">
        <v>9</v>
      </c>
      <c r="L197" s="23" t="str">
        <f t="shared" si="40"/>
        <v>Sistemas.Prediais</v>
      </c>
      <c r="M197" s="23" t="str">
        <f t="shared" si="41"/>
        <v>Sistemas.Esgotos</v>
      </c>
      <c r="N197" s="23" t="str">
        <f t="shared" si="39"/>
        <v>Sistema Esgoto</v>
      </c>
      <c r="O197" s="23" t="str">
        <f t="shared" si="42"/>
        <v>Sistema Esgoto</v>
      </c>
      <c r="P197" s="58" t="s">
        <v>1548</v>
      </c>
      <c r="Q197" s="58" t="s">
        <v>1558</v>
      </c>
      <c r="R197" s="58" t="s">
        <v>1570</v>
      </c>
      <c r="S197" s="54" t="s">
        <v>9</v>
      </c>
      <c r="T197" s="46" t="str">
        <f t="shared" si="49"/>
        <v>Sistemas Prediais</v>
      </c>
      <c r="U197" s="46" t="str">
        <f t="shared" si="49"/>
        <v>Sistemas Esgotos</v>
      </c>
      <c r="V197" s="46" t="str">
        <f t="shared" si="48"/>
        <v>Sistema Esgoto</v>
      </c>
      <c r="W197" s="19" t="s">
        <v>459</v>
      </c>
      <c r="X197" s="40" t="str">
        <f t="shared" si="43"/>
        <v>Key-TUB-197</v>
      </c>
      <c r="Y197" s="37" t="s">
        <v>461</v>
      </c>
      <c r="Z197" s="47" t="s">
        <v>9</v>
      </c>
      <c r="AA197" s="37" t="s">
        <v>1579</v>
      </c>
      <c r="AB197" s="47" t="s">
        <v>9</v>
      </c>
      <c r="AC197" s="19" t="s">
        <v>1266</v>
      </c>
      <c r="AD197" s="47" t="s">
        <v>9</v>
      </c>
    </row>
    <row r="198" spans="1:30" ht="6.75" customHeight="1" x14ac:dyDescent="0.25">
      <c r="A198" s="38">
        <v>198</v>
      </c>
      <c r="B198" s="1" t="s">
        <v>725</v>
      </c>
      <c r="C198" s="57" t="s">
        <v>351</v>
      </c>
      <c r="D198" s="1" t="s">
        <v>1527</v>
      </c>
      <c r="E198" s="1" t="s">
        <v>1528</v>
      </c>
      <c r="F198" s="57" t="s">
        <v>1540</v>
      </c>
      <c r="G198" s="39" t="s">
        <v>9</v>
      </c>
      <c r="H198" s="39" t="s">
        <v>9</v>
      </c>
      <c r="I198" s="39" t="s">
        <v>9</v>
      </c>
      <c r="J198" s="39" t="s">
        <v>9</v>
      </c>
      <c r="K198" s="39" t="s">
        <v>9</v>
      </c>
      <c r="L198" s="23" t="str">
        <f t="shared" si="40"/>
        <v>Sistemas.Prediais</v>
      </c>
      <c r="M198" s="23" t="str">
        <f t="shared" si="41"/>
        <v>Sistemas.Esgotos</v>
      </c>
      <c r="N198" s="23" t="str">
        <f t="shared" si="39"/>
        <v>Sistema Esgoto</v>
      </c>
      <c r="O198" s="23" t="str">
        <f t="shared" si="42"/>
        <v>Sistema Esgoto Ventilação</v>
      </c>
      <c r="P198" s="58" t="s">
        <v>1549</v>
      </c>
      <c r="Q198" s="58" t="s">
        <v>1559</v>
      </c>
      <c r="R198" s="58" t="s">
        <v>1571</v>
      </c>
      <c r="S198" s="54" t="s">
        <v>9</v>
      </c>
      <c r="T198" s="46" t="str">
        <f t="shared" si="49"/>
        <v>Sistemas Prediais</v>
      </c>
      <c r="U198" s="46" t="str">
        <f t="shared" si="49"/>
        <v>Sistemas Esgotos</v>
      </c>
      <c r="V198" s="46" t="str">
        <f t="shared" si="48"/>
        <v>Sistema Esgoto</v>
      </c>
      <c r="W198" s="19" t="s">
        <v>459</v>
      </c>
      <c r="X198" s="40" t="str">
        <f t="shared" si="43"/>
        <v>Key-TUB-198</v>
      </c>
      <c r="Y198" s="37" t="s">
        <v>461</v>
      </c>
      <c r="Z198" s="47" t="s">
        <v>9</v>
      </c>
      <c r="AA198" s="37" t="s">
        <v>1579</v>
      </c>
      <c r="AB198" s="47" t="s">
        <v>9</v>
      </c>
      <c r="AC198" s="19" t="s">
        <v>1266</v>
      </c>
      <c r="AD198" s="47" t="s">
        <v>9</v>
      </c>
    </row>
    <row r="199" spans="1:30" ht="6.75" customHeight="1" x14ac:dyDescent="0.25">
      <c r="A199" s="38">
        <v>199</v>
      </c>
      <c r="B199" s="1" t="s">
        <v>725</v>
      </c>
      <c r="C199" s="57" t="s">
        <v>351</v>
      </c>
      <c r="D199" s="1" t="s">
        <v>1533</v>
      </c>
      <c r="E199" s="1" t="s">
        <v>1534</v>
      </c>
      <c r="F199" s="57" t="s">
        <v>1535</v>
      </c>
      <c r="G199" s="39" t="s">
        <v>9</v>
      </c>
      <c r="H199" s="39" t="s">
        <v>9</v>
      </c>
      <c r="I199" s="39" t="s">
        <v>9</v>
      </c>
      <c r="J199" s="39" t="s">
        <v>9</v>
      </c>
      <c r="K199" s="39" t="s">
        <v>9</v>
      </c>
      <c r="L199" s="23" t="str">
        <f t="shared" si="40"/>
        <v>Sistemas.Prediais</v>
      </c>
      <c r="M199" s="23" t="str">
        <f t="shared" si="41"/>
        <v>Sistemas.Gás</v>
      </c>
      <c r="N199" s="23" t="str">
        <f t="shared" si="39"/>
        <v>Sistema Gás</v>
      </c>
      <c r="O199" s="23" t="str">
        <f t="shared" si="42"/>
        <v>Sistema Gás Doméstico</v>
      </c>
      <c r="P199" s="58" t="s">
        <v>1553</v>
      </c>
      <c r="Q199" s="58" t="s">
        <v>1560</v>
      </c>
      <c r="R199" s="58" t="s">
        <v>1572</v>
      </c>
      <c r="S199" s="54" t="s">
        <v>9</v>
      </c>
      <c r="T199" s="46" t="str">
        <f t="shared" si="49"/>
        <v>Sistemas Prediais</v>
      </c>
      <c r="U199" s="46" t="str">
        <f t="shared" si="49"/>
        <v>Sistemas Gás</v>
      </c>
      <c r="V199" s="46" t="str">
        <f t="shared" si="48"/>
        <v>Sistema Gás</v>
      </c>
      <c r="W199" s="19" t="s">
        <v>459</v>
      </c>
      <c r="X199" s="40" t="str">
        <f t="shared" si="43"/>
        <v>Key-TUB-199</v>
      </c>
      <c r="Y199" s="37" t="s">
        <v>461</v>
      </c>
      <c r="Z199" s="47" t="s">
        <v>9</v>
      </c>
      <c r="AA199" s="37" t="s">
        <v>1579</v>
      </c>
      <c r="AB199" s="47" t="s">
        <v>9</v>
      </c>
      <c r="AC199" s="19" t="s">
        <v>1266</v>
      </c>
      <c r="AD199" s="47" t="s">
        <v>9</v>
      </c>
    </row>
    <row r="200" spans="1:30" ht="6.75" customHeight="1" x14ac:dyDescent="0.25">
      <c r="A200" s="38">
        <v>200</v>
      </c>
      <c r="B200" s="1" t="s">
        <v>725</v>
      </c>
      <c r="C200" s="57" t="s">
        <v>351</v>
      </c>
      <c r="D200" s="1" t="s">
        <v>1533</v>
      </c>
      <c r="E200" s="1" t="s">
        <v>1534</v>
      </c>
      <c r="F200" s="57" t="s">
        <v>1536</v>
      </c>
      <c r="G200" s="39" t="s">
        <v>9</v>
      </c>
      <c r="H200" s="39" t="s">
        <v>9</v>
      </c>
      <c r="I200" s="39" t="s">
        <v>9</v>
      </c>
      <c r="J200" s="39" t="s">
        <v>9</v>
      </c>
      <c r="K200" s="39" t="s">
        <v>9</v>
      </c>
      <c r="L200" s="23" t="str">
        <f t="shared" si="40"/>
        <v>Sistemas.Prediais</v>
      </c>
      <c r="M200" s="23" t="str">
        <f t="shared" si="41"/>
        <v>Sistemas.Gás</v>
      </c>
      <c r="N200" s="23" t="str">
        <f t="shared" si="39"/>
        <v>Sistema Gás</v>
      </c>
      <c r="O200" s="23" t="str">
        <f t="shared" si="42"/>
        <v>Sistema Gás Hospitalar</v>
      </c>
      <c r="P200" s="58" t="s">
        <v>1554</v>
      </c>
      <c r="Q200" s="58" t="s">
        <v>1561</v>
      </c>
      <c r="R200" s="58" t="s">
        <v>1573</v>
      </c>
      <c r="S200" s="54" t="s">
        <v>9</v>
      </c>
      <c r="T200" s="46" t="str">
        <f t="shared" si="49"/>
        <v>Sistemas Prediais</v>
      </c>
      <c r="U200" s="46" t="str">
        <f t="shared" si="49"/>
        <v>Sistemas Gás</v>
      </c>
      <c r="V200" s="46" t="str">
        <f t="shared" si="48"/>
        <v>Sistema Gás</v>
      </c>
      <c r="W200" s="19" t="s">
        <v>459</v>
      </c>
      <c r="X200" s="40" t="str">
        <f t="shared" si="43"/>
        <v>Key-TUB-200</v>
      </c>
      <c r="Y200" s="37" t="s">
        <v>461</v>
      </c>
      <c r="Z200" s="47" t="s">
        <v>9</v>
      </c>
      <c r="AA200" s="37" t="s">
        <v>1579</v>
      </c>
      <c r="AB200" s="47" t="s">
        <v>9</v>
      </c>
      <c r="AC200" s="19" t="s">
        <v>1266</v>
      </c>
      <c r="AD200" s="47" t="s">
        <v>9</v>
      </c>
    </row>
    <row r="201" spans="1:30" ht="6.75" customHeight="1" x14ac:dyDescent="0.25">
      <c r="A201" s="38">
        <v>201</v>
      </c>
      <c r="B201" s="1" t="s">
        <v>725</v>
      </c>
      <c r="C201" s="57" t="s">
        <v>351</v>
      </c>
      <c r="D201" s="1" t="s">
        <v>1150</v>
      </c>
      <c r="E201" s="1" t="s">
        <v>1460</v>
      </c>
      <c r="F201" s="57" t="s">
        <v>1542</v>
      </c>
      <c r="G201" s="39" t="s">
        <v>9</v>
      </c>
      <c r="H201" s="39" t="s">
        <v>9</v>
      </c>
      <c r="I201" s="39" t="s">
        <v>9</v>
      </c>
      <c r="J201" s="39" t="s">
        <v>9</v>
      </c>
      <c r="K201" s="39" t="s">
        <v>9</v>
      </c>
      <c r="L201" s="23" t="str">
        <f t="shared" si="40"/>
        <v>Sistemas.Prediais</v>
      </c>
      <c r="M201" s="23" t="str">
        <f t="shared" si="41"/>
        <v>Sistemas.Hidráulicos</v>
      </c>
      <c r="N201" s="23" t="str">
        <f t="shared" si="39"/>
        <v>Sistema Hidráulico</v>
      </c>
      <c r="O201" s="23" t="str">
        <f t="shared" si="42"/>
        <v>Sistema Agua Fria</v>
      </c>
      <c r="P201" s="58" t="s">
        <v>1545</v>
      </c>
      <c r="Q201" s="58" t="s">
        <v>1562</v>
      </c>
      <c r="R201" s="58" t="s">
        <v>1574</v>
      </c>
      <c r="S201" s="54" t="s">
        <v>9</v>
      </c>
      <c r="T201" s="46" t="str">
        <f t="shared" si="49"/>
        <v>Sistemas Prediais</v>
      </c>
      <c r="U201" s="46" t="str">
        <f t="shared" si="49"/>
        <v>Sistemas Hidráulicos</v>
      </c>
      <c r="V201" s="46" t="str">
        <f t="shared" si="48"/>
        <v>Sistema Hidráulico</v>
      </c>
      <c r="W201" s="19" t="s">
        <v>459</v>
      </c>
      <c r="X201" s="40" t="str">
        <f t="shared" si="43"/>
        <v>Key-TUB-201</v>
      </c>
      <c r="Y201" s="37" t="s">
        <v>461</v>
      </c>
      <c r="Z201" s="47" t="s">
        <v>9</v>
      </c>
      <c r="AA201" s="37" t="s">
        <v>1579</v>
      </c>
      <c r="AB201" s="47" t="s">
        <v>9</v>
      </c>
      <c r="AC201" s="19" t="s">
        <v>1266</v>
      </c>
      <c r="AD201" s="47" t="s">
        <v>9</v>
      </c>
    </row>
    <row r="202" spans="1:30" ht="6.75" customHeight="1" x14ac:dyDescent="0.25">
      <c r="A202" s="38">
        <v>202</v>
      </c>
      <c r="B202" s="1" t="s">
        <v>725</v>
      </c>
      <c r="C202" s="57" t="s">
        <v>351</v>
      </c>
      <c r="D202" s="1" t="s">
        <v>1150</v>
      </c>
      <c r="E202" s="1" t="s">
        <v>1460</v>
      </c>
      <c r="F202" s="57" t="s">
        <v>1541</v>
      </c>
      <c r="G202" s="39" t="s">
        <v>9</v>
      </c>
      <c r="H202" s="39" t="s">
        <v>9</v>
      </c>
      <c r="I202" s="39" t="s">
        <v>9</v>
      </c>
      <c r="J202" s="39" t="s">
        <v>9</v>
      </c>
      <c r="K202" s="39" t="s">
        <v>9</v>
      </c>
      <c r="L202" s="23" t="str">
        <f t="shared" si="40"/>
        <v>Sistemas.Prediais</v>
      </c>
      <c r="M202" s="23" t="str">
        <f t="shared" si="41"/>
        <v>Sistemas.Hidráulicos</v>
      </c>
      <c r="N202" s="23" t="str">
        <f t="shared" si="39"/>
        <v>Sistema Hidráulico</v>
      </c>
      <c r="O202" s="23" t="str">
        <f t="shared" si="42"/>
        <v>Sistema Agua Quente</v>
      </c>
      <c r="P202" s="58" t="s">
        <v>1546</v>
      </c>
      <c r="Q202" s="58" t="s">
        <v>1563</v>
      </c>
      <c r="R202" s="58" t="s">
        <v>1575</v>
      </c>
      <c r="S202" s="54" t="s">
        <v>9</v>
      </c>
      <c r="T202" s="46" t="str">
        <f t="shared" si="49"/>
        <v>Sistemas Prediais</v>
      </c>
      <c r="U202" s="46" t="str">
        <f t="shared" si="49"/>
        <v>Sistemas Hidráulicos</v>
      </c>
      <c r="V202" s="46" t="str">
        <f t="shared" si="48"/>
        <v>Sistema Hidráulico</v>
      </c>
      <c r="W202" s="19" t="s">
        <v>459</v>
      </c>
      <c r="X202" s="40" t="str">
        <f t="shared" si="43"/>
        <v>Key-TUB-202</v>
      </c>
      <c r="Y202" s="37" t="s">
        <v>461</v>
      </c>
      <c r="Z202" s="47" t="s">
        <v>9</v>
      </c>
      <c r="AA202" s="37" t="s">
        <v>1579</v>
      </c>
      <c r="AB202" s="47" t="s">
        <v>9</v>
      </c>
      <c r="AC202" s="19" t="s">
        <v>1266</v>
      </c>
      <c r="AD202" s="47" t="s">
        <v>9</v>
      </c>
    </row>
    <row r="203" spans="1:30" ht="6.75" customHeight="1" x14ac:dyDescent="0.25">
      <c r="A203" s="38">
        <v>203</v>
      </c>
      <c r="B203" s="1" t="s">
        <v>725</v>
      </c>
      <c r="C203" s="57" t="s">
        <v>351</v>
      </c>
      <c r="D203" s="1" t="s">
        <v>1150</v>
      </c>
      <c r="E203" s="1" t="s">
        <v>1460</v>
      </c>
      <c r="F203" s="57" t="s">
        <v>1461</v>
      </c>
      <c r="G203" s="39" t="s">
        <v>9</v>
      </c>
      <c r="H203" s="39" t="s">
        <v>9</v>
      </c>
      <c r="I203" s="39" t="s">
        <v>9</v>
      </c>
      <c r="J203" s="39" t="s">
        <v>9</v>
      </c>
      <c r="K203" s="39" t="s">
        <v>9</v>
      </c>
      <c r="L203" s="23" t="str">
        <f t="shared" si="40"/>
        <v>Sistemas.Prediais</v>
      </c>
      <c r="M203" s="23" t="str">
        <f t="shared" si="41"/>
        <v>Sistemas.Hidráulicos</v>
      </c>
      <c r="N203" s="23" t="str">
        <f t="shared" si="39"/>
        <v>Sistema Hidráulico</v>
      </c>
      <c r="O203" s="23" t="str">
        <f t="shared" si="42"/>
        <v>Sistema Pluvial</v>
      </c>
      <c r="P203" s="58" t="s">
        <v>1547</v>
      </c>
      <c r="Q203" s="58" t="s">
        <v>1564</v>
      </c>
      <c r="R203" s="58" t="s">
        <v>1576</v>
      </c>
      <c r="S203" s="54" t="s">
        <v>9</v>
      </c>
      <c r="T203" s="46" t="str">
        <f t="shared" si="49"/>
        <v>Sistemas Prediais</v>
      </c>
      <c r="U203" s="46" t="str">
        <f t="shared" si="49"/>
        <v>Sistemas Hidráulicos</v>
      </c>
      <c r="V203" s="46" t="str">
        <f t="shared" si="48"/>
        <v>Sistema Hidráulico</v>
      </c>
      <c r="W203" s="19" t="s">
        <v>459</v>
      </c>
      <c r="X203" s="40" t="str">
        <f t="shared" si="43"/>
        <v>Key-TUB-203</v>
      </c>
      <c r="Y203" s="37" t="s">
        <v>461</v>
      </c>
      <c r="Z203" s="47" t="s">
        <v>9</v>
      </c>
      <c r="AA203" s="37" t="s">
        <v>1579</v>
      </c>
      <c r="AB203" s="47" t="s">
        <v>9</v>
      </c>
      <c r="AC203" s="19" t="s">
        <v>1266</v>
      </c>
      <c r="AD203" s="47" t="s">
        <v>9</v>
      </c>
    </row>
    <row r="204" spans="1:30" ht="6.75" customHeight="1" x14ac:dyDescent="0.25">
      <c r="A204" s="38">
        <v>204</v>
      </c>
      <c r="B204" s="1" t="s">
        <v>725</v>
      </c>
      <c r="C204" s="57" t="s">
        <v>351</v>
      </c>
      <c r="D204" s="1" t="s">
        <v>1526</v>
      </c>
      <c r="E204" s="1" t="s">
        <v>1265</v>
      </c>
      <c r="F204" s="57" t="s">
        <v>1532</v>
      </c>
      <c r="G204" s="39" t="s">
        <v>9</v>
      </c>
      <c r="H204" s="39" t="s">
        <v>9</v>
      </c>
      <c r="I204" s="39" t="s">
        <v>9</v>
      </c>
      <c r="J204" s="39" t="s">
        <v>9</v>
      </c>
      <c r="K204" s="39" t="s">
        <v>9</v>
      </c>
      <c r="L204" s="23" t="str">
        <f t="shared" si="40"/>
        <v>Sistemas.Prediais</v>
      </c>
      <c r="M204" s="23" t="str">
        <f t="shared" si="41"/>
        <v>Sistemas.Incêndio</v>
      </c>
      <c r="N204" s="23" t="str">
        <f t="shared" si="39"/>
        <v>Sistema Incêndio</v>
      </c>
      <c r="O204" s="23" t="str">
        <f t="shared" si="42"/>
        <v>Sistema Ativo</v>
      </c>
      <c r="P204" s="58" t="s">
        <v>1544</v>
      </c>
      <c r="Q204" s="58" t="s">
        <v>1565</v>
      </c>
      <c r="R204" s="58" t="s">
        <v>1577</v>
      </c>
      <c r="S204" s="54" t="s">
        <v>9</v>
      </c>
      <c r="T204" s="46" t="str">
        <f t="shared" si="49"/>
        <v>Sistemas Prediais</v>
      </c>
      <c r="U204" s="46" t="str">
        <f t="shared" si="49"/>
        <v>Sistemas Incêndio</v>
      </c>
      <c r="V204" s="46" t="str">
        <f t="shared" si="48"/>
        <v>Sistema Incêndio</v>
      </c>
      <c r="W204" s="19" t="s">
        <v>459</v>
      </c>
      <c r="X204" s="40" t="str">
        <f t="shared" si="43"/>
        <v>Key-TUB-204</v>
      </c>
      <c r="Y204" s="37" t="s">
        <v>461</v>
      </c>
      <c r="Z204" s="47" t="s">
        <v>9</v>
      </c>
      <c r="AA204" s="37" t="s">
        <v>1579</v>
      </c>
      <c r="AB204" s="47" t="s">
        <v>9</v>
      </c>
      <c r="AC204" s="19" t="s">
        <v>1266</v>
      </c>
      <c r="AD204" s="47" t="s">
        <v>9</v>
      </c>
    </row>
    <row r="205" spans="1:30" ht="6.75" customHeight="1" x14ac:dyDescent="0.25">
      <c r="A205" s="38">
        <v>205</v>
      </c>
      <c r="B205" s="1" t="s">
        <v>725</v>
      </c>
      <c r="C205" s="57" t="s">
        <v>351</v>
      </c>
      <c r="D205" s="1" t="s">
        <v>1526</v>
      </c>
      <c r="E205" s="1" t="s">
        <v>1265</v>
      </c>
      <c r="F205" s="57" t="s">
        <v>1531</v>
      </c>
      <c r="G205" s="39" t="s">
        <v>9</v>
      </c>
      <c r="H205" s="39" t="s">
        <v>9</v>
      </c>
      <c r="I205" s="39" t="s">
        <v>9</v>
      </c>
      <c r="J205" s="39" t="s">
        <v>9</v>
      </c>
      <c r="K205" s="39" t="s">
        <v>9</v>
      </c>
      <c r="L205" s="23" t="str">
        <f t="shared" si="40"/>
        <v>Sistemas.Prediais</v>
      </c>
      <c r="M205" s="23" t="str">
        <f t="shared" si="41"/>
        <v>Sistemas.Incêndio</v>
      </c>
      <c r="N205" s="23" t="str">
        <f t="shared" si="39"/>
        <v>Sistema Incêndio</v>
      </c>
      <c r="O205" s="23" t="str">
        <f t="shared" si="42"/>
        <v>Sistema Passivo</v>
      </c>
      <c r="P205" s="58" t="s">
        <v>1543</v>
      </c>
      <c r="Q205" s="58" t="s">
        <v>1566</v>
      </c>
      <c r="R205" s="58" t="s">
        <v>1578</v>
      </c>
      <c r="S205" s="54" t="s">
        <v>9</v>
      </c>
      <c r="T205" s="46" t="str">
        <f t="shared" si="49"/>
        <v>Sistemas Prediais</v>
      </c>
      <c r="U205" s="46" t="str">
        <f t="shared" si="49"/>
        <v>Sistemas Incêndio</v>
      </c>
      <c r="V205" s="46" t="str">
        <f t="shared" si="48"/>
        <v>Sistema Incêndio</v>
      </c>
      <c r="W205" s="19" t="s">
        <v>459</v>
      </c>
      <c r="X205" s="40" t="str">
        <f t="shared" si="43"/>
        <v>Key-TUB-205</v>
      </c>
      <c r="Y205" s="37" t="s">
        <v>461</v>
      </c>
      <c r="Z205" s="47" t="s">
        <v>9</v>
      </c>
      <c r="AA205" s="37" t="s">
        <v>1579</v>
      </c>
      <c r="AB205" s="47" t="s">
        <v>9</v>
      </c>
      <c r="AC205" s="19" t="s">
        <v>1266</v>
      </c>
      <c r="AD205" s="47" t="s">
        <v>9</v>
      </c>
    </row>
    <row r="206" spans="1:30" ht="6.75" customHeight="1" x14ac:dyDescent="0.25">
      <c r="A206" s="38">
        <v>206</v>
      </c>
      <c r="B206" s="1" t="s">
        <v>725</v>
      </c>
      <c r="C206" s="57" t="s">
        <v>1596</v>
      </c>
      <c r="D206" s="1" t="s">
        <v>1995</v>
      </c>
      <c r="E206" s="62" t="s">
        <v>2049</v>
      </c>
      <c r="F206" s="22" t="s">
        <v>1997</v>
      </c>
      <c r="G206" s="39" t="s">
        <v>9</v>
      </c>
      <c r="H206" s="39" t="s">
        <v>9</v>
      </c>
      <c r="I206" s="39" t="s">
        <v>9</v>
      </c>
      <c r="J206" s="39" t="s">
        <v>9</v>
      </c>
      <c r="K206" s="39" t="s">
        <v>9</v>
      </c>
      <c r="L206" s="23" t="str">
        <f t="shared" si="40"/>
        <v>Elementos.Instalações</v>
      </c>
      <c r="M206" s="23" t="str">
        <f t="shared" si="41"/>
        <v>Elementos.AntiVibração</v>
      </c>
      <c r="N206" s="23" t="str">
        <f t="shared" si="39"/>
        <v>Elemento Damper</v>
      </c>
      <c r="O206" s="23" t="str">
        <f t="shared" si="42"/>
        <v>Amortecedor</v>
      </c>
      <c r="P206" s="19" t="s">
        <v>1849</v>
      </c>
      <c r="Q206" s="19" t="s">
        <v>1850</v>
      </c>
      <c r="R206" s="19" t="s">
        <v>1851</v>
      </c>
      <c r="S206" s="54" t="s">
        <v>9</v>
      </c>
      <c r="T206" s="19" t="str">
        <f t="shared" ref="T206:U206" si="50">SUBSTITUTE(C206, "_", " ")</f>
        <v>Elementos.Instalações</v>
      </c>
      <c r="U206" s="19" t="str">
        <f t="shared" si="50"/>
        <v>Elementos.AntiVibração</v>
      </c>
      <c r="V206" s="46" t="str">
        <f t="shared" si="48"/>
        <v>Elemento Damper</v>
      </c>
      <c r="W206" s="19" t="s">
        <v>459</v>
      </c>
      <c r="X206" s="40" t="str">
        <f t="shared" si="43"/>
        <v>Key-TUB-206</v>
      </c>
      <c r="Y206" s="19" t="s">
        <v>1852</v>
      </c>
      <c r="Z206" s="47" t="s">
        <v>9</v>
      </c>
      <c r="AA206" s="37" t="s">
        <v>1853</v>
      </c>
      <c r="AB206" s="47" t="s">
        <v>9</v>
      </c>
      <c r="AC206" s="19" t="s">
        <v>1711</v>
      </c>
      <c r="AD206" s="47" t="s">
        <v>9</v>
      </c>
    </row>
    <row r="207" spans="1:30" ht="6.75" customHeight="1" x14ac:dyDescent="0.25">
      <c r="A207" s="38">
        <v>207</v>
      </c>
      <c r="B207" s="1" t="s">
        <v>725</v>
      </c>
      <c r="C207" s="57" t="s">
        <v>1596</v>
      </c>
      <c r="D207" s="1" t="s">
        <v>1995</v>
      </c>
      <c r="E207" s="62" t="s">
        <v>2049</v>
      </c>
      <c r="F207" s="22" t="s">
        <v>1998</v>
      </c>
      <c r="G207" s="39" t="s">
        <v>9</v>
      </c>
      <c r="H207" s="39" t="s">
        <v>9</v>
      </c>
      <c r="I207" s="39" t="s">
        <v>9</v>
      </c>
      <c r="J207" s="39" t="s">
        <v>9</v>
      </c>
      <c r="K207" s="39" t="s">
        <v>9</v>
      </c>
      <c r="L207" s="23" t="str">
        <f t="shared" si="40"/>
        <v>Elementos.Instalações</v>
      </c>
      <c r="M207" s="23" t="str">
        <f t="shared" si="41"/>
        <v>Elementos.AntiVibração</v>
      </c>
      <c r="N207" s="23" t="str">
        <f t="shared" ref="N207:N270" si="51">(SUBSTITUTE(SUBSTITUTE(CONCATENATE("",E207),"."," ")," De "," de "))</f>
        <v>Elemento Damper</v>
      </c>
      <c r="O207" s="23" t="str">
        <f t="shared" si="42"/>
        <v>Vibração Amortecedor</v>
      </c>
      <c r="P207" s="19" t="s">
        <v>1854</v>
      </c>
      <c r="Q207" s="19" t="s">
        <v>1855</v>
      </c>
      <c r="R207" s="19" t="s">
        <v>1856</v>
      </c>
      <c r="S207" s="54" t="s">
        <v>9</v>
      </c>
      <c r="T207" s="19" t="str">
        <f t="shared" ref="T207:U208" si="52">SUBSTITUTE(C207, "_", " ")</f>
        <v>Elementos.Instalações</v>
      </c>
      <c r="U207" s="19" t="str">
        <f t="shared" si="52"/>
        <v>Elementos.AntiVibração</v>
      </c>
      <c r="V207" s="46" t="str">
        <f t="shared" si="48"/>
        <v>Elemento Damper</v>
      </c>
      <c r="W207" s="19" t="s">
        <v>459</v>
      </c>
      <c r="X207" s="40" t="str">
        <f t="shared" si="43"/>
        <v>Key-TUB-207</v>
      </c>
      <c r="Y207" s="19" t="s">
        <v>1852</v>
      </c>
      <c r="Z207" s="47" t="s">
        <v>9</v>
      </c>
      <c r="AA207" s="37" t="s">
        <v>1857</v>
      </c>
      <c r="AB207" s="47" t="s">
        <v>9</v>
      </c>
      <c r="AC207" s="19" t="s">
        <v>1711</v>
      </c>
      <c r="AD207" s="47" t="s">
        <v>9</v>
      </c>
    </row>
    <row r="208" spans="1:30" ht="6.75" customHeight="1" x14ac:dyDescent="0.25">
      <c r="A208" s="38">
        <v>208</v>
      </c>
      <c r="B208" s="1" t="s">
        <v>725</v>
      </c>
      <c r="C208" s="57" t="s">
        <v>1596</v>
      </c>
      <c r="D208" s="1" t="s">
        <v>1995</v>
      </c>
      <c r="E208" s="62" t="s">
        <v>2049</v>
      </c>
      <c r="F208" s="22" t="s">
        <v>1999</v>
      </c>
      <c r="G208" s="39" t="s">
        <v>9</v>
      </c>
      <c r="H208" s="39" t="s">
        <v>9</v>
      </c>
      <c r="I208" s="39" t="s">
        <v>9</v>
      </c>
      <c r="J208" s="39" t="s">
        <v>9</v>
      </c>
      <c r="K208" s="39" t="s">
        <v>9</v>
      </c>
      <c r="L208" s="23" t="str">
        <f t="shared" ref="L208:L271" si="53">CONCATENATE("", C208)</f>
        <v>Elementos.Instalações</v>
      </c>
      <c r="M208" s="23" t="str">
        <f t="shared" ref="M208:M271" si="54">CONCATENATE("", D208)</f>
        <v>Elementos.AntiVibração</v>
      </c>
      <c r="N208" s="23" t="str">
        <f t="shared" si="51"/>
        <v>Elemento Damper</v>
      </c>
      <c r="O208" s="23" t="str">
        <f t="shared" ref="O208:O271" si="55">(SUBSTITUTE(SUBSTITUTE(CONCATENATE("",F208),"."," ")," De "," de "))</f>
        <v>Vibração Isolador</v>
      </c>
      <c r="P208" s="19" t="s">
        <v>1858</v>
      </c>
      <c r="Q208" s="19" t="s">
        <v>1859</v>
      </c>
      <c r="R208" s="19" t="s">
        <v>1860</v>
      </c>
      <c r="S208" s="54" t="s">
        <v>9</v>
      </c>
      <c r="T208" s="19" t="str">
        <f t="shared" si="52"/>
        <v>Elementos.Instalações</v>
      </c>
      <c r="U208" s="19" t="str">
        <f t="shared" si="52"/>
        <v>Elementos.AntiVibração</v>
      </c>
      <c r="V208" s="46" t="str">
        <f t="shared" si="48"/>
        <v>Elemento Damper</v>
      </c>
      <c r="W208" s="19" t="s">
        <v>459</v>
      </c>
      <c r="X208" s="40" t="str">
        <f t="shared" ref="X208:X271" si="56">CONCATENATE("Key-TUB-",A208)</f>
        <v>Key-TUB-208</v>
      </c>
      <c r="Y208" s="19" t="s">
        <v>1861</v>
      </c>
      <c r="Z208" s="47" t="s">
        <v>9</v>
      </c>
      <c r="AA208" s="37" t="s">
        <v>1862</v>
      </c>
      <c r="AB208" s="47" t="s">
        <v>9</v>
      </c>
      <c r="AC208" s="19" t="s">
        <v>1711</v>
      </c>
      <c r="AD208" s="47" t="s">
        <v>9</v>
      </c>
    </row>
    <row r="209" spans="1:30" ht="6.75" customHeight="1" x14ac:dyDescent="0.25">
      <c r="A209" s="38">
        <v>209</v>
      </c>
      <c r="B209" s="1" t="s">
        <v>725</v>
      </c>
      <c r="C209" s="57" t="s">
        <v>1596</v>
      </c>
      <c r="D209" s="1" t="s">
        <v>1996</v>
      </c>
      <c r="E209" s="1" t="s">
        <v>2050</v>
      </c>
      <c r="F209" s="22" t="s">
        <v>2000</v>
      </c>
      <c r="G209" s="39" t="s">
        <v>9</v>
      </c>
      <c r="H209" s="39" t="s">
        <v>9</v>
      </c>
      <c r="I209" s="39" t="s">
        <v>9</v>
      </c>
      <c r="J209" s="39" t="s">
        <v>9</v>
      </c>
      <c r="K209" s="39" t="s">
        <v>9</v>
      </c>
      <c r="L209" s="23" t="str">
        <f t="shared" si="53"/>
        <v>Elementos.Instalações</v>
      </c>
      <c r="M209" s="23" t="str">
        <f t="shared" si="54"/>
        <v>Elementos.Sensorização</v>
      </c>
      <c r="N209" s="23" t="str">
        <f t="shared" si="51"/>
        <v>Elemento Sensor</v>
      </c>
      <c r="O209" s="23" t="str">
        <f t="shared" si="55"/>
        <v>Sensor</v>
      </c>
      <c r="P209" s="19" t="s">
        <v>1863</v>
      </c>
      <c r="Q209" s="19" t="s">
        <v>1864</v>
      </c>
      <c r="R209" s="19" t="s">
        <v>1865</v>
      </c>
      <c r="S209" s="54" t="s">
        <v>9</v>
      </c>
      <c r="T209" s="19" t="str">
        <f t="shared" ref="T209:U241" si="57">SUBSTITUTE(C209, ".", " ")</f>
        <v>Elementos Instalações</v>
      </c>
      <c r="U209" s="19" t="str">
        <f t="shared" si="57"/>
        <v>Elementos Sensorização</v>
      </c>
      <c r="V209" s="46" t="str">
        <f t="shared" si="48"/>
        <v>Elemento Sensor</v>
      </c>
      <c r="W209" s="19" t="s">
        <v>459</v>
      </c>
      <c r="X209" s="40" t="str">
        <f t="shared" si="56"/>
        <v>Key-TUB-209</v>
      </c>
      <c r="Y209" s="19" t="s">
        <v>1328</v>
      </c>
      <c r="Z209" s="47" t="s">
        <v>9</v>
      </c>
      <c r="AA209" s="37" t="s">
        <v>1866</v>
      </c>
      <c r="AB209" s="47" t="s">
        <v>9</v>
      </c>
      <c r="AC209" s="19" t="s">
        <v>1711</v>
      </c>
      <c r="AD209" s="47" t="s">
        <v>9</v>
      </c>
    </row>
    <row r="210" spans="1:30" ht="6.75" customHeight="1" x14ac:dyDescent="0.25">
      <c r="A210" s="38">
        <v>210</v>
      </c>
      <c r="B210" s="1" t="s">
        <v>725</v>
      </c>
      <c r="C210" s="57" t="s">
        <v>1596</v>
      </c>
      <c r="D210" s="1" t="s">
        <v>1996</v>
      </c>
      <c r="E210" s="1" t="s">
        <v>2050</v>
      </c>
      <c r="F210" s="22" t="s">
        <v>2001</v>
      </c>
      <c r="G210" s="39" t="s">
        <v>9</v>
      </c>
      <c r="H210" s="39" t="s">
        <v>9</v>
      </c>
      <c r="I210" s="39" t="s">
        <v>9</v>
      </c>
      <c r="J210" s="39" t="s">
        <v>9</v>
      </c>
      <c r="K210" s="39" t="s">
        <v>9</v>
      </c>
      <c r="L210" s="23" t="str">
        <f t="shared" si="53"/>
        <v>Elementos.Instalações</v>
      </c>
      <c r="M210" s="23" t="str">
        <f t="shared" si="54"/>
        <v>Elementos.Sensorização</v>
      </c>
      <c r="N210" s="23" t="str">
        <f t="shared" si="51"/>
        <v>Elemento Sensor</v>
      </c>
      <c r="O210" s="23" t="str">
        <f t="shared" si="55"/>
        <v>Sensor de Monóxido Carbono</v>
      </c>
      <c r="P210" s="19" t="s">
        <v>1867</v>
      </c>
      <c r="Q210" s="19" t="s">
        <v>1868</v>
      </c>
      <c r="R210" s="19" t="s">
        <v>1869</v>
      </c>
      <c r="S210" s="54" t="s">
        <v>9</v>
      </c>
      <c r="T210" s="19" t="str">
        <f t="shared" si="57"/>
        <v>Elementos Instalações</v>
      </c>
      <c r="U210" s="19" t="str">
        <f t="shared" si="57"/>
        <v>Elementos Sensorização</v>
      </c>
      <c r="V210" s="46" t="str">
        <f t="shared" si="48"/>
        <v>Elemento Sensor</v>
      </c>
      <c r="W210" s="19" t="s">
        <v>459</v>
      </c>
      <c r="X210" s="40" t="str">
        <f t="shared" si="56"/>
        <v>Key-TUB-210</v>
      </c>
      <c r="Y210" s="19" t="s">
        <v>1328</v>
      </c>
      <c r="Z210" s="47" t="s">
        <v>9</v>
      </c>
      <c r="AA210" s="37" t="s">
        <v>1870</v>
      </c>
      <c r="AB210" s="47" t="s">
        <v>9</v>
      </c>
      <c r="AC210" s="19" t="s">
        <v>1711</v>
      </c>
      <c r="AD210" s="47" t="s">
        <v>9</v>
      </c>
    </row>
    <row r="211" spans="1:30" ht="6.75" customHeight="1" x14ac:dyDescent="0.25">
      <c r="A211" s="38">
        <v>211</v>
      </c>
      <c r="B211" s="1" t="s">
        <v>725</v>
      </c>
      <c r="C211" s="57" t="s">
        <v>1596</v>
      </c>
      <c r="D211" s="1" t="s">
        <v>1996</v>
      </c>
      <c r="E211" s="1" t="s">
        <v>2050</v>
      </c>
      <c r="F211" s="22" t="s">
        <v>2002</v>
      </c>
      <c r="G211" s="39" t="s">
        <v>9</v>
      </c>
      <c r="H211" s="39" t="s">
        <v>9</v>
      </c>
      <c r="I211" s="39" t="s">
        <v>9</v>
      </c>
      <c r="J211" s="39" t="s">
        <v>9</v>
      </c>
      <c r="K211" s="39" t="s">
        <v>9</v>
      </c>
      <c r="L211" s="23" t="str">
        <f t="shared" si="53"/>
        <v>Elementos.Instalações</v>
      </c>
      <c r="M211" s="23" t="str">
        <f t="shared" si="54"/>
        <v>Elementos.Sensorização</v>
      </c>
      <c r="N211" s="23" t="str">
        <f t="shared" si="51"/>
        <v>Elemento Sensor</v>
      </c>
      <c r="O211" s="23" t="str">
        <f t="shared" si="55"/>
        <v>Sensor de Dióxido Carbono</v>
      </c>
      <c r="P211" s="19" t="s">
        <v>1871</v>
      </c>
      <c r="Q211" s="19" t="s">
        <v>1872</v>
      </c>
      <c r="R211" s="19" t="s">
        <v>1873</v>
      </c>
      <c r="S211" s="54" t="s">
        <v>9</v>
      </c>
      <c r="T211" s="19" t="str">
        <f t="shared" si="57"/>
        <v>Elementos Instalações</v>
      </c>
      <c r="U211" s="19" t="str">
        <f t="shared" si="57"/>
        <v>Elementos Sensorização</v>
      </c>
      <c r="V211" s="46" t="str">
        <f t="shared" si="48"/>
        <v>Elemento Sensor</v>
      </c>
      <c r="W211" s="19" t="s">
        <v>459</v>
      </c>
      <c r="X211" s="40" t="str">
        <f t="shared" si="56"/>
        <v>Key-TUB-211</v>
      </c>
      <c r="Y211" s="19" t="s">
        <v>1328</v>
      </c>
      <c r="Z211" s="47" t="s">
        <v>9</v>
      </c>
      <c r="AA211" s="37" t="s">
        <v>1874</v>
      </c>
      <c r="AB211" s="47" t="s">
        <v>9</v>
      </c>
      <c r="AC211" s="19" t="s">
        <v>1711</v>
      </c>
      <c r="AD211" s="47" t="s">
        <v>9</v>
      </c>
    </row>
    <row r="212" spans="1:30" ht="6.75" customHeight="1" x14ac:dyDescent="0.25">
      <c r="A212" s="38">
        <v>212</v>
      </c>
      <c r="B212" s="1" t="s">
        <v>725</v>
      </c>
      <c r="C212" s="57" t="s">
        <v>1596</v>
      </c>
      <c r="D212" s="1" t="s">
        <v>1996</v>
      </c>
      <c r="E212" s="1" t="s">
        <v>2050</v>
      </c>
      <c r="F212" s="22" t="s">
        <v>2003</v>
      </c>
      <c r="G212" s="39" t="s">
        <v>9</v>
      </c>
      <c r="H212" s="39" t="s">
        <v>9</v>
      </c>
      <c r="I212" s="39" t="s">
        <v>9</v>
      </c>
      <c r="J212" s="39" t="s">
        <v>9</v>
      </c>
      <c r="K212" s="39" t="s">
        <v>9</v>
      </c>
      <c r="L212" s="23" t="str">
        <f t="shared" si="53"/>
        <v>Elementos.Instalações</v>
      </c>
      <c r="M212" s="23" t="str">
        <f t="shared" si="54"/>
        <v>Elementos.Sensorização</v>
      </c>
      <c r="N212" s="23" t="str">
        <f t="shared" si="51"/>
        <v>Elemento Sensor</v>
      </c>
      <c r="O212" s="23" t="str">
        <f t="shared" si="55"/>
        <v>Sensor de Condutância</v>
      </c>
      <c r="P212" s="19" t="s">
        <v>1875</v>
      </c>
      <c r="Q212" s="19" t="s">
        <v>1876</v>
      </c>
      <c r="R212" s="19" t="s">
        <v>1877</v>
      </c>
      <c r="S212" s="54" t="s">
        <v>9</v>
      </c>
      <c r="T212" s="19" t="str">
        <f t="shared" si="57"/>
        <v>Elementos Instalações</v>
      </c>
      <c r="U212" s="19" t="str">
        <f t="shared" si="57"/>
        <v>Elementos Sensorização</v>
      </c>
      <c r="V212" s="46" t="str">
        <f t="shared" si="48"/>
        <v>Elemento Sensor</v>
      </c>
      <c r="W212" s="19" t="s">
        <v>459</v>
      </c>
      <c r="X212" s="40" t="str">
        <f t="shared" si="56"/>
        <v>Key-TUB-212</v>
      </c>
      <c r="Y212" s="19" t="s">
        <v>1328</v>
      </c>
      <c r="Z212" s="47" t="s">
        <v>9</v>
      </c>
      <c r="AA212" s="37" t="s">
        <v>1878</v>
      </c>
      <c r="AB212" s="47" t="s">
        <v>9</v>
      </c>
      <c r="AC212" s="19" t="s">
        <v>1711</v>
      </c>
      <c r="AD212" s="47" t="s">
        <v>9</v>
      </c>
    </row>
    <row r="213" spans="1:30" ht="6.75" customHeight="1" x14ac:dyDescent="0.25">
      <c r="A213" s="38">
        <v>213</v>
      </c>
      <c r="B213" s="1" t="s">
        <v>725</v>
      </c>
      <c r="C213" s="57" t="s">
        <v>1596</v>
      </c>
      <c r="D213" s="1" t="s">
        <v>1996</v>
      </c>
      <c r="E213" s="1" t="s">
        <v>2050</v>
      </c>
      <c r="F213" s="22" t="s">
        <v>2004</v>
      </c>
      <c r="G213" s="39" t="s">
        <v>9</v>
      </c>
      <c r="H213" s="39" t="s">
        <v>9</v>
      </c>
      <c r="I213" s="39" t="s">
        <v>9</v>
      </c>
      <c r="J213" s="39" t="s">
        <v>9</v>
      </c>
      <c r="K213" s="39" t="s">
        <v>9</v>
      </c>
      <c r="L213" s="23" t="str">
        <f t="shared" si="53"/>
        <v>Elementos.Instalações</v>
      </c>
      <c r="M213" s="23" t="str">
        <f t="shared" si="54"/>
        <v>Elementos.Sensorização</v>
      </c>
      <c r="N213" s="23" t="str">
        <f t="shared" si="51"/>
        <v>Elemento Sensor</v>
      </c>
      <c r="O213" s="23" t="str">
        <f t="shared" si="55"/>
        <v>Sensor de Contato</v>
      </c>
      <c r="P213" s="19" t="s">
        <v>1879</v>
      </c>
      <c r="Q213" s="19" t="s">
        <v>1880</v>
      </c>
      <c r="R213" s="19" t="s">
        <v>1881</v>
      </c>
      <c r="S213" s="54" t="s">
        <v>9</v>
      </c>
      <c r="T213" s="19" t="str">
        <f t="shared" si="57"/>
        <v>Elementos Instalações</v>
      </c>
      <c r="U213" s="19" t="str">
        <f t="shared" si="57"/>
        <v>Elementos Sensorização</v>
      </c>
      <c r="V213" s="46" t="str">
        <f t="shared" si="48"/>
        <v>Elemento Sensor</v>
      </c>
      <c r="W213" s="19" t="s">
        <v>459</v>
      </c>
      <c r="X213" s="40" t="str">
        <f t="shared" si="56"/>
        <v>Key-TUB-213</v>
      </c>
      <c r="Y213" s="19" t="s">
        <v>1328</v>
      </c>
      <c r="Z213" s="47" t="s">
        <v>9</v>
      </c>
      <c r="AA213" s="37" t="s">
        <v>1882</v>
      </c>
      <c r="AB213" s="47" t="s">
        <v>9</v>
      </c>
      <c r="AC213" s="19" t="s">
        <v>1711</v>
      </c>
      <c r="AD213" s="47" t="s">
        <v>9</v>
      </c>
    </row>
    <row r="214" spans="1:30" ht="6.75" customHeight="1" x14ac:dyDescent="0.25">
      <c r="A214" s="38">
        <v>214</v>
      </c>
      <c r="B214" s="1" t="s">
        <v>725</v>
      </c>
      <c r="C214" s="57" t="s">
        <v>1596</v>
      </c>
      <c r="D214" s="1" t="s">
        <v>1996</v>
      </c>
      <c r="E214" s="1" t="s">
        <v>2050</v>
      </c>
      <c r="F214" s="22" t="s">
        <v>2005</v>
      </c>
      <c r="G214" s="39" t="s">
        <v>9</v>
      </c>
      <c r="H214" s="39" t="s">
        <v>9</v>
      </c>
      <c r="I214" s="39" t="s">
        <v>9</v>
      </c>
      <c r="J214" s="39" t="s">
        <v>9</v>
      </c>
      <c r="K214" s="39" t="s">
        <v>9</v>
      </c>
      <c r="L214" s="23" t="str">
        <f t="shared" si="53"/>
        <v>Elementos.Instalações</v>
      </c>
      <c r="M214" s="23" t="str">
        <f t="shared" si="54"/>
        <v>Elementos.Sensorização</v>
      </c>
      <c r="N214" s="23" t="str">
        <f t="shared" si="51"/>
        <v>Elemento Sensor</v>
      </c>
      <c r="O214" s="23" t="str">
        <f t="shared" si="55"/>
        <v>Sensor de Sismos</v>
      </c>
      <c r="P214" s="19" t="s">
        <v>1883</v>
      </c>
      <c r="Q214" s="19" t="s">
        <v>1884</v>
      </c>
      <c r="R214" s="19" t="s">
        <v>1885</v>
      </c>
      <c r="S214" s="54" t="s">
        <v>9</v>
      </c>
      <c r="T214" s="19" t="str">
        <f t="shared" si="57"/>
        <v>Elementos Instalações</v>
      </c>
      <c r="U214" s="19" t="str">
        <f t="shared" si="57"/>
        <v>Elementos Sensorização</v>
      </c>
      <c r="V214" s="46" t="str">
        <f t="shared" si="48"/>
        <v>Elemento Sensor</v>
      </c>
      <c r="W214" s="19" t="s">
        <v>459</v>
      </c>
      <c r="X214" s="40" t="str">
        <f t="shared" si="56"/>
        <v>Key-TUB-214</v>
      </c>
      <c r="Y214" s="19" t="s">
        <v>1328</v>
      </c>
      <c r="Z214" s="47" t="s">
        <v>9</v>
      </c>
      <c r="AA214" s="37" t="s">
        <v>1886</v>
      </c>
      <c r="AB214" s="47" t="s">
        <v>9</v>
      </c>
      <c r="AC214" s="19" t="s">
        <v>1711</v>
      </c>
      <c r="AD214" s="47" t="s">
        <v>9</v>
      </c>
    </row>
    <row r="215" spans="1:30" ht="6.75" customHeight="1" x14ac:dyDescent="0.25">
      <c r="A215" s="38">
        <v>215</v>
      </c>
      <c r="B215" s="1" t="s">
        <v>725</v>
      </c>
      <c r="C215" s="57" t="s">
        <v>1596</v>
      </c>
      <c r="D215" s="1" t="s">
        <v>1996</v>
      </c>
      <c r="E215" s="1" t="s">
        <v>2050</v>
      </c>
      <c r="F215" s="22" t="s">
        <v>2006</v>
      </c>
      <c r="G215" s="39" t="s">
        <v>9</v>
      </c>
      <c r="H215" s="39" t="s">
        <v>9</v>
      </c>
      <c r="I215" s="39" t="s">
        <v>9</v>
      </c>
      <c r="J215" s="39" t="s">
        <v>9</v>
      </c>
      <c r="K215" s="39" t="s">
        <v>9</v>
      </c>
      <c r="L215" s="23" t="str">
        <f t="shared" si="53"/>
        <v>Elementos.Instalações</v>
      </c>
      <c r="M215" s="23" t="str">
        <f t="shared" si="54"/>
        <v>Elementos.Sensorização</v>
      </c>
      <c r="N215" s="23" t="str">
        <f t="shared" si="51"/>
        <v>Elemento Sensor</v>
      </c>
      <c r="O215" s="23" t="str">
        <f t="shared" si="55"/>
        <v>Sensor de Incêndio</v>
      </c>
      <c r="P215" s="19" t="s">
        <v>1887</v>
      </c>
      <c r="Q215" s="19" t="s">
        <v>1888</v>
      </c>
      <c r="R215" s="19" t="s">
        <v>1889</v>
      </c>
      <c r="S215" s="54" t="s">
        <v>9</v>
      </c>
      <c r="T215" s="19" t="str">
        <f t="shared" si="57"/>
        <v>Elementos Instalações</v>
      </c>
      <c r="U215" s="19" t="str">
        <f t="shared" si="57"/>
        <v>Elementos Sensorização</v>
      </c>
      <c r="V215" s="46" t="str">
        <f t="shared" si="48"/>
        <v>Elemento Sensor</v>
      </c>
      <c r="W215" s="19" t="s">
        <v>459</v>
      </c>
      <c r="X215" s="40" t="str">
        <f t="shared" si="56"/>
        <v>Key-TUB-215</v>
      </c>
      <c r="Y215" s="19" t="s">
        <v>1328</v>
      </c>
      <c r="Z215" s="47" t="s">
        <v>9</v>
      </c>
      <c r="AA215" s="37" t="s">
        <v>1890</v>
      </c>
      <c r="AB215" s="47" t="s">
        <v>9</v>
      </c>
      <c r="AC215" s="19" t="s">
        <v>1711</v>
      </c>
      <c r="AD215" s="47" t="s">
        <v>9</v>
      </c>
    </row>
    <row r="216" spans="1:30" ht="6.75" customHeight="1" x14ac:dyDescent="0.25">
      <c r="A216" s="38">
        <v>216</v>
      </c>
      <c r="B216" s="1" t="s">
        <v>725</v>
      </c>
      <c r="C216" s="57" t="s">
        <v>1596</v>
      </c>
      <c r="D216" s="1" t="s">
        <v>1996</v>
      </c>
      <c r="E216" s="1" t="s">
        <v>2050</v>
      </c>
      <c r="F216" s="22" t="s">
        <v>2007</v>
      </c>
      <c r="G216" s="39" t="s">
        <v>9</v>
      </c>
      <c r="H216" s="39" t="s">
        <v>9</v>
      </c>
      <c r="I216" s="39" t="s">
        <v>9</v>
      </c>
      <c r="J216" s="39" t="s">
        <v>9</v>
      </c>
      <c r="K216" s="39" t="s">
        <v>9</v>
      </c>
      <c r="L216" s="23" t="str">
        <f t="shared" si="53"/>
        <v>Elementos.Instalações</v>
      </c>
      <c r="M216" s="23" t="str">
        <f t="shared" si="54"/>
        <v>Elementos.Sensorização</v>
      </c>
      <c r="N216" s="23" t="str">
        <f t="shared" si="51"/>
        <v>Elemento Sensor</v>
      </c>
      <c r="O216" s="23" t="str">
        <f t="shared" si="55"/>
        <v>Sensor de Fluxo</v>
      </c>
      <c r="P216" s="19" t="s">
        <v>1891</v>
      </c>
      <c r="Q216" s="19" t="s">
        <v>1892</v>
      </c>
      <c r="R216" s="19" t="s">
        <v>1893</v>
      </c>
      <c r="S216" s="54" t="s">
        <v>9</v>
      </c>
      <c r="T216" s="19" t="str">
        <f t="shared" si="57"/>
        <v>Elementos Instalações</v>
      </c>
      <c r="U216" s="19" t="str">
        <f t="shared" si="57"/>
        <v>Elementos Sensorização</v>
      </c>
      <c r="V216" s="46" t="str">
        <f t="shared" si="48"/>
        <v>Elemento Sensor</v>
      </c>
      <c r="W216" s="19" t="s">
        <v>459</v>
      </c>
      <c r="X216" s="40" t="str">
        <f t="shared" si="56"/>
        <v>Key-TUB-216</v>
      </c>
      <c r="Y216" s="19" t="s">
        <v>1328</v>
      </c>
      <c r="Z216" s="47" t="s">
        <v>9</v>
      </c>
      <c r="AA216" s="37" t="s">
        <v>1894</v>
      </c>
      <c r="AB216" s="47" t="s">
        <v>9</v>
      </c>
      <c r="AC216" s="19" t="s">
        <v>1711</v>
      </c>
      <c r="AD216" s="47" t="s">
        <v>9</v>
      </c>
    </row>
    <row r="217" spans="1:30" ht="6.75" customHeight="1" x14ac:dyDescent="0.25">
      <c r="A217" s="38">
        <v>217</v>
      </c>
      <c r="B217" s="1" t="s">
        <v>725</v>
      </c>
      <c r="C217" s="57" t="s">
        <v>1596</v>
      </c>
      <c r="D217" s="1" t="s">
        <v>1996</v>
      </c>
      <c r="E217" s="1" t="s">
        <v>2050</v>
      </c>
      <c r="F217" s="22" t="s">
        <v>2008</v>
      </c>
      <c r="G217" s="39" t="s">
        <v>9</v>
      </c>
      <c r="H217" s="39" t="s">
        <v>9</v>
      </c>
      <c r="I217" s="39" t="s">
        <v>9</v>
      </c>
      <c r="J217" s="39" t="s">
        <v>9</v>
      </c>
      <c r="K217" s="39" t="s">
        <v>9</v>
      </c>
      <c r="L217" s="23" t="str">
        <f t="shared" si="53"/>
        <v>Elementos.Instalações</v>
      </c>
      <c r="M217" s="23" t="str">
        <f t="shared" si="54"/>
        <v>Elementos.Sensorização</v>
      </c>
      <c r="N217" s="23" t="str">
        <f t="shared" si="51"/>
        <v>Elemento Sensor</v>
      </c>
      <c r="O217" s="23" t="str">
        <f t="shared" si="55"/>
        <v>Sensor de Detecção Objeto Estranho</v>
      </c>
      <c r="P217" s="19" t="s">
        <v>1895</v>
      </c>
      <c r="Q217" s="19" t="s">
        <v>1896</v>
      </c>
      <c r="R217" s="19" t="s">
        <v>1897</v>
      </c>
      <c r="S217" s="54" t="s">
        <v>9</v>
      </c>
      <c r="T217" s="19" t="str">
        <f t="shared" si="57"/>
        <v>Elementos Instalações</v>
      </c>
      <c r="U217" s="19" t="str">
        <f t="shared" si="57"/>
        <v>Elementos Sensorização</v>
      </c>
      <c r="V217" s="46" t="str">
        <f t="shared" si="48"/>
        <v>Elemento Sensor</v>
      </c>
      <c r="W217" s="19" t="s">
        <v>459</v>
      </c>
      <c r="X217" s="40" t="str">
        <f t="shared" si="56"/>
        <v>Key-TUB-217</v>
      </c>
      <c r="Y217" s="19" t="s">
        <v>1328</v>
      </c>
      <c r="Z217" s="47" t="s">
        <v>9</v>
      </c>
      <c r="AA217" s="37" t="s">
        <v>1898</v>
      </c>
      <c r="AB217" s="47" t="s">
        <v>9</v>
      </c>
      <c r="AC217" s="19" t="s">
        <v>1711</v>
      </c>
      <c r="AD217" s="47" t="s">
        <v>9</v>
      </c>
    </row>
    <row r="218" spans="1:30" ht="6.75" customHeight="1" x14ac:dyDescent="0.25">
      <c r="A218" s="38">
        <v>218</v>
      </c>
      <c r="B218" s="1" t="s">
        <v>725</v>
      </c>
      <c r="C218" s="57" t="s">
        <v>1596</v>
      </c>
      <c r="D218" s="1" t="s">
        <v>1996</v>
      </c>
      <c r="E218" s="1" t="s">
        <v>2050</v>
      </c>
      <c r="F218" s="22" t="s">
        <v>2009</v>
      </c>
      <c r="G218" s="39" t="s">
        <v>9</v>
      </c>
      <c r="H218" s="39" t="s">
        <v>9</v>
      </c>
      <c r="I218" s="39" t="s">
        <v>9</v>
      </c>
      <c r="J218" s="39" t="s">
        <v>9</v>
      </c>
      <c r="K218" s="39" t="s">
        <v>9</v>
      </c>
      <c r="L218" s="23" t="str">
        <f t="shared" si="53"/>
        <v>Elementos.Instalações</v>
      </c>
      <c r="M218" s="23" t="str">
        <f t="shared" si="54"/>
        <v>Elementos.Sensorização</v>
      </c>
      <c r="N218" s="23" t="str">
        <f t="shared" si="51"/>
        <v>Elemento Sensor</v>
      </c>
      <c r="O218" s="23" t="str">
        <f t="shared" si="55"/>
        <v>Sensor de Geada</v>
      </c>
      <c r="P218" s="19" t="s">
        <v>1899</v>
      </c>
      <c r="Q218" s="19" t="s">
        <v>1900</v>
      </c>
      <c r="R218" s="19" t="s">
        <v>1901</v>
      </c>
      <c r="S218" s="54" t="s">
        <v>9</v>
      </c>
      <c r="T218" s="19" t="str">
        <f t="shared" si="57"/>
        <v>Elementos Instalações</v>
      </c>
      <c r="U218" s="19" t="str">
        <f t="shared" si="57"/>
        <v>Elementos Sensorização</v>
      </c>
      <c r="V218" s="46" t="str">
        <f t="shared" si="48"/>
        <v>Elemento Sensor</v>
      </c>
      <c r="W218" s="19" t="s">
        <v>459</v>
      </c>
      <c r="X218" s="40" t="str">
        <f t="shared" si="56"/>
        <v>Key-TUB-218</v>
      </c>
      <c r="Y218" s="19" t="s">
        <v>1328</v>
      </c>
      <c r="Z218" s="47" t="s">
        <v>9</v>
      </c>
      <c r="AA218" s="37" t="s">
        <v>1902</v>
      </c>
      <c r="AB218" s="47" t="s">
        <v>9</v>
      </c>
      <c r="AC218" s="19" t="s">
        <v>1711</v>
      </c>
      <c r="AD218" s="47" t="s">
        <v>9</v>
      </c>
    </row>
    <row r="219" spans="1:30" ht="6.75" customHeight="1" x14ac:dyDescent="0.25">
      <c r="A219" s="38">
        <v>219</v>
      </c>
      <c r="B219" s="1" t="s">
        <v>725</v>
      </c>
      <c r="C219" s="57" t="s">
        <v>1596</v>
      </c>
      <c r="D219" s="1" t="s">
        <v>1996</v>
      </c>
      <c r="E219" s="1" t="s">
        <v>2050</v>
      </c>
      <c r="F219" s="22" t="s">
        <v>2010</v>
      </c>
      <c r="G219" s="39" t="s">
        <v>9</v>
      </c>
      <c r="H219" s="39" t="s">
        <v>9</v>
      </c>
      <c r="I219" s="39" t="s">
        <v>9</v>
      </c>
      <c r="J219" s="39" t="s">
        <v>9</v>
      </c>
      <c r="K219" s="39" t="s">
        <v>9</v>
      </c>
      <c r="L219" s="23" t="str">
        <f t="shared" si="53"/>
        <v>Elementos.Instalações</v>
      </c>
      <c r="M219" s="23" t="str">
        <f t="shared" si="54"/>
        <v>Elementos.Sensorização</v>
      </c>
      <c r="N219" s="23" t="str">
        <f t="shared" si="51"/>
        <v>Elemento Sensor</v>
      </c>
      <c r="O219" s="23" t="str">
        <f t="shared" si="55"/>
        <v>Sensor de Gás</v>
      </c>
      <c r="P219" s="19" t="s">
        <v>1903</v>
      </c>
      <c r="Q219" s="19" t="s">
        <v>1904</v>
      </c>
      <c r="R219" s="19" t="s">
        <v>1905</v>
      </c>
      <c r="S219" s="54" t="s">
        <v>9</v>
      </c>
      <c r="T219" s="19" t="str">
        <f t="shared" si="57"/>
        <v>Elementos Instalações</v>
      </c>
      <c r="U219" s="19" t="str">
        <f t="shared" si="57"/>
        <v>Elementos Sensorização</v>
      </c>
      <c r="V219" s="46" t="str">
        <f t="shared" si="48"/>
        <v>Elemento Sensor</v>
      </c>
      <c r="W219" s="19" t="s">
        <v>459</v>
      </c>
      <c r="X219" s="40" t="str">
        <f t="shared" si="56"/>
        <v>Key-TUB-219</v>
      </c>
      <c r="Y219" s="19" t="s">
        <v>1328</v>
      </c>
      <c r="Z219" s="47" t="s">
        <v>9</v>
      </c>
      <c r="AA219" s="37" t="s">
        <v>1906</v>
      </c>
      <c r="AB219" s="47" t="s">
        <v>9</v>
      </c>
      <c r="AC219" s="19" t="s">
        <v>1711</v>
      </c>
      <c r="AD219" s="47" t="s">
        <v>9</v>
      </c>
    </row>
    <row r="220" spans="1:30" ht="6.75" customHeight="1" x14ac:dyDescent="0.25">
      <c r="A220" s="38">
        <v>220</v>
      </c>
      <c r="B220" s="1" t="s">
        <v>725</v>
      </c>
      <c r="C220" s="57" t="s">
        <v>1596</v>
      </c>
      <c r="D220" s="1" t="s">
        <v>1996</v>
      </c>
      <c r="E220" s="1" t="s">
        <v>2050</v>
      </c>
      <c r="F220" s="22" t="s">
        <v>2011</v>
      </c>
      <c r="G220" s="39" t="s">
        <v>9</v>
      </c>
      <c r="H220" s="39" t="s">
        <v>9</v>
      </c>
      <c r="I220" s="39" t="s">
        <v>9</v>
      </c>
      <c r="J220" s="39" t="s">
        <v>9</v>
      </c>
      <c r="K220" s="39" t="s">
        <v>9</v>
      </c>
      <c r="L220" s="23" t="str">
        <f t="shared" si="53"/>
        <v>Elementos.Instalações</v>
      </c>
      <c r="M220" s="23" t="str">
        <f t="shared" si="54"/>
        <v>Elementos.Sensorização</v>
      </c>
      <c r="N220" s="23" t="str">
        <f t="shared" si="51"/>
        <v>Elemento Sensor</v>
      </c>
      <c r="O220" s="23" t="str">
        <f t="shared" si="55"/>
        <v>Sensor de Calor</v>
      </c>
      <c r="P220" s="19" t="s">
        <v>1907</v>
      </c>
      <c r="Q220" s="19" t="s">
        <v>1908</v>
      </c>
      <c r="R220" s="19" t="s">
        <v>1909</v>
      </c>
      <c r="S220" s="54" t="s">
        <v>9</v>
      </c>
      <c r="T220" s="19" t="str">
        <f t="shared" si="57"/>
        <v>Elementos Instalações</v>
      </c>
      <c r="U220" s="19" t="str">
        <f t="shared" si="57"/>
        <v>Elementos Sensorização</v>
      </c>
      <c r="V220" s="46" t="str">
        <f t="shared" si="48"/>
        <v>Elemento Sensor</v>
      </c>
      <c r="W220" s="19" t="s">
        <v>459</v>
      </c>
      <c r="X220" s="40" t="str">
        <f t="shared" si="56"/>
        <v>Key-TUB-220</v>
      </c>
      <c r="Y220" s="19" t="s">
        <v>1328</v>
      </c>
      <c r="Z220" s="47" t="s">
        <v>9</v>
      </c>
      <c r="AA220" s="37" t="s">
        <v>1910</v>
      </c>
      <c r="AB220" s="47" t="s">
        <v>9</v>
      </c>
      <c r="AC220" s="19" t="s">
        <v>1711</v>
      </c>
      <c r="AD220" s="47" t="s">
        <v>9</v>
      </c>
    </row>
    <row r="221" spans="1:30" ht="6.75" customHeight="1" x14ac:dyDescent="0.25">
      <c r="A221" s="38">
        <v>221</v>
      </c>
      <c r="B221" s="1" t="s">
        <v>725</v>
      </c>
      <c r="C221" s="57" t="s">
        <v>1596</v>
      </c>
      <c r="D221" s="1" t="s">
        <v>1996</v>
      </c>
      <c r="E221" s="1" t="s">
        <v>2050</v>
      </c>
      <c r="F221" s="22" t="s">
        <v>2012</v>
      </c>
      <c r="G221" s="39" t="s">
        <v>9</v>
      </c>
      <c r="H221" s="39" t="s">
        <v>9</v>
      </c>
      <c r="I221" s="39" t="s">
        <v>9</v>
      </c>
      <c r="J221" s="39" t="s">
        <v>9</v>
      </c>
      <c r="K221" s="39" t="s">
        <v>9</v>
      </c>
      <c r="L221" s="23" t="str">
        <f t="shared" si="53"/>
        <v>Elementos.Instalações</v>
      </c>
      <c r="M221" s="23" t="str">
        <f t="shared" si="54"/>
        <v>Elementos.Sensorização</v>
      </c>
      <c r="N221" s="23" t="str">
        <f t="shared" si="51"/>
        <v>Elemento Sensor</v>
      </c>
      <c r="O221" s="23" t="str">
        <f t="shared" si="55"/>
        <v>Sensor de Umidade</v>
      </c>
      <c r="P221" s="19" t="s">
        <v>1911</v>
      </c>
      <c r="Q221" s="19" t="s">
        <v>1912</v>
      </c>
      <c r="R221" s="19" t="s">
        <v>1913</v>
      </c>
      <c r="S221" s="54" t="s">
        <v>9</v>
      </c>
      <c r="T221" s="19" t="str">
        <f t="shared" si="57"/>
        <v>Elementos Instalações</v>
      </c>
      <c r="U221" s="19" t="str">
        <f t="shared" si="57"/>
        <v>Elementos Sensorização</v>
      </c>
      <c r="V221" s="46" t="str">
        <f t="shared" si="48"/>
        <v>Elemento Sensor</v>
      </c>
      <c r="W221" s="19" t="s">
        <v>459</v>
      </c>
      <c r="X221" s="40" t="str">
        <f t="shared" si="56"/>
        <v>Key-TUB-221</v>
      </c>
      <c r="Y221" s="19" t="s">
        <v>1328</v>
      </c>
      <c r="Z221" s="47" t="s">
        <v>9</v>
      </c>
      <c r="AA221" s="37" t="s">
        <v>1914</v>
      </c>
      <c r="AB221" s="47" t="s">
        <v>9</v>
      </c>
      <c r="AC221" s="19" t="s">
        <v>1711</v>
      </c>
      <c r="AD221" s="47" t="s">
        <v>9</v>
      </c>
    </row>
    <row r="222" spans="1:30" ht="6.75" customHeight="1" x14ac:dyDescent="0.25">
      <c r="A222" s="38">
        <v>222</v>
      </c>
      <c r="B222" s="1" t="s">
        <v>725</v>
      </c>
      <c r="C222" s="57" t="s">
        <v>1596</v>
      </c>
      <c r="D222" s="1" t="s">
        <v>1996</v>
      </c>
      <c r="E222" s="1" t="s">
        <v>2050</v>
      </c>
      <c r="F222" s="22" t="s">
        <v>2013</v>
      </c>
      <c r="G222" s="39" t="s">
        <v>9</v>
      </c>
      <c r="H222" s="39" t="s">
        <v>9</v>
      </c>
      <c r="I222" s="39" t="s">
        <v>9</v>
      </c>
      <c r="J222" s="39" t="s">
        <v>9</v>
      </c>
      <c r="K222" s="39" t="s">
        <v>9</v>
      </c>
      <c r="L222" s="23" t="str">
        <f t="shared" si="53"/>
        <v>Elementos.Instalações</v>
      </c>
      <c r="M222" s="23" t="str">
        <f t="shared" si="54"/>
        <v>Elementos.Sensorização</v>
      </c>
      <c r="N222" s="23" t="str">
        <f t="shared" si="51"/>
        <v>Elemento Sensor</v>
      </c>
      <c r="O222" s="23" t="str">
        <f t="shared" si="55"/>
        <v>Sensor de Identificação</v>
      </c>
      <c r="P222" s="19" t="s">
        <v>1915</v>
      </c>
      <c r="Q222" s="19" t="s">
        <v>1916</v>
      </c>
      <c r="R222" s="19" t="s">
        <v>1917</v>
      </c>
      <c r="S222" s="54" t="s">
        <v>9</v>
      </c>
      <c r="T222" s="19" t="str">
        <f t="shared" si="57"/>
        <v>Elementos Instalações</v>
      </c>
      <c r="U222" s="19" t="str">
        <f t="shared" si="57"/>
        <v>Elementos Sensorização</v>
      </c>
      <c r="V222" s="46" t="str">
        <f t="shared" si="48"/>
        <v>Elemento Sensor</v>
      </c>
      <c r="W222" s="19" t="s">
        <v>459</v>
      </c>
      <c r="X222" s="40" t="str">
        <f t="shared" si="56"/>
        <v>Key-TUB-222</v>
      </c>
      <c r="Y222" s="19" t="s">
        <v>1328</v>
      </c>
      <c r="Z222" s="47" t="s">
        <v>9</v>
      </c>
      <c r="AA222" s="37" t="s">
        <v>1918</v>
      </c>
      <c r="AB222" s="47" t="s">
        <v>9</v>
      </c>
      <c r="AC222" s="19" t="s">
        <v>1711</v>
      </c>
      <c r="AD222" s="47" t="s">
        <v>9</v>
      </c>
    </row>
    <row r="223" spans="1:30" ht="6.75" customHeight="1" x14ac:dyDescent="0.25">
      <c r="A223" s="38">
        <v>223</v>
      </c>
      <c r="B223" s="1" t="s">
        <v>725</v>
      </c>
      <c r="C223" s="57" t="s">
        <v>1596</v>
      </c>
      <c r="D223" s="1" t="s">
        <v>1996</v>
      </c>
      <c r="E223" s="1" t="s">
        <v>2050</v>
      </c>
      <c r="F223" s="22" t="s">
        <v>2014</v>
      </c>
      <c r="G223" s="39" t="s">
        <v>9</v>
      </c>
      <c r="H223" s="39" t="s">
        <v>9</v>
      </c>
      <c r="I223" s="39" t="s">
        <v>9</v>
      </c>
      <c r="J223" s="39" t="s">
        <v>9</v>
      </c>
      <c r="K223" s="39" t="s">
        <v>9</v>
      </c>
      <c r="L223" s="23" t="str">
        <f t="shared" si="53"/>
        <v>Elementos.Instalações</v>
      </c>
      <c r="M223" s="23" t="str">
        <f t="shared" si="54"/>
        <v>Elementos.Sensorização</v>
      </c>
      <c r="N223" s="23" t="str">
        <f t="shared" si="51"/>
        <v>Elemento Sensor</v>
      </c>
      <c r="O223" s="23" t="str">
        <f t="shared" si="55"/>
        <v>Sensor de Concentração de Íons</v>
      </c>
      <c r="P223" s="19" t="s">
        <v>1919</v>
      </c>
      <c r="Q223" s="19" t="s">
        <v>1920</v>
      </c>
      <c r="R223" s="19" t="s">
        <v>1921</v>
      </c>
      <c r="S223" s="54" t="s">
        <v>9</v>
      </c>
      <c r="T223" s="19" t="str">
        <f t="shared" si="57"/>
        <v>Elementos Instalações</v>
      </c>
      <c r="U223" s="19" t="str">
        <f t="shared" si="57"/>
        <v>Elementos Sensorização</v>
      </c>
      <c r="V223" s="46" t="str">
        <f t="shared" si="48"/>
        <v>Elemento Sensor</v>
      </c>
      <c r="W223" s="19" t="s">
        <v>459</v>
      </c>
      <c r="X223" s="40" t="str">
        <f t="shared" si="56"/>
        <v>Key-TUB-223</v>
      </c>
      <c r="Y223" s="19" t="s">
        <v>1328</v>
      </c>
      <c r="Z223" s="47" t="s">
        <v>9</v>
      </c>
      <c r="AA223" s="37" t="s">
        <v>1922</v>
      </c>
      <c r="AB223" s="47" t="s">
        <v>9</v>
      </c>
      <c r="AC223" s="19" t="s">
        <v>1711</v>
      </c>
      <c r="AD223" s="47" t="s">
        <v>9</v>
      </c>
    </row>
    <row r="224" spans="1:30" ht="6.75" customHeight="1" x14ac:dyDescent="0.25">
      <c r="A224" s="38">
        <v>224</v>
      </c>
      <c r="B224" s="1" t="s">
        <v>725</v>
      </c>
      <c r="C224" s="57" t="s">
        <v>1596</v>
      </c>
      <c r="D224" s="1" t="s">
        <v>1996</v>
      </c>
      <c r="E224" s="1" t="s">
        <v>2050</v>
      </c>
      <c r="F224" s="22" t="s">
        <v>2015</v>
      </c>
      <c r="G224" s="39" t="s">
        <v>9</v>
      </c>
      <c r="H224" s="39" t="s">
        <v>9</v>
      </c>
      <c r="I224" s="39" t="s">
        <v>9</v>
      </c>
      <c r="J224" s="39" t="s">
        <v>9</v>
      </c>
      <c r="K224" s="39" t="s">
        <v>9</v>
      </c>
      <c r="L224" s="23" t="str">
        <f t="shared" si="53"/>
        <v>Elementos.Instalações</v>
      </c>
      <c r="M224" s="23" t="str">
        <f t="shared" si="54"/>
        <v>Elementos.Sensorização</v>
      </c>
      <c r="N224" s="23" t="str">
        <f t="shared" si="51"/>
        <v>Elemento Sensor</v>
      </c>
      <c r="O224" s="23" t="str">
        <f t="shared" si="55"/>
        <v>Sensor de Nível</v>
      </c>
      <c r="P224" s="19" t="s">
        <v>1923</v>
      </c>
      <c r="Q224" s="19" t="s">
        <v>1924</v>
      </c>
      <c r="R224" s="19" t="s">
        <v>1925</v>
      </c>
      <c r="S224" s="54" t="s">
        <v>9</v>
      </c>
      <c r="T224" s="19" t="str">
        <f t="shared" si="57"/>
        <v>Elementos Instalações</v>
      </c>
      <c r="U224" s="19" t="str">
        <f t="shared" si="57"/>
        <v>Elementos Sensorização</v>
      </c>
      <c r="V224" s="46" t="str">
        <f t="shared" si="48"/>
        <v>Elemento Sensor</v>
      </c>
      <c r="W224" s="19" t="s">
        <v>459</v>
      </c>
      <c r="X224" s="40" t="str">
        <f t="shared" si="56"/>
        <v>Key-TUB-224</v>
      </c>
      <c r="Y224" s="19" t="s">
        <v>1328</v>
      </c>
      <c r="Z224" s="47" t="s">
        <v>9</v>
      </c>
      <c r="AA224" s="37" t="s">
        <v>1926</v>
      </c>
      <c r="AB224" s="47" t="s">
        <v>9</v>
      </c>
      <c r="AC224" s="19" t="s">
        <v>1711</v>
      </c>
      <c r="AD224" s="47" t="s">
        <v>9</v>
      </c>
    </row>
    <row r="225" spans="1:30" ht="6.75" customHeight="1" x14ac:dyDescent="0.25">
      <c r="A225" s="38">
        <v>225</v>
      </c>
      <c r="B225" s="1" t="s">
        <v>725</v>
      </c>
      <c r="C225" s="57" t="s">
        <v>1596</v>
      </c>
      <c r="D225" s="1" t="s">
        <v>1996</v>
      </c>
      <c r="E225" s="1" t="s">
        <v>2050</v>
      </c>
      <c r="F225" s="22" t="s">
        <v>2016</v>
      </c>
      <c r="G225" s="39" t="s">
        <v>9</v>
      </c>
      <c r="H225" s="39" t="s">
        <v>9</v>
      </c>
      <c r="I225" s="39" t="s">
        <v>9</v>
      </c>
      <c r="J225" s="39" t="s">
        <v>9</v>
      </c>
      <c r="K225" s="39" t="s">
        <v>9</v>
      </c>
      <c r="L225" s="23" t="str">
        <f t="shared" si="53"/>
        <v>Elementos.Instalações</v>
      </c>
      <c r="M225" s="23" t="str">
        <f t="shared" si="54"/>
        <v>Elementos.Sensorização</v>
      </c>
      <c r="N225" s="23" t="str">
        <f t="shared" si="51"/>
        <v>Elemento Sensor</v>
      </c>
      <c r="O225" s="23" t="str">
        <f t="shared" si="55"/>
        <v>Sensor de Luz</v>
      </c>
      <c r="P225" s="19" t="s">
        <v>1927</v>
      </c>
      <c r="Q225" s="19" t="s">
        <v>1928</v>
      </c>
      <c r="R225" s="19" t="s">
        <v>1929</v>
      </c>
      <c r="S225" s="54" t="s">
        <v>9</v>
      </c>
      <c r="T225" s="19" t="str">
        <f t="shared" si="57"/>
        <v>Elementos Instalações</v>
      </c>
      <c r="U225" s="19" t="str">
        <f t="shared" si="57"/>
        <v>Elementos Sensorização</v>
      </c>
      <c r="V225" s="46" t="str">
        <f t="shared" si="48"/>
        <v>Elemento Sensor</v>
      </c>
      <c r="W225" s="19" t="s">
        <v>459</v>
      </c>
      <c r="X225" s="40" t="str">
        <f t="shared" si="56"/>
        <v>Key-TUB-225</v>
      </c>
      <c r="Y225" s="19" t="s">
        <v>1328</v>
      </c>
      <c r="Z225" s="47" t="s">
        <v>9</v>
      </c>
      <c r="AA225" s="37" t="s">
        <v>1930</v>
      </c>
      <c r="AB225" s="47" t="s">
        <v>9</v>
      </c>
      <c r="AC225" s="19" t="s">
        <v>1711</v>
      </c>
      <c r="AD225" s="47" t="s">
        <v>9</v>
      </c>
    </row>
    <row r="226" spans="1:30" ht="6.75" customHeight="1" x14ac:dyDescent="0.25">
      <c r="A226" s="38">
        <v>226</v>
      </c>
      <c r="B226" s="1" t="s">
        <v>725</v>
      </c>
      <c r="C226" s="57" t="s">
        <v>1596</v>
      </c>
      <c r="D226" s="1" t="s">
        <v>1996</v>
      </c>
      <c r="E226" s="1" t="s">
        <v>2050</v>
      </c>
      <c r="F226" s="22" t="s">
        <v>2017</v>
      </c>
      <c r="G226" s="39" t="s">
        <v>9</v>
      </c>
      <c r="H226" s="39" t="s">
        <v>9</v>
      </c>
      <c r="I226" s="39" t="s">
        <v>9</v>
      </c>
      <c r="J226" s="39" t="s">
        <v>9</v>
      </c>
      <c r="K226" s="39" t="s">
        <v>9</v>
      </c>
      <c r="L226" s="23" t="str">
        <f t="shared" si="53"/>
        <v>Elementos.Instalações</v>
      </c>
      <c r="M226" s="23" t="str">
        <f t="shared" si="54"/>
        <v>Elementos.Sensorização</v>
      </c>
      <c r="N226" s="23" t="str">
        <f t="shared" si="51"/>
        <v>Elemento Sensor</v>
      </c>
      <c r="O226" s="23" t="str">
        <f t="shared" si="55"/>
        <v>Sensor de Umidade do Solo</v>
      </c>
      <c r="P226" s="19" t="s">
        <v>1931</v>
      </c>
      <c r="Q226" s="19" t="s">
        <v>1932</v>
      </c>
      <c r="R226" s="19" t="s">
        <v>1933</v>
      </c>
      <c r="S226" s="54" t="s">
        <v>9</v>
      </c>
      <c r="T226" s="19" t="str">
        <f t="shared" si="57"/>
        <v>Elementos Instalações</v>
      </c>
      <c r="U226" s="19" t="str">
        <f t="shared" si="57"/>
        <v>Elementos Sensorização</v>
      </c>
      <c r="V226" s="46" t="str">
        <f t="shared" si="48"/>
        <v>Elemento Sensor</v>
      </c>
      <c r="W226" s="19" t="s">
        <v>459</v>
      </c>
      <c r="X226" s="40" t="str">
        <f t="shared" si="56"/>
        <v>Key-TUB-226</v>
      </c>
      <c r="Y226" s="19" t="s">
        <v>1328</v>
      </c>
      <c r="Z226" s="47" t="s">
        <v>9</v>
      </c>
      <c r="AA226" s="37" t="s">
        <v>1934</v>
      </c>
      <c r="AB226" s="47" t="s">
        <v>9</v>
      </c>
      <c r="AC226" s="19" t="s">
        <v>1711</v>
      </c>
      <c r="AD226" s="47" t="s">
        <v>9</v>
      </c>
    </row>
    <row r="227" spans="1:30" ht="6.75" customHeight="1" x14ac:dyDescent="0.25">
      <c r="A227" s="38">
        <v>227</v>
      </c>
      <c r="B227" s="1" t="s">
        <v>725</v>
      </c>
      <c r="C227" s="57" t="s">
        <v>1596</v>
      </c>
      <c r="D227" s="1" t="s">
        <v>1996</v>
      </c>
      <c r="E227" s="1" t="s">
        <v>2050</v>
      </c>
      <c r="F227" s="22" t="s">
        <v>2018</v>
      </c>
      <c r="G227" s="39" t="s">
        <v>9</v>
      </c>
      <c r="H227" s="39" t="s">
        <v>9</v>
      </c>
      <c r="I227" s="39" t="s">
        <v>9</v>
      </c>
      <c r="J227" s="39" t="s">
        <v>9</v>
      </c>
      <c r="K227" s="39" t="s">
        <v>9</v>
      </c>
      <c r="L227" s="23" t="str">
        <f t="shared" si="53"/>
        <v>Elementos.Instalações</v>
      </c>
      <c r="M227" s="23" t="str">
        <f t="shared" si="54"/>
        <v>Elementos.Sensorização</v>
      </c>
      <c r="N227" s="23" t="str">
        <f t="shared" si="51"/>
        <v>Elemento Sensor</v>
      </c>
      <c r="O227" s="23" t="str">
        <f t="shared" si="55"/>
        <v>Sensor de Movimento</v>
      </c>
      <c r="P227" s="19" t="s">
        <v>1935</v>
      </c>
      <c r="Q227" s="19" t="s">
        <v>1936</v>
      </c>
      <c r="R227" s="19" t="s">
        <v>1937</v>
      </c>
      <c r="S227" s="54" t="s">
        <v>9</v>
      </c>
      <c r="T227" s="19" t="str">
        <f t="shared" si="57"/>
        <v>Elementos Instalações</v>
      </c>
      <c r="U227" s="19" t="str">
        <f t="shared" si="57"/>
        <v>Elementos Sensorização</v>
      </c>
      <c r="V227" s="46" t="str">
        <f t="shared" si="48"/>
        <v>Elemento Sensor</v>
      </c>
      <c r="W227" s="19" t="s">
        <v>459</v>
      </c>
      <c r="X227" s="40" t="str">
        <f t="shared" si="56"/>
        <v>Key-TUB-227</v>
      </c>
      <c r="Y227" s="19" t="s">
        <v>1328</v>
      </c>
      <c r="Z227" s="47" t="s">
        <v>9</v>
      </c>
      <c r="AA227" s="37" t="s">
        <v>1938</v>
      </c>
      <c r="AB227" s="47" t="s">
        <v>9</v>
      </c>
      <c r="AC227" s="19" t="s">
        <v>1711</v>
      </c>
      <c r="AD227" s="47" t="s">
        <v>9</v>
      </c>
    </row>
    <row r="228" spans="1:30" ht="6.75" customHeight="1" x14ac:dyDescent="0.25">
      <c r="A228" s="38">
        <v>228</v>
      </c>
      <c r="B228" s="1" t="s">
        <v>725</v>
      </c>
      <c r="C228" s="57" t="s">
        <v>1596</v>
      </c>
      <c r="D228" s="1" t="s">
        <v>1996</v>
      </c>
      <c r="E228" s="1" t="s">
        <v>2050</v>
      </c>
      <c r="F228" s="22" t="s">
        <v>2019</v>
      </c>
      <c r="G228" s="39" t="s">
        <v>9</v>
      </c>
      <c r="H228" s="39" t="s">
        <v>9</v>
      </c>
      <c r="I228" s="39" t="s">
        <v>9</v>
      </c>
      <c r="J228" s="39" t="s">
        <v>9</v>
      </c>
      <c r="K228" s="39" t="s">
        <v>9</v>
      </c>
      <c r="L228" s="23" t="str">
        <f t="shared" si="53"/>
        <v>Elementos.Instalações</v>
      </c>
      <c r="M228" s="23" t="str">
        <f t="shared" si="54"/>
        <v>Elementos.Sensorização</v>
      </c>
      <c r="N228" s="23" t="str">
        <f t="shared" si="51"/>
        <v>Elemento Sensor</v>
      </c>
      <c r="O228" s="23" t="str">
        <f t="shared" si="55"/>
        <v>Sensor de Obstáculo</v>
      </c>
      <c r="P228" s="19" t="s">
        <v>1939</v>
      </c>
      <c r="Q228" s="19" t="s">
        <v>1940</v>
      </c>
      <c r="R228" s="19" t="s">
        <v>1941</v>
      </c>
      <c r="S228" s="54" t="s">
        <v>9</v>
      </c>
      <c r="T228" s="19" t="str">
        <f t="shared" si="57"/>
        <v>Elementos Instalações</v>
      </c>
      <c r="U228" s="19" t="str">
        <f t="shared" si="57"/>
        <v>Elementos Sensorização</v>
      </c>
      <c r="V228" s="46" t="str">
        <f t="shared" si="48"/>
        <v>Elemento Sensor</v>
      </c>
      <c r="W228" s="19" t="s">
        <v>459</v>
      </c>
      <c r="X228" s="40" t="str">
        <f t="shared" si="56"/>
        <v>Key-TUB-228</v>
      </c>
      <c r="Y228" s="19" t="s">
        <v>1328</v>
      </c>
      <c r="Z228" s="47" t="s">
        <v>9</v>
      </c>
      <c r="AA228" s="37" t="s">
        <v>1942</v>
      </c>
      <c r="AB228" s="47" t="s">
        <v>9</v>
      </c>
      <c r="AC228" s="19" t="s">
        <v>1711</v>
      </c>
      <c r="AD228" s="47" t="s">
        <v>9</v>
      </c>
    </row>
    <row r="229" spans="1:30" ht="6.75" customHeight="1" x14ac:dyDescent="0.25">
      <c r="A229" s="38">
        <v>229</v>
      </c>
      <c r="B229" s="1" t="s">
        <v>725</v>
      </c>
      <c r="C229" s="57" t="s">
        <v>1596</v>
      </c>
      <c r="D229" s="1" t="s">
        <v>1996</v>
      </c>
      <c r="E229" s="1" t="s">
        <v>2050</v>
      </c>
      <c r="F229" s="22" t="s">
        <v>2020</v>
      </c>
      <c r="G229" s="39" t="s">
        <v>9</v>
      </c>
      <c r="H229" s="39" t="s">
        <v>9</v>
      </c>
      <c r="I229" s="39" t="s">
        <v>9</v>
      </c>
      <c r="J229" s="39" t="s">
        <v>9</v>
      </c>
      <c r="K229" s="39" t="s">
        <v>9</v>
      </c>
      <c r="L229" s="23" t="str">
        <f t="shared" si="53"/>
        <v>Elementos.Instalações</v>
      </c>
      <c r="M229" s="23" t="str">
        <f t="shared" si="54"/>
        <v>Elementos.Sensorização</v>
      </c>
      <c r="N229" s="23" t="str">
        <f t="shared" si="51"/>
        <v>Elemento Sensor</v>
      </c>
      <c r="O229" s="23" t="str">
        <f t="shared" si="55"/>
        <v>Sensor de pH</v>
      </c>
      <c r="P229" s="19" t="s">
        <v>1943</v>
      </c>
      <c r="Q229" s="19" t="s">
        <v>1944</v>
      </c>
      <c r="R229" s="19" t="s">
        <v>1945</v>
      </c>
      <c r="S229" s="54" t="s">
        <v>9</v>
      </c>
      <c r="T229" s="19" t="str">
        <f t="shared" si="57"/>
        <v>Elementos Instalações</v>
      </c>
      <c r="U229" s="19" t="str">
        <f t="shared" si="57"/>
        <v>Elementos Sensorização</v>
      </c>
      <c r="V229" s="46" t="str">
        <f t="shared" si="48"/>
        <v>Elemento Sensor</v>
      </c>
      <c r="W229" s="19" t="s">
        <v>459</v>
      </c>
      <c r="X229" s="40" t="str">
        <f t="shared" si="56"/>
        <v>Key-TUB-229</v>
      </c>
      <c r="Y229" s="19" t="s">
        <v>1328</v>
      </c>
      <c r="Z229" s="47" t="s">
        <v>9</v>
      </c>
      <c r="AA229" s="37" t="s">
        <v>1946</v>
      </c>
      <c r="AB229" s="47" t="s">
        <v>9</v>
      </c>
      <c r="AC229" s="19" t="s">
        <v>1711</v>
      </c>
      <c r="AD229" s="47" t="s">
        <v>9</v>
      </c>
    </row>
    <row r="230" spans="1:30" ht="6.75" customHeight="1" x14ac:dyDescent="0.25">
      <c r="A230" s="38">
        <v>230</v>
      </c>
      <c r="B230" s="1" t="s">
        <v>725</v>
      </c>
      <c r="C230" s="57" t="s">
        <v>1596</v>
      </c>
      <c r="D230" s="1" t="s">
        <v>1996</v>
      </c>
      <c r="E230" s="1" t="s">
        <v>2050</v>
      </c>
      <c r="F230" s="22" t="s">
        <v>2021</v>
      </c>
      <c r="G230" s="39" t="s">
        <v>9</v>
      </c>
      <c r="H230" s="39" t="s">
        <v>9</v>
      </c>
      <c r="I230" s="39" t="s">
        <v>9</v>
      </c>
      <c r="J230" s="39" t="s">
        <v>9</v>
      </c>
      <c r="K230" s="39" t="s">
        <v>9</v>
      </c>
      <c r="L230" s="23" t="str">
        <f t="shared" si="53"/>
        <v>Elementos.Instalações</v>
      </c>
      <c r="M230" s="23" t="str">
        <f t="shared" si="54"/>
        <v>Elementos.Sensorização</v>
      </c>
      <c r="N230" s="23" t="str">
        <f t="shared" si="51"/>
        <v>Elemento Sensor</v>
      </c>
      <c r="O230" s="23" t="str">
        <f t="shared" si="55"/>
        <v>Sensor de Pressão</v>
      </c>
      <c r="P230" s="19" t="s">
        <v>1947</v>
      </c>
      <c r="Q230" s="19" t="s">
        <v>1948</v>
      </c>
      <c r="R230" s="19" t="s">
        <v>1949</v>
      </c>
      <c r="S230" s="54" t="s">
        <v>9</v>
      </c>
      <c r="T230" s="19" t="str">
        <f t="shared" si="57"/>
        <v>Elementos Instalações</v>
      </c>
      <c r="U230" s="19" t="str">
        <f t="shared" si="57"/>
        <v>Elementos Sensorização</v>
      </c>
      <c r="V230" s="46" t="str">
        <f t="shared" si="48"/>
        <v>Elemento Sensor</v>
      </c>
      <c r="W230" s="19" t="s">
        <v>459</v>
      </c>
      <c r="X230" s="40" t="str">
        <f t="shared" si="56"/>
        <v>Key-TUB-230</v>
      </c>
      <c r="Y230" s="19" t="s">
        <v>1328</v>
      </c>
      <c r="Z230" s="47" t="s">
        <v>9</v>
      </c>
      <c r="AA230" s="37" t="s">
        <v>1950</v>
      </c>
      <c r="AB230" s="47" t="s">
        <v>9</v>
      </c>
      <c r="AC230" s="19" t="s">
        <v>1711</v>
      </c>
      <c r="AD230" s="47" t="s">
        <v>9</v>
      </c>
    </row>
    <row r="231" spans="1:30" ht="6.75" customHeight="1" x14ac:dyDescent="0.25">
      <c r="A231" s="38">
        <v>231</v>
      </c>
      <c r="B231" s="1" t="s">
        <v>725</v>
      </c>
      <c r="C231" s="57" t="s">
        <v>1596</v>
      </c>
      <c r="D231" s="1" t="s">
        <v>1996</v>
      </c>
      <c r="E231" s="1" t="s">
        <v>2050</v>
      </c>
      <c r="F231" s="22" t="s">
        <v>2022</v>
      </c>
      <c r="G231" s="39" t="s">
        <v>9</v>
      </c>
      <c r="H231" s="39" t="s">
        <v>9</v>
      </c>
      <c r="I231" s="39" t="s">
        <v>9</v>
      </c>
      <c r="J231" s="39" t="s">
        <v>9</v>
      </c>
      <c r="K231" s="39" t="s">
        <v>9</v>
      </c>
      <c r="L231" s="23" t="str">
        <f t="shared" si="53"/>
        <v>Elementos.Instalações</v>
      </c>
      <c r="M231" s="23" t="str">
        <f t="shared" si="54"/>
        <v>Elementos.Sensorização</v>
      </c>
      <c r="N231" s="23" t="str">
        <f t="shared" si="51"/>
        <v>Elemento Sensor</v>
      </c>
      <c r="O231" s="23" t="str">
        <f t="shared" si="55"/>
        <v>Sensor de Radiação</v>
      </c>
      <c r="P231" s="19" t="s">
        <v>1951</v>
      </c>
      <c r="Q231" s="19" t="s">
        <v>1952</v>
      </c>
      <c r="R231" s="19" t="s">
        <v>1953</v>
      </c>
      <c r="S231" s="54" t="s">
        <v>9</v>
      </c>
      <c r="T231" s="19" t="str">
        <f t="shared" si="57"/>
        <v>Elementos Instalações</v>
      </c>
      <c r="U231" s="19" t="str">
        <f t="shared" si="57"/>
        <v>Elementos Sensorização</v>
      </c>
      <c r="V231" s="46" t="str">
        <f t="shared" si="48"/>
        <v>Elemento Sensor</v>
      </c>
      <c r="W231" s="19" t="s">
        <v>459</v>
      </c>
      <c r="X231" s="40" t="str">
        <f t="shared" si="56"/>
        <v>Key-TUB-231</v>
      </c>
      <c r="Y231" s="19" t="s">
        <v>1328</v>
      </c>
      <c r="Z231" s="47" t="s">
        <v>9</v>
      </c>
      <c r="AA231" s="37" t="s">
        <v>1954</v>
      </c>
      <c r="AB231" s="47" t="s">
        <v>9</v>
      </c>
      <c r="AC231" s="19" t="s">
        <v>1711</v>
      </c>
      <c r="AD231" s="47" t="s">
        <v>9</v>
      </c>
    </row>
    <row r="232" spans="1:30" ht="6.75" customHeight="1" x14ac:dyDescent="0.25">
      <c r="A232" s="38">
        <v>232</v>
      </c>
      <c r="B232" s="1" t="s">
        <v>725</v>
      </c>
      <c r="C232" s="57" t="s">
        <v>1596</v>
      </c>
      <c r="D232" s="1" t="s">
        <v>1996</v>
      </c>
      <c r="E232" s="1" t="s">
        <v>2050</v>
      </c>
      <c r="F232" s="22" t="s">
        <v>2023</v>
      </c>
      <c r="G232" s="39" t="s">
        <v>9</v>
      </c>
      <c r="H232" s="39" t="s">
        <v>9</v>
      </c>
      <c r="I232" s="39" t="s">
        <v>9</v>
      </c>
      <c r="J232" s="39" t="s">
        <v>9</v>
      </c>
      <c r="K232" s="39" t="s">
        <v>9</v>
      </c>
      <c r="L232" s="23" t="str">
        <f t="shared" si="53"/>
        <v>Elementos.Instalações</v>
      </c>
      <c r="M232" s="23" t="str">
        <f t="shared" si="54"/>
        <v>Elementos.Sensorização</v>
      </c>
      <c r="N232" s="23" t="str">
        <f t="shared" si="51"/>
        <v>Elemento Sensor</v>
      </c>
      <c r="O232" s="23" t="str">
        <f t="shared" si="55"/>
        <v>Sensor de Radioatividade</v>
      </c>
      <c r="P232" s="19" t="s">
        <v>1955</v>
      </c>
      <c r="Q232" s="19" t="s">
        <v>1956</v>
      </c>
      <c r="R232" s="19" t="s">
        <v>1957</v>
      </c>
      <c r="S232" s="54" t="s">
        <v>9</v>
      </c>
      <c r="T232" s="19" t="str">
        <f t="shared" si="57"/>
        <v>Elementos Instalações</v>
      </c>
      <c r="U232" s="19" t="str">
        <f t="shared" si="57"/>
        <v>Elementos Sensorização</v>
      </c>
      <c r="V232" s="46" t="str">
        <f t="shared" si="48"/>
        <v>Elemento Sensor</v>
      </c>
      <c r="W232" s="19" t="s">
        <v>459</v>
      </c>
      <c r="X232" s="40" t="str">
        <f t="shared" si="56"/>
        <v>Key-TUB-232</v>
      </c>
      <c r="Y232" s="19" t="s">
        <v>1328</v>
      </c>
      <c r="Z232" s="47" t="s">
        <v>9</v>
      </c>
      <c r="AA232" s="37" t="s">
        <v>1958</v>
      </c>
      <c r="AB232" s="47" t="s">
        <v>9</v>
      </c>
      <c r="AC232" s="19" t="s">
        <v>1711</v>
      </c>
      <c r="AD232" s="47" t="s">
        <v>9</v>
      </c>
    </row>
    <row r="233" spans="1:30" ht="6.75" customHeight="1" x14ac:dyDescent="0.25">
      <c r="A233" s="38">
        <v>233</v>
      </c>
      <c r="B233" s="1" t="s">
        <v>725</v>
      </c>
      <c r="C233" s="57" t="s">
        <v>1596</v>
      </c>
      <c r="D233" s="1" t="s">
        <v>1996</v>
      </c>
      <c r="E233" s="1" t="s">
        <v>2050</v>
      </c>
      <c r="F233" s="22" t="s">
        <v>2024</v>
      </c>
      <c r="G233" s="39" t="s">
        <v>9</v>
      </c>
      <c r="H233" s="39" t="s">
        <v>9</v>
      </c>
      <c r="I233" s="39" t="s">
        <v>9</v>
      </c>
      <c r="J233" s="39" t="s">
        <v>9</v>
      </c>
      <c r="K233" s="39" t="s">
        <v>9</v>
      </c>
      <c r="L233" s="23" t="str">
        <f t="shared" si="53"/>
        <v>Elementos.Instalações</v>
      </c>
      <c r="M233" s="23" t="str">
        <f t="shared" si="54"/>
        <v>Elementos.Sensorização</v>
      </c>
      <c r="N233" s="23" t="str">
        <f t="shared" si="51"/>
        <v>Elemento Sensor</v>
      </c>
      <c r="O233" s="23" t="str">
        <f t="shared" si="55"/>
        <v>Sensor de Chuva</v>
      </c>
      <c r="P233" s="19" t="s">
        <v>1959</v>
      </c>
      <c r="Q233" s="19" t="s">
        <v>1960</v>
      </c>
      <c r="R233" s="19" t="s">
        <v>1961</v>
      </c>
      <c r="S233" s="54" t="s">
        <v>9</v>
      </c>
      <c r="T233" s="19" t="str">
        <f t="shared" si="57"/>
        <v>Elementos Instalações</v>
      </c>
      <c r="U233" s="19" t="str">
        <f t="shared" si="57"/>
        <v>Elementos Sensorização</v>
      </c>
      <c r="V233" s="46" t="str">
        <f t="shared" si="48"/>
        <v>Elemento Sensor</v>
      </c>
      <c r="W233" s="19" t="s">
        <v>459</v>
      </c>
      <c r="X233" s="40" t="str">
        <f t="shared" si="56"/>
        <v>Key-TUB-233</v>
      </c>
      <c r="Y233" s="19" t="s">
        <v>1328</v>
      </c>
      <c r="Z233" s="47" t="s">
        <v>9</v>
      </c>
      <c r="AA233" s="37" t="s">
        <v>1962</v>
      </c>
      <c r="AB233" s="47" t="s">
        <v>9</v>
      </c>
      <c r="AC233" s="19" t="s">
        <v>1711</v>
      </c>
      <c r="AD233" s="47" t="s">
        <v>9</v>
      </c>
    </row>
    <row r="234" spans="1:30" ht="6.75" customHeight="1" x14ac:dyDescent="0.25">
      <c r="A234" s="38">
        <v>234</v>
      </c>
      <c r="B234" s="1" t="s">
        <v>725</v>
      </c>
      <c r="C234" s="57" t="s">
        <v>1596</v>
      </c>
      <c r="D234" s="1" t="s">
        <v>1996</v>
      </c>
      <c r="E234" s="1" t="s">
        <v>2050</v>
      </c>
      <c r="F234" s="22" t="s">
        <v>2025</v>
      </c>
      <c r="G234" s="39" t="s">
        <v>9</v>
      </c>
      <c r="H234" s="39" t="s">
        <v>9</v>
      </c>
      <c r="I234" s="39" t="s">
        <v>9</v>
      </c>
      <c r="J234" s="39" t="s">
        <v>9</v>
      </c>
      <c r="K234" s="39" t="s">
        <v>9</v>
      </c>
      <c r="L234" s="23" t="str">
        <f t="shared" si="53"/>
        <v>Elementos.Instalações</v>
      </c>
      <c r="M234" s="23" t="str">
        <f t="shared" si="54"/>
        <v>Elementos.Sensorização</v>
      </c>
      <c r="N234" s="23" t="str">
        <f t="shared" si="51"/>
        <v>Elemento Sensor</v>
      </c>
      <c r="O234" s="23" t="str">
        <f t="shared" si="55"/>
        <v>Sensor de Fumaça</v>
      </c>
      <c r="P234" s="19" t="s">
        <v>1963</v>
      </c>
      <c r="Q234" s="19" t="s">
        <v>1964</v>
      </c>
      <c r="R234" s="19" t="s">
        <v>1965</v>
      </c>
      <c r="S234" s="54" t="s">
        <v>9</v>
      </c>
      <c r="T234" s="19" t="str">
        <f t="shared" si="57"/>
        <v>Elementos Instalações</v>
      </c>
      <c r="U234" s="19" t="str">
        <f t="shared" si="57"/>
        <v>Elementos Sensorização</v>
      </c>
      <c r="V234" s="46" t="str">
        <f t="shared" si="48"/>
        <v>Elemento Sensor</v>
      </c>
      <c r="W234" s="19" t="s">
        <v>459</v>
      </c>
      <c r="X234" s="40" t="str">
        <f t="shared" si="56"/>
        <v>Key-TUB-234</v>
      </c>
      <c r="Y234" s="19" t="s">
        <v>1328</v>
      </c>
      <c r="Z234" s="47" t="s">
        <v>9</v>
      </c>
      <c r="AA234" s="37" t="s">
        <v>1966</v>
      </c>
      <c r="AB234" s="47" t="s">
        <v>9</v>
      </c>
      <c r="AC234" s="19" t="s">
        <v>1711</v>
      </c>
      <c r="AD234" s="47" t="s">
        <v>9</v>
      </c>
    </row>
    <row r="235" spans="1:30" ht="6.75" customHeight="1" x14ac:dyDescent="0.25">
      <c r="A235" s="38">
        <v>235</v>
      </c>
      <c r="B235" s="1" t="s">
        <v>725</v>
      </c>
      <c r="C235" s="57" t="s">
        <v>1596</v>
      </c>
      <c r="D235" s="1" t="s">
        <v>1996</v>
      </c>
      <c r="E235" s="1" t="s">
        <v>2050</v>
      </c>
      <c r="F235" s="22" t="s">
        <v>2026</v>
      </c>
      <c r="G235" s="39" t="s">
        <v>9</v>
      </c>
      <c r="H235" s="39" t="s">
        <v>9</v>
      </c>
      <c r="I235" s="39" t="s">
        <v>9</v>
      </c>
      <c r="J235" s="39" t="s">
        <v>9</v>
      </c>
      <c r="K235" s="39" t="s">
        <v>9</v>
      </c>
      <c r="L235" s="23" t="str">
        <f t="shared" si="53"/>
        <v>Elementos.Instalações</v>
      </c>
      <c r="M235" s="23" t="str">
        <f t="shared" si="54"/>
        <v>Elementos.Sensorização</v>
      </c>
      <c r="N235" s="23" t="str">
        <f t="shared" si="51"/>
        <v>Elemento Sensor</v>
      </c>
      <c r="O235" s="23" t="str">
        <f t="shared" si="55"/>
        <v>Sensor de Profundidade da Neve</v>
      </c>
      <c r="P235" s="19" t="s">
        <v>1967</v>
      </c>
      <c r="Q235" s="19" t="s">
        <v>1968</v>
      </c>
      <c r="R235" s="19" t="s">
        <v>1969</v>
      </c>
      <c r="S235" s="54" t="s">
        <v>9</v>
      </c>
      <c r="T235" s="19" t="str">
        <f t="shared" si="57"/>
        <v>Elementos Instalações</v>
      </c>
      <c r="U235" s="19" t="str">
        <f t="shared" si="57"/>
        <v>Elementos Sensorização</v>
      </c>
      <c r="V235" s="46" t="str">
        <f t="shared" si="48"/>
        <v>Elemento Sensor</v>
      </c>
      <c r="W235" s="19" t="s">
        <v>459</v>
      </c>
      <c r="X235" s="40" t="str">
        <f t="shared" si="56"/>
        <v>Key-TUB-235</v>
      </c>
      <c r="Y235" s="19" t="s">
        <v>1328</v>
      </c>
      <c r="Z235" s="47" t="s">
        <v>9</v>
      </c>
      <c r="AA235" s="37" t="s">
        <v>1970</v>
      </c>
      <c r="AB235" s="47" t="s">
        <v>9</v>
      </c>
      <c r="AC235" s="19" t="s">
        <v>1711</v>
      </c>
      <c r="AD235" s="47" t="s">
        <v>9</v>
      </c>
    </row>
    <row r="236" spans="1:30" ht="6.75" customHeight="1" x14ac:dyDescent="0.25">
      <c r="A236" s="38">
        <v>236</v>
      </c>
      <c r="B236" s="1" t="s">
        <v>725</v>
      </c>
      <c r="C236" s="57" t="s">
        <v>1596</v>
      </c>
      <c r="D236" s="1" t="s">
        <v>1996</v>
      </c>
      <c r="E236" s="1" t="s">
        <v>2050</v>
      </c>
      <c r="F236" s="22" t="s">
        <v>2027</v>
      </c>
      <c r="G236" s="39" t="s">
        <v>9</v>
      </c>
      <c r="H236" s="39" t="s">
        <v>9</v>
      </c>
      <c r="I236" s="39" t="s">
        <v>9</v>
      </c>
      <c r="J236" s="39" t="s">
        <v>9</v>
      </c>
      <c r="K236" s="39" t="s">
        <v>9</v>
      </c>
      <c r="L236" s="23" t="str">
        <f t="shared" si="53"/>
        <v>Elementos.Instalações</v>
      </c>
      <c r="M236" s="23" t="str">
        <f t="shared" si="54"/>
        <v>Elementos.Sensorização</v>
      </c>
      <c r="N236" s="23" t="str">
        <f t="shared" si="51"/>
        <v>Elemento Sensor</v>
      </c>
      <c r="O236" s="23" t="str">
        <f t="shared" si="55"/>
        <v>Sensor de Som</v>
      </c>
      <c r="P236" s="19" t="s">
        <v>1971</v>
      </c>
      <c r="Q236" s="19" t="s">
        <v>1972</v>
      </c>
      <c r="R236" s="19" t="s">
        <v>1973</v>
      </c>
      <c r="S236" s="54" t="s">
        <v>9</v>
      </c>
      <c r="T236" s="19" t="str">
        <f t="shared" si="57"/>
        <v>Elementos Instalações</v>
      </c>
      <c r="U236" s="19" t="str">
        <f t="shared" si="57"/>
        <v>Elementos Sensorização</v>
      </c>
      <c r="V236" s="46" t="str">
        <f t="shared" si="48"/>
        <v>Elemento Sensor</v>
      </c>
      <c r="W236" s="19" t="s">
        <v>459</v>
      </c>
      <c r="X236" s="40" t="str">
        <f t="shared" si="56"/>
        <v>Key-TUB-236</v>
      </c>
      <c r="Y236" s="19" t="s">
        <v>1328</v>
      </c>
      <c r="Z236" s="47" t="s">
        <v>9</v>
      </c>
      <c r="AA236" s="37" t="s">
        <v>1974</v>
      </c>
      <c r="AB236" s="47" t="s">
        <v>9</v>
      </c>
      <c r="AC236" s="19" t="s">
        <v>1711</v>
      </c>
      <c r="AD236" s="47" t="s">
        <v>9</v>
      </c>
    </row>
    <row r="237" spans="1:30" ht="6.75" customHeight="1" x14ac:dyDescent="0.25">
      <c r="A237" s="38">
        <v>237</v>
      </c>
      <c r="B237" s="1" t="s">
        <v>725</v>
      </c>
      <c r="C237" s="57" t="s">
        <v>1596</v>
      </c>
      <c r="D237" s="1" t="s">
        <v>1996</v>
      </c>
      <c r="E237" s="1" t="s">
        <v>2050</v>
      </c>
      <c r="F237" s="22" t="s">
        <v>2028</v>
      </c>
      <c r="G237" s="39" t="s">
        <v>9</v>
      </c>
      <c r="H237" s="39" t="s">
        <v>9</v>
      </c>
      <c r="I237" s="39" t="s">
        <v>9</v>
      </c>
      <c r="J237" s="39" t="s">
        <v>9</v>
      </c>
      <c r="K237" s="39" t="s">
        <v>9</v>
      </c>
      <c r="L237" s="23" t="str">
        <f t="shared" si="53"/>
        <v>Elementos.Instalações</v>
      </c>
      <c r="M237" s="23" t="str">
        <f t="shared" si="54"/>
        <v>Elementos.Sensorização</v>
      </c>
      <c r="N237" s="23" t="str">
        <f t="shared" si="51"/>
        <v>Elemento Sensor</v>
      </c>
      <c r="O237" s="23" t="str">
        <f t="shared" si="55"/>
        <v>Sensor de Temperatura</v>
      </c>
      <c r="P237" s="19" t="s">
        <v>1975</v>
      </c>
      <c r="Q237" s="19" t="s">
        <v>1976</v>
      </c>
      <c r="R237" s="19" t="s">
        <v>1977</v>
      </c>
      <c r="S237" s="54" t="s">
        <v>9</v>
      </c>
      <c r="T237" s="19" t="str">
        <f t="shared" si="57"/>
        <v>Elementos Instalações</v>
      </c>
      <c r="U237" s="19" t="str">
        <f t="shared" si="57"/>
        <v>Elementos Sensorização</v>
      </c>
      <c r="V237" s="46" t="str">
        <f t="shared" si="48"/>
        <v>Elemento Sensor</v>
      </c>
      <c r="W237" s="19" t="s">
        <v>459</v>
      </c>
      <c r="X237" s="40" t="str">
        <f t="shared" si="56"/>
        <v>Key-TUB-237</v>
      </c>
      <c r="Y237" s="19" t="s">
        <v>1328</v>
      </c>
      <c r="Z237" s="47" t="s">
        <v>9</v>
      </c>
      <c r="AA237" s="37" t="s">
        <v>1978</v>
      </c>
      <c r="AB237" s="47" t="s">
        <v>9</v>
      </c>
      <c r="AC237" s="19" t="s">
        <v>1711</v>
      </c>
      <c r="AD237" s="47" t="s">
        <v>9</v>
      </c>
    </row>
    <row r="238" spans="1:30" ht="6.75" customHeight="1" x14ac:dyDescent="0.25">
      <c r="A238" s="38">
        <v>238</v>
      </c>
      <c r="B238" s="1" t="s">
        <v>725</v>
      </c>
      <c r="C238" s="57" t="s">
        <v>1596</v>
      </c>
      <c r="D238" s="1" t="s">
        <v>1996</v>
      </c>
      <c r="E238" s="1" t="s">
        <v>2050</v>
      </c>
      <c r="F238" s="22" t="s">
        <v>2029</v>
      </c>
      <c r="G238" s="39" t="s">
        <v>9</v>
      </c>
      <c r="H238" s="39" t="s">
        <v>9</v>
      </c>
      <c r="I238" s="39" t="s">
        <v>9</v>
      </c>
      <c r="J238" s="39" t="s">
        <v>9</v>
      </c>
      <c r="K238" s="39" t="s">
        <v>9</v>
      </c>
      <c r="L238" s="23" t="str">
        <f t="shared" si="53"/>
        <v>Elementos.Instalações</v>
      </c>
      <c r="M238" s="23" t="str">
        <f t="shared" si="54"/>
        <v>Elementos.Sensorização</v>
      </c>
      <c r="N238" s="23" t="str">
        <f t="shared" si="51"/>
        <v>Elemento Sensor</v>
      </c>
      <c r="O238" s="23" t="str">
        <f t="shared" si="55"/>
        <v>Sensor de Trem</v>
      </c>
      <c r="P238" s="19" t="s">
        <v>1979</v>
      </c>
      <c r="Q238" s="19" t="s">
        <v>1980</v>
      </c>
      <c r="R238" s="19" t="s">
        <v>1981</v>
      </c>
      <c r="S238" s="54" t="s">
        <v>9</v>
      </c>
      <c r="T238" s="19" t="str">
        <f t="shared" si="57"/>
        <v>Elementos Instalações</v>
      </c>
      <c r="U238" s="19" t="str">
        <f t="shared" si="57"/>
        <v>Elementos Sensorização</v>
      </c>
      <c r="V238" s="46" t="str">
        <f t="shared" si="48"/>
        <v>Elemento Sensor</v>
      </c>
      <c r="W238" s="19" t="s">
        <v>459</v>
      </c>
      <c r="X238" s="40" t="str">
        <f t="shared" si="56"/>
        <v>Key-TUB-238</v>
      </c>
      <c r="Y238" s="19" t="s">
        <v>1328</v>
      </c>
      <c r="Z238" s="47" t="s">
        <v>9</v>
      </c>
      <c r="AA238" s="37" t="s">
        <v>1982</v>
      </c>
      <c r="AB238" s="47" t="s">
        <v>9</v>
      </c>
      <c r="AC238" s="19" t="s">
        <v>1711</v>
      </c>
      <c r="AD238" s="47" t="s">
        <v>9</v>
      </c>
    </row>
    <row r="239" spans="1:30" ht="6.75" customHeight="1" x14ac:dyDescent="0.25">
      <c r="A239" s="38">
        <v>239</v>
      </c>
      <c r="B239" s="1" t="s">
        <v>725</v>
      </c>
      <c r="C239" s="57" t="s">
        <v>1596</v>
      </c>
      <c r="D239" s="1" t="s">
        <v>1996</v>
      </c>
      <c r="E239" s="1" t="s">
        <v>2050</v>
      </c>
      <c r="F239" s="22" t="s">
        <v>2030</v>
      </c>
      <c r="G239" s="39" t="s">
        <v>9</v>
      </c>
      <c r="H239" s="39" t="s">
        <v>9</v>
      </c>
      <c r="I239" s="39" t="s">
        <v>9</v>
      </c>
      <c r="J239" s="39" t="s">
        <v>9</v>
      </c>
      <c r="K239" s="39" t="s">
        <v>9</v>
      </c>
      <c r="L239" s="23" t="str">
        <f t="shared" si="53"/>
        <v>Elementos.Instalações</v>
      </c>
      <c r="M239" s="23" t="str">
        <f t="shared" si="54"/>
        <v>Elementos.Sensorização</v>
      </c>
      <c r="N239" s="23" t="str">
        <f t="shared" si="51"/>
        <v>Elemento Sensor</v>
      </c>
      <c r="O239" s="23" t="str">
        <f t="shared" si="55"/>
        <v>Sensor de Desvio Ferroviário</v>
      </c>
      <c r="P239" s="19" t="s">
        <v>1983</v>
      </c>
      <c r="Q239" s="19" t="s">
        <v>1984</v>
      </c>
      <c r="R239" s="19" t="s">
        <v>1985</v>
      </c>
      <c r="S239" s="54" t="s">
        <v>9</v>
      </c>
      <c r="T239" s="19" t="str">
        <f t="shared" si="57"/>
        <v>Elementos Instalações</v>
      </c>
      <c r="U239" s="19" t="str">
        <f t="shared" si="57"/>
        <v>Elementos Sensorização</v>
      </c>
      <c r="V239" s="46" t="str">
        <f t="shared" si="48"/>
        <v>Elemento Sensor</v>
      </c>
      <c r="W239" s="19" t="s">
        <v>459</v>
      </c>
      <c r="X239" s="40" t="str">
        <f t="shared" si="56"/>
        <v>Key-TUB-239</v>
      </c>
      <c r="Y239" s="19" t="s">
        <v>1328</v>
      </c>
      <c r="Z239" s="47" t="s">
        <v>9</v>
      </c>
      <c r="AA239" s="37" t="s">
        <v>1986</v>
      </c>
      <c r="AB239" s="47" t="s">
        <v>9</v>
      </c>
      <c r="AC239" s="19" t="s">
        <v>1711</v>
      </c>
      <c r="AD239" s="47" t="s">
        <v>9</v>
      </c>
    </row>
    <row r="240" spans="1:30" ht="6.75" customHeight="1" x14ac:dyDescent="0.25">
      <c r="A240" s="38">
        <v>240</v>
      </c>
      <c r="B240" s="1" t="s">
        <v>725</v>
      </c>
      <c r="C240" s="57" t="s">
        <v>1596</v>
      </c>
      <c r="D240" s="1" t="s">
        <v>1996</v>
      </c>
      <c r="E240" s="1" t="s">
        <v>2050</v>
      </c>
      <c r="F240" s="22" t="s">
        <v>2031</v>
      </c>
      <c r="G240" s="39" t="s">
        <v>9</v>
      </c>
      <c r="H240" s="39" t="s">
        <v>9</v>
      </c>
      <c r="I240" s="39" t="s">
        <v>9</v>
      </c>
      <c r="J240" s="39" t="s">
        <v>9</v>
      </c>
      <c r="K240" s="39" t="s">
        <v>9</v>
      </c>
      <c r="L240" s="23" t="str">
        <f t="shared" si="53"/>
        <v>Elementos.Instalações</v>
      </c>
      <c r="M240" s="23" t="str">
        <f t="shared" si="54"/>
        <v>Elementos.Sensorização</v>
      </c>
      <c r="N240" s="23" t="str">
        <f t="shared" si="51"/>
        <v>Elemento Sensor</v>
      </c>
      <c r="O240" s="23" t="str">
        <f t="shared" si="55"/>
        <v>Sensor de Roda</v>
      </c>
      <c r="P240" s="19" t="s">
        <v>1987</v>
      </c>
      <c r="Q240" s="19" t="s">
        <v>1988</v>
      </c>
      <c r="R240" s="19" t="s">
        <v>1989</v>
      </c>
      <c r="S240" s="54" t="s">
        <v>9</v>
      </c>
      <c r="T240" s="19" t="str">
        <f t="shared" si="57"/>
        <v>Elementos Instalações</v>
      </c>
      <c r="U240" s="19" t="str">
        <f t="shared" si="57"/>
        <v>Elementos Sensorização</v>
      </c>
      <c r="V240" s="46" t="str">
        <f t="shared" si="48"/>
        <v>Elemento Sensor</v>
      </c>
      <c r="W240" s="19" t="s">
        <v>459</v>
      </c>
      <c r="X240" s="40" t="str">
        <f t="shared" si="56"/>
        <v>Key-TUB-240</v>
      </c>
      <c r="Y240" s="19" t="s">
        <v>1328</v>
      </c>
      <c r="Z240" s="47" t="s">
        <v>9</v>
      </c>
      <c r="AA240" s="37" t="s">
        <v>1990</v>
      </c>
      <c r="AB240" s="47" t="s">
        <v>9</v>
      </c>
      <c r="AC240" s="19" t="s">
        <v>1711</v>
      </c>
      <c r="AD240" s="47" t="s">
        <v>9</v>
      </c>
    </row>
    <row r="241" spans="1:30" ht="6.75" customHeight="1" x14ac:dyDescent="0.25">
      <c r="A241" s="38">
        <v>241</v>
      </c>
      <c r="B241" s="1" t="s">
        <v>725</v>
      </c>
      <c r="C241" s="57" t="s">
        <v>1596</v>
      </c>
      <c r="D241" s="1" t="s">
        <v>1996</v>
      </c>
      <c r="E241" s="1" t="s">
        <v>2050</v>
      </c>
      <c r="F241" s="22" t="s">
        <v>2032</v>
      </c>
      <c r="G241" s="39" t="s">
        <v>9</v>
      </c>
      <c r="H241" s="39" t="s">
        <v>9</v>
      </c>
      <c r="I241" s="39" t="s">
        <v>9</v>
      </c>
      <c r="J241" s="39" t="s">
        <v>9</v>
      </c>
      <c r="K241" s="39" t="s">
        <v>9</v>
      </c>
      <c r="L241" s="23" t="str">
        <f t="shared" si="53"/>
        <v>Elementos.Instalações</v>
      </c>
      <c r="M241" s="23" t="str">
        <f t="shared" si="54"/>
        <v>Elementos.Sensorização</v>
      </c>
      <c r="N241" s="23" t="str">
        <f t="shared" si="51"/>
        <v>Elemento Sensor</v>
      </c>
      <c r="O241" s="23" t="str">
        <f t="shared" si="55"/>
        <v>Sensor de Vento</v>
      </c>
      <c r="P241" s="19" t="s">
        <v>1991</v>
      </c>
      <c r="Q241" s="19" t="s">
        <v>1992</v>
      </c>
      <c r="R241" s="19" t="s">
        <v>1993</v>
      </c>
      <c r="S241" s="54" t="s">
        <v>9</v>
      </c>
      <c r="T241" s="19" t="str">
        <f t="shared" si="57"/>
        <v>Elementos Instalações</v>
      </c>
      <c r="U241" s="19" t="str">
        <f t="shared" si="57"/>
        <v>Elementos Sensorização</v>
      </c>
      <c r="V241" s="46" t="str">
        <f t="shared" si="48"/>
        <v>Elemento Sensor</v>
      </c>
      <c r="W241" s="19" t="s">
        <v>459</v>
      </c>
      <c r="X241" s="40" t="str">
        <f t="shared" si="56"/>
        <v>Key-TUB-241</v>
      </c>
      <c r="Y241" s="19" t="s">
        <v>1328</v>
      </c>
      <c r="Z241" s="47" t="s">
        <v>9</v>
      </c>
      <c r="AA241" s="37" t="s">
        <v>1994</v>
      </c>
      <c r="AB241" s="47" t="s">
        <v>9</v>
      </c>
      <c r="AC241" s="19" t="s">
        <v>1711</v>
      </c>
      <c r="AD241" s="47" t="s">
        <v>9</v>
      </c>
    </row>
    <row r="242" spans="1:30" ht="6.75" customHeight="1" x14ac:dyDescent="0.25">
      <c r="A242" s="38">
        <v>242</v>
      </c>
      <c r="B242" s="1" t="s">
        <v>725</v>
      </c>
      <c r="C242" s="57" t="s">
        <v>1596</v>
      </c>
      <c r="D242" s="1" t="s">
        <v>1586</v>
      </c>
      <c r="E242" s="1" t="s">
        <v>2127</v>
      </c>
      <c r="F242" s="57" t="s">
        <v>2044</v>
      </c>
      <c r="G242" s="39" t="s">
        <v>9</v>
      </c>
      <c r="H242" s="39" t="s">
        <v>9</v>
      </c>
      <c r="I242" s="39" t="s">
        <v>9</v>
      </c>
      <c r="J242" s="39" t="s">
        <v>9</v>
      </c>
      <c r="K242" s="39" t="s">
        <v>9</v>
      </c>
      <c r="L242" s="23" t="str">
        <f t="shared" si="53"/>
        <v>Elementos.Instalações</v>
      </c>
      <c r="M242" s="23" t="str">
        <f t="shared" si="54"/>
        <v>Elementos.Avac</v>
      </c>
      <c r="N242" s="23" t="str">
        <f t="shared" si="51"/>
        <v>Elemento Acessório Avac</v>
      </c>
      <c r="O242" s="23" t="str">
        <f t="shared" si="55"/>
        <v>Avac Acessório</v>
      </c>
      <c r="P242" s="58" t="s">
        <v>1587</v>
      </c>
      <c r="Q242" s="19" t="s">
        <v>1589</v>
      </c>
      <c r="R242" s="19" t="s">
        <v>1588</v>
      </c>
      <c r="S242" s="54" t="s">
        <v>9</v>
      </c>
      <c r="T242" s="46" t="str">
        <f t="shared" ref="T242:V275" si="58">SUBSTITUTE(C242, ".", " ")</f>
        <v>Elementos Instalações</v>
      </c>
      <c r="U242" s="46" t="str">
        <f t="shared" si="58"/>
        <v>Elementos Avac</v>
      </c>
      <c r="V242" s="46" t="str">
        <f t="shared" si="48"/>
        <v>Elemento Acessório Avac</v>
      </c>
      <c r="W242" s="19" t="s">
        <v>459</v>
      </c>
      <c r="X242" s="40" t="str">
        <f t="shared" si="56"/>
        <v>Key-TUB-242</v>
      </c>
      <c r="Y242" s="19" t="s">
        <v>503</v>
      </c>
      <c r="Z242" s="47" t="s">
        <v>9</v>
      </c>
      <c r="AA242" s="19" t="s">
        <v>505</v>
      </c>
      <c r="AB242" s="47" t="s">
        <v>9</v>
      </c>
      <c r="AC242" s="19" t="s">
        <v>1711</v>
      </c>
      <c r="AD242" s="47" t="s">
        <v>9</v>
      </c>
    </row>
    <row r="243" spans="1:30" ht="6.75" customHeight="1" x14ac:dyDescent="0.25">
      <c r="A243" s="38">
        <v>243</v>
      </c>
      <c r="B243" s="1" t="s">
        <v>725</v>
      </c>
      <c r="C243" s="57" t="s">
        <v>1596</v>
      </c>
      <c r="D243" s="1" t="s">
        <v>1586</v>
      </c>
      <c r="E243" s="1" t="s">
        <v>2128</v>
      </c>
      <c r="F243" s="22" t="s">
        <v>2043</v>
      </c>
      <c r="G243" s="39" t="s">
        <v>9</v>
      </c>
      <c r="H243" s="39" t="s">
        <v>9</v>
      </c>
      <c r="I243" s="39" t="s">
        <v>9</v>
      </c>
      <c r="J243" s="39" t="s">
        <v>9</v>
      </c>
      <c r="K243" s="39" t="s">
        <v>9</v>
      </c>
      <c r="L243" s="23" t="str">
        <f t="shared" si="53"/>
        <v>Elementos.Instalações</v>
      </c>
      <c r="M243" s="23" t="str">
        <f t="shared" si="54"/>
        <v>Elementos.Avac</v>
      </c>
      <c r="N243" s="23" t="str">
        <f t="shared" si="51"/>
        <v>Elemento Duto Avac</v>
      </c>
      <c r="O243" s="23" t="str">
        <f t="shared" si="55"/>
        <v>Avac Duto Conexão</v>
      </c>
      <c r="P243" s="19" t="s">
        <v>1708</v>
      </c>
      <c r="Q243" s="19" t="s">
        <v>1709</v>
      </c>
      <c r="R243" s="19" t="s">
        <v>1710</v>
      </c>
      <c r="S243" s="54" t="s">
        <v>9</v>
      </c>
      <c r="T243" s="46" t="str">
        <f t="shared" si="58"/>
        <v>Elementos Instalações</v>
      </c>
      <c r="U243" s="46" t="str">
        <f t="shared" si="58"/>
        <v>Elementos Avac</v>
      </c>
      <c r="V243" s="46" t="str">
        <f t="shared" si="48"/>
        <v>Elemento Duto Avac</v>
      </c>
      <c r="W243" s="19" t="s">
        <v>459</v>
      </c>
      <c r="X243" s="40" t="str">
        <f t="shared" si="56"/>
        <v>Key-TUB-243</v>
      </c>
      <c r="Y243" s="19" t="s">
        <v>1696</v>
      </c>
      <c r="Z243" s="47" t="s">
        <v>9</v>
      </c>
      <c r="AA243" s="37" t="s">
        <v>1697</v>
      </c>
      <c r="AB243" s="47" t="s">
        <v>9</v>
      </c>
      <c r="AC243" s="19" t="s">
        <v>1711</v>
      </c>
      <c r="AD243" s="47" t="s">
        <v>9</v>
      </c>
    </row>
    <row r="244" spans="1:30" ht="6.75" customHeight="1" x14ac:dyDescent="0.25">
      <c r="A244" s="38">
        <v>244</v>
      </c>
      <c r="B244" s="1" t="s">
        <v>725</v>
      </c>
      <c r="C244" s="57" t="s">
        <v>1596</v>
      </c>
      <c r="D244" s="1" t="s">
        <v>1586</v>
      </c>
      <c r="E244" s="1" t="s">
        <v>2128</v>
      </c>
      <c r="F244" s="1" t="s">
        <v>2042</v>
      </c>
      <c r="G244" s="39" t="s">
        <v>9</v>
      </c>
      <c r="H244" s="39" t="s">
        <v>9</v>
      </c>
      <c r="I244" s="39" t="s">
        <v>9</v>
      </c>
      <c r="J244" s="39" t="s">
        <v>9</v>
      </c>
      <c r="K244" s="39" t="s">
        <v>9</v>
      </c>
      <c r="L244" s="23" t="str">
        <f t="shared" si="53"/>
        <v>Elementos.Instalações</v>
      </c>
      <c r="M244" s="23" t="str">
        <f t="shared" si="54"/>
        <v>Elementos.Avac</v>
      </c>
      <c r="N244" s="23" t="str">
        <f t="shared" si="51"/>
        <v>Elemento Duto Avac</v>
      </c>
      <c r="O244" s="23" t="str">
        <f t="shared" si="55"/>
        <v>Avac Duto Flexível</v>
      </c>
      <c r="P244" s="19" t="s">
        <v>1712</v>
      </c>
      <c r="Q244" s="19" t="s">
        <v>1713</v>
      </c>
      <c r="R244" s="19" t="s">
        <v>1714</v>
      </c>
      <c r="S244" s="54" t="s">
        <v>9</v>
      </c>
      <c r="T244" s="46" t="str">
        <f t="shared" si="58"/>
        <v>Elementos Instalações</v>
      </c>
      <c r="U244" s="46" t="str">
        <f t="shared" si="58"/>
        <v>Elementos Avac</v>
      </c>
      <c r="V244" s="46" t="str">
        <f t="shared" si="48"/>
        <v>Elemento Duto Avac</v>
      </c>
      <c r="W244" s="19" t="s">
        <v>459</v>
      </c>
      <c r="X244" s="40" t="str">
        <f t="shared" si="56"/>
        <v>Key-TUB-244</v>
      </c>
      <c r="Y244" s="19" t="s">
        <v>1698</v>
      </c>
      <c r="Z244" s="47" t="s">
        <v>9</v>
      </c>
      <c r="AA244" s="37" t="s">
        <v>1699</v>
      </c>
      <c r="AB244" s="47" t="s">
        <v>9</v>
      </c>
      <c r="AC244" s="19" t="s">
        <v>1711</v>
      </c>
      <c r="AD244" s="47" t="s">
        <v>9</v>
      </c>
    </row>
    <row r="245" spans="1:30" ht="6.75" customHeight="1" x14ac:dyDescent="0.25">
      <c r="A245" s="38">
        <v>245</v>
      </c>
      <c r="B245" s="1" t="s">
        <v>725</v>
      </c>
      <c r="C245" s="57" t="s">
        <v>1596</v>
      </c>
      <c r="D245" s="1" t="s">
        <v>1586</v>
      </c>
      <c r="E245" s="1" t="s">
        <v>2128</v>
      </c>
      <c r="F245" s="22" t="s">
        <v>2041</v>
      </c>
      <c r="G245" s="39" t="s">
        <v>9</v>
      </c>
      <c r="H245" s="39" t="s">
        <v>9</v>
      </c>
      <c r="I245" s="39" t="s">
        <v>9</v>
      </c>
      <c r="J245" s="39" t="s">
        <v>9</v>
      </c>
      <c r="K245" s="39" t="s">
        <v>9</v>
      </c>
      <c r="L245" s="23" t="str">
        <f t="shared" si="53"/>
        <v>Elementos.Instalações</v>
      </c>
      <c r="M245" s="23" t="str">
        <f t="shared" si="54"/>
        <v>Elementos.Avac</v>
      </c>
      <c r="N245" s="23" t="str">
        <f t="shared" si="51"/>
        <v>Elemento Duto Avac</v>
      </c>
      <c r="O245" s="23" t="str">
        <f t="shared" si="55"/>
        <v>Avac Duto Segmento</v>
      </c>
      <c r="P245" s="19" t="s">
        <v>1715</v>
      </c>
      <c r="Q245" s="19" t="s">
        <v>1716</v>
      </c>
      <c r="R245" s="19" t="s">
        <v>1717</v>
      </c>
      <c r="S245" s="54" t="s">
        <v>9</v>
      </c>
      <c r="T245" s="46" t="str">
        <f t="shared" si="58"/>
        <v>Elementos Instalações</v>
      </c>
      <c r="U245" s="46" t="str">
        <f t="shared" si="58"/>
        <v>Elementos Avac</v>
      </c>
      <c r="V245" s="46" t="str">
        <f t="shared" si="48"/>
        <v>Elemento Duto Avac</v>
      </c>
      <c r="W245" s="19" t="s">
        <v>459</v>
      </c>
      <c r="X245" s="40" t="str">
        <f t="shared" si="56"/>
        <v>Key-TUB-245</v>
      </c>
      <c r="Y245" s="19" t="s">
        <v>1700</v>
      </c>
      <c r="Z245" s="47" t="s">
        <v>9</v>
      </c>
      <c r="AA245" s="37" t="s">
        <v>1699</v>
      </c>
      <c r="AB245" s="47" t="s">
        <v>9</v>
      </c>
      <c r="AC245" s="19" t="s">
        <v>1711</v>
      </c>
      <c r="AD245" s="47" t="s">
        <v>9</v>
      </c>
    </row>
    <row r="246" spans="1:30" ht="6.75" customHeight="1" x14ac:dyDescent="0.25">
      <c r="A246" s="38">
        <v>246</v>
      </c>
      <c r="B246" s="1" t="s">
        <v>725</v>
      </c>
      <c r="C246" s="57" t="s">
        <v>1596</v>
      </c>
      <c r="D246" s="1" t="s">
        <v>1586</v>
      </c>
      <c r="E246" s="1" t="s">
        <v>2128</v>
      </c>
      <c r="F246" s="22" t="s">
        <v>2040</v>
      </c>
      <c r="G246" s="39" t="s">
        <v>9</v>
      </c>
      <c r="H246" s="39" t="s">
        <v>9</v>
      </c>
      <c r="I246" s="39" t="s">
        <v>9</v>
      </c>
      <c r="J246" s="39" t="s">
        <v>9</v>
      </c>
      <c r="K246" s="39" t="s">
        <v>9</v>
      </c>
      <c r="L246" s="23" t="str">
        <f t="shared" si="53"/>
        <v>Elementos.Instalações</v>
      </c>
      <c r="M246" s="23" t="str">
        <f t="shared" si="54"/>
        <v>Elementos.Avac</v>
      </c>
      <c r="N246" s="23" t="str">
        <f t="shared" si="51"/>
        <v>Elemento Duto Avac</v>
      </c>
      <c r="O246" s="23" t="str">
        <f t="shared" si="55"/>
        <v>Avac Duto Silenciador</v>
      </c>
      <c r="P246" s="19" t="s">
        <v>1718</v>
      </c>
      <c r="Q246" s="19" t="s">
        <v>1719</v>
      </c>
      <c r="R246" s="19" t="s">
        <v>1720</v>
      </c>
      <c r="S246" s="54" t="s">
        <v>9</v>
      </c>
      <c r="T246" s="46" t="str">
        <f t="shared" si="58"/>
        <v>Elementos Instalações</v>
      </c>
      <c r="U246" s="46" t="str">
        <f t="shared" si="58"/>
        <v>Elementos Avac</v>
      </c>
      <c r="V246" s="46" t="str">
        <f t="shared" si="48"/>
        <v>Elemento Duto Avac</v>
      </c>
      <c r="W246" s="19" t="s">
        <v>459</v>
      </c>
      <c r="X246" s="40" t="str">
        <f t="shared" si="56"/>
        <v>Key-TUB-246</v>
      </c>
      <c r="Y246" s="19" t="s">
        <v>1701</v>
      </c>
      <c r="Z246" s="47" t="s">
        <v>9</v>
      </c>
      <c r="AA246" s="37" t="s">
        <v>1702</v>
      </c>
      <c r="AB246" s="47" t="s">
        <v>9</v>
      </c>
      <c r="AC246" s="19" t="s">
        <v>1711</v>
      </c>
      <c r="AD246" s="47" t="s">
        <v>9</v>
      </c>
    </row>
    <row r="247" spans="1:30" ht="6.75" customHeight="1" x14ac:dyDescent="0.25">
      <c r="A247" s="38">
        <v>247</v>
      </c>
      <c r="B247" s="1" t="s">
        <v>725</v>
      </c>
      <c r="C247" s="57" t="s">
        <v>1596</v>
      </c>
      <c r="D247" s="1" t="s">
        <v>1586</v>
      </c>
      <c r="E247" s="1" t="s">
        <v>2128</v>
      </c>
      <c r="F247" s="1" t="s">
        <v>2039</v>
      </c>
      <c r="G247" s="39" t="s">
        <v>9</v>
      </c>
      <c r="H247" s="39" t="s">
        <v>9</v>
      </c>
      <c r="I247" s="39" t="s">
        <v>9</v>
      </c>
      <c r="J247" s="39" t="s">
        <v>9</v>
      </c>
      <c r="K247" s="39" t="s">
        <v>9</v>
      </c>
      <c r="L247" s="23" t="str">
        <f t="shared" si="53"/>
        <v>Elementos.Instalações</v>
      </c>
      <c r="M247" s="23" t="str">
        <f t="shared" si="54"/>
        <v>Elementos.Avac</v>
      </c>
      <c r="N247" s="23" t="str">
        <f t="shared" si="51"/>
        <v>Elemento Duto Avac</v>
      </c>
      <c r="O247" s="23" t="str">
        <f t="shared" si="55"/>
        <v>Avac Duto Silenciador Conexão</v>
      </c>
      <c r="P247" s="19" t="s">
        <v>1721</v>
      </c>
      <c r="Q247" s="19" t="s">
        <v>1722</v>
      </c>
      <c r="R247" s="19" t="s">
        <v>1723</v>
      </c>
      <c r="S247" s="54" t="s">
        <v>9</v>
      </c>
      <c r="T247" s="46" t="str">
        <f t="shared" si="58"/>
        <v>Elementos Instalações</v>
      </c>
      <c r="U247" s="46" t="str">
        <f t="shared" si="58"/>
        <v>Elementos Avac</v>
      </c>
      <c r="V247" s="46" t="str">
        <f t="shared" si="58"/>
        <v>Elemento Duto Avac</v>
      </c>
      <c r="W247" s="19" t="s">
        <v>459</v>
      </c>
      <c r="X247" s="40" t="str">
        <f t="shared" si="56"/>
        <v>Key-TUB-247</v>
      </c>
      <c r="Y247" s="19" t="s">
        <v>1703</v>
      </c>
      <c r="Z247" s="47" t="s">
        <v>9</v>
      </c>
      <c r="AA247" s="37" t="s">
        <v>1702</v>
      </c>
      <c r="AB247" s="47" t="s">
        <v>9</v>
      </c>
      <c r="AC247" s="19" t="s">
        <v>1711</v>
      </c>
      <c r="AD247" s="47" t="s">
        <v>9</v>
      </c>
    </row>
    <row r="248" spans="1:30" ht="6.75" customHeight="1" x14ac:dyDescent="0.25">
      <c r="A248" s="38">
        <v>248</v>
      </c>
      <c r="B248" s="1" t="s">
        <v>725</v>
      </c>
      <c r="C248" s="57" t="s">
        <v>1596</v>
      </c>
      <c r="D248" s="1" t="s">
        <v>1586</v>
      </c>
      <c r="E248" s="1" t="s">
        <v>2128</v>
      </c>
      <c r="F248" s="57" t="s">
        <v>2038</v>
      </c>
      <c r="G248" s="39" t="s">
        <v>9</v>
      </c>
      <c r="H248" s="39" t="s">
        <v>9</v>
      </c>
      <c r="I248" s="39" t="s">
        <v>9</v>
      </c>
      <c r="J248" s="39" t="s">
        <v>9</v>
      </c>
      <c r="K248" s="39" t="s">
        <v>9</v>
      </c>
      <c r="L248" s="23" t="str">
        <f t="shared" si="53"/>
        <v>Elementos.Instalações</v>
      </c>
      <c r="M248" s="23" t="str">
        <f t="shared" si="54"/>
        <v>Elementos.Avac</v>
      </c>
      <c r="N248" s="23" t="str">
        <f t="shared" si="51"/>
        <v>Elemento Duto Avac</v>
      </c>
      <c r="O248" s="23" t="str">
        <f t="shared" si="55"/>
        <v>Avac Duto</v>
      </c>
      <c r="P248" s="58" t="s">
        <v>2033</v>
      </c>
      <c r="Q248" s="58" t="s">
        <v>2034</v>
      </c>
      <c r="R248" s="19" t="s">
        <v>2035</v>
      </c>
      <c r="S248" s="54" t="s">
        <v>9</v>
      </c>
      <c r="T248" s="46" t="str">
        <f t="shared" si="58"/>
        <v>Elementos Instalações</v>
      </c>
      <c r="U248" s="46" t="str">
        <f t="shared" si="58"/>
        <v>Elementos Avac</v>
      </c>
      <c r="V248" s="46" t="str">
        <f t="shared" si="58"/>
        <v>Elemento Duto Avac</v>
      </c>
      <c r="W248" s="19" t="s">
        <v>459</v>
      </c>
      <c r="X248" s="40" t="str">
        <f t="shared" si="56"/>
        <v>Key-TUB-248</v>
      </c>
      <c r="Y248" s="37" t="s">
        <v>1083</v>
      </c>
      <c r="Z248" s="47" t="s">
        <v>9</v>
      </c>
      <c r="AA248" s="37" t="s">
        <v>1084</v>
      </c>
      <c r="AB248" s="47" t="s">
        <v>9</v>
      </c>
      <c r="AC248" s="19" t="s">
        <v>1266</v>
      </c>
      <c r="AD248" s="47" t="s">
        <v>9</v>
      </c>
    </row>
    <row r="249" spans="1:30" ht="6.75" customHeight="1" x14ac:dyDescent="0.25">
      <c r="A249" s="38">
        <v>249</v>
      </c>
      <c r="B249" s="1" t="s">
        <v>725</v>
      </c>
      <c r="C249" s="57" t="s">
        <v>1596</v>
      </c>
      <c r="D249" s="1" t="s">
        <v>1586</v>
      </c>
      <c r="E249" s="1" t="s">
        <v>2051</v>
      </c>
      <c r="F249" s="22" t="s">
        <v>1751</v>
      </c>
      <c r="G249" s="39" t="s">
        <v>9</v>
      </c>
      <c r="H249" s="39" t="s">
        <v>9</v>
      </c>
      <c r="I249" s="39" t="s">
        <v>9</v>
      </c>
      <c r="J249" s="39" t="s">
        <v>9</v>
      </c>
      <c r="K249" s="39" t="s">
        <v>9</v>
      </c>
      <c r="L249" s="23" t="str">
        <f t="shared" si="53"/>
        <v>Elementos.Instalações</v>
      </c>
      <c r="M249" s="23" t="str">
        <f t="shared" si="54"/>
        <v>Elementos.Avac</v>
      </c>
      <c r="N249" s="23" t="str">
        <f t="shared" si="51"/>
        <v>Elemento Equipamento Avac</v>
      </c>
      <c r="O249" s="23" t="str">
        <f t="shared" si="55"/>
        <v>Avac Compressor</v>
      </c>
      <c r="P249" s="19" t="s">
        <v>1752</v>
      </c>
      <c r="Q249" s="19" t="s">
        <v>1753</v>
      </c>
      <c r="R249" s="19" t="s">
        <v>1754</v>
      </c>
      <c r="S249" s="54" t="s">
        <v>9</v>
      </c>
      <c r="T249" s="46" t="str">
        <f t="shared" si="58"/>
        <v>Elementos Instalações</v>
      </c>
      <c r="U249" s="46" t="str">
        <f t="shared" si="58"/>
        <v>Elementos Avac</v>
      </c>
      <c r="V249" s="46" t="str">
        <f t="shared" si="58"/>
        <v>Elemento Equipamento Avac</v>
      </c>
      <c r="W249" s="19" t="s">
        <v>459</v>
      </c>
      <c r="X249" s="40" t="str">
        <f t="shared" si="56"/>
        <v>Key-TUB-249</v>
      </c>
      <c r="Y249" s="37" t="s">
        <v>1071</v>
      </c>
      <c r="Z249" s="47" t="s">
        <v>9</v>
      </c>
      <c r="AA249" s="37" t="s">
        <v>1755</v>
      </c>
      <c r="AB249" s="47" t="s">
        <v>9</v>
      </c>
      <c r="AC249" s="19" t="s">
        <v>1711</v>
      </c>
      <c r="AD249" s="47" t="s">
        <v>9</v>
      </c>
    </row>
    <row r="250" spans="1:30" ht="6.75" customHeight="1" x14ac:dyDescent="0.25">
      <c r="A250" s="38">
        <v>250</v>
      </c>
      <c r="B250" s="1" t="s">
        <v>725</v>
      </c>
      <c r="C250" s="57" t="s">
        <v>1596</v>
      </c>
      <c r="D250" s="1" t="s">
        <v>1586</v>
      </c>
      <c r="E250" s="1" t="s">
        <v>2051</v>
      </c>
      <c r="F250" s="22" t="s">
        <v>1756</v>
      </c>
      <c r="G250" s="39" t="s">
        <v>9</v>
      </c>
      <c r="H250" s="39" t="s">
        <v>9</v>
      </c>
      <c r="I250" s="39" t="s">
        <v>9</v>
      </c>
      <c r="J250" s="39" t="s">
        <v>9</v>
      </c>
      <c r="K250" s="39" t="s">
        <v>9</v>
      </c>
      <c r="L250" s="23" t="str">
        <f t="shared" si="53"/>
        <v>Elementos.Instalações</v>
      </c>
      <c r="M250" s="23" t="str">
        <f t="shared" si="54"/>
        <v>Elementos.Avac</v>
      </c>
      <c r="N250" s="23" t="str">
        <f t="shared" si="51"/>
        <v>Elemento Equipamento Avac</v>
      </c>
      <c r="O250" s="23" t="str">
        <f t="shared" si="55"/>
        <v>Avac Filtro</v>
      </c>
      <c r="P250" s="19" t="s">
        <v>1757</v>
      </c>
      <c r="Q250" s="19" t="s">
        <v>1758</v>
      </c>
      <c r="R250" s="19" t="s">
        <v>1759</v>
      </c>
      <c r="S250" s="54" t="s">
        <v>9</v>
      </c>
      <c r="T250" s="46" t="str">
        <f t="shared" si="58"/>
        <v>Elementos Instalações</v>
      </c>
      <c r="U250" s="46" t="str">
        <f t="shared" si="58"/>
        <v>Elementos Avac</v>
      </c>
      <c r="V250" s="46" t="str">
        <f t="shared" si="58"/>
        <v>Elemento Equipamento Avac</v>
      </c>
      <c r="W250" s="19" t="s">
        <v>459</v>
      </c>
      <c r="X250" s="40" t="str">
        <f t="shared" si="56"/>
        <v>Key-TUB-250</v>
      </c>
      <c r="Y250" s="37" t="s">
        <v>1071</v>
      </c>
      <c r="Z250" s="47" t="s">
        <v>9</v>
      </c>
      <c r="AA250" s="37" t="s">
        <v>1760</v>
      </c>
      <c r="AB250" s="47" t="s">
        <v>9</v>
      </c>
      <c r="AC250" s="19" t="s">
        <v>1711</v>
      </c>
      <c r="AD250" s="47" t="s">
        <v>9</v>
      </c>
    </row>
    <row r="251" spans="1:30" ht="6.75" customHeight="1" x14ac:dyDescent="0.25">
      <c r="A251" s="38">
        <v>251</v>
      </c>
      <c r="B251" s="1" t="s">
        <v>725</v>
      </c>
      <c r="C251" s="57" t="s">
        <v>1596</v>
      </c>
      <c r="D251" s="1" t="s">
        <v>1586</v>
      </c>
      <c r="E251" s="1" t="s">
        <v>2051</v>
      </c>
      <c r="F251" s="22" t="s">
        <v>1761</v>
      </c>
      <c r="G251" s="39" t="s">
        <v>9</v>
      </c>
      <c r="H251" s="39" t="s">
        <v>9</v>
      </c>
      <c r="I251" s="39" t="s">
        <v>9</v>
      </c>
      <c r="J251" s="39" t="s">
        <v>9</v>
      </c>
      <c r="K251" s="39" t="s">
        <v>9</v>
      </c>
      <c r="L251" s="23" t="str">
        <f t="shared" si="53"/>
        <v>Elementos.Instalações</v>
      </c>
      <c r="M251" s="23" t="str">
        <f t="shared" si="54"/>
        <v>Elementos.Avac</v>
      </c>
      <c r="N251" s="23" t="str">
        <f t="shared" si="51"/>
        <v>Elemento Equipamento Avac</v>
      </c>
      <c r="O251" s="23" t="str">
        <f t="shared" si="55"/>
        <v>Avac Unitário</v>
      </c>
      <c r="P251" s="19" t="s">
        <v>1762</v>
      </c>
      <c r="Q251" s="19" t="s">
        <v>1763</v>
      </c>
      <c r="R251" s="19" t="s">
        <v>1764</v>
      </c>
      <c r="S251" s="54" t="s">
        <v>9</v>
      </c>
      <c r="T251" s="46" t="str">
        <f t="shared" si="58"/>
        <v>Elementos Instalações</v>
      </c>
      <c r="U251" s="46" t="str">
        <f t="shared" si="58"/>
        <v>Elementos Avac</v>
      </c>
      <c r="V251" s="46" t="str">
        <f t="shared" si="58"/>
        <v>Elemento Equipamento Avac</v>
      </c>
      <c r="W251" s="19" t="s">
        <v>459</v>
      </c>
      <c r="X251" s="40" t="str">
        <f t="shared" si="56"/>
        <v>Key-TUB-251</v>
      </c>
      <c r="Y251" s="37" t="s">
        <v>1071</v>
      </c>
      <c r="Z251" s="47" t="s">
        <v>9</v>
      </c>
      <c r="AA251" s="37" t="s">
        <v>1765</v>
      </c>
      <c r="AB251" s="47" t="s">
        <v>9</v>
      </c>
      <c r="AC251" s="19" t="s">
        <v>1711</v>
      </c>
      <c r="AD251" s="47" t="s">
        <v>9</v>
      </c>
    </row>
    <row r="252" spans="1:30" ht="6.75" customHeight="1" x14ac:dyDescent="0.25">
      <c r="A252" s="38">
        <v>252</v>
      </c>
      <c r="B252" s="1" t="s">
        <v>725</v>
      </c>
      <c r="C252" s="57" t="s">
        <v>1596</v>
      </c>
      <c r="D252" s="1" t="s">
        <v>1586</v>
      </c>
      <c r="E252" s="1" t="s">
        <v>2051</v>
      </c>
      <c r="F252" s="22" t="s">
        <v>1766</v>
      </c>
      <c r="G252" s="39" t="s">
        <v>9</v>
      </c>
      <c r="H252" s="39" t="s">
        <v>9</v>
      </c>
      <c r="I252" s="39" t="s">
        <v>9</v>
      </c>
      <c r="J252" s="39" t="s">
        <v>9</v>
      </c>
      <c r="K252" s="39" t="s">
        <v>9</v>
      </c>
      <c r="L252" s="23" t="str">
        <f t="shared" si="53"/>
        <v>Elementos.Instalações</v>
      </c>
      <c r="M252" s="23" t="str">
        <f t="shared" si="54"/>
        <v>Elementos.Avac</v>
      </c>
      <c r="N252" s="23" t="str">
        <f t="shared" si="51"/>
        <v>Elemento Equipamento Avac</v>
      </c>
      <c r="O252" s="23" t="str">
        <f t="shared" si="55"/>
        <v>Avac Bobina de Tubos</v>
      </c>
      <c r="P252" s="19" t="s">
        <v>1767</v>
      </c>
      <c r="Q252" s="19" t="s">
        <v>1768</v>
      </c>
      <c r="R252" s="19" t="s">
        <v>1769</v>
      </c>
      <c r="S252" s="54" t="s">
        <v>9</v>
      </c>
      <c r="T252" s="46" t="str">
        <f t="shared" si="58"/>
        <v>Elementos Instalações</v>
      </c>
      <c r="U252" s="46" t="str">
        <f t="shared" si="58"/>
        <v>Elementos Avac</v>
      </c>
      <c r="V252" s="46" t="str">
        <f t="shared" si="58"/>
        <v>Elemento Equipamento Avac</v>
      </c>
      <c r="W252" s="19" t="s">
        <v>459</v>
      </c>
      <c r="X252" s="40" t="str">
        <f t="shared" si="56"/>
        <v>Key-TUB-252</v>
      </c>
      <c r="Y252" s="37" t="s">
        <v>1071</v>
      </c>
      <c r="Z252" s="47" t="s">
        <v>9</v>
      </c>
      <c r="AA252" s="37" t="s">
        <v>1770</v>
      </c>
      <c r="AB252" s="47" t="s">
        <v>9</v>
      </c>
      <c r="AC252" s="19" t="s">
        <v>1711</v>
      </c>
      <c r="AD252" s="47" t="s">
        <v>9</v>
      </c>
    </row>
    <row r="253" spans="1:30" ht="6.75" customHeight="1" x14ac:dyDescent="0.25">
      <c r="A253" s="38">
        <v>253</v>
      </c>
      <c r="B253" s="1" t="s">
        <v>725</v>
      </c>
      <c r="C253" s="57" t="s">
        <v>1596</v>
      </c>
      <c r="D253" s="1" t="s">
        <v>1586</v>
      </c>
      <c r="E253" s="1" t="s">
        <v>2051</v>
      </c>
      <c r="F253" s="22" t="s">
        <v>1771</v>
      </c>
      <c r="G253" s="39" t="s">
        <v>9</v>
      </c>
      <c r="H253" s="39" t="s">
        <v>9</v>
      </c>
      <c r="I253" s="39" t="s">
        <v>9</v>
      </c>
      <c r="J253" s="39" t="s">
        <v>9</v>
      </c>
      <c r="K253" s="39" t="s">
        <v>9</v>
      </c>
      <c r="L253" s="23" t="str">
        <f t="shared" si="53"/>
        <v>Elementos.Instalações</v>
      </c>
      <c r="M253" s="23" t="str">
        <f t="shared" si="54"/>
        <v>Elementos.Avac</v>
      </c>
      <c r="N253" s="23" t="str">
        <f t="shared" si="51"/>
        <v>Elemento Equipamento Avac</v>
      </c>
      <c r="O253" s="23" t="str">
        <f t="shared" si="55"/>
        <v>Avac Caldeira</v>
      </c>
      <c r="P253" s="19" t="s">
        <v>1772</v>
      </c>
      <c r="Q253" s="19" t="s">
        <v>1773</v>
      </c>
      <c r="R253" s="19" t="s">
        <v>1774</v>
      </c>
      <c r="S253" s="54" t="s">
        <v>9</v>
      </c>
      <c r="T253" s="46" t="str">
        <f t="shared" si="58"/>
        <v>Elementos Instalações</v>
      </c>
      <c r="U253" s="46" t="str">
        <f t="shared" si="58"/>
        <v>Elementos Avac</v>
      </c>
      <c r="V253" s="46" t="str">
        <f t="shared" si="58"/>
        <v>Elemento Equipamento Avac</v>
      </c>
      <c r="W253" s="19" t="s">
        <v>459</v>
      </c>
      <c r="X253" s="40" t="str">
        <f t="shared" si="56"/>
        <v>Key-TUB-253</v>
      </c>
      <c r="Y253" s="37" t="s">
        <v>1071</v>
      </c>
      <c r="Z253" s="47" t="s">
        <v>9</v>
      </c>
      <c r="AA253" s="37" t="s">
        <v>1091</v>
      </c>
      <c r="AB253" s="47" t="s">
        <v>9</v>
      </c>
      <c r="AC253" s="19" t="s">
        <v>1711</v>
      </c>
      <c r="AD253" s="47" t="s">
        <v>9</v>
      </c>
    </row>
    <row r="254" spans="1:30" ht="6.75" customHeight="1" x14ac:dyDescent="0.25">
      <c r="A254" s="38">
        <v>254</v>
      </c>
      <c r="B254" s="1" t="s">
        <v>725</v>
      </c>
      <c r="C254" s="57" t="s">
        <v>1596</v>
      </c>
      <c r="D254" s="1" t="s">
        <v>1586</v>
      </c>
      <c r="E254" s="1" t="s">
        <v>2051</v>
      </c>
      <c r="F254" s="22" t="s">
        <v>1775</v>
      </c>
      <c r="G254" s="39" t="s">
        <v>9</v>
      </c>
      <c r="H254" s="39" t="s">
        <v>9</v>
      </c>
      <c r="I254" s="39" t="s">
        <v>9</v>
      </c>
      <c r="J254" s="39" t="s">
        <v>9</v>
      </c>
      <c r="K254" s="39" t="s">
        <v>9</v>
      </c>
      <c r="L254" s="23" t="str">
        <f t="shared" si="53"/>
        <v>Elementos.Instalações</v>
      </c>
      <c r="M254" s="23" t="str">
        <f t="shared" si="54"/>
        <v>Elementos.Avac</v>
      </c>
      <c r="N254" s="23" t="str">
        <f t="shared" si="51"/>
        <v>Elemento Equipamento Avac</v>
      </c>
      <c r="O254" s="23" t="str">
        <f t="shared" si="55"/>
        <v>Avac Chaminé</v>
      </c>
      <c r="P254" s="19" t="s">
        <v>1776</v>
      </c>
      <c r="Q254" s="19" t="s">
        <v>1777</v>
      </c>
      <c r="R254" s="19" t="s">
        <v>1778</v>
      </c>
      <c r="S254" s="54" t="s">
        <v>9</v>
      </c>
      <c r="T254" s="46" t="str">
        <f t="shared" si="58"/>
        <v>Elementos Instalações</v>
      </c>
      <c r="U254" s="46" t="str">
        <f t="shared" si="58"/>
        <v>Elementos Avac</v>
      </c>
      <c r="V254" s="46" t="str">
        <f t="shared" si="58"/>
        <v>Elemento Equipamento Avac</v>
      </c>
      <c r="W254" s="19" t="s">
        <v>459</v>
      </c>
      <c r="X254" s="40" t="str">
        <f t="shared" si="56"/>
        <v>Key-TUB-254</v>
      </c>
      <c r="Y254" s="37" t="s">
        <v>1071</v>
      </c>
      <c r="Z254" s="47" t="s">
        <v>9</v>
      </c>
      <c r="AA254" s="37" t="s">
        <v>1779</v>
      </c>
      <c r="AB254" s="47" t="s">
        <v>9</v>
      </c>
      <c r="AC254" s="19" t="s">
        <v>1711</v>
      </c>
      <c r="AD254" s="47" t="s">
        <v>9</v>
      </c>
    </row>
    <row r="255" spans="1:30" ht="6.75" customHeight="1" x14ac:dyDescent="0.25">
      <c r="A255" s="38">
        <v>255</v>
      </c>
      <c r="B255" s="1" t="s">
        <v>725</v>
      </c>
      <c r="C255" s="57" t="s">
        <v>1596</v>
      </c>
      <c r="D255" s="1" t="s">
        <v>1586</v>
      </c>
      <c r="E255" s="1" t="s">
        <v>2051</v>
      </c>
      <c r="F255" s="22" t="s">
        <v>1780</v>
      </c>
      <c r="G255" s="39" t="s">
        <v>9</v>
      </c>
      <c r="H255" s="39" t="s">
        <v>9</v>
      </c>
      <c r="I255" s="39" t="s">
        <v>9</v>
      </c>
      <c r="J255" s="39" t="s">
        <v>9</v>
      </c>
      <c r="K255" s="39" t="s">
        <v>9</v>
      </c>
      <c r="L255" s="23" t="str">
        <f t="shared" si="53"/>
        <v>Elementos.Instalações</v>
      </c>
      <c r="M255" s="23" t="str">
        <f t="shared" si="54"/>
        <v>Elementos.Avac</v>
      </c>
      <c r="N255" s="23" t="str">
        <f t="shared" si="51"/>
        <v>Elemento Equipamento Avac</v>
      </c>
      <c r="O255" s="23" t="str">
        <f t="shared" si="55"/>
        <v>Avac Chiller</v>
      </c>
      <c r="P255" s="19" t="s">
        <v>1781</v>
      </c>
      <c r="Q255" s="19" t="s">
        <v>1782</v>
      </c>
      <c r="R255" s="19" t="s">
        <v>1783</v>
      </c>
      <c r="S255" s="54" t="s">
        <v>9</v>
      </c>
      <c r="T255" s="46" t="str">
        <f t="shared" si="58"/>
        <v>Elementos Instalações</v>
      </c>
      <c r="U255" s="46" t="str">
        <f t="shared" si="58"/>
        <v>Elementos Avac</v>
      </c>
      <c r="V255" s="46" t="str">
        <f t="shared" si="58"/>
        <v>Elemento Equipamento Avac</v>
      </c>
      <c r="W255" s="19" t="s">
        <v>459</v>
      </c>
      <c r="X255" s="40" t="str">
        <f t="shared" si="56"/>
        <v>Key-TUB-255</v>
      </c>
      <c r="Y255" s="37" t="s">
        <v>1071</v>
      </c>
      <c r="Z255" s="47" t="s">
        <v>9</v>
      </c>
      <c r="AA255" s="37" t="s">
        <v>1784</v>
      </c>
      <c r="AB255" s="47" t="s">
        <v>9</v>
      </c>
      <c r="AC255" s="19" t="s">
        <v>1711</v>
      </c>
      <c r="AD255" s="47" t="s">
        <v>9</v>
      </c>
    </row>
    <row r="256" spans="1:30" ht="6.75" customHeight="1" x14ac:dyDescent="0.25">
      <c r="A256" s="38">
        <v>256</v>
      </c>
      <c r="B256" s="1" t="s">
        <v>725</v>
      </c>
      <c r="C256" s="57" t="s">
        <v>1596</v>
      </c>
      <c r="D256" s="1" t="s">
        <v>1586</v>
      </c>
      <c r="E256" s="1" t="s">
        <v>2051</v>
      </c>
      <c r="F256" s="22" t="s">
        <v>1785</v>
      </c>
      <c r="G256" s="39" t="s">
        <v>9</v>
      </c>
      <c r="H256" s="39" t="s">
        <v>9</v>
      </c>
      <c r="I256" s="39" t="s">
        <v>9</v>
      </c>
      <c r="J256" s="39" t="s">
        <v>9</v>
      </c>
      <c r="K256" s="39" t="s">
        <v>9</v>
      </c>
      <c r="L256" s="23" t="str">
        <f t="shared" si="53"/>
        <v>Elementos.Instalações</v>
      </c>
      <c r="M256" s="23" t="str">
        <f t="shared" si="54"/>
        <v>Elementos.Avac</v>
      </c>
      <c r="N256" s="23" t="str">
        <f t="shared" si="51"/>
        <v>Elemento Equipamento Avac</v>
      </c>
      <c r="O256" s="23" t="str">
        <f t="shared" si="55"/>
        <v>Avac Condensador</v>
      </c>
      <c r="P256" s="19" t="s">
        <v>1786</v>
      </c>
      <c r="Q256" s="19" t="s">
        <v>1787</v>
      </c>
      <c r="R256" s="19" t="s">
        <v>1788</v>
      </c>
      <c r="S256" s="54" t="s">
        <v>9</v>
      </c>
      <c r="T256" s="46" t="str">
        <f t="shared" si="58"/>
        <v>Elementos Instalações</v>
      </c>
      <c r="U256" s="46" t="str">
        <f t="shared" si="58"/>
        <v>Elementos Avac</v>
      </c>
      <c r="V256" s="46" t="str">
        <f t="shared" si="58"/>
        <v>Elemento Equipamento Avac</v>
      </c>
      <c r="W256" s="19" t="s">
        <v>459</v>
      </c>
      <c r="X256" s="40" t="str">
        <f t="shared" si="56"/>
        <v>Key-TUB-256</v>
      </c>
      <c r="Y256" s="37" t="s">
        <v>1071</v>
      </c>
      <c r="Z256" s="47" t="s">
        <v>9</v>
      </c>
      <c r="AA256" s="37" t="s">
        <v>1789</v>
      </c>
      <c r="AB256" s="47" t="s">
        <v>9</v>
      </c>
      <c r="AC256" s="19" t="s">
        <v>1711</v>
      </c>
      <c r="AD256" s="47" t="s">
        <v>9</v>
      </c>
    </row>
    <row r="257" spans="1:30" ht="6.75" customHeight="1" x14ac:dyDescent="0.25">
      <c r="A257" s="38">
        <v>257</v>
      </c>
      <c r="B257" s="1" t="s">
        <v>725</v>
      </c>
      <c r="C257" s="57" t="s">
        <v>1596</v>
      </c>
      <c r="D257" s="1" t="s">
        <v>1586</v>
      </c>
      <c r="E257" s="1" t="s">
        <v>2051</v>
      </c>
      <c r="F257" s="22" t="s">
        <v>1790</v>
      </c>
      <c r="G257" s="39" t="s">
        <v>9</v>
      </c>
      <c r="H257" s="39" t="s">
        <v>9</v>
      </c>
      <c r="I257" s="39" t="s">
        <v>9</v>
      </c>
      <c r="J257" s="39" t="s">
        <v>9</v>
      </c>
      <c r="K257" s="39" t="s">
        <v>9</v>
      </c>
      <c r="L257" s="23" t="str">
        <f t="shared" si="53"/>
        <v>Elementos.Instalações</v>
      </c>
      <c r="M257" s="23" t="str">
        <f t="shared" si="54"/>
        <v>Elementos.Avac</v>
      </c>
      <c r="N257" s="23" t="str">
        <f t="shared" si="51"/>
        <v>Elemento Equipamento Avac</v>
      </c>
      <c r="O257" s="23" t="str">
        <f t="shared" si="55"/>
        <v>Avac Evaporador</v>
      </c>
      <c r="P257" s="19" t="s">
        <v>1791</v>
      </c>
      <c r="Q257" s="19" t="s">
        <v>1792</v>
      </c>
      <c r="R257" s="19" t="s">
        <v>1793</v>
      </c>
      <c r="S257" s="54" t="s">
        <v>9</v>
      </c>
      <c r="T257" s="46" t="str">
        <f t="shared" si="58"/>
        <v>Elementos Instalações</v>
      </c>
      <c r="U257" s="46" t="str">
        <f t="shared" si="58"/>
        <v>Elementos Avac</v>
      </c>
      <c r="V257" s="46" t="str">
        <f t="shared" si="58"/>
        <v>Elemento Equipamento Avac</v>
      </c>
      <c r="W257" s="19" t="s">
        <v>459</v>
      </c>
      <c r="X257" s="40" t="str">
        <f t="shared" si="56"/>
        <v>Key-TUB-257</v>
      </c>
      <c r="Y257" s="37" t="s">
        <v>1071</v>
      </c>
      <c r="Z257" s="47" t="s">
        <v>9</v>
      </c>
      <c r="AA257" s="37" t="s">
        <v>1794</v>
      </c>
      <c r="AB257" s="47" t="s">
        <v>9</v>
      </c>
      <c r="AC257" s="19" t="s">
        <v>1711</v>
      </c>
      <c r="AD257" s="47" t="s">
        <v>9</v>
      </c>
    </row>
    <row r="258" spans="1:30" ht="6.75" customHeight="1" x14ac:dyDescent="0.25">
      <c r="A258" s="38">
        <v>258</v>
      </c>
      <c r="B258" s="1" t="s">
        <v>725</v>
      </c>
      <c r="C258" s="57" t="s">
        <v>1596</v>
      </c>
      <c r="D258" s="1" t="s">
        <v>1586</v>
      </c>
      <c r="E258" s="1" t="s">
        <v>2051</v>
      </c>
      <c r="F258" s="22" t="s">
        <v>1795</v>
      </c>
      <c r="G258" s="39" t="s">
        <v>9</v>
      </c>
      <c r="H258" s="39" t="s">
        <v>9</v>
      </c>
      <c r="I258" s="39" t="s">
        <v>9</v>
      </c>
      <c r="J258" s="39" t="s">
        <v>9</v>
      </c>
      <c r="K258" s="39" t="s">
        <v>9</v>
      </c>
      <c r="L258" s="23" t="str">
        <f t="shared" si="53"/>
        <v>Elementos.Instalações</v>
      </c>
      <c r="M258" s="23" t="str">
        <f t="shared" si="54"/>
        <v>Elementos.Avac</v>
      </c>
      <c r="N258" s="23" t="str">
        <f t="shared" si="51"/>
        <v>Elemento Equipamento Avac</v>
      </c>
      <c r="O258" s="23" t="str">
        <f t="shared" si="55"/>
        <v>Avac Queimador</v>
      </c>
      <c r="P258" s="19" t="s">
        <v>1796</v>
      </c>
      <c r="Q258" s="19" t="s">
        <v>1797</v>
      </c>
      <c r="R258" s="19" t="s">
        <v>1798</v>
      </c>
      <c r="S258" s="54" t="s">
        <v>9</v>
      </c>
      <c r="T258" s="46" t="str">
        <f t="shared" si="58"/>
        <v>Elementos Instalações</v>
      </c>
      <c r="U258" s="46" t="str">
        <f t="shared" si="58"/>
        <v>Elementos Avac</v>
      </c>
      <c r="V258" s="46" t="str">
        <f t="shared" si="58"/>
        <v>Elemento Equipamento Avac</v>
      </c>
      <c r="W258" s="19" t="s">
        <v>459</v>
      </c>
      <c r="X258" s="40" t="str">
        <f t="shared" si="56"/>
        <v>Key-TUB-258</v>
      </c>
      <c r="Y258" s="37" t="s">
        <v>1071</v>
      </c>
      <c r="Z258" s="47" t="s">
        <v>9</v>
      </c>
      <c r="AA258" s="37" t="s">
        <v>1072</v>
      </c>
      <c r="AB258" s="47" t="s">
        <v>9</v>
      </c>
      <c r="AC258" s="19" t="s">
        <v>1711</v>
      </c>
      <c r="AD258" s="47" t="s">
        <v>9</v>
      </c>
    </row>
    <row r="259" spans="1:30" ht="6.75" customHeight="1" x14ac:dyDescent="0.25">
      <c r="A259" s="38">
        <v>259</v>
      </c>
      <c r="B259" s="1" t="s">
        <v>725</v>
      </c>
      <c r="C259" s="57" t="s">
        <v>1596</v>
      </c>
      <c r="D259" s="1" t="s">
        <v>1586</v>
      </c>
      <c r="E259" s="1" t="s">
        <v>2051</v>
      </c>
      <c r="F259" s="22" t="s">
        <v>1799</v>
      </c>
      <c r="G259" s="39" t="s">
        <v>9</v>
      </c>
      <c r="H259" s="39" t="s">
        <v>9</v>
      </c>
      <c r="I259" s="39" t="s">
        <v>9</v>
      </c>
      <c r="J259" s="39" t="s">
        <v>9</v>
      </c>
      <c r="K259" s="39" t="s">
        <v>9</v>
      </c>
      <c r="L259" s="23" t="str">
        <f t="shared" si="53"/>
        <v>Elementos.Instalações</v>
      </c>
      <c r="M259" s="23" t="str">
        <f t="shared" si="54"/>
        <v>Elementos.Avac</v>
      </c>
      <c r="N259" s="23" t="str">
        <f t="shared" si="51"/>
        <v>Elemento Equipamento Avac</v>
      </c>
      <c r="O259" s="23" t="str">
        <f t="shared" si="55"/>
        <v>Avac Recuperador Ar-Ar</v>
      </c>
      <c r="P259" s="19" t="s">
        <v>1800</v>
      </c>
      <c r="Q259" s="19" t="s">
        <v>1801</v>
      </c>
      <c r="R259" s="19" t="s">
        <v>1802</v>
      </c>
      <c r="S259" s="54" t="s">
        <v>9</v>
      </c>
      <c r="T259" s="46" t="str">
        <f t="shared" si="58"/>
        <v>Elementos Instalações</v>
      </c>
      <c r="U259" s="46" t="str">
        <f t="shared" si="58"/>
        <v>Elementos Avac</v>
      </c>
      <c r="V259" s="46" t="str">
        <f t="shared" si="58"/>
        <v>Elemento Equipamento Avac</v>
      </c>
      <c r="W259" s="19" t="s">
        <v>459</v>
      </c>
      <c r="X259" s="40" t="str">
        <f t="shared" si="56"/>
        <v>Key-TUB-259</v>
      </c>
      <c r="Y259" s="37" t="s">
        <v>1071</v>
      </c>
      <c r="Z259" s="47" t="s">
        <v>9</v>
      </c>
      <c r="AA259" s="37" t="s">
        <v>1803</v>
      </c>
      <c r="AB259" s="47" t="s">
        <v>9</v>
      </c>
      <c r="AC259" s="19" t="s">
        <v>1711</v>
      </c>
      <c r="AD259" s="47" t="s">
        <v>9</v>
      </c>
    </row>
    <row r="260" spans="1:30" ht="6.75" customHeight="1" x14ac:dyDescent="0.25">
      <c r="A260" s="38">
        <v>260</v>
      </c>
      <c r="B260" s="1" t="s">
        <v>725</v>
      </c>
      <c r="C260" s="57" t="s">
        <v>1596</v>
      </c>
      <c r="D260" s="1" t="s">
        <v>1586</v>
      </c>
      <c r="E260" s="1" t="s">
        <v>2051</v>
      </c>
      <c r="F260" s="22" t="s">
        <v>1804</v>
      </c>
      <c r="G260" s="39" t="s">
        <v>9</v>
      </c>
      <c r="H260" s="39" t="s">
        <v>9</v>
      </c>
      <c r="I260" s="39" t="s">
        <v>9</v>
      </c>
      <c r="J260" s="39" t="s">
        <v>9</v>
      </c>
      <c r="K260" s="39" t="s">
        <v>9</v>
      </c>
      <c r="L260" s="23" t="str">
        <f t="shared" si="53"/>
        <v>Elementos.Instalações</v>
      </c>
      <c r="M260" s="23" t="str">
        <f t="shared" si="54"/>
        <v>Elementos.Avac</v>
      </c>
      <c r="N260" s="23" t="str">
        <f t="shared" si="51"/>
        <v>Elemento Equipamento Avac</v>
      </c>
      <c r="O260" s="23" t="str">
        <f t="shared" si="55"/>
        <v>Avac Resfriador Evaporativo</v>
      </c>
      <c r="P260" s="19" t="s">
        <v>1805</v>
      </c>
      <c r="Q260" s="19" t="s">
        <v>1806</v>
      </c>
      <c r="R260" s="19" t="s">
        <v>1807</v>
      </c>
      <c r="S260" s="54" t="s">
        <v>9</v>
      </c>
      <c r="T260" s="46" t="str">
        <f t="shared" si="58"/>
        <v>Elementos Instalações</v>
      </c>
      <c r="U260" s="46" t="str">
        <f t="shared" si="58"/>
        <v>Elementos Avac</v>
      </c>
      <c r="V260" s="46" t="str">
        <f t="shared" si="58"/>
        <v>Elemento Equipamento Avac</v>
      </c>
      <c r="W260" s="19" t="s">
        <v>459</v>
      </c>
      <c r="X260" s="40" t="str">
        <f t="shared" si="56"/>
        <v>Key-TUB-260</v>
      </c>
      <c r="Y260" s="37" t="s">
        <v>1071</v>
      </c>
      <c r="Z260" s="47" t="s">
        <v>9</v>
      </c>
      <c r="AA260" s="37" t="s">
        <v>1808</v>
      </c>
      <c r="AB260" s="47" t="s">
        <v>9</v>
      </c>
      <c r="AC260" s="19" t="s">
        <v>1711</v>
      </c>
      <c r="AD260" s="47" t="s">
        <v>9</v>
      </c>
    </row>
    <row r="261" spans="1:30" ht="6.75" customHeight="1" x14ac:dyDescent="0.25">
      <c r="A261" s="38">
        <v>261</v>
      </c>
      <c r="B261" s="1" t="s">
        <v>725</v>
      </c>
      <c r="C261" s="57" t="s">
        <v>1596</v>
      </c>
      <c r="D261" s="1" t="s">
        <v>1586</v>
      </c>
      <c r="E261" s="1" t="s">
        <v>2051</v>
      </c>
      <c r="F261" s="22" t="s">
        <v>1809</v>
      </c>
      <c r="G261" s="39" t="s">
        <v>9</v>
      </c>
      <c r="H261" s="39" t="s">
        <v>9</v>
      </c>
      <c r="I261" s="39" t="s">
        <v>9</v>
      </c>
      <c r="J261" s="39" t="s">
        <v>9</v>
      </c>
      <c r="K261" s="39" t="s">
        <v>9</v>
      </c>
      <c r="L261" s="23" t="str">
        <f t="shared" si="53"/>
        <v>Elementos.Instalações</v>
      </c>
      <c r="M261" s="23" t="str">
        <f t="shared" si="54"/>
        <v>Elementos.Avac</v>
      </c>
      <c r="N261" s="23" t="str">
        <f t="shared" si="51"/>
        <v>Elemento Equipamento Avac</v>
      </c>
      <c r="O261" s="23" t="str">
        <f t="shared" si="55"/>
        <v>Avac Serpentina</v>
      </c>
      <c r="P261" s="19" t="s">
        <v>1810</v>
      </c>
      <c r="Q261" s="19" t="s">
        <v>1811</v>
      </c>
      <c r="R261" s="19" t="s">
        <v>1812</v>
      </c>
      <c r="S261" s="54" t="s">
        <v>9</v>
      </c>
      <c r="T261" s="46" t="str">
        <f t="shared" si="58"/>
        <v>Elementos Instalações</v>
      </c>
      <c r="U261" s="46" t="str">
        <f t="shared" si="58"/>
        <v>Elementos Avac</v>
      </c>
      <c r="V261" s="46" t="str">
        <f t="shared" si="58"/>
        <v>Elemento Equipamento Avac</v>
      </c>
      <c r="W261" s="19" t="s">
        <v>459</v>
      </c>
      <c r="X261" s="40" t="str">
        <f t="shared" si="56"/>
        <v>Key-TUB-261</v>
      </c>
      <c r="Y261" s="37" t="s">
        <v>1071</v>
      </c>
      <c r="Z261" s="47" t="s">
        <v>9</v>
      </c>
      <c r="AA261" s="37" t="s">
        <v>1813</v>
      </c>
      <c r="AB261" s="47" t="s">
        <v>9</v>
      </c>
      <c r="AC261" s="19" t="s">
        <v>1711</v>
      </c>
      <c r="AD261" s="47" t="s">
        <v>9</v>
      </c>
    </row>
    <row r="262" spans="1:30" ht="6.75" customHeight="1" x14ac:dyDescent="0.25">
      <c r="A262" s="38">
        <v>262</v>
      </c>
      <c r="B262" s="1" t="s">
        <v>725</v>
      </c>
      <c r="C262" s="57" t="s">
        <v>1596</v>
      </c>
      <c r="D262" s="1" t="s">
        <v>1586</v>
      </c>
      <c r="E262" s="1" t="s">
        <v>2051</v>
      </c>
      <c r="F262" s="22" t="s">
        <v>1814</v>
      </c>
      <c r="G262" s="39" t="s">
        <v>9</v>
      </c>
      <c r="H262" s="39" t="s">
        <v>9</v>
      </c>
      <c r="I262" s="39" t="s">
        <v>9</v>
      </c>
      <c r="J262" s="39" t="s">
        <v>9</v>
      </c>
      <c r="K262" s="39" t="s">
        <v>9</v>
      </c>
      <c r="L262" s="23" t="str">
        <f t="shared" si="53"/>
        <v>Elementos.Instalações</v>
      </c>
      <c r="M262" s="23" t="str">
        <f t="shared" si="54"/>
        <v>Elementos.Avac</v>
      </c>
      <c r="N262" s="23" t="str">
        <f t="shared" si="51"/>
        <v>Elemento Equipamento Avac</v>
      </c>
      <c r="O262" s="23" t="str">
        <f t="shared" si="55"/>
        <v>Avac Torre Arrefecimento</v>
      </c>
      <c r="P262" s="19" t="s">
        <v>1815</v>
      </c>
      <c r="Q262" s="19" t="s">
        <v>1816</v>
      </c>
      <c r="R262" s="19" t="s">
        <v>1817</v>
      </c>
      <c r="S262" s="54" t="s">
        <v>9</v>
      </c>
      <c r="T262" s="46" t="str">
        <f t="shared" si="58"/>
        <v>Elementos Instalações</v>
      </c>
      <c r="U262" s="46" t="str">
        <f t="shared" si="58"/>
        <v>Elementos Avac</v>
      </c>
      <c r="V262" s="46" t="str">
        <f t="shared" si="58"/>
        <v>Elemento Equipamento Avac</v>
      </c>
      <c r="W262" s="19" t="s">
        <v>459</v>
      </c>
      <c r="X262" s="40" t="str">
        <f t="shared" si="56"/>
        <v>Key-TUB-262</v>
      </c>
      <c r="Y262" s="37" t="s">
        <v>1071</v>
      </c>
      <c r="Z262" s="47" t="s">
        <v>9</v>
      </c>
      <c r="AA262" s="37" t="s">
        <v>1818</v>
      </c>
      <c r="AB262" s="47" t="s">
        <v>9</v>
      </c>
      <c r="AC262" s="19" t="s">
        <v>1711</v>
      </c>
      <c r="AD262" s="47" t="s">
        <v>9</v>
      </c>
    </row>
    <row r="263" spans="1:30" ht="6.75" customHeight="1" x14ac:dyDescent="0.25">
      <c r="A263" s="38">
        <v>263</v>
      </c>
      <c r="B263" s="1" t="s">
        <v>725</v>
      </c>
      <c r="C263" s="57" t="s">
        <v>1596</v>
      </c>
      <c r="D263" s="1" t="s">
        <v>1586</v>
      </c>
      <c r="E263" s="1" t="s">
        <v>2051</v>
      </c>
      <c r="F263" s="22" t="s">
        <v>1819</v>
      </c>
      <c r="G263" s="39" t="s">
        <v>9</v>
      </c>
      <c r="H263" s="39" t="s">
        <v>9</v>
      </c>
      <c r="I263" s="39" t="s">
        <v>9</v>
      </c>
      <c r="J263" s="39" t="s">
        <v>9</v>
      </c>
      <c r="K263" s="39" t="s">
        <v>9</v>
      </c>
      <c r="L263" s="23" t="str">
        <f t="shared" si="53"/>
        <v>Elementos.Instalações</v>
      </c>
      <c r="M263" s="23" t="str">
        <f t="shared" si="54"/>
        <v>Elementos.Avac</v>
      </c>
      <c r="N263" s="23" t="str">
        <f t="shared" si="51"/>
        <v>Elemento Equipamento Avac</v>
      </c>
      <c r="O263" s="23" t="str">
        <f t="shared" si="55"/>
        <v>Avac Trocador de Calor</v>
      </c>
      <c r="P263" s="19" t="s">
        <v>1820</v>
      </c>
      <c r="Q263" s="19" t="s">
        <v>1821</v>
      </c>
      <c r="R263" s="19" t="s">
        <v>1822</v>
      </c>
      <c r="S263" s="54" t="s">
        <v>9</v>
      </c>
      <c r="T263" s="46" t="str">
        <f t="shared" si="58"/>
        <v>Elementos Instalações</v>
      </c>
      <c r="U263" s="46" t="str">
        <f t="shared" si="58"/>
        <v>Elementos Avac</v>
      </c>
      <c r="V263" s="46" t="str">
        <f t="shared" si="58"/>
        <v>Elemento Equipamento Avac</v>
      </c>
      <c r="W263" s="19" t="s">
        <v>459</v>
      </c>
      <c r="X263" s="40" t="str">
        <f t="shared" si="56"/>
        <v>Key-TUB-263</v>
      </c>
      <c r="Y263" s="37" t="s">
        <v>1071</v>
      </c>
      <c r="Z263" s="47" t="s">
        <v>9</v>
      </c>
      <c r="AA263" s="37" t="s">
        <v>1823</v>
      </c>
      <c r="AB263" s="47" t="s">
        <v>9</v>
      </c>
      <c r="AC263" s="19" t="s">
        <v>1711</v>
      </c>
      <c r="AD263" s="47" t="s">
        <v>9</v>
      </c>
    </row>
    <row r="264" spans="1:30" ht="6.75" customHeight="1" x14ac:dyDescent="0.25">
      <c r="A264" s="38">
        <v>264</v>
      </c>
      <c r="B264" s="1" t="s">
        <v>725</v>
      </c>
      <c r="C264" s="57" t="s">
        <v>1596</v>
      </c>
      <c r="D264" s="1" t="s">
        <v>1586</v>
      </c>
      <c r="E264" s="1" t="s">
        <v>2051</v>
      </c>
      <c r="F264" s="22" t="s">
        <v>1824</v>
      </c>
      <c r="G264" s="39" t="s">
        <v>9</v>
      </c>
      <c r="H264" s="39" t="s">
        <v>9</v>
      </c>
      <c r="I264" s="39" t="s">
        <v>9</v>
      </c>
      <c r="J264" s="39" t="s">
        <v>9</v>
      </c>
      <c r="K264" s="39" t="s">
        <v>9</v>
      </c>
      <c r="L264" s="23" t="str">
        <f t="shared" si="53"/>
        <v>Elementos.Instalações</v>
      </c>
      <c r="M264" s="23" t="str">
        <f t="shared" si="54"/>
        <v>Elementos.Avac</v>
      </c>
      <c r="N264" s="23" t="str">
        <f t="shared" si="51"/>
        <v>Elemento Equipamento Avac</v>
      </c>
      <c r="O264" s="23" t="str">
        <f t="shared" si="55"/>
        <v>Avac Umidificador</v>
      </c>
      <c r="P264" s="19" t="s">
        <v>1825</v>
      </c>
      <c r="Q264" s="19" t="s">
        <v>1826</v>
      </c>
      <c r="R264" s="19" t="s">
        <v>1827</v>
      </c>
      <c r="S264" s="54" t="s">
        <v>9</v>
      </c>
      <c r="T264" s="46" t="str">
        <f t="shared" si="58"/>
        <v>Elementos Instalações</v>
      </c>
      <c r="U264" s="46" t="str">
        <f t="shared" si="58"/>
        <v>Elementos Avac</v>
      </c>
      <c r="V264" s="46" t="str">
        <f t="shared" si="58"/>
        <v>Elemento Equipamento Avac</v>
      </c>
      <c r="W264" s="19" t="s">
        <v>459</v>
      </c>
      <c r="X264" s="40" t="str">
        <f t="shared" si="56"/>
        <v>Key-TUB-264</v>
      </c>
      <c r="Y264" s="37" t="s">
        <v>1071</v>
      </c>
      <c r="Z264" s="47" t="s">
        <v>9</v>
      </c>
      <c r="AA264" s="37" t="s">
        <v>1828</v>
      </c>
      <c r="AB264" s="47" t="s">
        <v>9</v>
      </c>
      <c r="AC264" s="19" t="s">
        <v>1711</v>
      </c>
      <c r="AD264" s="47" t="s">
        <v>9</v>
      </c>
    </row>
    <row r="265" spans="1:30" ht="6.75" customHeight="1" x14ac:dyDescent="0.25">
      <c r="A265" s="38">
        <v>265</v>
      </c>
      <c r="B265" s="1" t="s">
        <v>725</v>
      </c>
      <c r="C265" s="57" t="s">
        <v>1596</v>
      </c>
      <c r="D265" s="1" t="s">
        <v>1586</v>
      </c>
      <c r="E265" s="1" t="s">
        <v>2129</v>
      </c>
      <c r="F265" s="22" t="s">
        <v>1829</v>
      </c>
      <c r="G265" s="39" t="s">
        <v>9</v>
      </c>
      <c r="H265" s="39" t="s">
        <v>9</v>
      </c>
      <c r="I265" s="39" t="s">
        <v>9</v>
      </c>
      <c r="J265" s="39" t="s">
        <v>9</v>
      </c>
      <c r="K265" s="39" t="s">
        <v>9</v>
      </c>
      <c r="L265" s="23" t="str">
        <f t="shared" si="53"/>
        <v>Elementos.Instalações</v>
      </c>
      <c r="M265" s="23" t="str">
        <f t="shared" si="54"/>
        <v>Elementos.Avac</v>
      </c>
      <c r="N265" s="23" t="str">
        <f t="shared" si="51"/>
        <v>Elemento Equipamento Avac Uni</v>
      </c>
      <c r="O265" s="23" t="str">
        <f t="shared" si="55"/>
        <v>Avac Ventilador</v>
      </c>
      <c r="P265" s="19" t="s">
        <v>1830</v>
      </c>
      <c r="Q265" s="19" t="s">
        <v>1831</v>
      </c>
      <c r="R265" s="19" t="s">
        <v>1832</v>
      </c>
      <c r="S265" s="54" t="s">
        <v>9</v>
      </c>
      <c r="T265" s="46" t="str">
        <f t="shared" si="58"/>
        <v>Elementos Instalações</v>
      </c>
      <c r="U265" s="46" t="str">
        <f t="shared" si="58"/>
        <v>Elementos Avac</v>
      </c>
      <c r="V265" s="46" t="str">
        <f t="shared" si="58"/>
        <v>Elemento Equipamento Avac Uni</v>
      </c>
      <c r="W265" s="19" t="s">
        <v>459</v>
      </c>
      <c r="X265" s="40" t="str">
        <f t="shared" si="56"/>
        <v>Key-TUB-265</v>
      </c>
      <c r="Y265" s="37" t="s">
        <v>1071</v>
      </c>
      <c r="Z265" s="47" t="s">
        <v>9</v>
      </c>
      <c r="AA265" s="37" t="s">
        <v>1833</v>
      </c>
      <c r="AB265" s="47" t="s">
        <v>9</v>
      </c>
      <c r="AC265" s="19" t="s">
        <v>1711</v>
      </c>
      <c r="AD265" s="47" t="s">
        <v>9</v>
      </c>
    </row>
    <row r="266" spans="1:30" ht="6.75" customHeight="1" x14ac:dyDescent="0.25">
      <c r="A266" s="38">
        <v>266</v>
      </c>
      <c r="B266" s="1" t="s">
        <v>725</v>
      </c>
      <c r="C266" s="57" t="s">
        <v>1596</v>
      </c>
      <c r="D266" s="1" t="s">
        <v>1586</v>
      </c>
      <c r="E266" s="1" t="s">
        <v>2129</v>
      </c>
      <c r="F266" s="22" t="s">
        <v>1834</v>
      </c>
      <c r="G266" s="39" t="s">
        <v>9</v>
      </c>
      <c r="H266" s="39" t="s">
        <v>9</v>
      </c>
      <c r="I266" s="39" t="s">
        <v>9</v>
      </c>
      <c r="J266" s="39" t="s">
        <v>9</v>
      </c>
      <c r="K266" s="39" t="s">
        <v>9</v>
      </c>
      <c r="L266" s="23" t="str">
        <f t="shared" si="53"/>
        <v>Elementos.Instalações</v>
      </c>
      <c r="M266" s="23" t="str">
        <f t="shared" si="54"/>
        <v>Elementos.Avac</v>
      </c>
      <c r="N266" s="23" t="str">
        <f t="shared" si="51"/>
        <v>Elemento Equipamento Avac Uni</v>
      </c>
      <c r="O266" s="23" t="str">
        <f t="shared" si="55"/>
        <v>Avac Aquecedor de Ambiente</v>
      </c>
      <c r="P266" s="19" t="s">
        <v>1835</v>
      </c>
      <c r="Q266" s="19" t="s">
        <v>1836</v>
      </c>
      <c r="R266" s="19" t="s">
        <v>1837</v>
      </c>
      <c r="S266" s="54" t="s">
        <v>9</v>
      </c>
      <c r="T266" s="46" t="str">
        <f t="shared" si="58"/>
        <v>Elementos Instalações</v>
      </c>
      <c r="U266" s="46" t="str">
        <f t="shared" si="58"/>
        <v>Elementos Avac</v>
      </c>
      <c r="V266" s="46" t="str">
        <f t="shared" si="58"/>
        <v>Elemento Equipamento Avac Uni</v>
      </c>
      <c r="W266" s="19" t="s">
        <v>459</v>
      </c>
      <c r="X266" s="40" t="str">
        <f t="shared" si="56"/>
        <v>Key-TUB-266</v>
      </c>
      <c r="Y266" s="37" t="s">
        <v>1071</v>
      </c>
      <c r="Z266" s="47" t="s">
        <v>9</v>
      </c>
      <c r="AA266" s="37" t="s">
        <v>1838</v>
      </c>
      <c r="AB266" s="47" t="s">
        <v>9</v>
      </c>
      <c r="AC266" s="19" t="s">
        <v>1711</v>
      </c>
      <c r="AD266" s="47" t="s">
        <v>9</v>
      </c>
    </row>
    <row r="267" spans="1:30" ht="6.75" customHeight="1" x14ac:dyDescent="0.25">
      <c r="A267" s="38">
        <v>267</v>
      </c>
      <c r="B267" s="1" t="s">
        <v>725</v>
      </c>
      <c r="C267" s="57" t="s">
        <v>1596</v>
      </c>
      <c r="D267" s="1" t="s">
        <v>1586</v>
      </c>
      <c r="E267" s="1" t="s">
        <v>2129</v>
      </c>
      <c r="F267" s="22" t="s">
        <v>1839</v>
      </c>
      <c r="G267" s="39" t="s">
        <v>9</v>
      </c>
      <c r="H267" s="39" t="s">
        <v>9</v>
      </c>
      <c r="I267" s="39" t="s">
        <v>9</v>
      </c>
      <c r="J267" s="39" t="s">
        <v>9</v>
      </c>
      <c r="K267" s="39" t="s">
        <v>9</v>
      </c>
      <c r="L267" s="23" t="str">
        <f t="shared" si="53"/>
        <v>Elementos.Instalações</v>
      </c>
      <c r="M267" s="23" t="str">
        <f t="shared" si="54"/>
        <v>Elementos.Avac</v>
      </c>
      <c r="N267" s="23" t="str">
        <f t="shared" si="51"/>
        <v>Elemento Equipamento Avac Uni</v>
      </c>
      <c r="O267" s="23" t="str">
        <f t="shared" si="55"/>
        <v>Avac Aquecedor Convector</v>
      </c>
      <c r="P267" s="19" t="s">
        <v>1840</v>
      </c>
      <c r="Q267" s="19" t="s">
        <v>1841</v>
      </c>
      <c r="R267" s="19" t="s">
        <v>1842</v>
      </c>
      <c r="S267" s="54" t="s">
        <v>9</v>
      </c>
      <c r="T267" s="46" t="str">
        <f t="shared" si="58"/>
        <v>Elementos Instalações</v>
      </c>
      <c r="U267" s="46" t="str">
        <f t="shared" si="58"/>
        <v>Elementos Avac</v>
      </c>
      <c r="V267" s="46" t="str">
        <f t="shared" si="58"/>
        <v>Elemento Equipamento Avac Uni</v>
      </c>
      <c r="W267" s="19" t="s">
        <v>459</v>
      </c>
      <c r="X267" s="40" t="str">
        <f t="shared" si="56"/>
        <v>Key-TUB-267</v>
      </c>
      <c r="Y267" s="37" t="s">
        <v>1071</v>
      </c>
      <c r="Z267" s="47" t="s">
        <v>9</v>
      </c>
      <c r="AA267" s="37" t="s">
        <v>1843</v>
      </c>
      <c r="AB267" s="47" t="s">
        <v>9</v>
      </c>
      <c r="AC267" s="19" t="s">
        <v>1711</v>
      </c>
      <c r="AD267" s="47" t="s">
        <v>9</v>
      </c>
    </row>
    <row r="268" spans="1:30" ht="6.75" customHeight="1" x14ac:dyDescent="0.25">
      <c r="A268" s="38">
        <v>268</v>
      </c>
      <c r="B268" s="1" t="s">
        <v>725</v>
      </c>
      <c r="C268" s="57" t="s">
        <v>1596</v>
      </c>
      <c r="D268" s="1" t="s">
        <v>1586</v>
      </c>
      <c r="E268" s="1" t="s">
        <v>2129</v>
      </c>
      <c r="F268" s="22" t="s">
        <v>1844</v>
      </c>
      <c r="G268" s="39" t="s">
        <v>9</v>
      </c>
      <c r="H268" s="39" t="s">
        <v>9</v>
      </c>
      <c r="I268" s="39" t="s">
        <v>9</v>
      </c>
      <c r="J268" s="39" t="s">
        <v>9</v>
      </c>
      <c r="K268" s="39" t="s">
        <v>9</v>
      </c>
      <c r="L268" s="23" t="str">
        <f t="shared" si="53"/>
        <v>Elementos.Instalações</v>
      </c>
      <c r="M268" s="23" t="str">
        <f t="shared" si="54"/>
        <v>Elementos.Avac</v>
      </c>
      <c r="N268" s="23" t="str">
        <f t="shared" si="51"/>
        <v>Elemento Equipamento Avac Uni</v>
      </c>
      <c r="O268" s="23" t="str">
        <f t="shared" si="55"/>
        <v>Avac Aquecedor Radiação</v>
      </c>
      <c r="P268" s="19" t="s">
        <v>1845</v>
      </c>
      <c r="Q268" s="19" t="s">
        <v>1846</v>
      </c>
      <c r="R268" s="19" t="s">
        <v>1847</v>
      </c>
      <c r="S268" s="54" t="s">
        <v>9</v>
      </c>
      <c r="T268" s="46" t="str">
        <f t="shared" si="58"/>
        <v>Elementos Instalações</v>
      </c>
      <c r="U268" s="46" t="str">
        <f t="shared" si="58"/>
        <v>Elementos Avac</v>
      </c>
      <c r="V268" s="46" t="str">
        <f t="shared" si="58"/>
        <v>Elemento Equipamento Avac Uni</v>
      </c>
      <c r="W268" s="19" t="s">
        <v>459</v>
      </c>
      <c r="X268" s="40" t="str">
        <f t="shared" si="56"/>
        <v>Key-TUB-268</v>
      </c>
      <c r="Y268" s="37" t="s">
        <v>1071</v>
      </c>
      <c r="Z268" s="47" t="s">
        <v>9</v>
      </c>
      <c r="AA268" s="37" t="s">
        <v>1848</v>
      </c>
      <c r="AB268" s="47" t="s">
        <v>9</v>
      </c>
      <c r="AC268" s="19" t="s">
        <v>1711</v>
      </c>
      <c r="AD268" s="47" t="s">
        <v>9</v>
      </c>
    </row>
    <row r="269" spans="1:30" ht="6.75" customHeight="1" x14ac:dyDescent="0.25">
      <c r="A269" s="38">
        <v>269</v>
      </c>
      <c r="B269" s="1" t="s">
        <v>725</v>
      </c>
      <c r="C269" s="57" t="s">
        <v>1596</v>
      </c>
      <c r="D269" s="1" t="s">
        <v>1586</v>
      </c>
      <c r="E269" s="1" t="s">
        <v>2065</v>
      </c>
      <c r="F269" s="1" t="s">
        <v>2036</v>
      </c>
      <c r="G269" s="39" t="s">
        <v>9</v>
      </c>
      <c r="H269" s="39" t="s">
        <v>9</v>
      </c>
      <c r="I269" s="39" t="s">
        <v>9</v>
      </c>
      <c r="J269" s="39" t="s">
        <v>9</v>
      </c>
      <c r="K269" s="39" t="s">
        <v>9</v>
      </c>
      <c r="L269" s="23" t="str">
        <f t="shared" si="53"/>
        <v>Elementos.Instalações</v>
      </c>
      <c r="M269" s="23" t="str">
        <f t="shared" si="54"/>
        <v>Elementos.Avac</v>
      </c>
      <c r="N269" s="23" t="str">
        <f t="shared" si="51"/>
        <v>Elemento Terminal Avac</v>
      </c>
      <c r="O269" s="23" t="str">
        <f t="shared" si="55"/>
        <v>Avac Terminal</v>
      </c>
      <c r="P269" s="19" t="s">
        <v>1736</v>
      </c>
      <c r="Q269" s="19" t="s">
        <v>1737</v>
      </c>
      <c r="R269" s="19" t="s">
        <v>1738</v>
      </c>
      <c r="S269" s="54" t="s">
        <v>9</v>
      </c>
      <c r="T269" s="46" t="str">
        <f t="shared" si="58"/>
        <v>Elementos Instalações</v>
      </c>
      <c r="U269" s="46" t="str">
        <f t="shared" si="58"/>
        <v>Elementos Avac</v>
      </c>
      <c r="V269" s="46" t="str">
        <f t="shared" si="58"/>
        <v>Elemento Terminal Avac</v>
      </c>
      <c r="W269" s="19" t="s">
        <v>459</v>
      </c>
      <c r="X269" s="40" t="str">
        <f t="shared" si="56"/>
        <v>Key-TUB-269</v>
      </c>
      <c r="Y269" s="19" t="s">
        <v>1739</v>
      </c>
      <c r="Z269" s="47" t="s">
        <v>9</v>
      </c>
      <c r="AA269" s="37" t="s">
        <v>1740</v>
      </c>
      <c r="AB269" s="47" t="s">
        <v>9</v>
      </c>
      <c r="AC269" s="19" t="s">
        <v>1711</v>
      </c>
      <c r="AD269" s="47" t="s">
        <v>9</v>
      </c>
    </row>
    <row r="270" spans="1:30" ht="6.75" customHeight="1" x14ac:dyDescent="0.25">
      <c r="A270" s="38">
        <v>270</v>
      </c>
      <c r="B270" s="1" t="s">
        <v>725</v>
      </c>
      <c r="C270" s="57" t="s">
        <v>1596</v>
      </c>
      <c r="D270" s="1" t="s">
        <v>1586</v>
      </c>
      <c r="E270" s="1" t="s">
        <v>2065</v>
      </c>
      <c r="F270" s="22" t="s">
        <v>1741</v>
      </c>
      <c r="G270" s="39" t="s">
        <v>9</v>
      </c>
      <c r="H270" s="39" t="s">
        <v>9</v>
      </c>
      <c r="I270" s="39" t="s">
        <v>9</v>
      </c>
      <c r="J270" s="39" t="s">
        <v>9</v>
      </c>
      <c r="K270" s="39" t="s">
        <v>9</v>
      </c>
      <c r="L270" s="23" t="str">
        <f t="shared" si="53"/>
        <v>Elementos.Instalações</v>
      </c>
      <c r="M270" s="23" t="str">
        <f t="shared" si="54"/>
        <v>Elementos.Avac</v>
      </c>
      <c r="N270" s="23" t="str">
        <f t="shared" si="51"/>
        <v>Elemento Terminal Avac</v>
      </c>
      <c r="O270" s="23" t="str">
        <f t="shared" si="55"/>
        <v>Avac Caixa Junção</v>
      </c>
      <c r="P270" s="19" t="s">
        <v>1742</v>
      </c>
      <c r="Q270" s="19" t="s">
        <v>1743</v>
      </c>
      <c r="R270" s="19" t="s">
        <v>1744</v>
      </c>
      <c r="S270" s="54" t="s">
        <v>9</v>
      </c>
      <c r="T270" s="46" t="str">
        <f t="shared" si="58"/>
        <v>Elementos Instalações</v>
      </c>
      <c r="U270" s="46" t="str">
        <f t="shared" si="58"/>
        <v>Elementos Avac</v>
      </c>
      <c r="V270" s="46" t="str">
        <f t="shared" si="58"/>
        <v>Elemento Terminal Avac</v>
      </c>
      <c r="W270" s="19" t="s">
        <v>459</v>
      </c>
      <c r="X270" s="40" t="str">
        <f t="shared" si="56"/>
        <v>Key-TUB-270</v>
      </c>
      <c r="Y270" s="19" t="s">
        <v>1696</v>
      </c>
      <c r="Z270" s="47" t="s">
        <v>9</v>
      </c>
      <c r="AA270" s="37" t="s">
        <v>1745</v>
      </c>
      <c r="AB270" s="47" t="s">
        <v>9</v>
      </c>
      <c r="AC270" s="19" t="s">
        <v>1711</v>
      </c>
      <c r="AD270" s="47" t="s">
        <v>9</v>
      </c>
    </row>
    <row r="271" spans="1:30" ht="6.75" customHeight="1" x14ac:dyDescent="0.25">
      <c r="A271" s="38">
        <v>271</v>
      </c>
      <c r="B271" s="1" t="s">
        <v>725</v>
      </c>
      <c r="C271" s="57" t="s">
        <v>1596</v>
      </c>
      <c r="D271" s="1" t="s">
        <v>1586</v>
      </c>
      <c r="E271" s="1" t="s">
        <v>2065</v>
      </c>
      <c r="F271" s="22" t="s">
        <v>1746</v>
      </c>
      <c r="G271" s="39" t="s">
        <v>9</v>
      </c>
      <c r="H271" s="39" t="s">
        <v>9</v>
      </c>
      <c r="I271" s="39" t="s">
        <v>9</v>
      </c>
      <c r="J271" s="39" t="s">
        <v>9</v>
      </c>
      <c r="K271" s="39" t="s">
        <v>9</v>
      </c>
      <c r="L271" s="23" t="str">
        <f t="shared" si="53"/>
        <v>Elementos.Instalações</v>
      </c>
      <c r="M271" s="23" t="str">
        <f t="shared" si="54"/>
        <v>Elementos.Avac</v>
      </c>
      <c r="N271" s="23" t="str">
        <f t="shared" ref="N271:N334" si="59">(SUBSTITUTE(SUBSTITUTE(CONCATENATE("",E271),"."," ")," De "," de "))</f>
        <v>Elemento Terminal Avac</v>
      </c>
      <c r="O271" s="23" t="str">
        <f t="shared" si="55"/>
        <v>Avac Caixa Terminal</v>
      </c>
      <c r="P271" s="19" t="s">
        <v>1747</v>
      </c>
      <c r="Q271" s="19" t="s">
        <v>1748</v>
      </c>
      <c r="R271" s="19" t="s">
        <v>1749</v>
      </c>
      <c r="S271" s="54" t="s">
        <v>9</v>
      </c>
      <c r="T271" s="46" t="str">
        <f t="shared" si="58"/>
        <v>Elementos Instalações</v>
      </c>
      <c r="U271" s="46" t="str">
        <f t="shared" si="58"/>
        <v>Elementos Avac</v>
      </c>
      <c r="V271" s="46" t="str">
        <f t="shared" si="58"/>
        <v>Elemento Terminal Avac</v>
      </c>
      <c r="W271" s="19" t="s">
        <v>459</v>
      </c>
      <c r="X271" s="40" t="str">
        <f t="shared" si="56"/>
        <v>Key-TUB-271</v>
      </c>
      <c r="Y271" s="19" t="s">
        <v>1696</v>
      </c>
      <c r="Z271" s="47" t="s">
        <v>9</v>
      </c>
      <c r="AA271" s="37" t="s">
        <v>1750</v>
      </c>
      <c r="AB271" s="47" t="s">
        <v>9</v>
      </c>
      <c r="AC271" s="19" t="s">
        <v>1711</v>
      </c>
      <c r="AD271" s="47" t="s">
        <v>9</v>
      </c>
    </row>
    <row r="272" spans="1:30" ht="6.75" customHeight="1" x14ac:dyDescent="0.25">
      <c r="A272" s="38">
        <v>272</v>
      </c>
      <c r="B272" s="1" t="s">
        <v>725</v>
      </c>
      <c r="C272" s="57" t="s">
        <v>1596</v>
      </c>
      <c r="D272" s="1" t="s">
        <v>1586</v>
      </c>
      <c r="E272" s="1" t="s">
        <v>2052</v>
      </c>
      <c r="F272" s="22" t="s">
        <v>1724</v>
      </c>
      <c r="G272" s="39" t="s">
        <v>9</v>
      </c>
      <c r="H272" s="39" t="s">
        <v>9</v>
      </c>
      <c r="I272" s="39" t="s">
        <v>9</v>
      </c>
      <c r="J272" s="39" t="s">
        <v>9</v>
      </c>
      <c r="K272" s="39" t="s">
        <v>9</v>
      </c>
      <c r="L272" s="23" t="str">
        <f t="shared" ref="L272:L335" si="60">CONCATENATE("", C272)</f>
        <v>Elementos.Instalações</v>
      </c>
      <c r="M272" s="23" t="str">
        <f t="shared" ref="M272:M335" si="61">CONCATENATE("", D272)</f>
        <v>Elementos.Avac</v>
      </c>
      <c r="N272" s="23" t="str">
        <f t="shared" si="59"/>
        <v>Elemento Tubulação Avac</v>
      </c>
      <c r="O272" s="23" t="str">
        <f t="shared" ref="O272:O335" si="62">(SUBSTITUTE(SUBSTITUTE(CONCATENATE("",F272),"."," ")," De "," de "))</f>
        <v>Avac Tubo Conexão</v>
      </c>
      <c r="P272" s="19" t="s">
        <v>1725</v>
      </c>
      <c r="Q272" s="19" t="s">
        <v>1726</v>
      </c>
      <c r="R272" s="19" t="s">
        <v>1727</v>
      </c>
      <c r="S272" s="54" t="s">
        <v>9</v>
      </c>
      <c r="T272" s="46" t="str">
        <f t="shared" si="58"/>
        <v>Elementos Instalações</v>
      </c>
      <c r="U272" s="46" t="str">
        <f t="shared" si="58"/>
        <v>Elementos Avac</v>
      </c>
      <c r="V272" s="46" t="str">
        <f t="shared" si="58"/>
        <v>Elemento Tubulação Avac</v>
      </c>
      <c r="W272" s="19" t="s">
        <v>459</v>
      </c>
      <c r="X272" s="40" t="str">
        <f t="shared" ref="X272:X335" si="63">CONCATENATE("Key-TUB-",A272)</f>
        <v>Key-TUB-272</v>
      </c>
      <c r="Y272" s="19" t="s">
        <v>491</v>
      </c>
      <c r="Z272" s="47" t="s">
        <v>9</v>
      </c>
      <c r="AA272" s="37" t="s">
        <v>1728</v>
      </c>
      <c r="AB272" s="47" t="s">
        <v>9</v>
      </c>
      <c r="AC272" s="19" t="s">
        <v>1711</v>
      </c>
      <c r="AD272" s="47" t="s">
        <v>9</v>
      </c>
    </row>
    <row r="273" spans="1:30" ht="6.75" customHeight="1" x14ac:dyDescent="0.25">
      <c r="A273" s="38">
        <v>273</v>
      </c>
      <c r="B273" s="1" t="s">
        <v>725</v>
      </c>
      <c r="C273" s="57" t="s">
        <v>1596</v>
      </c>
      <c r="D273" s="1" t="s">
        <v>1586</v>
      </c>
      <c r="E273" s="1" t="s">
        <v>2052</v>
      </c>
      <c r="F273" s="22" t="s">
        <v>1729</v>
      </c>
      <c r="G273" s="39" t="s">
        <v>9</v>
      </c>
      <c r="H273" s="39" t="s">
        <v>9</v>
      </c>
      <c r="I273" s="39" t="s">
        <v>9</v>
      </c>
      <c r="J273" s="39" t="s">
        <v>9</v>
      </c>
      <c r="K273" s="39" t="s">
        <v>9</v>
      </c>
      <c r="L273" s="23" t="str">
        <f t="shared" si="60"/>
        <v>Elementos.Instalações</v>
      </c>
      <c r="M273" s="23" t="str">
        <f t="shared" si="61"/>
        <v>Elementos.Avac</v>
      </c>
      <c r="N273" s="23" t="str">
        <f t="shared" si="59"/>
        <v>Elemento Tubulação Avac</v>
      </c>
      <c r="O273" s="23" t="str">
        <f t="shared" si="62"/>
        <v>Avac Tubo Segmento</v>
      </c>
      <c r="P273" s="19" t="s">
        <v>1730</v>
      </c>
      <c r="Q273" s="19" t="s">
        <v>1731</v>
      </c>
      <c r="R273" s="19" t="s">
        <v>1732</v>
      </c>
      <c r="S273" s="54" t="s">
        <v>9</v>
      </c>
      <c r="T273" s="46" t="str">
        <f t="shared" si="58"/>
        <v>Elementos Instalações</v>
      </c>
      <c r="U273" s="46" t="str">
        <f t="shared" si="58"/>
        <v>Elementos Avac</v>
      </c>
      <c r="V273" s="46" t="str">
        <f t="shared" si="58"/>
        <v>Elemento Tubulação Avac</v>
      </c>
      <c r="W273" s="19" t="s">
        <v>459</v>
      </c>
      <c r="X273" s="40" t="str">
        <f t="shared" si="63"/>
        <v>Key-TUB-273</v>
      </c>
      <c r="Y273" s="19" t="s">
        <v>493</v>
      </c>
      <c r="Z273" s="47" t="s">
        <v>9</v>
      </c>
      <c r="AA273" s="37" t="s">
        <v>1733</v>
      </c>
      <c r="AB273" s="47" t="s">
        <v>9</v>
      </c>
      <c r="AC273" s="19" t="s">
        <v>1711</v>
      </c>
      <c r="AD273" s="47" t="s">
        <v>9</v>
      </c>
    </row>
    <row r="274" spans="1:30" ht="6.75" customHeight="1" x14ac:dyDescent="0.25">
      <c r="A274" s="38">
        <v>274</v>
      </c>
      <c r="B274" s="1" t="s">
        <v>725</v>
      </c>
      <c r="C274" s="57" t="s">
        <v>1596</v>
      </c>
      <c r="D274" s="1" t="s">
        <v>1586</v>
      </c>
      <c r="E274" s="1" t="s">
        <v>2052</v>
      </c>
      <c r="F274" s="22" t="s">
        <v>1734</v>
      </c>
      <c r="G274" s="39" t="s">
        <v>9</v>
      </c>
      <c r="H274" s="39" t="s">
        <v>9</v>
      </c>
      <c r="I274" s="39" t="s">
        <v>9</v>
      </c>
      <c r="J274" s="39" t="s">
        <v>9</v>
      </c>
      <c r="K274" s="39" t="s">
        <v>9</v>
      </c>
      <c r="L274" s="23" t="str">
        <f t="shared" si="60"/>
        <v>Elementos.Instalações</v>
      </c>
      <c r="M274" s="23" t="str">
        <f t="shared" si="61"/>
        <v>Elementos.Avac</v>
      </c>
      <c r="N274" s="23" t="str">
        <f t="shared" si="59"/>
        <v>Elemento Tubulação Avac</v>
      </c>
      <c r="O274" s="23" t="str">
        <f t="shared" si="62"/>
        <v>Avac Tubo Válvula</v>
      </c>
      <c r="P274" s="19" t="s">
        <v>71</v>
      </c>
      <c r="Q274" s="19" t="s">
        <v>1735</v>
      </c>
      <c r="R274" s="19" t="s">
        <v>688</v>
      </c>
      <c r="S274" s="54" t="s">
        <v>9</v>
      </c>
      <c r="T274" s="46" t="str">
        <f t="shared" si="58"/>
        <v>Elementos Instalações</v>
      </c>
      <c r="U274" s="46" t="str">
        <f t="shared" si="58"/>
        <v>Elementos Avac</v>
      </c>
      <c r="V274" s="46" t="str">
        <f t="shared" si="58"/>
        <v>Elemento Tubulação Avac</v>
      </c>
      <c r="W274" s="19" t="s">
        <v>459</v>
      </c>
      <c r="X274" s="40" t="str">
        <f t="shared" si="63"/>
        <v>Key-TUB-274</v>
      </c>
      <c r="Y274" s="19" t="s">
        <v>491</v>
      </c>
      <c r="Z274" s="47" t="s">
        <v>9</v>
      </c>
      <c r="AA274" s="37" t="s">
        <v>502</v>
      </c>
      <c r="AB274" s="47" t="s">
        <v>9</v>
      </c>
      <c r="AC274" s="19" t="s">
        <v>1711</v>
      </c>
      <c r="AD274" s="47" t="s">
        <v>9</v>
      </c>
    </row>
    <row r="275" spans="1:30" ht="6.75" customHeight="1" x14ac:dyDescent="0.25">
      <c r="A275" s="38">
        <v>275</v>
      </c>
      <c r="B275" s="1" t="s">
        <v>725</v>
      </c>
      <c r="C275" s="57" t="s">
        <v>1596</v>
      </c>
      <c r="D275" s="1" t="s">
        <v>1586</v>
      </c>
      <c r="E275" s="57" t="s">
        <v>2052</v>
      </c>
      <c r="F275" s="57" t="s">
        <v>2037</v>
      </c>
      <c r="G275" s="39" t="s">
        <v>9</v>
      </c>
      <c r="H275" s="39" t="s">
        <v>9</v>
      </c>
      <c r="I275" s="39" t="s">
        <v>9</v>
      </c>
      <c r="J275" s="39" t="s">
        <v>9</v>
      </c>
      <c r="K275" s="39" t="s">
        <v>9</v>
      </c>
      <c r="L275" s="23" t="str">
        <f t="shared" si="60"/>
        <v>Elementos.Instalações</v>
      </c>
      <c r="M275" s="23" t="str">
        <f t="shared" si="61"/>
        <v>Elementos.Avac</v>
      </c>
      <c r="N275" s="23" t="str">
        <f t="shared" si="59"/>
        <v>Elemento Tubulação Avac</v>
      </c>
      <c r="O275" s="23" t="str">
        <f t="shared" si="62"/>
        <v>Avac Tubulação</v>
      </c>
      <c r="P275" s="58" t="s">
        <v>1193</v>
      </c>
      <c r="Q275" s="19" t="s">
        <v>1193</v>
      </c>
      <c r="R275" s="19" t="s">
        <v>1477</v>
      </c>
      <c r="S275" s="54" t="s">
        <v>9</v>
      </c>
      <c r="T275" s="46" t="str">
        <f t="shared" si="58"/>
        <v>Elementos Instalações</v>
      </c>
      <c r="U275" s="46" t="str">
        <f t="shared" si="58"/>
        <v>Elementos Avac</v>
      </c>
      <c r="V275" s="46" t="str">
        <f t="shared" si="58"/>
        <v>Elemento Tubulação Avac</v>
      </c>
      <c r="W275" s="19" t="s">
        <v>459</v>
      </c>
      <c r="X275" s="40" t="str">
        <f t="shared" si="63"/>
        <v>Key-TUB-275</v>
      </c>
      <c r="Y275" s="37" t="s">
        <v>1083</v>
      </c>
      <c r="Z275" s="47" t="s">
        <v>9</v>
      </c>
      <c r="AA275" s="37" t="s">
        <v>1084</v>
      </c>
      <c r="AB275" s="47" t="s">
        <v>9</v>
      </c>
      <c r="AC275" s="19" t="s">
        <v>1266</v>
      </c>
      <c r="AD275" s="47" t="s">
        <v>9</v>
      </c>
    </row>
    <row r="276" spans="1:30" ht="6.75" customHeight="1" x14ac:dyDescent="0.25">
      <c r="A276" s="38">
        <v>276</v>
      </c>
      <c r="B276" s="1" t="s">
        <v>725</v>
      </c>
      <c r="C276" s="57" t="s">
        <v>1596</v>
      </c>
      <c r="D276" s="1" t="s">
        <v>1590</v>
      </c>
      <c r="E276" s="1" t="s">
        <v>2130</v>
      </c>
      <c r="F276" s="57" t="s">
        <v>1591</v>
      </c>
      <c r="G276" s="39" t="s">
        <v>9</v>
      </c>
      <c r="H276" s="39" t="s">
        <v>9</v>
      </c>
      <c r="I276" s="39" t="s">
        <v>9</v>
      </c>
      <c r="J276" s="39" t="s">
        <v>9</v>
      </c>
      <c r="K276" s="39" t="s">
        <v>9</v>
      </c>
      <c r="L276" s="23" t="str">
        <f t="shared" si="60"/>
        <v>Elementos.Instalações</v>
      </c>
      <c r="M276" s="23" t="str">
        <f t="shared" si="61"/>
        <v>Elementos.Gás</v>
      </c>
      <c r="N276" s="23" t="str">
        <f t="shared" si="59"/>
        <v>Elemento Acessório Gás</v>
      </c>
      <c r="O276" s="23" t="str">
        <f t="shared" si="62"/>
        <v>Acessório Gás</v>
      </c>
      <c r="P276" s="58" t="s">
        <v>1587</v>
      </c>
      <c r="Q276" s="19" t="s">
        <v>1589</v>
      </c>
      <c r="R276" s="19" t="s">
        <v>1588</v>
      </c>
      <c r="S276" s="54" t="s">
        <v>9</v>
      </c>
      <c r="T276" s="46" t="str">
        <f t="shared" si="49"/>
        <v>Elementos Instalações</v>
      </c>
      <c r="U276" s="46" t="str">
        <f t="shared" si="49"/>
        <v>Elementos Gás</v>
      </c>
      <c r="V276" s="46" t="str">
        <f t="shared" si="49"/>
        <v>Elemento Acessório Gás</v>
      </c>
      <c r="W276" s="19" t="s">
        <v>459</v>
      </c>
      <c r="X276" s="40" t="str">
        <f t="shared" si="63"/>
        <v>Key-TUB-276</v>
      </c>
      <c r="Y276" s="37" t="s">
        <v>503</v>
      </c>
      <c r="Z276" s="47" t="s">
        <v>9</v>
      </c>
      <c r="AA276" s="47" t="s">
        <v>9</v>
      </c>
      <c r="AB276" s="47" t="s">
        <v>9</v>
      </c>
      <c r="AC276" s="47" t="s">
        <v>9</v>
      </c>
      <c r="AD276" s="47" t="s">
        <v>9</v>
      </c>
    </row>
    <row r="277" spans="1:30" ht="6.75" customHeight="1" x14ac:dyDescent="0.25">
      <c r="A277" s="38">
        <v>277</v>
      </c>
      <c r="B277" s="1" t="s">
        <v>725</v>
      </c>
      <c r="C277" s="57" t="s">
        <v>1596</v>
      </c>
      <c r="D277" s="1" t="s">
        <v>1590</v>
      </c>
      <c r="E277" s="1" t="s">
        <v>2066</v>
      </c>
      <c r="F277" s="57" t="s">
        <v>1592</v>
      </c>
      <c r="G277" s="39" t="s">
        <v>9</v>
      </c>
      <c r="H277" s="39" t="s">
        <v>9</v>
      </c>
      <c r="I277" s="39" t="s">
        <v>9</v>
      </c>
      <c r="J277" s="39" t="s">
        <v>9</v>
      </c>
      <c r="K277" s="39" t="s">
        <v>9</v>
      </c>
      <c r="L277" s="23" t="str">
        <f t="shared" si="60"/>
        <v>Elementos.Instalações</v>
      </c>
      <c r="M277" s="23" t="str">
        <f t="shared" si="61"/>
        <v>Elementos.Gás</v>
      </c>
      <c r="N277" s="23" t="str">
        <f t="shared" si="59"/>
        <v>Elemento Terminal Gás</v>
      </c>
      <c r="O277" s="23" t="str">
        <f t="shared" si="62"/>
        <v>Terminal Gás</v>
      </c>
      <c r="P277" s="58" t="s">
        <v>1587</v>
      </c>
      <c r="Q277" s="19" t="s">
        <v>1589</v>
      </c>
      <c r="R277" s="19" t="s">
        <v>1588</v>
      </c>
      <c r="S277" s="54" t="s">
        <v>9</v>
      </c>
      <c r="T277" s="46" t="str">
        <f t="shared" si="49"/>
        <v>Elementos Instalações</v>
      </c>
      <c r="U277" s="46" t="str">
        <f t="shared" si="49"/>
        <v>Elementos Gás</v>
      </c>
      <c r="V277" s="46" t="str">
        <f t="shared" si="49"/>
        <v>Elemento Terminal Gás</v>
      </c>
      <c r="W277" s="19" t="s">
        <v>459</v>
      </c>
      <c r="X277" s="40" t="str">
        <f t="shared" si="63"/>
        <v>Key-TUB-277</v>
      </c>
      <c r="Y277" s="37" t="s">
        <v>1163</v>
      </c>
      <c r="Z277" s="47" t="s">
        <v>9</v>
      </c>
      <c r="AA277" s="47" t="s">
        <v>9</v>
      </c>
      <c r="AB277" s="47" t="s">
        <v>9</v>
      </c>
      <c r="AC277" s="47" t="s">
        <v>9</v>
      </c>
      <c r="AD277" s="47" t="s">
        <v>9</v>
      </c>
    </row>
    <row r="278" spans="1:30" ht="6.75" customHeight="1" x14ac:dyDescent="0.25">
      <c r="A278" s="38">
        <v>278</v>
      </c>
      <c r="B278" s="1" t="s">
        <v>725</v>
      </c>
      <c r="C278" s="57" t="s">
        <v>1596</v>
      </c>
      <c r="D278" s="1" t="s">
        <v>1590</v>
      </c>
      <c r="E278" s="57" t="s">
        <v>2053</v>
      </c>
      <c r="F278" s="57" t="s">
        <v>1593</v>
      </c>
      <c r="G278" s="39" t="s">
        <v>9</v>
      </c>
      <c r="H278" s="39" t="s">
        <v>9</v>
      </c>
      <c r="I278" s="39" t="s">
        <v>9</v>
      </c>
      <c r="J278" s="39" t="s">
        <v>9</v>
      </c>
      <c r="K278" s="39" t="s">
        <v>9</v>
      </c>
      <c r="L278" s="23" t="str">
        <f t="shared" si="60"/>
        <v>Elementos.Instalações</v>
      </c>
      <c r="M278" s="23" t="str">
        <f t="shared" si="61"/>
        <v>Elementos.Gás</v>
      </c>
      <c r="N278" s="23" t="str">
        <f t="shared" si="59"/>
        <v>Elemento Tubulação Gás</v>
      </c>
      <c r="O278" s="23" t="str">
        <f t="shared" si="62"/>
        <v>Tubulação Gás</v>
      </c>
      <c r="P278" s="58" t="s">
        <v>1193</v>
      </c>
      <c r="Q278" s="19" t="s">
        <v>1193</v>
      </c>
      <c r="R278" s="19" t="s">
        <v>1477</v>
      </c>
      <c r="S278" s="54" t="s">
        <v>9</v>
      </c>
      <c r="T278" s="46" t="str">
        <f t="shared" ref="T278:V333" si="64">SUBSTITUTE(C278, ".", " ")</f>
        <v>Elementos Instalações</v>
      </c>
      <c r="U278" s="46" t="str">
        <f t="shared" si="64"/>
        <v>Elementos Gás</v>
      </c>
      <c r="V278" s="46" t="str">
        <f t="shared" si="64"/>
        <v>Elemento Tubulação Gás</v>
      </c>
      <c r="W278" s="19" t="s">
        <v>459</v>
      </c>
      <c r="X278" s="40" t="str">
        <f t="shared" si="63"/>
        <v>Key-TUB-278</v>
      </c>
      <c r="Y278" s="37" t="s">
        <v>1083</v>
      </c>
      <c r="Z278" s="47" t="s">
        <v>9</v>
      </c>
      <c r="AA278" s="37" t="s">
        <v>1084</v>
      </c>
      <c r="AB278" s="47" t="s">
        <v>9</v>
      </c>
      <c r="AC278" s="19" t="s">
        <v>1266</v>
      </c>
      <c r="AD278" s="47" t="s">
        <v>9</v>
      </c>
    </row>
    <row r="279" spans="1:30" ht="6.75" customHeight="1" x14ac:dyDescent="0.25">
      <c r="A279" s="38">
        <v>279</v>
      </c>
      <c r="B279" s="1" t="s">
        <v>725</v>
      </c>
      <c r="C279" s="57" t="s">
        <v>1596</v>
      </c>
      <c r="D279" s="1" t="s">
        <v>1590</v>
      </c>
      <c r="E279" s="57" t="s">
        <v>2131</v>
      </c>
      <c r="F279" s="57" t="s">
        <v>1594</v>
      </c>
      <c r="G279" s="39" t="s">
        <v>9</v>
      </c>
      <c r="H279" s="39" t="s">
        <v>9</v>
      </c>
      <c r="I279" s="39" t="s">
        <v>9</v>
      </c>
      <c r="J279" s="39" t="s">
        <v>9</v>
      </c>
      <c r="K279" s="39" t="s">
        <v>9</v>
      </c>
      <c r="L279" s="23" t="str">
        <f t="shared" si="60"/>
        <v>Elementos.Instalações</v>
      </c>
      <c r="M279" s="23" t="str">
        <f t="shared" si="61"/>
        <v>Elementos.Gás</v>
      </c>
      <c r="N279" s="23" t="str">
        <f t="shared" si="59"/>
        <v>Elemento Válvula Gás</v>
      </c>
      <c r="O279" s="23" t="str">
        <f t="shared" si="62"/>
        <v>Válvula Gás</v>
      </c>
      <c r="P279" s="58" t="s">
        <v>1169</v>
      </c>
      <c r="Q279" s="19" t="s">
        <v>1169</v>
      </c>
      <c r="R279" s="19" t="s">
        <v>1170</v>
      </c>
      <c r="S279" s="54" t="s">
        <v>9</v>
      </c>
      <c r="T279" s="46" t="str">
        <f t="shared" si="64"/>
        <v>Elementos Instalações</v>
      </c>
      <c r="U279" s="46" t="str">
        <f t="shared" si="64"/>
        <v>Elementos Gás</v>
      </c>
      <c r="V279" s="46" t="str">
        <f t="shared" si="64"/>
        <v>Elemento Válvula Gás</v>
      </c>
      <c r="W279" s="19" t="s">
        <v>459</v>
      </c>
      <c r="X279" s="40" t="str">
        <f t="shared" si="63"/>
        <v>Key-TUB-279</v>
      </c>
      <c r="Y279" s="37" t="s">
        <v>1083</v>
      </c>
      <c r="Z279" s="47" t="s">
        <v>9</v>
      </c>
      <c r="AA279" s="37" t="s">
        <v>502</v>
      </c>
      <c r="AB279" s="47" t="s">
        <v>9</v>
      </c>
      <c r="AC279" s="19" t="s">
        <v>1154</v>
      </c>
      <c r="AD279" s="47" t="s">
        <v>9</v>
      </c>
    </row>
    <row r="280" spans="1:30" ht="6.75" customHeight="1" x14ac:dyDescent="0.25">
      <c r="A280" s="38">
        <v>280</v>
      </c>
      <c r="B280" s="1" t="s">
        <v>725</v>
      </c>
      <c r="C280" s="57" t="s">
        <v>1596</v>
      </c>
      <c r="D280" s="1" t="s">
        <v>1595</v>
      </c>
      <c r="E280" s="57" t="s">
        <v>2062</v>
      </c>
      <c r="F280" s="57" t="s">
        <v>1227</v>
      </c>
      <c r="G280" s="39" t="s">
        <v>9</v>
      </c>
      <c r="H280" s="39" t="s">
        <v>9</v>
      </c>
      <c r="I280" s="39" t="s">
        <v>9</v>
      </c>
      <c r="J280" s="39" t="s">
        <v>9</v>
      </c>
      <c r="K280" s="39" t="s">
        <v>9</v>
      </c>
      <c r="L280" s="23" t="str">
        <f t="shared" si="60"/>
        <v>Elementos.Instalações</v>
      </c>
      <c r="M280" s="23" t="str">
        <f t="shared" si="61"/>
        <v>Elementos.Esgoto</v>
      </c>
      <c r="N280" s="23" t="str">
        <f t="shared" si="59"/>
        <v>Elemento Coletor Esgoto</v>
      </c>
      <c r="O280" s="23" t="str">
        <f t="shared" si="62"/>
        <v>Ventilação Esgoto</v>
      </c>
      <c r="P280" s="58" t="s">
        <v>1228</v>
      </c>
      <c r="Q280" s="58" t="s">
        <v>1229</v>
      </c>
      <c r="R280" s="19" t="s">
        <v>1230</v>
      </c>
      <c r="S280" s="54" t="s">
        <v>9</v>
      </c>
      <c r="T280" s="46" t="str">
        <f t="shared" si="64"/>
        <v>Elementos Instalações</v>
      </c>
      <c r="U280" s="46" t="str">
        <f t="shared" si="64"/>
        <v>Elementos Esgoto</v>
      </c>
      <c r="V280" s="46" t="str">
        <f t="shared" si="64"/>
        <v>Elemento Coletor Esgoto</v>
      </c>
      <c r="W280" s="19" t="s">
        <v>459</v>
      </c>
      <c r="X280" s="40" t="str">
        <f t="shared" si="63"/>
        <v>Key-TUB-280</v>
      </c>
      <c r="Y280" s="37" t="s">
        <v>1083</v>
      </c>
      <c r="Z280" s="47" t="s">
        <v>9</v>
      </c>
      <c r="AA280" s="37" t="s">
        <v>1097</v>
      </c>
      <c r="AB280" s="47" t="s">
        <v>9</v>
      </c>
      <c r="AC280" s="19" t="s">
        <v>1148</v>
      </c>
      <c r="AD280" s="47" t="s">
        <v>9</v>
      </c>
    </row>
    <row r="281" spans="1:30" ht="6.75" customHeight="1" x14ac:dyDescent="0.25">
      <c r="A281" s="38">
        <v>281</v>
      </c>
      <c r="B281" s="1" t="s">
        <v>725</v>
      </c>
      <c r="C281" s="57" t="s">
        <v>1596</v>
      </c>
      <c r="D281" s="1" t="s">
        <v>1595</v>
      </c>
      <c r="E281" s="57" t="s">
        <v>2062</v>
      </c>
      <c r="F281" s="57" t="s">
        <v>1231</v>
      </c>
      <c r="G281" s="39" t="s">
        <v>9</v>
      </c>
      <c r="H281" s="39" t="s">
        <v>9</v>
      </c>
      <c r="I281" s="39" t="s">
        <v>9</v>
      </c>
      <c r="J281" s="39" t="s">
        <v>9</v>
      </c>
      <c r="K281" s="39" t="s">
        <v>9</v>
      </c>
      <c r="L281" s="23" t="str">
        <f t="shared" si="60"/>
        <v>Elementos.Instalações</v>
      </c>
      <c r="M281" s="23" t="str">
        <f t="shared" si="61"/>
        <v>Elementos.Esgoto</v>
      </c>
      <c r="N281" s="23" t="str">
        <f t="shared" si="59"/>
        <v>Elemento Coletor Esgoto</v>
      </c>
      <c r="O281" s="23" t="str">
        <f t="shared" si="62"/>
        <v>Coletor Andar</v>
      </c>
      <c r="P281" s="58" t="s">
        <v>1232</v>
      </c>
      <c r="Q281" s="19" t="s">
        <v>1233</v>
      </c>
      <c r="R281" s="19" t="s">
        <v>1234</v>
      </c>
      <c r="S281" s="54" t="s">
        <v>9</v>
      </c>
      <c r="T281" s="46" t="str">
        <f t="shared" si="64"/>
        <v>Elementos Instalações</v>
      </c>
      <c r="U281" s="46" t="str">
        <f t="shared" si="64"/>
        <v>Elementos Esgoto</v>
      </c>
      <c r="V281" s="46" t="str">
        <f t="shared" si="64"/>
        <v>Elemento Coletor Esgoto</v>
      </c>
      <c r="W281" s="19" t="s">
        <v>459</v>
      </c>
      <c r="X281" s="40" t="str">
        <f t="shared" si="63"/>
        <v>Key-TUB-281</v>
      </c>
      <c r="Y281" s="37" t="s">
        <v>1083</v>
      </c>
      <c r="Z281" s="47" t="s">
        <v>9</v>
      </c>
      <c r="AA281" s="37" t="s">
        <v>1097</v>
      </c>
      <c r="AB281" s="47" t="s">
        <v>9</v>
      </c>
      <c r="AC281" s="19" t="s">
        <v>1148</v>
      </c>
      <c r="AD281" s="47" t="s">
        <v>9</v>
      </c>
    </row>
    <row r="282" spans="1:30" ht="6.75" customHeight="1" x14ac:dyDescent="0.25">
      <c r="A282" s="38">
        <v>282</v>
      </c>
      <c r="B282" s="1" t="s">
        <v>725</v>
      </c>
      <c r="C282" s="57" t="s">
        <v>1596</v>
      </c>
      <c r="D282" s="1" t="s">
        <v>1595</v>
      </c>
      <c r="E282" s="57" t="s">
        <v>2062</v>
      </c>
      <c r="F282" s="57" t="s">
        <v>1235</v>
      </c>
      <c r="G282" s="39" t="s">
        <v>9</v>
      </c>
      <c r="H282" s="39" t="s">
        <v>9</v>
      </c>
      <c r="I282" s="39" t="s">
        <v>9</v>
      </c>
      <c r="J282" s="39" t="s">
        <v>9</v>
      </c>
      <c r="K282" s="39" t="s">
        <v>9</v>
      </c>
      <c r="L282" s="23" t="str">
        <f t="shared" si="60"/>
        <v>Elementos.Instalações</v>
      </c>
      <c r="M282" s="23" t="str">
        <f t="shared" si="61"/>
        <v>Elementos.Esgoto</v>
      </c>
      <c r="N282" s="23" t="str">
        <f t="shared" si="59"/>
        <v>Elemento Coletor Esgoto</v>
      </c>
      <c r="O282" s="23" t="str">
        <f t="shared" si="62"/>
        <v>Coletor Predial</v>
      </c>
      <c r="P282" s="58" t="s">
        <v>1236</v>
      </c>
      <c r="Q282" s="19" t="s">
        <v>1237</v>
      </c>
      <c r="R282" s="19" t="s">
        <v>1238</v>
      </c>
      <c r="S282" s="54" t="s">
        <v>9</v>
      </c>
      <c r="T282" s="46" t="str">
        <f t="shared" si="64"/>
        <v>Elementos Instalações</v>
      </c>
      <c r="U282" s="46" t="str">
        <f t="shared" si="64"/>
        <v>Elementos Esgoto</v>
      </c>
      <c r="V282" s="46" t="str">
        <f t="shared" si="64"/>
        <v>Elemento Coletor Esgoto</v>
      </c>
      <c r="W282" s="19" t="s">
        <v>459</v>
      </c>
      <c r="X282" s="40" t="str">
        <f t="shared" si="63"/>
        <v>Key-TUB-282</v>
      </c>
      <c r="Y282" s="37" t="s">
        <v>1083</v>
      </c>
      <c r="Z282" s="47" t="s">
        <v>9</v>
      </c>
      <c r="AA282" s="37" t="s">
        <v>1097</v>
      </c>
      <c r="AB282" s="47" t="s">
        <v>9</v>
      </c>
      <c r="AC282" s="19" t="s">
        <v>1148</v>
      </c>
      <c r="AD282" s="47" t="s">
        <v>9</v>
      </c>
    </row>
    <row r="283" spans="1:30" ht="6.75" customHeight="1" x14ac:dyDescent="0.25">
      <c r="A283" s="38">
        <v>283</v>
      </c>
      <c r="B283" s="1" t="s">
        <v>725</v>
      </c>
      <c r="C283" s="57" t="s">
        <v>1596</v>
      </c>
      <c r="D283" s="1" t="s">
        <v>1595</v>
      </c>
      <c r="E283" s="57" t="s">
        <v>2062</v>
      </c>
      <c r="F283" s="57" t="s">
        <v>1239</v>
      </c>
      <c r="G283" s="39" t="s">
        <v>9</v>
      </c>
      <c r="H283" s="39" t="s">
        <v>9</v>
      </c>
      <c r="I283" s="39" t="s">
        <v>9</v>
      </c>
      <c r="J283" s="39" t="s">
        <v>9</v>
      </c>
      <c r="K283" s="39" t="s">
        <v>9</v>
      </c>
      <c r="L283" s="23" t="str">
        <f t="shared" si="60"/>
        <v>Elementos.Instalações</v>
      </c>
      <c r="M283" s="23" t="str">
        <f t="shared" si="61"/>
        <v>Elementos.Esgoto</v>
      </c>
      <c r="N283" s="23" t="str">
        <f t="shared" si="59"/>
        <v>Elemento Coletor Esgoto</v>
      </c>
      <c r="O283" s="23" t="str">
        <f t="shared" si="62"/>
        <v>Tubo de Queda</v>
      </c>
      <c r="P283" s="58" t="s">
        <v>1240</v>
      </c>
      <c r="Q283" s="19" t="s">
        <v>1241</v>
      </c>
      <c r="R283" s="19" t="s">
        <v>1242</v>
      </c>
      <c r="S283" s="54" t="s">
        <v>9</v>
      </c>
      <c r="T283" s="46" t="str">
        <f t="shared" si="64"/>
        <v>Elementos Instalações</v>
      </c>
      <c r="U283" s="46" t="str">
        <f t="shared" si="64"/>
        <v>Elementos Esgoto</v>
      </c>
      <c r="V283" s="46" t="str">
        <f t="shared" si="64"/>
        <v>Elemento Coletor Esgoto</v>
      </c>
      <c r="W283" s="19" t="s">
        <v>459</v>
      </c>
      <c r="X283" s="40" t="str">
        <f t="shared" si="63"/>
        <v>Key-TUB-283</v>
      </c>
      <c r="Y283" s="37" t="s">
        <v>1083</v>
      </c>
      <c r="Z283" s="47" t="s">
        <v>9</v>
      </c>
      <c r="AA283" s="37" t="s">
        <v>1097</v>
      </c>
      <c r="AB283" s="47" t="s">
        <v>9</v>
      </c>
      <c r="AC283" s="19" t="s">
        <v>1148</v>
      </c>
      <c r="AD283" s="47" t="s">
        <v>9</v>
      </c>
    </row>
    <row r="284" spans="1:30" ht="6.75" customHeight="1" x14ac:dyDescent="0.25">
      <c r="A284" s="38">
        <v>284</v>
      </c>
      <c r="B284" s="1" t="s">
        <v>725</v>
      </c>
      <c r="C284" s="57" t="s">
        <v>1596</v>
      </c>
      <c r="D284" s="1" t="s">
        <v>1595</v>
      </c>
      <c r="E284" s="57" t="s">
        <v>2062</v>
      </c>
      <c r="F284" s="57" t="s">
        <v>1243</v>
      </c>
      <c r="G284" s="39" t="s">
        <v>9</v>
      </c>
      <c r="H284" s="39" t="s">
        <v>9</v>
      </c>
      <c r="I284" s="39" t="s">
        <v>9</v>
      </c>
      <c r="J284" s="39" t="s">
        <v>9</v>
      </c>
      <c r="K284" s="39" t="s">
        <v>9</v>
      </c>
      <c r="L284" s="23" t="str">
        <f t="shared" si="60"/>
        <v>Elementos.Instalações</v>
      </c>
      <c r="M284" s="23" t="str">
        <f t="shared" si="61"/>
        <v>Elementos.Esgoto</v>
      </c>
      <c r="N284" s="23" t="str">
        <f t="shared" si="59"/>
        <v>Elemento Coletor Esgoto</v>
      </c>
      <c r="O284" s="23" t="str">
        <f t="shared" si="62"/>
        <v>Fecho Hidráulico</v>
      </c>
      <c r="P284" s="58" t="s">
        <v>1244</v>
      </c>
      <c r="Q284" s="19" t="s">
        <v>1245</v>
      </c>
      <c r="R284" s="19" t="s">
        <v>1246</v>
      </c>
      <c r="S284" s="54" t="s">
        <v>9</v>
      </c>
      <c r="T284" s="46" t="str">
        <f t="shared" si="64"/>
        <v>Elementos Instalações</v>
      </c>
      <c r="U284" s="46" t="str">
        <f t="shared" si="64"/>
        <v>Elementos Esgoto</v>
      </c>
      <c r="V284" s="46" t="str">
        <f t="shared" si="64"/>
        <v>Elemento Coletor Esgoto</v>
      </c>
      <c r="W284" s="19" t="s">
        <v>459</v>
      </c>
      <c r="X284" s="40" t="str">
        <f t="shared" si="63"/>
        <v>Key-TUB-284</v>
      </c>
      <c r="Y284" s="37" t="s">
        <v>1083</v>
      </c>
      <c r="Z284" s="47" t="s">
        <v>9</v>
      </c>
      <c r="AA284" s="37" t="s">
        <v>1097</v>
      </c>
      <c r="AB284" s="47" t="s">
        <v>9</v>
      </c>
      <c r="AC284" s="19" t="s">
        <v>1148</v>
      </c>
      <c r="AD284" s="47" t="s">
        <v>9</v>
      </c>
    </row>
    <row r="285" spans="1:30" ht="6.75" customHeight="1" x14ac:dyDescent="0.25">
      <c r="A285" s="38">
        <v>285</v>
      </c>
      <c r="B285" s="1" t="s">
        <v>725</v>
      </c>
      <c r="C285" s="57" t="s">
        <v>1596</v>
      </c>
      <c r="D285" s="1" t="s">
        <v>1595</v>
      </c>
      <c r="E285" s="57" t="s">
        <v>2063</v>
      </c>
      <c r="F285" s="57" t="s">
        <v>1247</v>
      </c>
      <c r="G285" s="39" t="s">
        <v>9</v>
      </c>
      <c r="H285" s="39" t="s">
        <v>9</v>
      </c>
      <c r="I285" s="39" t="s">
        <v>9</v>
      </c>
      <c r="J285" s="39" t="s">
        <v>9</v>
      </c>
      <c r="K285" s="39" t="s">
        <v>9</v>
      </c>
      <c r="L285" s="23" t="str">
        <f t="shared" si="60"/>
        <v>Elementos.Instalações</v>
      </c>
      <c r="M285" s="23" t="str">
        <f t="shared" si="61"/>
        <v>Elementos.Esgoto</v>
      </c>
      <c r="N285" s="23" t="str">
        <f t="shared" si="59"/>
        <v>Elemento Visita Esgoto</v>
      </c>
      <c r="O285" s="23" t="str">
        <f t="shared" si="62"/>
        <v>Caixa de Areia</v>
      </c>
      <c r="P285" s="58" t="s">
        <v>1248</v>
      </c>
      <c r="Q285" s="19" t="s">
        <v>1249</v>
      </c>
      <c r="R285" s="19" t="s">
        <v>1250</v>
      </c>
      <c r="S285" s="54" t="s">
        <v>9</v>
      </c>
      <c r="T285" s="46" t="str">
        <f t="shared" si="64"/>
        <v>Elementos Instalações</v>
      </c>
      <c r="U285" s="46" t="str">
        <f t="shared" si="64"/>
        <v>Elementos Esgoto</v>
      </c>
      <c r="V285" s="46" t="str">
        <f t="shared" si="64"/>
        <v>Elemento Visita Esgoto</v>
      </c>
      <c r="W285" s="19" t="s">
        <v>459</v>
      </c>
      <c r="X285" s="40" t="str">
        <f t="shared" si="63"/>
        <v>Key-TUB-285</v>
      </c>
      <c r="Y285" s="37" t="s">
        <v>1083</v>
      </c>
      <c r="Z285" s="47" t="s">
        <v>9</v>
      </c>
      <c r="AA285" s="37" t="s">
        <v>1097</v>
      </c>
      <c r="AB285" s="47" t="s">
        <v>9</v>
      </c>
      <c r="AC285" s="19" t="s">
        <v>1148</v>
      </c>
      <c r="AD285" s="47" t="s">
        <v>9</v>
      </c>
    </row>
    <row r="286" spans="1:30" ht="6.75" customHeight="1" x14ac:dyDescent="0.25">
      <c r="A286" s="38">
        <v>286</v>
      </c>
      <c r="B286" s="1" t="s">
        <v>725</v>
      </c>
      <c r="C286" s="57" t="s">
        <v>1596</v>
      </c>
      <c r="D286" s="1" t="s">
        <v>1595</v>
      </c>
      <c r="E286" s="57" t="s">
        <v>2063</v>
      </c>
      <c r="F286" s="57" t="s">
        <v>1251</v>
      </c>
      <c r="G286" s="39" t="s">
        <v>9</v>
      </c>
      <c r="H286" s="39" t="s">
        <v>9</v>
      </c>
      <c r="I286" s="39" t="s">
        <v>9</v>
      </c>
      <c r="J286" s="39" t="s">
        <v>9</v>
      </c>
      <c r="K286" s="39" t="s">
        <v>9</v>
      </c>
      <c r="L286" s="23" t="str">
        <f t="shared" si="60"/>
        <v>Elementos.Instalações</v>
      </c>
      <c r="M286" s="23" t="str">
        <f t="shared" si="61"/>
        <v>Elementos.Esgoto</v>
      </c>
      <c r="N286" s="23" t="str">
        <f t="shared" si="59"/>
        <v>Elemento Visita Esgoto</v>
      </c>
      <c r="O286" s="23" t="str">
        <f t="shared" si="62"/>
        <v>Caixa de Inspeção</v>
      </c>
      <c r="P286" s="58" t="s">
        <v>1252</v>
      </c>
      <c r="Q286" s="19" t="s">
        <v>1253</v>
      </c>
      <c r="R286" s="19" t="s">
        <v>1254</v>
      </c>
      <c r="S286" s="54" t="s">
        <v>9</v>
      </c>
      <c r="T286" s="46" t="str">
        <f t="shared" si="64"/>
        <v>Elementos Instalações</v>
      </c>
      <c r="U286" s="46" t="str">
        <f t="shared" si="64"/>
        <v>Elementos Esgoto</v>
      </c>
      <c r="V286" s="46" t="str">
        <f t="shared" si="64"/>
        <v>Elemento Visita Esgoto</v>
      </c>
      <c r="W286" s="19" t="s">
        <v>459</v>
      </c>
      <c r="X286" s="40" t="str">
        <f t="shared" si="63"/>
        <v>Key-TUB-286</v>
      </c>
      <c r="Y286" s="37" t="s">
        <v>1083</v>
      </c>
      <c r="Z286" s="47" t="s">
        <v>9</v>
      </c>
      <c r="AA286" s="37" t="s">
        <v>1097</v>
      </c>
      <c r="AB286" s="47" t="s">
        <v>9</v>
      </c>
      <c r="AC286" s="19" t="s">
        <v>1148</v>
      </c>
      <c r="AD286" s="47" t="s">
        <v>9</v>
      </c>
    </row>
    <row r="287" spans="1:30" ht="6.75" customHeight="1" x14ac:dyDescent="0.25">
      <c r="A287" s="38">
        <v>287</v>
      </c>
      <c r="B287" s="1" t="s">
        <v>725</v>
      </c>
      <c r="C287" s="57" t="s">
        <v>1596</v>
      </c>
      <c r="D287" s="1" t="s">
        <v>1595</v>
      </c>
      <c r="E287" s="57" t="s">
        <v>2063</v>
      </c>
      <c r="F287" s="57" t="s">
        <v>1255</v>
      </c>
      <c r="G287" s="39" t="s">
        <v>9</v>
      </c>
      <c r="H287" s="39" t="s">
        <v>9</v>
      </c>
      <c r="I287" s="39" t="s">
        <v>9</v>
      </c>
      <c r="J287" s="39" t="s">
        <v>9</v>
      </c>
      <c r="K287" s="39" t="s">
        <v>9</v>
      </c>
      <c r="L287" s="23" t="str">
        <f t="shared" si="60"/>
        <v>Elementos.Instalações</v>
      </c>
      <c r="M287" s="23" t="str">
        <f t="shared" si="61"/>
        <v>Elementos.Esgoto</v>
      </c>
      <c r="N287" s="23" t="str">
        <f t="shared" si="59"/>
        <v>Elemento Visita Esgoto</v>
      </c>
      <c r="O287" s="23" t="str">
        <f t="shared" si="62"/>
        <v>Caixa Sifonada</v>
      </c>
      <c r="P287" s="58" t="s">
        <v>1256</v>
      </c>
      <c r="Q287" s="19" t="s">
        <v>1257</v>
      </c>
      <c r="R287" s="19" t="s">
        <v>1258</v>
      </c>
      <c r="S287" s="54" t="s">
        <v>9</v>
      </c>
      <c r="T287" s="46" t="str">
        <f t="shared" si="64"/>
        <v>Elementos Instalações</v>
      </c>
      <c r="U287" s="46" t="str">
        <f t="shared" si="64"/>
        <v>Elementos Esgoto</v>
      </c>
      <c r="V287" s="46" t="str">
        <f t="shared" si="64"/>
        <v>Elemento Visita Esgoto</v>
      </c>
      <c r="W287" s="19" t="s">
        <v>459</v>
      </c>
      <c r="X287" s="40" t="str">
        <f t="shared" si="63"/>
        <v>Key-TUB-287</v>
      </c>
      <c r="Y287" s="37" t="s">
        <v>1083</v>
      </c>
      <c r="Z287" s="47" t="s">
        <v>9</v>
      </c>
      <c r="AA287" s="37" t="s">
        <v>1097</v>
      </c>
      <c r="AB287" s="47" t="s">
        <v>9</v>
      </c>
      <c r="AC287" s="19" t="s">
        <v>1148</v>
      </c>
      <c r="AD287" s="47" t="s">
        <v>9</v>
      </c>
    </row>
    <row r="288" spans="1:30" ht="6.75" customHeight="1" x14ac:dyDescent="0.25">
      <c r="A288" s="38">
        <v>288</v>
      </c>
      <c r="B288" s="1" t="s">
        <v>725</v>
      </c>
      <c r="C288" s="57" t="s">
        <v>1596</v>
      </c>
      <c r="D288" s="1" t="s">
        <v>1595</v>
      </c>
      <c r="E288" s="57" t="s">
        <v>2063</v>
      </c>
      <c r="F288" s="57" t="s">
        <v>1259</v>
      </c>
      <c r="G288" s="39" t="s">
        <v>9</v>
      </c>
      <c r="H288" s="39" t="s">
        <v>9</v>
      </c>
      <c r="I288" s="39" t="s">
        <v>9</v>
      </c>
      <c r="J288" s="39" t="s">
        <v>9</v>
      </c>
      <c r="K288" s="39" t="s">
        <v>9</v>
      </c>
      <c r="L288" s="23" t="str">
        <f t="shared" si="60"/>
        <v>Elementos.Instalações</v>
      </c>
      <c r="M288" s="23" t="str">
        <f t="shared" si="61"/>
        <v>Elementos.Esgoto</v>
      </c>
      <c r="N288" s="23" t="str">
        <f t="shared" si="59"/>
        <v>Elemento Visita Esgoto</v>
      </c>
      <c r="O288" s="23" t="str">
        <f t="shared" si="62"/>
        <v>Poço de Visita</v>
      </c>
      <c r="P288" s="58" t="s">
        <v>1260</v>
      </c>
      <c r="Q288" s="19" t="s">
        <v>1261</v>
      </c>
      <c r="R288" s="19" t="s">
        <v>1254</v>
      </c>
      <c r="S288" s="54" t="s">
        <v>9</v>
      </c>
      <c r="T288" s="46" t="str">
        <f t="shared" si="64"/>
        <v>Elementos Instalações</v>
      </c>
      <c r="U288" s="46" t="str">
        <f t="shared" si="64"/>
        <v>Elementos Esgoto</v>
      </c>
      <c r="V288" s="46" t="str">
        <f t="shared" si="64"/>
        <v>Elemento Visita Esgoto</v>
      </c>
      <c r="W288" s="19" t="s">
        <v>459</v>
      </c>
      <c r="X288" s="40" t="str">
        <f t="shared" si="63"/>
        <v>Key-TUB-288</v>
      </c>
      <c r="Y288" s="37" t="s">
        <v>1083</v>
      </c>
      <c r="Z288" s="47" t="s">
        <v>9</v>
      </c>
      <c r="AA288" s="37" t="s">
        <v>1097</v>
      </c>
      <c r="AB288" s="47" t="s">
        <v>9</v>
      </c>
      <c r="AC288" s="19" t="s">
        <v>1148</v>
      </c>
      <c r="AD288" s="47" t="s">
        <v>9</v>
      </c>
    </row>
    <row r="289" spans="1:30" ht="6.75" customHeight="1" x14ac:dyDescent="0.25">
      <c r="A289" s="38">
        <v>289</v>
      </c>
      <c r="B289" s="1" t="s">
        <v>725</v>
      </c>
      <c r="C289" s="57" t="s">
        <v>1596</v>
      </c>
      <c r="D289" s="1" t="s">
        <v>1595</v>
      </c>
      <c r="E289" s="57" t="s">
        <v>2064</v>
      </c>
      <c r="F289" s="57" t="s">
        <v>1585</v>
      </c>
      <c r="G289" s="39" t="s">
        <v>9</v>
      </c>
      <c r="H289" s="39" t="s">
        <v>9</v>
      </c>
      <c r="I289" s="39" t="s">
        <v>9</v>
      </c>
      <c r="J289" s="39" t="s">
        <v>9</v>
      </c>
      <c r="K289" s="39" t="s">
        <v>9</v>
      </c>
      <c r="L289" s="23" t="str">
        <f t="shared" si="60"/>
        <v>Elementos.Instalações</v>
      </c>
      <c r="M289" s="23" t="str">
        <f t="shared" si="61"/>
        <v>Elementos.Esgoto</v>
      </c>
      <c r="N289" s="23" t="str">
        <f t="shared" si="59"/>
        <v>Elemento Acessório Esgoto</v>
      </c>
      <c r="O289" s="23" t="str">
        <f t="shared" si="62"/>
        <v>Acessório Esgoto</v>
      </c>
      <c r="P289" s="58" t="s">
        <v>1262</v>
      </c>
      <c r="Q289" s="58" t="s">
        <v>1263</v>
      </c>
      <c r="R289" s="19" t="s">
        <v>1264</v>
      </c>
      <c r="S289" s="54" t="s">
        <v>9</v>
      </c>
      <c r="T289" s="46" t="str">
        <f t="shared" si="64"/>
        <v>Elementos Instalações</v>
      </c>
      <c r="U289" s="46" t="str">
        <f t="shared" si="64"/>
        <v>Elementos Esgoto</v>
      </c>
      <c r="V289" s="46" t="str">
        <f t="shared" si="64"/>
        <v>Elemento Acessório Esgoto</v>
      </c>
      <c r="W289" s="19" t="s">
        <v>459</v>
      </c>
      <c r="X289" s="40" t="str">
        <f t="shared" si="63"/>
        <v>Key-TUB-289</v>
      </c>
      <c r="Y289" s="37" t="s">
        <v>503</v>
      </c>
      <c r="Z289" s="47" t="s">
        <v>9</v>
      </c>
      <c r="AA289" s="37" t="s">
        <v>505</v>
      </c>
      <c r="AB289" s="47" t="s">
        <v>9</v>
      </c>
      <c r="AC289" s="19" t="s">
        <v>1148</v>
      </c>
      <c r="AD289" s="47" t="s">
        <v>9</v>
      </c>
    </row>
    <row r="290" spans="1:30" ht="6.75" customHeight="1" x14ac:dyDescent="0.25">
      <c r="A290" s="38">
        <v>290</v>
      </c>
      <c r="B290" s="1" t="s">
        <v>725</v>
      </c>
      <c r="C290" s="57" t="s">
        <v>1596</v>
      </c>
      <c r="D290" s="1" t="s">
        <v>1160</v>
      </c>
      <c r="E290" s="57" t="s">
        <v>2069</v>
      </c>
      <c r="F290" s="57" t="s">
        <v>1181</v>
      </c>
      <c r="G290" s="39" t="s">
        <v>9</v>
      </c>
      <c r="H290" s="39" t="s">
        <v>9</v>
      </c>
      <c r="I290" s="39" t="s">
        <v>9</v>
      </c>
      <c r="J290" s="39" t="s">
        <v>9</v>
      </c>
      <c r="K290" s="39" t="s">
        <v>9</v>
      </c>
      <c r="L290" s="23" t="str">
        <f t="shared" si="60"/>
        <v>Elementos.Instalações</v>
      </c>
      <c r="M290" s="23" t="str">
        <f t="shared" si="61"/>
        <v>Elementos.Hidráulicos</v>
      </c>
      <c r="N290" s="23" t="str">
        <f t="shared" si="59"/>
        <v>Elemento Acessório Hidráulico</v>
      </c>
      <c r="O290" s="23" t="str">
        <f t="shared" si="62"/>
        <v>Acessório Hidraúlico</v>
      </c>
      <c r="P290" s="58" t="s">
        <v>1182</v>
      </c>
      <c r="Q290" s="19" t="s">
        <v>1183</v>
      </c>
      <c r="R290" s="19" t="s">
        <v>1184</v>
      </c>
      <c r="S290" s="54" t="s">
        <v>9</v>
      </c>
      <c r="T290" s="46" t="str">
        <f t="shared" si="64"/>
        <v>Elementos Instalações</v>
      </c>
      <c r="U290" s="46" t="str">
        <f t="shared" si="64"/>
        <v>Elementos Hidráulicos</v>
      </c>
      <c r="V290" s="46" t="str">
        <f t="shared" si="64"/>
        <v>Elemento Acessório Hidráulico</v>
      </c>
      <c r="W290" s="19" t="s">
        <v>459</v>
      </c>
      <c r="X290" s="40" t="str">
        <f t="shared" si="63"/>
        <v>Key-TUB-290</v>
      </c>
      <c r="Y290" s="37" t="s">
        <v>503</v>
      </c>
      <c r="Z290" s="47" t="s">
        <v>9</v>
      </c>
      <c r="AA290" s="37" t="s">
        <v>505</v>
      </c>
      <c r="AB290" s="47" t="s">
        <v>9</v>
      </c>
      <c r="AC290" s="19" t="s">
        <v>1154</v>
      </c>
      <c r="AD290" s="47" t="s">
        <v>9</v>
      </c>
    </row>
    <row r="291" spans="1:30" ht="6.75" customHeight="1" x14ac:dyDescent="0.25">
      <c r="A291" s="38">
        <v>291</v>
      </c>
      <c r="B291" s="1" t="s">
        <v>725</v>
      </c>
      <c r="C291" s="57" t="s">
        <v>1596</v>
      </c>
      <c r="D291" s="1" t="s">
        <v>1160</v>
      </c>
      <c r="E291" s="57" t="s">
        <v>2068</v>
      </c>
      <c r="F291" s="57" t="s">
        <v>238</v>
      </c>
      <c r="G291" s="39" t="s">
        <v>9</v>
      </c>
      <c r="H291" s="39" t="s">
        <v>9</v>
      </c>
      <c r="I291" s="39" t="s">
        <v>9</v>
      </c>
      <c r="J291" s="39" t="s">
        <v>9</v>
      </c>
      <c r="K291" s="39" t="s">
        <v>9</v>
      </c>
      <c r="L291" s="23" t="str">
        <f t="shared" si="60"/>
        <v>Elementos.Instalações</v>
      </c>
      <c r="M291" s="23" t="str">
        <f t="shared" si="61"/>
        <v>Elementos.Hidráulicos</v>
      </c>
      <c r="N291" s="23" t="str">
        <f t="shared" si="59"/>
        <v>Elemento Terminal Hidráulico</v>
      </c>
      <c r="O291" s="23" t="str">
        <f t="shared" si="62"/>
        <v>Torneira</v>
      </c>
      <c r="P291" s="58" t="s">
        <v>238</v>
      </c>
      <c r="Q291" s="19" t="s">
        <v>1161</v>
      </c>
      <c r="R291" s="19" t="s">
        <v>1162</v>
      </c>
      <c r="S291" s="54" t="s">
        <v>9</v>
      </c>
      <c r="T291" s="46" t="str">
        <f t="shared" si="64"/>
        <v>Elementos Instalações</v>
      </c>
      <c r="U291" s="46" t="str">
        <f t="shared" si="64"/>
        <v>Elementos Hidráulicos</v>
      </c>
      <c r="V291" s="46" t="str">
        <f t="shared" si="64"/>
        <v>Elemento Terminal Hidráulico</v>
      </c>
      <c r="W291" s="19" t="s">
        <v>459</v>
      </c>
      <c r="X291" s="40" t="str">
        <f t="shared" si="63"/>
        <v>Key-TUB-291</v>
      </c>
      <c r="Y291" s="37" t="s">
        <v>1163</v>
      </c>
      <c r="Z291" s="47" t="s">
        <v>9</v>
      </c>
      <c r="AA291" s="37" t="s">
        <v>502</v>
      </c>
      <c r="AB291" s="47" t="s">
        <v>9</v>
      </c>
      <c r="AC291" s="19" t="s">
        <v>1154</v>
      </c>
      <c r="AD291" s="47" t="s">
        <v>9</v>
      </c>
    </row>
    <row r="292" spans="1:30" ht="6.75" customHeight="1" x14ac:dyDescent="0.25">
      <c r="A292" s="38">
        <v>292</v>
      </c>
      <c r="B292" s="1" t="s">
        <v>725</v>
      </c>
      <c r="C292" s="57" t="s">
        <v>1596</v>
      </c>
      <c r="D292" s="1" t="s">
        <v>1160</v>
      </c>
      <c r="E292" s="57" t="s">
        <v>2068</v>
      </c>
      <c r="F292" s="57" t="s">
        <v>1164</v>
      </c>
      <c r="G292" s="39" t="s">
        <v>9</v>
      </c>
      <c r="H292" s="39" t="s">
        <v>9</v>
      </c>
      <c r="I292" s="39" t="s">
        <v>9</v>
      </c>
      <c r="J292" s="39" t="s">
        <v>9</v>
      </c>
      <c r="K292" s="39" t="s">
        <v>9</v>
      </c>
      <c r="L292" s="23" t="str">
        <f t="shared" si="60"/>
        <v>Elementos.Instalações</v>
      </c>
      <c r="M292" s="23" t="str">
        <f t="shared" si="61"/>
        <v>Elementos.Hidráulicos</v>
      </c>
      <c r="N292" s="23" t="str">
        <f t="shared" si="59"/>
        <v>Elemento Terminal Hidráulico</v>
      </c>
      <c r="O292" s="23" t="str">
        <f t="shared" si="62"/>
        <v>Misturador</v>
      </c>
      <c r="P292" s="58" t="s">
        <v>1164</v>
      </c>
      <c r="Q292" s="19" t="s">
        <v>1165</v>
      </c>
      <c r="R292" s="19" t="s">
        <v>1166</v>
      </c>
      <c r="S292" s="54" t="s">
        <v>9</v>
      </c>
      <c r="T292" s="46" t="str">
        <f t="shared" si="64"/>
        <v>Elementos Instalações</v>
      </c>
      <c r="U292" s="46" t="str">
        <f t="shared" si="64"/>
        <v>Elementos Hidráulicos</v>
      </c>
      <c r="V292" s="46" t="str">
        <f t="shared" si="64"/>
        <v>Elemento Terminal Hidráulico</v>
      </c>
      <c r="W292" s="19" t="s">
        <v>459</v>
      </c>
      <c r="X292" s="40" t="str">
        <f t="shared" si="63"/>
        <v>Key-TUB-292</v>
      </c>
      <c r="Y292" s="37" t="s">
        <v>1163</v>
      </c>
      <c r="Z292" s="47" t="s">
        <v>9</v>
      </c>
      <c r="AA292" s="37" t="s">
        <v>502</v>
      </c>
      <c r="AB292" s="47" t="s">
        <v>9</v>
      </c>
      <c r="AC292" s="19" t="s">
        <v>1154</v>
      </c>
      <c r="AD292" s="47" t="s">
        <v>9</v>
      </c>
    </row>
    <row r="293" spans="1:30" ht="6.75" customHeight="1" x14ac:dyDescent="0.25">
      <c r="A293" s="38">
        <v>293</v>
      </c>
      <c r="B293" s="1" t="s">
        <v>725</v>
      </c>
      <c r="C293" s="57" t="s">
        <v>1596</v>
      </c>
      <c r="D293" s="1" t="s">
        <v>1160</v>
      </c>
      <c r="E293" s="57" t="s">
        <v>2068</v>
      </c>
      <c r="F293" s="57" t="s">
        <v>1171</v>
      </c>
      <c r="G293" s="39" t="s">
        <v>9</v>
      </c>
      <c r="H293" s="39" t="s">
        <v>9</v>
      </c>
      <c r="I293" s="39" t="s">
        <v>9</v>
      </c>
      <c r="J293" s="39" t="s">
        <v>9</v>
      </c>
      <c r="K293" s="39" t="s">
        <v>9</v>
      </c>
      <c r="L293" s="23" t="str">
        <f t="shared" si="60"/>
        <v>Elementos.Instalações</v>
      </c>
      <c r="M293" s="23" t="str">
        <f t="shared" si="61"/>
        <v>Elementos.Hidráulicos</v>
      </c>
      <c r="N293" s="23" t="str">
        <f t="shared" si="59"/>
        <v>Elemento Terminal Hidráulico</v>
      </c>
      <c r="O293" s="23" t="str">
        <f t="shared" si="62"/>
        <v>Chuveiro</v>
      </c>
      <c r="P293" s="58" t="s">
        <v>1171</v>
      </c>
      <c r="Q293" s="19" t="s">
        <v>1172</v>
      </c>
      <c r="R293" s="19" t="s">
        <v>1173</v>
      </c>
      <c r="S293" s="54" t="s">
        <v>9</v>
      </c>
      <c r="T293" s="46" t="str">
        <f t="shared" si="64"/>
        <v>Elementos Instalações</v>
      </c>
      <c r="U293" s="46" t="str">
        <f t="shared" si="64"/>
        <v>Elementos Hidráulicos</v>
      </c>
      <c r="V293" s="46" t="str">
        <f t="shared" si="64"/>
        <v>Elemento Terminal Hidráulico</v>
      </c>
      <c r="W293" s="19" t="s">
        <v>459</v>
      </c>
      <c r="X293" s="40" t="str">
        <f t="shared" si="63"/>
        <v>Key-TUB-293</v>
      </c>
      <c r="Y293" s="37" t="s">
        <v>1163</v>
      </c>
      <c r="Z293" s="47" t="s">
        <v>9</v>
      </c>
      <c r="AA293" s="37" t="s">
        <v>1174</v>
      </c>
      <c r="AB293" s="47" t="s">
        <v>9</v>
      </c>
      <c r="AC293" s="19" t="s">
        <v>1154</v>
      </c>
      <c r="AD293" s="47" t="s">
        <v>9</v>
      </c>
    </row>
    <row r="294" spans="1:30" ht="6.75" customHeight="1" x14ac:dyDescent="0.25">
      <c r="A294" s="38">
        <v>294</v>
      </c>
      <c r="B294" s="1" t="s">
        <v>725</v>
      </c>
      <c r="C294" s="57" t="s">
        <v>1596</v>
      </c>
      <c r="D294" s="1" t="s">
        <v>1160</v>
      </c>
      <c r="E294" s="57" t="s">
        <v>2068</v>
      </c>
      <c r="F294" s="57" t="s">
        <v>1172</v>
      </c>
      <c r="G294" s="39" t="s">
        <v>9</v>
      </c>
      <c r="H294" s="39" t="s">
        <v>9</v>
      </c>
      <c r="I294" s="39" t="s">
        <v>9</v>
      </c>
      <c r="J294" s="39" t="s">
        <v>9</v>
      </c>
      <c r="K294" s="39" t="s">
        <v>9</v>
      </c>
      <c r="L294" s="23" t="str">
        <f t="shared" si="60"/>
        <v>Elementos.Instalações</v>
      </c>
      <c r="M294" s="23" t="str">
        <f t="shared" si="61"/>
        <v>Elementos.Hidráulicos</v>
      </c>
      <c r="N294" s="23" t="str">
        <f t="shared" si="59"/>
        <v>Elemento Terminal Hidráulico</v>
      </c>
      <c r="O294" s="23" t="str">
        <f t="shared" si="62"/>
        <v>Ducha</v>
      </c>
      <c r="P294" s="58" t="s">
        <v>1175</v>
      </c>
      <c r="Q294" s="19" t="s">
        <v>1175</v>
      </c>
      <c r="R294" s="19" t="s">
        <v>1176</v>
      </c>
      <c r="S294" s="54" t="s">
        <v>9</v>
      </c>
      <c r="T294" s="46" t="str">
        <f t="shared" si="64"/>
        <v>Elementos Instalações</v>
      </c>
      <c r="U294" s="46" t="str">
        <f t="shared" si="64"/>
        <v>Elementos Hidráulicos</v>
      </c>
      <c r="V294" s="46" t="str">
        <f t="shared" si="64"/>
        <v>Elemento Terminal Hidráulico</v>
      </c>
      <c r="W294" s="19" t="s">
        <v>459</v>
      </c>
      <c r="X294" s="40" t="str">
        <f t="shared" si="63"/>
        <v>Key-TUB-294</v>
      </c>
      <c r="Y294" s="37" t="s">
        <v>1163</v>
      </c>
      <c r="Z294" s="47" t="s">
        <v>9</v>
      </c>
      <c r="AA294" s="37" t="s">
        <v>1174</v>
      </c>
      <c r="AB294" s="47" t="s">
        <v>9</v>
      </c>
      <c r="AC294" s="19" t="s">
        <v>1154</v>
      </c>
      <c r="AD294" s="47" t="s">
        <v>9</v>
      </c>
    </row>
    <row r="295" spans="1:30" ht="6.75" customHeight="1" x14ac:dyDescent="0.25">
      <c r="A295" s="38">
        <v>295</v>
      </c>
      <c r="B295" s="1" t="s">
        <v>725</v>
      </c>
      <c r="C295" s="57" t="s">
        <v>1596</v>
      </c>
      <c r="D295" s="1" t="s">
        <v>1160</v>
      </c>
      <c r="E295" s="57" t="s">
        <v>2068</v>
      </c>
      <c r="F295" s="57" t="s">
        <v>1177</v>
      </c>
      <c r="G295" s="39" t="s">
        <v>9</v>
      </c>
      <c r="H295" s="39" t="s">
        <v>9</v>
      </c>
      <c r="I295" s="39" t="s">
        <v>9</v>
      </c>
      <c r="J295" s="39" t="s">
        <v>9</v>
      </c>
      <c r="K295" s="39" t="s">
        <v>9</v>
      </c>
      <c r="L295" s="23" t="str">
        <f t="shared" si="60"/>
        <v>Elementos.Instalações</v>
      </c>
      <c r="M295" s="23" t="str">
        <f t="shared" si="61"/>
        <v>Elementos.Hidráulicos</v>
      </c>
      <c r="N295" s="23" t="str">
        <f t="shared" si="59"/>
        <v>Elemento Terminal Hidráulico</v>
      </c>
      <c r="O295" s="23" t="str">
        <f t="shared" si="62"/>
        <v>Medidor de Água</v>
      </c>
      <c r="P295" s="58" t="s">
        <v>1178</v>
      </c>
      <c r="Q295" s="58" t="s">
        <v>1179</v>
      </c>
      <c r="R295" s="19" t="s">
        <v>1180</v>
      </c>
      <c r="S295" s="54" t="s">
        <v>9</v>
      </c>
      <c r="T295" s="46" t="str">
        <f t="shared" si="64"/>
        <v>Elementos Instalações</v>
      </c>
      <c r="U295" s="46" t="str">
        <f t="shared" si="64"/>
        <v>Elementos Hidráulicos</v>
      </c>
      <c r="V295" s="46" t="str">
        <f t="shared" si="64"/>
        <v>Elemento Terminal Hidráulico</v>
      </c>
      <c r="W295" s="19" t="s">
        <v>459</v>
      </c>
      <c r="X295" s="40" t="str">
        <f t="shared" si="63"/>
        <v>Key-TUB-295</v>
      </c>
      <c r="Y295" s="37" t="s">
        <v>1163</v>
      </c>
      <c r="Z295" s="47" t="s">
        <v>9</v>
      </c>
      <c r="AA295" s="37" t="s">
        <v>1077</v>
      </c>
      <c r="AB295" s="47" t="s">
        <v>9</v>
      </c>
      <c r="AC295" s="19" t="s">
        <v>1154</v>
      </c>
      <c r="AD295" s="47" t="s">
        <v>9</v>
      </c>
    </row>
    <row r="296" spans="1:30" ht="6.75" customHeight="1" x14ac:dyDescent="0.25">
      <c r="A296" s="38">
        <v>296</v>
      </c>
      <c r="B296" s="1" t="s">
        <v>725</v>
      </c>
      <c r="C296" s="57" t="s">
        <v>1596</v>
      </c>
      <c r="D296" s="1" t="s">
        <v>1160</v>
      </c>
      <c r="E296" s="57" t="s">
        <v>2068</v>
      </c>
      <c r="F296" s="57" t="s">
        <v>1167</v>
      </c>
      <c r="G296" s="39" t="s">
        <v>9</v>
      </c>
      <c r="H296" s="39" t="s">
        <v>9</v>
      </c>
      <c r="I296" s="39" t="s">
        <v>9</v>
      </c>
      <c r="J296" s="39" t="s">
        <v>9</v>
      </c>
      <c r="K296" s="39" t="s">
        <v>9</v>
      </c>
      <c r="L296" s="23" t="str">
        <f t="shared" si="60"/>
        <v>Elementos.Instalações</v>
      </c>
      <c r="M296" s="23" t="str">
        <f t="shared" si="61"/>
        <v>Elementos.Hidráulicos</v>
      </c>
      <c r="N296" s="23" t="str">
        <f t="shared" si="59"/>
        <v>Elemento Terminal Hidráulico</v>
      </c>
      <c r="O296" s="23" t="str">
        <f t="shared" si="62"/>
        <v>Registro</v>
      </c>
      <c r="P296" s="58" t="s">
        <v>1167</v>
      </c>
      <c r="Q296" s="19" t="s">
        <v>1167</v>
      </c>
      <c r="R296" s="19" t="s">
        <v>1168</v>
      </c>
      <c r="S296" s="54" t="s">
        <v>9</v>
      </c>
      <c r="T296" s="46" t="str">
        <f t="shared" si="64"/>
        <v>Elementos Instalações</v>
      </c>
      <c r="U296" s="46" t="str">
        <f t="shared" si="64"/>
        <v>Elementos Hidráulicos</v>
      </c>
      <c r="V296" s="46" t="str">
        <f t="shared" si="64"/>
        <v>Elemento Terminal Hidráulico</v>
      </c>
      <c r="W296" s="19" t="s">
        <v>459</v>
      </c>
      <c r="X296" s="40" t="str">
        <f t="shared" si="63"/>
        <v>Key-TUB-296</v>
      </c>
      <c r="Y296" s="37" t="s">
        <v>1163</v>
      </c>
      <c r="Z296" s="47" t="s">
        <v>9</v>
      </c>
      <c r="AA296" s="37" t="s">
        <v>1174</v>
      </c>
      <c r="AB296" s="47" t="s">
        <v>9</v>
      </c>
      <c r="AC296" s="19" t="s">
        <v>1154</v>
      </c>
      <c r="AD296" s="47" t="s">
        <v>9</v>
      </c>
    </row>
    <row r="297" spans="1:30" ht="6.75" customHeight="1" x14ac:dyDescent="0.25">
      <c r="A297" s="38">
        <v>297</v>
      </c>
      <c r="B297" s="1" t="s">
        <v>725</v>
      </c>
      <c r="C297" s="57" t="s">
        <v>1596</v>
      </c>
      <c r="D297" s="1" t="s">
        <v>1160</v>
      </c>
      <c r="E297" s="57" t="s">
        <v>2068</v>
      </c>
      <c r="F297" s="57" t="s">
        <v>1169</v>
      </c>
      <c r="G297" s="39" t="s">
        <v>9</v>
      </c>
      <c r="H297" s="39" t="s">
        <v>9</v>
      </c>
      <c r="I297" s="39" t="s">
        <v>9</v>
      </c>
      <c r="J297" s="39" t="s">
        <v>9</v>
      </c>
      <c r="K297" s="39" t="s">
        <v>9</v>
      </c>
      <c r="L297" s="23" t="str">
        <f t="shared" si="60"/>
        <v>Elementos.Instalações</v>
      </c>
      <c r="M297" s="23" t="str">
        <f t="shared" si="61"/>
        <v>Elementos.Hidráulicos</v>
      </c>
      <c r="N297" s="23" t="str">
        <f t="shared" si="59"/>
        <v>Elemento Terminal Hidráulico</v>
      </c>
      <c r="O297" s="23" t="str">
        <f t="shared" si="62"/>
        <v>Válvula</v>
      </c>
      <c r="P297" s="58" t="s">
        <v>1169</v>
      </c>
      <c r="Q297" s="19" t="s">
        <v>1169</v>
      </c>
      <c r="R297" s="19" t="s">
        <v>1170</v>
      </c>
      <c r="S297" s="54" t="s">
        <v>9</v>
      </c>
      <c r="T297" s="46" t="str">
        <f t="shared" si="64"/>
        <v>Elementos Instalações</v>
      </c>
      <c r="U297" s="46" t="str">
        <f t="shared" si="64"/>
        <v>Elementos Hidráulicos</v>
      </c>
      <c r="V297" s="46" t="str">
        <f t="shared" si="64"/>
        <v>Elemento Terminal Hidráulico</v>
      </c>
      <c r="W297" s="19" t="s">
        <v>459</v>
      </c>
      <c r="X297" s="40" t="str">
        <f t="shared" si="63"/>
        <v>Key-TUB-297</v>
      </c>
      <c r="Y297" s="37" t="s">
        <v>1163</v>
      </c>
      <c r="Z297" s="47" t="s">
        <v>9</v>
      </c>
      <c r="AA297" s="37" t="s">
        <v>1174</v>
      </c>
      <c r="AB297" s="47" t="s">
        <v>9</v>
      </c>
      <c r="AC297" s="19" t="s">
        <v>1154</v>
      </c>
      <c r="AD297" s="47" t="s">
        <v>9</v>
      </c>
    </row>
    <row r="298" spans="1:30" ht="6.75" customHeight="1" x14ac:dyDescent="0.25">
      <c r="A298" s="38">
        <v>298</v>
      </c>
      <c r="B298" s="1" t="s">
        <v>725</v>
      </c>
      <c r="C298" s="57" t="s">
        <v>1596</v>
      </c>
      <c r="D298" s="1" t="s">
        <v>1160</v>
      </c>
      <c r="E298" s="57" t="s">
        <v>2070</v>
      </c>
      <c r="F298" s="57" t="s">
        <v>1185</v>
      </c>
      <c r="G298" s="39" t="s">
        <v>9</v>
      </c>
      <c r="H298" s="39" t="s">
        <v>9</v>
      </c>
      <c r="I298" s="39" t="s">
        <v>9</v>
      </c>
      <c r="J298" s="39" t="s">
        <v>9</v>
      </c>
      <c r="K298" s="39" t="s">
        <v>9</v>
      </c>
      <c r="L298" s="23" t="str">
        <f t="shared" si="60"/>
        <v>Elementos.Instalações</v>
      </c>
      <c r="M298" s="23" t="str">
        <f t="shared" si="61"/>
        <v>Elementos.Hidráulicos</v>
      </c>
      <c r="N298" s="23" t="str">
        <f t="shared" si="59"/>
        <v>Elemento Equipamento Hidráulico</v>
      </c>
      <c r="O298" s="23" t="str">
        <f t="shared" si="62"/>
        <v>Cisterna Superior</v>
      </c>
      <c r="P298" s="58" t="s">
        <v>1186</v>
      </c>
      <c r="Q298" s="19" t="s">
        <v>1186</v>
      </c>
      <c r="R298" s="19" t="s">
        <v>1187</v>
      </c>
      <c r="S298" s="54" t="s">
        <v>9</v>
      </c>
      <c r="T298" s="46" t="str">
        <f t="shared" si="64"/>
        <v>Elementos Instalações</v>
      </c>
      <c r="U298" s="46" t="str">
        <f t="shared" si="64"/>
        <v>Elementos Hidráulicos</v>
      </c>
      <c r="V298" s="46" t="str">
        <f t="shared" si="64"/>
        <v>Elemento Equipamento Hidráulico</v>
      </c>
      <c r="W298" s="19" t="s">
        <v>459</v>
      </c>
      <c r="X298" s="40" t="str">
        <f t="shared" si="63"/>
        <v>Key-TUB-298</v>
      </c>
      <c r="Y298" s="37" t="s">
        <v>1083</v>
      </c>
      <c r="Z298" s="47" t="s">
        <v>9</v>
      </c>
      <c r="AA298" s="37" t="s">
        <v>1174</v>
      </c>
      <c r="AB298" s="47" t="s">
        <v>9</v>
      </c>
      <c r="AC298" s="19" t="s">
        <v>1154</v>
      </c>
      <c r="AD298" s="47" t="s">
        <v>9</v>
      </c>
    </row>
    <row r="299" spans="1:30" ht="6.75" customHeight="1" x14ac:dyDescent="0.25">
      <c r="A299" s="38">
        <v>299</v>
      </c>
      <c r="B299" s="1" t="s">
        <v>725</v>
      </c>
      <c r="C299" s="57" t="s">
        <v>1596</v>
      </c>
      <c r="D299" s="1" t="s">
        <v>1160</v>
      </c>
      <c r="E299" s="57" t="s">
        <v>2070</v>
      </c>
      <c r="F299" s="57" t="s">
        <v>1188</v>
      </c>
      <c r="G299" s="39" t="s">
        <v>9</v>
      </c>
      <c r="H299" s="39" t="s">
        <v>9</v>
      </c>
      <c r="I299" s="39" t="s">
        <v>9</v>
      </c>
      <c r="J299" s="39" t="s">
        <v>9</v>
      </c>
      <c r="K299" s="39" t="s">
        <v>9</v>
      </c>
      <c r="L299" s="23" t="str">
        <f t="shared" si="60"/>
        <v>Elementos.Instalações</v>
      </c>
      <c r="M299" s="23" t="str">
        <f t="shared" si="61"/>
        <v>Elementos.Hidráulicos</v>
      </c>
      <c r="N299" s="23" t="str">
        <f t="shared" si="59"/>
        <v>Elemento Equipamento Hidráulico</v>
      </c>
      <c r="O299" s="23" t="str">
        <f t="shared" si="62"/>
        <v>Cisterna Intermediária</v>
      </c>
      <c r="P299" s="58" t="s">
        <v>1189</v>
      </c>
      <c r="Q299" s="19" t="s">
        <v>1190</v>
      </c>
      <c r="R299" s="19" t="s">
        <v>1191</v>
      </c>
      <c r="S299" s="54" t="s">
        <v>9</v>
      </c>
      <c r="T299" s="46" t="str">
        <f t="shared" si="64"/>
        <v>Elementos Instalações</v>
      </c>
      <c r="U299" s="46" t="str">
        <f t="shared" si="64"/>
        <v>Elementos Hidráulicos</v>
      </c>
      <c r="V299" s="46" t="str">
        <f t="shared" si="64"/>
        <v>Elemento Equipamento Hidráulico</v>
      </c>
      <c r="W299" s="19" t="s">
        <v>459</v>
      </c>
      <c r="X299" s="40" t="str">
        <f t="shared" si="63"/>
        <v>Key-TUB-299</v>
      </c>
      <c r="Y299" s="37" t="s">
        <v>1083</v>
      </c>
      <c r="Z299" s="47" t="s">
        <v>9</v>
      </c>
      <c r="AA299" s="37" t="s">
        <v>1174</v>
      </c>
      <c r="AB299" s="47" t="s">
        <v>9</v>
      </c>
      <c r="AC299" s="19" t="s">
        <v>1154</v>
      </c>
      <c r="AD299" s="47" t="s">
        <v>9</v>
      </c>
    </row>
    <row r="300" spans="1:30" ht="6.75" customHeight="1" x14ac:dyDescent="0.25">
      <c r="A300" s="38">
        <v>300</v>
      </c>
      <c r="B300" s="1" t="s">
        <v>725</v>
      </c>
      <c r="C300" s="57" t="s">
        <v>1596</v>
      </c>
      <c r="D300" s="1" t="s">
        <v>1160</v>
      </c>
      <c r="E300" s="57" t="s">
        <v>2070</v>
      </c>
      <c r="F300" s="57" t="s">
        <v>1192</v>
      </c>
      <c r="G300" s="39" t="s">
        <v>9</v>
      </c>
      <c r="H300" s="39" t="s">
        <v>9</v>
      </c>
      <c r="I300" s="39" t="s">
        <v>9</v>
      </c>
      <c r="J300" s="39" t="s">
        <v>9</v>
      </c>
      <c r="K300" s="39" t="s">
        <v>9</v>
      </c>
      <c r="L300" s="23" t="str">
        <f t="shared" si="60"/>
        <v>Elementos.Instalações</v>
      </c>
      <c r="M300" s="23" t="str">
        <f t="shared" si="61"/>
        <v>Elementos.Hidráulicos</v>
      </c>
      <c r="N300" s="23" t="str">
        <f t="shared" si="59"/>
        <v>Elemento Equipamento Hidráulico</v>
      </c>
      <c r="O300" s="23" t="str">
        <f t="shared" si="62"/>
        <v>Cisterna Inferior</v>
      </c>
      <c r="P300" s="58" t="s">
        <v>1193</v>
      </c>
      <c r="Q300" s="19" t="s">
        <v>1193</v>
      </c>
      <c r="R300" s="19" t="s">
        <v>1194</v>
      </c>
      <c r="S300" s="54" t="s">
        <v>9</v>
      </c>
      <c r="T300" s="46" t="str">
        <f t="shared" si="64"/>
        <v>Elementos Instalações</v>
      </c>
      <c r="U300" s="46" t="str">
        <f t="shared" si="64"/>
        <v>Elementos Hidráulicos</v>
      </c>
      <c r="V300" s="46" t="str">
        <f t="shared" si="64"/>
        <v>Elemento Equipamento Hidráulico</v>
      </c>
      <c r="W300" s="19" t="s">
        <v>459</v>
      </c>
      <c r="X300" s="40" t="str">
        <f t="shared" si="63"/>
        <v>Key-TUB-300</v>
      </c>
      <c r="Y300" s="37" t="s">
        <v>1083</v>
      </c>
      <c r="Z300" s="47" t="s">
        <v>9</v>
      </c>
      <c r="AA300" s="37" t="s">
        <v>1084</v>
      </c>
      <c r="AB300" s="47" t="s">
        <v>9</v>
      </c>
      <c r="AC300" s="19" t="s">
        <v>1154</v>
      </c>
      <c r="AD300" s="47" t="s">
        <v>9</v>
      </c>
    </row>
    <row r="301" spans="1:30" ht="6.75" customHeight="1" x14ac:dyDescent="0.25">
      <c r="A301" s="38">
        <v>301</v>
      </c>
      <c r="B301" s="1" t="s">
        <v>725</v>
      </c>
      <c r="C301" s="57" t="s">
        <v>1596</v>
      </c>
      <c r="D301" s="1" t="s">
        <v>1160</v>
      </c>
      <c r="E301" s="57" t="s">
        <v>2070</v>
      </c>
      <c r="F301" s="57" t="s">
        <v>1198</v>
      </c>
      <c r="G301" s="39" t="s">
        <v>9</v>
      </c>
      <c r="H301" s="39" t="s">
        <v>9</v>
      </c>
      <c r="I301" s="39" t="s">
        <v>9</v>
      </c>
      <c r="J301" s="39" t="s">
        <v>9</v>
      </c>
      <c r="K301" s="39" t="s">
        <v>9</v>
      </c>
      <c r="L301" s="23" t="str">
        <f t="shared" si="60"/>
        <v>Elementos.Instalações</v>
      </c>
      <c r="M301" s="23" t="str">
        <f t="shared" si="61"/>
        <v>Elementos.Hidráulicos</v>
      </c>
      <c r="N301" s="23" t="str">
        <f t="shared" si="59"/>
        <v>Elemento Equipamento Hidráulico</v>
      </c>
      <c r="O301" s="23" t="str">
        <f t="shared" si="62"/>
        <v>Aquecedor de Agua</v>
      </c>
      <c r="P301" s="58" t="s">
        <v>1199</v>
      </c>
      <c r="Q301" s="19" t="s">
        <v>1200</v>
      </c>
      <c r="R301" s="19" t="s">
        <v>1201</v>
      </c>
      <c r="S301" s="54" t="s">
        <v>9</v>
      </c>
      <c r="T301" s="46" t="str">
        <f t="shared" si="64"/>
        <v>Elementos Instalações</v>
      </c>
      <c r="U301" s="46" t="str">
        <f t="shared" si="64"/>
        <v>Elementos Hidráulicos</v>
      </c>
      <c r="V301" s="46" t="str">
        <f t="shared" si="64"/>
        <v>Elemento Equipamento Hidráulico</v>
      </c>
      <c r="W301" s="19" t="s">
        <v>459</v>
      </c>
      <c r="X301" s="40" t="str">
        <f t="shared" si="63"/>
        <v>Key-TUB-301</v>
      </c>
      <c r="Y301" s="37" t="s">
        <v>1163</v>
      </c>
      <c r="Z301" s="47" t="s">
        <v>9</v>
      </c>
      <c r="AA301" s="37" t="s">
        <v>1091</v>
      </c>
      <c r="AB301" s="47" t="s">
        <v>9</v>
      </c>
      <c r="AC301" s="19" t="s">
        <v>1154</v>
      </c>
      <c r="AD301" s="47" t="s">
        <v>9</v>
      </c>
    </row>
    <row r="302" spans="1:30" ht="6.75" customHeight="1" x14ac:dyDescent="0.25">
      <c r="A302" s="38">
        <v>302</v>
      </c>
      <c r="B302" s="1" t="s">
        <v>725</v>
      </c>
      <c r="C302" s="57" t="s">
        <v>1596</v>
      </c>
      <c r="D302" s="1" t="s">
        <v>1160</v>
      </c>
      <c r="E302" s="57" t="s">
        <v>2070</v>
      </c>
      <c r="F302" s="57" t="s">
        <v>1202</v>
      </c>
      <c r="G302" s="39" t="s">
        <v>9</v>
      </c>
      <c r="H302" s="39" t="s">
        <v>9</v>
      </c>
      <c r="I302" s="39" t="s">
        <v>9</v>
      </c>
      <c r="J302" s="39" t="s">
        <v>9</v>
      </c>
      <c r="K302" s="39" t="s">
        <v>9</v>
      </c>
      <c r="L302" s="23" t="str">
        <f t="shared" si="60"/>
        <v>Elementos.Instalações</v>
      </c>
      <c r="M302" s="23" t="str">
        <f t="shared" si="61"/>
        <v>Elementos.Hidráulicos</v>
      </c>
      <c r="N302" s="23" t="str">
        <f t="shared" si="59"/>
        <v>Elemento Equipamento Hidráulico</v>
      </c>
      <c r="O302" s="23" t="str">
        <f t="shared" si="62"/>
        <v>Boiler</v>
      </c>
      <c r="P302" s="58" t="s">
        <v>1202</v>
      </c>
      <c r="Q302" s="19" t="s">
        <v>1202</v>
      </c>
      <c r="R302" s="19" t="s">
        <v>1202</v>
      </c>
      <c r="S302" s="54" t="s">
        <v>9</v>
      </c>
      <c r="T302" s="46" t="str">
        <f t="shared" si="64"/>
        <v>Elementos Instalações</v>
      </c>
      <c r="U302" s="46" t="str">
        <f t="shared" si="64"/>
        <v>Elementos Hidráulicos</v>
      </c>
      <c r="V302" s="46" t="str">
        <f t="shared" si="64"/>
        <v>Elemento Equipamento Hidráulico</v>
      </c>
      <c r="W302" s="19" t="s">
        <v>459</v>
      </c>
      <c r="X302" s="40" t="str">
        <f t="shared" si="63"/>
        <v>Key-TUB-302</v>
      </c>
      <c r="Y302" s="37" t="s">
        <v>1163</v>
      </c>
      <c r="Z302" s="47" t="s">
        <v>9</v>
      </c>
      <c r="AA302" s="37" t="s">
        <v>1091</v>
      </c>
      <c r="AB302" s="47" t="s">
        <v>9</v>
      </c>
      <c r="AC302" s="19" t="s">
        <v>1154</v>
      </c>
      <c r="AD302" s="47" t="s">
        <v>9</v>
      </c>
    </row>
    <row r="303" spans="1:30" ht="6.75" customHeight="1" x14ac:dyDescent="0.25">
      <c r="A303" s="38">
        <v>303</v>
      </c>
      <c r="B303" s="1" t="s">
        <v>725</v>
      </c>
      <c r="C303" s="57" t="s">
        <v>1596</v>
      </c>
      <c r="D303" s="1" t="s">
        <v>1160</v>
      </c>
      <c r="E303" s="57" t="s">
        <v>2070</v>
      </c>
      <c r="F303" s="57" t="s">
        <v>1203</v>
      </c>
      <c r="G303" s="39" t="s">
        <v>9</v>
      </c>
      <c r="H303" s="39" t="s">
        <v>9</v>
      </c>
      <c r="I303" s="39" t="s">
        <v>9</v>
      </c>
      <c r="J303" s="39" t="s">
        <v>9</v>
      </c>
      <c r="K303" s="39" t="s">
        <v>9</v>
      </c>
      <c r="L303" s="23" t="str">
        <f t="shared" si="60"/>
        <v>Elementos.Instalações</v>
      </c>
      <c r="M303" s="23" t="str">
        <f t="shared" si="61"/>
        <v>Elementos.Hidráulicos</v>
      </c>
      <c r="N303" s="23" t="str">
        <f t="shared" si="59"/>
        <v>Elemento Equipamento Hidráulico</v>
      </c>
      <c r="O303" s="23" t="str">
        <f t="shared" si="62"/>
        <v>Caldeira</v>
      </c>
      <c r="P303" s="58" t="s">
        <v>1203</v>
      </c>
      <c r="Q303" s="19" t="s">
        <v>1204</v>
      </c>
      <c r="R303" s="19" t="s">
        <v>1473</v>
      </c>
      <c r="S303" s="54" t="s">
        <v>9</v>
      </c>
      <c r="T303" s="46" t="str">
        <f t="shared" si="64"/>
        <v>Elementos Instalações</v>
      </c>
      <c r="U303" s="46" t="str">
        <f t="shared" si="64"/>
        <v>Elementos Hidráulicos</v>
      </c>
      <c r="V303" s="46" t="str">
        <f t="shared" si="64"/>
        <v>Elemento Equipamento Hidráulico</v>
      </c>
      <c r="W303" s="19" t="s">
        <v>459</v>
      </c>
      <c r="X303" s="40" t="str">
        <f t="shared" si="63"/>
        <v>Key-TUB-303</v>
      </c>
      <c r="Y303" s="37" t="s">
        <v>1163</v>
      </c>
      <c r="Z303" s="47" t="s">
        <v>9</v>
      </c>
      <c r="AA303" s="37" t="s">
        <v>1096</v>
      </c>
      <c r="AB303" s="47" t="s">
        <v>9</v>
      </c>
      <c r="AC303" s="19" t="s">
        <v>1154</v>
      </c>
      <c r="AD303" s="47" t="s">
        <v>9</v>
      </c>
    </row>
    <row r="304" spans="1:30" ht="6.75" customHeight="1" x14ac:dyDescent="0.25">
      <c r="A304" s="38">
        <v>304</v>
      </c>
      <c r="B304" s="1" t="s">
        <v>725</v>
      </c>
      <c r="C304" s="57" t="s">
        <v>1596</v>
      </c>
      <c r="D304" s="1" t="s">
        <v>1160</v>
      </c>
      <c r="E304" s="57" t="s">
        <v>2070</v>
      </c>
      <c r="F304" s="57" t="s">
        <v>1209</v>
      </c>
      <c r="G304" s="39" t="s">
        <v>9</v>
      </c>
      <c r="H304" s="39" t="s">
        <v>9</v>
      </c>
      <c r="I304" s="39" t="s">
        <v>9</v>
      </c>
      <c r="J304" s="39" t="s">
        <v>9</v>
      </c>
      <c r="K304" s="39" t="s">
        <v>9</v>
      </c>
      <c r="L304" s="23" t="str">
        <f t="shared" si="60"/>
        <v>Elementos.Instalações</v>
      </c>
      <c r="M304" s="23" t="str">
        <f t="shared" si="61"/>
        <v>Elementos.Hidráulicos</v>
      </c>
      <c r="N304" s="23" t="str">
        <f t="shared" si="59"/>
        <v>Elemento Equipamento Hidráulico</v>
      </c>
      <c r="O304" s="23" t="str">
        <f t="shared" si="62"/>
        <v>Vaso Sanitário</v>
      </c>
      <c r="P304" s="58" t="s">
        <v>1210</v>
      </c>
      <c r="Q304" s="19" t="s">
        <v>1211</v>
      </c>
      <c r="R304" s="19" t="s">
        <v>1212</v>
      </c>
      <c r="S304" s="54" t="s">
        <v>9</v>
      </c>
      <c r="T304" s="46" t="str">
        <f t="shared" si="64"/>
        <v>Elementos Instalações</v>
      </c>
      <c r="U304" s="46" t="str">
        <f t="shared" si="64"/>
        <v>Elementos Hidráulicos</v>
      </c>
      <c r="V304" s="46" t="str">
        <f t="shared" si="64"/>
        <v>Elemento Equipamento Hidráulico</v>
      </c>
      <c r="W304" s="19" t="s">
        <v>459</v>
      </c>
      <c r="X304" s="40" t="str">
        <f t="shared" si="63"/>
        <v>Key-TUB-304</v>
      </c>
      <c r="Y304" s="37" t="s">
        <v>1163</v>
      </c>
      <c r="Z304" s="47" t="s">
        <v>9</v>
      </c>
      <c r="AA304" s="37" t="s">
        <v>1174</v>
      </c>
      <c r="AB304" s="47" t="s">
        <v>9</v>
      </c>
      <c r="AC304" s="19" t="s">
        <v>1154</v>
      </c>
      <c r="AD304" s="47" t="s">
        <v>9</v>
      </c>
    </row>
    <row r="305" spans="1:30" ht="6.75" customHeight="1" x14ac:dyDescent="0.25">
      <c r="A305" s="38">
        <v>305</v>
      </c>
      <c r="B305" s="1" t="s">
        <v>725</v>
      </c>
      <c r="C305" s="57" t="s">
        <v>1596</v>
      </c>
      <c r="D305" s="1" t="s">
        <v>1160</v>
      </c>
      <c r="E305" s="57" t="s">
        <v>2070</v>
      </c>
      <c r="F305" s="57" t="s">
        <v>1213</v>
      </c>
      <c r="G305" s="39" t="s">
        <v>9</v>
      </c>
      <c r="H305" s="39" t="s">
        <v>9</v>
      </c>
      <c r="I305" s="39" t="s">
        <v>9</v>
      </c>
      <c r="J305" s="39" t="s">
        <v>9</v>
      </c>
      <c r="K305" s="39" t="s">
        <v>9</v>
      </c>
      <c r="L305" s="23" t="str">
        <f t="shared" si="60"/>
        <v>Elementos.Instalações</v>
      </c>
      <c r="M305" s="23" t="str">
        <f t="shared" si="61"/>
        <v>Elementos.Hidráulicos</v>
      </c>
      <c r="N305" s="23" t="str">
        <f t="shared" si="59"/>
        <v>Elemento Equipamento Hidráulico</v>
      </c>
      <c r="O305" s="23" t="str">
        <f t="shared" si="62"/>
        <v>Bidet</v>
      </c>
      <c r="P305" s="58" t="s">
        <v>1213</v>
      </c>
      <c r="Q305" s="19" t="s">
        <v>1214</v>
      </c>
      <c r="R305" s="19" t="s">
        <v>1213</v>
      </c>
      <c r="S305" s="54" t="s">
        <v>9</v>
      </c>
      <c r="T305" s="46" t="str">
        <f t="shared" si="64"/>
        <v>Elementos Instalações</v>
      </c>
      <c r="U305" s="46" t="str">
        <f t="shared" si="64"/>
        <v>Elementos Hidráulicos</v>
      </c>
      <c r="V305" s="46" t="str">
        <f t="shared" si="64"/>
        <v>Elemento Equipamento Hidráulico</v>
      </c>
      <c r="W305" s="19" t="s">
        <v>459</v>
      </c>
      <c r="X305" s="40" t="str">
        <f t="shared" si="63"/>
        <v>Key-TUB-305</v>
      </c>
      <c r="Y305" s="37" t="s">
        <v>1163</v>
      </c>
      <c r="Z305" s="47" t="s">
        <v>9</v>
      </c>
      <c r="AA305" s="37" t="s">
        <v>1174</v>
      </c>
      <c r="AB305" s="47" t="s">
        <v>9</v>
      </c>
      <c r="AC305" s="19" t="s">
        <v>1154</v>
      </c>
      <c r="AD305" s="47" t="s">
        <v>9</v>
      </c>
    </row>
    <row r="306" spans="1:30" ht="6.75" customHeight="1" x14ac:dyDescent="0.25">
      <c r="A306" s="38">
        <v>306</v>
      </c>
      <c r="B306" s="1" t="s">
        <v>725</v>
      </c>
      <c r="C306" s="57" t="s">
        <v>1596</v>
      </c>
      <c r="D306" s="1" t="s">
        <v>1160</v>
      </c>
      <c r="E306" s="57" t="s">
        <v>2070</v>
      </c>
      <c r="F306" s="57" t="s">
        <v>1583</v>
      </c>
      <c r="G306" s="39" t="s">
        <v>9</v>
      </c>
      <c r="H306" s="39" t="s">
        <v>9</v>
      </c>
      <c r="I306" s="39" t="s">
        <v>9</v>
      </c>
      <c r="J306" s="39" t="s">
        <v>9</v>
      </c>
      <c r="K306" s="39" t="s">
        <v>9</v>
      </c>
      <c r="L306" s="23" t="str">
        <f t="shared" si="60"/>
        <v>Elementos.Instalações</v>
      </c>
      <c r="M306" s="23" t="str">
        <f t="shared" si="61"/>
        <v>Elementos.Hidráulicos</v>
      </c>
      <c r="N306" s="23" t="str">
        <f t="shared" si="59"/>
        <v>Elemento Equipamento Hidráulico</v>
      </c>
      <c r="O306" s="23" t="str">
        <f t="shared" si="62"/>
        <v>Pia</v>
      </c>
      <c r="P306" s="58" t="s">
        <v>1215</v>
      </c>
      <c r="Q306" s="19" t="s">
        <v>1216</v>
      </c>
      <c r="R306" s="19" t="s">
        <v>1217</v>
      </c>
      <c r="S306" s="54" t="s">
        <v>9</v>
      </c>
      <c r="T306" s="46" t="str">
        <f t="shared" si="64"/>
        <v>Elementos Instalações</v>
      </c>
      <c r="U306" s="46" t="str">
        <f t="shared" si="64"/>
        <v>Elementos Hidráulicos</v>
      </c>
      <c r="V306" s="46" t="str">
        <f t="shared" si="64"/>
        <v>Elemento Equipamento Hidráulico</v>
      </c>
      <c r="W306" s="19" t="s">
        <v>459</v>
      </c>
      <c r="X306" s="40" t="str">
        <f t="shared" si="63"/>
        <v>Key-TUB-306</v>
      </c>
      <c r="Y306" s="37" t="s">
        <v>1163</v>
      </c>
      <c r="Z306" s="47" t="s">
        <v>9</v>
      </c>
      <c r="AA306" s="37" t="s">
        <v>1174</v>
      </c>
      <c r="AB306" s="47" t="s">
        <v>9</v>
      </c>
      <c r="AC306" s="19" t="s">
        <v>1154</v>
      </c>
      <c r="AD306" s="47" t="s">
        <v>9</v>
      </c>
    </row>
    <row r="307" spans="1:30" ht="6.75" customHeight="1" x14ac:dyDescent="0.25">
      <c r="A307" s="38">
        <v>307</v>
      </c>
      <c r="B307" s="1" t="s">
        <v>725</v>
      </c>
      <c r="C307" s="57" t="s">
        <v>1596</v>
      </c>
      <c r="D307" s="1" t="s">
        <v>1160</v>
      </c>
      <c r="E307" s="57" t="s">
        <v>2070</v>
      </c>
      <c r="F307" s="57" t="s">
        <v>1218</v>
      </c>
      <c r="G307" s="39" t="s">
        <v>9</v>
      </c>
      <c r="H307" s="39" t="s">
        <v>9</v>
      </c>
      <c r="I307" s="39" t="s">
        <v>9</v>
      </c>
      <c r="J307" s="39" t="s">
        <v>9</v>
      </c>
      <c r="K307" s="39" t="s">
        <v>9</v>
      </c>
      <c r="L307" s="23" t="str">
        <f t="shared" si="60"/>
        <v>Elementos.Instalações</v>
      </c>
      <c r="M307" s="23" t="str">
        <f t="shared" si="61"/>
        <v>Elementos.Hidráulicos</v>
      </c>
      <c r="N307" s="23" t="str">
        <f t="shared" si="59"/>
        <v>Elemento Equipamento Hidráulico</v>
      </c>
      <c r="O307" s="23" t="str">
        <f t="shared" si="62"/>
        <v>Lavatório</v>
      </c>
      <c r="P307" s="58" t="s">
        <v>1218</v>
      </c>
      <c r="Q307" s="19" t="s">
        <v>1219</v>
      </c>
      <c r="R307" s="19" t="s">
        <v>1220</v>
      </c>
      <c r="S307" s="54" t="s">
        <v>9</v>
      </c>
      <c r="T307" s="46" t="str">
        <f t="shared" si="64"/>
        <v>Elementos Instalações</v>
      </c>
      <c r="U307" s="46" t="str">
        <f t="shared" si="64"/>
        <v>Elementos Hidráulicos</v>
      </c>
      <c r="V307" s="46" t="str">
        <f t="shared" si="64"/>
        <v>Elemento Equipamento Hidráulico</v>
      </c>
      <c r="W307" s="19" t="s">
        <v>459</v>
      </c>
      <c r="X307" s="40" t="str">
        <f t="shared" si="63"/>
        <v>Key-TUB-307</v>
      </c>
      <c r="Y307" s="37" t="s">
        <v>1163</v>
      </c>
      <c r="Z307" s="47" t="s">
        <v>9</v>
      </c>
      <c r="AA307" s="37" t="s">
        <v>1174</v>
      </c>
      <c r="AB307" s="47" t="s">
        <v>9</v>
      </c>
      <c r="AC307" s="19" t="s">
        <v>1154</v>
      </c>
      <c r="AD307" s="47" t="s">
        <v>9</v>
      </c>
    </row>
    <row r="308" spans="1:30" ht="6.75" customHeight="1" x14ac:dyDescent="0.25">
      <c r="A308" s="38">
        <v>308</v>
      </c>
      <c r="B308" s="1" t="s">
        <v>725</v>
      </c>
      <c r="C308" s="57" t="s">
        <v>1596</v>
      </c>
      <c r="D308" s="1" t="s">
        <v>1160</v>
      </c>
      <c r="E308" s="57" t="s">
        <v>2070</v>
      </c>
      <c r="F308" s="57" t="s">
        <v>1584</v>
      </c>
      <c r="G308" s="39" t="s">
        <v>9</v>
      </c>
      <c r="H308" s="39" t="s">
        <v>9</v>
      </c>
      <c r="I308" s="39" t="s">
        <v>9</v>
      </c>
      <c r="J308" s="39" t="s">
        <v>9</v>
      </c>
      <c r="K308" s="39" t="s">
        <v>9</v>
      </c>
      <c r="L308" s="23" t="str">
        <f t="shared" si="60"/>
        <v>Elementos.Instalações</v>
      </c>
      <c r="M308" s="23" t="str">
        <f t="shared" si="61"/>
        <v>Elementos.Hidráulicos</v>
      </c>
      <c r="N308" s="23" t="str">
        <f t="shared" si="59"/>
        <v>Elemento Equipamento Hidráulico</v>
      </c>
      <c r="O308" s="23" t="str">
        <f t="shared" si="62"/>
        <v>Cuba</v>
      </c>
      <c r="P308" s="58" t="s">
        <v>1221</v>
      </c>
      <c r="Q308" s="19" t="s">
        <v>1222</v>
      </c>
      <c r="R308" s="19" t="s">
        <v>1223</v>
      </c>
      <c r="S308" s="54" t="s">
        <v>9</v>
      </c>
      <c r="T308" s="46" t="str">
        <f t="shared" si="64"/>
        <v>Elementos Instalações</v>
      </c>
      <c r="U308" s="46" t="str">
        <f t="shared" si="64"/>
        <v>Elementos Hidráulicos</v>
      </c>
      <c r="V308" s="46" t="str">
        <f t="shared" si="64"/>
        <v>Elemento Equipamento Hidráulico</v>
      </c>
      <c r="W308" s="19" t="s">
        <v>459</v>
      </c>
      <c r="X308" s="40" t="str">
        <f t="shared" si="63"/>
        <v>Key-TUB-308</v>
      </c>
      <c r="Y308" s="37" t="s">
        <v>1163</v>
      </c>
      <c r="Z308" s="47" t="s">
        <v>9</v>
      </c>
      <c r="AA308" s="37" t="s">
        <v>1174</v>
      </c>
      <c r="AB308" s="47" t="s">
        <v>9</v>
      </c>
      <c r="AC308" s="19" t="s">
        <v>1154</v>
      </c>
      <c r="AD308" s="47" t="s">
        <v>9</v>
      </c>
    </row>
    <row r="309" spans="1:30" ht="6.75" customHeight="1" x14ac:dyDescent="0.25">
      <c r="A309" s="38">
        <v>309</v>
      </c>
      <c r="B309" s="1" t="s">
        <v>725</v>
      </c>
      <c r="C309" s="57" t="s">
        <v>1596</v>
      </c>
      <c r="D309" s="1" t="s">
        <v>1160</v>
      </c>
      <c r="E309" s="57" t="s">
        <v>2070</v>
      </c>
      <c r="F309" s="57" t="s">
        <v>1224</v>
      </c>
      <c r="G309" s="39" t="s">
        <v>9</v>
      </c>
      <c r="H309" s="39" t="s">
        <v>9</v>
      </c>
      <c r="I309" s="39" t="s">
        <v>9</v>
      </c>
      <c r="J309" s="39" t="s">
        <v>9</v>
      </c>
      <c r="K309" s="39" t="s">
        <v>9</v>
      </c>
      <c r="L309" s="23" t="str">
        <f t="shared" si="60"/>
        <v>Elementos.Instalações</v>
      </c>
      <c r="M309" s="23" t="str">
        <f t="shared" si="61"/>
        <v>Elementos.Hidráulicos</v>
      </c>
      <c r="N309" s="23" t="str">
        <f t="shared" si="59"/>
        <v>Elemento Equipamento Hidráulico</v>
      </c>
      <c r="O309" s="23" t="str">
        <f t="shared" si="62"/>
        <v>Banheira</v>
      </c>
      <c r="P309" s="58" t="s">
        <v>1224</v>
      </c>
      <c r="Q309" s="19" t="s">
        <v>1225</v>
      </c>
      <c r="R309" s="19" t="s">
        <v>1226</v>
      </c>
      <c r="S309" s="54" t="s">
        <v>9</v>
      </c>
      <c r="T309" s="46" t="str">
        <f t="shared" si="64"/>
        <v>Elementos Instalações</v>
      </c>
      <c r="U309" s="46" t="str">
        <f t="shared" si="64"/>
        <v>Elementos Hidráulicos</v>
      </c>
      <c r="V309" s="46" t="str">
        <f t="shared" si="64"/>
        <v>Elemento Equipamento Hidráulico</v>
      </c>
      <c r="W309" s="19" t="s">
        <v>459</v>
      </c>
      <c r="X309" s="40" t="str">
        <f t="shared" si="63"/>
        <v>Key-TUB-309</v>
      </c>
      <c r="Y309" s="37" t="s">
        <v>1163</v>
      </c>
      <c r="Z309" s="47" t="s">
        <v>9</v>
      </c>
      <c r="AA309" s="37" t="s">
        <v>1174</v>
      </c>
      <c r="AB309" s="47" t="s">
        <v>9</v>
      </c>
      <c r="AC309" s="19" t="s">
        <v>1154</v>
      </c>
      <c r="AD309" s="47" t="s">
        <v>9</v>
      </c>
    </row>
    <row r="310" spans="1:30" ht="6.75" customHeight="1" x14ac:dyDescent="0.25">
      <c r="A310" s="38">
        <v>310</v>
      </c>
      <c r="B310" s="1" t="s">
        <v>725</v>
      </c>
      <c r="C310" s="57" t="s">
        <v>1596</v>
      </c>
      <c r="D310" s="1" t="s">
        <v>1160</v>
      </c>
      <c r="E310" s="57" t="s">
        <v>2054</v>
      </c>
      <c r="F310" s="57" t="s">
        <v>1581</v>
      </c>
      <c r="G310" s="39" t="s">
        <v>9</v>
      </c>
      <c r="H310" s="39" t="s">
        <v>9</v>
      </c>
      <c r="I310" s="39" t="s">
        <v>9</v>
      </c>
      <c r="J310" s="39" t="s">
        <v>9</v>
      </c>
      <c r="K310" s="39" t="s">
        <v>9</v>
      </c>
      <c r="L310" s="23" t="str">
        <f t="shared" si="60"/>
        <v>Elementos.Instalações</v>
      </c>
      <c r="M310" s="23" t="str">
        <f t="shared" si="61"/>
        <v>Elementos.Hidráulicos</v>
      </c>
      <c r="N310" s="23" t="str">
        <f t="shared" si="59"/>
        <v>Elemento Tubulação Hidráulica</v>
      </c>
      <c r="O310" s="23" t="str">
        <f t="shared" si="62"/>
        <v>Tubulação Agua</v>
      </c>
      <c r="P310" s="58" t="s">
        <v>1205</v>
      </c>
      <c r="Q310" s="19" t="s">
        <v>1206</v>
      </c>
      <c r="R310" s="19" t="s">
        <v>1474</v>
      </c>
      <c r="S310" s="54" t="s">
        <v>9</v>
      </c>
      <c r="T310" s="46" t="str">
        <f t="shared" si="64"/>
        <v>Elementos Instalações</v>
      </c>
      <c r="U310" s="46" t="str">
        <f t="shared" si="64"/>
        <v>Elementos Hidráulicos</v>
      </c>
      <c r="V310" s="46" t="str">
        <f t="shared" si="64"/>
        <v>Elemento Tubulação Hidráulica</v>
      </c>
      <c r="W310" s="19" t="s">
        <v>459</v>
      </c>
      <c r="X310" s="40" t="str">
        <f t="shared" si="63"/>
        <v>Key-TUB-310</v>
      </c>
      <c r="Y310" s="37" t="s">
        <v>1083</v>
      </c>
      <c r="Z310" s="47" t="s">
        <v>9</v>
      </c>
      <c r="AA310" s="37" t="s">
        <v>1097</v>
      </c>
      <c r="AB310" s="47" t="s">
        <v>9</v>
      </c>
      <c r="AC310" s="19" t="s">
        <v>1154</v>
      </c>
      <c r="AD310" s="47" t="s">
        <v>9</v>
      </c>
    </row>
    <row r="311" spans="1:30" ht="6.75" customHeight="1" x14ac:dyDescent="0.25">
      <c r="A311" s="38">
        <v>311</v>
      </c>
      <c r="B311" s="1" t="s">
        <v>725</v>
      </c>
      <c r="C311" s="57" t="s">
        <v>1596</v>
      </c>
      <c r="D311" s="1" t="s">
        <v>1160</v>
      </c>
      <c r="E311" s="57" t="s">
        <v>2054</v>
      </c>
      <c r="F311" s="57" t="s">
        <v>1582</v>
      </c>
      <c r="G311" s="39" t="s">
        <v>9</v>
      </c>
      <c r="H311" s="39" t="s">
        <v>9</v>
      </c>
      <c r="I311" s="39" t="s">
        <v>9</v>
      </c>
      <c r="J311" s="39" t="s">
        <v>9</v>
      </c>
      <c r="K311" s="39" t="s">
        <v>9</v>
      </c>
      <c r="L311" s="23" t="str">
        <f t="shared" si="60"/>
        <v>Elementos.Instalações</v>
      </c>
      <c r="M311" s="23" t="str">
        <f t="shared" si="61"/>
        <v>Elementos.Hidráulicos</v>
      </c>
      <c r="N311" s="23" t="str">
        <f t="shared" si="59"/>
        <v>Elemento Tubulação Hidráulica</v>
      </c>
      <c r="O311" s="23" t="str">
        <f t="shared" si="62"/>
        <v>Tubulação Agua Reuso</v>
      </c>
      <c r="P311" s="58" t="s">
        <v>1207</v>
      </c>
      <c r="Q311" s="58" t="s">
        <v>1208</v>
      </c>
      <c r="R311" s="19" t="s">
        <v>1472</v>
      </c>
      <c r="S311" s="54" t="s">
        <v>9</v>
      </c>
      <c r="T311" s="46" t="str">
        <f t="shared" si="64"/>
        <v>Elementos Instalações</v>
      </c>
      <c r="U311" s="46" t="str">
        <f t="shared" si="64"/>
        <v>Elementos Hidráulicos</v>
      </c>
      <c r="V311" s="46" t="str">
        <f t="shared" si="64"/>
        <v>Elemento Tubulação Hidráulica</v>
      </c>
      <c r="W311" s="19" t="s">
        <v>459</v>
      </c>
      <c r="X311" s="40" t="str">
        <f t="shared" si="63"/>
        <v>Key-TUB-311</v>
      </c>
      <c r="Y311" s="37" t="s">
        <v>1083</v>
      </c>
      <c r="Z311" s="47" t="s">
        <v>9</v>
      </c>
      <c r="AA311" s="37" t="s">
        <v>1097</v>
      </c>
      <c r="AB311" s="47" t="s">
        <v>9</v>
      </c>
      <c r="AC311" s="19" t="s">
        <v>1154</v>
      </c>
      <c r="AD311" s="47" t="s">
        <v>9</v>
      </c>
    </row>
    <row r="312" spans="1:30" ht="6.75" customHeight="1" x14ac:dyDescent="0.25">
      <c r="A312" s="38">
        <v>312</v>
      </c>
      <c r="B312" s="1" t="s">
        <v>725</v>
      </c>
      <c r="C312" s="57" t="s">
        <v>1596</v>
      </c>
      <c r="D312" s="1" t="s">
        <v>1580</v>
      </c>
      <c r="E312" s="1" t="s">
        <v>2071</v>
      </c>
      <c r="F312" s="57" t="s">
        <v>1350</v>
      </c>
      <c r="G312" s="39" t="s">
        <v>9</v>
      </c>
      <c r="H312" s="39" t="s">
        <v>9</v>
      </c>
      <c r="I312" s="39" t="s">
        <v>9</v>
      </c>
      <c r="J312" s="39" t="s">
        <v>9</v>
      </c>
      <c r="K312" s="39" t="s">
        <v>9</v>
      </c>
      <c r="L312" s="23" t="str">
        <f t="shared" si="60"/>
        <v>Elementos.Instalações</v>
      </c>
      <c r="M312" s="23" t="str">
        <f t="shared" si="61"/>
        <v>Elementos.Incêndio</v>
      </c>
      <c r="N312" s="23" t="str">
        <f t="shared" si="59"/>
        <v>Elemento Acessório Incêndio</v>
      </c>
      <c r="O312" s="23" t="str">
        <f t="shared" si="62"/>
        <v>Acessório Incêndio</v>
      </c>
      <c r="P312" s="58" t="s">
        <v>1182</v>
      </c>
      <c r="Q312" s="19" t="s">
        <v>1183</v>
      </c>
      <c r="R312" s="19" t="s">
        <v>1184</v>
      </c>
      <c r="S312" s="54" t="s">
        <v>9</v>
      </c>
      <c r="T312" s="46" t="str">
        <f t="shared" si="64"/>
        <v>Elementos Instalações</v>
      </c>
      <c r="U312" s="46" t="str">
        <f t="shared" si="64"/>
        <v>Elementos Incêndio</v>
      </c>
      <c r="V312" s="46" t="str">
        <f t="shared" si="64"/>
        <v>Elemento Acessório Incêndio</v>
      </c>
      <c r="W312" s="19" t="s">
        <v>459</v>
      </c>
      <c r="X312" s="40" t="str">
        <f t="shared" si="63"/>
        <v>Key-TUB-312</v>
      </c>
      <c r="Y312" s="19" t="s">
        <v>1328</v>
      </c>
      <c r="Z312" s="47" t="s">
        <v>9</v>
      </c>
      <c r="AA312" s="37" t="s">
        <v>1313</v>
      </c>
      <c r="AB312" s="47" t="s">
        <v>9</v>
      </c>
      <c r="AC312" s="19" t="s">
        <v>1266</v>
      </c>
      <c r="AD312" s="47" t="s">
        <v>9</v>
      </c>
    </row>
    <row r="313" spans="1:30" ht="6.75" customHeight="1" x14ac:dyDescent="0.25">
      <c r="A313" s="38">
        <v>313</v>
      </c>
      <c r="B313" s="1" t="s">
        <v>725</v>
      </c>
      <c r="C313" s="57" t="s">
        <v>1596</v>
      </c>
      <c r="D313" s="1" t="s">
        <v>1580</v>
      </c>
      <c r="E313" s="1" t="s">
        <v>2072</v>
      </c>
      <c r="F313" s="22" t="s">
        <v>1267</v>
      </c>
      <c r="G313" s="39" t="s">
        <v>9</v>
      </c>
      <c r="H313" s="39" t="s">
        <v>9</v>
      </c>
      <c r="I313" s="39" t="s">
        <v>9</v>
      </c>
      <c r="J313" s="39" t="s">
        <v>9</v>
      </c>
      <c r="K313" s="39" t="s">
        <v>9</v>
      </c>
      <c r="L313" s="23" t="str">
        <f t="shared" si="60"/>
        <v>Elementos.Instalações</v>
      </c>
      <c r="M313" s="23" t="str">
        <f t="shared" si="61"/>
        <v>Elementos.Incêndio</v>
      </c>
      <c r="N313" s="23" t="str">
        <f t="shared" si="59"/>
        <v>Elemento Alarme Incêndio</v>
      </c>
      <c r="O313" s="23" t="str">
        <f t="shared" si="62"/>
        <v>Alarme</v>
      </c>
      <c r="P313" s="19" t="s">
        <v>1268</v>
      </c>
      <c r="Q313" s="19" t="s">
        <v>1269</v>
      </c>
      <c r="R313" s="19" t="s">
        <v>1270</v>
      </c>
      <c r="S313" s="54" t="s">
        <v>9</v>
      </c>
      <c r="T313" s="46" t="str">
        <f t="shared" si="64"/>
        <v>Elementos Instalações</v>
      </c>
      <c r="U313" s="46" t="str">
        <f t="shared" si="64"/>
        <v>Elementos Incêndio</v>
      </c>
      <c r="V313" s="46" t="str">
        <f t="shared" si="64"/>
        <v>Elemento Alarme Incêndio</v>
      </c>
      <c r="W313" s="19" t="s">
        <v>459</v>
      </c>
      <c r="X313" s="40" t="str">
        <f t="shared" si="63"/>
        <v>Key-TUB-313</v>
      </c>
      <c r="Y313" s="19" t="s">
        <v>1271</v>
      </c>
      <c r="Z313" s="47" t="s">
        <v>9</v>
      </c>
      <c r="AA313" s="37" t="s">
        <v>1272</v>
      </c>
      <c r="AB313" s="47" t="s">
        <v>9</v>
      </c>
      <c r="AC313" s="19" t="s">
        <v>1266</v>
      </c>
      <c r="AD313" s="47" t="s">
        <v>9</v>
      </c>
    </row>
    <row r="314" spans="1:30" ht="6.75" customHeight="1" x14ac:dyDescent="0.25">
      <c r="A314" s="38">
        <v>314</v>
      </c>
      <c r="B314" s="1" t="s">
        <v>725</v>
      </c>
      <c r="C314" s="57" t="s">
        <v>1596</v>
      </c>
      <c r="D314" s="1" t="s">
        <v>1580</v>
      </c>
      <c r="E314" s="1" t="s">
        <v>2072</v>
      </c>
      <c r="F314" s="22" t="s">
        <v>1273</v>
      </c>
      <c r="G314" s="39" t="s">
        <v>9</v>
      </c>
      <c r="H314" s="39" t="s">
        <v>9</v>
      </c>
      <c r="I314" s="39" t="s">
        <v>9</v>
      </c>
      <c r="J314" s="39" t="s">
        <v>9</v>
      </c>
      <c r="K314" s="39" t="s">
        <v>9</v>
      </c>
      <c r="L314" s="23" t="str">
        <f t="shared" si="60"/>
        <v>Elementos.Instalações</v>
      </c>
      <c r="M314" s="23" t="str">
        <f t="shared" si="61"/>
        <v>Elementos.Incêndio</v>
      </c>
      <c r="N314" s="23" t="str">
        <f t="shared" si="59"/>
        <v>Elemento Alarme Incêndio</v>
      </c>
      <c r="O314" s="23" t="str">
        <f t="shared" si="62"/>
        <v>Alarme Campainha</v>
      </c>
      <c r="P314" s="19" t="s">
        <v>1274</v>
      </c>
      <c r="Q314" s="19" t="s">
        <v>1275</v>
      </c>
      <c r="R314" s="19" t="s">
        <v>1276</v>
      </c>
      <c r="S314" s="54" t="s">
        <v>9</v>
      </c>
      <c r="T314" s="46" t="str">
        <f t="shared" si="64"/>
        <v>Elementos Instalações</v>
      </c>
      <c r="U314" s="46" t="str">
        <f t="shared" si="64"/>
        <v>Elementos Incêndio</v>
      </c>
      <c r="V314" s="46" t="str">
        <f t="shared" si="64"/>
        <v>Elemento Alarme Incêndio</v>
      </c>
      <c r="W314" s="19" t="s">
        <v>459</v>
      </c>
      <c r="X314" s="40" t="str">
        <f t="shared" si="63"/>
        <v>Key-TUB-314</v>
      </c>
      <c r="Y314" s="19" t="s">
        <v>1271</v>
      </c>
      <c r="Z314" s="47" t="s">
        <v>9</v>
      </c>
      <c r="AA314" s="37" t="s">
        <v>1277</v>
      </c>
      <c r="AB314" s="47" t="s">
        <v>9</v>
      </c>
      <c r="AC314" s="19" t="s">
        <v>1266</v>
      </c>
      <c r="AD314" s="47" t="s">
        <v>9</v>
      </c>
    </row>
    <row r="315" spans="1:30" ht="6.75" customHeight="1" x14ac:dyDescent="0.25">
      <c r="A315" s="38">
        <v>315</v>
      </c>
      <c r="B315" s="1" t="s">
        <v>725</v>
      </c>
      <c r="C315" s="57" t="s">
        <v>1596</v>
      </c>
      <c r="D315" s="1" t="s">
        <v>1580</v>
      </c>
      <c r="E315" s="1" t="s">
        <v>2072</v>
      </c>
      <c r="F315" s="22" t="s">
        <v>1278</v>
      </c>
      <c r="G315" s="39" t="s">
        <v>9</v>
      </c>
      <c r="H315" s="39" t="s">
        <v>9</v>
      </c>
      <c r="I315" s="39" t="s">
        <v>9</v>
      </c>
      <c r="J315" s="39" t="s">
        <v>9</v>
      </c>
      <c r="K315" s="39" t="s">
        <v>9</v>
      </c>
      <c r="L315" s="23" t="str">
        <f t="shared" si="60"/>
        <v>Elementos.Instalações</v>
      </c>
      <c r="M315" s="23" t="str">
        <f t="shared" si="61"/>
        <v>Elementos.Incêndio</v>
      </c>
      <c r="N315" s="23" t="str">
        <f t="shared" si="59"/>
        <v>Elemento Alarme Incêndio</v>
      </c>
      <c r="O315" s="23" t="str">
        <f t="shared" si="62"/>
        <v>Alarme Campainha Caixa</v>
      </c>
      <c r="P315" s="19" t="s">
        <v>1279</v>
      </c>
      <c r="Q315" s="19" t="s">
        <v>1280</v>
      </c>
      <c r="R315" s="19" t="s">
        <v>1281</v>
      </c>
      <c r="S315" s="54" t="s">
        <v>9</v>
      </c>
      <c r="T315" s="46" t="str">
        <f t="shared" si="64"/>
        <v>Elementos Instalações</v>
      </c>
      <c r="U315" s="46" t="str">
        <f t="shared" si="64"/>
        <v>Elementos Incêndio</v>
      </c>
      <c r="V315" s="46" t="str">
        <f t="shared" si="64"/>
        <v>Elemento Alarme Incêndio</v>
      </c>
      <c r="W315" s="19" t="s">
        <v>459</v>
      </c>
      <c r="X315" s="40" t="str">
        <f t="shared" si="63"/>
        <v>Key-TUB-315</v>
      </c>
      <c r="Y315" s="19" t="s">
        <v>1271</v>
      </c>
      <c r="Z315" s="47" t="s">
        <v>9</v>
      </c>
      <c r="AA315" s="37" t="s">
        <v>1282</v>
      </c>
      <c r="AB315" s="47" t="s">
        <v>9</v>
      </c>
      <c r="AC315" s="19" t="s">
        <v>1266</v>
      </c>
      <c r="AD315" s="47" t="s">
        <v>9</v>
      </c>
    </row>
    <row r="316" spans="1:30" ht="6.75" customHeight="1" x14ac:dyDescent="0.25">
      <c r="A316" s="38">
        <v>316</v>
      </c>
      <c r="B316" s="1" t="s">
        <v>725</v>
      </c>
      <c r="C316" s="57" t="s">
        <v>1596</v>
      </c>
      <c r="D316" s="1" t="s">
        <v>1580</v>
      </c>
      <c r="E316" s="1" t="s">
        <v>2072</v>
      </c>
      <c r="F316" s="22" t="s">
        <v>1283</v>
      </c>
      <c r="G316" s="39" t="s">
        <v>9</v>
      </c>
      <c r="H316" s="39" t="s">
        <v>9</v>
      </c>
      <c r="I316" s="39" t="s">
        <v>9</v>
      </c>
      <c r="J316" s="39" t="s">
        <v>9</v>
      </c>
      <c r="K316" s="39" t="s">
        <v>9</v>
      </c>
      <c r="L316" s="23" t="str">
        <f t="shared" si="60"/>
        <v>Elementos.Instalações</v>
      </c>
      <c r="M316" s="23" t="str">
        <f t="shared" si="61"/>
        <v>Elementos.Incêndio</v>
      </c>
      <c r="N316" s="23" t="str">
        <f t="shared" si="59"/>
        <v>Elemento Alarme Incêndio</v>
      </c>
      <c r="O316" s="23" t="str">
        <f t="shared" si="62"/>
        <v>Alarme Lumínico</v>
      </c>
      <c r="P316" s="19" t="s">
        <v>1284</v>
      </c>
      <c r="Q316" s="19" t="s">
        <v>1285</v>
      </c>
      <c r="R316" s="19" t="s">
        <v>1286</v>
      </c>
      <c r="S316" s="54" t="s">
        <v>9</v>
      </c>
      <c r="T316" s="46" t="str">
        <f t="shared" si="64"/>
        <v>Elementos Instalações</v>
      </c>
      <c r="U316" s="46" t="str">
        <f t="shared" si="64"/>
        <v>Elementos Incêndio</v>
      </c>
      <c r="V316" s="46" t="str">
        <f t="shared" si="64"/>
        <v>Elemento Alarme Incêndio</v>
      </c>
      <c r="W316" s="19" t="s">
        <v>459</v>
      </c>
      <c r="X316" s="40" t="str">
        <f t="shared" si="63"/>
        <v>Key-TUB-316</v>
      </c>
      <c r="Y316" s="19" t="s">
        <v>1271</v>
      </c>
      <c r="Z316" s="47" t="s">
        <v>9</v>
      </c>
      <c r="AA316" s="37" t="s">
        <v>1287</v>
      </c>
      <c r="AB316" s="47" t="s">
        <v>9</v>
      </c>
      <c r="AC316" s="19" t="s">
        <v>1266</v>
      </c>
      <c r="AD316" s="47" t="s">
        <v>9</v>
      </c>
    </row>
    <row r="317" spans="1:30" ht="6.75" customHeight="1" x14ac:dyDescent="0.25">
      <c r="A317" s="38">
        <v>317</v>
      </c>
      <c r="B317" s="1" t="s">
        <v>725</v>
      </c>
      <c r="C317" s="57" t="s">
        <v>1596</v>
      </c>
      <c r="D317" s="1" t="s">
        <v>1580</v>
      </c>
      <c r="E317" s="1" t="s">
        <v>2072</v>
      </c>
      <c r="F317" s="22" t="s">
        <v>1288</v>
      </c>
      <c r="G317" s="39" t="s">
        <v>9</v>
      </c>
      <c r="H317" s="39" t="s">
        <v>9</v>
      </c>
      <c r="I317" s="39" t="s">
        <v>9</v>
      </c>
      <c r="J317" s="39" t="s">
        <v>9</v>
      </c>
      <c r="K317" s="39" t="s">
        <v>9</v>
      </c>
      <c r="L317" s="23" t="str">
        <f t="shared" si="60"/>
        <v>Elementos.Instalações</v>
      </c>
      <c r="M317" s="23" t="str">
        <f t="shared" si="61"/>
        <v>Elementos.Incêndio</v>
      </c>
      <c r="N317" s="23" t="str">
        <f t="shared" si="59"/>
        <v>Elemento Alarme Incêndio</v>
      </c>
      <c r="O317" s="23" t="str">
        <f t="shared" si="62"/>
        <v>Alarme Caixa Manual</v>
      </c>
      <c r="P317" s="19" t="s">
        <v>1289</v>
      </c>
      <c r="Q317" s="19" t="s">
        <v>1290</v>
      </c>
      <c r="R317" s="19" t="s">
        <v>1291</v>
      </c>
      <c r="S317" s="54" t="s">
        <v>9</v>
      </c>
      <c r="T317" s="46" t="str">
        <f t="shared" si="64"/>
        <v>Elementos Instalações</v>
      </c>
      <c r="U317" s="46" t="str">
        <f t="shared" si="64"/>
        <v>Elementos Incêndio</v>
      </c>
      <c r="V317" s="46" t="str">
        <f t="shared" si="64"/>
        <v>Elemento Alarme Incêndio</v>
      </c>
      <c r="W317" s="19" t="s">
        <v>459</v>
      </c>
      <c r="X317" s="40" t="str">
        <f t="shared" si="63"/>
        <v>Key-TUB-317</v>
      </c>
      <c r="Y317" s="19" t="s">
        <v>1271</v>
      </c>
      <c r="Z317" s="47" t="s">
        <v>9</v>
      </c>
      <c r="AA317" s="37" t="s">
        <v>1292</v>
      </c>
      <c r="AB317" s="47" t="s">
        <v>9</v>
      </c>
      <c r="AC317" s="19" t="s">
        <v>1266</v>
      </c>
      <c r="AD317" s="47" t="s">
        <v>9</v>
      </c>
    </row>
    <row r="318" spans="1:30" ht="6.75" customHeight="1" x14ac:dyDescent="0.25">
      <c r="A318" s="38">
        <v>318</v>
      </c>
      <c r="B318" s="1" t="s">
        <v>725</v>
      </c>
      <c r="C318" s="57" t="s">
        <v>1596</v>
      </c>
      <c r="D318" s="1" t="s">
        <v>1580</v>
      </c>
      <c r="E318" s="1" t="s">
        <v>2072</v>
      </c>
      <c r="F318" s="22" t="s">
        <v>1293</v>
      </c>
      <c r="G318" s="39" t="s">
        <v>9</v>
      </c>
      <c r="H318" s="39" t="s">
        <v>9</v>
      </c>
      <c r="I318" s="39" t="s">
        <v>9</v>
      </c>
      <c r="J318" s="39" t="s">
        <v>9</v>
      </c>
      <c r="K318" s="39" t="s">
        <v>9</v>
      </c>
      <c r="L318" s="23" t="str">
        <f t="shared" si="60"/>
        <v>Elementos.Instalações</v>
      </c>
      <c r="M318" s="23" t="str">
        <f t="shared" si="61"/>
        <v>Elementos.Incêndio</v>
      </c>
      <c r="N318" s="23" t="str">
        <f t="shared" si="59"/>
        <v>Elemento Alarme Incêndio</v>
      </c>
      <c r="O318" s="23" t="str">
        <f t="shared" si="62"/>
        <v>Alarme Detonador</v>
      </c>
      <c r="P318" s="19" t="s">
        <v>1294</v>
      </c>
      <c r="Q318" s="19" t="s">
        <v>1295</v>
      </c>
      <c r="R318" s="19" t="s">
        <v>1296</v>
      </c>
      <c r="S318" s="54" t="s">
        <v>9</v>
      </c>
      <c r="T318" s="46" t="str">
        <f t="shared" si="64"/>
        <v>Elementos Instalações</v>
      </c>
      <c r="U318" s="46" t="str">
        <f t="shared" si="64"/>
        <v>Elementos Incêndio</v>
      </c>
      <c r="V318" s="46" t="str">
        <f t="shared" si="64"/>
        <v>Elemento Alarme Incêndio</v>
      </c>
      <c r="W318" s="19" t="s">
        <v>459</v>
      </c>
      <c r="X318" s="40" t="str">
        <f t="shared" si="63"/>
        <v>Key-TUB-318</v>
      </c>
      <c r="Y318" s="19" t="s">
        <v>1271</v>
      </c>
      <c r="Z318" s="47" t="s">
        <v>9</v>
      </c>
      <c r="AA318" s="37" t="s">
        <v>1297</v>
      </c>
      <c r="AB318" s="47" t="s">
        <v>9</v>
      </c>
      <c r="AC318" s="19" t="s">
        <v>1266</v>
      </c>
      <c r="AD318" s="47" t="s">
        <v>9</v>
      </c>
    </row>
    <row r="319" spans="1:30" ht="6.75" customHeight="1" x14ac:dyDescent="0.25">
      <c r="A319" s="38">
        <v>319</v>
      </c>
      <c r="B319" s="1" t="s">
        <v>725</v>
      </c>
      <c r="C319" s="57" t="s">
        <v>1596</v>
      </c>
      <c r="D319" s="1" t="s">
        <v>1580</v>
      </c>
      <c r="E319" s="1" t="s">
        <v>2072</v>
      </c>
      <c r="F319" s="22" t="s">
        <v>1298</v>
      </c>
      <c r="G319" s="39" t="s">
        <v>9</v>
      </c>
      <c r="H319" s="39" t="s">
        <v>9</v>
      </c>
      <c r="I319" s="39" t="s">
        <v>9</v>
      </c>
      <c r="J319" s="39" t="s">
        <v>9</v>
      </c>
      <c r="K319" s="39" t="s">
        <v>9</v>
      </c>
      <c r="L319" s="23" t="str">
        <f t="shared" si="60"/>
        <v>Elementos.Instalações</v>
      </c>
      <c r="M319" s="23" t="str">
        <f t="shared" si="61"/>
        <v>Elementos.Incêndio</v>
      </c>
      <c r="N319" s="23" t="str">
        <f t="shared" si="59"/>
        <v>Elemento Alarme Incêndio</v>
      </c>
      <c r="O319" s="23" t="str">
        <f t="shared" si="62"/>
        <v>Alarme Sirene</v>
      </c>
      <c r="P319" s="19" t="s">
        <v>1299</v>
      </c>
      <c r="Q319" s="19" t="s">
        <v>1300</v>
      </c>
      <c r="R319" s="19" t="s">
        <v>1301</v>
      </c>
      <c r="S319" s="54" t="s">
        <v>9</v>
      </c>
      <c r="T319" s="46" t="str">
        <f t="shared" si="64"/>
        <v>Elementos Instalações</v>
      </c>
      <c r="U319" s="46" t="str">
        <f t="shared" si="64"/>
        <v>Elementos Incêndio</v>
      </c>
      <c r="V319" s="46" t="str">
        <f t="shared" si="64"/>
        <v>Elemento Alarme Incêndio</v>
      </c>
      <c r="W319" s="19" t="s">
        <v>459</v>
      </c>
      <c r="X319" s="40" t="str">
        <f t="shared" si="63"/>
        <v>Key-TUB-319</v>
      </c>
      <c r="Y319" s="19" t="s">
        <v>1271</v>
      </c>
      <c r="Z319" s="47" t="s">
        <v>9</v>
      </c>
      <c r="AA319" s="37" t="s">
        <v>1302</v>
      </c>
      <c r="AB319" s="47" t="s">
        <v>9</v>
      </c>
      <c r="AC319" s="19" t="s">
        <v>1266</v>
      </c>
      <c r="AD319" s="47" t="s">
        <v>9</v>
      </c>
    </row>
    <row r="320" spans="1:30" ht="6.75" customHeight="1" x14ac:dyDescent="0.25">
      <c r="A320" s="38">
        <v>320</v>
      </c>
      <c r="B320" s="1" t="s">
        <v>725</v>
      </c>
      <c r="C320" s="57" t="s">
        <v>1596</v>
      </c>
      <c r="D320" s="1" t="s">
        <v>1580</v>
      </c>
      <c r="E320" s="1" t="s">
        <v>2072</v>
      </c>
      <c r="F320" s="22" t="s">
        <v>1303</v>
      </c>
      <c r="G320" s="39" t="s">
        <v>9</v>
      </c>
      <c r="H320" s="39" t="s">
        <v>9</v>
      </c>
      <c r="I320" s="39" t="s">
        <v>9</v>
      </c>
      <c r="J320" s="39" t="s">
        <v>9</v>
      </c>
      <c r="K320" s="39" t="s">
        <v>9</v>
      </c>
      <c r="L320" s="23" t="str">
        <f t="shared" si="60"/>
        <v>Elementos.Instalações</v>
      </c>
      <c r="M320" s="23" t="str">
        <f t="shared" si="61"/>
        <v>Elementos.Incêndio</v>
      </c>
      <c r="N320" s="23" t="str">
        <f t="shared" si="59"/>
        <v>Elemento Alarme Incêndio</v>
      </c>
      <c r="O320" s="23" t="str">
        <f t="shared" si="62"/>
        <v>Alarme Apito</v>
      </c>
      <c r="P320" s="19" t="s">
        <v>1304</v>
      </c>
      <c r="Q320" s="19" t="s">
        <v>1305</v>
      </c>
      <c r="R320" s="19" t="s">
        <v>1306</v>
      </c>
      <c r="S320" s="54" t="s">
        <v>9</v>
      </c>
      <c r="T320" s="46" t="str">
        <f t="shared" si="64"/>
        <v>Elementos Instalações</v>
      </c>
      <c r="U320" s="46" t="str">
        <f t="shared" si="64"/>
        <v>Elementos Incêndio</v>
      </c>
      <c r="V320" s="46" t="str">
        <f t="shared" si="64"/>
        <v>Elemento Alarme Incêndio</v>
      </c>
      <c r="W320" s="19" t="s">
        <v>459</v>
      </c>
      <c r="X320" s="40" t="str">
        <f t="shared" si="63"/>
        <v>Key-TUB-320</v>
      </c>
      <c r="Y320" s="19" t="s">
        <v>1271</v>
      </c>
      <c r="Z320" s="47" t="s">
        <v>9</v>
      </c>
      <c r="AA320" s="37" t="s">
        <v>1307</v>
      </c>
      <c r="AB320" s="47" t="s">
        <v>9</v>
      </c>
      <c r="AC320" s="19" t="s">
        <v>1266</v>
      </c>
      <c r="AD320" s="47" t="s">
        <v>9</v>
      </c>
    </row>
    <row r="321" spans="1:30" ht="6.75" customHeight="1" x14ac:dyDescent="0.25">
      <c r="A321" s="38">
        <v>321</v>
      </c>
      <c r="B321" s="1" t="s">
        <v>725</v>
      </c>
      <c r="C321" s="57" t="s">
        <v>1596</v>
      </c>
      <c r="D321" s="1" t="s">
        <v>1580</v>
      </c>
      <c r="E321" s="1" t="s">
        <v>2067</v>
      </c>
      <c r="F321" s="22" t="s">
        <v>1308</v>
      </c>
      <c r="G321" s="39" t="s">
        <v>9</v>
      </c>
      <c r="H321" s="39" t="s">
        <v>9</v>
      </c>
      <c r="I321" s="39" t="s">
        <v>9</v>
      </c>
      <c r="J321" s="39" t="s">
        <v>9</v>
      </c>
      <c r="K321" s="39" t="s">
        <v>9</v>
      </c>
      <c r="L321" s="23" t="str">
        <f t="shared" si="60"/>
        <v>Elementos.Instalações</v>
      </c>
      <c r="M321" s="23" t="str">
        <f t="shared" si="61"/>
        <v>Elementos.Incêndio</v>
      </c>
      <c r="N321" s="23" t="str">
        <f t="shared" si="59"/>
        <v>Elemento Terminal Incêndio</v>
      </c>
      <c r="O321" s="23" t="str">
        <f t="shared" si="62"/>
        <v>Terminal Combate Fogo</v>
      </c>
      <c r="P321" s="19" t="s">
        <v>1309</v>
      </c>
      <c r="Q321" s="19" t="s">
        <v>1310</v>
      </c>
      <c r="R321" s="19" t="s">
        <v>1311</v>
      </c>
      <c r="S321" s="54" t="s">
        <v>9</v>
      </c>
      <c r="T321" s="46" t="str">
        <f t="shared" si="64"/>
        <v>Elementos Instalações</v>
      </c>
      <c r="U321" s="46" t="str">
        <f t="shared" si="64"/>
        <v>Elementos Incêndio</v>
      </c>
      <c r="V321" s="46" t="str">
        <f t="shared" si="64"/>
        <v>Elemento Terminal Incêndio</v>
      </c>
      <c r="W321" s="19" t="s">
        <v>459</v>
      </c>
      <c r="X321" s="40" t="str">
        <f t="shared" si="63"/>
        <v>Key-TUB-321</v>
      </c>
      <c r="Y321" s="19" t="s">
        <v>1312</v>
      </c>
      <c r="Z321" s="47" t="s">
        <v>9</v>
      </c>
      <c r="AA321" s="37" t="s">
        <v>1313</v>
      </c>
      <c r="AB321" s="47" t="s">
        <v>9</v>
      </c>
      <c r="AC321" s="19" t="s">
        <v>1266</v>
      </c>
      <c r="AD321" s="47" t="s">
        <v>9</v>
      </c>
    </row>
    <row r="322" spans="1:30" ht="6.75" customHeight="1" x14ac:dyDescent="0.25">
      <c r="A322" s="38">
        <v>322</v>
      </c>
      <c r="B322" s="1" t="s">
        <v>725</v>
      </c>
      <c r="C322" s="57" t="s">
        <v>1596</v>
      </c>
      <c r="D322" s="1" t="s">
        <v>1580</v>
      </c>
      <c r="E322" s="1" t="s">
        <v>2067</v>
      </c>
      <c r="F322" s="22" t="s">
        <v>1314</v>
      </c>
      <c r="G322" s="39" t="s">
        <v>9</v>
      </c>
      <c r="H322" s="39" t="s">
        <v>9</v>
      </c>
      <c r="I322" s="39" t="s">
        <v>9</v>
      </c>
      <c r="J322" s="39" t="s">
        <v>9</v>
      </c>
      <c r="K322" s="39" t="s">
        <v>9</v>
      </c>
      <c r="L322" s="23" t="str">
        <f t="shared" si="60"/>
        <v>Elementos.Instalações</v>
      </c>
      <c r="M322" s="23" t="str">
        <f t="shared" si="61"/>
        <v>Elementos.Incêndio</v>
      </c>
      <c r="N322" s="23" t="str">
        <f t="shared" si="59"/>
        <v>Elemento Terminal Incêndio</v>
      </c>
      <c r="O322" s="23" t="str">
        <f t="shared" si="62"/>
        <v>Mangueira Entrada</v>
      </c>
      <c r="P322" s="19" t="s">
        <v>1315</v>
      </c>
      <c r="Q322" s="19" t="s">
        <v>1316</v>
      </c>
      <c r="R322" s="19" t="s">
        <v>1317</v>
      </c>
      <c r="S322" s="54" t="s">
        <v>9</v>
      </c>
      <c r="T322" s="46" t="str">
        <f t="shared" si="64"/>
        <v>Elementos Instalações</v>
      </c>
      <c r="U322" s="46" t="str">
        <f t="shared" si="64"/>
        <v>Elementos Incêndio</v>
      </c>
      <c r="V322" s="46" t="str">
        <f t="shared" si="64"/>
        <v>Elemento Terminal Incêndio</v>
      </c>
      <c r="W322" s="19" t="s">
        <v>459</v>
      </c>
      <c r="X322" s="40" t="str">
        <f t="shared" si="63"/>
        <v>Key-TUB-322</v>
      </c>
      <c r="Y322" s="19" t="s">
        <v>1312</v>
      </c>
      <c r="Z322" s="47" t="s">
        <v>9</v>
      </c>
      <c r="AA322" s="37" t="s">
        <v>1318</v>
      </c>
      <c r="AB322" s="47" t="s">
        <v>9</v>
      </c>
      <c r="AC322" s="19" t="s">
        <v>1266</v>
      </c>
      <c r="AD322" s="47" t="s">
        <v>9</v>
      </c>
    </row>
    <row r="323" spans="1:30" ht="6.75" customHeight="1" x14ac:dyDescent="0.25">
      <c r="A323" s="38">
        <v>323</v>
      </c>
      <c r="B323" s="1" t="s">
        <v>725</v>
      </c>
      <c r="C323" s="57" t="s">
        <v>1596</v>
      </c>
      <c r="D323" s="1" t="s">
        <v>1580</v>
      </c>
      <c r="E323" s="1" t="s">
        <v>2067</v>
      </c>
      <c r="F323" s="22" t="s">
        <v>1319</v>
      </c>
      <c r="G323" s="39" t="s">
        <v>9</v>
      </c>
      <c r="H323" s="39" t="s">
        <v>9</v>
      </c>
      <c r="I323" s="39" t="s">
        <v>9</v>
      </c>
      <c r="J323" s="39" t="s">
        <v>9</v>
      </c>
      <c r="K323" s="39" t="s">
        <v>9</v>
      </c>
      <c r="L323" s="23" t="str">
        <f t="shared" si="60"/>
        <v>Elementos.Instalações</v>
      </c>
      <c r="M323" s="23" t="str">
        <f t="shared" si="61"/>
        <v>Elementos.Incêndio</v>
      </c>
      <c r="N323" s="23" t="str">
        <f t="shared" si="59"/>
        <v>Elemento Terminal Incêndio</v>
      </c>
      <c r="O323" s="23" t="str">
        <f t="shared" si="62"/>
        <v>Mangueira Carretel</v>
      </c>
      <c r="P323" s="19" t="s">
        <v>1320</v>
      </c>
      <c r="Q323" s="19" t="s">
        <v>1321</v>
      </c>
      <c r="R323" s="19" t="s">
        <v>1322</v>
      </c>
      <c r="S323" s="54" t="s">
        <v>9</v>
      </c>
      <c r="T323" s="46" t="str">
        <f t="shared" si="64"/>
        <v>Elementos Instalações</v>
      </c>
      <c r="U323" s="46" t="str">
        <f t="shared" si="64"/>
        <v>Elementos Incêndio</v>
      </c>
      <c r="V323" s="46" t="str">
        <f t="shared" si="64"/>
        <v>Elemento Terminal Incêndio</v>
      </c>
      <c r="W323" s="19" t="s">
        <v>459</v>
      </c>
      <c r="X323" s="40" t="str">
        <f t="shared" si="63"/>
        <v>Key-TUB-323</v>
      </c>
      <c r="Y323" s="19" t="s">
        <v>1312</v>
      </c>
      <c r="Z323" s="47" t="s">
        <v>9</v>
      </c>
      <c r="AA323" s="37" t="s">
        <v>1323</v>
      </c>
      <c r="AB323" s="47" t="s">
        <v>9</v>
      </c>
      <c r="AC323" s="19" t="s">
        <v>1266</v>
      </c>
      <c r="AD323" s="47" t="s">
        <v>9</v>
      </c>
    </row>
    <row r="324" spans="1:30" ht="6.75" customHeight="1" x14ac:dyDescent="0.25">
      <c r="A324" s="38">
        <v>324</v>
      </c>
      <c r="B324" s="1" t="s">
        <v>725</v>
      </c>
      <c r="C324" s="57" t="s">
        <v>1596</v>
      </c>
      <c r="D324" s="1" t="s">
        <v>1580</v>
      </c>
      <c r="E324" s="1" t="s">
        <v>2067</v>
      </c>
      <c r="F324" s="22" t="s">
        <v>1324</v>
      </c>
      <c r="G324" s="39" t="s">
        <v>9</v>
      </c>
      <c r="H324" s="39" t="s">
        <v>9</v>
      </c>
      <c r="I324" s="39" t="s">
        <v>9</v>
      </c>
      <c r="J324" s="39" t="s">
        <v>9</v>
      </c>
      <c r="K324" s="39" t="s">
        <v>9</v>
      </c>
      <c r="L324" s="23" t="str">
        <f t="shared" si="60"/>
        <v>Elementos.Instalações</v>
      </c>
      <c r="M324" s="23" t="str">
        <f t="shared" si="61"/>
        <v>Elementos.Incêndio</v>
      </c>
      <c r="N324" s="23" t="str">
        <f t="shared" si="59"/>
        <v>Elemento Terminal Incêndio</v>
      </c>
      <c r="O324" s="23" t="str">
        <f t="shared" si="62"/>
        <v>Mangueira Canhão</v>
      </c>
      <c r="P324" s="19" t="s">
        <v>1325</v>
      </c>
      <c r="Q324" s="19" t="s">
        <v>1326</v>
      </c>
      <c r="R324" s="19" t="s">
        <v>1327</v>
      </c>
      <c r="S324" s="54" t="s">
        <v>9</v>
      </c>
      <c r="T324" s="46" t="str">
        <f t="shared" si="64"/>
        <v>Elementos Instalações</v>
      </c>
      <c r="U324" s="46" t="str">
        <f t="shared" si="64"/>
        <v>Elementos Incêndio</v>
      </c>
      <c r="V324" s="46" t="str">
        <f t="shared" si="64"/>
        <v>Elemento Terminal Incêndio</v>
      </c>
      <c r="W324" s="19" t="s">
        <v>459</v>
      </c>
      <c r="X324" s="40" t="str">
        <f t="shared" si="63"/>
        <v>Key-TUB-324</v>
      </c>
      <c r="Y324" s="19" t="s">
        <v>1328</v>
      </c>
      <c r="Z324" s="47" t="s">
        <v>9</v>
      </c>
      <c r="AA324" s="37" t="s">
        <v>1329</v>
      </c>
      <c r="AB324" s="47" t="s">
        <v>9</v>
      </c>
      <c r="AC324" s="19" t="s">
        <v>1266</v>
      </c>
      <c r="AD324" s="47" t="s">
        <v>9</v>
      </c>
    </row>
    <row r="325" spans="1:30" ht="6.75" customHeight="1" x14ac:dyDescent="0.25">
      <c r="A325" s="38">
        <v>325</v>
      </c>
      <c r="B325" s="1" t="s">
        <v>725</v>
      </c>
      <c r="C325" s="57" t="s">
        <v>1596</v>
      </c>
      <c r="D325" s="1" t="s">
        <v>1580</v>
      </c>
      <c r="E325" s="1" t="s">
        <v>2067</v>
      </c>
      <c r="F325" s="22" t="s">
        <v>1335</v>
      </c>
      <c r="G325" s="39" t="s">
        <v>9</v>
      </c>
      <c r="H325" s="39" t="s">
        <v>9</v>
      </c>
      <c r="I325" s="39" t="s">
        <v>9</v>
      </c>
      <c r="J325" s="39" t="s">
        <v>9</v>
      </c>
      <c r="K325" s="39" t="s">
        <v>9</v>
      </c>
      <c r="L325" s="23" t="str">
        <f t="shared" si="60"/>
        <v>Elementos.Instalações</v>
      </c>
      <c r="M325" s="23" t="str">
        <f t="shared" si="61"/>
        <v>Elementos.Incêndio</v>
      </c>
      <c r="N325" s="23" t="str">
        <f t="shared" si="59"/>
        <v>Elemento Terminal Incêndio</v>
      </c>
      <c r="O325" s="23" t="str">
        <f t="shared" si="62"/>
        <v>Hidrante</v>
      </c>
      <c r="P325" s="19" t="s">
        <v>1336</v>
      </c>
      <c r="Q325" s="19" t="s">
        <v>1337</v>
      </c>
      <c r="R325" s="19" t="s">
        <v>1338</v>
      </c>
      <c r="S325" s="54" t="s">
        <v>9</v>
      </c>
      <c r="T325" s="46" t="str">
        <f t="shared" si="64"/>
        <v>Elementos Instalações</v>
      </c>
      <c r="U325" s="46" t="str">
        <f t="shared" si="64"/>
        <v>Elementos Incêndio</v>
      </c>
      <c r="V325" s="46" t="str">
        <f t="shared" si="64"/>
        <v>Elemento Terminal Incêndio</v>
      </c>
      <c r="W325" s="19" t="s">
        <v>459</v>
      </c>
      <c r="X325" s="40" t="str">
        <f t="shared" si="63"/>
        <v>Key-TUB-325</v>
      </c>
      <c r="Y325" s="19" t="s">
        <v>1312</v>
      </c>
      <c r="Z325" s="47" t="s">
        <v>9</v>
      </c>
      <c r="AA325" s="37" t="s">
        <v>1334</v>
      </c>
      <c r="AB325" s="47" t="s">
        <v>9</v>
      </c>
      <c r="AC325" s="19" t="s">
        <v>1266</v>
      </c>
      <c r="AD325" s="47" t="s">
        <v>9</v>
      </c>
    </row>
    <row r="326" spans="1:30" ht="6.75" customHeight="1" x14ac:dyDescent="0.25">
      <c r="A326" s="38">
        <v>326</v>
      </c>
      <c r="B326" s="1" t="s">
        <v>725</v>
      </c>
      <c r="C326" s="57" t="s">
        <v>1596</v>
      </c>
      <c r="D326" s="1" t="s">
        <v>1580</v>
      </c>
      <c r="E326" s="1" t="s">
        <v>2067</v>
      </c>
      <c r="F326" s="22" t="s">
        <v>1339</v>
      </c>
      <c r="G326" s="39" t="s">
        <v>9</v>
      </c>
      <c r="H326" s="39" t="s">
        <v>9</v>
      </c>
      <c r="I326" s="39" t="s">
        <v>9</v>
      </c>
      <c r="J326" s="39" t="s">
        <v>9</v>
      </c>
      <c r="K326" s="39" t="s">
        <v>9</v>
      </c>
      <c r="L326" s="23" t="str">
        <f t="shared" si="60"/>
        <v>Elementos.Instalações</v>
      </c>
      <c r="M326" s="23" t="str">
        <f t="shared" si="61"/>
        <v>Elementos.Incêndio</v>
      </c>
      <c r="N326" s="23" t="str">
        <f t="shared" si="59"/>
        <v>Elemento Terminal Incêndio</v>
      </c>
      <c r="O326" s="23" t="str">
        <f t="shared" si="62"/>
        <v>Sprinkler</v>
      </c>
      <c r="P326" s="19" t="s">
        <v>1340</v>
      </c>
      <c r="Q326" s="19" t="s">
        <v>1341</v>
      </c>
      <c r="R326" s="19" t="s">
        <v>1342</v>
      </c>
      <c r="S326" s="54" t="s">
        <v>9</v>
      </c>
      <c r="T326" s="46" t="str">
        <f t="shared" si="64"/>
        <v>Elementos Instalações</v>
      </c>
      <c r="U326" s="46" t="str">
        <f t="shared" si="64"/>
        <v>Elementos Incêndio</v>
      </c>
      <c r="V326" s="46" t="str">
        <f t="shared" si="64"/>
        <v>Elemento Terminal Incêndio</v>
      </c>
      <c r="W326" s="19" t="s">
        <v>459</v>
      </c>
      <c r="X326" s="40" t="str">
        <f t="shared" si="63"/>
        <v>Key-TUB-326</v>
      </c>
      <c r="Y326" s="19" t="s">
        <v>1343</v>
      </c>
      <c r="Z326" s="47" t="s">
        <v>9</v>
      </c>
      <c r="AA326" s="37" t="s">
        <v>1344</v>
      </c>
      <c r="AB326" s="47" t="s">
        <v>9</v>
      </c>
      <c r="AC326" s="19" t="s">
        <v>1266</v>
      </c>
      <c r="AD326" s="47" t="s">
        <v>9</v>
      </c>
    </row>
    <row r="327" spans="1:30" ht="6.75" customHeight="1" x14ac:dyDescent="0.25">
      <c r="A327" s="38">
        <v>327</v>
      </c>
      <c r="B327" s="1" t="s">
        <v>725</v>
      </c>
      <c r="C327" s="57" t="s">
        <v>1596</v>
      </c>
      <c r="D327" s="1" t="s">
        <v>1580</v>
      </c>
      <c r="E327" s="1" t="s">
        <v>2067</v>
      </c>
      <c r="F327" s="22" t="s">
        <v>1345</v>
      </c>
      <c r="G327" s="39" t="s">
        <v>9</v>
      </c>
      <c r="H327" s="39" t="s">
        <v>9</v>
      </c>
      <c r="I327" s="39" t="s">
        <v>9</v>
      </c>
      <c r="J327" s="39" t="s">
        <v>9</v>
      </c>
      <c r="K327" s="39" t="s">
        <v>9</v>
      </c>
      <c r="L327" s="23" t="str">
        <f t="shared" si="60"/>
        <v>Elementos.Instalações</v>
      </c>
      <c r="M327" s="23" t="str">
        <f t="shared" si="61"/>
        <v>Elementos.Incêndio</v>
      </c>
      <c r="N327" s="23" t="str">
        <f t="shared" si="59"/>
        <v>Elemento Terminal Incêndio</v>
      </c>
      <c r="O327" s="23" t="str">
        <f t="shared" si="62"/>
        <v>Sprinkler Defletor</v>
      </c>
      <c r="P327" s="19" t="s">
        <v>1346</v>
      </c>
      <c r="Q327" s="19" t="s">
        <v>1347</v>
      </c>
      <c r="R327" s="19" t="s">
        <v>1348</v>
      </c>
      <c r="S327" s="54" t="s">
        <v>9</v>
      </c>
      <c r="T327" s="46" t="str">
        <f t="shared" si="64"/>
        <v>Elementos Instalações</v>
      </c>
      <c r="U327" s="46" t="str">
        <f t="shared" si="64"/>
        <v>Elementos Incêndio</v>
      </c>
      <c r="V327" s="46" t="str">
        <f t="shared" si="64"/>
        <v>Elemento Terminal Incêndio</v>
      </c>
      <c r="W327" s="19" t="s">
        <v>459</v>
      </c>
      <c r="X327" s="40" t="str">
        <f t="shared" si="63"/>
        <v>Key-TUB-327</v>
      </c>
      <c r="Y327" s="19" t="s">
        <v>1343</v>
      </c>
      <c r="Z327" s="47" t="s">
        <v>9</v>
      </c>
      <c r="AA327" s="37" t="s">
        <v>1349</v>
      </c>
      <c r="AB327" s="47" t="s">
        <v>9</v>
      </c>
      <c r="AC327" s="19" t="s">
        <v>1266</v>
      </c>
      <c r="AD327" s="47" t="s">
        <v>9</v>
      </c>
    </row>
    <row r="328" spans="1:30" ht="6.75" customHeight="1" x14ac:dyDescent="0.25">
      <c r="A328" s="38">
        <v>328</v>
      </c>
      <c r="B328" s="1" t="s">
        <v>725</v>
      </c>
      <c r="C328" s="57" t="s">
        <v>1596</v>
      </c>
      <c r="D328" s="1" t="s">
        <v>1580</v>
      </c>
      <c r="E328" s="1" t="s">
        <v>2067</v>
      </c>
      <c r="F328" s="22" t="s">
        <v>1330</v>
      </c>
      <c r="G328" s="39" t="s">
        <v>9</v>
      </c>
      <c r="H328" s="39" t="s">
        <v>9</v>
      </c>
      <c r="I328" s="39" t="s">
        <v>9</v>
      </c>
      <c r="J328" s="39" t="s">
        <v>9</v>
      </c>
      <c r="K328" s="39" t="s">
        <v>9</v>
      </c>
      <c r="L328" s="23" t="str">
        <f t="shared" si="60"/>
        <v>Elementos.Instalações</v>
      </c>
      <c r="M328" s="23" t="str">
        <f t="shared" si="61"/>
        <v>Elementos.Incêndio</v>
      </c>
      <c r="N328" s="23" t="str">
        <f t="shared" si="59"/>
        <v>Elemento Terminal Incêndio</v>
      </c>
      <c r="O328" s="23" t="str">
        <f t="shared" si="62"/>
        <v>Detetor de Fumaça</v>
      </c>
      <c r="P328" s="19" t="s">
        <v>1331</v>
      </c>
      <c r="Q328" s="19" t="s">
        <v>1332</v>
      </c>
      <c r="R328" s="19" t="s">
        <v>1333</v>
      </c>
      <c r="S328" s="54" t="s">
        <v>9</v>
      </c>
      <c r="T328" s="46" t="str">
        <f t="shared" si="64"/>
        <v>Elementos Instalações</v>
      </c>
      <c r="U328" s="46" t="str">
        <f t="shared" si="64"/>
        <v>Elementos Incêndio</v>
      </c>
      <c r="V328" s="46" t="str">
        <f t="shared" si="64"/>
        <v>Elemento Terminal Incêndio</v>
      </c>
      <c r="W328" s="19" t="s">
        <v>459</v>
      </c>
      <c r="X328" s="40" t="str">
        <f t="shared" si="63"/>
        <v>Key-TUB-328</v>
      </c>
      <c r="Y328" s="19" t="s">
        <v>1312</v>
      </c>
      <c r="Z328" s="47" t="s">
        <v>9</v>
      </c>
      <c r="AA328" s="37" t="s">
        <v>1334</v>
      </c>
      <c r="AB328" s="47" t="s">
        <v>9</v>
      </c>
      <c r="AC328" s="19" t="s">
        <v>1266</v>
      </c>
      <c r="AD328" s="47" t="s">
        <v>9</v>
      </c>
    </row>
    <row r="329" spans="1:30" ht="6.75" customHeight="1" x14ac:dyDescent="0.25">
      <c r="A329" s="38">
        <v>329</v>
      </c>
      <c r="B329" s="1" t="s">
        <v>725</v>
      </c>
      <c r="C329" s="57" t="s">
        <v>1596</v>
      </c>
      <c r="D329" s="1" t="s">
        <v>1580</v>
      </c>
      <c r="E329" s="57" t="s">
        <v>2055</v>
      </c>
      <c r="F329" s="57" t="s">
        <v>1351</v>
      </c>
      <c r="G329" s="39" t="s">
        <v>9</v>
      </c>
      <c r="H329" s="39" t="s">
        <v>9</v>
      </c>
      <c r="I329" s="39" t="s">
        <v>9</v>
      </c>
      <c r="J329" s="39" t="s">
        <v>9</v>
      </c>
      <c r="K329" s="39" t="s">
        <v>9</v>
      </c>
      <c r="L329" s="23" t="str">
        <f t="shared" si="60"/>
        <v>Elementos.Instalações</v>
      </c>
      <c r="M329" s="23" t="str">
        <f t="shared" si="61"/>
        <v>Elementos.Incêndio</v>
      </c>
      <c r="N329" s="23" t="str">
        <f t="shared" si="59"/>
        <v>Elemento Tubulação Incêndio</v>
      </c>
      <c r="O329" s="23" t="str">
        <f t="shared" si="62"/>
        <v>Reserva Superior</v>
      </c>
      <c r="P329" s="58" t="s">
        <v>1186</v>
      </c>
      <c r="Q329" s="19" t="s">
        <v>1186</v>
      </c>
      <c r="R329" s="19" t="s">
        <v>1475</v>
      </c>
      <c r="S329" s="54" t="s">
        <v>9</v>
      </c>
      <c r="T329" s="46" t="str">
        <f t="shared" si="64"/>
        <v>Elementos Instalações</v>
      </c>
      <c r="U329" s="46" t="str">
        <f t="shared" si="64"/>
        <v>Elementos Incêndio</v>
      </c>
      <c r="V329" s="46" t="str">
        <f t="shared" si="64"/>
        <v>Elemento Tubulação Incêndio</v>
      </c>
      <c r="W329" s="19" t="s">
        <v>459</v>
      </c>
      <c r="X329" s="40" t="str">
        <f t="shared" si="63"/>
        <v>Key-TUB-329</v>
      </c>
      <c r="Y329" s="37" t="s">
        <v>1083</v>
      </c>
      <c r="Z329" s="47" t="s">
        <v>9</v>
      </c>
      <c r="AA329" s="37" t="s">
        <v>1084</v>
      </c>
      <c r="AB329" s="47" t="s">
        <v>9</v>
      </c>
      <c r="AC329" s="19" t="s">
        <v>1266</v>
      </c>
      <c r="AD329" s="47" t="s">
        <v>9</v>
      </c>
    </row>
    <row r="330" spans="1:30" ht="6.75" customHeight="1" x14ac:dyDescent="0.25">
      <c r="A330" s="38">
        <v>330</v>
      </c>
      <c r="B330" s="1" t="s">
        <v>725</v>
      </c>
      <c r="C330" s="57" t="s">
        <v>1596</v>
      </c>
      <c r="D330" s="1" t="s">
        <v>1580</v>
      </c>
      <c r="E330" s="57" t="s">
        <v>2055</v>
      </c>
      <c r="F330" s="57" t="s">
        <v>1352</v>
      </c>
      <c r="G330" s="39" t="s">
        <v>9</v>
      </c>
      <c r="H330" s="39" t="s">
        <v>9</v>
      </c>
      <c r="I330" s="39" t="s">
        <v>9</v>
      </c>
      <c r="J330" s="39" t="s">
        <v>9</v>
      </c>
      <c r="K330" s="39" t="s">
        <v>9</v>
      </c>
      <c r="L330" s="23" t="str">
        <f t="shared" si="60"/>
        <v>Elementos.Instalações</v>
      </c>
      <c r="M330" s="23" t="str">
        <f t="shared" si="61"/>
        <v>Elementos.Incêndio</v>
      </c>
      <c r="N330" s="23" t="str">
        <f t="shared" si="59"/>
        <v>Elemento Tubulação Incêndio</v>
      </c>
      <c r="O330" s="23" t="str">
        <f t="shared" si="62"/>
        <v>Reserva Intermediária</v>
      </c>
      <c r="P330" s="58" t="s">
        <v>1189</v>
      </c>
      <c r="Q330" s="19" t="s">
        <v>1190</v>
      </c>
      <c r="R330" s="19" t="s">
        <v>1476</v>
      </c>
      <c r="S330" s="54" t="s">
        <v>9</v>
      </c>
      <c r="T330" s="46" t="str">
        <f t="shared" si="64"/>
        <v>Elementos Instalações</v>
      </c>
      <c r="U330" s="46" t="str">
        <f t="shared" si="64"/>
        <v>Elementos Incêndio</v>
      </c>
      <c r="V330" s="46" t="str">
        <f t="shared" si="64"/>
        <v>Elemento Tubulação Incêndio</v>
      </c>
      <c r="W330" s="19" t="s">
        <v>459</v>
      </c>
      <c r="X330" s="40" t="str">
        <f t="shared" si="63"/>
        <v>Key-TUB-330</v>
      </c>
      <c r="Y330" s="37" t="s">
        <v>1083</v>
      </c>
      <c r="Z330" s="47" t="s">
        <v>9</v>
      </c>
      <c r="AA330" s="37" t="s">
        <v>1084</v>
      </c>
      <c r="AB330" s="47" t="s">
        <v>9</v>
      </c>
      <c r="AC330" s="19" t="s">
        <v>1266</v>
      </c>
      <c r="AD330" s="47" t="s">
        <v>9</v>
      </c>
    </row>
    <row r="331" spans="1:30" ht="6.75" customHeight="1" x14ac:dyDescent="0.25">
      <c r="A331" s="38">
        <v>331</v>
      </c>
      <c r="B331" s="1" t="s">
        <v>725</v>
      </c>
      <c r="C331" s="57" t="s">
        <v>1596</v>
      </c>
      <c r="D331" s="1" t="s">
        <v>1580</v>
      </c>
      <c r="E331" s="57" t="s">
        <v>2055</v>
      </c>
      <c r="F331" s="57" t="s">
        <v>1353</v>
      </c>
      <c r="G331" s="39" t="s">
        <v>9</v>
      </c>
      <c r="H331" s="39" t="s">
        <v>9</v>
      </c>
      <c r="I331" s="39" t="s">
        <v>9</v>
      </c>
      <c r="J331" s="39" t="s">
        <v>9</v>
      </c>
      <c r="K331" s="39" t="s">
        <v>9</v>
      </c>
      <c r="L331" s="23" t="str">
        <f t="shared" si="60"/>
        <v>Elementos.Instalações</v>
      </c>
      <c r="M331" s="23" t="str">
        <f t="shared" si="61"/>
        <v>Elementos.Incêndio</v>
      </c>
      <c r="N331" s="23" t="str">
        <f t="shared" si="59"/>
        <v>Elemento Tubulação Incêndio</v>
      </c>
      <c r="O331" s="23" t="str">
        <f t="shared" si="62"/>
        <v>Reserva Inferior</v>
      </c>
      <c r="P331" s="58" t="s">
        <v>1193</v>
      </c>
      <c r="Q331" s="19" t="s">
        <v>1193</v>
      </c>
      <c r="R331" s="19" t="s">
        <v>1477</v>
      </c>
      <c r="S331" s="54" t="s">
        <v>9</v>
      </c>
      <c r="T331" s="46" t="str">
        <f t="shared" si="64"/>
        <v>Elementos Instalações</v>
      </c>
      <c r="U331" s="46" t="str">
        <f t="shared" si="64"/>
        <v>Elementos Incêndio</v>
      </c>
      <c r="V331" s="46" t="str">
        <f t="shared" si="64"/>
        <v>Elemento Tubulação Incêndio</v>
      </c>
      <c r="W331" s="19" t="s">
        <v>459</v>
      </c>
      <c r="X331" s="40" t="str">
        <f t="shared" si="63"/>
        <v>Key-TUB-331</v>
      </c>
      <c r="Y331" s="37" t="s">
        <v>1083</v>
      </c>
      <c r="Z331" s="47" t="s">
        <v>9</v>
      </c>
      <c r="AA331" s="37" t="s">
        <v>1084</v>
      </c>
      <c r="AB331" s="47" t="s">
        <v>9</v>
      </c>
      <c r="AC331" s="19" t="s">
        <v>1266</v>
      </c>
      <c r="AD331" s="47" t="s">
        <v>9</v>
      </c>
    </row>
    <row r="332" spans="1:30" ht="6.75" customHeight="1" x14ac:dyDescent="0.25">
      <c r="A332" s="38">
        <v>332</v>
      </c>
      <c r="B332" s="1" t="s">
        <v>725</v>
      </c>
      <c r="C332" s="57" t="s">
        <v>1596</v>
      </c>
      <c r="D332" s="1" t="s">
        <v>1580</v>
      </c>
      <c r="E332" s="57" t="s">
        <v>2055</v>
      </c>
      <c r="F332" s="57" t="s">
        <v>1354</v>
      </c>
      <c r="G332" s="39" t="s">
        <v>9</v>
      </c>
      <c r="H332" s="39" t="s">
        <v>9</v>
      </c>
      <c r="I332" s="39" t="s">
        <v>9</v>
      </c>
      <c r="J332" s="39" t="s">
        <v>9</v>
      </c>
      <c r="K332" s="39" t="s">
        <v>9</v>
      </c>
      <c r="L332" s="23" t="str">
        <f t="shared" si="60"/>
        <v>Elementos.Instalações</v>
      </c>
      <c r="M332" s="23" t="str">
        <f t="shared" si="61"/>
        <v>Elementos.Incêndio</v>
      </c>
      <c r="N332" s="23" t="str">
        <f t="shared" si="59"/>
        <v>Elemento Tubulação Incêndio</v>
      </c>
      <c r="O332" s="23" t="str">
        <f t="shared" si="62"/>
        <v>Tubulação Sprinklers</v>
      </c>
      <c r="P332" s="58" t="s">
        <v>1195</v>
      </c>
      <c r="Q332" s="19" t="s">
        <v>1196</v>
      </c>
      <c r="R332" s="19" t="s">
        <v>1197</v>
      </c>
      <c r="S332" s="54" t="s">
        <v>9</v>
      </c>
      <c r="T332" s="46" t="str">
        <f t="shared" si="64"/>
        <v>Elementos Instalações</v>
      </c>
      <c r="U332" s="46" t="str">
        <f t="shared" si="64"/>
        <v>Elementos Incêndio</v>
      </c>
      <c r="V332" s="46" t="str">
        <f t="shared" si="64"/>
        <v>Elemento Tubulação Incêndio</v>
      </c>
      <c r="W332" s="19" t="s">
        <v>459</v>
      </c>
      <c r="X332" s="40" t="str">
        <f t="shared" si="63"/>
        <v>Key-TUB-332</v>
      </c>
      <c r="Y332" s="37" t="s">
        <v>1083</v>
      </c>
      <c r="Z332" s="47" t="s">
        <v>9</v>
      </c>
      <c r="AA332" s="37" t="s">
        <v>1097</v>
      </c>
      <c r="AB332" s="47" t="s">
        <v>9</v>
      </c>
      <c r="AC332" s="19" t="s">
        <v>1266</v>
      </c>
      <c r="AD332" s="47" t="s">
        <v>9</v>
      </c>
    </row>
    <row r="333" spans="1:30" ht="6.75" customHeight="1" x14ac:dyDescent="0.25">
      <c r="A333" s="38">
        <v>333</v>
      </c>
      <c r="B333" s="1" t="s">
        <v>725</v>
      </c>
      <c r="C333" s="57" t="s">
        <v>1596</v>
      </c>
      <c r="D333" s="1" t="s">
        <v>1580</v>
      </c>
      <c r="E333" s="57" t="s">
        <v>2055</v>
      </c>
      <c r="F333" s="57" t="s">
        <v>1355</v>
      </c>
      <c r="G333" s="39" t="s">
        <v>9</v>
      </c>
      <c r="H333" s="39" t="s">
        <v>9</v>
      </c>
      <c r="I333" s="39" t="s">
        <v>9</v>
      </c>
      <c r="J333" s="39" t="s">
        <v>9</v>
      </c>
      <c r="K333" s="39" t="s">
        <v>9</v>
      </c>
      <c r="L333" s="23" t="str">
        <f t="shared" si="60"/>
        <v>Elementos.Instalações</v>
      </c>
      <c r="M333" s="23" t="str">
        <f t="shared" si="61"/>
        <v>Elementos.Incêndio</v>
      </c>
      <c r="N333" s="23" t="str">
        <f t="shared" si="59"/>
        <v>Elemento Tubulação Incêndio</v>
      </c>
      <c r="O333" s="23" t="str">
        <f t="shared" si="62"/>
        <v>Tubulação Mangueira</v>
      </c>
      <c r="P333" s="58" t="s">
        <v>1195</v>
      </c>
      <c r="Q333" s="19" t="s">
        <v>1196</v>
      </c>
      <c r="R333" s="19" t="s">
        <v>1478</v>
      </c>
      <c r="S333" s="54" t="s">
        <v>9</v>
      </c>
      <c r="T333" s="46" t="str">
        <f t="shared" si="64"/>
        <v>Elementos Instalações</v>
      </c>
      <c r="U333" s="46" t="str">
        <f t="shared" si="64"/>
        <v>Elementos Incêndio</v>
      </c>
      <c r="V333" s="46" t="str">
        <f t="shared" si="64"/>
        <v>Elemento Tubulação Incêndio</v>
      </c>
      <c r="W333" s="19" t="s">
        <v>459</v>
      </c>
      <c r="X333" s="40" t="str">
        <f t="shared" si="63"/>
        <v>Key-TUB-333</v>
      </c>
      <c r="Y333" s="37" t="s">
        <v>1083</v>
      </c>
      <c r="Z333" s="47" t="s">
        <v>9</v>
      </c>
      <c r="AA333" s="37" t="s">
        <v>1097</v>
      </c>
      <c r="AB333" s="47" t="s">
        <v>9</v>
      </c>
      <c r="AC333" s="19" t="s">
        <v>1266</v>
      </c>
      <c r="AD333" s="47" t="s">
        <v>9</v>
      </c>
    </row>
    <row r="334" spans="1:30" ht="6.75" customHeight="1" x14ac:dyDescent="0.25">
      <c r="A334" s="38">
        <v>334</v>
      </c>
      <c r="B334" s="1" t="s">
        <v>726</v>
      </c>
      <c r="C334" s="1" t="s">
        <v>761</v>
      </c>
      <c r="D334" s="57" t="s">
        <v>1654</v>
      </c>
      <c r="E334" s="57" t="s">
        <v>1655</v>
      </c>
      <c r="F334" s="57" t="s">
        <v>1453</v>
      </c>
      <c r="G334" s="39" t="s">
        <v>9</v>
      </c>
      <c r="H334" s="39" t="s">
        <v>9</v>
      </c>
      <c r="I334" s="39" t="s">
        <v>9</v>
      </c>
      <c r="J334" s="39" t="s">
        <v>9</v>
      </c>
      <c r="K334" s="39" t="s">
        <v>9</v>
      </c>
      <c r="L334" s="23" t="str">
        <f t="shared" si="60"/>
        <v>De.Canalizações</v>
      </c>
      <c r="M334" s="23" t="str">
        <f t="shared" si="61"/>
        <v>Sistemas.de.Esgotos</v>
      </c>
      <c r="N334" s="23" t="str">
        <f t="shared" si="59"/>
        <v>Sistema de Esgoto</v>
      </c>
      <c r="O334" s="23" t="str">
        <f t="shared" si="62"/>
        <v>Sis ESG</v>
      </c>
      <c r="P334" s="58" t="s">
        <v>1144</v>
      </c>
      <c r="Q334" s="58" t="s">
        <v>1145</v>
      </c>
      <c r="R334" s="19" t="s">
        <v>1146</v>
      </c>
      <c r="S334" s="54" t="s">
        <v>9</v>
      </c>
      <c r="T334" s="46" t="str">
        <f t="shared" ref="T334:T365" si="65">SUBSTITUTE(C334, ".", " ")</f>
        <v>De Canalizações</v>
      </c>
      <c r="U334" s="46" t="str">
        <f t="shared" ref="U334:V365" si="66">SUBSTITUTE(D334, ".", " ")</f>
        <v>Sistemas de Esgotos</v>
      </c>
      <c r="V334" s="46" t="str">
        <f t="shared" si="66"/>
        <v>Sistema de Esgoto</v>
      </c>
      <c r="W334" s="19" t="s">
        <v>459</v>
      </c>
      <c r="X334" s="40" t="str">
        <f t="shared" si="63"/>
        <v>Key-TUB-334</v>
      </c>
      <c r="Y334" s="37" t="s">
        <v>461</v>
      </c>
      <c r="Z334" s="47" t="s">
        <v>9</v>
      </c>
      <c r="AA334" s="37" t="s">
        <v>1147</v>
      </c>
      <c r="AB334" s="47" t="s">
        <v>9</v>
      </c>
      <c r="AC334" s="19" t="s">
        <v>1148</v>
      </c>
      <c r="AD334" s="47" t="s">
        <v>9</v>
      </c>
    </row>
    <row r="335" spans="1:30" ht="6.75" customHeight="1" x14ac:dyDescent="0.25">
      <c r="A335" s="38">
        <v>335</v>
      </c>
      <c r="B335" s="1" t="s">
        <v>726</v>
      </c>
      <c r="C335" s="1" t="s">
        <v>761</v>
      </c>
      <c r="D335" s="57" t="s">
        <v>1654</v>
      </c>
      <c r="E335" s="57" t="s">
        <v>1655</v>
      </c>
      <c r="F335" s="57" t="s">
        <v>1454</v>
      </c>
      <c r="G335" s="39" t="s">
        <v>9</v>
      </c>
      <c r="H335" s="39" t="s">
        <v>9</v>
      </c>
      <c r="I335" s="39" t="s">
        <v>9</v>
      </c>
      <c r="J335" s="39" t="s">
        <v>9</v>
      </c>
      <c r="K335" s="39" t="s">
        <v>9</v>
      </c>
      <c r="L335" s="23" t="str">
        <f t="shared" si="60"/>
        <v>De.Canalizações</v>
      </c>
      <c r="M335" s="23" t="str">
        <f t="shared" si="61"/>
        <v>Sistemas.de.Esgotos</v>
      </c>
      <c r="N335" s="23" t="str">
        <f t="shared" ref="N335:N398" si="67">(SUBSTITUTE(SUBSTITUTE(CONCATENATE("",E335),"."," ")," De "," de "))</f>
        <v>Sistema de Esgoto</v>
      </c>
      <c r="O335" s="23" t="str">
        <f t="shared" si="62"/>
        <v>Sis VEN</v>
      </c>
      <c r="P335" s="58" t="s">
        <v>285</v>
      </c>
      <c r="Q335" s="58" t="s">
        <v>1149</v>
      </c>
      <c r="R335" s="19" t="s">
        <v>638</v>
      </c>
      <c r="S335" s="54" t="s">
        <v>9</v>
      </c>
      <c r="T335" s="46" t="str">
        <f t="shared" si="65"/>
        <v>De Canalizações</v>
      </c>
      <c r="U335" s="46" t="str">
        <f t="shared" si="66"/>
        <v>Sistemas de Esgotos</v>
      </c>
      <c r="V335" s="46" t="str">
        <f t="shared" si="66"/>
        <v>Sistema de Esgoto</v>
      </c>
      <c r="W335" s="19" t="s">
        <v>459</v>
      </c>
      <c r="X335" s="40" t="str">
        <f t="shared" si="63"/>
        <v>Key-TUB-335</v>
      </c>
      <c r="Y335" s="37" t="s">
        <v>461</v>
      </c>
      <c r="Z335" s="47" t="s">
        <v>9</v>
      </c>
      <c r="AA335" s="37" t="s">
        <v>485</v>
      </c>
      <c r="AB335" s="47" t="s">
        <v>9</v>
      </c>
      <c r="AC335" s="19" t="s">
        <v>1148</v>
      </c>
      <c r="AD335" s="47" t="s">
        <v>9</v>
      </c>
    </row>
    <row r="336" spans="1:30" ht="6.75" customHeight="1" x14ac:dyDescent="0.25">
      <c r="A336" s="38">
        <v>336</v>
      </c>
      <c r="B336" s="1" t="s">
        <v>726</v>
      </c>
      <c r="C336" s="1" t="s">
        <v>761</v>
      </c>
      <c r="D336" s="57" t="s">
        <v>1654</v>
      </c>
      <c r="E336" s="57" t="s">
        <v>1655</v>
      </c>
      <c r="F336" s="57" t="s">
        <v>1658</v>
      </c>
      <c r="G336" s="39" t="s">
        <v>9</v>
      </c>
      <c r="H336" s="39" t="s">
        <v>9</v>
      </c>
      <c r="I336" s="39" t="s">
        <v>9</v>
      </c>
      <c r="J336" s="39" t="s">
        <v>9</v>
      </c>
      <c r="K336" s="39" t="s">
        <v>9</v>
      </c>
      <c r="L336" s="23" t="str">
        <f t="shared" ref="L336:L399" si="68">CONCATENATE("", C336)</f>
        <v>De.Canalizações</v>
      </c>
      <c r="M336" s="23" t="str">
        <f t="shared" ref="M336:M399" si="69">CONCATENATE("", D336)</f>
        <v>Sistemas.de.Esgotos</v>
      </c>
      <c r="N336" s="23" t="str">
        <f t="shared" si="67"/>
        <v>Sistema de Esgoto</v>
      </c>
      <c r="O336" s="23" t="str">
        <f t="shared" ref="O336:O399" si="70">(SUBSTITUTE(SUBSTITUTE(CONCATENATE("",F336),"."," ")," De "," de "))</f>
        <v>Sis TOX</v>
      </c>
      <c r="P336" s="58" t="s">
        <v>1659</v>
      </c>
      <c r="Q336" s="58" t="s">
        <v>1660</v>
      </c>
      <c r="R336" s="19" t="s">
        <v>1661</v>
      </c>
      <c r="S336" s="54" t="s">
        <v>9</v>
      </c>
      <c r="T336" s="46" t="str">
        <f t="shared" si="65"/>
        <v>De Canalizações</v>
      </c>
      <c r="U336" s="46" t="str">
        <f t="shared" si="66"/>
        <v>Sistemas de Esgotos</v>
      </c>
      <c r="V336" s="46" t="str">
        <f t="shared" si="66"/>
        <v>Sistema de Esgoto</v>
      </c>
      <c r="W336" s="19" t="s">
        <v>459</v>
      </c>
      <c r="X336" s="40" t="str">
        <f t="shared" ref="X336:X400" si="71">CONCATENATE("Key-TUB-",A336)</f>
        <v>Key-TUB-336</v>
      </c>
      <c r="Y336" s="37" t="s">
        <v>461</v>
      </c>
      <c r="Z336" s="47" t="s">
        <v>9</v>
      </c>
      <c r="AA336" s="37" t="s">
        <v>485</v>
      </c>
      <c r="AB336" s="47" t="s">
        <v>9</v>
      </c>
      <c r="AC336" s="19" t="s">
        <v>1148</v>
      </c>
      <c r="AD336" s="47" t="s">
        <v>9</v>
      </c>
    </row>
    <row r="337" spans="1:30" ht="6.75" customHeight="1" x14ac:dyDescent="0.25">
      <c r="A337" s="38">
        <v>337</v>
      </c>
      <c r="B337" s="1" t="s">
        <v>726</v>
      </c>
      <c r="C337" s="1" t="s">
        <v>761</v>
      </c>
      <c r="D337" s="57" t="s">
        <v>1516</v>
      </c>
      <c r="E337" s="57" t="s">
        <v>1608</v>
      </c>
      <c r="F337" s="57" t="s">
        <v>1458</v>
      </c>
      <c r="G337" s="39" t="s">
        <v>9</v>
      </c>
      <c r="H337" s="39" t="s">
        <v>9</v>
      </c>
      <c r="I337" s="39" t="s">
        <v>9</v>
      </c>
      <c r="J337" s="39" t="s">
        <v>9</v>
      </c>
      <c r="K337" s="39" t="s">
        <v>9</v>
      </c>
      <c r="L337" s="23" t="str">
        <f t="shared" si="68"/>
        <v>De.Canalizações</v>
      </c>
      <c r="M337" s="23" t="str">
        <f t="shared" si="69"/>
        <v>Sistemas.de.Gás</v>
      </c>
      <c r="N337" s="23" t="str">
        <f t="shared" si="67"/>
        <v>Sistema de Gás Doméstico</v>
      </c>
      <c r="O337" s="23" t="str">
        <f t="shared" si="70"/>
        <v>Sis GAS</v>
      </c>
      <c r="P337" s="58" t="s">
        <v>1040</v>
      </c>
      <c r="Q337" s="58" t="s">
        <v>1041</v>
      </c>
      <c r="R337" s="19" t="s">
        <v>1042</v>
      </c>
      <c r="S337" s="54" t="s">
        <v>9</v>
      </c>
      <c r="T337" s="46" t="str">
        <f t="shared" si="65"/>
        <v>De Canalizações</v>
      </c>
      <c r="U337" s="46" t="str">
        <f t="shared" si="66"/>
        <v>Sistemas de Gás</v>
      </c>
      <c r="V337" s="46" t="str">
        <f t="shared" si="66"/>
        <v>Sistema de Gás Doméstico</v>
      </c>
      <c r="W337" s="19" t="s">
        <v>459</v>
      </c>
      <c r="X337" s="40" t="str">
        <f t="shared" si="71"/>
        <v>Key-TUB-337</v>
      </c>
      <c r="Y337" s="37" t="s">
        <v>461</v>
      </c>
      <c r="Z337" s="47" t="s">
        <v>9</v>
      </c>
      <c r="AA337" s="37" t="s">
        <v>1043</v>
      </c>
      <c r="AB337" s="47" t="s">
        <v>9</v>
      </c>
      <c r="AC337" s="19" t="s">
        <v>1044</v>
      </c>
      <c r="AD337" s="47" t="s">
        <v>9</v>
      </c>
    </row>
    <row r="338" spans="1:30" ht="6.75" customHeight="1" x14ac:dyDescent="0.25">
      <c r="A338" s="38">
        <v>338</v>
      </c>
      <c r="B338" s="1" t="s">
        <v>726</v>
      </c>
      <c r="C338" s="1" t="s">
        <v>761</v>
      </c>
      <c r="D338" s="57" t="s">
        <v>1516</v>
      </c>
      <c r="E338" s="57" t="s">
        <v>1045</v>
      </c>
      <c r="F338" s="59" t="s">
        <v>1600</v>
      </c>
      <c r="G338" s="39" t="s">
        <v>9</v>
      </c>
      <c r="H338" s="39" t="s">
        <v>9</v>
      </c>
      <c r="I338" s="39" t="s">
        <v>9</v>
      </c>
      <c r="J338" s="39" t="s">
        <v>9</v>
      </c>
      <c r="K338" s="39" t="s">
        <v>9</v>
      </c>
      <c r="L338" s="23" t="str">
        <f t="shared" si="68"/>
        <v>De.Canalizações</v>
      </c>
      <c r="M338" s="23" t="str">
        <f t="shared" si="69"/>
        <v>Sistemas.de.Gás</v>
      </c>
      <c r="N338" s="23" t="str">
        <f t="shared" si="67"/>
        <v>Sistema de Gás Hospitalar</v>
      </c>
      <c r="O338" s="23" t="str">
        <f t="shared" si="70"/>
        <v>Sis OXI</v>
      </c>
      <c r="P338" s="58" t="s">
        <v>1046</v>
      </c>
      <c r="Q338" s="58" t="s">
        <v>1047</v>
      </c>
      <c r="R338" s="19" t="s">
        <v>1048</v>
      </c>
      <c r="S338" s="54" t="s">
        <v>9</v>
      </c>
      <c r="T338" s="46" t="str">
        <f t="shared" si="65"/>
        <v>De Canalizações</v>
      </c>
      <c r="U338" s="46" t="str">
        <f t="shared" si="66"/>
        <v>Sistemas de Gás</v>
      </c>
      <c r="V338" s="46" t="str">
        <f t="shared" si="66"/>
        <v>Sistema de Gás Hospitalar</v>
      </c>
      <c r="W338" s="19" t="s">
        <v>459</v>
      </c>
      <c r="X338" s="40" t="str">
        <f t="shared" si="71"/>
        <v>Key-TUB-338</v>
      </c>
      <c r="Y338" s="37" t="s">
        <v>461</v>
      </c>
      <c r="Z338" s="47" t="s">
        <v>9</v>
      </c>
      <c r="AA338" s="37" t="s">
        <v>1043</v>
      </c>
      <c r="AB338" s="47" t="s">
        <v>9</v>
      </c>
      <c r="AC338" s="19" t="s">
        <v>1049</v>
      </c>
      <c r="AD338" s="47" t="s">
        <v>9</v>
      </c>
    </row>
    <row r="339" spans="1:30" ht="6.75" customHeight="1" x14ac:dyDescent="0.25">
      <c r="A339" s="38">
        <v>339</v>
      </c>
      <c r="B339" s="1" t="s">
        <v>726</v>
      </c>
      <c r="C339" s="1" t="s">
        <v>761</v>
      </c>
      <c r="D339" s="57" t="s">
        <v>1516</v>
      </c>
      <c r="E339" s="57" t="s">
        <v>1045</v>
      </c>
      <c r="F339" s="59" t="s">
        <v>1606</v>
      </c>
      <c r="G339" s="39" t="s">
        <v>9</v>
      </c>
      <c r="H339" s="39" t="s">
        <v>9</v>
      </c>
      <c r="I339" s="39" t="s">
        <v>9</v>
      </c>
      <c r="J339" s="39" t="s">
        <v>9</v>
      </c>
      <c r="K339" s="39" t="s">
        <v>9</v>
      </c>
      <c r="L339" s="23" t="str">
        <f t="shared" si="68"/>
        <v>De.Canalizações</v>
      </c>
      <c r="M339" s="23" t="str">
        <f t="shared" si="69"/>
        <v>Sistemas.de.Gás</v>
      </c>
      <c r="N339" s="23" t="str">
        <f t="shared" si="67"/>
        <v>Sistema de Gás Hospitalar</v>
      </c>
      <c r="O339" s="23" t="str">
        <f t="shared" si="70"/>
        <v>Sis ARMED</v>
      </c>
      <c r="P339" s="58" t="s">
        <v>1050</v>
      </c>
      <c r="Q339" s="58" t="s">
        <v>1051</v>
      </c>
      <c r="R339" s="19" t="s">
        <v>1052</v>
      </c>
      <c r="S339" s="54" t="s">
        <v>9</v>
      </c>
      <c r="T339" s="46" t="str">
        <f t="shared" si="65"/>
        <v>De Canalizações</v>
      </c>
      <c r="U339" s="46" t="str">
        <f t="shared" si="66"/>
        <v>Sistemas de Gás</v>
      </c>
      <c r="V339" s="46" t="str">
        <f t="shared" si="66"/>
        <v>Sistema de Gás Hospitalar</v>
      </c>
      <c r="W339" s="19" t="s">
        <v>459</v>
      </c>
      <c r="X339" s="40" t="str">
        <f t="shared" si="71"/>
        <v>Key-TUB-339</v>
      </c>
      <c r="Y339" s="37" t="s">
        <v>461</v>
      </c>
      <c r="Z339" s="47" t="s">
        <v>9</v>
      </c>
      <c r="AA339" s="37" t="s">
        <v>1043</v>
      </c>
      <c r="AB339" s="47" t="s">
        <v>9</v>
      </c>
      <c r="AC339" s="19" t="s">
        <v>1049</v>
      </c>
      <c r="AD339" s="47" t="s">
        <v>9</v>
      </c>
    </row>
    <row r="340" spans="1:30" ht="6.75" customHeight="1" x14ac:dyDescent="0.25">
      <c r="A340" s="38">
        <v>340</v>
      </c>
      <c r="B340" s="1" t="s">
        <v>726</v>
      </c>
      <c r="C340" s="1" t="s">
        <v>761</v>
      </c>
      <c r="D340" s="57" t="s">
        <v>1516</v>
      </c>
      <c r="E340" s="57" t="s">
        <v>1045</v>
      </c>
      <c r="F340" s="59" t="s">
        <v>1605</v>
      </c>
      <c r="G340" s="39" t="s">
        <v>9</v>
      </c>
      <c r="H340" s="39" t="s">
        <v>9</v>
      </c>
      <c r="I340" s="39" t="s">
        <v>9</v>
      </c>
      <c r="J340" s="39" t="s">
        <v>9</v>
      </c>
      <c r="K340" s="39" t="s">
        <v>9</v>
      </c>
      <c r="L340" s="23" t="str">
        <f t="shared" si="68"/>
        <v>De.Canalizações</v>
      </c>
      <c r="M340" s="23" t="str">
        <f t="shared" si="69"/>
        <v>Sistemas.de.Gás</v>
      </c>
      <c r="N340" s="23" t="str">
        <f t="shared" si="67"/>
        <v>Sistema de Gás Hospitalar</v>
      </c>
      <c r="O340" s="23" t="str">
        <f t="shared" si="70"/>
        <v>Sis ACOM</v>
      </c>
      <c r="P340" s="58" t="s">
        <v>1053</v>
      </c>
      <c r="Q340" s="58" t="s">
        <v>1054</v>
      </c>
      <c r="R340" s="19" t="s">
        <v>1055</v>
      </c>
      <c r="S340" s="54" t="s">
        <v>9</v>
      </c>
      <c r="T340" s="46" t="str">
        <f t="shared" si="65"/>
        <v>De Canalizações</v>
      </c>
      <c r="U340" s="46" t="str">
        <f t="shared" si="66"/>
        <v>Sistemas de Gás</v>
      </c>
      <c r="V340" s="46" t="str">
        <f t="shared" si="66"/>
        <v>Sistema de Gás Hospitalar</v>
      </c>
      <c r="W340" s="19" t="s">
        <v>459</v>
      </c>
      <c r="X340" s="40" t="str">
        <f t="shared" si="71"/>
        <v>Key-TUB-340</v>
      </c>
      <c r="Y340" s="37" t="s">
        <v>461</v>
      </c>
      <c r="Z340" s="47" t="s">
        <v>9</v>
      </c>
      <c r="AA340" s="37" t="s">
        <v>1056</v>
      </c>
      <c r="AB340" s="47" t="s">
        <v>9</v>
      </c>
      <c r="AC340" s="19" t="s">
        <v>1049</v>
      </c>
      <c r="AD340" s="47" t="s">
        <v>9</v>
      </c>
    </row>
    <row r="341" spans="1:30" ht="6.75" customHeight="1" x14ac:dyDescent="0.25">
      <c r="A341" s="38">
        <v>341</v>
      </c>
      <c r="B341" s="1" t="s">
        <v>726</v>
      </c>
      <c r="C341" s="1" t="s">
        <v>761</v>
      </c>
      <c r="D341" s="57" t="s">
        <v>1516</v>
      </c>
      <c r="E341" s="57" t="s">
        <v>1045</v>
      </c>
      <c r="F341" s="59" t="s">
        <v>1604</v>
      </c>
      <c r="G341" s="39" t="s">
        <v>9</v>
      </c>
      <c r="H341" s="39" t="s">
        <v>9</v>
      </c>
      <c r="I341" s="39" t="s">
        <v>9</v>
      </c>
      <c r="J341" s="39" t="s">
        <v>9</v>
      </c>
      <c r="K341" s="39" t="s">
        <v>9</v>
      </c>
      <c r="L341" s="23" t="str">
        <f t="shared" si="68"/>
        <v>De.Canalizações</v>
      </c>
      <c r="M341" s="23" t="str">
        <f t="shared" si="69"/>
        <v>Sistemas.de.Gás</v>
      </c>
      <c r="N341" s="23" t="str">
        <f t="shared" si="67"/>
        <v>Sistema de Gás Hospitalar</v>
      </c>
      <c r="O341" s="23" t="str">
        <f t="shared" si="70"/>
        <v>Sis OXINIT</v>
      </c>
      <c r="P341" s="58" t="s">
        <v>1057</v>
      </c>
      <c r="Q341" s="58" t="s">
        <v>1058</v>
      </c>
      <c r="R341" s="19" t="s">
        <v>1059</v>
      </c>
      <c r="S341" s="54" t="s">
        <v>9</v>
      </c>
      <c r="T341" s="46" t="str">
        <f t="shared" si="65"/>
        <v>De Canalizações</v>
      </c>
      <c r="U341" s="46" t="str">
        <f t="shared" si="66"/>
        <v>Sistemas de Gás</v>
      </c>
      <c r="V341" s="46" t="str">
        <f t="shared" si="66"/>
        <v>Sistema de Gás Hospitalar</v>
      </c>
      <c r="W341" s="19" t="s">
        <v>459</v>
      </c>
      <c r="X341" s="40" t="str">
        <f t="shared" si="71"/>
        <v>Key-TUB-341</v>
      </c>
      <c r="Y341" s="37" t="s">
        <v>461</v>
      </c>
      <c r="Z341" s="47" t="s">
        <v>9</v>
      </c>
      <c r="AA341" s="37" t="s">
        <v>1043</v>
      </c>
      <c r="AB341" s="47" t="s">
        <v>9</v>
      </c>
      <c r="AC341" s="19" t="s">
        <v>1049</v>
      </c>
      <c r="AD341" s="47" t="s">
        <v>9</v>
      </c>
    </row>
    <row r="342" spans="1:30" ht="6.75" customHeight="1" x14ac:dyDescent="0.25">
      <c r="A342" s="38">
        <v>342</v>
      </c>
      <c r="B342" s="1" t="s">
        <v>726</v>
      </c>
      <c r="C342" s="1" t="s">
        <v>761</v>
      </c>
      <c r="D342" s="57" t="s">
        <v>1516</v>
      </c>
      <c r="E342" s="57" t="s">
        <v>1045</v>
      </c>
      <c r="F342" s="59" t="s">
        <v>1601</v>
      </c>
      <c r="G342" s="39" t="s">
        <v>9</v>
      </c>
      <c r="H342" s="39" t="s">
        <v>9</v>
      </c>
      <c r="I342" s="39" t="s">
        <v>9</v>
      </c>
      <c r="J342" s="39" t="s">
        <v>9</v>
      </c>
      <c r="K342" s="39" t="s">
        <v>9</v>
      </c>
      <c r="L342" s="23" t="str">
        <f t="shared" si="68"/>
        <v>De.Canalizações</v>
      </c>
      <c r="M342" s="23" t="str">
        <f t="shared" si="69"/>
        <v>Sistemas.de.Gás</v>
      </c>
      <c r="N342" s="23" t="str">
        <f t="shared" si="67"/>
        <v>Sistema de Gás Hospitalar</v>
      </c>
      <c r="O342" s="23" t="str">
        <f t="shared" si="70"/>
        <v>Sis NITRO</v>
      </c>
      <c r="P342" s="58" t="s">
        <v>1060</v>
      </c>
      <c r="Q342" s="58" t="s">
        <v>1061</v>
      </c>
      <c r="R342" s="19" t="s">
        <v>1062</v>
      </c>
      <c r="S342" s="54" t="s">
        <v>9</v>
      </c>
      <c r="T342" s="46" t="str">
        <f t="shared" si="65"/>
        <v>De Canalizações</v>
      </c>
      <c r="U342" s="46" t="str">
        <f t="shared" si="66"/>
        <v>Sistemas de Gás</v>
      </c>
      <c r="V342" s="46" t="str">
        <f t="shared" si="66"/>
        <v>Sistema de Gás Hospitalar</v>
      </c>
      <c r="W342" s="19" t="s">
        <v>459</v>
      </c>
      <c r="X342" s="40" t="str">
        <f t="shared" si="71"/>
        <v>Key-TUB-342</v>
      </c>
      <c r="Y342" s="37" t="s">
        <v>461</v>
      </c>
      <c r="Z342" s="47" t="s">
        <v>9</v>
      </c>
      <c r="AA342" s="37" t="s">
        <v>1043</v>
      </c>
      <c r="AB342" s="47" t="s">
        <v>9</v>
      </c>
      <c r="AC342" s="19" t="s">
        <v>1049</v>
      </c>
      <c r="AD342" s="47" t="s">
        <v>9</v>
      </c>
    </row>
    <row r="343" spans="1:30" ht="6.75" customHeight="1" x14ac:dyDescent="0.25">
      <c r="A343" s="38">
        <v>343</v>
      </c>
      <c r="B343" s="1" t="s">
        <v>726</v>
      </c>
      <c r="C343" s="1" t="s">
        <v>761</v>
      </c>
      <c r="D343" s="57" t="s">
        <v>1516</v>
      </c>
      <c r="E343" s="1" t="s">
        <v>1045</v>
      </c>
      <c r="F343" s="22" t="s">
        <v>1602</v>
      </c>
      <c r="G343" s="39" t="s">
        <v>9</v>
      </c>
      <c r="H343" s="39" t="s">
        <v>9</v>
      </c>
      <c r="I343" s="39" t="s">
        <v>9</v>
      </c>
      <c r="J343" s="39" t="s">
        <v>9</v>
      </c>
      <c r="K343" s="39" t="s">
        <v>9</v>
      </c>
      <c r="L343" s="23" t="str">
        <f t="shared" si="68"/>
        <v>De.Canalizações</v>
      </c>
      <c r="M343" s="23" t="str">
        <f t="shared" si="69"/>
        <v>Sistemas.de.Gás</v>
      </c>
      <c r="N343" s="23" t="str">
        <f t="shared" si="67"/>
        <v>Sistema de Gás Hospitalar</v>
      </c>
      <c r="O343" s="23" t="str">
        <f t="shared" si="70"/>
        <v>Sis HELIO</v>
      </c>
      <c r="P343" s="19" t="s">
        <v>1063</v>
      </c>
      <c r="Q343" s="19" t="s">
        <v>1064</v>
      </c>
      <c r="R343" s="19" t="s">
        <v>1065</v>
      </c>
      <c r="S343" s="54" t="s">
        <v>9</v>
      </c>
      <c r="T343" s="46" t="str">
        <f t="shared" si="65"/>
        <v>De Canalizações</v>
      </c>
      <c r="U343" s="46" t="str">
        <f t="shared" si="66"/>
        <v>Sistemas de Gás</v>
      </c>
      <c r="V343" s="46" t="str">
        <f t="shared" si="66"/>
        <v>Sistema de Gás Hospitalar</v>
      </c>
      <c r="W343" s="19" t="s">
        <v>459</v>
      </c>
      <c r="X343" s="40" t="str">
        <f t="shared" si="71"/>
        <v>Key-TUB-343</v>
      </c>
      <c r="Y343" s="37" t="s">
        <v>461</v>
      </c>
      <c r="Z343" s="47" t="s">
        <v>9</v>
      </c>
      <c r="AA343" s="37" t="s">
        <v>1043</v>
      </c>
      <c r="AB343" s="47" t="s">
        <v>9</v>
      </c>
      <c r="AC343" s="19" t="s">
        <v>1049</v>
      </c>
      <c r="AD343" s="47" t="s">
        <v>9</v>
      </c>
    </row>
    <row r="344" spans="1:30" ht="6.75" customHeight="1" x14ac:dyDescent="0.25">
      <c r="A344" s="38">
        <v>344</v>
      </c>
      <c r="B344" s="1" t="s">
        <v>726</v>
      </c>
      <c r="C344" s="1" t="s">
        <v>761</v>
      </c>
      <c r="D344" s="57" t="s">
        <v>1516</v>
      </c>
      <c r="E344" s="1" t="s">
        <v>1045</v>
      </c>
      <c r="F344" s="22" t="s">
        <v>1603</v>
      </c>
      <c r="G344" s="39" t="s">
        <v>9</v>
      </c>
      <c r="H344" s="39" t="s">
        <v>9</v>
      </c>
      <c r="I344" s="39" t="s">
        <v>9</v>
      </c>
      <c r="J344" s="39" t="s">
        <v>9</v>
      </c>
      <c r="K344" s="39" t="s">
        <v>9</v>
      </c>
      <c r="L344" s="23" t="str">
        <f t="shared" si="68"/>
        <v>De.Canalizações</v>
      </c>
      <c r="M344" s="23" t="str">
        <f t="shared" si="69"/>
        <v>Sistemas.de.Gás</v>
      </c>
      <c r="N344" s="23" t="str">
        <f t="shared" si="67"/>
        <v>Sistema de Gás Hospitalar</v>
      </c>
      <c r="O344" s="23" t="str">
        <f t="shared" si="70"/>
        <v>Sis VAC</v>
      </c>
      <c r="P344" s="19" t="s">
        <v>1066</v>
      </c>
      <c r="Q344" s="19" t="s">
        <v>1066</v>
      </c>
      <c r="R344" s="19" t="s">
        <v>1067</v>
      </c>
      <c r="S344" s="54" t="s">
        <v>9</v>
      </c>
      <c r="T344" s="46" t="str">
        <f t="shared" si="65"/>
        <v>De Canalizações</v>
      </c>
      <c r="U344" s="46" t="str">
        <f t="shared" si="66"/>
        <v>Sistemas de Gás</v>
      </c>
      <c r="V344" s="46" t="str">
        <f t="shared" si="66"/>
        <v>Sistema de Gás Hospitalar</v>
      </c>
      <c r="W344" s="19" t="s">
        <v>459</v>
      </c>
      <c r="X344" s="40" t="str">
        <f t="shared" si="71"/>
        <v>Key-TUB-344</v>
      </c>
      <c r="Y344" s="37" t="s">
        <v>461</v>
      </c>
      <c r="Z344" s="47" t="s">
        <v>9</v>
      </c>
      <c r="AA344" s="37" t="s">
        <v>1068</v>
      </c>
      <c r="AB344" s="47" t="s">
        <v>9</v>
      </c>
      <c r="AC344" s="19" t="s">
        <v>1049</v>
      </c>
      <c r="AD344" s="47" t="s">
        <v>9</v>
      </c>
    </row>
    <row r="345" spans="1:30" ht="6.75" customHeight="1" x14ac:dyDescent="0.25">
      <c r="A345" s="38">
        <v>345</v>
      </c>
      <c r="B345" s="1" t="s">
        <v>726</v>
      </c>
      <c r="C345" s="1" t="s">
        <v>761</v>
      </c>
      <c r="D345" s="57" t="s">
        <v>1609</v>
      </c>
      <c r="E345" s="1" t="s">
        <v>1656</v>
      </c>
      <c r="F345" s="1" t="s">
        <v>1455</v>
      </c>
      <c r="G345" s="39" t="s">
        <v>9</v>
      </c>
      <c r="H345" s="39" t="s">
        <v>9</v>
      </c>
      <c r="I345" s="39" t="s">
        <v>9</v>
      </c>
      <c r="J345" s="39" t="s">
        <v>9</v>
      </c>
      <c r="K345" s="39" t="s">
        <v>9</v>
      </c>
      <c r="L345" s="23" t="str">
        <f t="shared" si="68"/>
        <v>De.Canalizações</v>
      </c>
      <c r="M345" s="23" t="str">
        <f t="shared" si="69"/>
        <v>Sistemas.de.Hidráulica</v>
      </c>
      <c r="N345" s="23" t="str">
        <f t="shared" si="67"/>
        <v>Sistema de Hidráulica</v>
      </c>
      <c r="O345" s="23" t="str">
        <f t="shared" si="70"/>
        <v>Sis AFR</v>
      </c>
      <c r="P345" s="19" t="s">
        <v>1151</v>
      </c>
      <c r="Q345" s="19" t="s">
        <v>1152</v>
      </c>
      <c r="R345" s="19" t="s">
        <v>1153</v>
      </c>
      <c r="S345" s="54" t="s">
        <v>9</v>
      </c>
      <c r="T345" s="46" t="str">
        <f t="shared" si="65"/>
        <v>De Canalizações</v>
      </c>
      <c r="U345" s="46" t="str">
        <f t="shared" si="66"/>
        <v>Sistemas de Hidráulica</v>
      </c>
      <c r="V345" s="46" t="str">
        <f t="shared" si="66"/>
        <v>Sistema de Hidráulica</v>
      </c>
      <c r="W345" s="19" t="s">
        <v>459</v>
      </c>
      <c r="X345" s="40" t="str">
        <f t="shared" si="71"/>
        <v>Key-TUB-345</v>
      </c>
      <c r="Y345" s="37" t="s">
        <v>461</v>
      </c>
      <c r="Z345" s="47" t="s">
        <v>9</v>
      </c>
      <c r="AA345" s="37" t="s">
        <v>481</v>
      </c>
      <c r="AB345" s="47" t="s">
        <v>9</v>
      </c>
      <c r="AC345" s="19" t="s">
        <v>1154</v>
      </c>
      <c r="AD345" s="47" t="s">
        <v>9</v>
      </c>
    </row>
    <row r="346" spans="1:30" ht="6.75" customHeight="1" x14ac:dyDescent="0.25">
      <c r="A346" s="38">
        <v>346</v>
      </c>
      <c r="B346" s="1" t="s">
        <v>726</v>
      </c>
      <c r="C346" s="1" t="s">
        <v>761</v>
      </c>
      <c r="D346" s="57" t="s">
        <v>1609</v>
      </c>
      <c r="E346" s="1" t="s">
        <v>1656</v>
      </c>
      <c r="F346" s="1" t="s">
        <v>1456</v>
      </c>
      <c r="G346" s="39" t="s">
        <v>9</v>
      </c>
      <c r="H346" s="39" t="s">
        <v>9</v>
      </c>
      <c r="I346" s="39" t="s">
        <v>9</v>
      </c>
      <c r="J346" s="39" t="s">
        <v>9</v>
      </c>
      <c r="K346" s="39" t="s">
        <v>9</v>
      </c>
      <c r="L346" s="23" t="str">
        <f t="shared" si="68"/>
        <v>De.Canalizações</v>
      </c>
      <c r="M346" s="23" t="str">
        <f t="shared" si="69"/>
        <v>Sistemas.de.Hidráulica</v>
      </c>
      <c r="N346" s="23" t="str">
        <f t="shared" si="67"/>
        <v>Sistema de Hidráulica</v>
      </c>
      <c r="O346" s="23" t="str">
        <f t="shared" si="70"/>
        <v>Sis AQT</v>
      </c>
      <c r="P346" s="19" t="s">
        <v>1155</v>
      </c>
      <c r="Q346" s="19" t="s">
        <v>1156</v>
      </c>
      <c r="R346" s="19" t="s">
        <v>1157</v>
      </c>
      <c r="S346" s="54" t="s">
        <v>9</v>
      </c>
      <c r="T346" s="46" t="str">
        <f t="shared" si="65"/>
        <v>De Canalizações</v>
      </c>
      <c r="U346" s="46" t="str">
        <f t="shared" si="66"/>
        <v>Sistemas de Hidráulica</v>
      </c>
      <c r="V346" s="46" t="str">
        <f t="shared" si="66"/>
        <v>Sistema de Hidráulica</v>
      </c>
      <c r="W346" s="19" t="s">
        <v>459</v>
      </c>
      <c r="X346" s="40" t="str">
        <f t="shared" si="71"/>
        <v>Key-TUB-346</v>
      </c>
      <c r="Y346" s="37" t="s">
        <v>461</v>
      </c>
      <c r="Z346" s="47" t="s">
        <v>9</v>
      </c>
      <c r="AA346" s="37" t="s">
        <v>482</v>
      </c>
      <c r="AB346" s="47" t="s">
        <v>9</v>
      </c>
      <c r="AC346" s="19" t="s">
        <v>1154</v>
      </c>
      <c r="AD346" s="47" t="s">
        <v>9</v>
      </c>
    </row>
    <row r="347" spans="1:30" ht="6.75" customHeight="1" x14ac:dyDescent="0.25">
      <c r="A347" s="38">
        <v>347</v>
      </c>
      <c r="B347" s="1" t="s">
        <v>726</v>
      </c>
      <c r="C347" s="1" t="s">
        <v>761</v>
      </c>
      <c r="D347" s="57" t="s">
        <v>1609</v>
      </c>
      <c r="E347" s="57" t="s">
        <v>1656</v>
      </c>
      <c r="F347" s="57" t="s">
        <v>1457</v>
      </c>
      <c r="G347" s="39" t="s">
        <v>9</v>
      </c>
      <c r="H347" s="39" t="s">
        <v>9</v>
      </c>
      <c r="I347" s="39" t="s">
        <v>9</v>
      </c>
      <c r="J347" s="39" t="s">
        <v>9</v>
      </c>
      <c r="K347" s="39" t="s">
        <v>9</v>
      </c>
      <c r="L347" s="23" t="str">
        <f t="shared" si="68"/>
        <v>De.Canalizações</v>
      </c>
      <c r="M347" s="23" t="str">
        <f t="shared" si="69"/>
        <v>Sistemas.de.Hidráulica</v>
      </c>
      <c r="N347" s="23" t="str">
        <f t="shared" si="67"/>
        <v>Sistema de Hidráulica</v>
      </c>
      <c r="O347" s="23" t="str">
        <f t="shared" si="70"/>
        <v>Sis PLU</v>
      </c>
      <c r="P347" s="58" t="s">
        <v>1158</v>
      </c>
      <c r="Q347" s="58" t="s">
        <v>1158</v>
      </c>
      <c r="R347" s="19" t="s">
        <v>1159</v>
      </c>
      <c r="S347" s="54" t="s">
        <v>9</v>
      </c>
      <c r="T347" s="46" t="str">
        <f t="shared" si="65"/>
        <v>De Canalizações</v>
      </c>
      <c r="U347" s="46" t="str">
        <f t="shared" si="66"/>
        <v>Sistemas de Hidráulica</v>
      </c>
      <c r="V347" s="46" t="str">
        <f t="shared" si="66"/>
        <v>Sistema de Hidráulica</v>
      </c>
      <c r="W347" s="19" t="s">
        <v>459</v>
      </c>
      <c r="X347" s="40" t="str">
        <f t="shared" si="71"/>
        <v>Key-TUB-347</v>
      </c>
      <c r="Y347" s="37" t="s">
        <v>461</v>
      </c>
      <c r="Z347" s="47" t="s">
        <v>9</v>
      </c>
      <c r="AA347" s="37" t="s">
        <v>485</v>
      </c>
      <c r="AB347" s="47" t="s">
        <v>9</v>
      </c>
      <c r="AC347" s="19" t="s">
        <v>1148</v>
      </c>
      <c r="AD347" s="47" t="s">
        <v>9</v>
      </c>
    </row>
    <row r="348" spans="1:30" ht="6.75" customHeight="1" x14ac:dyDescent="0.25">
      <c r="A348" s="38">
        <v>348</v>
      </c>
      <c r="B348" s="1" t="s">
        <v>726</v>
      </c>
      <c r="C348" s="1" t="s">
        <v>761</v>
      </c>
      <c r="D348" s="57" t="s">
        <v>1515</v>
      </c>
      <c r="E348" s="57" t="s">
        <v>1657</v>
      </c>
      <c r="F348" s="57" t="s">
        <v>1459</v>
      </c>
      <c r="G348" s="39" t="s">
        <v>9</v>
      </c>
      <c r="H348" s="39" t="s">
        <v>9</v>
      </c>
      <c r="I348" s="39" t="s">
        <v>9</v>
      </c>
      <c r="J348" s="39" t="s">
        <v>9</v>
      </c>
      <c r="K348" s="39" t="s">
        <v>9</v>
      </c>
      <c r="L348" s="23" t="str">
        <f t="shared" si="68"/>
        <v>De.Canalizações</v>
      </c>
      <c r="M348" s="23" t="str">
        <f t="shared" si="69"/>
        <v>Sistemas.de.Incêndio</v>
      </c>
      <c r="N348" s="23" t="str">
        <f t="shared" si="67"/>
        <v>Sistema de Incêndio</v>
      </c>
      <c r="O348" s="23" t="str">
        <f t="shared" si="70"/>
        <v>Sis INC</v>
      </c>
      <c r="P348" s="58" t="s">
        <v>1356</v>
      </c>
      <c r="Q348" s="58" t="s">
        <v>1357</v>
      </c>
      <c r="R348" s="19" t="s">
        <v>1358</v>
      </c>
      <c r="S348" s="54" t="s">
        <v>9</v>
      </c>
      <c r="T348" s="46" t="str">
        <f t="shared" si="65"/>
        <v>De Canalizações</v>
      </c>
      <c r="U348" s="46" t="str">
        <f t="shared" si="66"/>
        <v>Sistemas de Incêndio</v>
      </c>
      <c r="V348" s="46" t="str">
        <f t="shared" si="66"/>
        <v>Sistema de Incêndio</v>
      </c>
      <c r="W348" s="19" t="s">
        <v>459</v>
      </c>
      <c r="X348" s="40" t="str">
        <f t="shared" si="71"/>
        <v>Key-TUB-348</v>
      </c>
      <c r="Y348" s="19" t="s">
        <v>1650</v>
      </c>
      <c r="Z348" s="47" t="s">
        <v>9</v>
      </c>
      <c r="AA348" s="37" t="s">
        <v>1651</v>
      </c>
      <c r="AB348" s="47" t="s">
        <v>9</v>
      </c>
      <c r="AC348" s="19" t="s">
        <v>1266</v>
      </c>
      <c r="AD348" s="47" t="s">
        <v>9</v>
      </c>
    </row>
    <row r="349" spans="1:30" ht="6.75" customHeight="1" x14ac:dyDescent="0.25">
      <c r="A349" s="38">
        <v>349</v>
      </c>
      <c r="B349" s="1" t="s">
        <v>726</v>
      </c>
      <c r="C349" s="1" t="s">
        <v>761</v>
      </c>
      <c r="D349" s="57" t="s">
        <v>1611</v>
      </c>
      <c r="E349" s="57" t="s">
        <v>2056</v>
      </c>
      <c r="F349" s="57" t="s">
        <v>1522</v>
      </c>
      <c r="G349" s="39" t="s">
        <v>9</v>
      </c>
      <c r="H349" s="39" t="s">
        <v>9</v>
      </c>
      <c r="I349" s="39" t="s">
        <v>9</v>
      </c>
      <c r="J349" s="39" t="s">
        <v>9</v>
      </c>
      <c r="K349" s="39" t="s">
        <v>9</v>
      </c>
      <c r="L349" s="23" t="str">
        <f t="shared" si="68"/>
        <v>De.Canalizações</v>
      </c>
      <c r="M349" s="23" t="str">
        <f t="shared" si="69"/>
        <v>Canalização.de.Esgoto</v>
      </c>
      <c r="N349" s="23" t="str">
        <f t="shared" si="67"/>
        <v>Peça de Esgoto</v>
      </c>
      <c r="O349" s="23" t="str">
        <f t="shared" si="70"/>
        <v>Ace Esgoto</v>
      </c>
      <c r="P349" s="58" t="s">
        <v>1523</v>
      </c>
      <c r="Q349" s="58" t="s">
        <v>1079</v>
      </c>
      <c r="R349" s="19" t="s">
        <v>1080</v>
      </c>
      <c r="S349" s="54" t="s">
        <v>9</v>
      </c>
      <c r="T349" s="46" t="str">
        <f t="shared" si="65"/>
        <v>De Canalizações</v>
      </c>
      <c r="U349" s="46" t="str">
        <f t="shared" si="66"/>
        <v>Canalização de Esgoto</v>
      </c>
      <c r="V349" s="46" t="str">
        <f t="shared" si="66"/>
        <v>Peça de Esgoto</v>
      </c>
      <c r="W349" s="19" t="s">
        <v>459</v>
      </c>
      <c r="X349" s="40" t="str">
        <f t="shared" si="71"/>
        <v>Key-TUB-349</v>
      </c>
      <c r="Y349" s="37" t="s">
        <v>503</v>
      </c>
      <c r="Z349" s="47" t="s">
        <v>9</v>
      </c>
      <c r="AA349" s="37" t="s">
        <v>505</v>
      </c>
      <c r="AB349" s="47" t="s">
        <v>9</v>
      </c>
      <c r="AC349" s="19" t="s">
        <v>1044</v>
      </c>
      <c r="AD349" s="47" t="s">
        <v>9</v>
      </c>
    </row>
    <row r="350" spans="1:30" ht="6.75" customHeight="1" x14ac:dyDescent="0.25">
      <c r="A350" s="38">
        <v>350</v>
      </c>
      <c r="B350" s="1" t="s">
        <v>726</v>
      </c>
      <c r="C350" s="1" t="s">
        <v>761</v>
      </c>
      <c r="D350" s="1" t="s">
        <v>1611</v>
      </c>
      <c r="E350" s="57" t="s">
        <v>2056</v>
      </c>
      <c r="F350" s="57" t="s">
        <v>1513</v>
      </c>
      <c r="G350" s="39" t="s">
        <v>9</v>
      </c>
      <c r="H350" s="39" t="s">
        <v>9</v>
      </c>
      <c r="I350" s="39" t="s">
        <v>9</v>
      </c>
      <c r="J350" s="39" t="s">
        <v>9</v>
      </c>
      <c r="K350" s="39" t="s">
        <v>9</v>
      </c>
      <c r="L350" s="23" t="str">
        <f t="shared" si="68"/>
        <v>De.Canalizações</v>
      </c>
      <c r="M350" s="23" t="str">
        <f t="shared" si="69"/>
        <v>Canalização.de.Esgoto</v>
      </c>
      <c r="N350" s="23" t="str">
        <f t="shared" si="67"/>
        <v>Peça de Esgoto</v>
      </c>
      <c r="O350" s="23" t="str">
        <f t="shared" si="70"/>
        <v>Equ Esgoto</v>
      </c>
      <c r="P350" s="58" t="s">
        <v>1433</v>
      </c>
      <c r="Q350" s="19" t="s">
        <v>1434</v>
      </c>
      <c r="R350" s="19" t="s">
        <v>1435</v>
      </c>
      <c r="S350" s="54" t="s">
        <v>9</v>
      </c>
      <c r="T350" s="46" t="str">
        <f t="shared" si="65"/>
        <v>De Canalizações</v>
      </c>
      <c r="U350" s="46" t="str">
        <f t="shared" si="66"/>
        <v>Canalização de Esgoto</v>
      </c>
      <c r="V350" s="46" t="str">
        <f t="shared" si="66"/>
        <v>Peça de Esgoto</v>
      </c>
      <c r="W350" s="19" t="s">
        <v>459</v>
      </c>
      <c r="X350" s="40" t="str">
        <f t="shared" si="71"/>
        <v>Key-TUB-350</v>
      </c>
      <c r="Y350" s="37" t="s">
        <v>1083</v>
      </c>
      <c r="Z350" s="47" t="s">
        <v>9</v>
      </c>
      <c r="AA350" s="37" t="s">
        <v>1097</v>
      </c>
      <c r="AB350" s="47" t="s">
        <v>9</v>
      </c>
      <c r="AC350" s="19" t="s">
        <v>1148</v>
      </c>
      <c r="AD350" s="47" t="s">
        <v>9</v>
      </c>
    </row>
    <row r="351" spans="1:30" ht="6.75" customHeight="1" x14ac:dyDescent="0.25">
      <c r="A351" s="38">
        <v>351</v>
      </c>
      <c r="B351" s="1" t="s">
        <v>726</v>
      </c>
      <c r="C351" s="1" t="s">
        <v>761</v>
      </c>
      <c r="D351" s="57" t="s">
        <v>1611</v>
      </c>
      <c r="E351" s="57" t="s">
        <v>2056</v>
      </c>
      <c r="F351" s="1" t="s">
        <v>1514</v>
      </c>
      <c r="G351" s="39" t="s">
        <v>9</v>
      </c>
      <c r="H351" s="39" t="s">
        <v>9</v>
      </c>
      <c r="I351" s="39" t="s">
        <v>9</v>
      </c>
      <c r="J351" s="39" t="s">
        <v>9</v>
      </c>
      <c r="K351" s="39" t="s">
        <v>9</v>
      </c>
      <c r="L351" s="23" t="str">
        <f t="shared" si="68"/>
        <v>De.Canalizações</v>
      </c>
      <c r="M351" s="23" t="str">
        <f t="shared" si="69"/>
        <v>Canalização.de.Esgoto</v>
      </c>
      <c r="N351" s="23" t="str">
        <f t="shared" si="67"/>
        <v>Peça de Esgoto</v>
      </c>
      <c r="O351" s="23" t="str">
        <f t="shared" si="70"/>
        <v>Equ Ventilação</v>
      </c>
      <c r="P351" s="58" t="s">
        <v>1443</v>
      </c>
      <c r="Q351" s="58" t="s">
        <v>1444</v>
      </c>
      <c r="R351" s="19" t="s">
        <v>1445</v>
      </c>
      <c r="S351" s="54" t="s">
        <v>9</v>
      </c>
      <c r="T351" s="46" t="str">
        <f t="shared" si="65"/>
        <v>De Canalizações</v>
      </c>
      <c r="U351" s="46" t="str">
        <f t="shared" si="66"/>
        <v>Canalização de Esgoto</v>
      </c>
      <c r="V351" s="46" t="str">
        <f t="shared" si="66"/>
        <v>Peça de Esgoto</v>
      </c>
      <c r="W351" s="19" t="s">
        <v>459</v>
      </c>
      <c r="X351" s="40" t="str">
        <f t="shared" si="71"/>
        <v>Key-TUB-351</v>
      </c>
      <c r="Y351" s="37" t="s">
        <v>1083</v>
      </c>
      <c r="Z351" s="47" t="s">
        <v>9</v>
      </c>
      <c r="AA351" s="37" t="s">
        <v>1097</v>
      </c>
      <c r="AB351" s="47" t="s">
        <v>9</v>
      </c>
      <c r="AC351" s="19" t="s">
        <v>1148</v>
      </c>
      <c r="AD351" s="47" t="s">
        <v>9</v>
      </c>
    </row>
    <row r="352" spans="1:30" ht="6.75" customHeight="1" x14ac:dyDescent="0.25">
      <c r="A352" s="38">
        <v>352</v>
      </c>
      <c r="B352" s="1" t="s">
        <v>726</v>
      </c>
      <c r="C352" s="1" t="s">
        <v>761</v>
      </c>
      <c r="D352" s="57" t="s">
        <v>1611</v>
      </c>
      <c r="E352" s="57" t="s">
        <v>2056</v>
      </c>
      <c r="F352" s="1" t="s">
        <v>1039</v>
      </c>
      <c r="G352" s="39" t="s">
        <v>9</v>
      </c>
      <c r="H352" s="39" t="s">
        <v>9</v>
      </c>
      <c r="I352" s="39" t="s">
        <v>9</v>
      </c>
      <c r="J352" s="39" t="s">
        <v>9</v>
      </c>
      <c r="K352" s="39" t="s">
        <v>9</v>
      </c>
      <c r="L352" s="23" t="str">
        <f t="shared" si="68"/>
        <v>De.Canalizações</v>
      </c>
      <c r="M352" s="23" t="str">
        <f t="shared" si="69"/>
        <v>Canalização.de.Esgoto</v>
      </c>
      <c r="N352" s="23" t="str">
        <f t="shared" si="67"/>
        <v>Peça de Esgoto</v>
      </c>
      <c r="O352" s="23" t="str">
        <f t="shared" si="70"/>
        <v>Tub Esgoto</v>
      </c>
      <c r="P352" s="58" t="s">
        <v>731</v>
      </c>
      <c r="Q352" s="58" t="s">
        <v>732</v>
      </c>
      <c r="R352" s="19" t="s">
        <v>735</v>
      </c>
      <c r="S352" s="54" t="s">
        <v>9</v>
      </c>
      <c r="T352" s="46" t="str">
        <f t="shared" si="65"/>
        <v>De Canalizações</v>
      </c>
      <c r="U352" s="46" t="str">
        <f t="shared" si="66"/>
        <v>Canalização de Esgoto</v>
      </c>
      <c r="V352" s="46" t="str">
        <f t="shared" si="66"/>
        <v>Peça de Esgoto</v>
      </c>
      <c r="W352" s="19" t="s">
        <v>459</v>
      </c>
      <c r="X352" s="40" t="str">
        <f t="shared" si="71"/>
        <v>Key-TUB-352</v>
      </c>
      <c r="Y352" s="19" t="s">
        <v>729</v>
      </c>
      <c r="Z352" s="47" t="s">
        <v>9</v>
      </c>
      <c r="AA352" s="19" t="s">
        <v>730</v>
      </c>
      <c r="AB352" s="47" t="s">
        <v>9</v>
      </c>
      <c r="AC352" s="19" t="s">
        <v>463</v>
      </c>
      <c r="AD352" s="47" t="s">
        <v>9</v>
      </c>
    </row>
    <row r="353" spans="1:30" ht="6.75" customHeight="1" x14ac:dyDescent="0.25">
      <c r="A353" s="38">
        <v>353</v>
      </c>
      <c r="B353" s="1" t="s">
        <v>726</v>
      </c>
      <c r="C353" s="1" t="s">
        <v>761</v>
      </c>
      <c r="D353" s="57" t="s">
        <v>762</v>
      </c>
      <c r="E353" s="57" t="s">
        <v>2057</v>
      </c>
      <c r="F353" s="1" t="s">
        <v>1617</v>
      </c>
      <c r="G353" s="39" t="s">
        <v>9</v>
      </c>
      <c r="H353" s="39" t="s">
        <v>9</v>
      </c>
      <c r="I353" s="39" t="s">
        <v>9</v>
      </c>
      <c r="J353" s="39" t="s">
        <v>9</v>
      </c>
      <c r="K353" s="39" t="s">
        <v>9</v>
      </c>
      <c r="L353" s="23" t="str">
        <f t="shared" si="68"/>
        <v>De.Canalizações</v>
      </c>
      <c r="M353" s="23" t="str">
        <f t="shared" si="69"/>
        <v>Canalização.de.Gás</v>
      </c>
      <c r="N353" s="23" t="str">
        <f t="shared" si="67"/>
        <v>Peça de Gás</v>
      </c>
      <c r="O353" s="23" t="str">
        <f t="shared" si="70"/>
        <v>Ace Gás</v>
      </c>
      <c r="P353" s="58" t="s">
        <v>1078</v>
      </c>
      <c r="Q353" s="58" t="s">
        <v>1079</v>
      </c>
      <c r="R353" s="19" t="s">
        <v>1080</v>
      </c>
      <c r="S353" s="54" t="s">
        <v>9</v>
      </c>
      <c r="T353" s="46" t="str">
        <f t="shared" si="65"/>
        <v>De Canalizações</v>
      </c>
      <c r="U353" s="46" t="str">
        <f t="shared" si="66"/>
        <v>Canalização de Gás</v>
      </c>
      <c r="V353" s="46" t="str">
        <f t="shared" si="66"/>
        <v>Peça de Gás</v>
      </c>
      <c r="W353" s="19" t="s">
        <v>459</v>
      </c>
      <c r="X353" s="40" t="str">
        <f t="shared" si="71"/>
        <v>Key-TUB-353</v>
      </c>
      <c r="Y353" s="37" t="s">
        <v>503</v>
      </c>
      <c r="Z353" s="47" t="s">
        <v>9</v>
      </c>
      <c r="AA353" s="37" t="s">
        <v>505</v>
      </c>
      <c r="AB353" s="47" t="s">
        <v>9</v>
      </c>
      <c r="AC353" s="19" t="s">
        <v>1044</v>
      </c>
      <c r="AD353" s="47" t="s">
        <v>9</v>
      </c>
    </row>
    <row r="354" spans="1:30" ht="6.75" customHeight="1" x14ac:dyDescent="0.25">
      <c r="A354" s="38">
        <v>354</v>
      </c>
      <c r="B354" s="1" t="s">
        <v>726</v>
      </c>
      <c r="C354" s="1" t="s">
        <v>761</v>
      </c>
      <c r="D354" s="57" t="s">
        <v>762</v>
      </c>
      <c r="E354" s="57" t="s">
        <v>2057</v>
      </c>
      <c r="F354" s="1" t="s">
        <v>1505</v>
      </c>
      <c r="G354" s="39" t="s">
        <v>9</v>
      </c>
      <c r="H354" s="39" t="s">
        <v>9</v>
      </c>
      <c r="I354" s="39" t="s">
        <v>9</v>
      </c>
      <c r="J354" s="39" t="s">
        <v>9</v>
      </c>
      <c r="K354" s="39" t="s">
        <v>9</v>
      </c>
      <c r="L354" s="23" t="str">
        <f t="shared" si="68"/>
        <v>De.Canalizações</v>
      </c>
      <c r="M354" s="23" t="str">
        <f t="shared" si="69"/>
        <v>Canalização.de.Gás</v>
      </c>
      <c r="N354" s="23" t="str">
        <f t="shared" si="67"/>
        <v>Peça de Gás</v>
      </c>
      <c r="O354" s="23" t="str">
        <f t="shared" si="70"/>
        <v>Equ Queimador</v>
      </c>
      <c r="P354" s="58" t="s">
        <v>1627</v>
      </c>
      <c r="Q354" s="58" t="s">
        <v>1069</v>
      </c>
      <c r="R354" s="19" t="s">
        <v>1070</v>
      </c>
      <c r="S354" s="54" t="s">
        <v>9</v>
      </c>
      <c r="T354" s="46" t="str">
        <f t="shared" si="65"/>
        <v>De Canalizações</v>
      </c>
      <c r="U354" s="46" t="str">
        <f t="shared" si="66"/>
        <v>Canalização de Gás</v>
      </c>
      <c r="V354" s="46" t="str">
        <f t="shared" si="66"/>
        <v>Peça de Gás</v>
      </c>
      <c r="W354" s="19" t="s">
        <v>459</v>
      </c>
      <c r="X354" s="40" t="str">
        <f t="shared" si="71"/>
        <v>Key-TUB-354</v>
      </c>
      <c r="Y354" s="37" t="s">
        <v>1071</v>
      </c>
      <c r="Z354" s="47" t="s">
        <v>9</v>
      </c>
      <c r="AA354" s="37" t="s">
        <v>1072</v>
      </c>
      <c r="AB354" s="47" t="s">
        <v>9</v>
      </c>
      <c r="AC354" s="19" t="s">
        <v>1044</v>
      </c>
      <c r="AD354" s="47" t="s">
        <v>9</v>
      </c>
    </row>
    <row r="355" spans="1:30" ht="6.75" customHeight="1" x14ac:dyDescent="0.25">
      <c r="A355" s="38">
        <v>355</v>
      </c>
      <c r="B355" s="1" t="s">
        <v>726</v>
      </c>
      <c r="C355" s="1" t="s">
        <v>761</v>
      </c>
      <c r="D355" s="57" t="s">
        <v>762</v>
      </c>
      <c r="E355" s="57" t="s">
        <v>2057</v>
      </c>
      <c r="F355" s="57" t="s">
        <v>1506</v>
      </c>
      <c r="G355" s="39" t="s">
        <v>9</v>
      </c>
      <c r="H355" s="39" t="s">
        <v>9</v>
      </c>
      <c r="I355" s="39" t="s">
        <v>9</v>
      </c>
      <c r="J355" s="39" t="s">
        <v>9</v>
      </c>
      <c r="K355" s="39" t="s">
        <v>9</v>
      </c>
      <c r="L355" s="23" t="str">
        <f t="shared" si="68"/>
        <v>De.Canalizações</v>
      </c>
      <c r="M355" s="23" t="str">
        <f t="shared" si="69"/>
        <v>Canalização.de.Gás</v>
      </c>
      <c r="N355" s="23" t="str">
        <f t="shared" si="67"/>
        <v>Peça de Gás</v>
      </c>
      <c r="O355" s="23" t="str">
        <f t="shared" si="70"/>
        <v>Equ Registro de Gás</v>
      </c>
      <c r="P355" s="58" t="s">
        <v>1625</v>
      </c>
      <c r="Q355" s="58" t="s">
        <v>1073</v>
      </c>
      <c r="R355" s="19" t="s">
        <v>1074</v>
      </c>
      <c r="S355" s="54" t="s">
        <v>9</v>
      </c>
      <c r="T355" s="46" t="str">
        <f t="shared" si="65"/>
        <v>De Canalizações</v>
      </c>
      <c r="U355" s="46" t="str">
        <f t="shared" si="66"/>
        <v>Canalização de Gás</v>
      </c>
      <c r="V355" s="46" t="str">
        <f t="shared" si="66"/>
        <v>Peça de Gás</v>
      </c>
      <c r="W355" s="19" t="s">
        <v>459</v>
      </c>
      <c r="X355" s="40" t="str">
        <f t="shared" si="71"/>
        <v>Key-TUB-355</v>
      </c>
      <c r="Y355" s="37" t="s">
        <v>1071</v>
      </c>
      <c r="Z355" s="47" t="s">
        <v>9</v>
      </c>
      <c r="AA355" s="37" t="s">
        <v>502</v>
      </c>
      <c r="AB355" s="47" t="s">
        <v>9</v>
      </c>
      <c r="AC355" s="19" t="s">
        <v>1044</v>
      </c>
      <c r="AD355" s="47" t="s">
        <v>9</v>
      </c>
    </row>
    <row r="356" spans="1:30" ht="6.75" customHeight="1" x14ac:dyDescent="0.25">
      <c r="A356" s="38">
        <v>356</v>
      </c>
      <c r="B356" s="1" t="s">
        <v>726</v>
      </c>
      <c r="C356" s="1" t="s">
        <v>761</v>
      </c>
      <c r="D356" s="57" t="s">
        <v>762</v>
      </c>
      <c r="E356" s="57" t="s">
        <v>2057</v>
      </c>
      <c r="F356" s="1" t="s">
        <v>1504</v>
      </c>
      <c r="G356" s="39" t="s">
        <v>9</v>
      </c>
      <c r="H356" s="39" t="s">
        <v>9</v>
      </c>
      <c r="I356" s="39" t="s">
        <v>9</v>
      </c>
      <c r="J356" s="39" t="s">
        <v>9</v>
      </c>
      <c r="K356" s="39" t="s">
        <v>9</v>
      </c>
      <c r="L356" s="23" t="str">
        <f t="shared" si="68"/>
        <v>De.Canalizações</v>
      </c>
      <c r="M356" s="23" t="str">
        <f t="shared" si="69"/>
        <v>Canalização.de.Gás</v>
      </c>
      <c r="N356" s="23" t="str">
        <f t="shared" si="67"/>
        <v>Peça de Gás</v>
      </c>
      <c r="O356" s="23" t="str">
        <f t="shared" si="70"/>
        <v>Equ Medidor de Gás</v>
      </c>
      <c r="P356" s="58" t="s">
        <v>1626</v>
      </c>
      <c r="Q356" s="58" t="s">
        <v>1075</v>
      </c>
      <c r="R356" s="19" t="s">
        <v>1076</v>
      </c>
      <c r="S356" s="54" t="s">
        <v>9</v>
      </c>
      <c r="T356" s="46" t="str">
        <f t="shared" si="65"/>
        <v>De Canalizações</v>
      </c>
      <c r="U356" s="46" t="str">
        <f t="shared" si="66"/>
        <v>Canalização de Gás</v>
      </c>
      <c r="V356" s="46" t="str">
        <f t="shared" si="66"/>
        <v>Peça de Gás</v>
      </c>
      <c r="W356" s="19" t="s">
        <v>459</v>
      </c>
      <c r="X356" s="40" t="str">
        <f t="shared" si="71"/>
        <v>Key-TUB-356</v>
      </c>
      <c r="Y356" s="37" t="s">
        <v>1071</v>
      </c>
      <c r="Z356" s="47" t="s">
        <v>9</v>
      </c>
      <c r="AA356" s="37" t="s">
        <v>1077</v>
      </c>
      <c r="AB356" s="47" t="s">
        <v>9</v>
      </c>
      <c r="AC356" s="19" t="s">
        <v>1044</v>
      </c>
      <c r="AD356" s="47" t="s">
        <v>9</v>
      </c>
    </row>
    <row r="357" spans="1:30" ht="6.75" customHeight="1" x14ac:dyDescent="0.25">
      <c r="A357" s="38">
        <v>357</v>
      </c>
      <c r="B357" s="1" t="s">
        <v>726</v>
      </c>
      <c r="C357" s="1" t="s">
        <v>761</v>
      </c>
      <c r="D357" s="57" t="s">
        <v>762</v>
      </c>
      <c r="E357" s="57" t="s">
        <v>2057</v>
      </c>
      <c r="F357" s="1" t="s">
        <v>1500</v>
      </c>
      <c r="G357" s="39" t="s">
        <v>9</v>
      </c>
      <c r="H357" s="39" t="s">
        <v>9</v>
      </c>
      <c r="I357" s="39" t="s">
        <v>9</v>
      </c>
      <c r="J357" s="39" t="s">
        <v>9</v>
      </c>
      <c r="K357" s="39" t="s">
        <v>9</v>
      </c>
      <c r="L357" s="23" t="str">
        <f t="shared" si="68"/>
        <v>De.Canalizações</v>
      </c>
      <c r="M357" s="23" t="str">
        <f t="shared" si="69"/>
        <v>Canalização.de.Gás</v>
      </c>
      <c r="N357" s="23" t="str">
        <f t="shared" si="67"/>
        <v>Peça de Gás</v>
      </c>
      <c r="O357" s="23" t="str">
        <f t="shared" si="70"/>
        <v>Equ Buchão de Gás</v>
      </c>
      <c r="P357" s="58" t="s">
        <v>1624</v>
      </c>
      <c r="Q357" s="58" t="s">
        <v>1081</v>
      </c>
      <c r="R357" s="19" t="s">
        <v>1082</v>
      </c>
      <c r="S357" s="54" t="s">
        <v>9</v>
      </c>
      <c r="T357" s="46" t="str">
        <f t="shared" si="65"/>
        <v>De Canalizações</v>
      </c>
      <c r="U357" s="46" t="str">
        <f t="shared" si="66"/>
        <v>Canalização de Gás</v>
      </c>
      <c r="V357" s="46" t="str">
        <f t="shared" si="66"/>
        <v>Peça de Gás</v>
      </c>
      <c r="W357" s="19" t="s">
        <v>459</v>
      </c>
      <c r="X357" s="40" t="str">
        <f t="shared" si="71"/>
        <v>Key-TUB-357</v>
      </c>
      <c r="Y357" s="37" t="s">
        <v>1083</v>
      </c>
      <c r="Z357" s="47" t="s">
        <v>9</v>
      </c>
      <c r="AA357" s="37" t="s">
        <v>1084</v>
      </c>
      <c r="AB357" s="47" t="s">
        <v>9</v>
      </c>
      <c r="AC357" s="19" t="s">
        <v>1044</v>
      </c>
      <c r="AD357" s="47" t="s">
        <v>9</v>
      </c>
    </row>
    <row r="358" spans="1:30" ht="6.75" customHeight="1" x14ac:dyDescent="0.25">
      <c r="A358" s="38">
        <v>358</v>
      </c>
      <c r="B358" s="1" t="s">
        <v>726</v>
      </c>
      <c r="C358" s="1" t="s">
        <v>761</v>
      </c>
      <c r="D358" s="57" t="s">
        <v>762</v>
      </c>
      <c r="E358" s="57" t="s">
        <v>2057</v>
      </c>
      <c r="F358" s="1" t="s">
        <v>1503</v>
      </c>
      <c r="G358" s="39" t="s">
        <v>9</v>
      </c>
      <c r="H358" s="39" t="s">
        <v>9</v>
      </c>
      <c r="I358" s="39" t="s">
        <v>9</v>
      </c>
      <c r="J358" s="39" t="s">
        <v>9</v>
      </c>
      <c r="K358" s="39" t="s">
        <v>9</v>
      </c>
      <c r="L358" s="23" t="str">
        <f t="shared" si="68"/>
        <v>De.Canalizações</v>
      </c>
      <c r="M358" s="23" t="str">
        <f t="shared" si="69"/>
        <v>Canalização.de.Gás</v>
      </c>
      <c r="N358" s="23" t="str">
        <f t="shared" si="67"/>
        <v>Peça de Gás</v>
      </c>
      <c r="O358" s="23" t="str">
        <f t="shared" si="70"/>
        <v>Equ Cilindro de Gás</v>
      </c>
      <c r="P358" s="58" t="s">
        <v>1628</v>
      </c>
      <c r="Q358" s="58" t="s">
        <v>1085</v>
      </c>
      <c r="R358" s="19" t="s">
        <v>1086</v>
      </c>
      <c r="S358" s="54" t="s">
        <v>9</v>
      </c>
      <c r="T358" s="46" t="str">
        <f t="shared" si="65"/>
        <v>De Canalizações</v>
      </c>
      <c r="U358" s="46" t="str">
        <f t="shared" si="66"/>
        <v>Canalização de Gás</v>
      </c>
      <c r="V358" s="46" t="str">
        <f t="shared" si="66"/>
        <v>Peça de Gás</v>
      </c>
      <c r="W358" s="19" t="s">
        <v>459</v>
      </c>
      <c r="X358" s="40" t="str">
        <f t="shared" si="71"/>
        <v>Key-TUB-358</v>
      </c>
      <c r="Y358" s="37" t="s">
        <v>1083</v>
      </c>
      <c r="Z358" s="47" t="s">
        <v>9</v>
      </c>
      <c r="AA358" s="37" t="s">
        <v>1084</v>
      </c>
      <c r="AB358" s="47" t="s">
        <v>9</v>
      </c>
      <c r="AC358" s="19" t="s">
        <v>1044</v>
      </c>
      <c r="AD358" s="47" t="s">
        <v>9</v>
      </c>
    </row>
    <row r="359" spans="1:30" ht="6.75" customHeight="1" x14ac:dyDescent="0.25">
      <c r="A359" s="38">
        <v>359</v>
      </c>
      <c r="B359" s="1" t="s">
        <v>726</v>
      </c>
      <c r="C359" s="1" t="s">
        <v>761</v>
      </c>
      <c r="D359" s="1" t="s">
        <v>762</v>
      </c>
      <c r="E359" s="57" t="s">
        <v>2057</v>
      </c>
      <c r="F359" s="57" t="s">
        <v>1507</v>
      </c>
      <c r="G359" s="39" t="s">
        <v>9</v>
      </c>
      <c r="H359" s="39" t="s">
        <v>9</v>
      </c>
      <c r="I359" s="39" t="s">
        <v>9</v>
      </c>
      <c r="J359" s="39" t="s">
        <v>9</v>
      </c>
      <c r="K359" s="39" t="s">
        <v>9</v>
      </c>
      <c r="L359" s="23" t="str">
        <f t="shared" si="68"/>
        <v>De.Canalizações</v>
      </c>
      <c r="M359" s="23" t="str">
        <f t="shared" si="69"/>
        <v>Canalização.de.Gás</v>
      </c>
      <c r="N359" s="23" t="str">
        <f t="shared" si="67"/>
        <v>Peça de Gás</v>
      </c>
      <c r="O359" s="23" t="str">
        <f t="shared" si="70"/>
        <v>Equ Tanque de Gás</v>
      </c>
      <c r="P359" s="58" t="s">
        <v>1623</v>
      </c>
      <c r="Q359" s="58" t="s">
        <v>1087</v>
      </c>
      <c r="R359" s="19" t="s">
        <v>1088</v>
      </c>
      <c r="S359" s="54" t="s">
        <v>9</v>
      </c>
      <c r="T359" s="46" t="str">
        <f t="shared" si="65"/>
        <v>De Canalizações</v>
      </c>
      <c r="U359" s="46" t="str">
        <f t="shared" si="66"/>
        <v>Canalização de Gás</v>
      </c>
      <c r="V359" s="46" t="str">
        <f t="shared" si="66"/>
        <v>Peça de Gás</v>
      </c>
      <c r="W359" s="19" t="s">
        <v>459</v>
      </c>
      <c r="X359" s="40" t="str">
        <f t="shared" si="71"/>
        <v>Key-TUB-359</v>
      </c>
      <c r="Y359" s="37" t="s">
        <v>1083</v>
      </c>
      <c r="Z359" s="47" t="s">
        <v>9</v>
      </c>
      <c r="AA359" s="37" t="s">
        <v>1084</v>
      </c>
      <c r="AB359" s="47" t="s">
        <v>9</v>
      </c>
      <c r="AC359" s="19" t="s">
        <v>1044</v>
      </c>
      <c r="AD359" s="47" t="s">
        <v>9</v>
      </c>
    </row>
    <row r="360" spans="1:30" ht="6.75" customHeight="1" x14ac:dyDescent="0.25">
      <c r="A360" s="38">
        <v>360</v>
      </c>
      <c r="B360" s="1" t="s">
        <v>726</v>
      </c>
      <c r="C360" s="1" t="s">
        <v>761</v>
      </c>
      <c r="D360" s="1" t="s">
        <v>762</v>
      </c>
      <c r="E360" s="57" t="s">
        <v>2057</v>
      </c>
      <c r="F360" s="57" t="s">
        <v>1499</v>
      </c>
      <c r="G360" s="39" t="s">
        <v>9</v>
      </c>
      <c r="H360" s="39" t="s">
        <v>9</v>
      </c>
      <c r="I360" s="39" t="s">
        <v>9</v>
      </c>
      <c r="J360" s="39" t="s">
        <v>9</v>
      </c>
      <c r="K360" s="39" t="s">
        <v>9</v>
      </c>
      <c r="L360" s="23" t="str">
        <f t="shared" si="68"/>
        <v>De.Canalizações</v>
      </c>
      <c r="M360" s="23" t="str">
        <f t="shared" si="69"/>
        <v>Canalização.de.Gás</v>
      </c>
      <c r="N360" s="23" t="str">
        <f t="shared" si="67"/>
        <v>Peça de Gás</v>
      </c>
      <c r="O360" s="23" t="str">
        <f t="shared" si="70"/>
        <v>Equ Aquecedor</v>
      </c>
      <c r="P360" s="58" t="s">
        <v>1629</v>
      </c>
      <c r="Q360" s="58" t="s">
        <v>1089</v>
      </c>
      <c r="R360" s="19" t="s">
        <v>1090</v>
      </c>
      <c r="S360" s="54" t="s">
        <v>9</v>
      </c>
      <c r="T360" s="46" t="str">
        <f t="shared" si="65"/>
        <v>De Canalizações</v>
      </c>
      <c r="U360" s="46" t="str">
        <f t="shared" si="66"/>
        <v>Canalização de Gás</v>
      </c>
      <c r="V360" s="46" t="str">
        <f t="shared" si="66"/>
        <v>Peça de Gás</v>
      </c>
      <c r="W360" s="19" t="s">
        <v>459</v>
      </c>
      <c r="X360" s="40" t="str">
        <f t="shared" si="71"/>
        <v>Key-TUB-360</v>
      </c>
      <c r="Y360" s="37" t="s">
        <v>1071</v>
      </c>
      <c r="Z360" s="47" t="s">
        <v>9</v>
      </c>
      <c r="AA360" s="37" t="s">
        <v>1091</v>
      </c>
      <c r="AB360" s="47" t="s">
        <v>9</v>
      </c>
      <c r="AC360" s="19" t="s">
        <v>1044</v>
      </c>
      <c r="AD360" s="47" t="s">
        <v>9</v>
      </c>
    </row>
    <row r="361" spans="1:30" ht="6.75" customHeight="1" x14ac:dyDescent="0.25">
      <c r="A361" s="38">
        <v>361</v>
      </c>
      <c r="B361" s="1" t="s">
        <v>726</v>
      </c>
      <c r="C361" s="1" t="s">
        <v>761</v>
      </c>
      <c r="D361" s="1" t="s">
        <v>762</v>
      </c>
      <c r="E361" s="57" t="s">
        <v>2057</v>
      </c>
      <c r="F361" s="57" t="s">
        <v>1501</v>
      </c>
      <c r="G361" s="39" t="s">
        <v>9</v>
      </c>
      <c r="H361" s="39" t="s">
        <v>9</v>
      </c>
      <c r="I361" s="39" t="s">
        <v>9</v>
      </c>
      <c r="J361" s="39" t="s">
        <v>9</v>
      </c>
      <c r="K361" s="39" t="s">
        <v>9</v>
      </c>
      <c r="L361" s="23" t="str">
        <f t="shared" si="68"/>
        <v>De.Canalizações</v>
      </c>
      <c r="M361" s="23" t="str">
        <f t="shared" si="69"/>
        <v>Canalização.de.Gás</v>
      </c>
      <c r="N361" s="23" t="str">
        <f t="shared" si="67"/>
        <v>Peça de Gás</v>
      </c>
      <c r="O361" s="23" t="str">
        <f t="shared" si="70"/>
        <v>Equ Boiler</v>
      </c>
      <c r="P361" s="58" t="s">
        <v>1622</v>
      </c>
      <c r="Q361" s="58" t="s">
        <v>1092</v>
      </c>
      <c r="R361" s="19" t="s">
        <v>1093</v>
      </c>
      <c r="S361" s="54" t="s">
        <v>9</v>
      </c>
      <c r="T361" s="46" t="str">
        <f t="shared" si="65"/>
        <v>De Canalizações</v>
      </c>
      <c r="U361" s="46" t="str">
        <f t="shared" si="66"/>
        <v>Canalização de Gás</v>
      </c>
      <c r="V361" s="46" t="str">
        <f t="shared" si="66"/>
        <v>Peça de Gás</v>
      </c>
      <c r="W361" s="19" t="s">
        <v>459</v>
      </c>
      <c r="X361" s="40" t="str">
        <f t="shared" si="71"/>
        <v>Key-TUB-361</v>
      </c>
      <c r="Y361" s="37" t="s">
        <v>1071</v>
      </c>
      <c r="Z361" s="47" t="s">
        <v>9</v>
      </c>
      <c r="AA361" s="37" t="s">
        <v>1091</v>
      </c>
      <c r="AB361" s="47" t="s">
        <v>9</v>
      </c>
      <c r="AC361" s="19" t="s">
        <v>1044</v>
      </c>
      <c r="AD361" s="47" t="s">
        <v>9</v>
      </c>
    </row>
    <row r="362" spans="1:30" ht="6.75" customHeight="1" x14ac:dyDescent="0.25">
      <c r="A362" s="38">
        <v>362</v>
      </c>
      <c r="B362" s="1" t="s">
        <v>726</v>
      </c>
      <c r="C362" s="1" t="s">
        <v>761</v>
      </c>
      <c r="D362" s="1" t="s">
        <v>762</v>
      </c>
      <c r="E362" s="57" t="s">
        <v>2057</v>
      </c>
      <c r="F362" s="57" t="s">
        <v>1502</v>
      </c>
      <c r="G362" s="39" t="s">
        <v>9</v>
      </c>
      <c r="H362" s="39" t="s">
        <v>9</v>
      </c>
      <c r="I362" s="39" t="s">
        <v>9</v>
      </c>
      <c r="J362" s="39" t="s">
        <v>9</v>
      </c>
      <c r="K362" s="39" t="s">
        <v>9</v>
      </c>
      <c r="L362" s="23" t="str">
        <f t="shared" si="68"/>
        <v>De.Canalizações</v>
      </c>
      <c r="M362" s="23" t="str">
        <f t="shared" si="69"/>
        <v>Canalização.de.Gás</v>
      </c>
      <c r="N362" s="23" t="str">
        <f t="shared" si="67"/>
        <v>Peça de Gás</v>
      </c>
      <c r="O362" s="23" t="str">
        <f t="shared" si="70"/>
        <v>Equ Caldeira</v>
      </c>
      <c r="P362" s="58" t="s">
        <v>1630</v>
      </c>
      <c r="Q362" s="58" t="s">
        <v>1094</v>
      </c>
      <c r="R362" s="19" t="s">
        <v>1095</v>
      </c>
      <c r="S362" s="54" t="s">
        <v>9</v>
      </c>
      <c r="T362" s="46" t="str">
        <f t="shared" si="65"/>
        <v>De Canalizações</v>
      </c>
      <c r="U362" s="46" t="str">
        <f t="shared" si="66"/>
        <v>Canalização de Gás</v>
      </c>
      <c r="V362" s="46" t="str">
        <f t="shared" si="66"/>
        <v>Peça de Gás</v>
      </c>
      <c r="W362" s="19" t="s">
        <v>459</v>
      </c>
      <c r="X362" s="40" t="str">
        <f t="shared" si="71"/>
        <v>Key-TUB-362</v>
      </c>
      <c r="Y362" s="37" t="s">
        <v>1071</v>
      </c>
      <c r="Z362" s="47" t="s">
        <v>9</v>
      </c>
      <c r="AA362" s="37" t="s">
        <v>1096</v>
      </c>
      <c r="AB362" s="47" t="s">
        <v>9</v>
      </c>
      <c r="AC362" s="19" t="s">
        <v>1044</v>
      </c>
      <c r="AD362" s="47" t="s">
        <v>9</v>
      </c>
    </row>
    <row r="363" spans="1:30" ht="6.75" customHeight="1" x14ac:dyDescent="0.25">
      <c r="A363" s="38">
        <v>363</v>
      </c>
      <c r="B363" s="1" t="s">
        <v>726</v>
      </c>
      <c r="C363" s="1" t="s">
        <v>761</v>
      </c>
      <c r="D363" s="1" t="s">
        <v>762</v>
      </c>
      <c r="E363" s="57" t="s">
        <v>2057</v>
      </c>
      <c r="F363" s="57" t="s">
        <v>727</v>
      </c>
      <c r="G363" s="39" t="s">
        <v>9</v>
      </c>
      <c r="H363" s="39" t="s">
        <v>9</v>
      </c>
      <c r="I363" s="39" t="s">
        <v>9</v>
      </c>
      <c r="J363" s="39" t="s">
        <v>9</v>
      </c>
      <c r="K363" s="39" t="s">
        <v>9</v>
      </c>
      <c r="L363" s="23" t="str">
        <f t="shared" si="68"/>
        <v>De.Canalizações</v>
      </c>
      <c r="M363" s="23" t="str">
        <f t="shared" si="69"/>
        <v>Canalização.de.Gás</v>
      </c>
      <c r="N363" s="23" t="str">
        <f t="shared" si="67"/>
        <v>Peça de Gás</v>
      </c>
      <c r="O363" s="23" t="str">
        <f t="shared" si="70"/>
        <v>Tub Gás</v>
      </c>
      <c r="P363" s="58" t="s">
        <v>1621</v>
      </c>
      <c r="Q363" s="58" t="s">
        <v>1467</v>
      </c>
      <c r="R363" s="19" t="s">
        <v>1471</v>
      </c>
      <c r="S363" s="54" t="s">
        <v>9</v>
      </c>
      <c r="T363" s="46" t="str">
        <f t="shared" si="65"/>
        <v>De Canalizações</v>
      </c>
      <c r="U363" s="46" t="str">
        <f t="shared" si="66"/>
        <v>Canalização de Gás</v>
      </c>
      <c r="V363" s="46" t="str">
        <f t="shared" si="66"/>
        <v>Peça de Gás</v>
      </c>
      <c r="W363" s="19" t="s">
        <v>459</v>
      </c>
      <c r="X363" s="40" t="str">
        <f t="shared" si="71"/>
        <v>Key-TUB-363</v>
      </c>
      <c r="Y363" s="37" t="s">
        <v>1083</v>
      </c>
      <c r="Z363" s="47" t="s">
        <v>9</v>
      </c>
      <c r="AA363" s="37" t="s">
        <v>1097</v>
      </c>
      <c r="AB363" s="47" t="s">
        <v>9</v>
      </c>
      <c r="AC363" s="19" t="s">
        <v>1044</v>
      </c>
      <c r="AD363" s="47" t="s">
        <v>9</v>
      </c>
    </row>
    <row r="364" spans="1:30" ht="6.75" customHeight="1" x14ac:dyDescent="0.25">
      <c r="A364" s="38">
        <v>364</v>
      </c>
      <c r="B364" s="1" t="s">
        <v>726</v>
      </c>
      <c r="C364" s="1" t="s">
        <v>761</v>
      </c>
      <c r="D364" s="1" t="s">
        <v>1615</v>
      </c>
      <c r="E364" s="57" t="s">
        <v>2058</v>
      </c>
      <c r="F364" s="57" t="s">
        <v>1616</v>
      </c>
      <c r="G364" s="39" t="s">
        <v>9</v>
      </c>
      <c r="H364" s="39" t="s">
        <v>9</v>
      </c>
      <c r="I364" s="39" t="s">
        <v>9</v>
      </c>
      <c r="J364" s="39" t="s">
        <v>9</v>
      </c>
      <c r="K364" s="39" t="s">
        <v>9</v>
      </c>
      <c r="L364" s="23" t="str">
        <f t="shared" si="68"/>
        <v>De.Canalizações</v>
      </c>
      <c r="M364" s="23" t="str">
        <f t="shared" si="69"/>
        <v>Canalização.de.Gás.Hospitalar</v>
      </c>
      <c r="N364" s="23" t="str">
        <f t="shared" si="67"/>
        <v>Peça de Gás Hospitalar</v>
      </c>
      <c r="O364" s="23" t="str">
        <f t="shared" si="70"/>
        <v>Ace Gás Hospitalar</v>
      </c>
      <c r="P364" s="58" t="s">
        <v>1620</v>
      </c>
      <c r="Q364" s="58" t="s">
        <v>1079</v>
      </c>
      <c r="R364" s="19" t="s">
        <v>1080</v>
      </c>
      <c r="S364" s="54" t="s">
        <v>9</v>
      </c>
      <c r="T364" s="46" t="str">
        <f t="shared" si="65"/>
        <v>De Canalizações</v>
      </c>
      <c r="U364" s="46" t="str">
        <f t="shared" si="66"/>
        <v>Canalização de Gás Hospitalar</v>
      </c>
      <c r="V364" s="46" t="str">
        <f t="shared" si="66"/>
        <v>Peça de Gás Hospitalar</v>
      </c>
      <c r="W364" s="19" t="s">
        <v>459</v>
      </c>
      <c r="X364" s="40" t="str">
        <f t="shared" si="71"/>
        <v>Key-TUB-364</v>
      </c>
      <c r="Y364" s="37" t="s">
        <v>503</v>
      </c>
      <c r="Z364" s="47" t="s">
        <v>9</v>
      </c>
      <c r="AA364" s="37" t="s">
        <v>505</v>
      </c>
      <c r="AB364" s="47" t="s">
        <v>9</v>
      </c>
      <c r="AC364" s="19" t="s">
        <v>1044</v>
      </c>
      <c r="AD364" s="47" t="s">
        <v>9</v>
      </c>
    </row>
    <row r="365" spans="1:30" ht="6.75" customHeight="1" x14ac:dyDescent="0.25">
      <c r="A365" s="38">
        <v>365</v>
      </c>
      <c r="B365" s="1" t="s">
        <v>726</v>
      </c>
      <c r="C365" s="1" t="s">
        <v>761</v>
      </c>
      <c r="D365" s="1" t="s">
        <v>1615</v>
      </c>
      <c r="E365" s="57" t="s">
        <v>2058</v>
      </c>
      <c r="F365" s="57" t="s">
        <v>1508</v>
      </c>
      <c r="G365" s="39" t="s">
        <v>9</v>
      </c>
      <c r="H365" s="39" t="s">
        <v>9</v>
      </c>
      <c r="I365" s="39" t="s">
        <v>9</v>
      </c>
      <c r="J365" s="39" t="s">
        <v>9</v>
      </c>
      <c r="K365" s="39" t="s">
        <v>9</v>
      </c>
      <c r="L365" s="23" t="str">
        <f t="shared" si="68"/>
        <v>De.Canalizações</v>
      </c>
      <c r="M365" s="23" t="str">
        <f t="shared" si="69"/>
        <v>Canalização.de.Gás.Hospitalar</v>
      </c>
      <c r="N365" s="23" t="str">
        <f t="shared" si="67"/>
        <v>Peça de Gás Hospitalar</v>
      </c>
      <c r="O365" s="23" t="str">
        <f t="shared" si="70"/>
        <v>Equ Hospitalar Aquecedor</v>
      </c>
      <c r="P365" s="58" t="s">
        <v>1631</v>
      </c>
      <c r="Q365" s="58" t="s">
        <v>1098</v>
      </c>
      <c r="R365" s="19" t="s">
        <v>1099</v>
      </c>
      <c r="S365" s="54" t="s">
        <v>9</v>
      </c>
      <c r="T365" s="46" t="str">
        <f t="shared" si="65"/>
        <v>De Canalizações</v>
      </c>
      <c r="U365" s="46" t="str">
        <f t="shared" si="66"/>
        <v>Canalização de Gás Hospitalar</v>
      </c>
      <c r="V365" s="46" t="str">
        <f t="shared" si="66"/>
        <v>Peça de Gás Hospitalar</v>
      </c>
      <c r="W365" s="19" t="s">
        <v>459</v>
      </c>
      <c r="X365" s="40" t="str">
        <f t="shared" si="71"/>
        <v>Key-TUB-365</v>
      </c>
      <c r="Y365" s="37" t="s">
        <v>1071</v>
      </c>
      <c r="Z365" s="47" t="s">
        <v>9</v>
      </c>
      <c r="AA365" s="37" t="s">
        <v>1091</v>
      </c>
      <c r="AB365" s="47" t="s">
        <v>9</v>
      </c>
      <c r="AC365" s="19" t="s">
        <v>1049</v>
      </c>
      <c r="AD365" s="47" t="s">
        <v>9</v>
      </c>
    </row>
    <row r="366" spans="1:30" ht="6.75" customHeight="1" x14ac:dyDescent="0.25">
      <c r="A366" s="38">
        <v>366</v>
      </c>
      <c r="B366" s="1" t="s">
        <v>726</v>
      </c>
      <c r="C366" s="1" t="s">
        <v>761</v>
      </c>
      <c r="D366" s="1" t="s">
        <v>1615</v>
      </c>
      <c r="E366" s="57" t="s">
        <v>2058</v>
      </c>
      <c r="F366" s="57" t="s">
        <v>1509</v>
      </c>
      <c r="G366" s="39" t="s">
        <v>9</v>
      </c>
      <c r="H366" s="39" t="s">
        <v>9</v>
      </c>
      <c r="I366" s="39" t="s">
        <v>9</v>
      </c>
      <c r="J366" s="39" t="s">
        <v>9</v>
      </c>
      <c r="K366" s="39" t="s">
        <v>9</v>
      </c>
      <c r="L366" s="23" t="str">
        <f t="shared" si="68"/>
        <v>De.Canalizações</v>
      </c>
      <c r="M366" s="23" t="str">
        <f t="shared" si="69"/>
        <v>Canalização.de.Gás.Hospitalar</v>
      </c>
      <c r="N366" s="23" t="str">
        <f t="shared" si="67"/>
        <v>Peça de Gás Hospitalar</v>
      </c>
      <c r="O366" s="23" t="str">
        <f t="shared" si="70"/>
        <v>Equ Hospitalar Boiler</v>
      </c>
      <c r="P366" s="58" t="s">
        <v>1632</v>
      </c>
      <c r="Q366" s="58" t="s">
        <v>1100</v>
      </c>
      <c r="R366" s="19" t="s">
        <v>1101</v>
      </c>
      <c r="S366" s="54" t="s">
        <v>9</v>
      </c>
      <c r="T366" s="46" t="str">
        <f t="shared" ref="T366:T389" si="72">SUBSTITUTE(C366, ".", " ")</f>
        <v>De Canalizações</v>
      </c>
      <c r="U366" s="46" t="str">
        <f t="shared" ref="U366:V389" si="73">SUBSTITUTE(D366, ".", " ")</f>
        <v>Canalização de Gás Hospitalar</v>
      </c>
      <c r="V366" s="46" t="str">
        <f t="shared" si="73"/>
        <v>Peça de Gás Hospitalar</v>
      </c>
      <c r="W366" s="19" t="s">
        <v>459</v>
      </c>
      <c r="X366" s="40" t="str">
        <f t="shared" si="71"/>
        <v>Key-TUB-366</v>
      </c>
      <c r="Y366" s="37" t="s">
        <v>1071</v>
      </c>
      <c r="Z366" s="47" t="s">
        <v>9</v>
      </c>
      <c r="AA366" s="37" t="s">
        <v>1091</v>
      </c>
      <c r="AB366" s="47" t="s">
        <v>9</v>
      </c>
      <c r="AC366" s="19" t="s">
        <v>1049</v>
      </c>
      <c r="AD366" s="47" t="s">
        <v>9</v>
      </c>
    </row>
    <row r="367" spans="1:30" ht="6.75" customHeight="1" x14ac:dyDescent="0.25">
      <c r="A367" s="38">
        <v>367</v>
      </c>
      <c r="B367" s="1" t="s">
        <v>726</v>
      </c>
      <c r="C367" s="1" t="s">
        <v>761</v>
      </c>
      <c r="D367" s="1" t="s">
        <v>1615</v>
      </c>
      <c r="E367" s="57" t="s">
        <v>2058</v>
      </c>
      <c r="F367" s="57" t="s">
        <v>1510</v>
      </c>
      <c r="G367" s="39" t="s">
        <v>9</v>
      </c>
      <c r="H367" s="39" t="s">
        <v>9</v>
      </c>
      <c r="I367" s="39" t="s">
        <v>9</v>
      </c>
      <c r="J367" s="39" t="s">
        <v>9</v>
      </c>
      <c r="K367" s="39" t="s">
        <v>9</v>
      </c>
      <c r="L367" s="23" t="str">
        <f t="shared" si="68"/>
        <v>De.Canalizações</v>
      </c>
      <c r="M367" s="23" t="str">
        <f t="shared" si="69"/>
        <v>Canalização.de.Gás.Hospitalar</v>
      </c>
      <c r="N367" s="23" t="str">
        <f t="shared" si="67"/>
        <v>Peça de Gás Hospitalar</v>
      </c>
      <c r="O367" s="23" t="str">
        <f t="shared" si="70"/>
        <v>Equ Hospitalar Caldeira</v>
      </c>
      <c r="P367" s="58" t="s">
        <v>1633</v>
      </c>
      <c r="Q367" s="58" t="s">
        <v>1102</v>
      </c>
      <c r="R367" s="19" t="s">
        <v>1103</v>
      </c>
      <c r="S367" s="54" t="s">
        <v>9</v>
      </c>
      <c r="T367" s="46" t="str">
        <f t="shared" si="72"/>
        <v>De Canalizações</v>
      </c>
      <c r="U367" s="46" t="str">
        <f t="shared" si="73"/>
        <v>Canalização de Gás Hospitalar</v>
      </c>
      <c r="V367" s="46" t="str">
        <f t="shared" si="73"/>
        <v>Peça de Gás Hospitalar</v>
      </c>
      <c r="W367" s="19" t="s">
        <v>459</v>
      </c>
      <c r="X367" s="40" t="str">
        <f t="shared" si="71"/>
        <v>Key-TUB-367</v>
      </c>
      <c r="Y367" s="37" t="s">
        <v>1071</v>
      </c>
      <c r="Z367" s="47" t="s">
        <v>9</v>
      </c>
      <c r="AA367" s="37" t="s">
        <v>1096</v>
      </c>
      <c r="AB367" s="47" t="s">
        <v>9</v>
      </c>
      <c r="AC367" s="19" t="s">
        <v>1049</v>
      </c>
      <c r="AD367" s="47" t="s">
        <v>9</v>
      </c>
    </row>
    <row r="368" spans="1:30" ht="6.75" customHeight="1" x14ac:dyDescent="0.25">
      <c r="A368" s="38">
        <v>368</v>
      </c>
      <c r="B368" s="1" t="s">
        <v>726</v>
      </c>
      <c r="C368" s="1" t="s">
        <v>761</v>
      </c>
      <c r="D368" s="1" t="s">
        <v>1615</v>
      </c>
      <c r="E368" s="57" t="s">
        <v>2058</v>
      </c>
      <c r="F368" s="57" t="s">
        <v>1524</v>
      </c>
      <c r="G368" s="39" t="s">
        <v>9</v>
      </c>
      <c r="H368" s="39" t="s">
        <v>9</v>
      </c>
      <c r="I368" s="39" t="s">
        <v>9</v>
      </c>
      <c r="J368" s="39" t="s">
        <v>9</v>
      </c>
      <c r="K368" s="39" t="s">
        <v>9</v>
      </c>
      <c r="L368" s="23" t="str">
        <f t="shared" si="68"/>
        <v>De.Canalizações</v>
      </c>
      <c r="M368" s="23" t="str">
        <f t="shared" si="69"/>
        <v>Canalização.de.Gás.Hospitalar</v>
      </c>
      <c r="N368" s="23" t="str">
        <f t="shared" si="67"/>
        <v>Peça de Gás Hospitalar</v>
      </c>
      <c r="O368" s="23" t="str">
        <f t="shared" si="70"/>
        <v>Tub Hospitalar Gás</v>
      </c>
      <c r="P368" s="58" t="s">
        <v>1634</v>
      </c>
      <c r="Q368" s="58" t="s">
        <v>1466</v>
      </c>
      <c r="R368" s="19" t="s">
        <v>1470</v>
      </c>
      <c r="S368" s="54" t="s">
        <v>9</v>
      </c>
      <c r="T368" s="46" t="str">
        <f t="shared" si="72"/>
        <v>De Canalizações</v>
      </c>
      <c r="U368" s="46" t="str">
        <f t="shared" si="73"/>
        <v>Canalização de Gás Hospitalar</v>
      </c>
      <c r="V368" s="46" t="str">
        <f t="shared" si="73"/>
        <v>Peça de Gás Hospitalar</v>
      </c>
      <c r="W368" s="19" t="s">
        <v>459</v>
      </c>
      <c r="X368" s="40" t="str">
        <f t="shared" si="71"/>
        <v>Key-TUB-368</v>
      </c>
      <c r="Y368" s="37" t="s">
        <v>1083</v>
      </c>
      <c r="Z368" s="47" t="s">
        <v>9</v>
      </c>
      <c r="AA368" s="37" t="s">
        <v>1097</v>
      </c>
      <c r="AB368" s="47" t="s">
        <v>9</v>
      </c>
      <c r="AC368" s="19" t="s">
        <v>1049</v>
      </c>
      <c r="AD368" s="47" t="s">
        <v>9</v>
      </c>
    </row>
    <row r="369" spans="1:30" ht="6.75" customHeight="1" x14ac:dyDescent="0.25">
      <c r="A369" s="38">
        <v>369</v>
      </c>
      <c r="B369" s="1" t="s">
        <v>726</v>
      </c>
      <c r="C369" s="1" t="s">
        <v>761</v>
      </c>
      <c r="D369" s="1" t="s">
        <v>1610</v>
      </c>
      <c r="E369" s="57" t="s">
        <v>2059</v>
      </c>
      <c r="F369" s="57" t="s">
        <v>1511</v>
      </c>
      <c r="G369" s="39" t="s">
        <v>9</v>
      </c>
      <c r="H369" s="39" t="s">
        <v>9</v>
      </c>
      <c r="I369" s="39" t="s">
        <v>9</v>
      </c>
      <c r="J369" s="39" t="s">
        <v>9</v>
      </c>
      <c r="K369" s="39" t="s">
        <v>9</v>
      </c>
      <c r="L369" s="23" t="str">
        <f t="shared" si="68"/>
        <v>De.Canalizações</v>
      </c>
      <c r="M369" s="23" t="str">
        <f t="shared" si="69"/>
        <v>Canalização.de.Hidráulica</v>
      </c>
      <c r="N369" s="23" t="str">
        <f t="shared" si="67"/>
        <v>Peça de Hidráulica</v>
      </c>
      <c r="O369" s="23" t="str">
        <f t="shared" si="70"/>
        <v>Ace Hidráulico</v>
      </c>
      <c r="P369" s="58" t="s">
        <v>1479</v>
      </c>
      <c r="Q369" s="58" t="s">
        <v>1618</v>
      </c>
      <c r="R369" s="19" t="s">
        <v>1619</v>
      </c>
      <c r="S369" s="54" t="s">
        <v>9</v>
      </c>
      <c r="T369" s="46" t="str">
        <f t="shared" si="72"/>
        <v>De Canalizações</v>
      </c>
      <c r="U369" s="46" t="str">
        <f t="shared" si="73"/>
        <v>Canalização de Hidráulica</v>
      </c>
      <c r="V369" s="46" t="str">
        <f t="shared" si="73"/>
        <v>Peça de Hidráulica</v>
      </c>
      <c r="W369" s="19" t="s">
        <v>459</v>
      </c>
      <c r="X369" s="40" t="str">
        <f t="shared" si="71"/>
        <v>Key-TUB-369</v>
      </c>
      <c r="Y369" s="37" t="s">
        <v>503</v>
      </c>
      <c r="Z369" s="47" t="s">
        <v>9</v>
      </c>
      <c r="AA369" s="37" t="s">
        <v>505</v>
      </c>
      <c r="AB369" s="47" t="s">
        <v>9</v>
      </c>
      <c r="AC369" s="19" t="s">
        <v>1044</v>
      </c>
      <c r="AD369" s="47" t="s">
        <v>9</v>
      </c>
    </row>
    <row r="370" spans="1:30" ht="6.75" customHeight="1" x14ac:dyDescent="0.25">
      <c r="A370" s="38">
        <v>370</v>
      </c>
      <c r="B370" s="1" t="s">
        <v>726</v>
      </c>
      <c r="C370" s="1" t="s">
        <v>761</v>
      </c>
      <c r="D370" s="1" t="s">
        <v>1610</v>
      </c>
      <c r="E370" s="57" t="s">
        <v>2059</v>
      </c>
      <c r="F370" s="57" t="s">
        <v>1496</v>
      </c>
      <c r="G370" s="39" t="s">
        <v>9</v>
      </c>
      <c r="H370" s="39" t="s">
        <v>9</v>
      </c>
      <c r="I370" s="39" t="s">
        <v>9</v>
      </c>
      <c r="J370" s="39" t="s">
        <v>9</v>
      </c>
      <c r="K370" s="39" t="s">
        <v>9</v>
      </c>
      <c r="L370" s="23" t="str">
        <f t="shared" si="68"/>
        <v>De.Canalizações</v>
      </c>
      <c r="M370" s="23" t="str">
        <f t="shared" si="69"/>
        <v>Canalização.de.Hidráulica</v>
      </c>
      <c r="N370" s="23" t="str">
        <f t="shared" si="67"/>
        <v>Peça de Hidráulica</v>
      </c>
      <c r="O370" s="23" t="str">
        <f t="shared" si="70"/>
        <v>Equ AF</v>
      </c>
      <c r="P370" s="58" t="s">
        <v>1635</v>
      </c>
      <c r="Q370" s="58" t="s">
        <v>1436</v>
      </c>
      <c r="R370" s="19" t="s">
        <v>1437</v>
      </c>
      <c r="S370" s="54" t="s">
        <v>9</v>
      </c>
      <c r="T370" s="46" t="str">
        <f t="shared" si="72"/>
        <v>De Canalizações</v>
      </c>
      <c r="U370" s="46" t="str">
        <f t="shared" si="73"/>
        <v>Canalização de Hidráulica</v>
      </c>
      <c r="V370" s="46" t="str">
        <f t="shared" si="73"/>
        <v>Peça de Hidráulica</v>
      </c>
      <c r="W370" s="19" t="s">
        <v>459</v>
      </c>
      <c r="X370" s="40" t="str">
        <f t="shared" si="71"/>
        <v>Key-TUB-370</v>
      </c>
      <c r="Y370" s="37" t="s">
        <v>1083</v>
      </c>
      <c r="Z370" s="47" t="s">
        <v>9</v>
      </c>
      <c r="AA370" s="37" t="s">
        <v>1097</v>
      </c>
      <c r="AB370" s="47" t="s">
        <v>9</v>
      </c>
      <c r="AC370" s="19" t="s">
        <v>1154</v>
      </c>
      <c r="AD370" s="47" t="s">
        <v>9</v>
      </c>
    </row>
    <row r="371" spans="1:30" ht="6.75" customHeight="1" x14ac:dyDescent="0.25">
      <c r="A371" s="38">
        <v>371</v>
      </c>
      <c r="B371" s="1" t="s">
        <v>726</v>
      </c>
      <c r="C371" s="1" t="s">
        <v>761</v>
      </c>
      <c r="D371" s="1" t="s">
        <v>1610</v>
      </c>
      <c r="E371" s="57" t="s">
        <v>2059</v>
      </c>
      <c r="F371" s="1" t="s">
        <v>1498</v>
      </c>
      <c r="G371" s="39" t="s">
        <v>9</v>
      </c>
      <c r="H371" s="39" t="s">
        <v>9</v>
      </c>
      <c r="I371" s="39" t="s">
        <v>9</v>
      </c>
      <c r="J371" s="39" t="s">
        <v>9</v>
      </c>
      <c r="K371" s="39" t="s">
        <v>9</v>
      </c>
      <c r="L371" s="23" t="str">
        <f t="shared" si="68"/>
        <v>De.Canalizações</v>
      </c>
      <c r="M371" s="23" t="str">
        <f t="shared" si="69"/>
        <v>Canalização.de.Hidráulica</v>
      </c>
      <c r="N371" s="23" t="str">
        <f t="shared" si="67"/>
        <v>Peça de Hidráulica</v>
      </c>
      <c r="O371" s="23" t="str">
        <f t="shared" si="70"/>
        <v>Equ AQ</v>
      </c>
      <c r="P371" s="58" t="s">
        <v>1636</v>
      </c>
      <c r="Q371" s="58" t="s">
        <v>1438</v>
      </c>
      <c r="R371" s="19" t="s">
        <v>1439</v>
      </c>
      <c r="S371" s="54" t="s">
        <v>9</v>
      </c>
      <c r="T371" s="46" t="str">
        <f t="shared" si="72"/>
        <v>De Canalizações</v>
      </c>
      <c r="U371" s="46" t="str">
        <f t="shared" si="73"/>
        <v>Canalização de Hidráulica</v>
      </c>
      <c r="V371" s="46" t="str">
        <f t="shared" si="73"/>
        <v>Peça de Hidráulica</v>
      </c>
      <c r="W371" s="19" t="s">
        <v>459</v>
      </c>
      <c r="X371" s="40" t="str">
        <f t="shared" si="71"/>
        <v>Key-TUB-371</v>
      </c>
      <c r="Y371" s="37" t="s">
        <v>1083</v>
      </c>
      <c r="Z371" s="47" t="s">
        <v>9</v>
      </c>
      <c r="AA371" s="37" t="s">
        <v>1097</v>
      </c>
      <c r="AB371" s="47" t="s">
        <v>9</v>
      </c>
      <c r="AC371" s="19" t="s">
        <v>1154</v>
      </c>
      <c r="AD371" s="47" t="s">
        <v>9</v>
      </c>
    </row>
    <row r="372" spans="1:30" ht="6.75" customHeight="1" x14ac:dyDescent="0.25">
      <c r="A372" s="38">
        <v>372</v>
      </c>
      <c r="B372" s="1" t="s">
        <v>726</v>
      </c>
      <c r="C372" s="1" t="s">
        <v>761</v>
      </c>
      <c r="D372" s="1" t="s">
        <v>1610</v>
      </c>
      <c r="E372" s="57" t="s">
        <v>2059</v>
      </c>
      <c r="F372" s="57" t="s">
        <v>1497</v>
      </c>
      <c r="G372" s="39" t="s">
        <v>9</v>
      </c>
      <c r="H372" s="39" t="s">
        <v>9</v>
      </c>
      <c r="I372" s="39" t="s">
        <v>9</v>
      </c>
      <c r="J372" s="39" t="s">
        <v>9</v>
      </c>
      <c r="K372" s="39" t="s">
        <v>9</v>
      </c>
      <c r="L372" s="23" t="str">
        <f t="shared" si="68"/>
        <v>De.Canalizações</v>
      </c>
      <c r="M372" s="23" t="str">
        <f t="shared" si="69"/>
        <v>Canalização.de.Hidráulica</v>
      </c>
      <c r="N372" s="23" t="str">
        <f t="shared" si="67"/>
        <v>Peça de Hidráulica</v>
      </c>
      <c r="O372" s="23" t="str">
        <f t="shared" si="70"/>
        <v>Equ Pluvial</v>
      </c>
      <c r="P372" s="58" t="s">
        <v>1440</v>
      </c>
      <c r="Q372" s="58" t="s">
        <v>1441</v>
      </c>
      <c r="R372" s="19" t="s">
        <v>1442</v>
      </c>
      <c r="S372" s="54" t="s">
        <v>9</v>
      </c>
      <c r="T372" s="46" t="str">
        <f t="shared" si="72"/>
        <v>De Canalizações</v>
      </c>
      <c r="U372" s="46" t="str">
        <f t="shared" si="73"/>
        <v>Canalização de Hidráulica</v>
      </c>
      <c r="V372" s="46" t="str">
        <f t="shared" si="73"/>
        <v>Peça de Hidráulica</v>
      </c>
      <c r="W372" s="19" t="s">
        <v>459</v>
      </c>
      <c r="X372" s="40" t="str">
        <f t="shared" si="71"/>
        <v>Key-TUB-372</v>
      </c>
      <c r="Y372" s="37" t="s">
        <v>1083</v>
      </c>
      <c r="Z372" s="47" t="s">
        <v>9</v>
      </c>
      <c r="AA372" s="37" t="s">
        <v>1097</v>
      </c>
      <c r="AB372" s="47" t="s">
        <v>9</v>
      </c>
      <c r="AC372" s="19" t="s">
        <v>1148</v>
      </c>
      <c r="AD372" s="47" t="s">
        <v>9</v>
      </c>
    </row>
    <row r="373" spans="1:30" ht="6.75" customHeight="1" x14ac:dyDescent="0.25">
      <c r="A373" s="38">
        <v>373</v>
      </c>
      <c r="B373" s="1" t="s">
        <v>726</v>
      </c>
      <c r="C373" s="1" t="s">
        <v>761</v>
      </c>
      <c r="D373" s="1" t="s">
        <v>1610</v>
      </c>
      <c r="E373" s="57" t="s">
        <v>2059</v>
      </c>
      <c r="F373" s="57" t="s">
        <v>1462</v>
      </c>
      <c r="G373" s="39" t="s">
        <v>9</v>
      </c>
      <c r="H373" s="39" t="s">
        <v>9</v>
      </c>
      <c r="I373" s="39" t="s">
        <v>9</v>
      </c>
      <c r="J373" s="39" t="s">
        <v>9</v>
      </c>
      <c r="K373" s="39" t="s">
        <v>9</v>
      </c>
      <c r="L373" s="23" t="str">
        <f t="shared" si="68"/>
        <v>De.Canalizações</v>
      </c>
      <c r="M373" s="23" t="str">
        <f t="shared" si="69"/>
        <v>Canalização.de.Hidráulica</v>
      </c>
      <c r="N373" s="23" t="str">
        <f t="shared" si="67"/>
        <v>Peça de Hidráulica</v>
      </c>
      <c r="O373" s="23" t="str">
        <f t="shared" si="70"/>
        <v>Tub AF</v>
      </c>
      <c r="P373" s="58" t="s">
        <v>1638</v>
      </c>
      <c r="Q373" s="58" t="s">
        <v>1465</v>
      </c>
      <c r="R373" s="19" t="s">
        <v>1469</v>
      </c>
      <c r="S373" s="54" t="s">
        <v>9</v>
      </c>
      <c r="T373" s="46" t="str">
        <f t="shared" si="72"/>
        <v>De Canalizações</v>
      </c>
      <c r="U373" s="46" t="str">
        <f t="shared" si="73"/>
        <v>Canalização de Hidráulica</v>
      </c>
      <c r="V373" s="46" t="str">
        <f t="shared" si="73"/>
        <v>Peça de Hidráulica</v>
      </c>
      <c r="W373" s="19" t="s">
        <v>459</v>
      </c>
      <c r="X373" s="40" t="str">
        <f t="shared" si="71"/>
        <v>Key-TUB-373</v>
      </c>
      <c r="Y373" s="19" t="s">
        <v>729</v>
      </c>
      <c r="Z373" s="47" t="s">
        <v>9</v>
      </c>
      <c r="AA373" s="19" t="s">
        <v>730</v>
      </c>
      <c r="AB373" s="47" t="s">
        <v>9</v>
      </c>
      <c r="AC373" s="19" t="s">
        <v>463</v>
      </c>
      <c r="AD373" s="47" t="s">
        <v>9</v>
      </c>
    </row>
    <row r="374" spans="1:30" ht="6.75" customHeight="1" x14ac:dyDescent="0.25">
      <c r="A374" s="38">
        <v>374</v>
      </c>
      <c r="B374" s="1" t="s">
        <v>726</v>
      </c>
      <c r="C374" s="1" t="s">
        <v>761</v>
      </c>
      <c r="D374" s="1" t="s">
        <v>1610</v>
      </c>
      <c r="E374" s="57" t="s">
        <v>2059</v>
      </c>
      <c r="F374" s="57" t="s">
        <v>1463</v>
      </c>
      <c r="G374" s="39" t="s">
        <v>9</v>
      </c>
      <c r="H374" s="39" t="s">
        <v>9</v>
      </c>
      <c r="I374" s="39" t="s">
        <v>9</v>
      </c>
      <c r="J374" s="39" t="s">
        <v>9</v>
      </c>
      <c r="K374" s="39" t="s">
        <v>9</v>
      </c>
      <c r="L374" s="23" t="str">
        <f t="shared" si="68"/>
        <v>De.Canalizações</v>
      </c>
      <c r="M374" s="23" t="str">
        <f t="shared" si="69"/>
        <v>Canalização.de.Hidráulica</v>
      </c>
      <c r="N374" s="23" t="str">
        <f t="shared" si="67"/>
        <v>Peça de Hidráulica</v>
      </c>
      <c r="O374" s="23" t="str">
        <f t="shared" si="70"/>
        <v>Tub AQ</v>
      </c>
      <c r="P374" s="58" t="s">
        <v>1639</v>
      </c>
      <c r="Q374" s="58" t="s">
        <v>1464</v>
      </c>
      <c r="R374" s="19" t="s">
        <v>1468</v>
      </c>
      <c r="S374" s="54" t="s">
        <v>9</v>
      </c>
      <c r="T374" s="46" t="str">
        <f t="shared" si="72"/>
        <v>De Canalizações</v>
      </c>
      <c r="U374" s="46" t="str">
        <f t="shared" si="73"/>
        <v>Canalização de Hidráulica</v>
      </c>
      <c r="V374" s="46" t="str">
        <f t="shared" si="73"/>
        <v>Peça de Hidráulica</v>
      </c>
      <c r="W374" s="19" t="s">
        <v>459</v>
      </c>
      <c r="X374" s="40" t="str">
        <f t="shared" si="71"/>
        <v>Key-TUB-374</v>
      </c>
      <c r="Y374" s="19" t="s">
        <v>729</v>
      </c>
      <c r="Z374" s="47" t="s">
        <v>9</v>
      </c>
      <c r="AA374" s="19" t="s">
        <v>730</v>
      </c>
      <c r="AB374" s="47" t="s">
        <v>9</v>
      </c>
      <c r="AC374" s="19" t="s">
        <v>463</v>
      </c>
      <c r="AD374" s="47" t="s">
        <v>9</v>
      </c>
    </row>
    <row r="375" spans="1:30" ht="6.75" customHeight="1" x14ac:dyDescent="0.25">
      <c r="A375" s="38">
        <v>375</v>
      </c>
      <c r="B375" s="1" t="s">
        <v>726</v>
      </c>
      <c r="C375" s="1" t="s">
        <v>761</v>
      </c>
      <c r="D375" s="1" t="s">
        <v>1610</v>
      </c>
      <c r="E375" s="57" t="s">
        <v>2059</v>
      </c>
      <c r="F375" s="57" t="s">
        <v>807</v>
      </c>
      <c r="G375" s="39" t="s">
        <v>9</v>
      </c>
      <c r="H375" s="39" t="s">
        <v>9</v>
      </c>
      <c r="I375" s="39" t="s">
        <v>9</v>
      </c>
      <c r="J375" s="39" t="s">
        <v>9</v>
      </c>
      <c r="K375" s="39" t="s">
        <v>9</v>
      </c>
      <c r="L375" s="23" t="str">
        <f t="shared" si="68"/>
        <v>De.Canalizações</v>
      </c>
      <c r="M375" s="23" t="str">
        <f t="shared" si="69"/>
        <v>Canalização.de.Hidráulica</v>
      </c>
      <c r="N375" s="23" t="str">
        <f t="shared" si="67"/>
        <v>Peça de Hidráulica</v>
      </c>
      <c r="O375" s="23" t="str">
        <f t="shared" si="70"/>
        <v>Tub Pluvial</v>
      </c>
      <c r="P375" s="58" t="s">
        <v>1637</v>
      </c>
      <c r="Q375" s="58" t="s">
        <v>734</v>
      </c>
      <c r="R375" s="19" t="s">
        <v>734</v>
      </c>
      <c r="S375" s="54" t="s">
        <v>9</v>
      </c>
      <c r="T375" s="46" t="str">
        <f t="shared" si="72"/>
        <v>De Canalizações</v>
      </c>
      <c r="U375" s="46" t="str">
        <f t="shared" si="73"/>
        <v>Canalização de Hidráulica</v>
      </c>
      <c r="V375" s="46" t="str">
        <f t="shared" si="73"/>
        <v>Peça de Hidráulica</v>
      </c>
      <c r="W375" s="19" t="s">
        <v>459</v>
      </c>
      <c r="X375" s="40" t="str">
        <f t="shared" si="71"/>
        <v>Key-TUB-375</v>
      </c>
      <c r="Y375" s="19" t="s">
        <v>729</v>
      </c>
      <c r="Z375" s="47" t="s">
        <v>9</v>
      </c>
      <c r="AA375" s="19" t="s">
        <v>730</v>
      </c>
      <c r="AB375" s="47" t="s">
        <v>9</v>
      </c>
      <c r="AC375" s="19" t="s">
        <v>463</v>
      </c>
      <c r="AD375" s="47" t="s">
        <v>9</v>
      </c>
    </row>
    <row r="376" spans="1:30" ht="6.75" customHeight="1" x14ac:dyDescent="0.25">
      <c r="A376" s="38">
        <v>376</v>
      </c>
      <c r="B376" s="1" t="s">
        <v>726</v>
      </c>
      <c r="C376" s="1" t="s">
        <v>761</v>
      </c>
      <c r="D376" s="1" t="s">
        <v>1612</v>
      </c>
      <c r="E376" s="57" t="s">
        <v>2060</v>
      </c>
      <c r="F376" s="57" t="s">
        <v>2155</v>
      </c>
      <c r="G376" s="39" t="s">
        <v>9</v>
      </c>
      <c r="H376" s="39" t="s">
        <v>9</v>
      </c>
      <c r="I376" s="39" t="s">
        <v>9</v>
      </c>
      <c r="J376" s="39" t="s">
        <v>9</v>
      </c>
      <c r="K376" s="39" t="s">
        <v>9</v>
      </c>
      <c r="L376" s="23" t="str">
        <f t="shared" si="68"/>
        <v>De.Canalizações</v>
      </c>
      <c r="M376" s="23" t="str">
        <f t="shared" si="69"/>
        <v>Canalização.de.Incêndio</v>
      </c>
      <c r="N376" s="23" t="str">
        <f t="shared" si="67"/>
        <v>Peça de Incêndio</v>
      </c>
      <c r="O376" s="23" t="str">
        <f t="shared" si="70"/>
        <v>Equ Sprinkler Pendente</v>
      </c>
      <c r="P376" s="60" t="s">
        <v>1369</v>
      </c>
      <c r="Q376" s="58" t="s">
        <v>1370</v>
      </c>
      <c r="R376" s="19" t="s">
        <v>1371</v>
      </c>
      <c r="S376" s="54" t="s">
        <v>9</v>
      </c>
      <c r="T376" s="46" t="str">
        <f t="shared" si="72"/>
        <v>De Canalizações</v>
      </c>
      <c r="U376" s="46" t="str">
        <f t="shared" si="73"/>
        <v>Canalização de Incêndio</v>
      </c>
      <c r="V376" s="46" t="str">
        <f t="shared" si="73"/>
        <v>Peça de Incêndio</v>
      </c>
      <c r="W376" s="19" t="s">
        <v>459</v>
      </c>
      <c r="X376" s="40" t="str">
        <f t="shared" si="71"/>
        <v>Key-TUB-376</v>
      </c>
      <c r="Y376" s="19" t="s">
        <v>1650</v>
      </c>
      <c r="Z376" s="47" t="s">
        <v>9</v>
      </c>
      <c r="AA376" s="37" t="s">
        <v>1651</v>
      </c>
      <c r="AB376" s="47" t="s">
        <v>9</v>
      </c>
      <c r="AC376" s="19" t="s">
        <v>1266</v>
      </c>
      <c r="AD376" s="47" t="s">
        <v>9</v>
      </c>
    </row>
    <row r="377" spans="1:30" ht="6.75" customHeight="1" x14ac:dyDescent="0.25">
      <c r="A377" s="38">
        <v>377</v>
      </c>
      <c r="B377" s="1" t="s">
        <v>726</v>
      </c>
      <c r="C377" s="1" t="s">
        <v>761</v>
      </c>
      <c r="D377" s="1" t="s">
        <v>1612</v>
      </c>
      <c r="E377" s="57" t="s">
        <v>2060</v>
      </c>
      <c r="F377" s="57" t="s">
        <v>2156</v>
      </c>
      <c r="G377" s="39" t="s">
        <v>9</v>
      </c>
      <c r="H377" s="39" t="s">
        <v>9</v>
      </c>
      <c r="I377" s="39" t="s">
        <v>9</v>
      </c>
      <c r="J377" s="39" t="s">
        <v>9</v>
      </c>
      <c r="K377" s="39" t="s">
        <v>9</v>
      </c>
      <c r="L377" s="23" t="str">
        <f t="shared" si="68"/>
        <v>De.Canalizações</v>
      </c>
      <c r="M377" s="23" t="str">
        <f t="shared" si="69"/>
        <v>Canalização.de.Incêndio</v>
      </c>
      <c r="N377" s="23" t="str">
        <f t="shared" si="67"/>
        <v>Peça de Incêndio</v>
      </c>
      <c r="O377" s="23" t="str">
        <f t="shared" si="70"/>
        <v xml:space="preserve">Equ Sprinkler Upright </v>
      </c>
      <c r="P377" s="60" t="s">
        <v>1372</v>
      </c>
      <c r="Q377" s="58" t="s">
        <v>1373</v>
      </c>
      <c r="R377" s="19" t="s">
        <v>1374</v>
      </c>
      <c r="S377" s="54" t="s">
        <v>9</v>
      </c>
      <c r="T377" s="46" t="str">
        <f t="shared" si="72"/>
        <v>De Canalizações</v>
      </c>
      <c r="U377" s="46" t="str">
        <f t="shared" si="73"/>
        <v>Canalização de Incêndio</v>
      </c>
      <c r="V377" s="46" t="str">
        <f t="shared" si="73"/>
        <v>Peça de Incêndio</v>
      </c>
      <c r="W377" s="19" t="s">
        <v>459</v>
      </c>
      <c r="X377" s="40" t="str">
        <f t="shared" si="71"/>
        <v>Key-TUB-377</v>
      </c>
      <c r="Y377" s="19" t="s">
        <v>1650</v>
      </c>
      <c r="Z377" s="47" t="s">
        <v>9</v>
      </c>
      <c r="AA377" s="37" t="s">
        <v>1651</v>
      </c>
      <c r="AB377" s="47" t="s">
        <v>9</v>
      </c>
      <c r="AC377" s="19" t="s">
        <v>1266</v>
      </c>
      <c r="AD377" s="47" t="s">
        <v>9</v>
      </c>
    </row>
    <row r="378" spans="1:30" ht="6.75" customHeight="1" x14ac:dyDescent="0.25">
      <c r="A378" s="38">
        <v>378</v>
      </c>
      <c r="B378" s="1" t="s">
        <v>726</v>
      </c>
      <c r="C378" s="1" t="s">
        <v>761</v>
      </c>
      <c r="D378" s="1" t="s">
        <v>1612</v>
      </c>
      <c r="E378" s="57" t="s">
        <v>2060</v>
      </c>
      <c r="F378" s="1" t="s">
        <v>2157</v>
      </c>
      <c r="G378" s="39" t="s">
        <v>9</v>
      </c>
      <c r="H378" s="39" t="s">
        <v>9</v>
      </c>
      <c r="I378" s="39" t="s">
        <v>9</v>
      </c>
      <c r="J378" s="39" t="s">
        <v>9</v>
      </c>
      <c r="K378" s="39" t="s">
        <v>9</v>
      </c>
      <c r="L378" s="23" t="str">
        <f t="shared" si="68"/>
        <v>De.Canalizações</v>
      </c>
      <c r="M378" s="23" t="str">
        <f t="shared" si="69"/>
        <v>Canalização.de.Incêndio</v>
      </c>
      <c r="N378" s="23" t="str">
        <f t="shared" si="67"/>
        <v>Peça de Incêndio</v>
      </c>
      <c r="O378" s="23" t="str">
        <f t="shared" si="70"/>
        <v>Equ Sprinkler Lateral</v>
      </c>
      <c r="P378" s="46" t="s">
        <v>1375</v>
      </c>
      <c r="Q378" s="19" t="s">
        <v>1376</v>
      </c>
      <c r="R378" s="19" t="s">
        <v>1377</v>
      </c>
      <c r="S378" s="54" t="s">
        <v>9</v>
      </c>
      <c r="T378" s="46" t="str">
        <f t="shared" si="72"/>
        <v>De Canalizações</v>
      </c>
      <c r="U378" s="46" t="str">
        <f t="shared" si="73"/>
        <v>Canalização de Incêndio</v>
      </c>
      <c r="V378" s="46" t="str">
        <f t="shared" si="73"/>
        <v>Peça de Incêndio</v>
      </c>
      <c r="W378" s="19" t="s">
        <v>459</v>
      </c>
      <c r="X378" s="40" t="str">
        <f t="shared" si="71"/>
        <v>Key-TUB-378</v>
      </c>
      <c r="Y378" s="19" t="s">
        <v>1650</v>
      </c>
      <c r="Z378" s="47" t="s">
        <v>9</v>
      </c>
      <c r="AA378" s="37" t="s">
        <v>1651</v>
      </c>
      <c r="AB378" s="47" t="s">
        <v>9</v>
      </c>
      <c r="AC378" s="19" t="s">
        <v>1266</v>
      </c>
      <c r="AD378" s="47" t="s">
        <v>9</v>
      </c>
    </row>
    <row r="379" spans="1:30" ht="6.75" customHeight="1" x14ac:dyDescent="0.25">
      <c r="A379" s="38">
        <v>379</v>
      </c>
      <c r="B379" s="1" t="s">
        <v>726</v>
      </c>
      <c r="C379" s="1" t="s">
        <v>761</v>
      </c>
      <c r="D379" s="1" t="s">
        <v>1612</v>
      </c>
      <c r="E379" s="57" t="s">
        <v>2060</v>
      </c>
      <c r="F379" s="1" t="s">
        <v>2158</v>
      </c>
      <c r="G379" s="39" t="s">
        <v>9</v>
      </c>
      <c r="H379" s="39" t="s">
        <v>9</v>
      </c>
      <c r="I379" s="39" t="s">
        <v>9</v>
      </c>
      <c r="J379" s="39" t="s">
        <v>9</v>
      </c>
      <c r="K379" s="39" t="s">
        <v>9</v>
      </c>
      <c r="L379" s="23" t="str">
        <f t="shared" si="68"/>
        <v>De.Canalizações</v>
      </c>
      <c r="M379" s="23" t="str">
        <f t="shared" si="69"/>
        <v>Canalização.de.Incêndio</v>
      </c>
      <c r="N379" s="23" t="str">
        <f t="shared" si="67"/>
        <v>Peça de Incêndio</v>
      </c>
      <c r="O379" s="23" t="str">
        <f t="shared" si="70"/>
        <v>Equ Detector Iônico</v>
      </c>
      <c r="P379" s="46" t="s">
        <v>1378</v>
      </c>
      <c r="Q379" s="19" t="s">
        <v>1379</v>
      </c>
      <c r="R379" s="19" t="s">
        <v>1380</v>
      </c>
      <c r="S379" s="54" t="s">
        <v>9</v>
      </c>
      <c r="T379" s="46" t="str">
        <f t="shared" si="72"/>
        <v>De Canalizações</v>
      </c>
      <c r="U379" s="46" t="str">
        <f t="shared" si="73"/>
        <v>Canalização de Incêndio</v>
      </c>
      <c r="V379" s="46" t="str">
        <f t="shared" si="73"/>
        <v>Peça de Incêndio</v>
      </c>
      <c r="W379" s="19" t="s">
        <v>459</v>
      </c>
      <c r="X379" s="40" t="str">
        <f t="shared" si="71"/>
        <v>Key-TUB-379</v>
      </c>
      <c r="Y379" s="19" t="s">
        <v>1650</v>
      </c>
      <c r="Z379" s="47" t="s">
        <v>9</v>
      </c>
      <c r="AA379" s="37" t="s">
        <v>1651</v>
      </c>
      <c r="AB379" s="47" t="s">
        <v>9</v>
      </c>
      <c r="AC379" s="19" t="s">
        <v>1266</v>
      </c>
      <c r="AD379" s="47" t="s">
        <v>9</v>
      </c>
    </row>
    <row r="380" spans="1:30" ht="6.75" customHeight="1" x14ac:dyDescent="0.25">
      <c r="A380" s="38">
        <v>380</v>
      </c>
      <c r="B380" s="1" t="s">
        <v>726</v>
      </c>
      <c r="C380" s="1" t="s">
        <v>761</v>
      </c>
      <c r="D380" s="1" t="s">
        <v>1612</v>
      </c>
      <c r="E380" s="57" t="s">
        <v>2060</v>
      </c>
      <c r="F380" s="1" t="s">
        <v>2159</v>
      </c>
      <c r="G380" s="39" t="s">
        <v>9</v>
      </c>
      <c r="H380" s="39" t="s">
        <v>9</v>
      </c>
      <c r="I380" s="39" t="s">
        <v>9</v>
      </c>
      <c r="J380" s="39" t="s">
        <v>9</v>
      </c>
      <c r="K380" s="39" t="s">
        <v>9</v>
      </c>
      <c r="L380" s="23" t="str">
        <f t="shared" si="68"/>
        <v>De.Canalizações</v>
      </c>
      <c r="M380" s="23" t="str">
        <f t="shared" si="69"/>
        <v>Canalização.de.Incêndio</v>
      </c>
      <c r="N380" s="23" t="str">
        <f t="shared" si="67"/>
        <v>Peça de Incêndio</v>
      </c>
      <c r="O380" s="23" t="str">
        <f t="shared" si="70"/>
        <v>Equ Detector Óptico</v>
      </c>
      <c r="P380" s="60" t="s">
        <v>1381</v>
      </c>
      <c r="Q380" s="58" t="s">
        <v>1382</v>
      </c>
      <c r="R380" s="58" t="s">
        <v>1383</v>
      </c>
      <c r="S380" s="54" t="s">
        <v>9</v>
      </c>
      <c r="T380" s="46" t="str">
        <f t="shared" si="72"/>
        <v>De Canalizações</v>
      </c>
      <c r="U380" s="46" t="str">
        <f t="shared" si="73"/>
        <v>Canalização de Incêndio</v>
      </c>
      <c r="V380" s="46" t="str">
        <f t="shared" si="73"/>
        <v>Peça de Incêndio</v>
      </c>
      <c r="W380" s="19" t="s">
        <v>459</v>
      </c>
      <c r="X380" s="40" t="str">
        <f t="shared" si="71"/>
        <v>Key-TUB-380</v>
      </c>
      <c r="Y380" s="19" t="s">
        <v>1650</v>
      </c>
      <c r="Z380" s="47" t="s">
        <v>9</v>
      </c>
      <c r="AA380" s="37" t="s">
        <v>1651</v>
      </c>
      <c r="AB380" s="47" t="s">
        <v>9</v>
      </c>
      <c r="AC380" s="19" t="s">
        <v>1266</v>
      </c>
      <c r="AD380" s="47" t="s">
        <v>9</v>
      </c>
    </row>
    <row r="381" spans="1:30" ht="6.75" customHeight="1" x14ac:dyDescent="0.25">
      <c r="A381" s="38">
        <v>381</v>
      </c>
      <c r="B381" s="1" t="s">
        <v>726</v>
      </c>
      <c r="C381" s="1" t="s">
        <v>761</v>
      </c>
      <c r="D381" s="1" t="s">
        <v>1612</v>
      </c>
      <c r="E381" s="57" t="s">
        <v>2060</v>
      </c>
      <c r="F381" s="1" t="s">
        <v>2160</v>
      </c>
      <c r="G381" s="39" t="s">
        <v>9</v>
      </c>
      <c r="H381" s="39" t="s">
        <v>9</v>
      </c>
      <c r="I381" s="39" t="s">
        <v>9</v>
      </c>
      <c r="J381" s="39" t="s">
        <v>9</v>
      </c>
      <c r="K381" s="39" t="s">
        <v>9</v>
      </c>
      <c r="L381" s="23" t="str">
        <f t="shared" si="68"/>
        <v>De.Canalizações</v>
      </c>
      <c r="M381" s="23" t="str">
        <f t="shared" si="69"/>
        <v>Canalização.de.Incêndio</v>
      </c>
      <c r="N381" s="23" t="str">
        <f t="shared" si="67"/>
        <v>Peça de Incêndio</v>
      </c>
      <c r="O381" s="23" t="str">
        <f t="shared" si="70"/>
        <v>Equ Detector Aspiração</v>
      </c>
      <c r="P381" s="60" t="s">
        <v>1384</v>
      </c>
      <c r="Q381" s="58" t="s">
        <v>1385</v>
      </c>
      <c r="R381" s="58" t="s">
        <v>1386</v>
      </c>
      <c r="S381" s="54" t="s">
        <v>9</v>
      </c>
      <c r="T381" s="46" t="str">
        <f t="shared" si="72"/>
        <v>De Canalizações</v>
      </c>
      <c r="U381" s="46" t="str">
        <f t="shared" si="73"/>
        <v>Canalização de Incêndio</v>
      </c>
      <c r="V381" s="46" t="str">
        <f t="shared" si="73"/>
        <v>Peça de Incêndio</v>
      </c>
      <c r="W381" s="19" t="s">
        <v>459</v>
      </c>
      <c r="X381" s="40" t="str">
        <f t="shared" si="71"/>
        <v>Key-TUB-381</v>
      </c>
      <c r="Y381" s="19" t="s">
        <v>1650</v>
      </c>
      <c r="Z381" s="47" t="s">
        <v>9</v>
      </c>
      <c r="AA381" s="37" t="s">
        <v>1651</v>
      </c>
      <c r="AB381" s="47" t="s">
        <v>9</v>
      </c>
      <c r="AC381" s="19" t="s">
        <v>1266</v>
      </c>
      <c r="AD381" s="47" t="s">
        <v>9</v>
      </c>
    </row>
    <row r="382" spans="1:30" ht="6.75" customHeight="1" x14ac:dyDescent="0.25">
      <c r="A382" s="38">
        <v>382</v>
      </c>
      <c r="B382" s="1" t="s">
        <v>726</v>
      </c>
      <c r="C382" s="1" t="s">
        <v>761</v>
      </c>
      <c r="D382" s="1" t="s">
        <v>1612</v>
      </c>
      <c r="E382" s="57" t="s">
        <v>2060</v>
      </c>
      <c r="F382" s="57" t="s">
        <v>2161</v>
      </c>
      <c r="G382" s="39" t="s">
        <v>9</v>
      </c>
      <c r="H382" s="39" t="s">
        <v>9</v>
      </c>
      <c r="I382" s="39" t="s">
        <v>9</v>
      </c>
      <c r="J382" s="39" t="s">
        <v>9</v>
      </c>
      <c r="K382" s="39" t="s">
        <v>9</v>
      </c>
      <c r="L382" s="23" t="str">
        <f t="shared" si="68"/>
        <v>De.Canalizações</v>
      </c>
      <c r="M382" s="23" t="str">
        <f t="shared" si="69"/>
        <v>Canalização.de.Incêndio</v>
      </c>
      <c r="N382" s="23" t="str">
        <f t="shared" si="67"/>
        <v>Peça de Incêndio</v>
      </c>
      <c r="O382" s="23" t="str">
        <f t="shared" si="70"/>
        <v>Equ Detector Lineal</v>
      </c>
      <c r="P382" s="60" t="s">
        <v>1387</v>
      </c>
      <c r="Q382" s="19" t="s">
        <v>1388</v>
      </c>
      <c r="R382" s="19" t="s">
        <v>1389</v>
      </c>
      <c r="S382" s="54" t="s">
        <v>9</v>
      </c>
      <c r="T382" s="46" t="str">
        <f t="shared" si="72"/>
        <v>De Canalizações</v>
      </c>
      <c r="U382" s="46" t="str">
        <f t="shared" si="73"/>
        <v>Canalização de Incêndio</v>
      </c>
      <c r="V382" s="46" t="str">
        <f t="shared" si="73"/>
        <v>Peça de Incêndio</v>
      </c>
      <c r="W382" s="19" t="s">
        <v>459</v>
      </c>
      <c r="X382" s="40" t="str">
        <f t="shared" si="71"/>
        <v>Key-TUB-382</v>
      </c>
      <c r="Y382" s="19" t="s">
        <v>1650</v>
      </c>
      <c r="Z382" s="47" t="s">
        <v>9</v>
      </c>
      <c r="AA382" s="37" t="s">
        <v>1651</v>
      </c>
      <c r="AB382" s="47" t="s">
        <v>9</v>
      </c>
      <c r="AC382" s="19" t="s">
        <v>1266</v>
      </c>
      <c r="AD382" s="47" t="s">
        <v>9</v>
      </c>
    </row>
    <row r="383" spans="1:30" ht="6.75" customHeight="1" x14ac:dyDescent="0.25">
      <c r="A383" s="38">
        <v>383</v>
      </c>
      <c r="B383" s="1" t="s">
        <v>726</v>
      </c>
      <c r="C383" s="1" t="s">
        <v>761</v>
      </c>
      <c r="D383" s="1" t="s">
        <v>1612</v>
      </c>
      <c r="E383" s="57" t="s">
        <v>2060</v>
      </c>
      <c r="F383" s="57" t="s">
        <v>2162</v>
      </c>
      <c r="G383" s="39" t="s">
        <v>9</v>
      </c>
      <c r="H383" s="39" t="s">
        <v>9</v>
      </c>
      <c r="I383" s="39" t="s">
        <v>9</v>
      </c>
      <c r="J383" s="39" t="s">
        <v>9</v>
      </c>
      <c r="K383" s="39" t="s">
        <v>9</v>
      </c>
      <c r="L383" s="23" t="str">
        <f t="shared" si="68"/>
        <v>De.Canalizações</v>
      </c>
      <c r="M383" s="23" t="str">
        <f t="shared" si="69"/>
        <v>Canalização.de.Incêndio</v>
      </c>
      <c r="N383" s="23" t="str">
        <f t="shared" si="67"/>
        <v>Peça de Incêndio</v>
      </c>
      <c r="O383" s="23" t="str">
        <f t="shared" si="70"/>
        <v>Equ Detector Combinado</v>
      </c>
      <c r="P383" s="60" t="s">
        <v>1390</v>
      </c>
      <c r="Q383" s="19" t="s">
        <v>1391</v>
      </c>
      <c r="R383" s="19" t="s">
        <v>1392</v>
      </c>
      <c r="S383" s="54" t="s">
        <v>9</v>
      </c>
      <c r="T383" s="46" t="str">
        <f t="shared" si="72"/>
        <v>De Canalizações</v>
      </c>
      <c r="U383" s="46" t="str">
        <f t="shared" si="73"/>
        <v>Canalização de Incêndio</v>
      </c>
      <c r="V383" s="46" t="str">
        <f t="shared" si="73"/>
        <v>Peça de Incêndio</v>
      </c>
      <c r="W383" s="19" t="s">
        <v>459</v>
      </c>
      <c r="X383" s="40" t="str">
        <f t="shared" si="71"/>
        <v>Key-TUB-383</v>
      </c>
      <c r="Y383" s="19" t="s">
        <v>1650</v>
      </c>
      <c r="Z383" s="47" t="s">
        <v>9</v>
      </c>
      <c r="AA383" s="37" t="s">
        <v>1651</v>
      </c>
      <c r="AB383" s="47" t="s">
        <v>9</v>
      </c>
      <c r="AC383" s="19" t="s">
        <v>1266</v>
      </c>
      <c r="AD383" s="47" t="s">
        <v>9</v>
      </c>
    </row>
    <row r="384" spans="1:30" ht="6.75" customHeight="1" x14ac:dyDescent="0.25">
      <c r="A384" s="38">
        <v>384</v>
      </c>
      <c r="B384" s="1" t="s">
        <v>726</v>
      </c>
      <c r="C384" s="1" t="s">
        <v>1662</v>
      </c>
      <c r="D384" s="1" t="s">
        <v>1597</v>
      </c>
      <c r="E384" s="57" t="s">
        <v>1598</v>
      </c>
      <c r="F384" s="57" t="s">
        <v>1607</v>
      </c>
      <c r="G384" s="39" t="s">
        <v>9</v>
      </c>
      <c r="H384" s="39" t="s">
        <v>9</v>
      </c>
      <c r="I384" s="39" t="s">
        <v>9</v>
      </c>
      <c r="J384" s="39" t="s">
        <v>9</v>
      </c>
      <c r="K384" s="39" t="s">
        <v>9</v>
      </c>
      <c r="L384" s="23" t="str">
        <f t="shared" si="68"/>
        <v>De.Climatização</v>
      </c>
      <c r="M384" s="23" t="str">
        <f t="shared" si="69"/>
        <v>Sistemas.de.Avac</v>
      </c>
      <c r="N384" s="23" t="str">
        <f t="shared" si="67"/>
        <v>Sistema de Avac</v>
      </c>
      <c r="O384" s="23" t="str">
        <f t="shared" si="70"/>
        <v>Sis ARCON</v>
      </c>
      <c r="P384" s="58" t="s">
        <v>1040</v>
      </c>
      <c r="Q384" s="19" t="s">
        <v>1041</v>
      </c>
      <c r="R384" s="19" t="s">
        <v>1042</v>
      </c>
      <c r="S384" s="54" t="s">
        <v>9</v>
      </c>
      <c r="T384" s="46" t="str">
        <f t="shared" si="72"/>
        <v>De Climatização</v>
      </c>
      <c r="U384" s="46" t="str">
        <f t="shared" si="73"/>
        <v>Sistemas de Avac</v>
      </c>
      <c r="V384" s="46" t="str">
        <f t="shared" si="73"/>
        <v>Sistema de Avac</v>
      </c>
      <c r="W384" s="19" t="s">
        <v>459</v>
      </c>
      <c r="X384" s="40" t="str">
        <f t="shared" si="71"/>
        <v>Key-TUB-384</v>
      </c>
      <c r="Y384" s="19" t="s">
        <v>1694</v>
      </c>
      <c r="Z384" s="47" t="s">
        <v>9</v>
      </c>
      <c r="AA384" s="37" t="s">
        <v>1695</v>
      </c>
      <c r="AB384" s="47" t="s">
        <v>9</v>
      </c>
      <c r="AC384" s="47" t="s">
        <v>9</v>
      </c>
      <c r="AD384" s="47" t="s">
        <v>9</v>
      </c>
    </row>
    <row r="385" spans="1:30" ht="6.75" customHeight="1" x14ac:dyDescent="0.25">
      <c r="A385" s="38">
        <v>385</v>
      </c>
      <c r="B385" s="1" t="s">
        <v>726</v>
      </c>
      <c r="C385" s="1" t="s">
        <v>1662</v>
      </c>
      <c r="D385" s="1" t="s">
        <v>1597</v>
      </c>
      <c r="E385" s="57" t="s">
        <v>1598</v>
      </c>
      <c r="F385" s="57" t="s">
        <v>1599</v>
      </c>
      <c r="G385" s="39" t="s">
        <v>9</v>
      </c>
      <c r="H385" s="39" t="s">
        <v>9</v>
      </c>
      <c r="I385" s="39" t="s">
        <v>9</v>
      </c>
      <c r="J385" s="39" t="s">
        <v>9</v>
      </c>
      <c r="K385" s="39" t="s">
        <v>9</v>
      </c>
      <c r="L385" s="23" t="str">
        <f t="shared" si="68"/>
        <v>De.Climatização</v>
      </c>
      <c r="M385" s="23" t="str">
        <f t="shared" si="69"/>
        <v>Sistemas.de.Avac</v>
      </c>
      <c r="N385" s="23" t="str">
        <f t="shared" si="67"/>
        <v>Sistema de Avac</v>
      </c>
      <c r="O385" s="23" t="str">
        <f t="shared" si="70"/>
        <v>Sis EXA</v>
      </c>
      <c r="P385" s="19" t="s">
        <v>1040</v>
      </c>
      <c r="Q385" s="19" t="s">
        <v>1041</v>
      </c>
      <c r="R385" s="19" t="s">
        <v>1042</v>
      </c>
      <c r="S385" s="54" t="s">
        <v>9</v>
      </c>
      <c r="T385" s="46" t="str">
        <f t="shared" si="72"/>
        <v>De Climatização</v>
      </c>
      <c r="U385" s="46" t="str">
        <f t="shared" si="73"/>
        <v>Sistemas de Avac</v>
      </c>
      <c r="V385" s="46" t="str">
        <f t="shared" si="73"/>
        <v>Sistema de Avac</v>
      </c>
      <c r="W385" s="19" t="s">
        <v>459</v>
      </c>
      <c r="X385" s="40" t="str">
        <f t="shared" si="71"/>
        <v>Key-TUB-385</v>
      </c>
      <c r="Y385" s="19" t="s">
        <v>1694</v>
      </c>
      <c r="Z385" s="47" t="s">
        <v>9</v>
      </c>
      <c r="AA385" s="37" t="s">
        <v>1695</v>
      </c>
      <c r="AB385" s="47" t="s">
        <v>9</v>
      </c>
      <c r="AC385" s="47" t="s">
        <v>9</v>
      </c>
      <c r="AD385" s="47" t="s">
        <v>9</v>
      </c>
    </row>
    <row r="386" spans="1:30" ht="6.75" customHeight="1" x14ac:dyDescent="0.25">
      <c r="A386" s="38">
        <v>386</v>
      </c>
      <c r="B386" s="1" t="s">
        <v>726</v>
      </c>
      <c r="C386" s="1" t="s">
        <v>1662</v>
      </c>
      <c r="D386" s="1" t="s">
        <v>1663</v>
      </c>
      <c r="E386" s="57" t="s">
        <v>2061</v>
      </c>
      <c r="F386" s="57" t="s">
        <v>1512</v>
      </c>
      <c r="G386" s="39" t="s">
        <v>9</v>
      </c>
      <c r="H386" s="39" t="s">
        <v>9</v>
      </c>
      <c r="I386" s="39" t="s">
        <v>9</v>
      </c>
      <c r="J386" s="39" t="s">
        <v>9</v>
      </c>
      <c r="K386" s="39" t="s">
        <v>9</v>
      </c>
      <c r="L386" s="23" t="str">
        <f t="shared" si="68"/>
        <v>De.Climatização</v>
      </c>
      <c r="M386" s="23" t="str">
        <f t="shared" si="69"/>
        <v>Dutos.de.Avac</v>
      </c>
      <c r="N386" s="23" t="str">
        <f t="shared" si="67"/>
        <v>Peça de Avac</v>
      </c>
      <c r="O386" s="23" t="str">
        <f t="shared" si="70"/>
        <v>Ace Avac</v>
      </c>
      <c r="P386" s="19" t="s">
        <v>1485</v>
      </c>
      <c r="Q386" s="19" t="s">
        <v>1489</v>
      </c>
      <c r="R386" s="19" t="s">
        <v>1490</v>
      </c>
      <c r="S386" s="54" t="s">
        <v>9</v>
      </c>
      <c r="T386" s="46" t="str">
        <f t="shared" si="72"/>
        <v>De Climatização</v>
      </c>
      <c r="U386" s="46" t="str">
        <f t="shared" si="73"/>
        <v>Dutos de Avac</v>
      </c>
      <c r="V386" s="46" t="str">
        <f t="shared" si="73"/>
        <v>Peça de Avac</v>
      </c>
      <c r="W386" s="19" t="s">
        <v>459</v>
      </c>
      <c r="X386" s="40" t="str">
        <f t="shared" si="71"/>
        <v>Key-TUB-386</v>
      </c>
      <c r="Y386" s="19" t="s">
        <v>1704</v>
      </c>
      <c r="Z386" s="47" t="s">
        <v>9</v>
      </c>
      <c r="AA386" s="37" t="s">
        <v>1706</v>
      </c>
      <c r="AB386" s="47" t="s">
        <v>9</v>
      </c>
      <c r="AC386" s="19" t="s">
        <v>463</v>
      </c>
      <c r="AD386" s="47" t="s">
        <v>9</v>
      </c>
    </row>
    <row r="387" spans="1:30" ht="6.75" customHeight="1" x14ac:dyDescent="0.25">
      <c r="A387" s="38">
        <v>387</v>
      </c>
      <c r="B387" s="1" t="s">
        <v>726</v>
      </c>
      <c r="C387" s="1" t="s">
        <v>1662</v>
      </c>
      <c r="D387" s="1" t="s">
        <v>1663</v>
      </c>
      <c r="E387" s="57" t="s">
        <v>2061</v>
      </c>
      <c r="F387" s="57" t="s">
        <v>1484</v>
      </c>
      <c r="G387" s="39" t="s">
        <v>9</v>
      </c>
      <c r="H387" s="39" t="s">
        <v>9</v>
      </c>
      <c r="I387" s="39" t="s">
        <v>9</v>
      </c>
      <c r="J387" s="39" t="s">
        <v>9</v>
      </c>
      <c r="K387" s="39" t="s">
        <v>9</v>
      </c>
      <c r="L387" s="23" t="str">
        <f t="shared" si="68"/>
        <v>De.Climatização</v>
      </c>
      <c r="M387" s="23" t="str">
        <f t="shared" si="69"/>
        <v>Dutos.de.Avac</v>
      </c>
      <c r="N387" s="23" t="str">
        <f t="shared" si="67"/>
        <v>Peça de Avac</v>
      </c>
      <c r="O387" s="23" t="str">
        <f t="shared" si="70"/>
        <v>Equ Avac</v>
      </c>
      <c r="P387" s="19" t="s">
        <v>1486</v>
      </c>
      <c r="Q387" s="19" t="s">
        <v>1491</v>
      </c>
      <c r="R387" s="19" t="s">
        <v>1492</v>
      </c>
      <c r="S387" s="54" t="s">
        <v>9</v>
      </c>
      <c r="T387" s="46" t="str">
        <f t="shared" si="72"/>
        <v>De Climatização</v>
      </c>
      <c r="U387" s="46" t="str">
        <f t="shared" si="73"/>
        <v>Dutos de Avac</v>
      </c>
      <c r="V387" s="46" t="str">
        <f t="shared" si="73"/>
        <v>Peça de Avac</v>
      </c>
      <c r="W387" s="19" t="s">
        <v>459</v>
      </c>
      <c r="X387" s="40" t="str">
        <f t="shared" si="71"/>
        <v>Key-TUB-387</v>
      </c>
      <c r="Y387" s="19" t="s">
        <v>1704</v>
      </c>
      <c r="Z387" s="47" t="s">
        <v>9</v>
      </c>
      <c r="AA387" s="37" t="s">
        <v>1706</v>
      </c>
      <c r="AB387" s="47" t="s">
        <v>9</v>
      </c>
      <c r="AC387" s="19" t="s">
        <v>463</v>
      </c>
      <c r="AD387" s="47" t="s">
        <v>9</v>
      </c>
    </row>
    <row r="388" spans="1:30" ht="6.75" customHeight="1" x14ac:dyDescent="0.25">
      <c r="A388" s="38">
        <v>388</v>
      </c>
      <c r="B388" s="1" t="s">
        <v>726</v>
      </c>
      <c r="C388" s="1" t="s">
        <v>1662</v>
      </c>
      <c r="D388" s="1" t="s">
        <v>1663</v>
      </c>
      <c r="E388" s="57" t="s">
        <v>2061</v>
      </c>
      <c r="F388" s="57" t="s">
        <v>1483</v>
      </c>
      <c r="G388" s="39" t="s">
        <v>9</v>
      </c>
      <c r="H388" s="39" t="s">
        <v>9</v>
      </c>
      <c r="I388" s="39" t="s">
        <v>9</v>
      </c>
      <c r="J388" s="39" t="s">
        <v>9</v>
      </c>
      <c r="K388" s="39" t="s">
        <v>9</v>
      </c>
      <c r="L388" s="23" t="str">
        <f t="shared" si="68"/>
        <v>De.Climatização</v>
      </c>
      <c r="M388" s="23" t="str">
        <f t="shared" si="69"/>
        <v>Dutos.de.Avac</v>
      </c>
      <c r="N388" s="23" t="str">
        <f t="shared" si="67"/>
        <v>Peça de Avac</v>
      </c>
      <c r="O388" s="23" t="str">
        <f t="shared" si="70"/>
        <v>Dut Avac</v>
      </c>
      <c r="P388" s="19" t="s">
        <v>1487</v>
      </c>
      <c r="Q388" s="19" t="s">
        <v>1493</v>
      </c>
      <c r="R388" s="19" t="s">
        <v>1494</v>
      </c>
      <c r="S388" s="54" t="s">
        <v>9</v>
      </c>
      <c r="T388" s="46" t="str">
        <f t="shared" si="72"/>
        <v>De Climatização</v>
      </c>
      <c r="U388" s="46" t="str">
        <f t="shared" si="73"/>
        <v>Dutos de Avac</v>
      </c>
      <c r="V388" s="46" t="str">
        <f t="shared" si="73"/>
        <v>Peça de Avac</v>
      </c>
      <c r="W388" s="19" t="s">
        <v>459</v>
      </c>
      <c r="X388" s="40" t="str">
        <f t="shared" si="71"/>
        <v>Key-TUB-388</v>
      </c>
      <c r="Y388" s="19" t="s">
        <v>1704</v>
      </c>
      <c r="Z388" s="47" t="s">
        <v>9</v>
      </c>
      <c r="AA388" s="37" t="s">
        <v>1706</v>
      </c>
      <c r="AB388" s="47" t="s">
        <v>9</v>
      </c>
      <c r="AC388" s="19" t="s">
        <v>463</v>
      </c>
      <c r="AD388" s="47" t="s">
        <v>9</v>
      </c>
    </row>
    <row r="389" spans="1:30" ht="6.75" customHeight="1" x14ac:dyDescent="0.25">
      <c r="A389" s="38">
        <v>389</v>
      </c>
      <c r="B389" s="1" t="s">
        <v>726</v>
      </c>
      <c r="C389" s="1" t="s">
        <v>1662</v>
      </c>
      <c r="D389" s="1" t="s">
        <v>1663</v>
      </c>
      <c r="E389" s="57" t="s">
        <v>2061</v>
      </c>
      <c r="F389" s="57" t="s">
        <v>728</v>
      </c>
      <c r="G389" s="39" t="s">
        <v>9</v>
      </c>
      <c r="H389" s="39" t="s">
        <v>9</v>
      </c>
      <c r="I389" s="39" t="s">
        <v>9</v>
      </c>
      <c r="J389" s="39" t="s">
        <v>9</v>
      </c>
      <c r="K389" s="39" t="s">
        <v>9</v>
      </c>
      <c r="L389" s="23" t="str">
        <f t="shared" si="68"/>
        <v>De.Climatização</v>
      </c>
      <c r="M389" s="23" t="str">
        <f t="shared" si="69"/>
        <v>Dutos.de.Avac</v>
      </c>
      <c r="N389" s="23" t="str">
        <f t="shared" si="67"/>
        <v>Peça de Avac</v>
      </c>
      <c r="O389" s="23" t="str">
        <f t="shared" si="70"/>
        <v>Tub Avac</v>
      </c>
      <c r="P389" s="19" t="s">
        <v>1488</v>
      </c>
      <c r="Q389" s="19" t="s">
        <v>733</v>
      </c>
      <c r="R389" s="19" t="s">
        <v>1495</v>
      </c>
      <c r="S389" s="54" t="s">
        <v>9</v>
      </c>
      <c r="T389" s="46" t="str">
        <f t="shared" si="72"/>
        <v>De Climatização</v>
      </c>
      <c r="U389" s="46" t="str">
        <f t="shared" si="73"/>
        <v>Dutos de Avac</v>
      </c>
      <c r="V389" s="46" t="str">
        <f t="shared" si="73"/>
        <v>Peça de Avac</v>
      </c>
      <c r="W389" s="19" t="s">
        <v>459</v>
      </c>
      <c r="X389" s="40" t="str">
        <f t="shared" si="71"/>
        <v>Key-TUB-389</v>
      </c>
      <c r="Y389" s="19" t="s">
        <v>1705</v>
      </c>
      <c r="Z389" s="47" t="s">
        <v>9</v>
      </c>
      <c r="AA389" s="19" t="s">
        <v>1707</v>
      </c>
      <c r="AB389" s="47" t="s">
        <v>9</v>
      </c>
      <c r="AC389" s="19" t="s">
        <v>463</v>
      </c>
      <c r="AD389" s="47" t="s">
        <v>9</v>
      </c>
    </row>
    <row r="390" spans="1:30" s="48" customFormat="1" ht="6.75" customHeight="1" x14ac:dyDescent="0.2">
      <c r="A390" s="38">
        <v>390</v>
      </c>
      <c r="B390" s="1" t="s">
        <v>726</v>
      </c>
      <c r="C390" s="49" t="s">
        <v>1662</v>
      </c>
      <c r="D390" s="49" t="s">
        <v>1664</v>
      </c>
      <c r="E390" s="49" t="s">
        <v>1691</v>
      </c>
      <c r="F390" s="49" t="s">
        <v>1665</v>
      </c>
      <c r="G390" s="39" t="s">
        <v>9</v>
      </c>
      <c r="H390" s="39" t="s">
        <v>9</v>
      </c>
      <c r="I390" s="39" t="s">
        <v>9</v>
      </c>
      <c r="J390" s="39" t="s">
        <v>9</v>
      </c>
      <c r="K390" s="39" t="s">
        <v>9</v>
      </c>
      <c r="L390" s="23" t="str">
        <f t="shared" si="68"/>
        <v>De.Climatização</v>
      </c>
      <c r="M390" s="23" t="str">
        <f t="shared" si="69"/>
        <v>Qualidade.de.Ar</v>
      </c>
      <c r="N390" s="23" t="str">
        <f t="shared" si="67"/>
        <v>Ar Interior</v>
      </c>
      <c r="O390" s="23" t="str">
        <f t="shared" si="70"/>
        <v>Ar Aquecido</v>
      </c>
      <c r="P390" s="19" t="s">
        <v>1666</v>
      </c>
      <c r="Q390" s="61" t="str">
        <f t="shared" ref="Q390:Q398" si="74">_xlfn.TRANSLATE(P390,"pt","es")</f>
        <v>Proyecto de instalación de calefacción de aire.</v>
      </c>
      <c r="R390" s="61" t="s">
        <v>1667</v>
      </c>
      <c r="S390" s="54" t="s">
        <v>9</v>
      </c>
      <c r="T390" s="19" t="str">
        <f t="shared" ref="T390:T398" si="75">SUBSTITUTE(C390, ".", " ")</f>
        <v>De Climatização</v>
      </c>
      <c r="U390" s="19" t="str">
        <f t="shared" ref="U390:V404" si="76">SUBSTITUTE(D390, ".", " ")</f>
        <v>Qualidade de Ar</v>
      </c>
      <c r="V390" s="46" t="str">
        <f t="shared" si="76"/>
        <v>Ar Interior</v>
      </c>
      <c r="W390" s="19" t="s">
        <v>459</v>
      </c>
      <c r="X390" s="40" t="str">
        <f t="shared" si="71"/>
        <v>Key-TUB-390</v>
      </c>
      <c r="Y390" s="19" t="s">
        <v>1704</v>
      </c>
      <c r="Z390" s="47" t="s">
        <v>9</v>
      </c>
      <c r="AA390" s="37" t="s">
        <v>1706</v>
      </c>
      <c r="AB390" s="47" t="s">
        <v>9</v>
      </c>
      <c r="AC390" s="47" t="s">
        <v>9</v>
      </c>
      <c r="AD390" s="47" t="s">
        <v>9</v>
      </c>
    </row>
    <row r="391" spans="1:30" s="48" customFormat="1" ht="6.75" customHeight="1" x14ac:dyDescent="0.2">
      <c r="A391" s="38">
        <v>391</v>
      </c>
      <c r="B391" s="1" t="s">
        <v>726</v>
      </c>
      <c r="C391" s="49" t="s">
        <v>1662</v>
      </c>
      <c r="D391" s="49" t="s">
        <v>1664</v>
      </c>
      <c r="E391" s="49" t="s">
        <v>1691</v>
      </c>
      <c r="F391" s="49" t="s">
        <v>1687</v>
      </c>
      <c r="G391" s="39" t="s">
        <v>9</v>
      </c>
      <c r="H391" s="39" t="s">
        <v>9</v>
      </c>
      <c r="I391" s="39" t="s">
        <v>9</v>
      </c>
      <c r="J391" s="39" t="s">
        <v>9</v>
      </c>
      <c r="K391" s="39" t="s">
        <v>9</v>
      </c>
      <c r="L391" s="23" t="str">
        <f t="shared" si="68"/>
        <v>De.Climatização</v>
      </c>
      <c r="M391" s="23" t="str">
        <f t="shared" si="69"/>
        <v>Qualidade.de.Ar</v>
      </c>
      <c r="N391" s="23" t="str">
        <f t="shared" si="67"/>
        <v>Ar Interior</v>
      </c>
      <c r="O391" s="23" t="str">
        <f t="shared" si="70"/>
        <v>Ar Resfriado</v>
      </c>
      <c r="P391" s="19" t="s">
        <v>1688</v>
      </c>
      <c r="Q391" s="61" t="str">
        <f t="shared" si="74"/>
        <v>Proyecto de instalación de refrigeración por aire.</v>
      </c>
      <c r="R391" s="61" t="s">
        <v>1690</v>
      </c>
      <c r="S391" s="54" t="s">
        <v>9</v>
      </c>
      <c r="T391" s="19" t="str">
        <f t="shared" si="75"/>
        <v>De Climatização</v>
      </c>
      <c r="U391" s="19" t="str">
        <f t="shared" si="76"/>
        <v>Qualidade de Ar</v>
      </c>
      <c r="V391" s="46" t="str">
        <f t="shared" si="76"/>
        <v>Ar Interior</v>
      </c>
      <c r="W391" s="19" t="s">
        <v>459</v>
      </c>
      <c r="X391" s="40" t="str">
        <f t="shared" si="71"/>
        <v>Key-TUB-391</v>
      </c>
      <c r="Y391" s="19" t="s">
        <v>1704</v>
      </c>
      <c r="Z391" s="47" t="s">
        <v>9</v>
      </c>
      <c r="AA391" s="37" t="s">
        <v>1706</v>
      </c>
      <c r="AB391" s="47" t="s">
        <v>9</v>
      </c>
      <c r="AC391" s="47" t="s">
        <v>9</v>
      </c>
      <c r="AD391" s="47" t="s">
        <v>9</v>
      </c>
    </row>
    <row r="392" spans="1:30" s="48" customFormat="1" ht="6.75" customHeight="1" x14ac:dyDescent="0.2">
      <c r="A392" s="38">
        <v>392</v>
      </c>
      <c r="B392" s="1" t="s">
        <v>726</v>
      </c>
      <c r="C392" s="49" t="s">
        <v>1662</v>
      </c>
      <c r="D392" s="49" t="s">
        <v>1664</v>
      </c>
      <c r="E392" s="49" t="s">
        <v>1691</v>
      </c>
      <c r="F392" s="49" t="s">
        <v>1668</v>
      </c>
      <c r="G392" s="39" t="s">
        <v>9</v>
      </c>
      <c r="H392" s="39" t="s">
        <v>9</v>
      </c>
      <c r="I392" s="39" t="s">
        <v>9</v>
      </c>
      <c r="J392" s="39" t="s">
        <v>9</v>
      </c>
      <c r="K392" s="39" t="s">
        <v>9</v>
      </c>
      <c r="L392" s="23" t="str">
        <f t="shared" si="68"/>
        <v>De.Climatização</v>
      </c>
      <c r="M392" s="23" t="str">
        <f t="shared" si="69"/>
        <v>Qualidade.de.Ar</v>
      </c>
      <c r="N392" s="23" t="str">
        <f t="shared" si="67"/>
        <v>Ar Interior</v>
      </c>
      <c r="O392" s="23" t="str">
        <f t="shared" si="70"/>
        <v>Ar Insuflado</v>
      </c>
      <c r="P392" s="19" t="s">
        <v>1669</v>
      </c>
      <c r="Q392" s="61" t="str">
        <f t="shared" si="74"/>
        <v>Proyecto de instalación de refrigeración por aire (inflado).</v>
      </c>
      <c r="R392" s="61" t="s">
        <v>1670</v>
      </c>
      <c r="S392" s="54" t="s">
        <v>9</v>
      </c>
      <c r="T392" s="19" t="str">
        <f t="shared" si="75"/>
        <v>De Climatização</v>
      </c>
      <c r="U392" s="19" t="str">
        <f t="shared" si="76"/>
        <v>Qualidade de Ar</v>
      </c>
      <c r="V392" s="46" t="str">
        <f t="shared" si="76"/>
        <v>Ar Interior</v>
      </c>
      <c r="W392" s="19" t="s">
        <v>459</v>
      </c>
      <c r="X392" s="40" t="str">
        <f t="shared" si="71"/>
        <v>Key-TUB-392</v>
      </c>
      <c r="Y392" s="19" t="s">
        <v>1704</v>
      </c>
      <c r="Z392" s="47" t="s">
        <v>9</v>
      </c>
      <c r="AA392" s="37" t="s">
        <v>1706</v>
      </c>
      <c r="AB392" s="47" t="s">
        <v>9</v>
      </c>
      <c r="AC392" s="47" t="s">
        <v>9</v>
      </c>
      <c r="AD392" s="47" t="s">
        <v>9</v>
      </c>
    </row>
    <row r="393" spans="1:30" s="48" customFormat="1" ht="6.75" customHeight="1" x14ac:dyDescent="0.2">
      <c r="A393" s="38">
        <v>393</v>
      </c>
      <c r="B393" s="1" t="s">
        <v>726</v>
      </c>
      <c r="C393" s="49" t="s">
        <v>1662</v>
      </c>
      <c r="D393" s="49" t="s">
        <v>1664</v>
      </c>
      <c r="E393" s="49" t="s">
        <v>1691</v>
      </c>
      <c r="F393" s="49" t="s">
        <v>1671</v>
      </c>
      <c r="G393" s="39" t="s">
        <v>9</v>
      </c>
      <c r="H393" s="39" t="s">
        <v>9</v>
      </c>
      <c r="I393" s="39" t="s">
        <v>9</v>
      </c>
      <c r="J393" s="39" t="s">
        <v>9</v>
      </c>
      <c r="K393" s="39" t="s">
        <v>9</v>
      </c>
      <c r="L393" s="23" t="str">
        <f t="shared" si="68"/>
        <v>De.Climatização</v>
      </c>
      <c r="M393" s="23" t="str">
        <f t="shared" si="69"/>
        <v>Qualidade.de.Ar</v>
      </c>
      <c r="N393" s="23" t="str">
        <f t="shared" si="67"/>
        <v>Ar Interior</v>
      </c>
      <c r="O393" s="23" t="str">
        <f t="shared" si="70"/>
        <v>Ar Retornado</v>
      </c>
      <c r="P393" s="19" t="s">
        <v>1672</v>
      </c>
      <c r="Q393" s="61" t="str">
        <f t="shared" si="74"/>
        <v>Proyecto de instalación de refrigeración por aire (Retorno).</v>
      </c>
      <c r="R393" s="61" t="s">
        <v>1673</v>
      </c>
      <c r="S393" s="54" t="s">
        <v>9</v>
      </c>
      <c r="T393" s="19" t="str">
        <f t="shared" si="75"/>
        <v>De Climatização</v>
      </c>
      <c r="U393" s="19" t="str">
        <f t="shared" si="76"/>
        <v>Qualidade de Ar</v>
      </c>
      <c r="V393" s="46" t="str">
        <f t="shared" si="76"/>
        <v>Ar Interior</v>
      </c>
      <c r="W393" s="19" t="s">
        <v>459</v>
      </c>
      <c r="X393" s="40" t="str">
        <f t="shared" si="71"/>
        <v>Key-TUB-393</v>
      </c>
      <c r="Y393" s="19" t="s">
        <v>1704</v>
      </c>
      <c r="Z393" s="47" t="s">
        <v>9</v>
      </c>
      <c r="AA393" s="37" t="s">
        <v>1706</v>
      </c>
      <c r="AB393" s="47" t="s">
        <v>9</v>
      </c>
      <c r="AC393" s="47" t="s">
        <v>9</v>
      </c>
      <c r="AD393" s="47" t="s">
        <v>9</v>
      </c>
    </row>
    <row r="394" spans="1:30" s="48" customFormat="1" ht="6.75" customHeight="1" x14ac:dyDescent="0.2">
      <c r="A394" s="38">
        <v>394</v>
      </c>
      <c r="B394" s="1" t="s">
        <v>726</v>
      </c>
      <c r="C394" s="49" t="s">
        <v>1662</v>
      </c>
      <c r="D394" s="49" t="s">
        <v>1664</v>
      </c>
      <c r="E394" s="49" t="s">
        <v>1691</v>
      </c>
      <c r="F394" s="49" t="s">
        <v>1686</v>
      </c>
      <c r="G394" s="39" t="s">
        <v>9</v>
      </c>
      <c r="H394" s="39" t="s">
        <v>9</v>
      </c>
      <c r="I394" s="39" t="s">
        <v>9</v>
      </c>
      <c r="J394" s="39" t="s">
        <v>9</v>
      </c>
      <c r="K394" s="39" t="s">
        <v>9</v>
      </c>
      <c r="L394" s="23" t="str">
        <f t="shared" si="68"/>
        <v>De.Climatização</v>
      </c>
      <c r="M394" s="23" t="str">
        <f t="shared" si="69"/>
        <v>Qualidade.de.Ar</v>
      </c>
      <c r="N394" s="23" t="str">
        <f t="shared" si="67"/>
        <v>Ar Interior</v>
      </c>
      <c r="O394" s="23" t="str">
        <f t="shared" si="70"/>
        <v>Ar Exausto</v>
      </c>
      <c r="P394" s="19" t="s">
        <v>1689</v>
      </c>
      <c r="Q394" s="61" t="str">
        <f t="shared" si="74"/>
        <v>Proyecto de instalación de extractores de aire mecánicos.</v>
      </c>
      <c r="R394" s="61" t="s">
        <v>1674</v>
      </c>
      <c r="S394" s="54" t="s">
        <v>9</v>
      </c>
      <c r="T394" s="19" t="str">
        <f t="shared" si="75"/>
        <v>De Climatização</v>
      </c>
      <c r="U394" s="19" t="str">
        <f t="shared" si="76"/>
        <v>Qualidade de Ar</v>
      </c>
      <c r="V394" s="46" t="str">
        <f t="shared" si="76"/>
        <v>Ar Interior</v>
      </c>
      <c r="W394" s="19" t="s">
        <v>459</v>
      </c>
      <c r="X394" s="40" t="str">
        <f t="shared" si="71"/>
        <v>Key-TUB-394</v>
      </c>
      <c r="Y394" s="19" t="s">
        <v>1704</v>
      </c>
      <c r="Z394" s="47" t="s">
        <v>9</v>
      </c>
      <c r="AA394" s="37" t="s">
        <v>1706</v>
      </c>
      <c r="AB394" s="47" t="s">
        <v>9</v>
      </c>
      <c r="AC394" s="47" t="s">
        <v>9</v>
      </c>
      <c r="AD394" s="47" t="s">
        <v>9</v>
      </c>
    </row>
    <row r="395" spans="1:30" s="48" customFormat="1" ht="6.75" customHeight="1" x14ac:dyDescent="0.2">
      <c r="A395" s="38">
        <v>395</v>
      </c>
      <c r="B395" s="1" t="s">
        <v>726</v>
      </c>
      <c r="C395" s="49" t="s">
        <v>1662</v>
      </c>
      <c r="D395" s="49" t="s">
        <v>1664</v>
      </c>
      <c r="E395" s="49" t="s">
        <v>1691</v>
      </c>
      <c r="F395" s="49" t="s">
        <v>1685</v>
      </c>
      <c r="G395" s="39" t="s">
        <v>9</v>
      </c>
      <c r="H395" s="39" t="s">
        <v>9</v>
      </c>
      <c r="I395" s="39" t="s">
        <v>9</v>
      </c>
      <c r="J395" s="39" t="s">
        <v>9</v>
      </c>
      <c r="K395" s="39" t="s">
        <v>9</v>
      </c>
      <c r="L395" s="23" t="str">
        <f t="shared" si="68"/>
        <v>De.Climatização</v>
      </c>
      <c r="M395" s="23" t="str">
        <f t="shared" si="69"/>
        <v>Qualidade.de.Ar</v>
      </c>
      <c r="N395" s="23" t="str">
        <f t="shared" si="67"/>
        <v>Ar Interior</v>
      </c>
      <c r="O395" s="23" t="str">
        <f t="shared" si="70"/>
        <v>Ar Ventilado</v>
      </c>
      <c r="P395" s="19" t="s">
        <v>1675</v>
      </c>
      <c r="Q395" s="61" t="str">
        <f t="shared" si="74"/>
        <v>Proyecto de instalación de ventilación del aire interior.</v>
      </c>
      <c r="R395" s="61" t="s">
        <v>1676</v>
      </c>
      <c r="S395" s="54" t="s">
        <v>9</v>
      </c>
      <c r="T395" s="19" t="str">
        <f t="shared" si="75"/>
        <v>De Climatização</v>
      </c>
      <c r="U395" s="19" t="str">
        <f t="shared" si="76"/>
        <v>Qualidade de Ar</v>
      </c>
      <c r="V395" s="46" t="str">
        <f t="shared" si="76"/>
        <v>Ar Interior</v>
      </c>
      <c r="W395" s="19" t="s">
        <v>459</v>
      </c>
      <c r="X395" s="40" t="str">
        <f t="shared" si="71"/>
        <v>Key-TUB-395</v>
      </c>
      <c r="Y395" s="19" t="s">
        <v>1704</v>
      </c>
      <c r="Z395" s="47" t="s">
        <v>9</v>
      </c>
      <c r="AA395" s="37" t="s">
        <v>1706</v>
      </c>
      <c r="AB395" s="47" t="s">
        <v>9</v>
      </c>
      <c r="AC395" s="47" t="s">
        <v>9</v>
      </c>
      <c r="AD395" s="47" t="s">
        <v>9</v>
      </c>
    </row>
    <row r="396" spans="1:30" s="48" customFormat="1" ht="6.75" customHeight="1" x14ac:dyDescent="0.2">
      <c r="A396" s="38">
        <v>396</v>
      </c>
      <c r="B396" s="1" t="s">
        <v>726</v>
      </c>
      <c r="C396" s="49" t="s">
        <v>1662</v>
      </c>
      <c r="D396" s="49" t="s">
        <v>1664</v>
      </c>
      <c r="E396" s="49" t="s">
        <v>1691</v>
      </c>
      <c r="F396" s="49" t="s">
        <v>1677</v>
      </c>
      <c r="G396" s="39" t="s">
        <v>9</v>
      </c>
      <c r="H396" s="39" t="s">
        <v>9</v>
      </c>
      <c r="I396" s="39" t="s">
        <v>9</v>
      </c>
      <c r="J396" s="39" t="s">
        <v>9</v>
      </c>
      <c r="K396" s="39" t="s">
        <v>9</v>
      </c>
      <c r="L396" s="23" t="str">
        <f t="shared" si="68"/>
        <v>De.Climatização</v>
      </c>
      <c r="M396" s="23" t="str">
        <f t="shared" si="69"/>
        <v>Qualidade.de.Ar</v>
      </c>
      <c r="N396" s="23" t="str">
        <f t="shared" si="67"/>
        <v>Ar Interior</v>
      </c>
      <c r="O396" s="23" t="str">
        <f t="shared" si="70"/>
        <v>Ar Filtrado Interno</v>
      </c>
      <c r="P396" s="19" t="s">
        <v>1678</v>
      </c>
      <c r="Q396" s="61" t="str">
        <f t="shared" si="74"/>
        <v>Proyecto de instalación de filtración de aire interior.</v>
      </c>
      <c r="R396" s="61" t="s">
        <v>1679</v>
      </c>
      <c r="S396" s="54" t="s">
        <v>9</v>
      </c>
      <c r="T396" s="19" t="str">
        <f t="shared" si="75"/>
        <v>De Climatização</v>
      </c>
      <c r="U396" s="19" t="str">
        <f t="shared" si="76"/>
        <v>Qualidade de Ar</v>
      </c>
      <c r="V396" s="46" t="str">
        <f t="shared" si="76"/>
        <v>Ar Interior</v>
      </c>
      <c r="W396" s="19" t="s">
        <v>459</v>
      </c>
      <c r="X396" s="40" t="str">
        <f t="shared" si="71"/>
        <v>Key-TUB-396</v>
      </c>
      <c r="Y396" s="19" t="s">
        <v>1704</v>
      </c>
      <c r="Z396" s="47" t="s">
        <v>9</v>
      </c>
      <c r="AA396" s="37" t="s">
        <v>1706</v>
      </c>
      <c r="AB396" s="47" t="s">
        <v>9</v>
      </c>
      <c r="AC396" s="47" t="s">
        <v>9</v>
      </c>
      <c r="AD396" s="47" t="s">
        <v>9</v>
      </c>
    </row>
    <row r="397" spans="1:30" s="48" customFormat="1" ht="6.75" customHeight="1" x14ac:dyDescent="0.2">
      <c r="A397" s="38">
        <v>397</v>
      </c>
      <c r="B397" s="1" t="s">
        <v>726</v>
      </c>
      <c r="C397" s="49" t="s">
        <v>1662</v>
      </c>
      <c r="D397" s="49" t="s">
        <v>1664</v>
      </c>
      <c r="E397" s="49" t="s">
        <v>1692</v>
      </c>
      <c r="F397" s="49" t="s">
        <v>1680</v>
      </c>
      <c r="G397" s="39" t="s">
        <v>9</v>
      </c>
      <c r="H397" s="39" t="s">
        <v>9</v>
      </c>
      <c r="I397" s="39" t="s">
        <v>9</v>
      </c>
      <c r="J397" s="39" t="s">
        <v>9</v>
      </c>
      <c r="K397" s="39" t="s">
        <v>9</v>
      </c>
      <c r="L397" s="23" t="str">
        <f t="shared" si="68"/>
        <v>De.Climatização</v>
      </c>
      <c r="M397" s="23" t="str">
        <f t="shared" si="69"/>
        <v>Qualidade.de.Ar</v>
      </c>
      <c r="N397" s="23" t="str">
        <f t="shared" si="67"/>
        <v>Ar Exterior</v>
      </c>
      <c r="O397" s="23" t="str">
        <f t="shared" si="70"/>
        <v>Ar Filtrado Externo</v>
      </c>
      <c r="P397" s="19" t="s">
        <v>1681</v>
      </c>
      <c r="Q397" s="61" t="str">
        <f t="shared" si="74"/>
        <v>Proyecto de instalación de filtración de aire exterior.</v>
      </c>
      <c r="R397" s="61" t="s">
        <v>1682</v>
      </c>
      <c r="S397" s="54" t="s">
        <v>9</v>
      </c>
      <c r="T397" s="19" t="str">
        <f t="shared" si="75"/>
        <v>De Climatização</v>
      </c>
      <c r="U397" s="19" t="str">
        <f t="shared" si="76"/>
        <v>Qualidade de Ar</v>
      </c>
      <c r="V397" s="46" t="str">
        <f t="shared" si="76"/>
        <v>Ar Exterior</v>
      </c>
      <c r="W397" s="19" t="s">
        <v>459</v>
      </c>
      <c r="X397" s="40" t="str">
        <f t="shared" si="71"/>
        <v>Key-TUB-397</v>
      </c>
      <c r="Y397" s="19" t="s">
        <v>1704</v>
      </c>
      <c r="Z397" s="47" t="s">
        <v>9</v>
      </c>
      <c r="AA397" s="37" t="s">
        <v>1706</v>
      </c>
      <c r="AB397" s="47" t="s">
        <v>9</v>
      </c>
      <c r="AC397" s="47" t="s">
        <v>9</v>
      </c>
      <c r="AD397" s="47" t="s">
        <v>9</v>
      </c>
    </row>
    <row r="398" spans="1:30" s="48" customFormat="1" ht="6.75" customHeight="1" x14ac:dyDescent="0.2">
      <c r="A398" s="38">
        <v>398</v>
      </c>
      <c r="B398" s="1" t="s">
        <v>726</v>
      </c>
      <c r="C398" s="49" t="s">
        <v>1662</v>
      </c>
      <c r="D398" s="49" t="s">
        <v>1664</v>
      </c>
      <c r="E398" s="49" t="s">
        <v>1692</v>
      </c>
      <c r="F398" s="49" t="s">
        <v>1693</v>
      </c>
      <c r="G398" s="39" t="s">
        <v>9</v>
      </c>
      <c r="H398" s="39" t="s">
        <v>9</v>
      </c>
      <c r="I398" s="39" t="s">
        <v>9</v>
      </c>
      <c r="J398" s="39" t="s">
        <v>9</v>
      </c>
      <c r="K398" s="39" t="s">
        <v>9</v>
      </c>
      <c r="L398" s="23" t="str">
        <f t="shared" si="68"/>
        <v>De.Climatização</v>
      </c>
      <c r="M398" s="23" t="str">
        <f t="shared" si="69"/>
        <v>Qualidade.de.Ar</v>
      </c>
      <c r="N398" s="23" t="str">
        <f t="shared" si="67"/>
        <v>Ar Exterior</v>
      </c>
      <c r="O398" s="23" t="str">
        <f t="shared" si="70"/>
        <v>Ar Captado</v>
      </c>
      <c r="P398" s="19" t="s">
        <v>1683</v>
      </c>
      <c r="Q398" s="61" t="str">
        <f t="shared" si="74"/>
        <v>Proyecto de instalación de la toma de aire exterior.</v>
      </c>
      <c r="R398" s="61" t="s">
        <v>1684</v>
      </c>
      <c r="S398" s="54" t="s">
        <v>9</v>
      </c>
      <c r="T398" s="19" t="str">
        <f t="shared" si="75"/>
        <v>De Climatização</v>
      </c>
      <c r="U398" s="19" t="str">
        <f t="shared" si="76"/>
        <v>Qualidade de Ar</v>
      </c>
      <c r="V398" s="46" t="str">
        <f t="shared" si="76"/>
        <v>Ar Exterior</v>
      </c>
      <c r="W398" s="19" t="s">
        <v>459</v>
      </c>
      <c r="X398" s="40" t="str">
        <f t="shared" si="71"/>
        <v>Key-TUB-398</v>
      </c>
      <c r="Y398" s="19" t="s">
        <v>1704</v>
      </c>
      <c r="Z398" s="47" t="s">
        <v>9</v>
      </c>
      <c r="AA398" s="37" t="s">
        <v>1706</v>
      </c>
      <c r="AB398" s="47" t="s">
        <v>9</v>
      </c>
      <c r="AC398" s="47" t="s">
        <v>9</v>
      </c>
      <c r="AD398" s="47" t="s">
        <v>9</v>
      </c>
    </row>
    <row r="399" spans="1:30" ht="6.75" customHeight="1" x14ac:dyDescent="0.25">
      <c r="A399" s="38">
        <v>399</v>
      </c>
      <c r="B399" s="1" t="s">
        <v>726</v>
      </c>
      <c r="C399" s="1" t="s">
        <v>1653</v>
      </c>
      <c r="D399" s="1" t="s">
        <v>1652</v>
      </c>
      <c r="E399" s="57" t="s">
        <v>2073</v>
      </c>
      <c r="F399" s="57" t="s">
        <v>1480</v>
      </c>
      <c r="G399" s="39" t="s">
        <v>9</v>
      </c>
      <c r="H399" s="39" t="s">
        <v>9</v>
      </c>
      <c r="I399" s="39" t="s">
        <v>9</v>
      </c>
      <c r="J399" s="39" t="s">
        <v>9</v>
      </c>
      <c r="K399" s="39" t="s">
        <v>9</v>
      </c>
      <c r="L399" s="23" t="str">
        <f t="shared" si="68"/>
        <v>De.Objetos.Passivos</v>
      </c>
      <c r="M399" s="23" t="str">
        <f t="shared" si="69"/>
        <v>Objetos.Passivos.Incêndio</v>
      </c>
      <c r="N399" s="23" t="str">
        <f t="shared" ref="N399:O409" si="77">(SUBSTITUTE(SUBSTITUTE(CONCATENATE("",E399),"."," ")," De "," de "))</f>
        <v>Peça Passiva Incêndio</v>
      </c>
      <c r="O399" s="23" t="str">
        <f t="shared" si="70"/>
        <v>Corta Fogo Porta</v>
      </c>
      <c r="P399" s="19" t="s">
        <v>1356</v>
      </c>
      <c r="Q399" s="19" t="s">
        <v>1357</v>
      </c>
      <c r="R399" s="19" t="s">
        <v>1358</v>
      </c>
      <c r="S399" s="54" t="s">
        <v>9</v>
      </c>
      <c r="T399" s="46" t="str">
        <f t="shared" ref="T399:V409" si="78">SUBSTITUTE(C399, ".", " ")</f>
        <v>De Objetos Passivos</v>
      </c>
      <c r="U399" s="46" t="str">
        <f t="shared" si="78"/>
        <v>Objetos Passivos Incêndio</v>
      </c>
      <c r="V399" s="46" t="str">
        <f t="shared" si="76"/>
        <v>Peça Passiva Incêndio</v>
      </c>
      <c r="W399" s="19" t="s">
        <v>459</v>
      </c>
      <c r="X399" s="40" t="str">
        <f t="shared" si="71"/>
        <v>Key-TUB-399</v>
      </c>
      <c r="Y399" s="37" t="s">
        <v>1359</v>
      </c>
      <c r="Z399" s="47" t="s">
        <v>9</v>
      </c>
      <c r="AA399" s="37" t="s">
        <v>1360</v>
      </c>
      <c r="AB399" s="47" t="s">
        <v>9</v>
      </c>
      <c r="AC399" s="19" t="s">
        <v>1266</v>
      </c>
      <c r="AD399" s="47" t="s">
        <v>9</v>
      </c>
    </row>
    <row r="400" spans="1:30" ht="6.75" customHeight="1" x14ac:dyDescent="0.25">
      <c r="A400" s="38">
        <v>400</v>
      </c>
      <c r="B400" s="1" t="s">
        <v>726</v>
      </c>
      <c r="C400" s="1" t="s">
        <v>1653</v>
      </c>
      <c r="D400" s="1" t="s">
        <v>1652</v>
      </c>
      <c r="E400" s="57" t="s">
        <v>2073</v>
      </c>
      <c r="F400" s="57" t="s">
        <v>1482</v>
      </c>
      <c r="G400" s="39" t="s">
        <v>9</v>
      </c>
      <c r="H400" s="39" t="s">
        <v>9</v>
      </c>
      <c r="I400" s="39" t="s">
        <v>9</v>
      </c>
      <c r="J400" s="39" t="s">
        <v>9</v>
      </c>
      <c r="K400" s="39" t="s">
        <v>9</v>
      </c>
      <c r="L400" s="23" t="str">
        <f t="shared" ref="L400:M409" si="79">CONCATENATE("", C400)</f>
        <v>De.Objetos.Passivos</v>
      </c>
      <c r="M400" s="23" t="str">
        <f t="shared" ref="M400:M404" si="80">CONCATENATE("", D400)</f>
        <v>Objetos.Passivos.Incêndio</v>
      </c>
      <c r="N400" s="23" t="str">
        <f t="shared" si="77"/>
        <v>Peça Passiva Incêndio</v>
      </c>
      <c r="O400" s="23" t="str">
        <f t="shared" ref="O400:O404" si="81">(SUBSTITUTE(SUBSTITUTE(CONCATENATE("",F400),"."," ")," De "," de "))</f>
        <v>Corta Fogo Alvenaria</v>
      </c>
      <c r="P400" s="19" t="s">
        <v>1361</v>
      </c>
      <c r="Q400" s="19" t="s">
        <v>1362</v>
      </c>
      <c r="R400" s="19" t="s">
        <v>1363</v>
      </c>
      <c r="S400" s="54" t="s">
        <v>9</v>
      </c>
      <c r="T400" s="46" t="str">
        <f t="shared" si="78"/>
        <v>De Objetos Passivos</v>
      </c>
      <c r="U400" s="46" t="str">
        <f t="shared" si="78"/>
        <v>Objetos Passivos Incêndio</v>
      </c>
      <c r="V400" s="46" t="str">
        <f t="shared" si="76"/>
        <v>Peça Passiva Incêndio</v>
      </c>
      <c r="W400" s="19" t="s">
        <v>459</v>
      </c>
      <c r="X400" s="40" t="str">
        <f t="shared" si="71"/>
        <v>Key-TUB-400</v>
      </c>
      <c r="Y400" s="37" t="s">
        <v>1364</v>
      </c>
      <c r="Z400" s="47" t="s">
        <v>9</v>
      </c>
      <c r="AA400" s="37" t="s">
        <v>1649</v>
      </c>
      <c r="AB400" s="47" t="s">
        <v>9</v>
      </c>
      <c r="AC400" s="19" t="s">
        <v>1266</v>
      </c>
      <c r="AD400" s="47" t="s">
        <v>9</v>
      </c>
    </row>
    <row r="401" spans="1:30" ht="6.75" customHeight="1" x14ac:dyDescent="0.25">
      <c r="A401" s="38">
        <v>401</v>
      </c>
      <c r="B401" s="1" t="s">
        <v>726</v>
      </c>
      <c r="C401" s="1" t="s">
        <v>1653</v>
      </c>
      <c r="D401" s="1" t="s">
        <v>1652</v>
      </c>
      <c r="E401" s="57" t="s">
        <v>2073</v>
      </c>
      <c r="F401" s="57" t="s">
        <v>1481</v>
      </c>
      <c r="G401" s="39" t="s">
        <v>9</v>
      </c>
      <c r="H401" s="39" t="s">
        <v>9</v>
      </c>
      <c r="I401" s="39" t="s">
        <v>9</v>
      </c>
      <c r="J401" s="39" t="s">
        <v>9</v>
      </c>
      <c r="K401" s="39" t="s">
        <v>9</v>
      </c>
      <c r="L401" s="23" t="str">
        <f t="shared" si="79"/>
        <v>De.Objetos.Passivos</v>
      </c>
      <c r="M401" s="23" t="str">
        <f t="shared" si="80"/>
        <v>Objetos.Passivos.Incêndio</v>
      </c>
      <c r="N401" s="23" t="str">
        <f t="shared" si="77"/>
        <v>Peça Passiva Incêndio</v>
      </c>
      <c r="O401" s="23" t="str">
        <f t="shared" si="81"/>
        <v>Corta Fogo Shaft</v>
      </c>
      <c r="P401" s="19" t="s">
        <v>1365</v>
      </c>
      <c r="Q401" s="19" t="s">
        <v>1366</v>
      </c>
      <c r="R401" s="19" t="s">
        <v>1367</v>
      </c>
      <c r="S401" s="54" t="s">
        <v>9</v>
      </c>
      <c r="T401" s="46" t="str">
        <f t="shared" si="78"/>
        <v>De Objetos Passivos</v>
      </c>
      <c r="U401" s="46" t="str">
        <f t="shared" si="78"/>
        <v>Objetos Passivos Incêndio</v>
      </c>
      <c r="V401" s="46" t="str">
        <f t="shared" si="76"/>
        <v>Peça Passiva Incêndio</v>
      </c>
      <c r="W401" s="19" t="s">
        <v>459</v>
      </c>
      <c r="X401" s="40" t="str">
        <f t="shared" ref="X401:X409" si="82">CONCATENATE("Key-TUB-",A401)</f>
        <v>Key-TUB-401</v>
      </c>
      <c r="Y401" s="37" t="s">
        <v>1368</v>
      </c>
      <c r="Z401" s="47" t="s">
        <v>9</v>
      </c>
      <c r="AA401" s="37" t="s">
        <v>9</v>
      </c>
      <c r="AB401" s="47" t="s">
        <v>9</v>
      </c>
      <c r="AC401" s="19" t="s">
        <v>1266</v>
      </c>
      <c r="AD401" s="47" t="s">
        <v>9</v>
      </c>
    </row>
    <row r="402" spans="1:30" ht="6.75" customHeight="1" x14ac:dyDescent="0.25">
      <c r="A402" s="38">
        <v>402</v>
      </c>
      <c r="B402" s="1" t="s">
        <v>726</v>
      </c>
      <c r="C402" s="1" t="s">
        <v>1517</v>
      </c>
      <c r="D402" s="57" t="s">
        <v>1446</v>
      </c>
      <c r="E402" s="57" t="s">
        <v>1521</v>
      </c>
      <c r="F402" s="1" t="s">
        <v>1519</v>
      </c>
      <c r="G402" s="39" t="s">
        <v>9</v>
      </c>
      <c r="H402" s="39" t="s">
        <v>9</v>
      </c>
      <c r="I402" s="39" t="s">
        <v>9</v>
      </c>
      <c r="J402" s="39" t="s">
        <v>9</v>
      </c>
      <c r="K402" s="39" t="s">
        <v>9</v>
      </c>
      <c r="L402" s="23" t="str">
        <f t="shared" si="79"/>
        <v>De.Catalogação</v>
      </c>
      <c r="M402" s="23" t="str">
        <f t="shared" si="80"/>
        <v>Catálogos.Usados</v>
      </c>
      <c r="N402" s="23" t="str">
        <f t="shared" si="77"/>
        <v>Catálogos</v>
      </c>
      <c r="O402" s="23" t="str">
        <f t="shared" si="81"/>
        <v>Catálogo Tubulações</v>
      </c>
      <c r="P402" s="58" t="s">
        <v>1642</v>
      </c>
      <c r="Q402" s="58" t="s">
        <v>1643</v>
      </c>
      <c r="R402" s="58" t="s">
        <v>1644</v>
      </c>
      <c r="S402" s="54" t="s">
        <v>9</v>
      </c>
      <c r="T402" s="46" t="str">
        <f t="shared" si="78"/>
        <v>De Catalogação</v>
      </c>
      <c r="U402" s="46" t="str">
        <f t="shared" si="78"/>
        <v>Catálogos Usados</v>
      </c>
      <c r="V402" s="46" t="str">
        <f t="shared" si="76"/>
        <v>Catálogos</v>
      </c>
      <c r="W402" s="19" t="s">
        <v>459</v>
      </c>
      <c r="X402" s="40" t="str">
        <f t="shared" si="82"/>
        <v>Key-TUB-402</v>
      </c>
      <c r="Y402" s="19" t="s">
        <v>729</v>
      </c>
      <c r="Z402" s="47" t="s">
        <v>9</v>
      </c>
      <c r="AA402" s="19" t="s">
        <v>730</v>
      </c>
      <c r="AB402" s="47" t="s">
        <v>9</v>
      </c>
      <c r="AC402" s="19" t="s">
        <v>463</v>
      </c>
      <c r="AD402" s="47" t="s">
        <v>9</v>
      </c>
    </row>
    <row r="403" spans="1:30" ht="6.75" customHeight="1" x14ac:dyDescent="0.25">
      <c r="A403" s="38">
        <v>403</v>
      </c>
      <c r="B403" s="1" t="s">
        <v>726</v>
      </c>
      <c r="C403" s="1" t="s">
        <v>1517</v>
      </c>
      <c r="D403" s="57" t="s">
        <v>1446</v>
      </c>
      <c r="E403" s="57" t="s">
        <v>1521</v>
      </c>
      <c r="F403" s="1" t="s">
        <v>1518</v>
      </c>
      <c r="G403" s="39" t="s">
        <v>9</v>
      </c>
      <c r="H403" s="39" t="s">
        <v>9</v>
      </c>
      <c r="I403" s="39" t="s">
        <v>9</v>
      </c>
      <c r="J403" s="39" t="s">
        <v>9</v>
      </c>
      <c r="K403" s="39" t="s">
        <v>9</v>
      </c>
      <c r="L403" s="23" t="str">
        <f t="shared" si="79"/>
        <v>De.Catalogação</v>
      </c>
      <c r="M403" s="23" t="str">
        <f t="shared" si="80"/>
        <v>Catálogos.Usados</v>
      </c>
      <c r="N403" s="23" t="str">
        <f t="shared" si="77"/>
        <v>Catálogos</v>
      </c>
      <c r="O403" s="23" t="str">
        <f t="shared" si="81"/>
        <v>Catálogo Dutos</v>
      </c>
      <c r="P403" s="58" t="s">
        <v>1640</v>
      </c>
      <c r="Q403" s="58" t="s">
        <v>1645</v>
      </c>
      <c r="R403" s="58" t="s">
        <v>1646</v>
      </c>
      <c r="S403" s="54" t="s">
        <v>9</v>
      </c>
      <c r="T403" s="46" t="str">
        <f t="shared" si="78"/>
        <v>De Catalogação</v>
      </c>
      <c r="U403" s="46" t="str">
        <f t="shared" si="78"/>
        <v>Catálogos Usados</v>
      </c>
      <c r="V403" s="46" t="str">
        <f t="shared" si="76"/>
        <v>Catálogos</v>
      </c>
      <c r="W403" s="19" t="s">
        <v>459</v>
      </c>
      <c r="X403" s="40" t="str">
        <f t="shared" si="82"/>
        <v>Key-TUB-403</v>
      </c>
      <c r="Y403" s="19" t="s">
        <v>729</v>
      </c>
      <c r="Z403" s="47" t="s">
        <v>9</v>
      </c>
      <c r="AA403" s="19" t="s">
        <v>730</v>
      </c>
      <c r="AB403" s="47" t="s">
        <v>9</v>
      </c>
      <c r="AC403" s="19" t="s">
        <v>463</v>
      </c>
      <c r="AD403" s="47" t="s">
        <v>9</v>
      </c>
    </row>
    <row r="404" spans="1:30" ht="6.75" customHeight="1" x14ac:dyDescent="0.25">
      <c r="A404" s="38">
        <v>404</v>
      </c>
      <c r="B404" s="1" t="s">
        <v>726</v>
      </c>
      <c r="C404" s="1" t="s">
        <v>1517</v>
      </c>
      <c r="D404" s="57" t="s">
        <v>1446</v>
      </c>
      <c r="E404" s="57" t="s">
        <v>1521</v>
      </c>
      <c r="F404" s="1" t="s">
        <v>1520</v>
      </c>
      <c r="G404" s="39" t="s">
        <v>9</v>
      </c>
      <c r="H404" s="39" t="s">
        <v>9</v>
      </c>
      <c r="I404" s="39" t="s">
        <v>9</v>
      </c>
      <c r="J404" s="39" t="s">
        <v>9</v>
      </c>
      <c r="K404" s="39" t="s">
        <v>9</v>
      </c>
      <c r="L404" s="23" t="str">
        <f t="shared" si="79"/>
        <v>De.Catalogação</v>
      </c>
      <c r="M404" s="23" t="str">
        <f t="shared" si="80"/>
        <v>Catálogos.Usados</v>
      </c>
      <c r="N404" s="23" t="str">
        <f t="shared" si="77"/>
        <v>Catálogos</v>
      </c>
      <c r="O404" s="23" t="str">
        <f t="shared" si="81"/>
        <v>Catálogo Incêndio</v>
      </c>
      <c r="P404" s="58" t="s">
        <v>1641</v>
      </c>
      <c r="Q404" s="58" t="s">
        <v>1647</v>
      </c>
      <c r="R404" s="58" t="s">
        <v>1648</v>
      </c>
      <c r="S404" s="54" t="s">
        <v>9</v>
      </c>
      <c r="T404" s="46" t="str">
        <f t="shared" si="78"/>
        <v>De Catalogação</v>
      </c>
      <c r="U404" s="46" t="str">
        <f t="shared" si="78"/>
        <v>Catálogos Usados</v>
      </c>
      <c r="V404" s="46" t="str">
        <f t="shared" si="76"/>
        <v>Catálogos</v>
      </c>
      <c r="W404" s="19" t="s">
        <v>459</v>
      </c>
      <c r="X404" s="40" t="str">
        <f t="shared" si="82"/>
        <v>Key-TUB-404</v>
      </c>
      <c r="Y404" s="19" t="s">
        <v>729</v>
      </c>
      <c r="Z404" s="47" t="s">
        <v>9</v>
      </c>
      <c r="AA404" s="19" t="s">
        <v>730</v>
      </c>
      <c r="AB404" s="47" t="s">
        <v>9</v>
      </c>
      <c r="AC404" s="19" t="s">
        <v>463</v>
      </c>
      <c r="AD404" s="47" t="s">
        <v>9</v>
      </c>
    </row>
    <row r="405" spans="1:30" s="99" customFormat="1" ht="6.75" customHeight="1" x14ac:dyDescent="0.25">
      <c r="A405" s="38">
        <v>405</v>
      </c>
      <c r="B405" s="1" t="s">
        <v>2207</v>
      </c>
      <c r="C405" s="49" t="s">
        <v>2208</v>
      </c>
      <c r="D405" s="49" t="s">
        <v>2209</v>
      </c>
      <c r="E405" s="49" t="s">
        <v>2210</v>
      </c>
      <c r="F405" s="49" t="s">
        <v>740</v>
      </c>
      <c r="G405" s="39" t="s">
        <v>9</v>
      </c>
      <c r="H405" s="39" t="s">
        <v>9</v>
      </c>
      <c r="I405" s="39" t="s">
        <v>9</v>
      </c>
      <c r="J405" s="39" t="s">
        <v>9</v>
      </c>
      <c r="K405" s="39" t="s">
        <v>9</v>
      </c>
      <c r="L405" s="23" t="str">
        <f t="shared" si="79"/>
        <v>API.Plataforma</v>
      </c>
      <c r="M405" s="23" t="str">
        <f t="shared" si="79"/>
        <v>API.Macros</v>
      </c>
      <c r="N405" s="23" t="str">
        <f t="shared" si="77"/>
        <v>API Método</v>
      </c>
      <c r="O405" s="23" t="str">
        <f t="shared" si="77"/>
        <v>Função Auxiliar</v>
      </c>
      <c r="P405" s="19" t="s">
        <v>741</v>
      </c>
      <c r="Q405" s="19" t="s">
        <v>742</v>
      </c>
      <c r="R405" s="19" t="s">
        <v>743</v>
      </c>
      <c r="S405" s="54" t="s">
        <v>9</v>
      </c>
      <c r="T405" s="19" t="str">
        <f t="shared" si="78"/>
        <v>API Plataforma</v>
      </c>
      <c r="U405" s="19" t="str">
        <f t="shared" si="78"/>
        <v>API Macros</v>
      </c>
      <c r="V405" s="46" t="str">
        <f t="shared" si="78"/>
        <v>API Método</v>
      </c>
      <c r="W405" s="19" t="s">
        <v>459</v>
      </c>
      <c r="X405" s="40" t="str">
        <f t="shared" si="82"/>
        <v>Key-TUB-405</v>
      </c>
      <c r="Y405" s="47" t="s">
        <v>9</v>
      </c>
      <c r="Z405" s="47" t="s">
        <v>9</v>
      </c>
      <c r="AA405" s="47" t="s">
        <v>9</v>
      </c>
      <c r="AB405" s="47" t="s">
        <v>9</v>
      </c>
      <c r="AC405" s="47" t="s">
        <v>9</v>
      </c>
      <c r="AD405" s="47" t="s">
        <v>9</v>
      </c>
    </row>
    <row r="406" spans="1:30" s="99" customFormat="1" ht="6.75" customHeight="1" x14ac:dyDescent="0.25">
      <c r="A406" s="38">
        <v>406</v>
      </c>
      <c r="B406" s="1" t="s">
        <v>2207</v>
      </c>
      <c r="C406" s="49" t="s">
        <v>2208</v>
      </c>
      <c r="D406" s="49" t="s">
        <v>2209</v>
      </c>
      <c r="E406" s="49" t="s">
        <v>2210</v>
      </c>
      <c r="F406" s="49" t="s">
        <v>744</v>
      </c>
      <c r="G406" s="39" t="s">
        <v>9</v>
      </c>
      <c r="H406" s="39" t="s">
        <v>9</v>
      </c>
      <c r="I406" s="39" t="s">
        <v>9</v>
      </c>
      <c r="J406" s="39" t="s">
        <v>9</v>
      </c>
      <c r="K406" s="39" t="s">
        <v>9</v>
      </c>
      <c r="L406" s="23" t="str">
        <f t="shared" si="79"/>
        <v>API.Plataforma</v>
      </c>
      <c r="M406" s="23" t="str">
        <f t="shared" si="79"/>
        <v>API.Macros</v>
      </c>
      <c r="N406" s="23" t="str">
        <f t="shared" si="77"/>
        <v>API Método</v>
      </c>
      <c r="O406" s="23" t="str">
        <f t="shared" si="77"/>
        <v>Função Global</v>
      </c>
      <c r="P406" s="19" t="s">
        <v>745</v>
      </c>
      <c r="Q406" s="19" t="s">
        <v>746</v>
      </c>
      <c r="R406" s="19" t="s">
        <v>747</v>
      </c>
      <c r="S406" s="54" t="s">
        <v>9</v>
      </c>
      <c r="T406" s="19" t="str">
        <f t="shared" si="78"/>
        <v>API Plataforma</v>
      </c>
      <c r="U406" s="19" t="str">
        <f t="shared" si="78"/>
        <v>API Macros</v>
      </c>
      <c r="V406" s="46" t="str">
        <f t="shared" si="78"/>
        <v>API Método</v>
      </c>
      <c r="W406" s="19" t="s">
        <v>459</v>
      </c>
      <c r="X406" s="40" t="str">
        <f t="shared" si="82"/>
        <v>Key-TUB-406</v>
      </c>
      <c r="Y406" s="47" t="s">
        <v>9</v>
      </c>
      <c r="Z406" s="47" t="s">
        <v>9</v>
      </c>
      <c r="AA406" s="47" t="s">
        <v>9</v>
      </c>
      <c r="AB406" s="47" t="s">
        <v>9</v>
      </c>
      <c r="AC406" s="47" t="s">
        <v>9</v>
      </c>
      <c r="AD406" s="47" t="s">
        <v>9</v>
      </c>
    </row>
    <row r="407" spans="1:30" s="99" customFormat="1" ht="6.75" customHeight="1" x14ac:dyDescent="0.25">
      <c r="A407" s="38">
        <v>407</v>
      </c>
      <c r="B407" s="1" t="s">
        <v>2207</v>
      </c>
      <c r="C407" s="49" t="s">
        <v>2208</v>
      </c>
      <c r="D407" s="49" t="s">
        <v>2209</v>
      </c>
      <c r="E407" s="49" t="s">
        <v>2210</v>
      </c>
      <c r="F407" s="49" t="s">
        <v>748</v>
      </c>
      <c r="G407" s="39" t="s">
        <v>9</v>
      </c>
      <c r="H407" s="39" t="s">
        <v>9</v>
      </c>
      <c r="I407" s="39" t="s">
        <v>9</v>
      </c>
      <c r="J407" s="39" t="s">
        <v>9</v>
      </c>
      <c r="K407" s="39" t="s">
        <v>9</v>
      </c>
      <c r="L407" s="23" t="str">
        <f t="shared" si="79"/>
        <v>API.Plataforma</v>
      </c>
      <c r="M407" s="23" t="str">
        <f t="shared" si="79"/>
        <v>API.Macros</v>
      </c>
      <c r="N407" s="23" t="str">
        <f t="shared" si="77"/>
        <v>API Método</v>
      </c>
      <c r="O407" s="23" t="str">
        <f t="shared" si="77"/>
        <v>Função Local</v>
      </c>
      <c r="P407" s="19" t="s">
        <v>749</v>
      </c>
      <c r="Q407" s="19" t="s">
        <v>750</v>
      </c>
      <c r="R407" s="19" t="s">
        <v>751</v>
      </c>
      <c r="S407" s="54" t="s">
        <v>9</v>
      </c>
      <c r="T407" s="19" t="str">
        <f t="shared" si="78"/>
        <v>API Plataforma</v>
      </c>
      <c r="U407" s="19" t="str">
        <f t="shared" si="78"/>
        <v>API Macros</v>
      </c>
      <c r="V407" s="46" t="str">
        <f t="shared" si="78"/>
        <v>API Método</v>
      </c>
      <c r="W407" s="19" t="s">
        <v>459</v>
      </c>
      <c r="X407" s="40" t="str">
        <f t="shared" si="82"/>
        <v>Key-TUB-407</v>
      </c>
      <c r="Y407" s="47" t="s">
        <v>9</v>
      </c>
      <c r="Z407" s="47" t="s">
        <v>9</v>
      </c>
      <c r="AA407" s="47" t="s">
        <v>9</v>
      </c>
      <c r="AB407" s="47" t="s">
        <v>9</v>
      </c>
      <c r="AC407" s="47" t="s">
        <v>9</v>
      </c>
      <c r="AD407" s="47" t="s">
        <v>9</v>
      </c>
    </row>
    <row r="408" spans="1:30" s="99" customFormat="1" ht="6.75" customHeight="1" x14ac:dyDescent="0.25">
      <c r="A408" s="38">
        <v>408</v>
      </c>
      <c r="B408" s="1" t="s">
        <v>2207</v>
      </c>
      <c r="C408" s="49" t="s">
        <v>2208</v>
      </c>
      <c r="D408" s="49" t="s">
        <v>2209</v>
      </c>
      <c r="E408" s="49" t="s">
        <v>2210</v>
      </c>
      <c r="F408" s="49" t="s">
        <v>752</v>
      </c>
      <c r="G408" s="39" t="s">
        <v>9</v>
      </c>
      <c r="H408" s="39" t="s">
        <v>9</v>
      </c>
      <c r="I408" s="39" t="s">
        <v>9</v>
      </c>
      <c r="J408" s="39" t="s">
        <v>9</v>
      </c>
      <c r="K408" s="39" t="s">
        <v>9</v>
      </c>
      <c r="L408" s="23" t="str">
        <f t="shared" si="79"/>
        <v>API.Plataforma</v>
      </c>
      <c r="M408" s="23" t="str">
        <f t="shared" si="79"/>
        <v>API.Macros</v>
      </c>
      <c r="N408" s="23" t="str">
        <f t="shared" si="77"/>
        <v>API Método</v>
      </c>
      <c r="O408" s="23" t="str">
        <f t="shared" si="77"/>
        <v>Função Filtro</v>
      </c>
      <c r="P408" s="19" t="s">
        <v>753</v>
      </c>
      <c r="Q408" s="19" t="s">
        <v>754</v>
      </c>
      <c r="R408" s="19" t="s">
        <v>755</v>
      </c>
      <c r="S408" s="54" t="s">
        <v>9</v>
      </c>
      <c r="T408" s="19" t="str">
        <f t="shared" si="78"/>
        <v>API Plataforma</v>
      </c>
      <c r="U408" s="19" t="str">
        <f t="shared" si="78"/>
        <v>API Macros</v>
      </c>
      <c r="V408" s="46" t="str">
        <f t="shared" si="78"/>
        <v>API Método</v>
      </c>
      <c r="W408" s="19" t="s">
        <v>459</v>
      </c>
      <c r="X408" s="40" t="str">
        <f t="shared" si="82"/>
        <v>Key-TUB-408</v>
      </c>
      <c r="Y408" s="47" t="s">
        <v>9</v>
      </c>
      <c r="Z408" s="47" t="s">
        <v>9</v>
      </c>
      <c r="AA408" s="47" t="s">
        <v>9</v>
      </c>
      <c r="AB408" s="47" t="s">
        <v>9</v>
      </c>
      <c r="AC408" s="47" t="s">
        <v>9</v>
      </c>
      <c r="AD408" s="47" t="s">
        <v>9</v>
      </c>
    </row>
    <row r="409" spans="1:30" s="99" customFormat="1" ht="6.75" customHeight="1" x14ac:dyDescent="0.25">
      <c r="A409" s="38">
        <v>409</v>
      </c>
      <c r="B409" s="1" t="s">
        <v>2207</v>
      </c>
      <c r="C409" s="49" t="s">
        <v>2208</v>
      </c>
      <c r="D409" s="49" t="s">
        <v>2212</v>
      </c>
      <c r="E409" s="49" t="s">
        <v>2211</v>
      </c>
      <c r="F409" s="49" t="s">
        <v>756</v>
      </c>
      <c r="G409" s="39" t="s">
        <v>9</v>
      </c>
      <c r="H409" s="39" t="s">
        <v>9</v>
      </c>
      <c r="I409" s="39" t="s">
        <v>9</v>
      </c>
      <c r="J409" s="39" t="s">
        <v>9</v>
      </c>
      <c r="K409" s="39" t="s">
        <v>9</v>
      </c>
      <c r="L409" s="23" t="str">
        <f t="shared" si="79"/>
        <v>API.Plataforma</v>
      </c>
      <c r="M409" s="23" t="str">
        <f t="shared" si="79"/>
        <v>API.Macros.Visuais</v>
      </c>
      <c r="N409" s="23" t="str">
        <f t="shared" si="77"/>
        <v>API Método Visual</v>
      </c>
      <c r="O409" s="23" t="str">
        <f t="shared" si="77"/>
        <v>Bloco de Código</v>
      </c>
      <c r="P409" s="19" t="s">
        <v>757</v>
      </c>
      <c r="Q409" s="19" t="s">
        <v>758</v>
      </c>
      <c r="R409" s="19" t="s">
        <v>759</v>
      </c>
      <c r="S409" s="54" t="s">
        <v>9</v>
      </c>
      <c r="T409" s="19" t="str">
        <f t="shared" si="78"/>
        <v>API Plataforma</v>
      </c>
      <c r="U409" s="19" t="str">
        <f t="shared" si="78"/>
        <v>API Macros Visuais</v>
      </c>
      <c r="V409" s="46" t="str">
        <f t="shared" si="78"/>
        <v>API Método Visual</v>
      </c>
      <c r="W409" s="19" t="s">
        <v>459</v>
      </c>
      <c r="X409" s="40" t="str">
        <f t="shared" si="82"/>
        <v>Key-TUB-409</v>
      </c>
      <c r="Y409" s="47" t="s">
        <v>9</v>
      </c>
      <c r="Z409" s="47" t="s">
        <v>9</v>
      </c>
      <c r="AA409" s="47" t="s">
        <v>9</v>
      </c>
      <c r="AB409" s="47" t="s">
        <v>9</v>
      </c>
      <c r="AC409" s="47" t="s">
        <v>9</v>
      </c>
      <c r="AD409" s="47" t="s">
        <v>9</v>
      </c>
    </row>
  </sheetData>
  <sortState xmlns:xlrd2="http://schemas.microsoft.com/office/spreadsheetml/2017/richdata2" ref="A81:AD409">
    <sortCondition ref="A1:A409"/>
  </sortState>
  <conditionalFormatting sqref="A2:A409">
    <cfRule type="cellIs" dxfId="91" priority="40" operator="equal">
      <formula>"null"</formula>
    </cfRule>
  </conditionalFormatting>
  <conditionalFormatting sqref="B275:B404">
    <cfRule type="cellIs" dxfId="90" priority="164" operator="equal">
      <formula>"null"</formula>
    </cfRule>
  </conditionalFormatting>
  <conditionalFormatting sqref="D209:E241 P209:Q241 T209:U241">
    <cfRule type="cellIs" dxfId="89" priority="217" operator="equal">
      <formula>"null"</formula>
    </cfRule>
  </conditionalFormatting>
  <conditionalFormatting sqref="E78:E80">
    <cfRule type="cellIs" dxfId="88" priority="124" operator="equal">
      <formula>"null"</formula>
    </cfRule>
  </conditionalFormatting>
  <conditionalFormatting sqref="E242">
    <cfRule type="cellIs" dxfId="87" priority="186" operator="equal">
      <formula>"null"</formula>
    </cfRule>
  </conditionalFormatting>
  <conditionalFormatting sqref="E276:E277">
    <cfRule type="cellIs" dxfId="86" priority="274" operator="equal">
      <formula>"null"</formula>
    </cfRule>
  </conditionalFormatting>
  <conditionalFormatting sqref="E312:E328 Y312:Y328 AA313:AA328">
    <cfRule type="cellIs" dxfId="85" priority="262" operator="equal">
      <formula>"null"</formula>
    </cfRule>
  </conditionalFormatting>
  <conditionalFormatting sqref="F2:F6 F9:F38">
    <cfRule type="duplicateValues" dxfId="84" priority="35"/>
  </conditionalFormatting>
  <conditionalFormatting sqref="F2:F6 F9:F77">
    <cfRule type="duplicateValues" dxfId="83" priority="6"/>
  </conditionalFormatting>
  <conditionalFormatting sqref="F2:F6 F25:F38 F9:F13">
    <cfRule type="duplicateValues" dxfId="82" priority="39"/>
    <cfRule type="duplicateValues" dxfId="81" priority="36"/>
  </conditionalFormatting>
  <conditionalFormatting sqref="F2:F6">
    <cfRule type="duplicateValues" dxfId="80" priority="34"/>
  </conditionalFormatting>
  <conditionalFormatting sqref="F2:F77">
    <cfRule type="duplicateValues" dxfId="79" priority="5"/>
    <cfRule type="duplicateValues" dxfId="78" priority="41"/>
  </conditionalFormatting>
  <conditionalFormatting sqref="F7:F8">
    <cfRule type="duplicateValues" dxfId="77" priority="3"/>
  </conditionalFormatting>
  <conditionalFormatting sqref="F39:F50">
    <cfRule type="duplicateValues" dxfId="76" priority="29"/>
    <cfRule type="duplicateValues" dxfId="75" priority="33"/>
    <cfRule type="duplicateValues" dxfId="74" priority="30"/>
  </conditionalFormatting>
  <conditionalFormatting sqref="F39:F71 F73:F77">
    <cfRule type="duplicateValues" dxfId="73" priority="13"/>
  </conditionalFormatting>
  <conditionalFormatting sqref="F51:F56 F59:F71 F73:F77">
    <cfRule type="duplicateValues" dxfId="72" priority="28"/>
    <cfRule type="duplicateValues" dxfId="71" priority="26"/>
    <cfRule type="duplicateValues" dxfId="70" priority="27"/>
  </conditionalFormatting>
  <conditionalFormatting sqref="F57:F58">
    <cfRule type="duplicateValues" dxfId="69" priority="15"/>
    <cfRule type="duplicateValues" dxfId="68" priority="18"/>
    <cfRule type="duplicateValues" dxfId="67" priority="20"/>
  </conditionalFormatting>
  <conditionalFormatting sqref="F72">
    <cfRule type="duplicateValues" dxfId="66" priority="10"/>
    <cfRule type="duplicateValues" dxfId="65" priority="12"/>
    <cfRule type="duplicateValues" dxfId="64" priority="7"/>
    <cfRule type="duplicateValues" dxfId="63" priority="8"/>
  </conditionalFormatting>
  <conditionalFormatting sqref="F78:F80">
    <cfRule type="duplicateValues" dxfId="62" priority="125"/>
    <cfRule type="duplicateValues" dxfId="61" priority="114"/>
  </conditionalFormatting>
  <conditionalFormatting sqref="F78:F1048576 F1">
    <cfRule type="duplicateValues" dxfId="60" priority="70"/>
  </conditionalFormatting>
  <conditionalFormatting sqref="F81:F404 F1 F410:F1048576">
    <cfRule type="duplicateValues" dxfId="59" priority="126"/>
  </conditionalFormatting>
  <conditionalFormatting sqref="F405:F409">
    <cfRule type="duplicateValues" dxfId="58" priority="107"/>
    <cfRule type="duplicateValues" dxfId="57" priority="106"/>
  </conditionalFormatting>
  <conditionalFormatting sqref="F410:F1048576 F78:F404 F1">
    <cfRule type="duplicateValues" dxfId="56" priority="109"/>
  </conditionalFormatting>
  <conditionalFormatting sqref="P59:P62">
    <cfRule type="cellIs" dxfId="55" priority="21" operator="equal">
      <formula>"null"</formula>
    </cfRule>
  </conditionalFormatting>
  <conditionalFormatting sqref="P68:P71 AE68:XFD71 P73:P80 AE73:XFD80">
    <cfRule type="cellIs" dxfId="54" priority="25" operator="equal">
      <formula>"null"</formula>
    </cfRule>
  </conditionalFormatting>
  <conditionalFormatting sqref="P279">
    <cfRule type="duplicateValues" dxfId="53" priority="267"/>
  </conditionalFormatting>
  <conditionalFormatting sqref="P280">
    <cfRule type="duplicateValues" dxfId="52" priority="266"/>
  </conditionalFormatting>
  <conditionalFormatting sqref="P296:P303 P290:P294">
    <cfRule type="duplicateValues" dxfId="51" priority="276"/>
  </conditionalFormatting>
  <conditionalFormatting sqref="P304:P309">
    <cfRule type="duplicateValues" dxfId="50" priority="275"/>
  </conditionalFormatting>
  <conditionalFormatting sqref="P310:P311">
    <cfRule type="duplicateValues" dxfId="49" priority="273"/>
  </conditionalFormatting>
  <conditionalFormatting sqref="P336:P338">
    <cfRule type="duplicateValues" dxfId="48" priority="232"/>
  </conditionalFormatting>
  <conditionalFormatting sqref="P347:P349">
    <cfRule type="duplicateValues" dxfId="47" priority="238"/>
  </conditionalFormatting>
  <conditionalFormatting sqref="P269:R271 Y269:Y271 AA269:AA271 AE269:XFD271">
    <cfRule type="cellIs" dxfId="46" priority="181" operator="equal">
      <formula>"null"</formula>
    </cfRule>
  </conditionalFormatting>
  <conditionalFormatting sqref="Q7:Q8 Y7:Y8 AA7:AA8">
    <cfRule type="cellIs" dxfId="45" priority="2" operator="equal">
      <formula>"null"</formula>
    </cfRule>
  </conditionalFormatting>
  <conditionalFormatting sqref="Q338">
    <cfRule type="duplicateValues" dxfId="44" priority="230"/>
  </conditionalFormatting>
  <conditionalFormatting sqref="Q390:Q398">
    <cfRule type="duplicateValues" dxfId="43" priority="166"/>
    <cfRule type="duplicateValues" dxfId="42" priority="165"/>
    <cfRule type="duplicateValues" dxfId="41" priority="167"/>
    <cfRule type="duplicateValues" dxfId="40" priority="168"/>
  </conditionalFormatting>
  <conditionalFormatting sqref="R1:R13 B2:B205">
    <cfRule type="cellIs" dxfId="39" priority="4" operator="equal">
      <formula>"null"</formula>
    </cfRule>
  </conditionalFormatting>
  <conditionalFormatting sqref="R25:R58 Y39:Y58">
    <cfRule type="cellIs" dxfId="38" priority="19" operator="equal">
      <formula>"null"</formula>
    </cfRule>
  </conditionalFormatting>
  <conditionalFormatting sqref="R63:R193">
    <cfRule type="cellIs" dxfId="37" priority="11" operator="equal">
      <formula>"null"</formula>
    </cfRule>
  </conditionalFormatting>
  <conditionalFormatting sqref="R206:R268 B242 B248">
    <cfRule type="cellIs" dxfId="36" priority="183" operator="equal">
      <formula>"null"</formula>
    </cfRule>
  </conditionalFormatting>
  <conditionalFormatting sqref="R272:R342">
    <cfRule type="cellIs" dxfId="35" priority="180" operator="equal">
      <formula>"null"</formula>
    </cfRule>
  </conditionalFormatting>
  <conditionalFormatting sqref="R347:R377">
    <cfRule type="cellIs" dxfId="34" priority="234" operator="equal">
      <formula>"null"</formula>
    </cfRule>
  </conditionalFormatting>
  <conditionalFormatting sqref="R382:R389">
    <cfRule type="cellIs" dxfId="33" priority="231" operator="equal">
      <formula>"null"</formula>
    </cfRule>
  </conditionalFormatting>
  <conditionalFormatting sqref="R390:R398">
    <cfRule type="duplicateValues" dxfId="32" priority="169"/>
    <cfRule type="duplicateValues" dxfId="31" priority="170"/>
    <cfRule type="duplicateValues" dxfId="30" priority="171"/>
    <cfRule type="duplicateValues" dxfId="29" priority="172"/>
  </conditionalFormatting>
  <conditionalFormatting sqref="Y2:Y6 AA2:AA6 AC2:AC6 Y9:Y15 AC9:AC36 Y25:Y36 AC72">
    <cfRule type="cellIs" dxfId="28" priority="38" operator="equal">
      <formula>"null"</formula>
    </cfRule>
  </conditionalFormatting>
  <conditionalFormatting sqref="Y72">
    <cfRule type="cellIs" dxfId="27" priority="9" operator="equal">
      <formula>"null"</formula>
    </cfRule>
  </conditionalFormatting>
  <conditionalFormatting sqref="Y81:Y193 AC81:AC193">
    <cfRule type="cellIs" dxfId="26" priority="153" operator="equal">
      <formula>"null"</formula>
    </cfRule>
  </conditionalFormatting>
  <conditionalFormatting sqref="Y209:Y242">
    <cfRule type="cellIs" dxfId="25" priority="174" operator="equal">
      <formula>"null"</formula>
    </cfRule>
  </conditionalFormatting>
  <conditionalFormatting sqref="Y343:Y346 AA343:AA346 AC343:AC346">
    <cfRule type="cellIs" dxfId="24" priority="235" operator="equal">
      <formula>"null"</formula>
    </cfRule>
  </conditionalFormatting>
  <conditionalFormatting sqref="Y378:Y379 AA378:AA379 AC378:AC379">
    <cfRule type="cellIs" dxfId="23" priority="237" operator="equal">
      <formula>"null"</formula>
    </cfRule>
  </conditionalFormatting>
  <conditionalFormatting sqref="Y399:Y401">
    <cfRule type="cellIs" dxfId="22" priority="248" operator="equal">
      <formula>"null"</formula>
    </cfRule>
  </conditionalFormatting>
  <conditionalFormatting sqref="AA9:AA193">
    <cfRule type="cellIs" dxfId="21" priority="16" operator="equal">
      <formula>"null"</formula>
    </cfRule>
  </conditionalFormatting>
  <conditionalFormatting sqref="AA209:AA242">
    <cfRule type="cellIs" dxfId="20" priority="173" operator="equal">
      <formula>"null"</formula>
    </cfRule>
  </conditionalFormatting>
  <conditionalFormatting sqref="AC7:AC8">
    <cfRule type="cellIs" dxfId="19" priority="1" operator="equal">
      <formula>"null"</formula>
    </cfRule>
  </conditionalFormatting>
  <conditionalFormatting sqref="AC39:AC58">
    <cfRule type="cellIs" dxfId="18" priority="14" operator="equal">
      <formula>"null"</formula>
    </cfRule>
  </conditionalFormatting>
  <conditionalFormatting sqref="AC63:AC67 Y64 Y67">
    <cfRule type="cellIs" dxfId="17" priority="24" operator="equal">
      <formula>"null"</formula>
    </cfRule>
  </conditionalFormatting>
  <conditionalFormatting sqref="AE59:XFD62">
    <cfRule type="cellIs" dxfId="16" priority="22" operator="equal">
      <formula>"null"</formula>
    </cfRule>
  </conditionalFormatting>
  <conditionalFormatting sqref="AE313:XFD328 R399:R401">
    <cfRule type="cellIs" dxfId="15" priority="241" operator="equal">
      <formula>"null"</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dimension ref="A1:U2"/>
  <sheetViews>
    <sheetView zoomScale="180" zoomScaleNormal="180" workbookViewId="0">
      <selection activeCell="K12" sqref="K12"/>
    </sheetView>
  </sheetViews>
  <sheetFormatPr defaultColWidth="11.140625" defaultRowHeight="8.25" x14ac:dyDescent="0.15"/>
  <cols>
    <col min="1" max="1" width="1.28515625" style="9" bestFit="1" customWidth="1"/>
    <col min="2" max="10" width="5.140625" style="10" bestFit="1" customWidth="1"/>
    <col min="11" max="21" width="5.5703125" style="8" bestFit="1" customWidth="1"/>
    <col min="22" max="16384" width="11.140625" style="8"/>
  </cols>
  <sheetData>
    <row r="1" spans="1:21" s="4" customFormat="1" ht="16.5" x14ac:dyDescent="0.15">
      <c r="A1" s="2" t="s">
        <v>11</v>
      </c>
      <c r="B1" s="3" t="s">
        <v>12</v>
      </c>
      <c r="C1" s="3" t="s">
        <v>13</v>
      </c>
      <c r="D1" s="3" t="s">
        <v>14</v>
      </c>
      <c r="E1" s="3" t="s">
        <v>15</v>
      </c>
      <c r="F1" s="3" t="s">
        <v>16</v>
      </c>
      <c r="G1" s="3" t="s">
        <v>17</v>
      </c>
      <c r="H1" s="3" t="s">
        <v>18</v>
      </c>
      <c r="I1" s="3" t="s">
        <v>19</v>
      </c>
      <c r="J1" s="3" t="s">
        <v>20</v>
      </c>
      <c r="K1" s="3" t="s">
        <v>21</v>
      </c>
      <c r="L1" s="3" t="s">
        <v>22</v>
      </c>
      <c r="M1" s="3" t="s">
        <v>23</v>
      </c>
      <c r="N1" s="3" t="s">
        <v>24</v>
      </c>
      <c r="O1" s="3" t="s">
        <v>25</v>
      </c>
      <c r="P1" s="3" t="s">
        <v>26</v>
      </c>
      <c r="Q1" s="3" t="s">
        <v>27</v>
      </c>
      <c r="R1" s="3" t="s">
        <v>28</v>
      </c>
      <c r="S1" s="3" t="s">
        <v>29</v>
      </c>
      <c r="T1" s="3" t="s">
        <v>30</v>
      </c>
      <c r="U1" s="5" t="s">
        <v>31</v>
      </c>
    </row>
    <row r="2" spans="1:21" s="4" customFormat="1" ht="10.5" customHeight="1" x14ac:dyDescent="0.15">
      <c r="A2" s="6">
        <v>2</v>
      </c>
      <c r="B2" s="7" t="s">
        <v>9</v>
      </c>
      <c r="C2" s="7" t="s">
        <v>9</v>
      </c>
      <c r="D2" s="7" t="s">
        <v>9</v>
      </c>
      <c r="E2" s="7" t="s">
        <v>9</v>
      </c>
      <c r="F2" s="7" t="s">
        <v>9</v>
      </c>
      <c r="G2" s="7" t="s">
        <v>9</v>
      </c>
      <c r="H2" s="7" t="s">
        <v>9</v>
      </c>
      <c r="I2" s="7" t="s">
        <v>9</v>
      </c>
      <c r="J2" s="7" t="s">
        <v>9</v>
      </c>
      <c r="K2" s="7" t="s">
        <v>9</v>
      </c>
      <c r="L2" s="7" t="s">
        <v>9</v>
      </c>
      <c r="M2" s="7" t="s">
        <v>9</v>
      </c>
      <c r="N2" s="7" t="s">
        <v>9</v>
      </c>
      <c r="O2" s="7" t="s">
        <v>9</v>
      </c>
      <c r="P2" s="7" t="s">
        <v>9</v>
      </c>
      <c r="Q2" s="7" t="s">
        <v>9</v>
      </c>
      <c r="R2" s="7" t="s">
        <v>9</v>
      </c>
      <c r="S2" s="7" t="s">
        <v>9</v>
      </c>
      <c r="T2" s="7" t="s">
        <v>9</v>
      </c>
      <c r="U2" s="7" t="s">
        <v>9</v>
      </c>
    </row>
  </sheetData>
  <conditionalFormatting sqref="A1:XFD1048576">
    <cfRule type="cellIs" dxfId="14" priority="2" operator="equal">
      <formula>"null"</formula>
    </cfRule>
  </conditionalFormatting>
  <pageMargins left="0.51180555555555596" right="0.51180555555555596" top="0.78749999999999998" bottom="0.78749999999999998"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E5EC8-1387-4A67-960C-C64BD1326958}">
  <sheetPr codeName="Planilha5"/>
  <dimension ref="A1:G2"/>
  <sheetViews>
    <sheetView zoomScale="190" zoomScaleNormal="190" workbookViewId="0">
      <pane ySplit="1" topLeftCell="A2" activePane="bottomLeft" state="frozen"/>
      <selection activeCell="B1" sqref="B1"/>
      <selection pane="bottomLeft" activeCell="D8" sqref="D8"/>
    </sheetView>
  </sheetViews>
  <sheetFormatPr defaultColWidth="9.140625" defaultRowHeight="8.25" customHeight="1" x14ac:dyDescent="0.25"/>
  <cols>
    <col min="1" max="1" width="3.28515625" style="16" customWidth="1"/>
    <col min="2" max="2" width="6.28515625" style="15" customWidth="1"/>
    <col min="3" max="3" width="11.28515625" style="15" bestFit="1" customWidth="1"/>
    <col min="4" max="7" width="10.85546875" style="15" bestFit="1" customWidth="1"/>
  </cols>
  <sheetData>
    <row r="1" spans="1:7" ht="28.15" customHeight="1" x14ac:dyDescent="0.25">
      <c r="A1" s="20">
        <v>0</v>
      </c>
      <c r="B1" s="17" t="s">
        <v>90</v>
      </c>
      <c r="C1" s="18" t="s">
        <v>91</v>
      </c>
      <c r="D1" s="18" t="s">
        <v>92</v>
      </c>
      <c r="E1" s="18" t="s">
        <v>92</v>
      </c>
      <c r="F1" s="18" t="s">
        <v>92</v>
      </c>
      <c r="G1" s="18" t="s">
        <v>92</v>
      </c>
    </row>
    <row r="2" spans="1:7" ht="8.25" customHeight="1" x14ac:dyDescent="0.25">
      <c r="A2" s="21">
        <v>2</v>
      </c>
      <c r="B2" s="19" t="s">
        <v>9</v>
      </c>
      <c r="C2" s="19" t="s">
        <v>9</v>
      </c>
      <c r="D2" s="19" t="s">
        <v>9</v>
      </c>
      <c r="E2" s="19" t="s">
        <v>9</v>
      </c>
      <c r="F2" s="19" t="s">
        <v>9</v>
      </c>
      <c r="G2" s="19" t="s">
        <v>9</v>
      </c>
    </row>
  </sheetData>
  <phoneticPr fontId="1" type="noConversion"/>
  <conditionalFormatting sqref="A1:G1 B3:G1048576 C2:G2">
    <cfRule type="containsText" dxfId="13" priority="5" operator="containsText" text="null">
      <formula>NOT(ISERROR(SEARCH("null",A1)))</formula>
    </cfRule>
  </conditionalFormatting>
  <conditionalFormatting sqref="B3:B1048576 A1:B1">
    <cfRule type="duplicateValues" dxfId="12" priority="6"/>
  </conditionalFormatting>
  <conditionalFormatting sqref="B3:B1048576 B1">
    <cfRule type="duplicateValues" dxfId="11" priority="4"/>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610AF-ACB4-48C1-9125-2E3EB06FF6E6}">
  <dimension ref="A1:BC114"/>
  <sheetViews>
    <sheetView topLeftCell="A26" zoomScale="190" zoomScaleNormal="190" workbookViewId="0">
      <selection activeCell="E100" sqref="E100"/>
    </sheetView>
  </sheetViews>
  <sheetFormatPr defaultColWidth="6.5703125" defaultRowHeight="7.5" customHeight="1" x14ac:dyDescent="0.25"/>
  <cols>
    <col min="1" max="1" width="2.7109375" style="27" customWidth="1"/>
    <col min="2" max="2" width="12.7109375" style="27" customWidth="1"/>
    <col min="3" max="3" width="11.5703125" style="28" customWidth="1"/>
    <col min="4" max="4" width="7.28515625" style="27" customWidth="1"/>
    <col min="5" max="5" width="12.7109375" style="27" customWidth="1"/>
    <col min="6" max="6" width="5.28515625" style="28" customWidth="1"/>
    <col min="7" max="7" width="68.5703125" style="28" bestFit="1" customWidth="1"/>
    <col min="8" max="8" width="4.140625" style="28" bestFit="1" customWidth="1"/>
    <col min="9" max="9" width="17.140625" style="28" bestFit="1" customWidth="1"/>
    <col min="10" max="10" width="4.7109375" style="28" customWidth="1"/>
    <col min="11" max="11" width="11.7109375" style="28" bestFit="1" customWidth="1"/>
    <col min="12" max="12" width="3.42578125" style="28" bestFit="1" customWidth="1"/>
    <col min="13" max="13" width="14.140625" style="28" customWidth="1"/>
    <col min="14" max="14" width="7.7109375" style="28" customWidth="1"/>
    <col min="15" max="15" width="19.140625" style="28" customWidth="1"/>
    <col min="16" max="16" width="8.42578125" style="28" bestFit="1" customWidth="1"/>
    <col min="17" max="17" width="19.5703125" style="28" customWidth="1"/>
    <col min="18" max="18" width="7.42578125" style="28" customWidth="1"/>
    <col min="19" max="19" width="40.28515625" style="50" bestFit="1" customWidth="1"/>
    <col min="20" max="20" width="5" style="28" customWidth="1"/>
    <col min="21" max="21" width="58.42578125" style="28" bestFit="1" customWidth="1"/>
    <col min="22" max="22" width="4.5703125" style="28" bestFit="1" customWidth="1"/>
    <col min="23" max="23" width="3.42578125" style="50" bestFit="1" customWidth="1"/>
    <col min="24" max="24" width="7.7109375" style="28" bestFit="1" customWidth="1"/>
    <col min="25" max="25" width="3.5703125" style="50" customWidth="1"/>
    <col min="26" max="26" width="6.140625" style="28" customWidth="1"/>
    <col min="27" max="27" width="10.140625" style="28" bestFit="1" customWidth="1"/>
    <col min="28" max="28" width="7.85546875" style="28" customWidth="1"/>
    <col min="29" max="29" width="3.5703125" style="50" bestFit="1" customWidth="1"/>
    <col min="30" max="30" width="7.28515625" style="28" bestFit="1" customWidth="1"/>
    <col min="31" max="31" width="3.7109375" style="50" bestFit="1" customWidth="1"/>
    <col min="32" max="32" width="11" style="28" customWidth="1"/>
    <col min="33" max="33" width="3.5703125" style="50" customWidth="1"/>
    <col min="34" max="34" width="14.5703125" style="28" bestFit="1" customWidth="1"/>
    <col min="35" max="35" width="3.5703125" style="50" bestFit="1" customWidth="1"/>
    <col min="36" max="36" width="11.5703125" style="28" customWidth="1"/>
    <col min="37" max="37" width="3.140625" style="50" bestFit="1" customWidth="1"/>
    <col min="38" max="38" width="8.140625" style="28" bestFit="1" customWidth="1"/>
    <col min="39" max="39" width="3.42578125" style="50" customWidth="1"/>
    <col min="40" max="40" width="6.28515625" style="28" bestFit="1" customWidth="1"/>
    <col min="41" max="41" width="3.28515625" style="50" customWidth="1"/>
    <col min="42" max="42" width="2.85546875" style="28" bestFit="1" customWidth="1"/>
    <col min="43" max="43" width="3.7109375" style="50" bestFit="1" customWidth="1"/>
    <col min="44" max="44" width="5.85546875" style="28" bestFit="1" customWidth="1"/>
    <col min="45" max="45" width="11.28515625" style="27" bestFit="1" customWidth="1"/>
    <col min="46" max="46" width="3.42578125" style="28" bestFit="1" customWidth="1"/>
    <col min="47" max="47" width="12.42578125" style="27" bestFit="1" customWidth="1"/>
    <col min="48" max="48" width="2.42578125" style="28" bestFit="1" customWidth="1"/>
    <col min="49" max="49" width="1.85546875" style="28" bestFit="1" customWidth="1"/>
    <col min="50" max="50" width="7.42578125" style="28" customWidth="1"/>
    <col min="51" max="51" width="35.7109375" style="28" customWidth="1"/>
    <col min="52" max="52" width="5.140625" style="28" customWidth="1"/>
    <col min="53" max="53" width="43.7109375" style="28" customWidth="1"/>
    <col min="54" max="54" width="6.42578125" style="28" customWidth="1"/>
    <col min="55" max="55" width="11.5703125" style="27" customWidth="1"/>
    <col min="56" max="16384" width="6.5703125" style="27"/>
  </cols>
  <sheetData>
    <row r="1" spans="1:55" ht="19.350000000000001" customHeight="1" x14ac:dyDescent="0.25">
      <c r="A1" s="63" t="s">
        <v>10</v>
      </c>
      <c r="B1" s="64" t="s">
        <v>64</v>
      </c>
      <c r="C1" s="64" t="s">
        <v>65</v>
      </c>
      <c r="D1" s="65" t="s">
        <v>66</v>
      </c>
      <c r="E1" s="65" t="s">
        <v>45</v>
      </c>
      <c r="F1" s="64" t="s">
        <v>66</v>
      </c>
      <c r="G1" s="66" t="s">
        <v>68</v>
      </c>
      <c r="H1" s="64" t="s">
        <v>66</v>
      </c>
      <c r="I1" s="64" t="s">
        <v>45</v>
      </c>
      <c r="J1" s="64" t="s">
        <v>66</v>
      </c>
      <c r="K1" s="64"/>
      <c r="L1" s="64" t="s">
        <v>66</v>
      </c>
      <c r="M1" s="64" t="s">
        <v>45</v>
      </c>
      <c r="N1" s="64" t="s">
        <v>66</v>
      </c>
      <c r="O1" s="64" t="s">
        <v>68</v>
      </c>
      <c r="P1" s="64" t="s">
        <v>66</v>
      </c>
      <c r="Q1" s="64" t="s">
        <v>68</v>
      </c>
      <c r="R1" s="64" t="s">
        <v>66</v>
      </c>
      <c r="S1" s="67" t="s">
        <v>45</v>
      </c>
      <c r="T1" s="64" t="s">
        <v>66</v>
      </c>
      <c r="U1" s="64" t="s">
        <v>68</v>
      </c>
      <c r="V1" s="64" t="s">
        <v>66</v>
      </c>
      <c r="W1" s="67" t="s">
        <v>68</v>
      </c>
      <c r="X1" s="64" t="s">
        <v>66</v>
      </c>
      <c r="Y1" s="67" t="s">
        <v>68</v>
      </c>
      <c r="Z1" s="64" t="s">
        <v>66</v>
      </c>
      <c r="AA1" s="64" t="s">
        <v>68</v>
      </c>
      <c r="AB1" s="64" t="s">
        <v>66</v>
      </c>
      <c r="AC1" s="67" t="s">
        <v>68</v>
      </c>
      <c r="AD1" s="64" t="s">
        <v>66</v>
      </c>
      <c r="AE1" s="67" t="s">
        <v>68</v>
      </c>
      <c r="AF1" s="66" t="s">
        <v>67</v>
      </c>
      <c r="AG1" s="67" t="s">
        <v>68</v>
      </c>
      <c r="AH1" s="64" t="s">
        <v>66</v>
      </c>
      <c r="AI1" s="67" t="s">
        <v>68</v>
      </c>
      <c r="AJ1" s="64" t="s">
        <v>66</v>
      </c>
      <c r="AK1" s="67" t="s">
        <v>68</v>
      </c>
      <c r="AL1" s="64" t="s">
        <v>66</v>
      </c>
      <c r="AM1" s="67" t="s">
        <v>68</v>
      </c>
      <c r="AN1" s="64" t="s">
        <v>66</v>
      </c>
      <c r="AO1" s="67" t="s">
        <v>68</v>
      </c>
      <c r="AP1" s="64" t="s">
        <v>66</v>
      </c>
      <c r="AQ1" s="67"/>
      <c r="AR1" s="64" t="s">
        <v>66</v>
      </c>
      <c r="AS1" s="65" t="s">
        <v>68</v>
      </c>
      <c r="AT1" s="64" t="s">
        <v>66</v>
      </c>
      <c r="AU1" s="68" t="s">
        <v>68</v>
      </c>
      <c r="AV1" s="64" t="s">
        <v>66</v>
      </c>
      <c r="AW1" s="66" t="s">
        <v>68</v>
      </c>
      <c r="AX1" s="64" t="s">
        <v>66</v>
      </c>
      <c r="AY1" s="66" t="s">
        <v>68</v>
      </c>
      <c r="AZ1" s="64" t="s">
        <v>66</v>
      </c>
      <c r="BA1" s="66" t="s">
        <v>68</v>
      </c>
      <c r="BB1" s="64" t="s">
        <v>66</v>
      </c>
      <c r="BC1" s="68" t="s">
        <v>68</v>
      </c>
    </row>
    <row r="2" spans="1:55" ht="7.5" customHeight="1" x14ac:dyDescent="0.25">
      <c r="A2" s="69">
        <v>1</v>
      </c>
      <c r="B2" s="70" t="s">
        <v>1451</v>
      </c>
      <c r="C2" s="71" t="s">
        <v>726</v>
      </c>
      <c r="D2" s="72" t="s">
        <v>9</v>
      </c>
      <c r="E2" s="73" t="s">
        <v>9</v>
      </c>
      <c r="F2" s="74" t="s">
        <v>104</v>
      </c>
      <c r="G2" s="75" t="s">
        <v>1452</v>
      </c>
      <c r="H2" s="76" t="s">
        <v>9</v>
      </c>
      <c r="I2" s="77" t="s">
        <v>9</v>
      </c>
      <c r="J2" s="78" t="s">
        <v>9</v>
      </c>
      <c r="K2" s="79" t="s">
        <v>9</v>
      </c>
      <c r="L2" s="76" t="s">
        <v>9</v>
      </c>
      <c r="M2" s="77" t="s">
        <v>9</v>
      </c>
      <c r="N2" s="78" t="s">
        <v>9</v>
      </c>
      <c r="O2" s="79" t="s">
        <v>9</v>
      </c>
      <c r="P2" s="76" t="s">
        <v>9</v>
      </c>
      <c r="Q2" s="77" t="s">
        <v>9</v>
      </c>
      <c r="R2" s="76" t="s">
        <v>9</v>
      </c>
      <c r="S2" s="80" t="s">
        <v>9</v>
      </c>
      <c r="T2" s="76" t="s">
        <v>9</v>
      </c>
      <c r="U2" s="77" t="s">
        <v>9</v>
      </c>
      <c r="V2" s="76" t="s">
        <v>9</v>
      </c>
      <c r="W2" s="80" t="s">
        <v>9</v>
      </c>
      <c r="X2" s="76" t="s">
        <v>9</v>
      </c>
      <c r="Y2" s="80" t="s">
        <v>9</v>
      </c>
      <c r="Z2" s="76" t="s">
        <v>9</v>
      </c>
      <c r="AA2" s="79" t="s">
        <v>9</v>
      </c>
      <c r="AB2" s="96" t="s">
        <v>9</v>
      </c>
      <c r="AC2" s="80" t="s">
        <v>9</v>
      </c>
      <c r="AD2" s="81" t="s">
        <v>9</v>
      </c>
      <c r="AE2" s="82" t="s">
        <v>9</v>
      </c>
      <c r="AF2" s="78" t="s">
        <v>9</v>
      </c>
      <c r="AG2" s="80" t="s">
        <v>9</v>
      </c>
      <c r="AH2" s="78" t="s">
        <v>9</v>
      </c>
      <c r="AI2" s="80" t="s">
        <v>9</v>
      </c>
      <c r="AJ2" s="78" t="s">
        <v>9</v>
      </c>
      <c r="AK2" s="80" t="s">
        <v>9</v>
      </c>
      <c r="AL2" s="81" t="s">
        <v>9</v>
      </c>
      <c r="AM2" s="82" t="s">
        <v>9</v>
      </c>
      <c r="AN2" s="78" t="s">
        <v>9</v>
      </c>
      <c r="AO2" s="80" t="s">
        <v>9</v>
      </c>
      <c r="AP2" s="78" t="s">
        <v>9</v>
      </c>
      <c r="AQ2" s="80" t="s">
        <v>9</v>
      </c>
      <c r="AR2" s="78" t="s">
        <v>9</v>
      </c>
      <c r="AS2" s="77" t="s">
        <v>9</v>
      </c>
      <c r="AT2" s="78" t="s">
        <v>9</v>
      </c>
      <c r="AU2" s="77" t="s">
        <v>9</v>
      </c>
      <c r="AV2" s="78" t="s">
        <v>9</v>
      </c>
      <c r="AW2" s="79" t="s">
        <v>9</v>
      </c>
      <c r="AX2" s="78" t="s">
        <v>9</v>
      </c>
      <c r="AY2" s="79" t="s">
        <v>9</v>
      </c>
      <c r="AZ2" s="78" t="s">
        <v>9</v>
      </c>
      <c r="BA2" s="79" t="s">
        <v>9</v>
      </c>
      <c r="BB2" s="78" t="s">
        <v>9</v>
      </c>
      <c r="BC2" s="77" t="s">
        <v>9</v>
      </c>
    </row>
    <row r="3" spans="1:55" ht="7.5" customHeight="1" x14ac:dyDescent="0.25">
      <c r="A3" s="69">
        <v>2</v>
      </c>
      <c r="B3" s="83" t="s">
        <v>1430</v>
      </c>
      <c r="C3" s="84" t="s">
        <v>1027</v>
      </c>
      <c r="D3" s="85" t="s">
        <v>805</v>
      </c>
      <c r="E3" s="73" t="s">
        <v>1451</v>
      </c>
      <c r="F3" s="81" t="s">
        <v>104</v>
      </c>
      <c r="G3" s="86" t="s">
        <v>806</v>
      </c>
      <c r="H3" s="78" t="s">
        <v>9</v>
      </c>
      <c r="I3" s="79" t="s">
        <v>9</v>
      </c>
      <c r="J3" s="78" t="s">
        <v>9</v>
      </c>
      <c r="K3" s="79" t="s">
        <v>9</v>
      </c>
      <c r="L3" s="78" t="s">
        <v>9</v>
      </c>
      <c r="M3" s="79" t="s">
        <v>9</v>
      </c>
      <c r="N3" s="78" t="s">
        <v>9</v>
      </c>
      <c r="O3" s="79" t="s">
        <v>9</v>
      </c>
      <c r="P3" s="76" t="s">
        <v>9</v>
      </c>
      <c r="Q3" s="77" t="s">
        <v>9</v>
      </c>
      <c r="R3" s="78" t="s">
        <v>9</v>
      </c>
      <c r="S3" s="80" t="s">
        <v>9</v>
      </c>
      <c r="T3" s="81" t="s">
        <v>9</v>
      </c>
      <c r="U3" s="86" t="s">
        <v>9</v>
      </c>
      <c r="V3" s="78" t="s">
        <v>9</v>
      </c>
      <c r="W3" s="80" t="s">
        <v>9</v>
      </c>
      <c r="X3" s="78" t="s">
        <v>9</v>
      </c>
      <c r="Y3" s="80" t="s">
        <v>9</v>
      </c>
      <c r="Z3" s="78" t="s">
        <v>9</v>
      </c>
      <c r="AA3" s="79" t="s">
        <v>9</v>
      </c>
      <c r="AB3" s="78" t="s">
        <v>9</v>
      </c>
      <c r="AC3" s="80" t="s">
        <v>9</v>
      </c>
      <c r="AD3" s="81" t="s">
        <v>9</v>
      </c>
      <c r="AE3" s="82" t="s">
        <v>9</v>
      </c>
      <c r="AF3" s="78" t="s">
        <v>9</v>
      </c>
      <c r="AG3" s="80" t="s">
        <v>9</v>
      </c>
      <c r="AH3" s="78" t="s">
        <v>9</v>
      </c>
      <c r="AI3" s="80" t="s">
        <v>9</v>
      </c>
      <c r="AJ3" s="78" t="s">
        <v>9</v>
      </c>
      <c r="AK3" s="80" t="s">
        <v>9</v>
      </c>
      <c r="AL3" s="81" t="s">
        <v>9</v>
      </c>
      <c r="AM3" s="82" t="s">
        <v>9</v>
      </c>
      <c r="AN3" s="78" t="s">
        <v>9</v>
      </c>
      <c r="AO3" s="80" t="s">
        <v>9</v>
      </c>
      <c r="AP3" s="78" t="s">
        <v>9</v>
      </c>
      <c r="AQ3" s="80" t="s">
        <v>9</v>
      </c>
      <c r="AR3" s="78" t="s">
        <v>9</v>
      </c>
      <c r="AS3" s="77" t="s">
        <v>9</v>
      </c>
      <c r="AT3" s="78" t="s">
        <v>9</v>
      </c>
      <c r="AU3" s="77" t="s">
        <v>9</v>
      </c>
      <c r="AV3" s="78" t="s">
        <v>9</v>
      </c>
      <c r="AW3" s="79" t="s">
        <v>9</v>
      </c>
      <c r="AX3" s="78" t="s">
        <v>9</v>
      </c>
      <c r="AY3" s="79" t="s">
        <v>9</v>
      </c>
      <c r="AZ3" s="78" t="s">
        <v>9</v>
      </c>
      <c r="BA3" s="79" t="s">
        <v>9</v>
      </c>
      <c r="BB3" s="78" t="s">
        <v>9</v>
      </c>
      <c r="BC3" s="77" t="s">
        <v>9</v>
      </c>
    </row>
    <row r="4" spans="1:55" ht="7.5" customHeight="1" x14ac:dyDescent="0.25">
      <c r="A4" s="69">
        <v>3</v>
      </c>
      <c r="B4" s="83" t="s">
        <v>1431</v>
      </c>
      <c r="C4" s="84" t="s">
        <v>1027</v>
      </c>
      <c r="D4" s="85" t="s">
        <v>124</v>
      </c>
      <c r="E4" s="87" t="s">
        <v>1430</v>
      </c>
      <c r="F4" s="81" t="s">
        <v>104</v>
      </c>
      <c r="G4" s="86" t="s">
        <v>455</v>
      </c>
      <c r="H4" s="78" t="s">
        <v>9</v>
      </c>
      <c r="I4" s="79" t="s">
        <v>9</v>
      </c>
      <c r="J4" s="78" t="s">
        <v>9</v>
      </c>
      <c r="K4" s="79" t="s">
        <v>9</v>
      </c>
      <c r="L4" s="78" t="s">
        <v>9</v>
      </c>
      <c r="M4" s="79" t="s">
        <v>9</v>
      </c>
      <c r="N4" s="78" t="s">
        <v>9</v>
      </c>
      <c r="O4" s="79" t="s">
        <v>9</v>
      </c>
      <c r="P4" s="76" t="s">
        <v>9</v>
      </c>
      <c r="Q4" s="77" t="s">
        <v>9</v>
      </c>
      <c r="R4" s="78" t="s">
        <v>9</v>
      </c>
      <c r="S4" s="80" t="s">
        <v>9</v>
      </c>
      <c r="T4" s="81" t="s">
        <v>9</v>
      </c>
      <c r="U4" s="86" t="s">
        <v>9</v>
      </c>
      <c r="V4" s="78" t="s">
        <v>9</v>
      </c>
      <c r="W4" s="80" t="s">
        <v>9</v>
      </c>
      <c r="X4" s="78" t="s">
        <v>9</v>
      </c>
      <c r="Y4" s="80" t="s">
        <v>9</v>
      </c>
      <c r="Z4" s="78" t="s">
        <v>9</v>
      </c>
      <c r="AA4" s="79" t="s">
        <v>9</v>
      </c>
      <c r="AB4" s="78" t="s">
        <v>9</v>
      </c>
      <c r="AC4" s="80" t="s">
        <v>9</v>
      </c>
      <c r="AD4" s="81" t="s">
        <v>9</v>
      </c>
      <c r="AE4" s="82" t="s">
        <v>9</v>
      </c>
      <c r="AF4" s="78" t="s">
        <v>9</v>
      </c>
      <c r="AG4" s="80" t="s">
        <v>9</v>
      </c>
      <c r="AH4" s="78" t="s">
        <v>9</v>
      </c>
      <c r="AI4" s="80" t="s">
        <v>9</v>
      </c>
      <c r="AJ4" s="78" t="s">
        <v>9</v>
      </c>
      <c r="AK4" s="80" t="s">
        <v>9</v>
      </c>
      <c r="AL4" s="81" t="s">
        <v>9</v>
      </c>
      <c r="AM4" s="82" t="s">
        <v>9</v>
      </c>
      <c r="AN4" s="78" t="s">
        <v>9</v>
      </c>
      <c r="AO4" s="80" t="s">
        <v>9</v>
      </c>
      <c r="AP4" s="78" t="s">
        <v>9</v>
      </c>
      <c r="AQ4" s="80" t="s">
        <v>9</v>
      </c>
      <c r="AR4" s="78" t="s">
        <v>9</v>
      </c>
      <c r="AS4" s="77" t="s">
        <v>9</v>
      </c>
      <c r="AT4" s="78" t="s">
        <v>9</v>
      </c>
      <c r="AU4" s="77" t="s">
        <v>9</v>
      </c>
      <c r="AV4" s="78" t="s">
        <v>9</v>
      </c>
      <c r="AW4" s="79" t="s">
        <v>9</v>
      </c>
      <c r="AX4" s="78" t="s">
        <v>9</v>
      </c>
      <c r="AY4" s="79" t="s">
        <v>9</v>
      </c>
      <c r="AZ4" s="78" t="s">
        <v>9</v>
      </c>
      <c r="BA4" s="79" t="s">
        <v>9</v>
      </c>
      <c r="BB4" s="78" t="s">
        <v>9</v>
      </c>
      <c r="BC4" s="77" t="s">
        <v>9</v>
      </c>
    </row>
    <row r="5" spans="1:55" ht="7.5" customHeight="1" x14ac:dyDescent="0.25">
      <c r="A5" s="69">
        <v>4</v>
      </c>
      <c r="B5" s="83" t="s">
        <v>1432</v>
      </c>
      <c r="C5" s="84" t="s">
        <v>1027</v>
      </c>
      <c r="D5" s="85" t="s">
        <v>124</v>
      </c>
      <c r="E5" s="87" t="s">
        <v>1430</v>
      </c>
      <c r="F5" s="81" t="s">
        <v>104</v>
      </c>
      <c r="G5" s="86" t="s">
        <v>456</v>
      </c>
      <c r="H5" s="78" t="s">
        <v>9</v>
      </c>
      <c r="I5" s="79" t="s">
        <v>9</v>
      </c>
      <c r="J5" s="78" t="s">
        <v>9</v>
      </c>
      <c r="K5" s="79" t="s">
        <v>9</v>
      </c>
      <c r="L5" s="78" t="s">
        <v>9</v>
      </c>
      <c r="M5" s="79" t="s">
        <v>9</v>
      </c>
      <c r="N5" s="78" t="s">
        <v>9</v>
      </c>
      <c r="O5" s="79" t="s">
        <v>9</v>
      </c>
      <c r="P5" s="76" t="s">
        <v>9</v>
      </c>
      <c r="Q5" s="77" t="s">
        <v>9</v>
      </c>
      <c r="R5" s="78" t="s">
        <v>9</v>
      </c>
      <c r="S5" s="80" t="s">
        <v>9</v>
      </c>
      <c r="T5" s="81" t="s">
        <v>9</v>
      </c>
      <c r="U5" s="86" t="s">
        <v>9</v>
      </c>
      <c r="V5" s="78" t="s">
        <v>9</v>
      </c>
      <c r="W5" s="80" t="s">
        <v>9</v>
      </c>
      <c r="X5" s="78" t="s">
        <v>9</v>
      </c>
      <c r="Y5" s="80" t="s">
        <v>9</v>
      </c>
      <c r="Z5" s="78" t="s">
        <v>9</v>
      </c>
      <c r="AA5" s="79" t="s">
        <v>9</v>
      </c>
      <c r="AB5" s="78" t="s">
        <v>9</v>
      </c>
      <c r="AC5" s="80" t="s">
        <v>9</v>
      </c>
      <c r="AD5" s="81" t="s">
        <v>9</v>
      </c>
      <c r="AE5" s="82" t="s">
        <v>9</v>
      </c>
      <c r="AF5" s="78" t="s">
        <v>9</v>
      </c>
      <c r="AG5" s="80" t="s">
        <v>9</v>
      </c>
      <c r="AH5" s="78" t="s">
        <v>9</v>
      </c>
      <c r="AI5" s="80" t="s">
        <v>9</v>
      </c>
      <c r="AJ5" s="78" t="s">
        <v>9</v>
      </c>
      <c r="AK5" s="80" t="s">
        <v>9</v>
      </c>
      <c r="AL5" s="81" t="s">
        <v>9</v>
      </c>
      <c r="AM5" s="82" t="s">
        <v>9</v>
      </c>
      <c r="AN5" s="78" t="s">
        <v>9</v>
      </c>
      <c r="AO5" s="80" t="s">
        <v>9</v>
      </c>
      <c r="AP5" s="78" t="s">
        <v>9</v>
      </c>
      <c r="AQ5" s="80" t="s">
        <v>9</v>
      </c>
      <c r="AR5" s="78" t="s">
        <v>9</v>
      </c>
      <c r="AS5" s="77" t="s">
        <v>9</v>
      </c>
      <c r="AT5" s="78" t="s">
        <v>9</v>
      </c>
      <c r="AU5" s="77" t="s">
        <v>9</v>
      </c>
      <c r="AV5" s="78" t="s">
        <v>9</v>
      </c>
      <c r="AW5" s="79" t="s">
        <v>9</v>
      </c>
      <c r="AX5" s="78" t="s">
        <v>9</v>
      </c>
      <c r="AY5" s="79" t="s">
        <v>9</v>
      </c>
      <c r="AZ5" s="78" t="s">
        <v>9</v>
      </c>
      <c r="BA5" s="79" t="s">
        <v>9</v>
      </c>
      <c r="BB5" s="78" t="s">
        <v>9</v>
      </c>
      <c r="BC5" s="77" t="s">
        <v>9</v>
      </c>
    </row>
    <row r="6" spans="1:55" ht="7.5" customHeight="1" x14ac:dyDescent="0.25">
      <c r="A6" s="69">
        <v>5</v>
      </c>
      <c r="B6" s="83" t="s">
        <v>1447</v>
      </c>
      <c r="C6" s="84" t="s">
        <v>1519</v>
      </c>
      <c r="D6" s="85" t="s">
        <v>124</v>
      </c>
      <c r="E6" s="87" t="s">
        <v>1430</v>
      </c>
      <c r="F6" s="81" t="s">
        <v>104</v>
      </c>
      <c r="G6" s="86" t="s">
        <v>1525</v>
      </c>
      <c r="H6" s="78" t="s">
        <v>9</v>
      </c>
      <c r="I6" s="79" t="s">
        <v>9</v>
      </c>
      <c r="J6" s="78" t="s">
        <v>9</v>
      </c>
      <c r="K6" s="79" t="s">
        <v>9</v>
      </c>
      <c r="L6" s="78" t="s">
        <v>9</v>
      </c>
      <c r="M6" s="79" t="s">
        <v>9</v>
      </c>
      <c r="N6" s="78" t="s">
        <v>9</v>
      </c>
      <c r="O6" s="79" t="s">
        <v>9</v>
      </c>
      <c r="P6" s="76" t="s">
        <v>9</v>
      </c>
      <c r="Q6" s="77" t="s">
        <v>9</v>
      </c>
      <c r="R6" s="78" t="s">
        <v>9</v>
      </c>
      <c r="S6" s="80" t="s">
        <v>9</v>
      </c>
      <c r="T6" s="81" t="s">
        <v>9</v>
      </c>
      <c r="U6" s="86" t="s">
        <v>9</v>
      </c>
      <c r="V6" s="78" t="s">
        <v>9</v>
      </c>
      <c r="W6" s="80" t="s">
        <v>9</v>
      </c>
      <c r="X6" s="78" t="s">
        <v>9</v>
      </c>
      <c r="Y6" s="80" t="s">
        <v>9</v>
      </c>
      <c r="Z6" s="78" t="s">
        <v>9</v>
      </c>
      <c r="AA6" s="79" t="s">
        <v>9</v>
      </c>
      <c r="AB6" s="78" t="s">
        <v>9</v>
      </c>
      <c r="AC6" s="80" t="s">
        <v>9</v>
      </c>
      <c r="AD6" s="81" t="s">
        <v>9</v>
      </c>
      <c r="AE6" s="82" t="s">
        <v>9</v>
      </c>
      <c r="AF6" s="78" t="s">
        <v>9</v>
      </c>
      <c r="AG6" s="80" t="s">
        <v>9</v>
      </c>
      <c r="AH6" s="78" t="s">
        <v>9</v>
      </c>
      <c r="AI6" s="80" t="s">
        <v>9</v>
      </c>
      <c r="AJ6" s="78" t="s">
        <v>9</v>
      </c>
      <c r="AK6" s="80" t="s">
        <v>9</v>
      </c>
      <c r="AL6" s="81" t="s">
        <v>9</v>
      </c>
      <c r="AM6" s="82" t="s">
        <v>9</v>
      </c>
      <c r="AN6" s="78" t="s">
        <v>9</v>
      </c>
      <c r="AO6" s="80" t="s">
        <v>9</v>
      </c>
      <c r="AP6" s="78" t="s">
        <v>9</v>
      </c>
      <c r="AQ6" s="80" t="s">
        <v>9</v>
      </c>
      <c r="AR6" s="78" t="s">
        <v>9</v>
      </c>
      <c r="AS6" s="77" t="s">
        <v>9</v>
      </c>
      <c r="AT6" s="78" t="s">
        <v>9</v>
      </c>
      <c r="AU6" s="77" t="s">
        <v>9</v>
      </c>
      <c r="AV6" s="78" t="s">
        <v>9</v>
      </c>
      <c r="AW6" s="79" t="s">
        <v>9</v>
      </c>
      <c r="AX6" s="78" t="s">
        <v>9</v>
      </c>
      <c r="AY6" s="79" t="s">
        <v>9</v>
      </c>
      <c r="AZ6" s="78" t="s">
        <v>9</v>
      </c>
      <c r="BA6" s="79" t="s">
        <v>9</v>
      </c>
      <c r="BB6" s="78" t="s">
        <v>9</v>
      </c>
      <c r="BC6" s="77" t="s">
        <v>9</v>
      </c>
    </row>
    <row r="7" spans="1:55" ht="7.5" customHeight="1" x14ac:dyDescent="0.25">
      <c r="A7" s="69">
        <v>6</v>
      </c>
      <c r="B7" s="70" t="s">
        <v>1613</v>
      </c>
      <c r="C7" s="71" t="s">
        <v>1663</v>
      </c>
      <c r="D7" s="85" t="s">
        <v>124</v>
      </c>
      <c r="E7" s="73" t="s">
        <v>1451</v>
      </c>
      <c r="F7" s="74" t="s">
        <v>104</v>
      </c>
      <c r="G7" s="75" t="s">
        <v>1614</v>
      </c>
      <c r="H7" s="76" t="s">
        <v>9</v>
      </c>
      <c r="I7" s="77" t="s">
        <v>9</v>
      </c>
      <c r="J7" s="78" t="s">
        <v>9</v>
      </c>
      <c r="K7" s="79" t="s">
        <v>9</v>
      </c>
      <c r="L7" s="76" t="s">
        <v>9</v>
      </c>
      <c r="M7" s="77" t="s">
        <v>9</v>
      </c>
      <c r="N7" s="78" t="s">
        <v>9</v>
      </c>
      <c r="O7" s="79" t="s">
        <v>9</v>
      </c>
      <c r="P7" s="76" t="s">
        <v>9</v>
      </c>
      <c r="Q7" s="77" t="s">
        <v>9</v>
      </c>
      <c r="R7" s="76" t="s">
        <v>9</v>
      </c>
      <c r="S7" s="80" t="s">
        <v>9</v>
      </c>
      <c r="T7" s="76" t="s">
        <v>9</v>
      </c>
      <c r="U7" s="77" t="s">
        <v>9</v>
      </c>
      <c r="V7" s="76" t="s">
        <v>9</v>
      </c>
      <c r="W7" s="80" t="s">
        <v>9</v>
      </c>
      <c r="X7" s="76" t="s">
        <v>9</v>
      </c>
      <c r="Y7" s="80" t="s">
        <v>9</v>
      </c>
      <c r="Z7" s="76" t="s">
        <v>9</v>
      </c>
      <c r="AA7" s="79" t="s">
        <v>9</v>
      </c>
      <c r="AB7" s="96" t="s">
        <v>9</v>
      </c>
      <c r="AC7" s="80" t="s">
        <v>9</v>
      </c>
      <c r="AD7" s="81" t="s">
        <v>9</v>
      </c>
      <c r="AE7" s="82" t="s">
        <v>9</v>
      </c>
      <c r="AF7" s="78" t="s">
        <v>9</v>
      </c>
      <c r="AG7" s="80" t="s">
        <v>9</v>
      </c>
      <c r="AH7" s="78" t="s">
        <v>9</v>
      </c>
      <c r="AI7" s="80" t="s">
        <v>9</v>
      </c>
      <c r="AJ7" s="78" t="s">
        <v>9</v>
      </c>
      <c r="AK7" s="80" t="s">
        <v>9</v>
      </c>
      <c r="AL7" s="81" t="s">
        <v>9</v>
      </c>
      <c r="AM7" s="82" t="s">
        <v>9</v>
      </c>
      <c r="AN7" s="78" t="s">
        <v>9</v>
      </c>
      <c r="AO7" s="80" t="s">
        <v>9</v>
      </c>
      <c r="AP7" s="78" t="s">
        <v>9</v>
      </c>
      <c r="AQ7" s="80" t="s">
        <v>9</v>
      </c>
      <c r="AR7" s="78" t="s">
        <v>9</v>
      </c>
      <c r="AS7" s="77" t="s">
        <v>9</v>
      </c>
      <c r="AT7" s="78" t="s">
        <v>9</v>
      </c>
      <c r="AU7" s="77" t="s">
        <v>9</v>
      </c>
      <c r="AV7" s="78" t="s">
        <v>9</v>
      </c>
      <c r="AW7" s="79" t="s">
        <v>9</v>
      </c>
      <c r="AX7" s="78" t="s">
        <v>9</v>
      </c>
      <c r="AY7" s="79" t="s">
        <v>9</v>
      </c>
      <c r="AZ7" s="78" t="s">
        <v>9</v>
      </c>
      <c r="BA7" s="79" t="s">
        <v>9</v>
      </c>
      <c r="BB7" s="78" t="s">
        <v>9</v>
      </c>
      <c r="BC7" s="77" t="s">
        <v>9</v>
      </c>
    </row>
    <row r="8" spans="1:55" ht="7.5" customHeight="1" x14ac:dyDescent="0.25">
      <c r="A8" s="69">
        <v>7</v>
      </c>
      <c r="B8" s="70" t="s">
        <v>1143</v>
      </c>
      <c r="C8" s="71" t="s">
        <v>1611</v>
      </c>
      <c r="D8" s="85" t="s">
        <v>124</v>
      </c>
      <c r="E8" s="73" t="s">
        <v>1451</v>
      </c>
      <c r="F8" s="74" t="s">
        <v>104</v>
      </c>
      <c r="G8" s="75" t="s">
        <v>1448</v>
      </c>
      <c r="H8" s="76" t="s">
        <v>9</v>
      </c>
      <c r="I8" s="77" t="s">
        <v>9</v>
      </c>
      <c r="J8" s="78" t="s">
        <v>9</v>
      </c>
      <c r="K8" s="79" t="s">
        <v>9</v>
      </c>
      <c r="L8" s="76" t="s">
        <v>9</v>
      </c>
      <c r="M8" s="77" t="s">
        <v>9</v>
      </c>
      <c r="N8" s="78" t="s">
        <v>9</v>
      </c>
      <c r="O8" s="79" t="s">
        <v>9</v>
      </c>
      <c r="P8" s="76" t="s">
        <v>9</v>
      </c>
      <c r="Q8" s="77" t="s">
        <v>9</v>
      </c>
      <c r="R8" s="76" t="s">
        <v>9</v>
      </c>
      <c r="S8" s="80" t="s">
        <v>9</v>
      </c>
      <c r="T8" s="76" t="s">
        <v>9</v>
      </c>
      <c r="U8" s="77" t="s">
        <v>9</v>
      </c>
      <c r="V8" s="76" t="s">
        <v>9</v>
      </c>
      <c r="W8" s="80" t="s">
        <v>9</v>
      </c>
      <c r="X8" s="76" t="s">
        <v>9</v>
      </c>
      <c r="Y8" s="80" t="s">
        <v>9</v>
      </c>
      <c r="Z8" s="76" t="s">
        <v>9</v>
      </c>
      <c r="AA8" s="79" t="s">
        <v>9</v>
      </c>
      <c r="AB8" s="96" t="s">
        <v>9</v>
      </c>
      <c r="AC8" s="80" t="s">
        <v>9</v>
      </c>
      <c r="AD8" s="81" t="s">
        <v>9</v>
      </c>
      <c r="AE8" s="82" t="s">
        <v>9</v>
      </c>
      <c r="AF8" s="78" t="s">
        <v>9</v>
      </c>
      <c r="AG8" s="80" t="s">
        <v>9</v>
      </c>
      <c r="AH8" s="78" t="s">
        <v>9</v>
      </c>
      <c r="AI8" s="80" t="s">
        <v>9</v>
      </c>
      <c r="AJ8" s="78" t="s">
        <v>9</v>
      </c>
      <c r="AK8" s="80" t="s">
        <v>9</v>
      </c>
      <c r="AL8" s="81" t="s">
        <v>9</v>
      </c>
      <c r="AM8" s="82" t="s">
        <v>9</v>
      </c>
      <c r="AN8" s="78" t="s">
        <v>9</v>
      </c>
      <c r="AO8" s="80" t="s">
        <v>9</v>
      </c>
      <c r="AP8" s="78" t="s">
        <v>9</v>
      </c>
      <c r="AQ8" s="80" t="s">
        <v>9</v>
      </c>
      <c r="AR8" s="78" t="s">
        <v>9</v>
      </c>
      <c r="AS8" s="77" t="s">
        <v>9</v>
      </c>
      <c r="AT8" s="78" t="s">
        <v>9</v>
      </c>
      <c r="AU8" s="77" t="s">
        <v>9</v>
      </c>
      <c r="AV8" s="78" t="s">
        <v>9</v>
      </c>
      <c r="AW8" s="79" t="s">
        <v>9</v>
      </c>
      <c r="AX8" s="78" t="s">
        <v>9</v>
      </c>
      <c r="AY8" s="79" t="s">
        <v>9</v>
      </c>
      <c r="AZ8" s="78" t="s">
        <v>9</v>
      </c>
      <c r="BA8" s="79" t="s">
        <v>9</v>
      </c>
      <c r="BB8" s="78" t="s">
        <v>9</v>
      </c>
      <c r="BC8" s="77" t="s">
        <v>9</v>
      </c>
    </row>
    <row r="9" spans="1:55" ht="7.5" customHeight="1" x14ac:dyDescent="0.25">
      <c r="A9" s="69">
        <v>8</v>
      </c>
      <c r="B9" s="70" t="s">
        <v>1114</v>
      </c>
      <c r="C9" s="71" t="s">
        <v>762</v>
      </c>
      <c r="D9" s="85" t="s">
        <v>124</v>
      </c>
      <c r="E9" s="73" t="s">
        <v>1451</v>
      </c>
      <c r="F9" s="74" t="s">
        <v>104</v>
      </c>
      <c r="G9" s="75" t="s">
        <v>1449</v>
      </c>
      <c r="H9" s="76" t="s">
        <v>9</v>
      </c>
      <c r="I9" s="77" t="s">
        <v>9</v>
      </c>
      <c r="J9" s="78" t="s">
        <v>9</v>
      </c>
      <c r="K9" s="79" t="s">
        <v>9</v>
      </c>
      <c r="L9" s="76" t="s">
        <v>9</v>
      </c>
      <c r="M9" s="77" t="s">
        <v>9</v>
      </c>
      <c r="N9" s="78" t="s">
        <v>9</v>
      </c>
      <c r="O9" s="79" t="s">
        <v>9</v>
      </c>
      <c r="P9" s="76" t="s">
        <v>9</v>
      </c>
      <c r="Q9" s="77" t="s">
        <v>9</v>
      </c>
      <c r="R9" s="76" t="s">
        <v>9</v>
      </c>
      <c r="S9" s="80" t="s">
        <v>9</v>
      </c>
      <c r="T9" s="76" t="s">
        <v>9</v>
      </c>
      <c r="U9" s="77" t="s">
        <v>9</v>
      </c>
      <c r="V9" s="76" t="s">
        <v>9</v>
      </c>
      <c r="W9" s="80" t="s">
        <v>9</v>
      </c>
      <c r="X9" s="76" t="s">
        <v>9</v>
      </c>
      <c r="Y9" s="80" t="s">
        <v>9</v>
      </c>
      <c r="Z9" s="76" t="s">
        <v>9</v>
      </c>
      <c r="AA9" s="79" t="s">
        <v>9</v>
      </c>
      <c r="AB9" s="96" t="s">
        <v>9</v>
      </c>
      <c r="AC9" s="80" t="s">
        <v>9</v>
      </c>
      <c r="AD9" s="81" t="s">
        <v>9</v>
      </c>
      <c r="AE9" s="82" t="s">
        <v>9</v>
      </c>
      <c r="AF9" s="78" t="s">
        <v>9</v>
      </c>
      <c r="AG9" s="80" t="s">
        <v>9</v>
      </c>
      <c r="AH9" s="78" t="s">
        <v>9</v>
      </c>
      <c r="AI9" s="80" t="s">
        <v>9</v>
      </c>
      <c r="AJ9" s="78" t="s">
        <v>9</v>
      </c>
      <c r="AK9" s="80" t="s">
        <v>9</v>
      </c>
      <c r="AL9" s="81" t="s">
        <v>9</v>
      </c>
      <c r="AM9" s="82" t="s">
        <v>9</v>
      </c>
      <c r="AN9" s="78" t="s">
        <v>9</v>
      </c>
      <c r="AO9" s="80" t="s">
        <v>9</v>
      </c>
      <c r="AP9" s="78" t="s">
        <v>9</v>
      </c>
      <c r="AQ9" s="80" t="s">
        <v>9</v>
      </c>
      <c r="AR9" s="78" t="s">
        <v>9</v>
      </c>
      <c r="AS9" s="77" t="s">
        <v>9</v>
      </c>
      <c r="AT9" s="78" t="s">
        <v>9</v>
      </c>
      <c r="AU9" s="77" t="s">
        <v>9</v>
      </c>
      <c r="AV9" s="78" t="s">
        <v>9</v>
      </c>
      <c r="AW9" s="79" t="s">
        <v>9</v>
      </c>
      <c r="AX9" s="78" t="s">
        <v>9</v>
      </c>
      <c r="AY9" s="79" t="s">
        <v>9</v>
      </c>
      <c r="AZ9" s="78" t="s">
        <v>9</v>
      </c>
      <c r="BA9" s="79" t="s">
        <v>9</v>
      </c>
      <c r="BB9" s="78" t="s">
        <v>9</v>
      </c>
      <c r="BC9" s="77" t="s">
        <v>9</v>
      </c>
    </row>
    <row r="10" spans="1:55" ht="7.5" customHeight="1" x14ac:dyDescent="0.25">
      <c r="A10" s="69">
        <v>9</v>
      </c>
      <c r="B10" s="70" t="s">
        <v>1142</v>
      </c>
      <c r="C10" s="71" t="s">
        <v>1610</v>
      </c>
      <c r="D10" s="85" t="s">
        <v>124</v>
      </c>
      <c r="E10" s="73" t="s">
        <v>1451</v>
      </c>
      <c r="F10" s="74" t="s">
        <v>104</v>
      </c>
      <c r="G10" s="75" t="s">
        <v>1448</v>
      </c>
      <c r="H10" s="76" t="s">
        <v>9</v>
      </c>
      <c r="I10" s="77" t="s">
        <v>9</v>
      </c>
      <c r="J10" s="78" t="s">
        <v>9</v>
      </c>
      <c r="K10" s="79" t="s">
        <v>9</v>
      </c>
      <c r="L10" s="76" t="s">
        <v>9</v>
      </c>
      <c r="M10" s="77" t="s">
        <v>9</v>
      </c>
      <c r="N10" s="78" t="s">
        <v>9</v>
      </c>
      <c r="O10" s="79" t="s">
        <v>9</v>
      </c>
      <c r="P10" s="76" t="s">
        <v>9</v>
      </c>
      <c r="Q10" s="77" t="s">
        <v>9</v>
      </c>
      <c r="R10" s="76" t="s">
        <v>9</v>
      </c>
      <c r="S10" s="80" t="s">
        <v>9</v>
      </c>
      <c r="T10" s="76" t="s">
        <v>9</v>
      </c>
      <c r="U10" s="77" t="s">
        <v>9</v>
      </c>
      <c r="V10" s="76" t="s">
        <v>9</v>
      </c>
      <c r="W10" s="80" t="s">
        <v>9</v>
      </c>
      <c r="X10" s="76" t="s">
        <v>9</v>
      </c>
      <c r="Y10" s="80" t="s">
        <v>9</v>
      </c>
      <c r="Z10" s="76" t="s">
        <v>9</v>
      </c>
      <c r="AA10" s="79" t="s">
        <v>9</v>
      </c>
      <c r="AB10" s="96" t="s">
        <v>9</v>
      </c>
      <c r="AC10" s="80" t="s">
        <v>9</v>
      </c>
      <c r="AD10" s="81" t="s">
        <v>9</v>
      </c>
      <c r="AE10" s="82" t="s">
        <v>9</v>
      </c>
      <c r="AF10" s="78" t="s">
        <v>9</v>
      </c>
      <c r="AG10" s="80" t="s">
        <v>9</v>
      </c>
      <c r="AH10" s="78" t="s">
        <v>9</v>
      </c>
      <c r="AI10" s="80" t="s">
        <v>9</v>
      </c>
      <c r="AJ10" s="78" t="s">
        <v>9</v>
      </c>
      <c r="AK10" s="80" t="s">
        <v>9</v>
      </c>
      <c r="AL10" s="81" t="s">
        <v>9</v>
      </c>
      <c r="AM10" s="82" t="s">
        <v>9</v>
      </c>
      <c r="AN10" s="78" t="s">
        <v>9</v>
      </c>
      <c r="AO10" s="80" t="s">
        <v>9</v>
      </c>
      <c r="AP10" s="78" t="s">
        <v>9</v>
      </c>
      <c r="AQ10" s="80" t="s">
        <v>9</v>
      </c>
      <c r="AR10" s="78" t="s">
        <v>9</v>
      </c>
      <c r="AS10" s="77" t="s">
        <v>9</v>
      </c>
      <c r="AT10" s="78" t="s">
        <v>9</v>
      </c>
      <c r="AU10" s="77" t="s">
        <v>9</v>
      </c>
      <c r="AV10" s="78" t="s">
        <v>9</v>
      </c>
      <c r="AW10" s="79" t="s">
        <v>9</v>
      </c>
      <c r="AX10" s="78" t="s">
        <v>9</v>
      </c>
      <c r="AY10" s="79" t="s">
        <v>9</v>
      </c>
      <c r="AZ10" s="78" t="s">
        <v>9</v>
      </c>
      <c r="BA10" s="79" t="s">
        <v>9</v>
      </c>
      <c r="BB10" s="78" t="s">
        <v>9</v>
      </c>
      <c r="BC10" s="77" t="s">
        <v>9</v>
      </c>
    </row>
    <row r="11" spans="1:55" ht="7.5" customHeight="1" x14ac:dyDescent="0.25">
      <c r="A11" s="69">
        <v>10</v>
      </c>
      <c r="B11" s="70" t="s">
        <v>1425</v>
      </c>
      <c r="C11" s="71" t="s">
        <v>1612</v>
      </c>
      <c r="D11" s="85" t="s">
        <v>124</v>
      </c>
      <c r="E11" s="73" t="s">
        <v>1451</v>
      </c>
      <c r="F11" s="74" t="s">
        <v>104</v>
      </c>
      <c r="G11" s="75" t="s">
        <v>1450</v>
      </c>
      <c r="H11" s="76" t="s">
        <v>9</v>
      </c>
      <c r="I11" s="77" t="s">
        <v>9</v>
      </c>
      <c r="J11" s="78" t="s">
        <v>9</v>
      </c>
      <c r="K11" s="79" t="s">
        <v>9</v>
      </c>
      <c r="L11" s="76" t="s">
        <v>9</v>
      </c>
      <c r="M11" s="77" t="s">
        <v>9</v>
      </c>
      <c r="N11" s="76" t="s">
        <v>9</v>
      </c>
      <c r="O11" s="77" t="s">
        <v>9</v>
      </c>
      <c r="P11" s="76" t="s">
        <v>9</v>
      </c>
      <c r="Q11" s="77" t="s">
        <v>9</v>
      </c>
      <c r="R11" s="76" t="s">
        <v>9</v>
      </c>
      <c r="S11" s="80" t="s">
        <v>9</v>
      </c>
      <c r="T11" s="76" t="s">
        <v>9</v>
      </c>
      <c r="U11" s="77" t="s">
        <v>9</v>
      </c>
      <c r="V11" s="76" t="s">
        <v>9</v>
      </c>
      <c r="W11" s="80" t="s">
        <v>9</v>
      </c>
      <c r="X11" s="76" t="s">
        <v>9</v>
      </c>
      <c r="Y11" s="80" t="s">
        <v>9</v>
      </c>
      <c r="Z11" s="76" t="s">
        <v>9</v>
      </c>
      <c r="AA11" s="79" t="s">
        <v>9</v>
      </c>
      <c r="AB11" s="96" t="s">
        <v>9</v>
      </c>
      <c r="AC11" s="80" t="s">
        <v>9</v>
      </c>
      <c r="AD11" s="96" t="s">
        <v>9</v>
      </c>
      <c r="AE11" s="80" t="s">
        <v>9</v>
      </c>
      <c r="AF11" s="78" t="s">
        <v>9</v>
      </c>
      <c r="AG11" s="80" t="s">
        <v>9</v>
      </c>
      <c r="AH11" s="78" t="s">
        <v>9</v>
      </c>
      <c r="AI11" s="80" t="s">
        <v>9</v>
      </c>
      <c r="AJ11" s="78" t="s">
        <v>9</v>
      </c>
      <c r="AK11" s="80" t="s">
        <v>9</v>
      </c>
      <c r="AL11" s="78" t="s">
        <v>9</v>
      </c>
      <c r="AM11" s="80" t="s">
        <v>9</v>
      </c>
      <c r="AN11" s="78" t="s">
        <v>9</v>
      </c>
      <c r="AO11" s="80" t="s">
        <v>9</v>
      </c>
      <c r="AP11" s="78" t="s">
        <v>9</v>
      </c>
      <c r="AQ11" s="80" t="s">
        <v>9</v>
      </c>
      <c r="AR11" s="78" t="s">
        <v>9</v>
      </c>
      <c r="AS11" s="77" t="s">
        <v>9</v>
      </c>
      <c r="AT11" s="78" t="s">
        <v>9</v>
      </c>
      <c r="AU11" s="77" t="s">
        <v>9</v>
      </c>
      <c r="AV11" s="78" t="s">
        <v>9</v>
      </c>
      <c r="AW11" s="79" t="s">
        <v>9</v>
      </c>
      <c r="AX11" s="96" t="s">
        <v>9</v>
      </c>
      <c r="AY11" s="77" t="s">
        <v>9</v>
      </c>
      <c r="AZ11" s="96" t="s">
        <v>9</v>
      </c>
      <c r="BA11" s="77" t="s">
        <v>9</v>
      </c>
      <c r="BB11" s="96" t="s">
        <v>9</v>
      </c>
      <c r="BC11" s="77" t="s">
        <v>9</v>
      </c>
    </row>
    <row r="12" spans="1:55" s="24" customFormat="1" ht="7.5" customHeight="1" x14ac:dyDescent="0.25">
      <c r="A12" s="69">
        <v>11</v>
      </c>
      <c r="B12" s="70" t="s">
        <v>2090</v>
      </c>
      <c r="C12" s="71" t="s">
        <v>1598</v>
      </c>
      <c r="D12" s="72" t="s">
        <v>1105</v>
      </c>
      <c r="E12" s="88" t="s">
        <v>1613</v>
      </c>
      <c r="F12" s="78" t="s">
        <v>104</v>
      </c>
      <c r="G12" s="75" t="s">
        <v>2093</v>
      </c>
      <c r="H12" s="89" t="s">
        <v>2075</v>
      </c>
      <c r="I12" s="79" t="s">
        <v>2076</v>
      </c>
      <c r="J12" s="76" t="s">
        <v>2077</v>
      </c>
      <c r="K12" s="75" t="s">
        <v>2078</v>
      </c>
      <c r="L12" s="76" t="s">
        <v>9</v>
      </c>
      <c r="M12" s="79" t="s">
        <v>9</v>
      </c>
      <c r="N12" s="76" t="s">
        <v>9</v>
      </c>
      <c r="O12" s="79" t="s">
        <v>9</v>
      </c>
      <c r="P12" s="76" t="s">
        <v>2079</v>
      </c>
      <c r="Q12" s="79" t="s">
        <v>2080</v>
      </c>
      <c r="R12" s="78" t="s">
        <v>236</v>
      </c>
      <c r="S12" s="79" t="s">
        <v>2081</v>
      </c>
      <c r="T12" s="78" t="s">
        <v>237</v>
      </c>
      <c r="U12" s="79" t="s">
        <v>2082</v>
      </c>
      <c r="V12" s="76" t="s">
        <v>9</v>
      </c>
      <c r="W12" s="80" t="s">
        <v>9</v>
      </c>
      <c r="X12" s="76" t="s">
        <v>9</v>
      </c>
      <c r="Y12" s="80" t="s">
        <v>9</v>
      </c>
      <c r="Z12" s="78" t="s">
        <v>716</v>
      </c>
      <c r="AA12" s="79" t="s">
        <v>2083</v>
      </c>
      <c r="AB12" s="78" t="s">
        <v>9</v>
      </c>
      <c r="AC12" s="80" t="s">
        <v>9</v>
      </c>
      <c r="AD12" s="96" t="s">
        <v>9</v>
      </c>
      <c r="AE12" s="80" t="s">
        <v>9</v>
      </c>
      <c r="AF12" s="78" t="s">
        <v>9</v>
      </c>
      <c r="AG12" s="80" t="s">
        <v>9</v>
      </c>
      <c r="AH12" s="78" t="s">
        <v>9</v>
      </c>
      <c r="AI12" s="80" t="s">
        <v>9</v>
      </c>
      <c r="AJ12" s="78" t="s">
        <v>9</v>
      </c>
      <c r="AK12" s="80" t="s">
        <v>9</v>
      </c>
      <c r="AL12" s="78" t="s">
        <v>9</v>
      </c>
      <c r="AM12" s="80" t="s">
        <v>9</v>
      </c>
      <c r="AN12" s="78" t="s">
        <v>9</v>
      </c>
      <c r="AO12" s="80" t="s">
        <v>9</v>
      </c>
      <c r="AP12" s="78" t="s">
        <v>9</v>
      </c>
      <c r="AQ12" s="80" t="s">
        <v>9</v>
      </c>
      <c r="AR12" s="78" t="s">
        <v>9</v>
      </c>
      <c r="AS12" s="77" t="s">
        <v>9</v>
      </c>
      <c r="AT12" s="78" t="s">
        <v>9</v>
      </c>
      <c r="AU12" s="77" t="s">
        <v>9</v>
      </c>
      <c r="AV12" s="78" t="s">
        <v>9</v>
      </c>
      <c r="AW12" s="79" t="s">
        <v>9</v>
      </c>
      <c r="AX12" s="96" t="s">
        <v>9</v>
      </c>
      <c r="AY12" s="77" t="s">
        <v>9</v>
      </c>
      <c r="AZ12" s="96" t="s">
        <v>9</v>
      </c>
      <c r="BA12" s="77" t="s">
        <v>9</v>
      </c>
      <c r="BB12" s="96" t="s">
        <v>9</v>
      </c>
      <c r="BC12" s="77" t="s">
        <v>9</v>
      </c>
    </row>
    <row r="13" spans="1:55" s="24" customFormat="1" ht="7.5" customHeight="1" x14ac:dyDescent="0.25">
      <c r="A13" s="69">
        <v>12</v>
      </c>
      <c r="B13" s="70" t="s">
        <v>2091</v>
      </c>
      <c r="C13" s="71" t="s">
        <v>1598</v>
      </c>
      <c r="D13" s="72" t="s">
        <v>1105</v>
      </c>
      <c r="E13" s="88" t="s">
        <v>1613</v>
      </c>
      <c r="F13" s="78" t="s">
        <v>104</v>
      </c>
      <c r="G13" s="75" t="s">
        <v>2094</v>
      </c>
      <c r="H13" s="89" t="s">
        <v>2075</v>
      </c>
      <c r="I13" s="79" t="s">
        <v>2076</v>
      </c>
      <c r="J13" s="76" t="s">
        <v>2077</v>
      </c>
      <c r="K13" s="75" t="s">
        <v>2078</v>
      </c>
      <c r="L13" s="76" t="s">
        <v>9</v>
      </c>
      <c r="M13" s="79" t="s">
        <v>9</v>
      </c>
      <c r="N13" s="76" t="s">
        <v>9</v>
      </c>
      <c r="O13" s="79" t="s">
        <v>9</v>
      </c>
      <c r="P13" s="76" t="s">
        <v>2079</v>
      </c>
      <c r="Q13" s="79" t="s">
        <v>2085</v>
      </c>
      <c r="R13" s="78" t="s">
        <v>236</v>
      </c>
      <c r="S13" s="79" t="s">
        <v>2081</v>
      </c>
      <c r="T13" s="78" t="s">
        <v>237</v>
      </c>
      <c r="U13" s="79" t="s">
        <v>2082</v>
      </c>
      <c r="V13" s="76" t="s">
        <v>9</v>
      </c>
      <c r="W13" s="80" t="s">
        <v>9</v>
      </c>
      <c r="X13" s="76" t="s">
        <v>9</v>
      </c>
      <c r="Y13" s="80" t="s">
        <v>9</v>
      </c>
      <c r="Z13" s="78" t="s">
        <v>716</v>
      </c>
      <c r="AA13" s="79" t="s">
        <v>2083</v>
      </c>
      <c r="AB13" s="78" t="s">
        <v>9</v>
      </c>
      <c r="AC13" s="80" t="s">
        <v>9</v>
      </c>
      <c r="AD13" s="96" t="s">
        <v>9</v>
      </c>
      <c r="AE13" s="80" t="s">
        <v>9</v>
      </c>
      <c r="AF13" s="78" t="s">
        <v>9</v>
      </c>
      <c r="AG13" s="80" t="s">
        <v>9</v>
      </c>
      <c r="AH13" s="78" t="s">
        <v>9</v>
      </c>
      <c r="AI13" s="80" t="s">
        <v>9</v>
      </c>
      <c r="AJ13" s="78" t="s">
        <v>9</v>
      </c>
      <c r="AK13" s="80" t="s">
        <v>9</v>
      </c>
      <c r="AL13" s="78" t="s">
        <v>9</v>
      </c>
      <c r="AM13" s="80" t="s">
        <v>9</v>
      </c>
      <c r="AN13" s="78" t="s">
        <v>9</v>
      </c>
      <c r="AO13" s="80" t="s">
        <v>9</v>
      </c>
      <c r="AP13" s="78" t="s">
        <v>9</v>
      </c>
      <c r="AQ13" s="80" t="s">
        <v>9</v>
      </c>
      <c r="AR13" s="78" t="s">
        <v>9</v>
      </c>
      <c r="AS13" s="77" t="s">
        <v>9</v>
      </c>
      <c r="AT13" s="78" t="s">
        <v>9</v>
      </c>
      <c r="AU13" s="77" t="s">
        <v>9</v>
      </c>
      <c r="AV13" s="78" t="s">
        <v>9</v>
      </c>
      <c r="AW13" s="79" t="s">
        <v>9</v>
      </c>
      <c r="AX13" s="96" t="s">
        <v>9</v>
      </c>
      <c r="AY13" s="77" t="s">
        <v>9</v>
      </c>
      <c r="AZ13" s="96" t="s">
        <v>9</v>
      </c>
      <c r="BA13" s="77" t="s">
        <v>9</v>
      </c>
      <c r="BB13" s="96" t="s">
        <v>9</v>
      </c>
      <c r="BC13" s="77" t="s">
        <v>9</v>
      </c>
    </row>
    <row r="14" spans="1:55" s="24" customFormat="1" ht="7.5" customHeight="1" x14ac:dyDescent="0.25">
      <c r="A14" s="69">
        <v>13</v>
      </c>
      <c r="B14" s="70" t="s">
        <v>2092</v>
      </c>
      <c r="C14" s="71" t="s">
        <v>1598</v>
      </c>
      <c r="D14" s="72" t="s">
        <v>1105</v>
      </c>
      <c r="E14" s="88" t="s">
        <v>1613</v>
      </c>
      <c r="F14" s="78" t="s">
        <v>104</v>
      </c>
      <c r="G14" s="75" t="s">
        <v>2095</v>
      </c>
      <c r="H14" s="89" t="s">
        <v>2075</v>
      </c>
      <c r="I14" s="79" t="s">
        <v>2076</v>
      </c>
      <c r="J14" s="76" t="s">
        <v>2077</v>
      </c>
      <c r="K14" s="75" t="s">
        <v>2087</v>
      </c>
      <c r="L14" s="76" t="s">
        <v>9</v>
      </c>
      <c r="M14" s="79" t="s">
        <v>9</v>
      </c>
      <c r="N14" s="76" t="s">
        <v>9</v>
      </c>
      <c r="O14" s="79" t="s">
        <v>9</v>
      </c>
      <c r="P14" s="76" t="s">
        <v>2079</v>
      </c>
      <c r="Q14" s="79" t="s">
        <v>2088</v>
      </c>
      <c r="R14" s="78" t="s">
        <v>236</v>
      </c>
      <c r="S14" s="79" t="s">
        <v>2081</v>
      </c>
      <c r="T14" s="78" t="s">
        <v>237</v>
      </c>
      <c r="U14" s="79" t="s">
        <v>2082</v>
      </c>
      <c r="V14" s="76" t="s">
        <v>9</v>
      </c>
      <c r="W14" s="80" t="s">
        <v>9</v>
      </c>
      <c r="X14" s="76" t="s">
        <v>9</v>
      </c>
      <c r="Y14" s="80" t="s">
        <v>9</v>
      </c>
      <c r="Z14" s="78" t="s">
        <v>716</v>
      </c>
      <c r="AA14" s="79" t="s">
        <v>2089</v>
      </c>
      <c r="AB14" s="78" t="s">
        <v>9</v>
      </c>
      <c r="AC14" s="80" t="s">
        <v>9</v>
      </c>
      <c r="AD14" s="96" t="s">
        <v>9</v>
      </c>
      <c r="AE14" s="80" t="s">
        <v>9</v>
      </c>
      <c r="AF14" s="78" t="s">
        <v>9</v>
      </c>
      <c r="AG14" s="80" t="s">
        <v>9</v>
      </c>
      <c r="AH14" s="78" t="s">
        <v>9</v>
      </c>
      <c r="AI14" s="80" t="s">
        <v>9</v>
      </c>
      <c r="AJ14" s="78" t="s">
        <v>9</v>
      </c>
      <c r="AK14" s="80" t="s">
        <v>9</v>
      </c>
      <c r="AL14" s="78" t="s">
        <v>9</v>
      </c>
      <c r="AM14" s="80" t="s">
        <v>9</v>
      </c>
      <c r="AN14" s="78" t="s">
        <v>9</v>
      </c>
      <c r="AO14" s="80" t="s">
        <v>9</v>
      </c>
      <c r="AP14" s="78" t="s">
        <v>9</v>
      </c>
      <c r="AQ14" s="80" t="s">
        <v>9</v>
      </c>
      <c r="AR14" s="78" t="s">
        <v>9</v>
      </c>
      <c r="AS14" s="77" t="s">
        <v>9</v>
      </c>
      <c r="AT14" s="78" t="s">
        <v>9</v>
      </c>
      <c r="AU14" s="77" t="s">
        <v>9</v>
      </c>
      <c r="AV14" s="78" t="s">
        <v>9</v>
      </c>
      <c r="AW14" s="79" t="s">
        <v>9</v>
      </c>
      <c r="AX14" s="96" t="s">
        <v>9</v>
      </c>
      <c r="AY14" s="77" t="s">
        <v>9</v>
      </c>
      <c r="AZ14" s="96" t="s">
        <v>9</v>
      </c>
      <c r="BA14" s="77" t="s">
        <v>9</v>
      </c>
      <c r="BB14" s="96" t="s">
        <v>9</v>
      </c>
      <c r="BC14" s="77" t="s">
        <v>9</v>
      </c>
    </row>
    <row r="15" spans="1:55" ht="7.5" customHeight="1" x14ac:dyDescent="0.25">
      <c r="A15" s="69">
        <v>14</v>
      </c>
      <c r="B15" s="70" t="s">
        <v>1118</v>
      </c>
      <c r="C15" s="71" t="s">
        <v>1455</v>
      </c>
      <c r="D15" s="72" t="s">
        <v>1105</v>
      </c>
      <c r="E15" s="88" t="s">
        <v>1142</v>
      </c>
      <c r="F15" s="74" t="s">
        <v>104</v>
      </c>
      <c r="G15" s="75" t="s">
        <v>1119</v>
      </c>
      <c r="H15" s="76" t="s">
        <v>104</v>
      </c>
      <c r="I15" s="77" t="s">
        <v>1117</v>
      </c>
      <c r="J15" s="78" t="s">
        <v>9</v>
      </c>
      <c r="K15" s="79" t="s">
        <v>9</v>
      </c>
      <c r="L15" s="78" t="s">
        <v>9</v>
      </c>
      <c r="M15" s="79" t="s">
        <v>9</v>
      </c>
      <c r="N15" s="76" t="s">
        <v>9</v>
      </c>
      <c r="O15" s="77" t="s">
        <v>9</v>
      </c>
      <c r="P15" s="76" t="s">
        <v>9</v>
      </c>
      <c r="Q15" s="77" t="s">
        <v>9</v>
      </c>
      <c r="R15" s="76" t="s">
        <v>9</v>
      </c>
      <c r="S15" s="80" t="s">
        <v>9</v>
      </c>
      <c r="T15" s="76" t="s">
        <v>9</v>
      </c>
      <c r="U15" s="77" t="s">
        <v>9</v>
      </c>
      <c r="V15" s="76" t="s">
        <v>9</v>
      </c>
      <c r="W15" s="80" t="s">
        <v>9</v>
      </c>
      <c r="X15" s="76" t="s">
        <v>9</v>
      </c>
      <c r="Y15" s="80" t="s">
        <v>9</v>
      </c>
      <c r="Z15" s="76" t="s">
        <v>9</v>
      </c>
      <c r="AA15" s="79" t="s">
        <v>9</v>
      </c>
      <c r="AB15" s="96" t="s">
        <v>9</v>
      </c>
      <c r="AC15" s="80" t="s">
        <v>9</v>
      </c>
      <c r="AD15" s="96" t="s">
        <v>9</v>
      </c>
      <c r="AE15" s="80" t="s">
        <v>9</v>
      </c>
      <c r="AF15" s="78" t="s">
        <v>9</v>
      </c>
      <c r="AG15" s="80" t="s">
        <v>9</v>
      </c>
      <c r="AH15" s="78" t="s">
        <v>9</v>
      </c>
      <c r="AI15" s="80" t="s">
        <v>9</v>
      </c>
      <c r="AJ15" s="78" t="s">
        <v>9</v>
      </c>
      <c r="AK15" s="80" t="s">
        <v>9</v>
      </c>
      <c r="AL15" s="78" t="s">
        <v>9</v>
      </c>
      <c r="AM15" s="80" t="s">
        <v>9</v>
      </c>
      <c r="AN15" s="78" t="s">
        <v>9</v>
      </c>
      <c r="AO15" s="80" t="s">
        <v>9</v>
      </c>
      <c r="AP15" s="78" t="s">
        <v>9</v>
      </c>
      <c r="AQ15" s="80" t="s">
        <v>9</v>
      </c>
      <c r="AR15" s="78" t="s">
        <v>9</v>
      </c>
      <c r="AS15" s="77" t="s">
        <v>9</v>
      </c>
      <c r="AT15" s="78" t="s">
        <v>9</v>
      </c>
      <c r="AU15" s="77" t="s">
        <v>9</v>
      </c>
      <c r="AV15" s="78" t="s">
        <v>9</v>
      </c>
      <c r="AW15" s="79" t="s">
        <v>9</v>
      </c>
      <c r="AX15" s="96" t="s">
        <v>236</v>
      </c>
      <c r="AY15" s="77" t="s">
        <v>1108</v>
      </c>
      <c r="AZ15" s="96" t="s">
        <v>9</v>
      </c>
      <c r="BA15" s="77" t="s">
        <v>9</v>
      </c>
      <c r="BB15" s="96" t="s">
        <v>9</v>
      </c>
      <c r="BC15" s="77" t="s">
        <v>9</v>
      </c>
    </row>
    <row r="16" spans="1:55" ht="7.5" customHeight="1" x14ac:dyDescent="0.25">
      <c r="A16" s="69">
        <v>15</v>
      </c>
      <c r="B16" s="70" t="s">
        <v>1120</v>
      </c>
      <c r="C16" s="71" t="s">
        <v>1456</v>
      </c>
      <c r="D16" s="72" t="s">
        <v>1105</v>
      </c>
      <c r="E16" s="88" t="s">
        <v>1142</v>
      </c>
      <c r="F16" s="74" t="s">
        <v>104</v>
      </c>
      <c r="G16" s="75" t="s">
        <v>1119</v>
      </c>
      <c r="H16" s="76" t="s">
        <v>104</v>
      </c>
      <c r="I16" s="77" t="s">
        <v>1117</v>
      </c>
      <c r="J16" s="78" t="s">
        <v>9</v>
      </c>
      <c r="K16" s="79" t="s">
        <v>9</v>
      </c>
      <c r="L16" s="78" t="s">
        <v>9</v>
      </c>
      <c r="M16" s="79" t="s">
        <v>9</v>
      </c>
      <c r="N16" s="76" t="s">
        <v>9</v>
      </c>
      <c r="O16" s="77" t="s">
        <v>9</v>
      </c>
      <c r="P16" s="76" t="s">
        <v>9</v>
      </c>
      <c r="Q16" s="77" t="s">
        <v>9</v>
      </c>
      <c r="R16" s="76" t="s">
        <v>9</v>
      </c>
      <c r="S16" s="80" t="s">
        <v>9</v>
      </c>
      <c r="T16" s="76" t="s">
        <v>9</v>
      </c>
      <c r="U16" s="77" t="s">
        <v>9</v>
      </c>
      <c r="V16" s="76" t="s">
        <v>9</v>
      </c>
      <c r="W16" s="80" t="s">
        <v>9</v>
      </c>
      <c r="X16" s="76" t="s">
        <v>9</v>
      </c>
      <c r="Y16" s="80" t="s">
        <v>9</v>
      </c>
      <c r="Z16" s="76" t="s">
        <v>9</v>
      </c>
      <c r="AA16" s="79" t="s">
        <v>9</v>
      </c>
      <c r="AB16" s="96" t="s">
        <v>9</v>
      </c>
      <c r="AC16" s="80" t="s">
        <v>9</v>
      </c>
      <c r="AD16" s="96" t="s">
        <v>9</v>
      </c>
      <c r="AE16" s="80" t="s">
        <v>9</v>
      </c>
      <c r="AF16" s="78" t="s">
        <v>9</v>
      </c>
      <c r="AG16" s="80" t="s">
        <v>9</v>
      </c>
      <c r="AH16" s="78" t="s">
        <v>9</v>
      </c>
      <c r="AI16" s="80" t="s">
        <v>9</v>
      </c>
      <c r="AJ16" s="78" t="s">
        <v>9</v>
      </c>
      <c r="AK16" s="80" t="s">
        <v>9</v>
      </c>
      <c r="AL16" s="78" t="s">
        <v>9</v>
      </c>
      <c r="AM16" s="80" t="s">
        <v>9</v>
      </c>
      <c r="AN16" s="78" t="s">
        <v>9</v>
      </c>
      <c r="AO16" s="80" t="s">
        <v>9</v>
      </c>
      <c r="AP16" s="78" t="s">
        <v>9</v>
      </c>
      <c r="AQ16" s="80" t="s">
        <v>9</v>
      </c>
      <c r="AR16" s="78" t="s">
        <v>9</v>
      </c>
      <c r="AS16" s="77" t="s">
        <v>9</v>
      </c>
      <c r="AT16" s="78" t="s">
        <v>9</v>
      </c>
      <c r="AU16" s="77" t="s">
        <v>9</v>
      </c>
      <c r="AV16" s="78" t="s">
        <v>9</v>
      </c>
      <c r="AW16" s="79" t="s">
        <v>9</v>
      </c>
      <c r="AX16" s="96" t="s">
        <v>236</v>
      </c>
      <c r="AY16" s="77" t="s">
        <v>1108</v>
      </c>
      <c r="AZ16" s="96" t="s">
        <v>9</v>
      </c>
      <c r="BA16" s="77" t="s">
        <v>9</v>
      </c>
      <c r="BB16" s="96" t="s">
        <v>9</v>
      </c>
      <c r="BC16" s="77" t="s">
        <v>9</v>
      </c>
    </row>
    <row r="17" spans="1:55" ht="7.5" customHeight="1" x14ac:dyDescent="0.25">
      <c r="A17" s="69">
        <v>16</v>
      </c>
      <c r="B17" s="70" t="s">
        <v>1115</v>
      </c>
      <c r="C17" s="71" t="s">
        <v>1453</v>
      </c>
      <c r="D17" s="72" t="s">
        <v>1105</v>
      </c>
      <c r="E17" s="88" t="s">
        <v>1143</v>
      </c>
      <c r="F17" s="74" t="s">
        <v>104</v>
      </c>
      <c r="G17" s="75" t="s">
        <v>1116</v>
      </c>
      <c r="H17" s="76" t="s">
        <v>104</v>
      </c>
      <c r="I17" s="77" t="s">
        <v>1117</v>
      </c>
      <c r="J17" s="78" t="s">
        <v>9</v>
      </c>
      <c r="K17" s="79" t="s">
        <v>9</v>
      </c>
      <c r="L17" s="78" t="s">
        <v>9</v>
      </c>
      <c r="M17" s="79" t="s">
        <v>9</v>
      </c>
      <c r="N17" s="76" t="s">
        <v>9</v>
      </c>
      <c r="O17" s="77" t="s">
        <v>9</v>
      </c>
      <c r="P17" s="76" t="s">
        <v>9</v>
      </c>
      <c r="Q17" s="77" t="s">
        <v>9</v>
      </c>
      <c r="R17" s="76" t="s">
        <v>9</v>
      </c>
      <c r="S17" s="80" t="s">
        <v>9</v>
      </c>
      <c r="T17" s="76" t="s">
        <v>9</v>
      </c>
      <c r="U17" s="77" t="s">
        <v>9</v>
      </c>
      <c r="V17" s="76" t="s">
        <v>9</v>
      </c>
      <c r="W17" s="80" t="s">
        <v>9</v>
      </c>
      <c r="X17" s="76" t="s">
        <v>9</v>
      </c>
      <c r="Y17" s="80" t="s">
        <v>9</v>
      </c>
      <c r="Z17" s="76" t="s">
        <v>9</v>
      </c>
      <c r="AA17" s="79" t="s">
        <v>9</v>
      </c>
      <c r="AB17" s="96" t="s">
        <v>9</v>
      </c>
      <c r="AC17" s="80" t="s">
        <v>9</v>
      </c>
      <c r="AD17" s="96" t="s">
        <v>9</v>
      </c>
      <c r="AE17" s="80" t="s">
        <v>9</v>
      </c>
      <c r="AF17" s="78" t="s">
        <v>9</v>
      </c>
      <c r="AG17" s="80" t="s">
        <v>9</v>
      </c>
      <c r="AH17" s="78" t="s">
        <v>9</v>
      </c>
      <c r="AI17" s="80" t="s">
        <v>9</v>
      </c>
      <c r="AJ17" s="78" t="s">
        <v>9</v>
      </c>
      <c r="AK17" s="80" t="s">
        <v>9</v>
      </c>
      <c r="AL17" s="78" t="s">
        <v>9</v>
      </c>
      <c r="AM17" s="80" t="s">
        <v>9</v>
      </c>
      <c r="AN17" s="78" t="s">
        <v>9</v>
      </c>
      <c r="AO17" s="80" t="s">
        <v>9</v>
      </c>
      <c r="AP17" s="78" t="s">
        <v>9</v>
      </c>
      <c r="AQ17" s="80" t="s">
        <v>9</v>
      </c>
      <c r="AR17" s="78" t="s">
        <v>9</v>
      </c>
      <c r="AS17" s="77" t="s">
        <v>9</v>
      </c>
      <c r="AT17" s="78" t="s">
        <v>9</v>
      </c>
      <c r="AU17" s="77" t="s">
        <v>9</v>
      </c>
      <c r="AV17" s="78" t="s">
        <v>9</v>
      </c>
      <c r="AW17" s="79" t="s">
        <v>9</v>
      </c>
      <c r="AX17" s="96" t="s">
        <v>236</v>
      </c>
      <c r="AY17" s="77" t="s">
        <v>1108</v>
      </c>
      <c r="AZ17" s="96" t="s">
        <v>9</v>
      </c>
      <c r="BA17" s="77" t="s">
        <v>9</v>
      </c>
      <c r="BB17" s="96" t="s">
        <v>9</v>
      </c>
      <c r="BC17" s="77" t="s">
        <v>9</v>
      </c>
    </row>
    <row r="18" spans="1:55" ht="7.5" customHeight="1" x14ac:dyDescent="0.25">
      <c r="A18" s="69">
        <v>17</v>
      </c>
      <c r="B18" s="70" t="s">
        <v>1104</v>
      </c>
      <c r="C18" s="71" t="s">
        <v>1458</v>
      </c>
      <c r="D18" s="72" t="s">
        <v>1105</v>
      </c>
      <c r="E18" s="88" t="s">
        <v>1114</v>
      </c>
      <c r="F18" s="74" t="s">
        <v>104</v>
      </c>
      <c r="G18" s="75" t="s">
        <v>1106</v>
      </c>
      <c r="H18" s="76" t="s">
        <v>104</v>
      </c>
      <c r="I18" s="77" t="s">
        <v>1107</v>
      </c>
      <c r="J18" s="78" t="s">
        <v>9</v>
      </c>
      <c r="K18" s="79" t="s">
        <v>9</v>
      </c>
      <c r="L18" s="78" t="s">
        <v>9</v>
      </c>
      <c r="M18" s="79" t="s">
        <v>9</v>
      </c>
      <c r="N18" s="78" t="s">
        <v>9</v>
      </c>
      <c r="O18" s="79" t="s">
        <v>9</v>
      </c>
      <c r="P18" s="76" t="s">
        <v>9</v>
      </c>
      <c r="Q18" s="77" t="s">
        <v>9</v>
      </c>
      <c r="R18" s="76" t="s">
        <v>9</v>
      </c>
      <c r="S18" s="80" t="s">
        <v>9</v>
      </c>
      <c r="T18" s="76" t="s">
        <v>9</v>
      </c>
      <c r="U18" s="77" t="s">
        <v>9</v>
      </c>
      <c r="V18" s="76" t="s">
        <v>9</v>
      </c>
      <c r="W18" s="80" t="s">
        <v>9</v>
      </c>
      <c r="X18" s="76" t="s">
        <v>9</v>
      </c>
      <c r="Y18" s="80" t="s">
        <v>9</v>
      </c>
      <c r="Z18" s="76" t="s">
        <v>9</v>
      </c>
      <c r="AA18" s="79" t="s">
        <v>9</v>
      </c>
      <c r="AB18" s="96" t="s">
        <v>9</v>
      </c>
      <c r="AC18" s="80" t="s">
        <v>9</v>
      </c>
      <c r="AD18" s="96" t="s">
        <v>9</v>
      </c>
      <c r="AE18" s="80" t="s">
        <v>9</v>
      </c>
      <c r="AF18" s="78" t="s">
        <v>9</v>
      </c>
      <c r="AG18" s="80" t="s">
        <v>9</v>
      </c>
      <c r="AH18" s="78" t="s">
        <v>9</v>
      </c>
      <c r="AI18" s="80" t="s">
        <v>9</v>
      </c>
      <c r="AJ18" s="78" t="s">
        <v>9</v>
      </c>
      <c r="AK18" s="80" t="s">
        <v>9</v>
      </c>
      <c r="AL18" s="78" t="s">
        <v>9</v>
      </c>
      <c r="AM18" s="80" t="s">
        <v>9</v>
      </c>
      <c r="AN18" s="78" t="s">
        <v>9</v>
      </c>
      <c r="AO18" s="80" t="s">
        <v>9</v>
      </c>
      <c r="AP18" s="78" t="s">
        <v>9</v>
      </c>
      <c r="AQ18" s="80" t="s">
        <v>9</v>
      </c>
      <c r="AR18" s="78" t="s">
        <v>9</v>
      </c>
      <c r="AS18" s="77" t="s">
        <v>9</v>
      </c>
      <c r="AT18" s="78" t="s">
        <v>9</v>
      </c>
      <c r="AU18" s="77" t="s">
        <v>9</v>
      </c>
      <c r="AV18" s="78" t="s">
        <v>9</v>
      </c>
      <c r="AW18" s="79" t="s">
        <v>9</v>
      </c>
      <c r="AX18" s="96" t="s">
        <v>236</v>
      </c>
      <c r="AY18" s="77" t="s">
        <v>1108</v>
      </c>
      <c r="AZ18" s="96" t="s">
        <v>9</v>
      </c>
      <c r="BA18" s="77" t="s">
        <v>9</v>
      </c>
      <c r="BB18" s="78" t="s">
        <v>9</v>
      </c>
      <c r="BC18" s="77" t="s">
        <v>9</v>
      </c>
    </row>
    <row r="19" spans="1:55" ht="7.5" customHeight="1" x14ac:dyDescent="0.25">
      <c r="A19" s="69">
        <v>18</v>
      </c>
      <c r="B19" s="70" t="s">
        <v>1393</v>
      </c>
      <c r="C19" s="71" t="s">
        <v>1459</v>
      </c>
      <c r="D19" s="72" t="s">
        <v>1105</v>
      </c>
      <c r="E19" s="88" t="s">
        <v>1425</v>
      </c>
      <c r="F19" s="74" t="s">
        <v>104</v>
      </c>
      <c r="G19" s="75" t="s">
        <v>1394</v>
      </c>
      <c r="H19" s="76" t="s">
        <v>104</v>
      </c>
      <c r="I19" s="77" t="s">
        <v>1395</v>
      </c>
      <c r="J19" s="78" t="s">
        <v>9</v>
      </c>
      <c r="K19" s="79" t="s">
        <v>9</v>
      </c>
      <c r="L19" s="76" t="s">
        <v>9</v>
      </c>
      <c r="M19" s="77" t="s">
        <v>9</v>
      </c>
      <c r="N19" s="76" t="s">
        <v>9</v>
      </c>
      <c r="O19" s="77" t="s">
        <v>9</v>
      </c>
      <c r="P19" s="76" t="s">
        <v>9</v>
      </c>
      <c r="Q19" s="77" t="s">
        <v>9</v>
      </c>
      <c r="R19" s="76" t="s">
        <v>9</v>
      </c>
      <c r="S19" s="80" t="s">
        <v>9</v>
      </c>
      <c r="T19" s="76" t="s">
        <v>9</v>
      </c>
      <c r="U19" s="77" t="s">
        <v>9</v>
      </c>
      <c r="V19" s="76" t="s">
        <v>9</v>
      </c>
      <c r="W19" s="80" t="s">
        <v>9</v>
      </c>
      <c r="X19" s="76" t="s">
        <v>9</v>
      </c>
      <c r="Y19" s="80" t="s">
        <v>9</v>
      </c>
      <c r="Z19" s="76" t="s">
        <v>9</v>
      </c>
      <c r="AA19" s="79" t="s">
        <v>9</v>
      </c>
      <c r="AB19" s="96" t="s">
        <v>9</v>
      </c>
      <c r="AC19" s="80" t="s">
        <v>9</v>
      </c>
      <c r="AD19" s="96" t="s">
        <v>9</v>
      </c>
      <c r="AE19" s="80" t="s">
        <v>9</v>
      </c>
      <c r="AF19" s="78" t="s">
        <v>9</v>
      </c>
      <c r="AG19" s="80" t="s">
        <v>9</v>
      </c>
      <c r="AH19" s="78" t="s">
        <v>9</v>
      </c>
      <c r="AI19" s="80" t="s">
        <v>9</v>
      </c>
      <c r="AJ19" s="78" t="s">
        <v>9</v>
      </c>
      <c r="AK19" s="80" t="s">
        <v>9</v>
      </c>
      <c r="AL19" s="78" t="s">
        <v>9</v>
      </c>
      <c r="AM19" s="80" t="s">
        <v>9</v>
      </c>
      <c r="AN19" s="78" t="s">
        <v>9</v>
      </c>
      <c r="AO19" s="80" t="s">
        <v>9</v>
      </c>
      <c r="AP19" s="78" t="s">
        <v>9</v>
      </c>
      <c r="AQ19" s="80" t="s">
        <v>9</v>
      </c>
      <c r="AR19" s="78" t="s">
        <v>9</v>
      </c>
      <c r="AS19" s="77" t="s">
        <v>9</v>
      </c>
      <c r="AT19" s="78" t="s">
        <v>9</v>
      </c>
      <c r="AU19" s="77" t="s">
        <v>9</v>
      </c>
      <c r="AV19" s="78" t="s">
        <v>9</v>
      </c>
      <c r="AW19" s="79" t="s">
        <v>9</v>
      </c>
      <c r="AX19" s="96" t="s">
        <v>236</v>
      </c>
      <c r="AY19" s="77" t="s">
        <v>1108</v>
      </c>
      <c r="AZ19" s="96" t="s">
        <v>9</v>
      </c>
      <c r="BA19" s="77" t="s">
        <v>9</v>
      </c>
      <c r="BB19" s="96" t="s">
        <v>9</v>
      </c>
      <c r="BC19" s="77" t="s">
        <v>9</v>
      </c>
    </row>
    <row r="20" spans="1:55" ht="7.5" customHeight="1" x14ac:dyDescent="0.25">
      <c r="A20" s="69">
        <v>19</v>
      </c>
      <c r="B20" s="70" t="s">
        <v>1396</v>
      </c>
      <c r="C20" s="71" t="s">
        <v>1459</v>
      </c>
      <c r="D20" s="72" t="s">
        <v>1105</v>
      </c>
      <c r="E20" s="88" t="s">
        <v>1425</v>
      </c>
      <c r="F20" s="74" t="s">
        <v>104</v>
      </c>
      <c r="G20" s="75" t="s">
        <v>1394</v>
      </c>
      <c r="H20" s="76" t="s">
        <v>104</v>
      </c>
      <c r="I20" s="77" t="s">
        <v>1397</v>
      </c>
      <c r="J20" s="78" t="s">
        <v>9</v>
      </c>
      <c r="K20" s="79" t="s">
        <v>9</v>
      </c>
      <c r="L20" s="76" t="s">
        <v>9</v>
      </c>
      <c r="M20" s="77" t="s">
        <v>9</v>
      </c>
      <c r="N20" s="76" t="s">
        <v>9</v>
      </c>
      <c r="O20" s="77" t="s">
        <v>9</v>
      </c>
      <c r="P20" s="76" t="s">
        <v>9</v>
      </c>
      <c r="Q20" s="77" t="s">
        <v>9</v>
      </c>
      <c r="R20" s="76" t="s">
        <v>9</v>
      </c>
      <c r="S20" s="80" t="s">
        <v>9</v>
      </c>
      <c r="T20" s="76" t="s">
        <v>9</v>
      </c>
      <c r="U20" s="77" t="s">
        <v>9</v>
      </c>
      <c r="V20" s="76" t="s">
        <v>9</v>
      </c>
      <c r="W20" s="80" t="s">
        <v>9</v>
      </c>
      <c r="X20" s="76" t="s">
        <v>9</v>
      </c>
      <c r="Y20" s="80" t="s">
        <v>9</v>
      </c>
      <c r="Z20" s="76" t="s">
        <v>9</v>
      </c>
      <c r="AA20" s="79" t="s">
        <v>9</v>
      </c>
      <c r="AB20" s="96" t="s">
        <v>9</v>
      </c>
      <c r="AC20" s="80" t="s">
        <v>9</v>
      </c>
      <c r="AD20" s="96" t="s">
        <v>9</v>
      </c>
      <c r="AE20" s="80" t="s">
        <v>9</v>
      </c>
      <c r="AF20" s="78" t="s">
        <v>9</v>
      </c>
      <c r="AG20" s="80" t="s">
        <v>9</v>
      </c>
      <c r="AH20" s="78" t="s">
        <v>9</v>
      </c>
      <c r="AI20" s="80" t="s">
        <v>9</v>
      </c>
      <c r="AJ20" s="78" t="s">
        <v>9</v>
      </c>
      <c r="AK20" s="80" t="s">
        <v>9</v>
      </c>
      <c r="AL20" s="78" t="s">
        <v>9</v>
      </c>
      <c r="AM20" s="80" t="s">
        <v>9</v>
      </c>
      <c r="AN20" s="78" t="s">
        <v>9</v>
      </c>
      <c r="AO20" s="80" t="s">
        <v>9</v>
      </c>
      <c r="AP20" s="78" t="s">
        <v>9</v>
      </c>
      <c r="AQ20" s="80" t="s">
        <v>9</v>
      </c>
      <c r="AR20" s="78" t="s">
        <v>9</v>
      </c>
      <c r="AS20" s="77" t="s">
        <v>9</v>
      </c>
      <c r="AT20" s="78" t="s">
        <v>9</v>
      </c>
      <c r="AU20" s="77" t="s">
        <v>9</v>
      </c>
      <c r="AV20" s="78" t="s">
        <v>9</v>
      </c>
      <c r="AW20" s="79" t="s">
        <v>9</v>
      </c>
      <c r="AX20" s="96" t="s">
        <v>236</v>
      </c>
      <c r="AY20" s="77" t="s">
        <v>1108</v>
      </c>
      <c r="AZ20" s="96" t="s">
        <v>9</v>
      </c>
      <c r="BA20" s="77" t="s">
        <v>9</v>
      </c>
      <c r="BB20" s="96" t="s">
        <v>9</v>
      </c>
      <c r="BC20" s="77" t="s">
        <v>9</v>
      </c>
    </row>
    <row r="21" spans="1:55" s="24" customFormat="1" ht="7.5" customHeight="1" x14ac:dyDescent="0.25">
      <c r="A21" s="69">
        <v>20</v>
      </c>
      <c r="B21" s="83" t="s">
        <v>2096</v>
      </c>
      <c r="C21" s="71" t="s">
        <v>1668</v>
      </c>
      <c r="D21" s="90" t="s">
        <v>124</v>
      </c>
      <c r="E21" s="88" t="s">
        <v>2090</v>
      </c>
      <c r="F21" s="78" t="s">
        <v>104</v>
      </c>
      <c r="G21" s="75" t="s">
        <v>2074</v>
      </c>
      <c r="H21" s="89" t="s">
        <v>2075</v>
      </c>
      <c r="I21" s="79" t="s">
        <v>2076</v>
      </c>
      <c r="J21" s="76" t="s">
        <v>2077</v>
      </c>
      <c r="K21" s="75" t="s">
        <v>2078</v>
      </c>
      <c r="L21" s="76" t="s">
        <v>9</v>
      </c>
      <c r="M21" s="79" t="s">
        <v>9</v>
      </c>
      <c r="N21" s="76" t="s">
        <v>9</v>
      </c>
      <c r="O21" s="79" t="s">
        <v>9</v>
      </c>
      <c r="P21" s="76" t="s">
        <v>2079</v>
      </c>
      <c r="Q21" s="79" t="s">
        <v>2080</v>
      </c>
      <c r="R21" s="78" t="s">
        <v>236</v>
      </c>
      <c r="S21" s="79" t="s">
        <v>2081</v>
      </c>
      <c r="T21" s="78" t="s">
        <v>237</v>
      </c>
      <c r="U21" s="79" t="s">
        <v>2082</v>
      </c>
      <c r="V21" s="76" t="s">
        <v>9</v>
      </c>
      <c r="W21" s="80" t="s">
        <v>9</v>
      </c>
      <c r="X21" s="76" t="s">
        <v>9</v>
      </c>
      <c r="Y21" s="80" t="s">
        <v>9</v>
      </c>
      <c r="Z21" s="78" t="s">
        <v>716</v>
      </c>
      <c r="AA21" s="79" t="s">
        <v>2083</v>
      </c>
      <c r="AB21" s="78" t="s">
        <v>9</v>
      </c>
      <c r="AC21" s="80" t="s">
        <v>9</v>
      </c>
      <c r="AD21" s="96" t="s">
        <v>9</v>
      </c>
      <c r="AE21" s="80" t="s">
        <v>9</v>
      </c>
      <c r="AF21" s="78" t="s">
        <v>9</v>
      </c>
      <c r="AG21" s="80" t="s">
        <v>9</v>
      </c>
      <c r="AH21" s="78" t="s">
        <v>9</v>
      </c>
      <c r="AI21" s="80" t="s">
        <v>9</v>
      </c>
      <c r="AJ21" s="78" t="s">
        <v>9</v>
      </c>
      <c r="AK21" s="80" t="s">
        <v>9</v>
      </c>
      <c r="AL21" s="78" t="s">
        <v>9</v>
      </c>
      <c r="AM21" s="80" t="s">
        <v>9</v>
      </c>
      <c r="AN21" s="78" t="s">
        <v>9</v>
      </c>
      <c r="AO21" s="80" t="s">
        <v>9</v>
      </c>
      <c r="AP21" s="78" t="s">
        <v>9</v>
      </c>
      <c r="AQ21" s="80" t="s">
        <v>9</v>
      </c>
      <c r="AR21" s="78" t="s">
        <v>9</v>
      </c>
      <c r="AS21" s="77" t="s">
        <v>9</v>
      </c>
      <c r="AT21" s="78" t="s">
        <v>9</v>
      </c>
      <c r="AU21" s="77" t="s">
        <v>9</v>
      </c>
      <c r="AV21" s="78" t="s">
        <v>9</v>
      </c>
      <c r="AW21" s="79" t="s">
        <v>9</v>
      </c>
      <c r="AX21" s="96" t="s">
        <v>9</v>
      </c>
      <c r="AY21" s="77" t="s">
        <v>9</v>
      </c>
      <c r="AZ21" s="96" t="s">
        <v>9</v>
      </c>
      <c r="BA21" s="77" t="s">
        <v>9</v>
      </c>
      <c r="BB21" s="96" t="s">
        <v>9</v>
      </c>
      <c r="BC21" s="77" t="s">
        <v>9</v>
      </c>
    </row>
    <row r="22" spans="1:55" s="24" customFormat="1" ht="7.5" customHeight="1" x14ac:dyDescent="0.25">
      <c r="A22" s="69">
        <v>21</v>
      </c>
      <c r="B22" s="83" t="s">
        <v>2097</v>
      </c>
      <c r="C22" s="71" t="s">
        <v>1671</v>
      </c>
      <c r="D22" s="90" t="s">
        <v>124</v>
      </c>
      <c r="E22" s="88" t="s">
        <v>2091</v>
      </c>
      <c r="F22" s="78" t="s">
        <v>104</v>
      </c>
      <c r="G22" s="75" t="s">
        <v>2084</v>
      </c>
      <c r="H22" s="89" t="s">
        <v>2075</v>
      </c>
      <c r="I22" s="79" t="s">
        <v>2076</v>
      </c>
      <c r="J22" s="76" t="s">
        <v>2077</v>
      </c>
      <c r="K22" s="75" t="s">
        <v>2078</v>
      </c>
      <c r="L22" s="76" t="s">
        <v>9</v>
      </c>
      <c r="M22" s="79" t="s">
        <v>9</v>
      </c>
      <c r="N22" s="76" t="s">
        <v>9</v>
      </c>
      <c r="O22" s="79" t="s">
        <v>9</v>
      </c>
      <c r="P22" s="76" t="s">
        <v>2079</v>
      </c>
      <c r="Q22" s="79" t="s">
        <v>2085</v>
      </c>
      <c r="R22" s="78" t="s">
        <v>236</v>
      </c>
      <c r="S22" s="79" t="s">
        <v>2081</v>
      </c>
      <c r="T22" s="78" t="s">
        <v>237</v>
      </c>
      <c r="U22" s="79" t="s">
        <v>2082</v>
      </c>
      <c r="V22" s="76" t="s">
        <v>9</v>
      </c>
      <c r="W22" s="80" t="s">
        <v>9</v>
      </c>
      <c r="X22" s="76" t="s">
        <v>9</v>
      </c>
      <c r="Y22" s="80" t="s">
        <v>9</v>
      </c>
      <c r="Z22" s="78" t="s">
        <v>716</v>
      </c>
      <c r="AA22" s="79" t="s">
        <v>2083</v>
      </c>
      <c r="AB22" s="78" t="s">
        <v>9</v>
      </c>
      <c r="AC22" s="80" t="s">
        <v>9</v>
      </c>
      <c r="AD22" s="96" t="s">
        <v>9</v>
      </c>
      <c r="AE22" s="80" t="s">
        <v>9</v>
      </c>
      <c r="AF22" s="78" t="s">
        <v>9</v>
      </c>
      <c r="AG22" s="80" t="s">
        <v>9</v>
      </c>
      <c r="AH22" s="78" t="s">
        <v>9</v>
      </c>
      <c r="AI22" s="80" t="s">
        <v>9</v>
      </c>
      <c r="AJ22" s="78" t="s">
        <v>9</v>
      </c>
      <c r="AK22" s="80" t="s">
        <v>9</v>
      </c>
      <c r="AL22" s="78" t="s">
        <v>9</v>
      </c>
      <c r="AM22" s="80" t="s">
        <v>9</v>
      </c>
      <c r="AN22" s="78" t="s">
        <v>9</v>
      </c>
      <c r="AO22" s="80" t="s">
        <v>9</v>
      </c>
      <c r="AP22" s="78" t="s">
        <v>9</v>
      </c>
      <c r="AQ22" s="80" t="s">
        <v>9</v>
      </c>
      <c r="AR22" s="78" t="s">
        <v>9</v>
      </c>
      <c r="AS22" s="77" t="s">
        <v>9</v>
      </c>
      <c r="AT22" s="78" t="s">
        <v>9</v>
      </c>
      <c r="AU22" s="77" t="s">
        <v>9</v>
      </c>
      <c r="AV22" s="78" t="s">
        <v>9</v>
      </c>
      <c r="AW22" s="79" t="s">
        <v>9</v>
      </c>
      <c r="AX22" s="96" t="s">
        <v>9</v>
      </c>
      <c r="AY22" s="77" t="s">
        <v>9</v>
      </c>
      <c r="AZ22" s="96" t="s">
        <v>9</v>
      </c>
      <c r="BA22" s="77" t="s">
        <v>9</v>
      </c>
      <c r="BB22" s="96" t="s">
        <v>9</v>
      </c>
      <c r="BC22" s="77" t="s">
        <v>9</v>
      </c>
    </row>
    <row r="23" spans="1:55" s="24" customFormat="1" ht="7.5" customHeight="1" x14ac:dyDescent="0.25">
      <c r="A23" s="69">
        <v>22</v>
      </c>
      <c r="B23" s="83" t="s">
        <v>2098</v>
      </c>
      <c r="C23" s="71" t="s">
        <v>1686</v>
      </c>
      <c r="D23" s="90" t="s">
        <v>124</v>
      </c>
      <c r="E23" s="88" t="s">
        <v>2092</v>
      </c>
      <c r="F23" s="78" t="s">
        <v>104</v>
      </c>
      <c r="G23" s="75" t="s">
        <v>2086</v>
      </c>
      <c r="H23" s="89" t="s">
        <v>2075</v>
      </c>
      <c r="I23" s="79" t="s">
        <v>2076</v>
      </c>
      <c r="J23" s="76" t="s">
        <v>2077</v>
      </c>
      <c r="K23" s="75" t="s">
        <v>2087</v>
      </c>
      <c r="L23" s="76" t="s">
        <v>9</v>
      </c>
      <c r="M23" s="79" t="s">
        <v>9</v>
      </c>
      <c r="N23" s="76" t="s">
        <v>9</v>
      </c>
      <c r="O23" s="79" t="s">
        <v>9</v>
      </c>
      <c r="P23" s="76" t="s">
        <v>2079</v>
      </c>
      <c r="Q23" s="79" t="s">
        <v>2088</v>
      </c>
      <c r="R23" s="78" t="s">
        <v>236</v>
      </c>
      <c r="S23" s="79" t="s">
        <v>2081</v>
      </c>
      <c r="T23" s="78" t="s">
        <v>237</v>
      </c>
      <c r="U23" s="79" t="s">
        <v>2082</v>
      </c>
      <c r="V23" s="76" t="s">
        <v>9</v>
      </c>
      <c r="W23" s="80" t="s">
        <v>9</v>
      </c>
      <c r="X23" s="76" t="s">
        <v>9</v>
      </c>
      <c r="Y23" s="80" t="s">
        <v>9</v>
      </c>
      <c r="Z23" s="78" t="s">
        <v>716</v>
      </c>
      <c r="AA23" s="79" t="s">
        <v>2089</v>
      </c>
      <c r="AB23" s="78" t="s">
        <v>9</v>
      </c>
      <c r="AC23" s="80" t="s">
        <v>9</v>
      </c>
      <c r="AD23" s="96" t="s">
        <v>9</v>
      </c>
      <c r="AE23" s="80" t="s">
        <v>9</v>
      </c>
      <c r="AF23" s="78" t="s">
        <v>9</v>
      </c>
      <c r="AG23" s="80" t="s">
        <v>9</v>
      </c>
      <c r="AH23" s="78" t="s">
        <v>9</v>
      </c>
      <c r="AI23" s="80" t="s">
        <v>9</v>
      </c>
      <c r="AJ23" s="78" t="s">
        <v>9</v>
      </c>
      <c r="AK23" s="80" t="s">
        <v>9</v>
      </c>
      <c r="AL23" s="78" t="s">
        <v>9</v>
      </c>
      <c r="AM23" s="80" t="s">
        <v>9</v>
      </c>
      <c r="AN23" s="78" t="s">
        <v>9</v>
      </c>
      <c r="AO23" s="80" t="s">
        <v>9</v>
      </c>
      <c r="AP23" s="78" t="s">
        <v>9</v>
      </c>
      <c r="AQ23" s="80" t="s">
        <v>9</v>
      </c>
      <c r="AR23" s="78" t="s">
        <v>9</v>
      </c>
      <c r="AS23" s="77" t="s">
        <v>9</v>
      </c>
      <c r="AT23" s="78" t="s">
        <v>9</v>
      </c>
      <c r="AU23" s="77" t="s">
        <v>9</v>
      </c>
      <c r="AV23" s="78" t="s">
        <v>9</v>
      </c>
      <c r="AW23" s="79" t="s">
        <v>9</v>
      </c>
      <c r="AX23" s="96" t="s">
        <v>9</v>
      </c>
      <c r="AY23" s="77" t="s">
        <v>9</v>
      </c>
      <c r="AZ23" s="96" t="s">
        <v>9</v>
      </c>
      <c r="BA23" s="77" t="s">
        <v>9</v>
      </c>
      <c r="BB23" s="96" t="s">
        <v>9</v>
      </c>
      <c r="BC23" s="77" t="s">
        <v>9</v>
      </c>
    </row>
    <row r="24" spans="1:55" ht="7.5" customHeight="1" x14ac:dyDescent="0.25">
      <c r="A24" s="69">
        <v>23</v>
      </c>
      <c r="B24" s="91" t="s">
        <v>1426</v>
      </c>
      <c r="C24" s="71" t="s">
        <v>1459</v>
      </c>
      <c r="D24" s="72" t="s">
        <v>124</v>
      </c>
      <c r="E24" s="88" t="s">
        <v>1393</v>
      </c>
      <c r="F24" s="74" t="s">
        <v>104</v>
      </c>
      <c r="G24" s="75" t="s">
        <v>1398</v>
      </c>
      <c r="H24" s="76" t="s">
        <v>104</v>
      </c>
      <c r="I24" s="77" t="s">
        <v>1399</v>
      </c>
      <c r="J24" s="78" t="s">
        <v>9</v>
      </c>
      <c r="K24" s="79" t="s">
        <v>9</v>
      </c>
      <c r="L24" s="76" t="s">
        <v>9</v>
      </c>
      <c r="M24" s="77" t="s">
        <v>9</v>
      </c>
      <c r="N24" s="76" t="s">
        <v>715</v>
      </c>
      <c r="O24" s="77" t="s">
        <v>1400</v>
      </c>
      <c r="P24" s="76" t="s">
        <v>1110</v>
      </c>
      <c r="Q24" s="77" t="s">
        <v>1111</v>
      </c>
      <c r="R24" s="76" t="s">
        <v>9</v>
      </c>
      <c r="S24" s="80" t="s">
        <v>9</v>
      </c>
      <c r="T24" s="76" t="s">
        <v>9</v>
      </c>
      <c r="U24" s="77" t="s">
        <v>9</v>
      </c>
      <c r="V24" s="76" t="s">
        <v>9</v>
      </c>
      <c r="W24" s="80" t="s">
        <v>9</v>
      </c>
      <c r="X24" s="76" t="s">
        <v>9</v>
      </c>
      <c r="Y24" s="80" t="s">
        <v>9</v>
      </c>
      <c r="Z24" s="76" t="s">
        <v>9</v>
      </c>
      <c r="AA24" s="79" t="s">
        <v>9</v>
      </c>
      <c r="AB24" s="96" t="s">
        <v>9</v>
      </c>
      <c r="AC24" s="80" t="s">
        <v>9</v>
      </c>
      <c r="AD24" s="96" t="s">
        <v>9</v>
      </c>
      <c r="AE24" s="80" t="s">
        <v>9</v>
      </c>
      <c r="AF24" s="78" t="s">
        <v>9</v>
      </c>
      <c r="AG24" s="80" t="s">
        <v>9</v>
      </c>
      <c r="AH24" s="78" t="s">
        <v>9</v>
      </c>
      <c r="AI24" s="80" t="s">
        <v>9</v>
      </c>
      <c r="AJ24" s="78" t="s">
        <v>9</v>
      </c>
      <c r="AK24" s="80" t="s">
        <v>9</v>
      </c>
      <c r="AL24" s="78" t="s">
        <v>9</v>
      </c>
      <c r="AM24" s="80" t="s">
        <v>9</v>
      </c>
      <c r="AN24" s="78" t="s">
        <v>9</v>
      </c>
      <c r="AO24" s="80" t="s">
        <v>9</v>
      </c>
      <c r="AP24" s="78" t="s">
        <v>9</v>
      </c>
      <c r="AQ24" s="80" t="s">
        <v>9</v>
      </c>
      <c r="AR24" s="78" t="s">
        <v>9</v>
      </c>
      <c r="AS24" s="77" t="s">
        <v>9</v>
      </c>
      <c r="AT24" s="78" t="s">
        <v>9</v>
      </c>
      <c r="AU24" s="77" t="s">
        <v>9</v>
      </c>
      <c r="AV24" s="78" t="s">
        <v>9</v>
      </c>
      <c r="AW24" s="79" t="s">
        <v>9</v>
      </c>
      <c r="AX24" s="96" t="s">
        <v>236</v>
      </c>
      <c r="AY24" s="77" t="s">
        <v>1401</v>
      </c>
      <c r="AZ24" s="96" t="s">
        <v>237</v>
      </c>
      <c r="BA24" s="77" t="s">
        <v>1402</v>
      </c>
      <c r="BB24" s="96" t="s">
        <v>716</v>
      </c>
      <c r="BC24" s="77" t="s">
        <v>1403</v>
      </c>
    </row>
    <row r="25" spans="1:55" ht="7.5" customHeight="1" x14ac:dyDescent="0.25">
      <c r="A25" s="69">
        <v>24</v>
      </c>
      <c r="B25" s="91" t="s">
        <v>1427</v>
      </c>
      <c r="C25" s="71" t="s">
        <v>1459</v>
      </c>
      <c r="D25" s="72" t="s">
        <v>124</v>
      </c>
      <c r="E25" s="88" t="s">
        <v>1396</v>
      </c>
      <c r="F25" s="74" t="s">
        <v>104</v>
      </c>
      <c r="G25" s="75" t="s">
        <v>1398</v>
      </c>
      <c r="H25" s="76" t="s">
        <v>104</v>
      </c>
      <c r="I25" s="77" t="s">
        <v>1399</v>
      </c>
      <c r="J25" s="78" t="s">
        <v>9</v>
      </c>
      <c r="K25" s="79" t="s">
        <v>9</v>
      </c>
      <c r="L25" s="76" t="s">
        <v>9</v>
      </c>
      <c r="M25" s="77" t="s">
        <v>9</v>
      </c>
      <c r="N25" s="76" t="s">
        <v>715</v>
      </c>
      <c r="O25" s="77" t="s">
        <v>1400</v>
      </c>
      <c r="P25" s="76" t="s">
        <v>1110</v>
      </c>
      <c r="Q25" s="77" t="s">
        <v>1111</v>
      </c>
      <c r="R25" s="76" t="s">
        <v>9</v>
      </c>
      <c r="S25" s="80" t="s">
        <v>9</v>
      </c>
      <c r="T25" s="76" t="s">
        <v>9</v>
      </c>
      <c r="U25" s="77" t="s">
        <v>9</v>
      </c>
      <c r="V25" s="76" t="s">
        <v>9</v>
      </c>
      <c r="W25" s="80" t="s">
        <v>9</v>
      </c>
      <c r="X25" s="76" t="s">
        <v>9</v>
      </c>
      <c r="Y25" s="80" t="s">
        <v>9</v>
      </c>
      <c r="Z25" s="76" t="s">
        <v>9</v>
      </c>
      <c r="AA25" s="79" t="s">
        <v>9</v>
      </c>
      <c r="AB25" s="96" t="s">
        <v>9</v>
      </c>
      <c r="AC25" s="80" t="s">
        <v>9</v>
      </c>
      <c r="AD25" s="96" t="s">
        <v>9</v>
      </c>
      <c r="AE25" s="80" t="s">
        <v>9</v>
      </c>
      <c r="AF25" s="78" t="s">
        <v>9</v>
      </c>
      <c r="AG25" s="80" t="s">
        <v>9</v>
      </c>
      <c r="AH25" s="78" t="s">
        <v>9</v>
      </c>
      <c r="AI25" s="80" t="s">
        <v>9</v>
      </c>
      <c r="AJ25" s="78" t="s">
        <v>9</v>
      </c>
      <c r="AK25" s="80" t="s">
        <v>9</v>
      </c>
      <c r="AL25" s="78" t="s">
        <v>9</v>
      </c>
      <c r="AM25" s="80" t="s">
        <v>9</v>
      </c>
      <c r="AN25" s="78" t="s">
        <v>9</v>
      </c>
      <c r="AO25" s="80" t="s">
        <v>9</v>
      </c>
      <c r="AP25" s="78" t="s">
        <v>9</v>
      </c>
      <c r="AQ25" s="80" t="s">
        <v>9</v>
      </c>
      <c r="AR25" s="78" t="s">
        <v>9</v>
      </c>
      <c r="AS25" s="77" t="s">
        <v>9</v>
      </c>
      <c r="AT25" s="78" t="s">
        <v>9</v>
      </c>
      <c r="AU25" s="77" t="s">
        <v>9</v>
      </c>
      <c r="AV25" s="78" t="s">
        <v>9</v>
      </c>
      <c r="AW25" s="79" t="s">
        <v>9</v>
      </c>
      <c r="AX25" s="96" t="s">
        <v>236</v>
      </c>
      <c r="AY25" s="77" t="s">
        <v>1401</v>
      </c>
      <c r="AZ25" s="96" t="s">
        <v>237</v>
      </c>
      <c r="BA25" s="77" t="s">
        <v>1402</v>
      </c>
      <c r="BB25" s="96" t="s">
        <v>716</v>
      </c>
      <c r="BC25" s="77" t="s">
        <v>1403</v>
      </c>
    </row>
    <row r="26" spans="1:55" ht="7.9" customHeight="1" x14ac:dyDescent="0.25">
      <c r="A26" s="69">
        <v>25</v>
      </c>
      <c r="B26" s="83" t="s">
        <v>371</v>
      </c>
      <c r="C26" s="92" t="s">
        <v>362</v>
      </c>
      <c r="D26" s="72" t="s">
        <v>124</v>
      </c>
      <c r="E26" s="93" t="s">
        <v>1115</v>
      </c>
      <c r="F26" s="78" t="s">
        <v>104</v>
      </c>
      <c r="G26" s="79" t="s">
        <v>458</v>
      </c>
      <c r="H26" s="78" t="s">
        <v>9</v>
      </c>
      <c r="I26" s="79" t="s">
        <v>9</v>
      </c>
      <c r="J26" s="78" t="s">
        <v>9</v>
      </c>
      <c r="K26" s="79" t="s">
        <v>9</v>
      </c>
      <c r="L26" s="78" t="s">
        <v>9</v>
      </c>
      <c r="M26" s="79" t="s">
        <v>9</v>
      </c>
      <c r="N26" s="81" t="s">
        <v>715</v>
      </c>
      <c r="O26" s="79" t="s">
        <v>457</v>
      </c>
      <c r="P26" s="78" t="s">
        <v>9</v>
      </c>
      <c r="Q26" s="79" t="s">
        <v>9</v>
      </c>
      <c r="R26" s="78" t="s">
        <v>9</v>
      </c>
      <c r="S26" s="80" t="s">
        <v>9</v>
      </c>
      <c r="T26" s="78" t="s">
        <v>9</v>
      </c>
      <c r="U26" s="79" t="s">
        <v>9</v>
      </c>
      <c r="V26" s="78" t="s">
        <v>9</v>
      </c>
      <c r="W26" s="80" t="s">
        <v>9</v>
      </c>
      <c r="X26" s="78" t="s">
        <v>9</v>
      </c>
      <c r="Y26" s="80" t="s">
        <v>9</v>
      </c>
      <c r="Z26" s="78" t="s">
        <v>9</v>
      </c>
      <c r="AA26" s="79" t="s">
        <v>9</v>
      </c>
      <c r="AB26" s="78" t="s">
        <v>9</v>
      </c>
      <c r="AC26" s="80" t="s">
        <v>9</v>
      </c>
      <c r="AD26" s="96" t="s">
        <v>9</v>
      </c>
      <c r="AE26" s="80" t="s">
        <v>9</v>
      </c>
      <c r="AF26" s="78" t="s">
        <v>9</v>
      </c>
      <c r="AG26" s="80" t="s">
        <v>9</v>
      </c>
      <c r="AH26" s="78" t="s">
        <v>9</v>
      </c>
      <c r="AI26" s="80" t="s">
        <v>9</v>
      </c>
      <c r="AJ26" s="78" t="s">
        <v>9</v>
      </c>
      <c r="AK26" s="80" t="s">
        <v>9</v>
      </c>
      <c r="AL26" s="78" t="s">
        <v>9</v>
      </c>
      <c r="AM26" s="80" t="s">
        <v>9</v>
      </c>
      <c r="AN26" s="78" t="s">
        <v>9</v>
      </c>
      <c r="AO26" s="80" t="s">
        <v>9</v>
      </c>
      <c r="AP26" s="78" t="s">
        <v>9</v>
      </c>
      <c r="AQ26" s="80" t="s">
        <v>9</v>
      </c>
      <c r="AR26" s="81" t="s">
        <v>715</v>
      </c>
      <c r="AS26" s="77" t="s">
        <v>457</v>
      </c>
      <c r="AT26" s="78" t="s">
        <v>9</v>
      </c>
      <c r="AU26" s="77" t="s">
        <v>9</v>
      </c>
      <c r="AV26" s="78" t="s">
        <v>9</v>
      </c>
      <c r="AW26" s="79" t="s">
        <v>9</v>
      </c>
      <c r="AX26" s="78" t="s">
        <v>236</v>
      </c>
      <c r="AY26" s="79" t="s">
        <v>721</v>
      </c>
      <c r="AZ26" s="78" t="s">
        <v>237</v>
      </c>
      <c r="BA26" s="79" t="s">
        <v>724</v>
      </c>
      <c r="BB26" s="78" t="s">
        <v>716</v>
      </c>
      <c r="BC26" s="77" t="s">
        <v>717</v>
      </c>
    </row>
    <row r="27" spans="1:55" customFormat="1" ht="7.9" customHeight="1" x14ac:dyDescent="0.25">
      <c r="A27" s="69">
        <v>26</v>
      </c>
      <c r="B27" s="83" t="s">
        <v>372</v>
      </c>
      <c r="C27" s="92" t="s">
        <v>362</v>
      </c>
      <c r="D27" s="85" t="s">
        <v>370</v>
      </c>
      <c r="E27" s="87" t="s">
        <v>371</v>
      </c>
      <c r="F27" s="78" t="s">
        <v>104</v>
      </c>
      <c r="G27" s="79" t="s">
        <v>458</v>
      </c>
      <c r="H27" s="78" t="s">
        <v>9</v>
      </c>
      <c r="I27" s="79" t="s">
        <v>9</v>
      </c>
      <c r="J27" s="78" t="s">
        <v>9</v>
      </c>
      <c r="K27" s="79" t="s">
        <v>9</v>
      </c>
      <c r="L27" s="78" t="s">
        <v>9</v>
      </c>
      <c r="M27" s="79" t="s">
        <v>9</v>
      </c>
      <c r="N27" s="81" t="s">
        <v>715</v>
      </c>
      <c r="O27" s="79" t="s">
        <v>457</v>
      </c>
      <c r="P27" s="78" t="s">
        <v>9</v>
      </c>
      <c r="Q27" s="79" t="s">
        <v>9</v>
      </c>
      <c r="R27" s="78" t="s">
        <v>9</v>
      </c>
      <c r="S27" s="80" t="s">
        <v>9</v>
      </c>
      <c r="T27" s="78" t="s">
        <v>9</v>
      </c>
      <c r="U27" s="79" t="s">
        <v>9</v>
      </c>
      <c r="V27" s="78" t="s">
        <v>9</v>
      </c>
      <c r="W27" s="80" t="s">
        <v>9</v>
      </c>
      <c r="X27" s="78" t="s">
        <v>9</v>
      </c>
      <c r="Y27" s="80" t="s">
        <v>9</v>
      </c>
      <c r="Z27" s="78" t="s">
        <v>9</v>
      </c>
      <c r="AA27" s="79" t="s">
        <v>9</v>
      </c>
      <c r="AB27" s="78" t="s">
        <v>9</v>
      </c>
      <c r="AC27" s="80" t="s">
        <v>9</v>
      </c>
      <c r="AD27" s="96" t="s">
        <v>9</v>
      </c>
      <c r="AE27" s="80" t="s">
        <v>9</v>
      </c>
      <c r="AF27" s="78" t="s">
        <v>9</v>
      </c>
      <c r="AG27" s="80" t="s">
        <v>9</v>
      </c>
      <c r="AH27" s="78" t="s">
        <v>9</v>
      </c>
      <c r="AI27" s="80" t="s">
        <v>9</v>
      </c>
      <c r="AJ27" s="78" t="s">
        <v>9</v>
      </c>
      <c r="AK27" s="80" t="s">
        <v>9</v>
      </c>
      <c r="AL27" s="78" t="s">
        <v>9</v>
      </c>
      <c r="AM27" s="80" t="s">
        <v>9</v>
      </c>
      <c r="AN27" s="78" t="s">
        <v>9</v>
      </c>
      <c r="AO27" s="80" t="s">
        <v>9</v>
      </c>
      <c r="AP27" s="78" t="s">
        <v>9</v>
      </c>
      <c r="AQ27" s="80" t="s">
        <v>9</v>
      </c>
      <c r="AR27" s="81" t="s">
        <v>715</v>
      </c>
      <c r="AS27" s="77" t="s">
        <v>457</v>
      </c>
      <c r="AT27" s="78" t="s">
        <v>9</v>
      </c>
      <c r="AU27" s="77" t="s">
        <v>9</v>
      </c>
      <c r="AV27" s="78" t="s">
        <v>9</v>
      </c>
      <c r="AW27" s="79" t="s">
        <v>9</v>
      </c>
      <c r="AX27" s="78" t="s">
        <v>236</v>
      </c>
      <c r="AY27" s="79" t="s">
        <v>721</v>
      </c>
      <c r="AZ27" s="78" t="s">
        <v>237</v>
      </c>
      <c r="BA27" s="79" t="s">
        <v>724</v>
      </c>
      <c r="BB27" s="78" t="s">
        <v>716</v>
      </c>
      <c r="BC27" s="77" t="s">
        <v>717</v>
      </c>
    </row>
    <row r="28" spans="1:55" customFormat="1" ht="7.9" customHeight="1" x14ac:dyDescent="0.25">
      <c r="A28" s="69">
        <v>27</v>
      </c>
      <c r="B28" s="83" t="s">
        <v>373</v>
      </c>
      <c r="C28" s="92" t="s">
        <v>362</v>
      </c>
      <c r="D28" s="85" t="s">
        <v>370</v>
      </c>
      <c r="E28" s="87" t="s">
        <v>372</v>
      </c>
      <c r="F28" s="78" t="s">
        <v>104</v>
      </c>
      <c r="G28" s="79" t="s">
        <v>458</v>
      </c>
      <c r="H28" s="78" t="s">
        <v>9</v>
      </c>
      <c r="I28" s="79" t="s">
        <v>9</v>
      </c>
      <c r="J28" s="78" t="s">
        <v>9</v>
      </c>
      <c r="K28" s="79" t="s">
        <v>9</v>
      </c>
      <c r="L28" s="78" t="s">
        <v>9</v>
      </c>
      <c r="M28" s="79" t="s">
        <v>9</v>
      </c>
      <c r="N28" s="81" t="s">
        <v>715</v>
      </c>
      <c r="O28" s="79" t="s">
        <v>457</v>
      </c>
      <c r="P28" s="78" t="s">
        <v>9</v>
      </c>
      <c r="Q28" s="79" t="s">
        <v>9</v>
      </c>
      <c r="R28" s="78" t="s">
        <v>9</v>
      </c>
      <c r="S28" s="80" t="s">
        <v>9</v>
      </c>
      <c r="T28" s="78" t="s">
        <v>9</v>
      </c>
      <c r="U28" s="79" t="s">
        <v>9</v>
      </c>
      <c r="V28" s="78" t="s">
        <v>9</v>
      </c>
      <c r="W28" s="80" t="s">
        <v>9</v>
      </c>
      <c r="X28" s="78" t="s">
        <v>9</v>
      </c>
      <c r="Y28" s="80" t="s">
        <v>9</v>
      </c>
      <c r="Z28" s="78" t="s">
        <v>9</v>
      </c>
      <c r="AA28" s="79" t="s">
        <v>9</v>
      </c>
      <c r="AB28" s="78" t="s">
        <v>9</v>
      </c>
      <c r="AC28" s="80" t="s">
        <v>9</v>
      </c>
      <c r="AD28" s="96" t="s">
        <v>9</v>
      </c>
      <c r="AE28" s="80" t="s">
        <v>9</v>
      </c>
      <c r="AF28" s="78" t="s">
        <v>9</v>
      </c>
      <c r="AG28" s="80" t="s">
        <v>9</v>
      </c>
      <c r="AH28" s="78" t="s">
        <v>9</v>
      </c>
      <c r="AI28" s="80" t="s">
        <v>9</v>
      </c>
      <c r="AJ28" s="78" t="s">
        <v>9</v>
      </c>
      <c r="AK28" s="80" t="s">
        <v>9</v>
      </c>
      <c r="AL28" s="78" t="s">
        <v>9</v>
      </c>
      <c r="AM28" s="80" t="s">
        <v>9</v>
      </c>
      <c r="AN28" s="78" t="s">
        <v>9</v>
      </c>
      <c r="AO28" s="80" t="s">
        <v>9</v>
      </c>
      <c r="AP28" s="78" t="s">
        <v>9</v>
      </c>
      <c r="AQ28" s="80" t="s">
        <v>9</v>
      </c>
      <c r="AR28" s="81" t="s">
        <v>715</v>
      </c>
      <c r="AS28" s="77" t="s">
        <v>457</v>
      </c>
      <c r="AT28" s="78" t="s">
        <v>9</v>
      </c>
      <c r="AU28" s="77" t="s">
        <v>9</v>
      </c>
      <c r="AV28" s="78" t="s">
        <v>9</v>
      </c>
      <c r="AW28" s="79" t="s">
        <v>9</v>
      </c>
      <c r="AX28" s="78" t="s">
        <v>236</v>
      </c>
      <c r="AY28" s="79" t="s">
        <v>721</v>
      </c>
      <c r="AZ28" s="78" t="s">
        <v>237</v>
      </c>
      <c r="BA28" s="79" t="s">
        <v>724</v>
      </c>
      <c r="BB28" s="78" t="s">
        <v>716</v>
      </c>
      <c r="BC28" s="77" t="s">
        <v>717</v>
      </c>
    </row>
    <row r="29" spans="1:55" ht="7.5" customHeight="1" x14ac:dyDescent="0.25">
      <c r="A29" s="69">
        <v>28</v>
      </c>
      <c r="B29" s="83" t="s">
        <v>374</v>
      </c>
      <c r="C29" s="92" t="s">
        <v>362</v>
      </c>
      <c r="D29" s="85" t="s">
        <v>370</v>
      </c>
      <c r="E29" s="87" t="s">
        <v>373</v>
      </c>
      <c r="F29" s="78" t="s">
        <v>104</v>
      </c>
      <c r="G29" s="79" t="s">
        <v>458</v>
      </c>
      <c r="H29" s="78" t="s">
        <v>9</v>
      </c>
      <c r="I29" s="79" t="s">
        <v>9</v>
      </c>
      <c r="J29" s="78" t="s">
        <v>9</v>
      </c>
      <c r="K29" s="79" t="s">
        <v>9</v>
      </c>
      <c r="L29" s="78" t="s">
        <v>9</v>
      </c>
      <c r="M29" s="79" t="s">
        <v>9</v>
      </c>
      <c r="N29" s="81" t="s">
        <v>715</v>
      </c>
      <c r="O29" s="79" t="s">
        <v>457</v>
      </c>
      <c r="P29" s="78" t="s">
        <v>9</v>
      </c>
      <c r="Q29" s="79" t="s">
        <v>9</v>
      </c>
      <c r="R29" s="78" t="s">
        <v>9</v>
      </c>
      <c r="S29" s="80" t="s">
        <v>9</v>
      </c>
      <c r="T29" s="78" t="s">
        <v>9</v>
      </c>
      <c r="U29" s="79" t="s">
        <v>9</v>
      </c>
      <c r="V29" s="78" t="s">
        <v>9</v>
      </c>
      <c r="W29" s="80" t="s">
        <v>9</v>
      </c>
      <c r="X29" s="78" t="s">
        <v>9</v>
      </c>
      <c r="Y29" s="80" t="s">
        <v>9</v>
      </c>
      <c r="Z29" s="78" t="s">
        <v>9</v>
      </c>
      <c r="AA29" s="79" t="s">
        <v>9</v>
      </c>
      <c r="AB29" s="78" t="s">
        <v>9</v>
      </c>
      <c r="AC29" s="80" t="s">
        <v>9</v>
      </c>
      <c r="AD29" s="96" t="s">
        <v>9</v>
      </c>
      <c r="AE29" s="80" t="s">
        <v>9</v>
      </c>
      <c r="AF29" s="78" t="s">
        <v>9</v>
      </c>
      <c r="AG29" s="80" t="s">
        <v>9</v>
      </c>
      <c r="AH29" s="78" t="s">
        <v>9</v>
      </c>
      <c r="AI29" s="80" t="s">
        <v>9</v>
      </c>
      <c r="AJ29" s="78" t="s">
        <v>9</v>
      </c>
      <c r="AK29" s="80" t="s">
        <v>9</v>
      </c>
      <c r="AL29" s="78" t="s">
        <v>9</v>
      </c>
      <c r="AM29" s="80" t="s">
        <v>9</v>
      </c>
      <c r="AN29" s="78" t="s">
        <v>9</v>
      </c>
      <c r="AO29" s="80" t="s">
        <v>9</v>
      </c>
      <c r="AP29" s="78" t="s">
        <v>9</v>
      </c>
      <c r="AQ29" s="80" t="s">
        <v>9</v>
      </c>
      <c r="AR29" s="81" t="s">
        <v>715</v>
      </c>
      <c r="AS29" s="77" t="s">
        <v>457</v>
      </c>
      <c r="AT29" s="78" t="s">
        <v>9</v>
      </c>
      <c r="AU29" s="77" t="s">
        <v>9</v>
      </c>
      <c r="AV29" s="78" t="s">
        <v>9</v>
      </c>
      <c r="AW29" s="79" t="s">
        <v>9</v>
      </c>
      <c r="AX29" s="78" t="s">
        <v>236</v>
      </c>
      <c r="AY29" s="79" t="s">
        <v>721</v>
      </c>
      <c r="AZ29" s="78" t="s">
        <v>237</v>
      </c>
      <c r="BA29" s="79" t="s">
        <v>724</v>
      </c>
      <c r="BB29" s="78" t="s">
        <v>716</v>
      </c>
      <c r="BC29" s="77" t="s">
        <v>717</v>
      </c>
    </row>
    <row r="30" spans="1:55" customFormat="1" ht="7.9" customHeight="1" x14ac:dyDescent="0.25">
      <c r="A30" s="69">
        <v>29</v>
      </c>
      <c r="B30" s="91" t="s">
        <v>1419</v>
      </c>
      <c r="C30" s="71" t="s">
        <v>2159</v>
      </c>
      <c r="D30" s="72" t="s">
        <v>124</v>
      </c>
      <c r="E30" s="88" t="s">
        <v>1427</v>
      </c>
      <c r="F30" s="74" t="s">
        <v>104</v>
      </c>
      <c r="G30" s="75" t="s">
        <v>1420</v>
      </c>
      <c r="H30" s="76" t="s">
        <v>104</v>
      </c>
      <c r="I30" s="77" t="s">
        <v>1421</v>
      </c>
      <c r="J30" s="78" t="s">
        <v>9</v>
      </c>
      <c r="K30" s="79" t="s">
        <v>9</v>
      </c>
      <c r="L30" s="76" t="s">
        <v>9</v>
      </c>
      <c r="M30" s="77" t="s">
        <v>9</v>
      </c>
      <c r="N30" s="76" t="s">
        <v>715</v>
      </c>
      <c r="O30" s="77" t="s">
        <v>1422</v>
      </c>
      <c r="P30" s="76" t="s">
        <v>1110</v>
      </c>
      <c r="Q30" s="77" t="s">
        <v>1422</v>
      </c>
      <c r="R30" s="76" t="s">
        <v>9</v>
      </c>
      <c r="S30" s="80" t="s">
        <v>9</v>
      </c>
      <c r="T30" s="76" t="s">
        <v>9</v>
      </c>
      <c r="U30" s="77" t="s">
        <v>9</v>
      </c>
      <c r="V30" s="76" t="s">
        <v>9</v>
      </c>
      <c r="W30" s="80" t="s">
        <v>9</v>
      </c>
      <c r="X30" s="76" t="s">
        <v>9</v>
      </c>
      <c r="Y30" s="80" t="s">
        <v>9</v>
      </c>
      <c r="Z30" s="76" t="s">
        <v>9</v>
      </c>
      <c r="AA30" s="79" t="s">
        <v>9</v>
      </c>
      <c r="AB30" s="96" t="s">
        <v>9</v>
      </c>
      <c r="AC30" s="80" t="s">
        <v>9</v>
      </c>
      <c r="AD30" s="96" t="s">
        <v>9</v>
      </c>
      <c r="AE30" s="80" t="s">
        <v>9</v>
      </c>
      <c r="AF30" s="78" t="s">
        <v>9</v>
      </c>
      <c r="AG30" s="80" t="s">
        <v>9</v>
      </c>
      <c r="AH30" s="78" t="s">
        <v>9</v>
      </c>
      <c r="AI30" s="80" t="s">
        <v>9</v>
      </c>
      <c r="AJ30" s="78" t="s">
        <v>9</v>
      </c>
      <c r="AK30" s="80" t="s">
        <v>9</v>
      </c>
      <c r="AL30" s="78" t="s">
        <v>9</v>
      </c>
      <c r="AM30" s="80" t="s">
        <v>9</v>
      </c>
      <c r="AN30" s="78" t="s">
        <v>9</v>
      </c>
      <c r="AO30" s="80" t="s">
        <v>9</v>
      </c>
      <c r="AP30" s="78" t="s">
        <v>9</v>
      </c>
      <c r="AQ30" s="80" t="s">
        <v>9</v>
      </c>
      <c r="AR30" s="78" t="s">
        <v>9</v>
      </c>
      <c r="AS30" s="77" t="s">
        <v>9</v>
      </c>
      <c r="AT30" s="78" t="s">
        <v>9</v>
      </c>
      <c r="AU30" s="77" t="s">
        <v>9</v>
      </c>
      <c r="AV30" s="78" t="s">
        <v>9</v>
      </c>
      <c r="AW30" s="79" t="s">
        <v>9</v>
      </c>
      <c r="AX30" s="96" t="s">
        <v>236</v>
      </c>
      <c r="AY30" s="77" t="s">
        <v>1401</v>
      </c>
      <c r="AZ30" s="96" t="s">
        <v>237</v>
      </c>
      <c r="BA30" s="77" t="s">
        <v>1402</v>
      </c>
      <c r="BB30" s="96" t="s">
        <v>716</v>
      </c>
      <c r="BC30" s="77" t="s">
        <v>1423</v>
      </c>
    </row>
    <row r="31" spans="1:55" ht="7.5" customHeight="1" x14ac:dyDescent="0.25">
      <c r="A31" s="69">
        <v>30</v>
      </c>
      <c r="B31" s="91" t="s">
        <v>1424</v>
      </c>
      <c r="C31" s="71" t="s">
        <v>2159</v>
      </c>
      <c r="D31" s="72" t="s">
        <v>124</v>
      </c>
      <c r="E31" s="88" t="s">
        <v>1427</v>
      </c>
      <c r="F31" s="74" t="s">
        <v>104</v>
      </c>
      <c r="G31" s="75" t="s">
        <v>1420</v>
      </c>
      <c r="H31" s="76" t="s">
        <v>104</v>
      </c>
      <c r="I31" s="77" t="s">
        <v>1421</v>
      </c>
      <c r="J31" s="78" t="s">
        <v>9</v>
      </c>
      <c r="K31" s="79" t="s">
        <v>9</v>
      </c>
      <c r="L31" s="76" t="s">
        <v>9</v>
      </c>
      <c r="M31" s="77" t="s">
        <v>9</v>
      </c>
      <c r="N31" s="76" t="s">
        <v>715</v>
      </c>
      <c r="O31" s="77" t="s">
        <v>1422</v>
      </c>
      <c r="P31" s="76" t="s">
        <v>1110</v>
      </c>
      <c r="Q31" s="77" t="s">
        <v>1422</v>
      </c>
      <c r="R31" s="76" t="s">
        <v>9</v>
      </c>
      <c r="S31" s="80" t="s">
        <v>9</v>
      </c>
      <c r="T31" s="76" t="s">
        <v>9</v>
      </c>
      <c r="U31" s="77" t="s">
        <v>9</v>
      </c>
      <c r="V31" s="76" t="s">
        <v>9</v>
      </c>
      <c r="W31" s="80" t="s">
        <v>9</v>
      </c>
      <c r="X31" s="76" t="s">
        <v>9</v>
      </c>
      <c r="Y31" s="80" t="s">
        <v>9</v>
      </c>
      <c r="Z31" s="76" t="s">
        <v>9</v>
      </c>
      <c r="AA31" s="79" t="s">
        <v>9</v>
      </c>
      <c r="AB31" s="96" t="s">
        <v>9</v>
      </c>
      <c r="AC31" s="80" t="s">
        <v>9</v>
      </c>
      <c r="AD31" s="96" t="s">
        <v>9</v>
      </c>
      <c r="AE31" s="80" t="s">
        <v>9</v>
      </c>
      <c r="AF31" s="78" t="s">
        <v>9</v>
      </c>
      <c r="AG31" s="80" t="s">
        <v>9</v>
      </c>
      <c r="AH31" s="78" t="s">
        <v>9</v>
      </c>
      <c r="AI31" s="80" t="s">
        <v>9</v>
      </c>
      <c r="AJ31" s="78" t="s">
        <v>9</v>
      </c>
      <c r="AK31" s="80" t="s">
        <v>9</v>
      </c>
      <c r="AL31" s="78" t="s">
        <v>9</v>
      </c>
      <c r="AM31" s="80" t="s">
        <v>9</v>
      </c>
      <c r="AN31" s="78" t="s">
        <v>9</v>
      </c>
      <c r="AO31" s="80" t="s">
        <v>9</v>
      </c>
      <c r="AP31" s="78" t="s">
        <v>9</v>
      </c>
      <c r="AQ31" s="80" t="s">
        <v>9</v>
      </c>
      <c r="AR31" s="78" t="s">
        <v>9</v>
      </c>
      <c r="AS31" s="77" t="s">
        <v>9</v>
      </c>
      <c r="AT31" s="78" t="s">
        <v>9</v>
      </c>
      <c r="AU31" s="77" t="s">
        <v>9</v>
      </c>
      <c r="AV31" s="78" t="s">
        <v>9</v>
      </c>
      <c r="AW31" s="79" t="s">
        <v>9</v>
      </c>
      <c r="AX31" s="96" t="s">
        <v>236</v>
      </c>
      <c r="AY31" s="77" t="s">
        <v>1401</v>
      </c>
      <c r="AZ31" s="96" t="s">
        <v>237</v>
      </c>
      <c r="BA31" s="77" t="s">
        <v>1402</v>
      </c>
      <c r="BB31" s="96" t="s">
        <v>716</v>
      </c>
      <c r="BC31" s="77" t="s">
        <v>1423</v>
      </c>
    </row>
    <row r="32" spans="1:55" ht="7.5" customHeight="1" x14ac:dyDescent="0.25">
      <c r="A32" s="69">
        <v>31</v>
      </c>
      <c r="B32" s="91" t="s">
        <v>1121</v>
      </c>
      <c r="C32" s="71" t="s">
        <v>299</v>
      </c>
      <c r="D32" s="72" t="s">
        <v>124</v>
      </c>
      <c r="E32" s="88" t="s">
        <v>1115</v>
      </c>
      <c r="F32" s="74" t="s">
        <v>104</v>
      </c>
      <c r="G32" s="75" t="s">
        <v>1122</v>
      </c>
      <c r="H32" s="76" t="s">
        <v>9</v>
      </c>
      <c r="I32" s="77" t="s">
        <v>9</v>
      </c>
      <c r="J32" s="78" t="s">
        <v>9</v>
      </c>
      <c r="K32" s="79" t="s">
        <v>9</v>
      </c>
      <c r="L32" s="76" t="s">
        <v>9</v>
      </c>
      <c r="M32" s="77" t="s">
        <v>9</v>
      </c>
      <c r="N32" s="76" t="s">
        <v>715</v>
      </c>
      <c r="O32" s="77" t="s">
        <v>457</v>
      </c>
      <c r="P32" s="76" t="s">
        <v>1110</v>
      </c>
      <c r="Q32" s="77" t="s">
        <v>1111</v>
      </c>
      <c r="R32" s="76" t="s">
        <v>9</v>
      </c>
      <c r="S32" s="80" t="s">
        <v>9</v>
      </c>
      <c r="T32" s="76" t="s">
        <v>9</v>
      </c>
      <c r="U32" s="77" t="s">
        <v>9</v>
      </c>
      <c r="V32" s="76" t="s">
        <v>9</v>
      </c>
      <c r="W32" s="80" t="s">
        <v>9</v>
      </c>
      <c r="X32" s="76" t="s">
        <v>9</v>
      </c>
      <c r="Y32" s="80" t="s">
        <v>9</v>
      </c>
      <c r="Z32" s="76" t="s">
        <v>9</v>
      </c>
      <c r="AA32" s="79" t="s">
        <v>9</v>
      </c>
      <c r="AB32" s="96" t="s">
        <v>9</v>
      </c>
      <c r="AC32" s="80" t="s">
        <v>9</v>
      </c>
      <c r="AD32" s="96" t="s">
        <v>9</v>
      </c>
      <c r="AE32" s="80" t="s">
        <v>9</v>
      </c>
      <c r="AF32" s="78" t="s">
        <v>9</v>
      </c>
      <c r="AG32" s="80" t="s">
        <v>9</v>
      </c>
      <c r="AH32" s="78" t="s">
        <v>9</v>
      </c>
      <c r="AI32" s="80" t="s">
        <v>9</v>
      </c>
      <c r="AJ32" s="78" t="s">
        <v>9</v>
      </c>
      <c r="AK32" s="80" t="s">
        <v>9</v>
      </c>
      <c r="AL32" s="78" t="s">
        <v>9</v>
      </c>
      <c r="AM32" s="80" t="s">
        <v>9</v>
      </c>
      <c r="AN32" s="78" t="s">
        <v>9</v>
      </c>
      <c r="AO32" s="80" t="s">
        <v>9</v>
      </c>
      <c r="AP32" s="78" t="s">
        <v>9</v>
      </c>
      <c r="AQ32" s="80" t="s">
        <v>9</v>
      </c>
      <c r="AR32" s="78" t="s">
        <v>9</v>
      </c>
      <c r="AS32" s="77" t="s">
        <v>9</v>
      </c>
      <c r="AT32" s="78" t="s">
        <v>9</v>
      </c>
      <c r="AU32" s="77" t="s">
        <v>9</v>
      </c>
      <c r="AV32" s="78" t="s">
        <v>9</v>
      </c>
      <c r="AW32" s="79" t="s">
        <v>9</v>
      </c>
      <c r="AX32" s="96" t="s">
        <v>236</v>
      </c>
      <c r="AY32" s="77" t="s">
        <v>1123</v>
      </c>
      <c r="AZ32" s="96" t="s">
        <v>237</v>
      </c>
      <c r="BA32" s="77" t="s">
        <v>1124</v>
      </c>
      <c r="BB32" s="96" t="s">
        <v>716</v>
      </c>
      <c r="BC32" s="77" t="s">
        <v>1125</v>
      </c>
    </row>
    <row r="33" spans="1:55" ht="7.5" customHeight="1" x14ac:dyDescent="0.25">
      <c r="A33" s="69">
        <v>32</v>
      </c>
      <c r="B33" s="91" t="s">
        <v>1126</v>
      </c>
      <c r="C33" s="71" t="s">
        <v>299</v>
      </c>
      <c r="D33" s="72" t="s">
        <v>124</v>
      </c>
      <c r="E33" s="88" t="s">
        <v>1115</v>
      </c>
      <c r="F33" s="74" t="s">
        <v>104</v>
      </c>
      <c r="G33" s="75" t="s">
        <v>1122</v>
      </c>
      <c r="H33" s="76" t="s">
        <v>9</v>
      </c>
      <c r="I33" s="77" t="s">
        <v>9</v>
      </c>
      <c r="J33" s="78" t="s">
        <v>9</v>
      </c>
      <c r="K33" s="79" t="s">
        <v>9</v>
      </c>
      <c r="L33" s="76" t="s">
        <v>9</v>
      </c>
      <c r="M33" s="77" t="s">
        <v>9</v>
      </c>
      <c r="N33" s="76" t="s">
        <v>715</v>
      </c>
      <c r="O33" s="77" t="s">
        <v>457</v>
      </c>
      <c r="P33" s="76" t="s">
        <v>1110</v>
      </c>
      <c r="Q33" s="77" t="s">
        <v>1111</v>
      </c>
      <c r="R33" s="76" t="s">
        <v>9</v>
      </c>
      <c r="S33" s="80" t="s">
        <v>9</v>
      </c>
      <c r="T33" s="76" t="s">
        <v>9</v>
      </c>
      <c r="U33" s="77" t="s">
        <v>9</v>
      </c>
      <c r="V33" s="76" t="s">
        <v>9</v>
      </c>
      <c r="W33" s="80" t="s">
        <v>9</v>
      </c>
      <c r="X33" s="76" t="s">
        <v>9</v>
      </c>
      <c r="Y33" s="80" t="s">
        <v>9</v>
      </c>
      <c r="Z33" s="76" t="s">
        <v>9</v>
      </c>
      <c r="AA33" s="79" t="s">
        <v>9</v>
      </c>
      <c r="AB33" s="96" t="s">
        <v>9</v>
      </c>
      <c r="AC33" s="80" t="s">
        <v>9</v>
      </c>
      <c r="AD33" s="96" t="s">
        <v>9</v>
      </c>
      <c r="AE33" s="80" t="s">
        <v>9</v>
      </c>
      <c r="AF33" s="78" t="s">
        <v>9</v>
      </c>
      <c r="AG33" s="80" t="s">
        <v>9</v>
      </c>
      <c r="AH33" s="78" t="s">
        <v>9</v>
      </c>
      <c r="AI33" s="80" t="s">
        <v>9</v>
      </c>
      <c r="AJ33" s="78" t="s">
        <v>9</v>
      </c>
      <c r="AK33" s="80" t="s">
        <v>9</v>
      </c>
      <c r="AL33" s="78" t="s">
        <v>9</v>
      </c>
      <c r="AM33" s="80" t="s">
        <v>9</v>
      </c>
      <c r="AN33" s="78" t="s">
        <v>9</v>
      </c>
      <c r="AO33" s="80" t="s">
        <v>9</v>
      </c>
      <c r="AP33" s="78" t="s">
        <v>9</v>
      </c>
      <c r="AQ33" s="80" t="s">
        <v>9</v>
      </c>
      <c r="AR33" s="78" t="s">
        <v>9</v>
      </c>
      <c r="AS33" s="77" t="s">
        <v>9</v>
      </c>
      <c r="AT33" s="78" t="s">
        <v>9</v>
      </c>
      <c r="AU33" s="77" t="s">
        <v>9</v>
      </c>
      <c r="AV33" s="78" t="s">
        <v>9</v>
      </c>
      <c r="AW33" s="79" t="s">
        <v>9</v>
      </c>
      <c r="AX33" s="96" t="s">
        <v>236</v>
      </c>
      <c r="AY33" s="77" t="s">
        <v>1123</v>
      </c>
      <c r="AZ33" s="96" t="s">
        <v>237</v>
      </c>
      <c r="BA33" s="77" t="s">
        <v>1124</v>
      </c>
      <c r="BB33" s="96" t="s">
        <v>716</v>
      </c>
      <c r="BC33" s="77" t="s">
        <v>1125</v>
      </c>
    </row>
    <row r="34" spans="1:55" ht="7.5" customHeight="1" x14ac:dyDescent="0.25">
      <c r="A34" s="69">
        <v>33</v>
      </c>
      <c r="B34" s="91" t="s">
        <v>1404</v>
      </c>
      <c r="C34" s="71" t="s">
        <v>2155</v>
      </c>
      <c r="D34" s="72" t="s">
        <v>124</v>
      </c>
      <c r="E34" s="88" t="s">
        <v>1426</v>
      </c>
      <c r="F34" s="74" t="s">
        <v>104</v>
      </c>
      <c r="G34" s="75" t="s">
        <v>1398</v>
      </c>
      <c r="H34" s="76" t="s">
        <v>104</v>
      </c>
      <c r="I34" s="77" t="s">
        <v>1399</v>
      </c>
      <c r="J34" s="78" t="s">
        <v>9</v>
      </c>
      <c r="K34" s="79" t="s">
        <v>9</v>
      </c>
      <c r="L34" s="76" t="s">
        <v>9</v>
      </c>
      <c r="M34" s="77" t="s">
        <v>9</v>
      </c>
      <c r="N34" s="76" t="s">
        <v>715</v>
      </c>
      <c r="O34" s="77" t="s">
        <v>1400</v>
      </c>
      <c r="P34" s="76" t="s">
        <v>1110</v>
      </c>
      <c r="Q34" s="77" t="s">
        <v>1111</v>
      </c>
      <c r="R34" s="76" t="s">
        <v>9</v>
      </c>
      <c r="S34" s="80" t="s">
        <v>9</v>
      </c>
      <c r="T34" s="76" t="s">
        <v>9</v>
      </c>
      <c r="U34" s="77" t="s">
        <v>9</v>
      </c>
      <c r="V34" s="76" t="s">
        <v>9</v>
      </c>
      <c r="W34" s="80" t="s">
        <v>9</v>
      </c>
      <c r="X34" s="76" t="s">
        <v>9</v>
      </c>
      <c r="Y34" s="80" t="s">
        <v>9</v>
      </c>
      <c r="Z34" s="76" t="s">
        <v>9</v>
      </c>
      <c r="AA34" s="79" t="s">
        <v>9</v>
      </c>
      <c r="AB34" s="96" t="s">
        <v>9</v>
      </c>
      <c r="AC34" s="80" t="s">
        <v>9</v>
      </c>
      <c r="AD34" s="96" t="s">
        <v>9</v>
      </c>
      <c r="AE34" s="80" t="s">
        <v>9</v>
      </c>
      <c r="AF34" s="78" t="s">
        <v>9</v>
      </c>
      <c r="AG34" s="80" t="s">
        <v>9</v>
      </c>
      <c r="AH34" s="78" t="s">
        <v>9</v>
      </c>
      <c r="AI34" s="80" t="s">
        <v>9</v>
      </c>
      <c r="AJ34" s="78" t="s">
        <v>9</v>
      </c>
      <c r="AK34" s="80" t="s">
        <v>9</v>
      </c>
      <c r="AL34" s="78" t="s">
        <v>9</v>
      </c>
      <c r="AM34" s="80" t="s">
        <v>9</v>
      </c>
      <c r="AN34" s="78" t="s">
        <v>9</v>
      </c>
      <c r="AO34" s="80" t="s">
        <v>9</v>
      </c>
      <c r="AP34" s="78" t="s">
        <v>9</v>
      </c>
      <c r="AQ34" s="80" t="s">
        <v>9</v>
      </c>
      <c r="AR34" s="78" t="s">
        <v>9</v>
      </c>
      <c r="AS34" s="77" t="s">
        <v>9</v>
      </c>
      <c r="AT34" s="78" t="s">
        <v>9</v>
      </c>
      <c r="AU34" s="77" t="s">
        <v>9</v>
      </c>
      <c r="AV34" s="78" t="s">
        <v>9</v>
      </c>
      <c r="AW34" s="79" t="s">
        <v>9</v>
      </c>
      <c r="AX34" s="96" t="s">
        <v>236</v>
      </c>
      <c r="AY34" s="77" t="s">
        <v>1401</v>
      </c>
      <c r="AZ34" s="96" t="s">
        <v>237</v>
      </c>
      <c r="BA34" s="77" t="s">
        <v>1402</v>
      </c>
      <c r="BB34" s="96" t="s">
        <v>716</v>
      </c>
      <c r="BC34" s="77" t="s">
        <v>1403</v>
      </c>
    </row>
    <row r="35" spans="1:55" ht="7.5" customHeight="1" x14ac:dyDescent="0.25">
      <c r="A35" s="69">
        <v>34</v>
      </c>
      <c r="B35" s="91" t="s">
        <v>1405</v>
      </c>
      <c r="C35" s="71" t="s">
        <v>2155</v>
      </c>
      <c r="D35" s="72" t="s">
        <v>124</v>
      </c>
      <c r="E35" s="88" t="s">
        <v>1426</v>
      </c>
      <c r="F35" s="74" t="s">
        <v>104</v>
      </c>
      <c r="G35" s="75" t="s">
        <v>1398</v>
      </c>
      <c r="H35" s="76" t="s">
        <v>104</v>
      </c>
      <c r="I35" s="77" t="s">
        <v>1399</v>
      </c>
      <c r="J35" s="78" t="s">
        <v>9</v>
      </c>
      <c r="K35" s="79" t="s">
        <v>9</v>
      </c>
      <c r="L35" s="76" t="s">
        <v>9</v>
      </c>
      <c r="M35" s="77" t="s">
        <v>9</v>
      </c>
      <c r="N35" s="76" t="s">
        <v>715</v>
      </c>
      <c r="O35" s="77" t="s">
        <v>1400</v>
      </c>
      <c r="P35" s="76" t="s">
        <v>1110</v>
      </c>
      <c r="Q35" s="77" t="s">
        <v>1111</v>
      </c>
      <c r="R35" s="76" t="s">
        <v>9</v>
      </c>
      <c r="S35" s="80" t="s">
        <v>9</v>
      </c>
      <c r="T35" s="76" t="s">
        <v>9</v>
      </c>
      <c r="U35" s="77" t="s">
        <v>9</v>
      </c>
      <c r="V35" s="76" t="s">
        <v>9</v>
      </c>
      <c r="W35" s="80" t="s">
        <v>9</v>
      </c>
      <c r="X35" s="76" t="s">
        <v>9</v>
      </c>
      <c r="Y35" s="80" t="s">
        <v>9</v>
      </c>
      <c r="Z35" s="76" t="s">
        <v>9</v>
      </c>
      <c r="AA35" s="79" t="s">
        <v>9</v>
      </c>
      <c r="AB35" s="96" t="s">
        <v>9</v>
      </c>
      <c r="AC35" s="80" t="s">
        <v>9</v>
      </c>
      <c r="AD35" s="96" t="s">
        <v>9</v>
      </c>
      <c r="AE35" s="80" t="s">
        <v>9</v>
      </c>
      <c r="AF35" s="78" t="s">
        <v>9</v>
      </c>
      <c r="AG35" s="80" t="s">
        <v>9</v>
      </c>
      <c r="AH35" s="78" t="s">
        <v>9</v>
      </c>
      <c r="AI35" s="80" t="s">
        <v>9</v>
      </c>
      <c r="AJ35" s="78" t="s">
        <v>9</v>
      </c>
      <c r="AK35" s="80" t="s">
        <v>9</v>
      </c>
      <c r="AL35" s="78" t="s">
        <v>9</v>
      </c>
      <c r="AM35" s="80" t="s">
        <v>9</v>
      </c>
      <c r="AN35" s="78" t="s">
        <v>9</v>
      </c>
      <c r="AO35" s="80" t="s">
        <v>9</v>
      </c>
      <c r="AP35" s="78" t="s">
        <v>9</v>
      </c>
      <c r="AQ35" s="80" t="s">
        <v>9</v>
      </c>
      <c r="AR35" s="78" t="s">
        <v>9</v>
      </c>
      <c r="AS35" s="77" t="s">
        <v>9</v>
      </c>
      <c r="AT35" s="78" t="s">
        <v>9</v>
      </c>
      <c r="AU35" s="77" t="s">
        <v>9</v>
      </c>
      <c r="AV35" s="78" t="s">
        <v>9</v>
      </c>
      <c r="AW35" s="79" t="s">
        <v>9</v>
      </c>
      <c r="AX35" s="96" t="s">
        <v>236</v>
      </c>
      <c r="AY35" s="77" t="s">
        <v>1401</v>
      </c>
      <c r="AZ35" s="96" t="s">
        <v>237</v>
      </c>
      <c r="BA35" s="77" t="s">
        <v>1402</v>
      </c>
      <c r="BB35" s="96" t="s">
        <v>716</v>
      </c>
      <c r="BC35" s="77" t="s">
        <v>1403</v>
      </c>
    </row>
    <row r="36" spans="1:55" ht="7.5" customHeight="1" x14ac:dyDescent="0.25">
      <c r="A36" s="69">
        <v>35</v>
      </c>
      <c r="B36" s="91" t="s">
        <v>1406</v>
      </c>
      <c r="C36" s="71" t="s">
        <v>2155</v>
      </c>
      <c r="D36" s="72" t="s">
        <v>124</v>
      </c>
      <c r="E36" s="88" t="s">
        <v>1426</v>
      </c>
      <c r="F36" s="74" t="s">
        <v>104</v>
      </c>
      <c r="G36" s="75" t="s">
        <v>1398</v>
      </c>
      <c r="H36" s="76" t="s">
        <v>104</v>
      </c>
      <c r="I36" s="77" t="s">
        <v>1399</v>
      </c>
      <c r="J36" s="78" t="s">
        <v>9</v>
      </c>
      <c r="K36" s="79" t="s">
        <v>9</v>
      </c>
      <c r="L36" s="76" t="s">
        <v>9</v>
      </c>
      <c r="M36" s="77" t="s">
        <v>9</v>
      </c>
      <c r="N36" s="76" t="s">
        <v>715</v>
      </c>
      <c r="O36" s="77" t="s">
        <v>1400</v>
      </c>
      <c r="P36" s="76" t="s">
        <v>1110</v>
      </c>
      <c r="Q36" s="77" t="s">
        <v>1111</v>
      </c>
      <c r="R36" s="76" t="s">
        <v>9</v>
      </c>
      <c r="S36" s="80" t="s">
        <v>9</v>
      </c>
      <c r="T36" s="76" t="s">
        <v>9</v>
      </c>
      <c r="U36" s="77" t="s">
        <v>9</v>
      </c>
      <c r="V36" s="76" t="s">
        <v>9</v>
      </c>
      <c r="W36" s="80" t="s">
        <v>9</v>
      </c>
      <c r="X36" s="76" t="s">
        <v>9</v>
      </c>
      <c r="Y36" s="80" t="s">
        <v>9</v>
      </c>
      <c r="Z36" s="76" t="s">
        <v>9</v>
      </c>
      <c r="AA36" s="79" t="s">
        <v>9</v>
      </c>
      <c r="AB36" s="96" t="s">
        <v>9</v>
      </c>
      <c r="AC36" s="80" t="s">
        <v>9</v>
      </c>
      <c r="AD36" s="96" t="s">
        <v>9</v>
      </c>
      <c r="AE36" s="80" t="s">
        <v>9</v>
      </c>
      <c r="AF36" s="78" t="s">
        <v>9</v>
      </c>
      <c r="AG36" s="80" t="s">
        <v>9</v>
      </c>
      <c r="AH36" s="78" t="s">
        <v>9</v>
      </c>
      <c r="AI36" s="80" t="s">
        <v>9</v>
      </c>
      <c r="AJ36" s="78" t="s">
        <v>9</v>
      </c>
      <c r="AK36" s="80" t="s">
        <v>9</v>
      </c>
      <c r="AL36" s="78" t="s">
        <v>9</v>
      </c>
      <c r="AM36" s="80" t="s">
        <v>9</v>
      </c>
      <c r="AN36" s="78" t="s">
        <v>9</v>
      </c>
      <c r="AO36" s="80" t="s">
        <v>9</v>
      </c>
      <c r="AP36" s="78" t="s">
        <v>9</v>
      </c>
      <c r="AQ36" s="80" t="s">
        <v>9</v>
      </c>
      <c r="AR36" s="78" t="s">
        <v>9</v>
      </c>
      <c r="AS36" s="77" t="s">
        <v>9</v>
      </c>
      <c r="AT36" s="78" t="s">
        <v>9</v>
      </c>
      <c r="AU36" s="77" t="s">
        <v>9</v>
      </c>
      <c r="AV36" s="78" t="s">
        <v>9</v>
      </c>
      <c r="AW36" s="79" t="s">
        <v>9</v>
      </c>
      <c r="AX36" s="96" t="s">
        <v>236</v>
      </c>
      <c r="AY36" s="77" t="s">
        <v>1401</v>
      </c>
      <c r="AZ36" s="96" t="s">
        <v>237</v>
      </c>
      <c r="BA36" s="77" t="s">
        <v>1402</v>
      </c>
      <c r="BB36" s="96" t="s">
        <v>716</v>
      </c>
      <c r="BC36" s="77" t="s">
        <v>1403</v>
      </c>
    </row>
    <row r="37" spans="1:55" ht="7.5" customHeight="1" x14ac:dyDescent="0.25">
      <c r="A37" s="69">
        <v>36</v>
      </c>
      <c r="B37" s="91" t="s">
        <v>1407</v>
      </c>
      <c r="C37" s="71" t="s">
        <v>2155</v>
      </c>
      <c r="D37" s="72" t="s">
        <v>124</v>
      </c>
      <c r="E37" s="88" t="s">
        <v>1426</v>
      </c>
      <c r="F37" s="74" t="s">
        <v>104</v>
      </c>
      <c r="G37" s="75" t="s">
        <v>1398</v>
      </c>
      <c r="H37" s="76" t="s">
        <v>104</v>
      </c>
      <c r="I37" s="77" t="s">
        <v>1399</v>
      </c>
      <c r="J37" s="78" t="s">
        <v>9</v>
      </c>
      <c r="K37" s="79" t="s">
        <v>9</v>
      </c>
      <c r="L37" s="76" t="s">
        <v>9</v>
      </c>
      <c r="M37" s="77" t="s">
        <v>9</v>
      </c>
      <c r="N37" s="76" t="s">
        <v>715</v>
      </c>
      <c r="O37" s="77" t="s">
        <v>1400</v>
      </c>
      <c r="P37" s="76" t="s">
        <v>1110</v>
      </c>
      <c r="Q37" s="77" t="s">
        <v>1111</v>
      </c>
      <c r="R37" s="76" t="s">
        <v>9</v>
      </c>
      <c r="S37" s="80" t="s">
        <v>9</v>
      </c>
      <c r="T37" s="76" t="s">
        <v>9</v>
      </c>
      <c r="U37" s="77" t="s">
        <v>9</v>
      </c>
      <c r="V37" s="76" t="s">
        <v>9</v>
      </c>
      <c r="W37" s="80" t="s">
        <v>9</v>
      </c>
      <c r="X37" s="76" t="s">
        <v>9</v>
      </c>
      <c r="Y37" s="80" t="s">
        <v>9</v>
      </c>
      <c r="Z37" s="76" t="s">
        <v>9</v>
      </c>
      <c r="AA37" s="79" t="s">
        <v>9</v>
      </c>
      <c r="AB37" s="96" t="s">
        <v>9</v>
      </c>
      <c r="AC37" s="80" t="s">
        <v>9</v>
      </c>
      <c r="AD37" s="96" t="s">
        <v>9</v>
      </c>
      <c r="AE37" s="80" t="s">
        <v>9</v>
      </c>
      <c r="AF37" s="78" t="s">
        <v>9</v>
      </c>
      <c r="AG37" s="80" t="s">
        <v>9</v>
      </c>
      <c r="AH37" s="78" t="s">
        <v>9</v>
      </c>
      <c r="AI37" s="80" t="s">
        <v>9</v>
      </c>
      <c r="AJ37" s="78" t="s">
        <v>9</v>
      </c>
      <c r="AK37" s="80" t="s">
        <v>9</v>
      </c>
      <c r="AL37" s="78" t="s">
        <v>9</v>
      </c>
      <c r="AM37" s="80" t="s">
        <v>9</v>
      </c>
      <c r="AN37" s="78" t="s">
        <v>9</v>
      </c>
      <c r="AO37" s="80" t="s">
        <v>9</v>
      </c>
      <c r="AP37" s="78" t="s">
        <v>9</v>
      </c>
      <c r="AQ37" s="80" t="s">
        <v>9</v>
      </c>
      <c r="AR37" s="78" t="s">
        <v>9</v>
      </c>
      <c r="AS37" s="77" t="s">
        <v>9</v>
      </c>
      <c r="AT37" s="78" t="s">
        <v>9</v>
      </c>
      <c r="AU37" s="77" t="s">
        <v>9</v>
      </c>
      <c r="AV37" s="78" t="s">
        <v>9</v>
      </c>
      <c r="AW37" s="79" t="s">
        <v>9</v>
      </c>
      <c r="AX37" s="96" t="s">
        <v>236</v>
      </c>
      <c r="AY37" s="77" t="s">
        <v>1401</v>
      </c>
      <c r="AZ37" s="96" t="s">
        <v>237</v>
      </c>
      <c r="BA37" s="77" t="s">
        <v>1402</v>
      </c>
      <c r="BB37" s="96" t="s">
        <v>716</v>
      </c>
      <c r="BC37" s="77" t="s">
        <v>1403</v>
      </c>
    </row>
    <row r="38" spans="1:55" ht="7.5" customHeight="1" x14ac:dyDescent="0.25">
      <c r="A38" s="69">
        <v>37</v>
      </c>
      <c r="B38" s="91" t="s">
        <v>1408</v>
      </c>
      <c r="C38" s="71" t="s">
        <v>2155</v>
      </c>
      <c r="D38" s="72" t="s">
        <v>124</v>
      </c>
      <c r="E38" s="88" t="s">
        <v>1426</v>
      </c>
      <c r="F38" s="74" t="s">
        <v>104</v>
      </c>
      <c r="G38" s="75" t="s">
        <v>1398</v>
      </c>
      <c r="H38" s="76" t="s">
        <v>104</v>
      </c>
      <c r="I38" s="77" t="s">
        <v>1399</v>
      </c>
      <c r="J38" s="78" t="s">
        <v>9</v>
      </c>
      <c r="K38" s="79" t="s">
        <v>9</v>
      </c>
      <c r="L38" s="76" t="s">
        <v>9</v>
      </c>
      <c r="M38" s="77" t="s">
        <v>9</v>
      </c>
      <c r="N38" s="76" t="s">
        <v>715</v>
      </c>
      <c r="O38" s="77" t="s">
        <v>1400</v>
      </c>
      <c r="P38" s="76" t="s">
        <v>1110</v>
      </c>
      <c r="Q38" s="77" t="s">
        <v>1111</v>
      </c>
      <c r="R38" s="76" t="s">
        <v>9</v>
      </c>
      <c r="S38" s="80" t="s">
        <v>9</v>
      </c>
      <c r="T38" s="76" t="s">
        <v>9</v>
      </c>
      <c r="U38" s="77" t="s">
        <v>9</v>
      </c>
      <c r="V38" s="76" t="s">
        <v>9</v>
      </c>
      <c r="W38" s="80" t="s">
        <v>9</v>
      </c>
      <c r="X38" s="76" t="s">
        <v>9</v>
      </c>
      <c r="Y38" s="80" t="s">
        <v>9</v>
      </c>
      <c r="Z38" s="76" t="s">
        <v>9</v>
      </c>
      <c r="AA38" s="79" t="s">
        <v>9</v>
      </c>
      <c r="AB38" s="96" t="s">
        <v>9</v>
      </c>
      <c r="AC38" s="80" t="s">
        <v>9</v>
      </c>
      <c r="AD38" s="96" t="s">
        <v>9</v>
      </c>
      <c r="AE38" s="80" t="s">
        <v>9</v>
      </c>
      <c r="AF38" s="78" t="s">
        <v>9</v>
      </c>
      <c r="AG38" s="80" t="s">
        <v>9</v>
      </c>
      <c r="AH38" s="78" t="s">
        <v>9</v>
      </c>
      <c r="AI38" s="80" t="s">
        <v>9</v>
      </c>
      <c r="AJ38" s="78" t="s">
        <v>9</v>
      </c>
      <c r="AK38" s="80" t="s">
        <v>9</v>
      </c>
      <c r="AL38" s="78" t="s">
        <v>9</v>
      </c>
      <c r="AM38" s="80" t="s">
        <v>9</v>
      </c>
      <c r="AN38" s="78" t="s">
        <v>9</v>
      </c>
      <c r="AO38" s="80" t="s">
        <v>9</v>
      </c>
      <c r="AP38" s="78" t="s">
        <v>9</v>
      </c>
      <c r="AQ38" s="80" t="s">
        <v>9</v>
      </c>
      <c r="AR38" s="78" t="s">
        <v>9</v>
      </c>
      <c r="AS38" s="77" t="s">
        <v>9</v>
      </c>
      <c r="AT38" s="78" t="s">
        <v>9</v>
      </c>
      <c r="AU38" s="77" t="s">
        <v>9</v>
      </c>
      <c r="AV38" s="78" t="s">
        <v>9</v>
      </c>
      <c r="AW38" s="79" t="s">
        <v>9</v>
      </c>
      <c r="AX38" s="96" t="s">
        <v>236</v>
      </c>
      <c r="AY38" s="77" t="s">
        <v>1401</v>
      </c>
      <c r="AZ38" s="96" t="s">
        <v>237</v>
      </c>
      <c r="BA38" s="77" t="s">
        <v>1402</v>
      </c>
      <c r="BB38" s="96" t="s">
        <v>716</v>
      </c>
      <c r="BC38" s="77" t="s">
        <v>1403</v>
      </c>
    </row>
    <row r="39" spans="1:55" ht="7.5" customHeight="1" x14ac:dyDescent="0.25">
      <c r="A39" s="69">
        <v>38</v>
      </c>
      <c r="B39" s="91" t="s">
        <v>1409</v>
      </c>
      <c r="C39" s="71" t="s">
        <v>2155</v>
      </c>
      <c r="D39" s="72" t="s">
        <v>124</v>
      </c>
      <c r="E39" s="88" t="s">
        <v>1426</v>
      </c>
      <c r="F39" s="74" t="s">
        <v>104</v>
      </c>
      <c r="G39" s="75" t="s">
        <v>1398</v>
      </c>
      <c r="H39" s="76" t="s">
        <v>104</v>
      </c>
      <c r="I39" s="77" t="s">
        <v>1399</v>
      </c>
      <c r="J39" s="78" t="s">
        <v>9</v>
      </c>
      <c r="K39" s="79" t="s">
        <v>9</v>
      </c>
      <c r="L39" s="76" t="s">
        <v>9</v>
      </c>
      <c r="M39" s="77" t="s">
        <v>9</v>
      </c>
      <c r="N39" s="76" t="s">
        <v>715</v>
      </c>
      <c r="O39" s="77" t="s">
        <v>1400</v>
      </c>
      <c r="P39" s="76" t="s">
        <v>1110</v>
      </c>
      <c r="Q39" s="77" t="s">
        <v>1111</v>
      </c>
      <c r="R39" s="76" t="s">
        <v>9</v>
      </c>
      <c r="S39" s="80" t="s">
        <v>9</v>
      </c>
      <c r="T39" s="76" t="s">
        <v>9</v>
      </c>
      <c r="U39" s="77" t="s">
        <v>9</v>
      </c>
      <c r="V39" s="76" t="s">
        <v>9</v>
      </c>
      <c r="W39" s="80" t="s">
        <v>9</v>
      </c>
      <c r="X39" s="76" t="s">
        <v>9</v>
      </c>
      <c r="Y39" s="80" t="s">
        <v>9</v>
      </c>
      <c r="Z39" s="76" t="s">
        <v>9</v>
      </c>
      <c r="AA39" s="79" t="s">
        <v>9</v>
      </c>
      <c r="AB39" s="96" t="s">
        <v>9</v>
      </c>
      <c r="AC39" s="80" t="s">
        <v>9</v>
      </c>
      <c r="AD39" s="96" t="s">
        <v>9</v>
      </c>
      <c r="AE39" s="80" t="s">
        <v>9</v>
      </c>
      <c r="AF39" s="78" t="s">
        <v>9</v>
      </c>
      <c r="AG39" s="80" t="s">
        <v>9</v>
      </c>
      <c r="AH39" s="78" t="s">
        <v>9</v>
      </c>
      <c r="AI39" s="80" t="s">
        <v>9</v>
      </c>
      <c r="AJ39" s="78" t="s">
        <v>9</v>
      </c>
      <c r="AK39" s="80" t="s">
        <v>9</v>
      </c>
      <c r="AL39" s="78" t="s">
        <v>9</v>
      </c>
      <c r="AM39" s="80" t="s">
        <v>9</v>
      </c>
      <c r="AN39" s="78" t="s">
        <v>9</v>
      </c>
      <c r="AO39" s="80" t="s">
        <v>9</v>
      </c>
      <c r="AP39" s="78" t="s">
        <v>9</v>
      </c>
      <c r="AQ39" s="80" t="s">
        <v>9</v>
      </c>
      <c r="AR39" s="78" t="s">
        <v>9</v>
      </c>
      <c r="AS39" s="77" t="s">
        <v>9</v>
      </c>
      <c r="AT39" s="78" t="s">
        <v>9</v>
      </c>
      <c r="AU39" s="77" t="s">
        <v>9</v>
      </c>
      <c r="AV39" s="78" t="s">
        <v>9</v>
      </c>
      <c r="AW39" s="79" t="s">
        <v>9</v>
      </c>
      <c r="AX39" s="96" t="s">
        <v>236</v>
      </c>
      <c r="AY39" s="77" t="s">
        <v>1401</v>
      </c>
      <c r="AZ39" s="96" t="s">
        <v>237</v>
      </c>
      <c r="BA39" s="77" t="s">
        <v>1402</v>
      </c>
      <c r="BB39" s="96" t="s">
        <v>716</v>
      </c>
      <c r="BC39" s="77" t="s">
        <v>1403</v>
      </c>
    </row>
    <row r="40" spans="1:55" ht="7.5" customHeight="1" x14ac:dyDescent="0.25">
      <c r="A40" s="69">
        <v>39</v>
      </c>
      <c r="B40" s="91" t="s">
        <v>1410</v>
      </c>
      <c r="C40" s="71" t="s">
        <v>2155</v>
      </c>
      <c r="D40" s="72" t="s">
        <v>124</v>
      </c>
      <c r="E40" s="88" t="s">
        <v>1426</v>
      </c>
      <c r="F40" s="74" t="s">
        <v>104</v>
      </c>
      <c r="G40" s="75" t="s">
        <v>1398</v>
      </c>
      <c r="H40" s="76" t="s">
        <v>104</v>
      </c>
      <c r="I40" s="77" t="s">
        <v>1399</v>
      </c>
      <c r="J40" s="78" t="s">
        <v>9</v>
      </c>
      <c r="K40" s="79" t="s">
        <v>9</v>
      </c>
      <c r="L40" s="76" t="s">
        <v>9</v>
      </c>
      <c r="M40" s="77" t="s">
        <v>9</v>
      </c>
      <c r="N40" s="76" t="s">
        <v>715</v>
      </c>
      <c r="O40" s="77" t="s">
        <v>1400</v>
      </c>
      <c r="P40" s="76" t="s">
        <v>1110</v>
      </c>
      <c r="Q40" s="77" t="s">
        <v>1111</v>
      </c>
      <c r="R40" s="76" t="s">
        <v>9</v>
      </c>
      <c r="S40" s="80" t="s">
        <v>9</v>
      </c>
      <c r="T40" s="76" t="s">
        <v>9</v>
      </c>
      <c r="U40" s="77" t="s">
        <v>9</v>
      </c>
      <c r="V40" s="76" t="s">
        <v>9</v>
      </c>
      <c r="W40" s="80" t="s">
        <v>9</v>
      </c>
      <c r="X40" s="76" t="s">
        <v>9</v>
      </c>
      <c r="Y40" s="80" t="s">
        <v>9</v>
      </c>
      <c r="Z40" s="76" t="s">
        <v>9</v>
      </c>
      <c r="AA40" s="79" t="s">
        <v>9</v>
      </c>
      <c r="AB40" s="96" t="s">
        <v>9</v>
      </c>
      <c r="AC40" s="80" t="s">
        <v>9</v>
      </c>
      <c r="AD40" s="96" t="s">
        <v>9</v>
      </c>
      <c r="AE40" s="80" t="s">
        <v>9</v>
      </c>
      <c r="AF40" s="78" t="s">
        <v>9</v>
      </c>
      <c r="AG40" s="80" t="s">
        <v>9</v>
      </c>
      <c r="AH40" s="78" t="s">
        <v>9</v>
      </c>
      <c r="AI40" s="80" t="s">
        <v>9</v>
      </c>
      <c r="AJ40" s="78" t="s">
        <v>9</v>
      </c>
      <c r="AK40" s="80" t="s">
        <v>9</v>
      </c>
      <c r="AL40" s="78" t="s">
        <v>9</v>
      </c>
      <c r="AM40" s="80" t="s">
        <v>9</v>
      </c>
      <c r="AN40" s="78" t="s">
        <v>9</v>
      </c>
      <c r="AO40" s="80" t="s">
        <v>9</v>
      </c>
      <c r="AP40" s="78" t="s">
        <v>9</v>
      </c>
      <c r="AQ40" s="80" t="s">
        <v>9</v>
      </c>
      <c r="AR40" s="78" t="s">
        <v>9</v>
      </c>
      <c r="AS40" s="77" t="s">
        <v>9</v>
      </c>
      <c r="AT40" s="78" t="s">
        <v>9</v>
      </c>
      <c r="AU40" s="77" t="s">
        <v>9</v>
      </c>
      <c r="AV40" s="78" t="s">
        <v>9</v>
      </c>
      <c r="AW40" s="79" t="s">
        <v>9</v>
      </c>
      <c r="AX40" s="96" t="s">
        <v>236</v>
      </c>
      <c r="AY40" s="77" t="s">
        <v>1401</v>
      </c>
      <c r="AZ40" s="96" t="s">
        <v>237</v>
      </c>
      <c r="BA40" s="77" t="s">
        <v>1402</v>
      </c>
      <c r="BB40" s="96" t="s">
        <v>716</v>
      </c>
      <c r="BC40" s="77" t="s">
        <v>1403</v>
      </c>
    </row>
    <row r="41" spans="1:55" ht="7.5" customHeight="1" x14ac:dyDescent="0.25">
      <c r="A41" s="69">
        <v>40</v>
      </c>
      <c r="B41" s="91" t="s">
        <v>1411</v>
      </c>
      <c r="C41" s="71" t="s">
        <v>2155</v>
      </c>
      <c r="D41" s="72" t="s">
        <v>124</v>
      </c>
      <c r="E41" s="88" t="s">
        <v>1427</v>
      </c>
      <c r="F41" s="74" t="s">
        <v>104</v>
      </c>
      <c r="G41" s="75" t="s">
        <v>1412</v>
      </c>
      <c r="H41" s="76" t="s">
        <v>104</v>
      </c>
      <c r="I41" s="77" t="s">
        <v>1399</v>
      </c>
      <c r="J41" s="78" t="s">
        <v>9</v>
      </c>
      <c r="K41" s="79" t="s">
        <v>9</v>
      </c>
      <c r="L41" s="76" t="s">
        <v>9</v>
      </c>
      <c r="M41" s="77" t="s">
        <v>9</v>
      </c>
      <c r="N41" s="76" t="s">
        <v>715</v>
      </c>
      <c r="O41" s="77" t="s">
        <v>1400</v>
      </c>
      <c r="P41" s="76" t="s">
        <v>1110</v>
      </c>
      <c r="Q41" s="77" t="s">
        <v>1111</v>
      </c>
      <c r="R41" s="76" t="s">
        <v>9</v>
      </c>
      <c r="S41" s="80" t="s">
        <v>9</v>
      </c>
      <c r="T41" s="76" t="s">
        <v>9</v>
      </c>
      <c r="U41" s="77" t="s">
        <v>9</v>
      </c>
      <c r="V41" s="76" t="s">
        <v>9</v>
      </c>
      <c r="W41" s="80" t="s">
        <v>9</v>
      </c>
      <c r="X41" s="76" t="s">
        <v>9</v>
      </c>
      <c r="Y41" s="80" t="s">
        <v>9</v>
      </c>
      <c r="Z41" s="76" t="s">
        <v>9</v>
      </c>
      <c r="AA41" s="79" t="s">
        <v>9</v>
      </c>
      <c r="AB41" s="96" t="s">
        <v>9</v>
      </c>
      <c r="AC41" s="80" t="s">
        <v>9</v>
      </c>
      <c r="AD41" s="96" t="s">
        <v>9</v>
      </c>
      <c r="AE41" s="80" t="s">
        <v>9</v>
      </c>
      <c r="AF41" s="78" t="s">
        <v>9</v>
      </c>
      <c r="AG41" s="80" t="s">
        <v>9</v>
      </c>
      <c r="AH41" s="78" t="s">
        <v>9</v>
      </c>
      <c r="AI41" s="80" t="s">
        <v>9</v>
      </c>
      <c r="AJ41" s="78" t="s">
        <v>9</v>
      </c>
      <c r="AK41" s="80" t="s">
        <v>9</v>
      </c>
      <c r="AL41" s="78" t="s">
        <v>9</v>
      </c>
      <c r="AM41" s="80" t="s">
        <v>9</v>
      </c>
      <c r="AN41" s="78" t="s">
        <v>9</v>
      </c>
      <c r="AO41" s="80" t="s">
        <v>9</v>
      </c>
      <c r="AP41" s="78" t="s">
        <v>9</v>
      </c>
      <c r="AQ41" s="80" t="s">
        <v>9</v>
      </c>
      <c r="AR41" s="78" t="s">
        <v>9</v>
      </c>
      <c r="AS41" s="77" t="s">
        <v>9</v>
      </c>
      <c r="AT41" s="78" t="s">
        <v>9</v>
      </c>
      <c r="AU41" s="77" t="s">
        <v>9</v>
      </c>
      <c r="AV41" s="78" t="s">
        <v>9</v>
      </c>
      <c r="AW41" s="79" t="s">
        <v>9</v>
      </c>
      <c r="AX41" s="96" t="s">
        <v>236</v>
      </c>
      <c r="AY41" s="77" t="s">
        <v>1401</v>
      </c>
      <c r="AZ41" s="96" t="s">
        <v>237</v>
      </c>
      <c r="BA41" s="77" t="s">
        <v>1402</v>
      </c>
      <c r="BB41" s="96" t="s">
        <v>716</v>
      </c>
      <c r="BC41" s="77" t="s">
        <v>1403</v>
      </c>
    </row>
    <row r="42" spans="1:55" ht="7.5" customHeight="1" x14ac:dyDescent="0.25">
      <c r="A42" s="69">
        <v>41</v>
      </c>
      <c r="B42" s="91" t="s">
        <v>1413</v>
      </c>
      <c r="C42" s="71" t="s">
        <v>2155</v>
      </c>
      <c r="D42" s="72" t="s">
        <v>124</v>
      </c>
      <c r="E42" s="88" t="s">
        <v>1427</v>
      </c>
      <c r="F42" s="74" t="s">
        <v>104</v>
      </c>
      <c r="G42" s="75" t="s">
        <v>1412</v>
      </c>
      <c r="H42" s="76" t="s">
        <v>104</v>
      </c>
      <c r="I42" s="77" t="s">
        <v>1399</v>
      </c>
      <c r="J42" s="78" t="s">
        <v>9</v>
      </c>
      <c r="K42" s="79" t="s">
        <v>9</v>
      </c>
      <c r="L42" s="76" t="s">
        <v>9</v>
      </c>
      <c r="M42" s="77" t="s">
        <v>9</v>
      </c>
      <c r="N42" s="76" t="s">
        <v>715</v>
      </c>
      <c r="O42" s="77" t="s">
        <v>1400</v>
      </c>
      <c r="P42" s="76" t="s">
        <v>1110</v>
      </c>
      <c r="Q42" s="77" t="s">
        <v>1111</v>
      </c>
      <c r="R42" s="76" t="s">
        <v>9</v>
      </c>
      <c r="S42" s="80" t="s">
        <v>9</v>
      </c>
      <c r="T42" s="76" t="s">
        <v>9</v>
      </c>
      <c r="U42" s="77" t="s">
        <v>9</v>
      </c>
      <c r="V42" s="76" t="s">
        <v>9</v>
      </c>
      <c r="W42" s="80" t="s">
        <v>9</v>
      </c>
      <c r="X42" s="76" t="s">
        <v>9</v>
      </c>
      <c r="Y42" s="80" t="s">
        <v>9</v>
      </c>
      <c r="Z42" s="76" t="s">
        <v>9</v>
      </c>
      <c r="AA42" s="79" t="s">
        <v>9</v>
      </c>
      <c r="AB42" s="96" t="s">
        <v>9</v>
      </c>
      <c r="AC42" s="80" t="s">
        <v>9</v>
      </c>
      <c r="AD42" s="96" t="s">
        <v>9</v>
      </c>
      <c r="AE42" s="80" t="s">
        <v>9</v>
      </c>
      <c r="AF42" s="78" t="s">
        <v>9</v>
      </c>
      <c r="AG42" s="80" t="s">
        <v>9</v>
      </c>
      <c r="AH42" s="78" t="s">
        <v>9</v>
      </c>
      <c r="AI42" s="80" t="s">
        <v>9</v>
      </c>
      <c r="AJ42" s="78" t="s">
        <v>9</v>
      </c>
      <c r="AK42" s="80" t="s">
        <v>9</v>
      </c>
      <c r="AL42" s="78" t="s">
        <v>9</v>
      </c>
      <c r="AM42" s="80" t="s">
        <v>9</v>
      </c>
      <c r="AN42" s="78" t="s">
        <v>9</v>
      </c>
      <c r="AO42" s="80" t="s">
        <v>9</v>
      </c>
      <c r="AP42" s="78" t="s">
        <v>9</v>
      </c>
      <c r="AQ42" s="80" t="s">
        <v>9</v>
      </c>
      <c r="AR42" s="78" t="s">
        <v>9</v>
      </c>
      <c r="AS42" s="77" t="s">
        <v>9</v>
      </c>
      <c r="AT42" s="78" t="s">
        <v>9</v>
      </c>
      <c r="AU42" s="77" t="s">
        <v>9</v>
      </c>
      <c r="AV42" s="78" t="s">
        <v>9</v>
      </c>
      <c r="AW42" s="79" t="s">
        <v>9</v>
      </c>
      <c r="AX42" s="96" t="s">
        <v>236</v>
      </c>
      <c r="AY42" s="77" t="s">
        <v>1401</v>
      </c>
      <c r="AZ42" s="96" t="s">
        <v>237</v>
      </c>
      <c r="BA42" s="77" t="s">
        <v>1402</v>
      </c>
      <c r="BB42" s="96" t="s">
        <v>716</v>
      </c>
      <c r="BC42" s="77" t="s">
        <v>1403</v>
      </c>
    </row>
    <row r="43" spans="1:55" ht="7.5" customHeight="1" x14ac:dyDescent="0.25">
      <c r="A43" s="69">
        <v>42</v>
      </c>
      <c r="B43" s="91" t="s">
        <v>1414</v>
      </c>
      <c r="C43" s="71" t="s">
        <v>2155</v>
      </c>
      <c r="D43" s="72" t="s">
        <v>124</v>
      </c>
      <c r="E43" s="88" t="s">
        <v>1427</v>
      </c>
      <c r="F43" s="74" t="s">
        <v>104</v>
      </c>
      <c r="G43" s="75" t="s">
        <v>1412</v>
      </c>
      <c r="H43" s="76" t="s">
        <v>104</v>
      </c>
      <c r="I43" s="77" t="s">
        <v>1399</v>
      </c>
      <c r="J43" s="78" t="s">
        <v>9</v>
      </c>
      <c r="K43" s="79" t="s">
        <v>9</v>
      </c>
      <c r="L43" s="76" t="s">
        <v>9</v>
      </c>
      <c r="M43" s="77" t="s">
        <v>9</v>
      </c>
      <c r="N43" s="76" t="s">
        <v>715</v>
      </c>
      <c r="O43" s="77" t="s">
        <v>1400</v>
      </c>
      <c r="P43" s="76" t="s">
        <v>1110</v>
      </c>
      <c r="Q43" s="77" t="s">
        <v>1111</v>
      </c>
      <c r="R43" s="76" t="s">
        <v>9</v>
      </c>
      <c r="S43" s="80" t="s">
        <v>9</v>
      </c>
      <c r="T43" s="76" t="s">
        <v>9</v>
      </c>
      <c r="U43" s="77" t="s">
        <v>9</v>
      </c>
      <c r="V43" s="76" t="s">
        <v>9</v>
      </c>
      <c r="W43" s="80" t="s">
        <v>9</v>
      </c>
      <c r="X43" s="76" t="s">
        <v>9</v>
      </c>
      <c r="Y43" s="80" t="s">
        <v>9</v>
      </c>
      <c r="Z43" s="76" t="s">
        <v>9</v>
      </c>
      <c r="AA43" s="79" t="s">
        <v>9</v>
      </c>
      <c r="AB43" s="96" t="s">
        <v>9</v>
      </c>
      <c r="AC43" s="80" t="s">
        <v>9</v>
      </c>
      <c r="AD43" s="96" t="s">
        <v>9</v>
      </c>
      <c r="AE43" s="80" t="s">
        <v>9</v>
      </c>
      <c r="AF43" s="78" t="s">
        <v>9</v>
      </c>
      <c r="AG43" s="80" t="s">
        <v>9</v>
      </c>
      <c r="AH43" s="78" t="s">
        <v>9</v>
      </c>
      <c r="AI43" s="80" t="s">
        <v>9</v>
      </c>
      <c r="AJ43" s="78" t="s">
        <v>9</v>
      </c>
      <c r="AK43" s="80" t="s">
        <v>9</v>
      </c>
      <c r="AL43" s="78" t="s">
        <v>9</v>
      </c>
      <c r="AM43" s="80" t="s">
        <v>9</v>
      </c>
      <c r="AN43" s="78" t="s">
        <v>9</v>
      </c>
      <c r="AO43" s="80" t="s">
        <v>9</v>
      </c>
      <c r="AP43" s="78" t="s">
        <v>9</v>
      </c>
      <c r="AQ43" s="80" t="s">
        <v>9</v>
      </c>
      <c r="AR43" s="78" t="s">
        <v>9</v>
      </c>
      <c r="AS43" s="77" t="s">
        <v>9</v>
      </c>
      <c r="AT43" s="78" t="s">
        <v>9</v>
      </c>
      <c r="AU43" s="77" t="s">
        <v>9</v>
      </c>
      <c r="AV43" s="78" t="s">
        <v>9</v>
      </c>
      <c r="AW43" s="79" t="s">
        <v>9</v>
      </c>
      <c r="AX43" s="96" t="s">
        <v>236</v>
      </c>
      <c r="AY43" s="77" t="s">
        <v>1401</v>
      </c>
      <c r="AZ43" s="96" t="s">
        <v>237</v>
      </c>
      <c r="BA43" s="77" t="s">
        <v>1402</v>
      </c>
      <c r="BB43" s="96" t="s">
        <v>716</v>
      </c>
      <c r="BC43" s="77" t="s">
        <v>1403</v>
      </c>
    </row>
    <row r="44" spans="1:55" ht="7.5" customHeight="1" x14ac:dyDescent="0.25">
      <c r="A44" s="69">
        <v>43</v>
      </c>
      <c r="B44" s="91" t="s">
        <v>1415</v>
      </c>
      <c r="C44" s="71" t="s">
        <v>2155</v>
      </c>
      <c r="D44" s="72" t="s">
        <v>124</v>
      </c>
      <c r="E44" s="88" t="s">
        <v>1427</v>
      </c>
      <c r="F44" s="74" t="s">
        <v>104</v>
      </c>
      <c r="G44" s="75" t="s">
        <v>1412</v>
      </c>
      <c r="H44" s="76" t="s">
        <v>104</v>
      </c>
      <c r="I44" s="77" t="s">
        <v>1399</v>
      </c>
      <c r="J44" s="78" t="s">
        <v>9</v>
      </c>
      <c r="K44" s="79" t="s">
        <v>9</v>
      </c>
      <c r="L44" s="76" t="s">
        <v>9</v>
      </c>
      <c r="M44" s="77" t="s">
        <v>9</v>
      </c>
      <c r="N44" s="76" t="s">
        <v>715</v>
      </c>
      <c r="O44" s="77" t="s">
        <v>1400</v>
      </c>
      <c r="P44" s="76" t="s">
        <v>1110</v>
      </c>
      <c r="Q44" s="77" t="s">
        <v>1111</v>
      </c>
      <c r="R44" s="76" t="s">
        <v>9</v>
      </c>
      <c r="S44" s="80" t="s">
        <v>9</v>
      </c>
      <c r="T44" s="76" t="s">
        <v>9</v>
      </c>
      <c r="U44" s="77" t="s">
        <v>9</v>
      </c>
      <c r="V44" s="76" t="s">
        <v>9</v>
      </c>
      <c r="W44" s="80" t="s">
        <v>9</v>
      </c>
      <c r="X44" s="76" t="s">
        <v>9</v>
      </c>
      <c r="Y44" s="80" t="s">
        <v>9</v>
      </c>
      <c r="Z44" s="76" t="s">
        <v>9</v>
      </c>
      <c r="AA44" s="79" t="s">
        <v>9</v>
      </c>
      <c r="AB44" s="96" t="s">
        <v>9</v>
      </c>
      <c r="AC44" s="80" t="s">
        <v>9</v>
      </c>
      <c r="AD44" s="96" t="s">
        <v>9</v>
      </c>
      <c r="AE44" s="80" t="s">
        <v>9</v>
      </c>
      <c r="AF44" s="78" t="s">
        <v>9</v>
      </c>
      <c r="AG44" s="80" t="s">
        <v>9</v>
      </c>
      <c r="AH44" s="78" t="s">
        <v>9</v>
      </c>
      <c r="AI44" s="80" t="s">
        <v>9</v>
      </c>
      <c r="AJ44" s="78" t="s">
        <v>9</v>
      </c>
      <c r="AK44" s="80" t="s">
        <v>9</v>
      </c>
      <c r="AL44" s="78" t="s">
        <v>9</v>
      </c>
      <c r="AM44" s="80" t="s">
        <v>9</v>
      </c>
      <c r="AN44" s="78" t="s">
        <v>9</v>
      </c>
      <c r="AO44" s="80" t="s">
        <v>9</v>
      </c>
      <c r="AP44" s="78" t="s">
        <v>9</v>
      </c>
      <c r="AQ44" s="80" t="s">
        <v>9</v>
      </c>
      <c r="AR44" s="78" t="s">
        <v>9</v>
      </c>
      <c r="AS44" s="77" t="s">
        <v>9</v>
      </c>
      <c r="AT44" s="78" t="s">
        <v>9</v>
      </c>
      <c r="AU44" s="77" t="s">
        <v>9</v>
      </c>
      <c r="AV44" s="78" t="s">
        <v>9</v>
      </c>
      <c r="AW44" s="79" t="s">
        <v>9</v>
      </c>
      <c r="AX44" s="96" t="s">
        <v>236</v>
      </c>
      <c r="AY44" s="77" t="s">
        <v>1401</v>
      </c>
      <c r="AZ44" s="96" t="s">
        <v>237</v>
      </c>
      <c r="BA44" s="77" t="s">
        <v>1402</v>
      </c>
      <c r="BB44" s="96" t="s">
        <v>716</v>
      </c>
      <c r="BC44" s="77" t="s">
        <v>1403</v>
      </c>
    </row>
    <row r="45" spans="1:55" ht="7.5" customHeight="1" x14ac:dyDescent="0.25">
      <c r="A45" s="69">
        <v>44</v>
      </c>
      <c r="B45" s="91" t="s">
        <v>1416</v>
      </c>
      <c r="C45" s="71" t="s">
        <v>2155</v>
      </c>
      <c r="D45" s="72" t="s">
        <v>124</v>
      </c>
      <c r="E45" s="88" t="s">
        <v>1427</v>
      </c>
      <c r="F45" s="74" t="s">
        <v>104</v>
      </c>
      <c r="G45" s="75" t="s">
        <v>1412</v>
      </c>
      <c r="H45" s="76" t="s">
        <v>104</v>
      </c>
      <c r="I45" s="77" t="s">
        <v>1399</v>
      </c>
      <c r="J45" s="78" t="s">
        <v>9</v>
      </c>
      <c r="K45" s="79" t="s">
        <v>9</v>
      </c>
      <c r="L45" s="76" t="s">
        <v>9</v>
      </c>
      <c r="M45" s="77" t="s">
        <v>9</v>
      </c>
      <c r="N45" s="76" t="s">
        <v>715</v>
      </c>
      <c r="O45" s="77" t="s">
        <v>1400</v>
      </c>
      <c r="P45" s="76" t="s">
        <v>1110</v>
      </c>
      <c r="Q45" s="77" t="s">
        <v>1111</v>
      </c>
      <c r="R45" s="76" t="s">
        <v>9</v>
      </c>
      <c r="S45" s="80" t="s">
        <v>9</v>
      </c>
      <c r="T45" s="76" t="s">
        <v>9</v>
      </c>
      <c r="U45" s="77" t="s">
        <v>9</v>
      </c>
      <c r="V45" s="76" t="s">
        <v>9</v>
      </c>
      <c r="W45" s="80" t="s">
        <v>9</v>
      </c>
      <c r="X45" s="76" t="s">
        <v>9</v>
      </c>
      <c r="Y45" s="80" t="s">
        <v>9</v>
      </c>
      <c r="Z45" s="76" t="s">
        <v>9</v>
      </c>
      <c r="AA45" s="79" t="s">
        <v>9</v>
      </c>
      <c r="AB45" s="96" t="s">
        <v>9</v>
      </c>
      <c r="AC45" s="80" t="s">
        <v>9</v>
      </c>
      <c r="AD45" s="96" t="s">
        <v>9</v>
      </c>
      <c r="AE45" s="80" t="s">
        <v>9</v>
      </c>
      <c r="AF45" s="78" t="s">
        <v>9</v>
      </c>
      <c r="AG45" s="80" t="s">
        <v>9</v>
      </c>
      <c r="AH45" s="78" t="s">
        <v>9</v>
      </c>
      <c r="AI45" s="80" t="s">
        <v>9</v>
      </c>
      <c r="AJ45" s="78" t="s">
        <v>9</v>
      </c>
      <c r="AK45" s="80" t="s">
        <v>9</v>
      </c>
      <c r="AL45" s="78" t="s">
        <v>9</v>
      </c>
      <c r="AM45" s="80" t="s">
        <v>9</v>
      </c>
      <c r="AN45" s="78" t="s">
        <v>9</v>
      </c>
      <c r="AO45" s="80" t="s">
        <v>9</v>
      </c>
      <c r="AP45" s="78" t="s">
        <v>9</v>
      </c>
      <c r="AQ45" s="80" t="s">
        <v>9</v>
      </c>
      <c r="AR45" s="78" t="s">
        <v>9</v>
      </c>
      <c r="AS45" s="77" t="s">
        <v>9</v>
      </c>
      <c r="AT45" s="78" t="s">
        <v>9</v>
      </c>
      <c r="AU45" s="77" t="s">
        <v>9</v>
      </c>
      <c r="AV45" s="78" t="s">
        <v>9</v>
      </c>
      <c r="AW45" s="79" t="s">
        <v>9</v>
      </c>
      <c r="AX45" s="96" t="s">
        <v>236</v>
      </c>
      <c r="AY45" s="77" t="s">
        <v>1401</v>
      </c>
      <c r="AZ45" s="96" t="s">
        <v>237</v>
      </c>
      <c r="BA45" s="77" t="s">
        <v>1402</v>
      </c>
      <c r="BB45" s="96" t="s">
        <v>716</v>
      </c>
      <c r="BC45" s="77" t="s">
        <v>1403</v>
      </c>
    </row>
    <row r="46" spans="1:55" ht="7.5" customHeight="1" x14ac:dyDescent="0.25">
      <c r="A46" s="69">
        <v>45</v>
      </c>
      <c r="B46" s="91" t="s">
        <v>1417</v>
      </c>
      <c r="C46" s="71" t="s">
        <v>2155</v>
      </c>
      <c r="D46" s="72" t="s">
        <v>124</v>
      </c>
      <c r="E46" s="88" t="s">
        <v>1427</v>
      </c>
      <c r="F46" s="74" t="s">
        <v>104</v>
      </c>
      <c r="G46" s="75" t="s">
        <v>1412</v>
      </c>
      <c r="H46" s="76" t="s">
        <v>104</v>
      </c>
      <c r="I46" s="77" t="s">
        <v>1399</v>
      </c>
      <c r="J46" s="78" t="s">
        <v>9</v>
      </c>
      <c r="K46" s="79" t="s">
        <v>9</v>
      </c>
      <c r="L46" s="76" t="s">
        <v>9</v>
      </c>
      <c r="M46" s="77" t="s">
        <v>9</v>
      </c>
      <c r="N46" s="76" t="s">
        <v>715</v>
      </c>
      <c r="O46" s="77" t="s">
        <v>1400</v>
      </c>
      <c r="P46" s="76" t="s">
        <v>1110</v>
      </c>
      <c r="Q46" s="77" t="s">
        <v>1111</v>
      </c>
      <c r="R46" s="76" t="s">
        <v>9</v>
      </c>
      <c r="S46" s="80" t="s">
        <v>9</v>
      </c>
      <c r="T46" s="76" t="s">
        <v>9</v>
      </c>
      <c r="U46" s="77" t="s">
        <v>9</v>
      </c>
      <c r="V46" s="76" t="s">
        <v>9</v>
      </c>
      <c r="W46" s="80" t="s">
        <v>9</v>
      </c>
      <c r="X46" s="76" t="s">
        <v>9</v>
      </c>
      <c r="Y46" s="80" t="s">
        <v>9</v>
      </c>
      <c r="Z46" s="76" t="s">
        <v>9</v>
      </c>
      <c r="AA46" s="79" t="s">
        <v>9</v>
      </c>
      <c r="AB46" s="96" t="s">
        <v>9</v>
      </c>
      <c r="AC46" s="80" t="s">
        <v>9</v>
      </c>
      <c r="AD46" s="96" t="s">
        <v>9</v>
      </c>
      <c r="AE46" s="80" t="s">
        <v>9</v>
      </c>
      <c r="AF46" s="78" t="s">
        <v>9</v>
      </c>
      <c r="AG46" s="80" t="s">
        <v>9</v>
      </c>
      <c r="AH46" s="78" t="s">
        <v>9</v>
      </c>
      <c r="AI46" s="80" t="s">
        <v>9</v>
      </c>
      <c r="AJ46" s="78" t="s">
        <v>9</v>
      </c>
      <c r="AK46" s="80" t="s">
        <v>9</v>
      </c>
      <c r="AL46" s="78" t="s">
        <v>9</v>
      </c>
      <c r="AM46" s="80" t="s">
        <v>9</v>
      </c>
      <c r="AN46" s="78" t="s">
        <v>9</v>
      </c>
      <c r="AO46" s="80" t="s">
        <v>9</v>
      </c>
      <c r="AP46" s="78" t="s">
        <v>9</v>
      </c>
      <c r="AQ46" s="80" t="s">
        <v>9</v>
      </c>
      <c r="AR46" s="78" t="s">
        <v>9</v>
      </c>
      <c r="AS46" s="77" t="s">
        <v>9</v>
      </c>
      <c r="AT46" s="78" t="s">
        <v>9</v>
      </c>
      <c r="AU46" s="77" t="s">
        <v>9</v>
      </c>
      <c r="AV46" s="78" t="s">
        <v>9</v>
      </c>
      <c r="AW46" s="79" t="s">
        <v>9</v>
      </c>
      <c r="AX46" s="96" t="s">
        <v>236</v>
      </c>
      <c r="AY46" s="77" t="s">
        <v>1401</v>
      </c>
      <c r="AZ46" s="96" t="s">
        <v>237</v>
      </c>
      <c r="BA46" s="77" t="s">
        <v>1402</v>
      </c>
      <c r="BB46" s="96" t="s">
        <v>716</v>
      </c>
      <c r="BC46" s="77" t="s">
        <v>1403</v>
      </c>
    </row>
    <row r="47" spans="1:55" ht="7.5" customHeight="1" x14ac:dyDescent="0.25">
      <c r="A47" s="69">
        <v>46</v>
      </c>
      <c r="B47" s="91" t="s">
        <v>1418</v>
      </c>
      <c r="C47" s="71" t="s">
        <v>2155</v>
      </c>
      <c r="D47" s="72" t="s">
        <v>124</v>
      </c>
      <c r="E47" s="88" t="s">
        <v>1427</v>
      </c>
      <c r="F47" s="74" t="s">
        <v>104</v>
      </c>
      <c r="G47" s="75" t="s">
        <v>1412</v>
      </c>
      <c r="H47" s="76" t="s">
        <v>104</v>
      </c>
      <c r="I47" s="77" t="s">
        <v>1399</v>
      </c>
      <c r="J47" s="78" t="s">
        <v>9</v>
      </c>
      <c r="K47" s="79" t="s">
        <v>9</v>
      </c>
      <c r="L47" s="76" t="s">
        <v>9</v>
      </c>
      <c r="M47" s="77" t="s">
        <v>9</v>
      </c>
      <c r="N47" s="76" t="s">
        <v>715</v>
      </c>
      <c r="O47" s="77" t="s">
        <v>1400</v>
      </c>
      <c r="P47" s="76" t="s">
        <v>1110</v>
      </c>
      <c r="Q47" s="77" t="s">
        <v>1111</v>
      </c>
      <c r="R47" s="76" t="s">
        <v>9</v>
      </c>
      <c r="S47" s="80" t="s">
        <v>9</v>
      </c>
      <c r="T47" s="76" t="s">
        <v>9</v>
      </c>
      <c r="U47" s="77" t="s">
        <v>9</v>
      </c>
      <c r="V47" s="76" t="s">
        <v>9</v>
      </c>
      <c r="W47" s="80" t="s">
        <v>9</v>
      </c>
      <c r="X47" s="76" t="s">
        <v>9</v>
      </c>
      <c r="Y47" s="80" t="s">
        <v>9</v>
      </c>
      <c r="Z47" s="76" t="s">
        <v>9</v>
      </c>
      <c r="AA47" s="79" t="s">
        <v>9</v>
      </c>
      <c r="AB47" s="96" t="s">
        <v>9</v>
      </c>
      <c r="AC47" s="80" t="s">
        <v>9</v>
      </c>
      <c r="AD47" s="96" t="s">
        <v>9</v>
      </c>
      <c r="AE47" s="80" t="s">
        <v>9</v>
      </c>
      <c r="AF47" s="78" t="s">
        <v>9</v>
      </c>
      <c r="AG47" s="80" t="s">
        <v>9</v>
      </c>
      <c r="AH47" s="78" t="s">
        <v>9</v>
      </c>
      <c r="AI47" s="80" t="s">
        <v>9</v>
      </c>
      <c r="AJ47" s="78" t="s">
        <v>9</v>
      </c>
      <c r="AK47" s="80" t="s">
        <v>9</v>
      </c>
      <c r="AL47" s="78" t="s">
        <v>9</v>
      </c>
      <c r="AM47" s="80" t="s">
        <v>9</v>
      </c>
      <c r="AN47" s="78" t="s">
        <v>9</v>
      </c>
      <c r="AO47" s="80" t="s">
        <v>9</v>
      </c>
      <c r="AP47" s="78" t="s">
        <v>9</v>
      </c>
      <c r="AQ47" s="80" t="s">
        <v>9</v>
      </c>
      <c r="AR47" s="78" t="s">
        <v>9</v>
      </c>
      <c r="AS47" s="77" t="s">
        <v>9</v>
      </c>
      <c r="AT47" s="78" t="s">
        <v>9</v>
      </c>
      <c r="AU47" s="77" t="s">
        <v>9</v>
      </c>
      <c r="AV47" s="78" t="s">
        <v>9</v>
      </c>
      <c r="AW47" s="79" t="s">
        <v>9</v>
      </c>
      <c r="AX47" s="96" t="s">
        <v>236</v>
      </c>
      <c r="AY47" s="77" t="s">
        <v>1401</v>
      </c>
      <c r="AZ47" s="96" t="s">
        <v>237</v>
      </c>
      <c r="BA47" s="77" t="s">
        <v>1402</v>
      </c>
      <c r="BB47" s="96" t="s">
        <v>716</v>
      </c>
      <c r="BC47" s="77" t="s">
        <v>1403</v>
      </c>
    </row>
    <row r="48" spans="1:55" ht="7.5" customHeight="1" x14ac:dyDescent="0.25">
      <c r="A48" s="69">
        <v>47</v>
      </c>
      <c r="B48" s="83" t="str">
        <f t="shared" ref="B48:B76" si="0">SUBSTITUTE(_xlfn.CONCAT("TU.PB.", K48,".", IF(S48&lt;100, _xlfn.CONCAT("00", S48), IF(S48&lt;1000, _xlfn.CONCAT("0", S48), S48))),"""","")</f>
        <v>TU.PB.K7.0080</v>
      </c>
      <c r="C48" s="84" t="s">
        <v>377</v>
      </c>
      <c r="D48" s="85" t="s">
        <v>124</v>
      </c>
      <c r="E48" s="87" t="s">
        <v>1431</v>
      </c>
      <c r="F48" s="81" t="s">
        <v>104</v>
      </c>
      <c r="G48" s="86" t="s">
        <v>118</v>
      </c>
      <c r="H48" s="78" t="s">
        <v>9</v>
      </c>
      <c r="I48" s="79" t="s">
        <v>9</v>
      </c>
      <c r="J48" s="78" t="s">
        <v>125</v>
      </c>
      <c r="K48" s="79" t="s">
        <v>424</v>
      </c>
      <c r="L48" s="78" t="s">
        <v>122</v>
      </c>
      <c r="M48" s="79" t="s">
        <v>123</v>
      </c>
      <c r="N48" s="81" t="s">
        <v>715</v>
      </c>
      <c r="O48" s="86" t="s">
        <v>117</v>
      </c>
      <c r="P48" s="76" t="s">
        <v>9</v>
      </c>
      <c r="Q48" s="77" t="s">
        <v>9</v>
      </c>
      <c r="R48" s="78" t="s">
        <v>98</v>
      </c>
      <c r="S48" s="94">
        <v>80</v>
      </c>
      <c r="T48" s="81" t="s">
        <v>9</v>
      </c>
      <c r="U48" s="86" t="s">
        <v>9</v>
      </c>
      <c r="V48" s="76" t="s">
        <v>9</v>
      </c>
      <c r="W48" s="80" t="s">
        <v>9</v>
      </c>
      <c r="X48" s="81" t="s">
        <v>235</v>
      </c>
      <c r="Y48" s="94">
        <v>6000</v>
      </c>
      <c r="Z48" s="76" t="s">
        <v>9</v>
      </c>
      <c r="AA48" s="79" t="s">
        <v>9</v>
      </c>
      <c r="AB48" s="81" t="s">
        <v>9</v>
      </c>
      <c r="AC48" s="82" t="s">
        <v>9</v>
      </c>
      <c r="AD48" s="81" t="s">
        <v>713</v>
      </c>
      <c r="AE48" s="82">
        <v>98</v>
      </c>
      <c r="AF48" s="81" t="s">
        <v>719</v>
      </c>
      <c r="AG48" s="82">
        <v>101</v>
      </c>
      <c r="AH48" s="81" t="s">
        <v>718</v>
      </c>
      <c r="AI48" s="82" t="s">
        <v>230</v>
      </c>
      <c r="AJ48" s="81" t="s">
        <v>100</v>
      </c>
      <c r="AK48" s="82" t="s">
        <v>225</v>
      </c>
      <c r="AL48" s="81" t="s">
        <v>96</v>
      </c>
      <c r="AM48" s="82">
        <v>6</v>
      </c>
      <c r="AN48" s="81" t="s">
        <v>97</v>
      </c>
      <c r="AO48" s="82" t="s">
        <v>174</v>
      </c>
      <c r="AP48" s="81" t="s">
        <v>109</v>
      </c>
      <c r="AQ48" s="82">
        <v>87</v>
      </c>
      <c r="AR48" s="81" t="s">
        <v>715</v>
      </c>
      <c r="AS48" s="95" t="s">
        <v>117</v>
      </c>
      <c r="AT48" s="81" t="s">
        <v>102</v>
      </c>
      <c r="AU48" s="77" t="s">
        <v>121</v>
      </c>
      <c r="AV48" s="78" t="s">
        <v>9</v>
      </c>
      <c r="AW48" s="79" t="s">
        <v>9</v>
      </c>
      <c r="AX48" s="78" t="s">
        <v>236</v>
      </c>
      <c r="AY48" s="86" t="s">
        <v>720</v>
      </c>
      <c r="AZ48" s="78" t="s">
        <v>237</v>
      </c>
      <c r="BA48" s="79" t="s">
        <v>722</v>
      </c>
      <c r="BB48" s="78" t="s">
        <v>716</v>
      </c>
      <c r="BC48" s="77" t="s">
        <v>717</v>
      </c>
    </row>
    <row r="49" spans="1:55" ht="7.5" customHeight="1" x14ac:dyDescent="0.25">
      <c r="A49" s="69">
        <v>48</v>
      </c>
      <c r="B49" s="83" t="str">
        <f t="shared" si="0"/>
        <v>TU.PB.K7.0100</v>
      </c>
      <c r="C49" s="84" t="s">
        <v>377</v>
      </c>
      <c r="D49" s="85" t="s">
        <v>124</v>
      </c>
      <c r="E49" s="87" t="s">
        <v>1431</v>
      </c>
      <c r="F49" s="81" t="s">
        <v>104</v>
      </c>
      <c r="G49" s="86" t="s">
        <v>118</v>
      </c>
      <c r="H49" s="78" t="s">
        <v>9</v>
      </c>
      <c r="I49" s="79" t="s">
        <v>9</v>
      </c>
      <c r="J49" s="78" t="s">
        <v>125</v>
      </c>
      <c r="K49" s="79" t="s">
        <v>424</v>
      </c>
      <c r="L49" s="78" t="s">
        <v>122</v>
      </c>
      <c r="M49" s="79" t="s">
        <v>123</v>
      </c>
      <c r="N49" s="81" t="s">
        <v>715</v>
      </c>
      <c r="O49" s="86" t="s">
        <v>117</v>
      </c>
      <c r="P49" s="76" t="s">
        <v>9</v>
      </c>
      <c r="Q49" s="77" t="s">
        <v>9</v>
      </c>
      <c r="R49" s="78" t="s">
        <v>98</v>
      </c>
      <c r="S49" s="94">
        <v>100</v>
      </c>
      <c r="T49" s="81" t="s">
        <v>9</v>
      </c>
      <c r="U49" s="86" t="s">
        <v>9</v>
      </c>
      <c r="V49" s="76" t="s">
        <v>9</v>
      </c>
      <c r="W49" s="80" t="s">
        <v>9</v>
      </c>
      <c r="X49" s="81" t="s">
        <v>235</v>
      </c>
      <c r="Y49" s="94">
        <v>6000</v>
      </c>
      <c r="Z49" s="76" t="s">
        <v>9</v>
      </c>
      <c r="AA49" s="79" t="s">
        <v>9</v>
      </c>
      <c r="AB49" s="81" t="s">
        <v>9</v>
      </c>
      <c r="AC49" s="82" t="s">
        <v>9</v>
      </c>
      <c r="AD49" s="81" t="s">
        <v>713</v>
      </c>
      <c r="AE49" s="82">
        <v>118</v>
      </c>
      <c r="AF49" s="81" t="s">
        <v>719</v>
      </c>
      <c r="AG49" s="82">
        <v>121</v>
      </c>
      <c r="AH49" s="81" t="s">
        <v>718</v>
      </c>
      <c r="AI49" s="82" t="s">
        <v>231</v>
      </c>
      <c r="AJ49" s="81" t="s">
        <v>100</v>
      </c>
      <c r="AK49" s="82" t="s">
        <v>226</v>
      </c>
      <c r="AL49" s="81" t="s">
        <v>96</v>
      </c>
      <c r="AM49" s="82">
        <v>6</v>
      </c>
      <c r="AN49" s="81" t="s">
        <v>97</v>
      </c>
      <c r="AO49" s="82" t="s">
        <v>175</v>
      </c>
      <c r="AP49" s="81" t="s">
        <v>109</v>
      </c>
      <c r="AQ49" s="82" t="s">
        <v>140</v>
      </c>
      <c r="AR49" s="81" t="s">
        <v>715</v>
      </c>
      <c r="AS49" s="95" t="s">
        <v>117</v>
      </c>
      <c r="AT49" s="81" t="s">
        <v>102</v>
      </c>
      <c r="AU49" s="77" t="s">
        <v>121</v>
      </c>
      <c r="AV49" s="78" t="s">
        <v>9</v>
      </c>
      <c r="AW49" s="79" t="s">
        <v>9</v>
      </c>
      <c r="AX49" s="78" t="s">
        <v>236</v>
      </c>
      <c r="AY49" s="86" t="s">
        <v>720</v>
      </c>
      <c r="AZ49" s="78" t="s">
        <v>237</v>
      </c>
      <c r="BA49" s="79" t="s">
        <v>722</v>
      </c>
      <c r="BB49" s="78" t="s">
        <v>716</v>
      </c>
      <c r="BC49" s="77" t="s">
        <v>717</v>
      </c>
    </row>
    <row r="50" spans="1:55" ht="7.5" customHeight="1" x14ac:dyDescent="0.25">
      <c r="A50" s="69">
        <v>49</v>
      </c>
      <c r="B50" s="83" t="str">
        <f t="shared" si="0"/>
        <v>TU.PB.K7.0150</v>
      </c>
      <c r="C50" s="84" t="s">
        <v>377</v>
      </c>
      <c r="D50" s="85" t="s">
        <v>124</v>
      </c>
      <c r="E50" s="87" t="s">
        <v>1431</v>
      </c>
      <c r="F50" s="81" t="s">
        <v>104</v>
      </c>
      <c r="G50" s="86" t="s">
        <v>118</v>
      </c>
      <c r="H50" s="78" t="s">
        <v>9</v>
      </c>
      <c r="I50" s="79" t="s">
        <v>9</v>
      </c>
      <c r="J50" s="78" t="s">
        <v>125</v>
      </c>
      <c r="K50" s="79" t="s">
        <v>424</v>
      </c>
      <c r="L50" s="78" t="s">
        <v>122</v>
      </c>
      <c r="M50" s="79" t="s">
        <v>123</v>
      </c>
      <c r="N50" s="81" t="s">
        <v>715</v>
      </c>
      <c r="O50" s="86" t="s">
        <v>117</v>
      </c>
      <c r="P50" s="76" t="s">
        <v>9</v>
      </c>
      <c r="Q50" s="77" t="s">
        <v>9</v>
      </c>
      <c r="R50" s="78" t="s">
        <v>98</v>
      </c>
      <c r="S50" s="80">
        <v>150</v>
      </c>
      <c r="T50" s="81" t="s">
        <v>9</v>
      </c>
      <c r="U50" s="86" t="s">
        <v>9</v>
      </c>
      <c r="V50" s="76" t="s">
        <v>9</v>
      </c>
      <c r="W50" s="80" t="s">
        <v>9</v>
      </c>
      <c r="X50" s="81" t="s">
        <v>235</v>
      </c>
      <c r="Y50" s="82">
        <v>6000</v>
      </c>
      <c r="Z50" s="76" t="s">
        <v>9</v>
      </c>
      <c r="AA50" s="79" t="s">
        <v>9</v>
      </c>
      <c r="AB50" s="81" t="s">
        <v>9</v>
      </c>
      <c r="AC50" s="82" t="s">
        <v>9</v>
      </c>
      <c r="AD50" s="81" t="s">
        <v>713</v>
      </c>
      <c r="AE50" s="82">
        <v>170</v>
      </c>
      <c r="AF50" s="81" t="s">
        <v>719</v>
      </c>
      <c r="AG50" s="82">
        <v>173</v>
      </c>
      <c r="AH50" s="81" t="s">
        <v>718</v>
      </c>
      <c r="AI50" s="82" t="s">
        <v>227</v>
      </c>
      <c r="AJ50" s="81" t="s">
        <v>100</v>
      </c>
      <c r="AK50" s="82" t="s">
        <v>213</v>
      </c>
      <c r="AL50" s="81" t="s">
        <v>96</v>
      </c>
      <c r="AM50" s="82" t="s">
        <v>189</v>
      </c>
      <c r="AN50" s="81" t="s">
        <v>97</v>
      </c>
      <c r="AO50" s="82" t="s">
        <v>160</v>
      </c>
      <c r="AP50" s="81" t="s">
        <v>109</v>
      </c>
      <c r="AQ50" s="82" t="s">
        <v>126</v>
      </c>
      <c r="AR50" s="81" t="s">
        <v>715</v>
      </c>
      <c r="AS50" s="95" t="s">
        <v>117</v>
      </c>
      <c r="AT50" s="81" t="s">
        <v>102</v>
      </c>
      <c r="AU50" s="77" t="s">
        <v>103</v>
      </c>
      <c r="AV50" s="78" t="s">
        <v>9</v>
      </c>
      <c r="AW50" s="79" t="s">
        <v>9</v>
      </c>
      <c r="AX50" s="78" t="s">
        <v>236</v>
      </c>
      <c r="AY50" s="86" t="s">
        <v>720</v>
      </c>
      <c r="AZ50" s="78" t="s">
        <v>237</v>
      </c>
      <c r="BA50" s="79" t="s">
        <v>722</v>
      </c>
      <c r="BB50" s="78" t="s">
        <v>716</v>
      </c>
      <c r="BC50" s="77" t="s">
        <v>717</v>
      </c>
    </row>
    <row r="51" spans="1:55" ht="7.5" customHeight="1" x14ac:dyDescent="0.25">
      <c r="A51" s="69">
        <v>50</v>
      </c>
      <c r="B51" s="83" t="str">
        <f t="shared" si="0"/>
        <v>TU.PB.K7.0200</v>
      </c>
      <c r="C51" s="84" t="s">
        <v>377</v>
      </c>
      <c r="D51" s="85" t="s">
        <v>124</v>
      </c>
      <c r="E51" s="87" t="s">
        <v>1431</v>
      </c>
      <c r="F51" s="81" t="s">
        <v>104</v>
      </c>
      <c r="G51" s="86" t="s">
        <v>118</v>
      </c>
      <c r="H51" s="78" t="s">
        <v>9</v>
      </c>
      <c r="I51" s="79" t="s">
        <v>9</v>
      </c>
      <c r="J51" s="78" t="s">
        <v>125</v>
      </c>
      <c r="K51" s="79" t="s">
        <v>424</v>
      </c>
      <c r="L51" s="78" t="s">
        <v>122</v>
      </c>
      <c r="M51" s="79" t="s">
        <v>123</v>
      </c>
      <c r="N51" s="81" t="s">
        <v>715</v>
      </c>
      <c r="O51" s="86" t="s">
        <v>117</v>
      </c>
      <c r="P51" s="76" t="s">
        <v>9</v>
      </c>
      <c r="Q51" s="77" t="s">
        <v>9</v>
      </c>
      <c r="R51" s="78" t="s">
        <v>98</v>
      </c>
      <c r="S51" s="80">
        <v>200</v>
      </c>
      <c r="T51" s="81" t="s">
        <v>9</v>
      </c>
      <c r="U51" s="86" t="s">
        <v>9</v>
      </c>
      <c r="V51" s="76" t="s">
        <v>9</v>
      </c>
      <c r="W51" s="80" t="s">
        <v>9</v>
      </c>
      <c r="X51" s="81" t="s">
        <v>235</v>
      </c>
      <c r="Y51" s="82">
        <v>6000</v>
      </c>
      <c r="Z51" s="76" t="s">
        <v>9</v>
      </c>
      <c r="AA51" s="79" t="s">
        <v>9</v>
      </c>
      <c r="AB51" s="81" t="s">
        <v>9</v>
      </c>
      <c r="AC51" s="82" t="s">
        <v>9</v>
      </c>
      <c r="AD51" s="81" t="s">
        <v>713</v>
      </c>
      <c r="AE51" s="82">
        <v>222</v>
      </c>
      <c r="AF51" s="81" t="s">
        <v>719</v>
      </c>
      <c r="AG51" s="82">
        <v>225</v>
      </c>
      <c r="AH51" s="81" t="s">
        <v>718</v>
      </c>
      <c r="AI51" s="82" t="s">
        <v>228</v>
      </c>
      <c r="AJ51" s="81" t="s">
        <v>100</v>
      </c>
      <c r="AK51" s="82" t="s">
        <v>214</v>
      </c>
      <c r="AL51" s="81" t="s">
        <v>96</v>
      </c>
      <c r="AM51" s="82" t="s">
        <v>190</v>
      </c>
      <c r="AN51" s="81" t="s">
        <v>97</v>
      </c>
      <c r="AO51" s="82" t="s">
        <v>161</v>
      </c>
      <c r="AP51" s="81" t="s">
        <v>109</v>
      </c>
      <c r="AQ51" s="82" t="s">
        <v>127</v>
      </c>
      <c r="AR51" s="81" t="s">
        <v>715</v>
      </c>
      <c r="AS51" s="95" t="s">
        <v>117</v>
      </c>
      <c r="AT51" s="81" t="s">
        <v>102</v>
      </c>
      <c r="AU51" s="77" t="s">
        <v>103</v>
      </c>
      <c r="AV51" s="78" t="s">
        <v>9</v>
      </c>
      <c r="AW51" s="79" t="s">
        <v>9</v>
      </c>
      <c r="AX51" s="78" t="s">
        <v>236</v>
      </c>
      <c r="AY51" s="86" t="s">
        <v>720</v>
      </c>
      <c r="AZ51" s="78" t="s">
        <v>237</v>
      </c>
      <c r="BA51" s="79" t="s">
        <v>722</v>
      </c>
      <c r="BB51" s="78" t="s">
        <v>716</v>
      </c>
      <c r="BC51" s="77" t="s">
        <v>717</v>
      </c>
    </row>
    <row r="52" spans="1:55" ht="7.5" customHeight="1" x14ac:dyDescent="0.25">
      <c r="A52" s="69">
        <v>51</v>
      </c>
      <c r="B52" s="83" t="str">
        <f t="shared" si="0"/>
        <v>TU.PB.K7.0250</v>
      </c>
      <c r="C52" s="84" t="s">
        <v>377</v>
      </c>
      <c r="D52" s="85" t="s">
        <v>124</v>
      </c>
      <c r="E52" s="87" t="s">
        <v>1431</v>
      </c>
      <c r="F52" s="81" t="s">
        <v>104</v>
      </c>
      <c r="G52" s="86" t="s">
        <v>118</v>
      </c>
      <c r="H52" s="78" t="s">
        <v>9</v>
      </c>
      <c r="I52" s="79" t="s">
        <v>9</v>
      </c>
      <c r="J52" s="78" t="s">
        <v>125</v>
      </c>
      <c r="K52" s="79" t="s">
        <v>424</v>
      </c>
      <c r="L52" s="78" t="s">
        <v>122</v>
      </c>
      <c r="M52" s="79" t="s">
        <v>123</v>
      </c>
      <c r="N52" s="81" t="s">
        <v>715</v>
      </c>
      <c r="O52" s="86" t="s">
        <v>117</v>
      </c>
      <c r="P52" s="76" t="s">
        <v>9</v>
      </c>
      <c r="Q52" s="77" t="s">
        <v>9</v>
      </c>
      <c r="R52" s="78" t="s">
        <v>98</v>
      </c>
      <c r="S52" s="80">
        <v>250</v>
      </c>
      <c r="T52" s="81" t="s">
        <v>9</v>
      </c>
      <c r="U52" s="86" t="s">
        <v>9</v>
      </c>
      <c r="V52" s="76" t="s">
        <v>9</v>
      </c>
      <c r="W52" s="80" t="s">
        <v>9</v>
      </c>
      <c r="X52" s="81" t="s">
        <v>235</v>
      </c>
      <c r="Y52" s="82">
        <v>6000</v>
      </c>
      <c r="Z52" s="76" t="s">
        <v>9</v>
      </c>
      <c r="AA52" s="79" t="s">
        <v>9</v>
      </c>
      <c r="AB52" s="81" t="s">
        <v>9</v>
      </c>
      <c r="AC52" s="82" t="s">
        <v>9</v>
      </c>
      <c r="AD52" s="81" t="s">
        <v>713</v>
      </c>
      <c r="AE52" s="82">
        <v>274</v>
      </c>
      <c r="AF52" s="81" t="s">
        <v>719</v>
      </c>
      <c r="AG52" s="82">
        <v>277</v>
      </c>
      <c r="AH52" s="81" t="s">
        <v>718</v>
      </c>
      <c r="AI52" s="82" t="s">
        <v>229</v>
      </c>
      <c r="AJ52" s="81" t="s">
        <v>100</v>
      </c>
      <c r="AK52" s="82" t="s">
        <v>215</v>
      </c>
      <c r="AL52" s="81" t="s">
        <v>96</v>
      </c>
      <c r="AM52" s="82" t="s">
        <v>191</v>
      </c>
      <c r="AN52" s="81" t="s">
        <v>97</v>
      </c>
      <c r="AO52" s="82" t="s">
        <v>162</v>
      </c>
      <c r="AP52" s="81" t="s">
        <v>109</v>
      </c>
      <c r="AQ52" s="82" t="s">
        <v>128</v>
      </c>
      <c r="AR52" s="81" t="s">
        <v>715</v>
      </c>
      <c r="AS52" s="95" t="s">
        <v>117</v>
      </c>
      <c r="AT52" s="81" t="s">
        <v>102</v>
      </c>
      <c r="AU52" s="77" t="s">
        <v>103</v>
      </c>
      <c r="AV52" s="78" t="s">
        <v>9</v>
      </c>
      <c r="AW52" s="79" t="s">
        <v>9</v>
      </c>
      <c r="AX52" s="78" t="s">
        <v>236</v>
      </c>
      <c r="AY52" s="86" t="s">
        <v>720</v>
      </c>
      <c r="AZ52" s="78" t="s">
        <v>237</v>
      </c>
      <c r="BA52" s="79" t="s">
        <v>722</v>
      </c>
      <c r="BB52" s="78" t="s">
        <v>716</v>
      </c>
      <c r="BC52" s="77" t="s">
        <v>717</v>
      </c>
    </row>
    <row r="53" spans="1:55" ht="7.5" customHeight="1" x14ac:dyDescent="0.25">
      <c r="A53" s="69">
        <v>52</v>
      </c>
      <c r="B53" s="83" t="str">
        <f t="shared" si="0"/>
        <v>TU.PB.K7.0300</v>
      </c>
      <c r="C53" s="84" t="s">
        <v>377</v>
      </c>
      <c r="D53" s="85" t="s">
        <v>124</v>
      </c>
      <c r="E53" s="87" t="s">
        <v>1431</v>
      </c>
      <c r="F53" s="81" t="s">
        <v>104</v>
      </c>
      <c r="G53" s="86" t="s">
        <v>118</v>
      </c>
      <c r="H53" s="78" t="s">
        <v>9</v>
      </c>
      <c r="I53" s="79" t="s">
        <v>9</v>
      </c>
      <c r="J53" s="78" t="s">
        <v>125</v>
      </c>
      <c r="K53" s="79" t="s">
        <v>424</v>
      </c>
      <c r="L53" s="78" t="s">
        <v>122</v>
      </c>
      <c r="M53" s="79" t="s">
        <v>123</v>
      </c>
      <c r="N53" s="81" t="s">
        <v>715</v>
      </c>
      <c r="O53" s="86" t="s">
        <v>117</v>
      </c>
      <c r="P53" s="76" t="s">
        <v>9</v>
      </c>
      <c r="Q53" s="77" t="s">
        <v>9</v>
      </c>
      <c r="R53" s="78" t="s">
        <v>98</v>
      </c>
      <c r="S53" s="80">
        <v>300</v>
      </c>
      <c r="T53" s="81" t="s">
        <v>9</v>
      </c>
      <c r="U53" s="86" t="s">
        <v>9</v>
      </c>
      <c r="V53" s="76" t="s">
        <v>9</v>
      </c>
      <c r="W53" s="80" t="s">
        <v>9</v>
      </c>
      <c r="X53" s="81" t="s">
        <v>235</v>
      </c>
      <c r="Y53" s="82">
        <v>6000</v>
      </c>
      <c r="Z53" s="76" t="s">
        <v>9</v>
      </c>
      <c r="AA53" s="79" t="s">
        <v>9</v>
      </c>
      <c r="AB53" s="81" t="s">
        <v>9</v>
      </c>
      <c r="AC53" s="82" t="s">
        <v>9</v>
      </c>
      <c r="AD53" s="81" t="s">
        <v>713</v>
      </c>
      <c r="AE53" s="82">
        <v>326</v>
      </c>
      <c r="AF53" s="81" t="s">
        <v>719</v>
      </c>
      <c r="AG53" s="82">
        <v>329</v>
      </c>
      <c r="AH53" s="81" t="s">
        <v>718</v>
      </c>
      <c r="AI53" s="82">
        <v>410</v>
      </c>
      <c r="AJ53" s="81" t="s">
        <v>100</v>
      </c>
      <c r="AK53" s="82" t="s">
        <v>216</v>
      </c>
      <c r="AL53" s="81" t="s">
        <v>96</v>
      </c>
      <c r="AM53" s="82" t="s">
        <v>192</v>
      </c>
      <c r="AN53" s="81" t="s">
        <v>97</v>
      </c>
      <c r="AO53" s="82" t="s">
        <v>163</v>
      </c>
      <c r="AP53" s="81" t="s">
        <v>109</v>
      </c>
      <c r="AQ53" s="82" t="s">
        <v>129</v>
      </c>
      <c r="AR53" s="81" t="s">
        <v>715</v>
      </c>
      <c r="AS53" s="95" t="s">
        <v>117</v>
      </c>
      <c r="AT53" s="81" t="s">
        <v>102</v>
      </c>
      <c r="AU53" s="77" t="s">
        <v>103</v>
      </c>
      <c r="AV53" s="78" t="s">
        <v>9</v>
      </c>
      <c r="AW53" s="79" t="s">
        <v>9</v>
      </c>
      <c r="AX53" s="78" t="s">
        <v>236</v>
      </c>
      <c r="AY53" s="86" t="s">
        <v>720</v>
      </c>
      <c r="AZ53" s="78" t="s">
        <v>237</v>
      </c>
      <c r="BA53" s="79" t="s">
        <v>722</v>
      </c>
      <c r="BB53" s="78" t="s">
        <v>716</v>
      </c>
      <c r="BC53" s="77" t="s">
        <v>717</v>
      </c>
    </row>
    <row r="54" spans="1:55" ht="7.5" customHeight="1" x14ac:dyDescent="0.25">
      <c r="A54" s="69">
        <v>53</v>
      </c>
      <c r="B54" s="83" t="str">
        <f t="shared" si="0"/>
        <v>TU.PB.K7.0350</v>
      </c>
      <c r="C54" s="84" t="s">
        <v>377</v>
      </c>
      <c r="D54" s="85" t="s">
        <v>124</v>
      </c>
      <c r="E54" s="87" t="s">
        <v>1431</v>
      </c>
      <c r="F54" s="81" t="s">
        <v>104</v>
      </c>
      <c r="G54" s="86" t="s">
        <v>118</v>
      </c>
      <c r="H54" s="78" t="s">
        <v>9</v>
      </c>
      <c r="I54" s="79" t="s">
        <v>9</v>
      </c>
      <c r="J54" s="78" t="s">
        <v>125</v>
      </c>
      <c r="K54" s="79" t="s">
        <v>424</v>
      </c>
      <c r="L54" s="78" t="s">
        <v>122</v>
      </c>
      <c r="M54" s="79" t="s">
        <v>123</v>
      </c>
      <c r="N54" s="81" t="s">
        <v>715</v>
      </c>
      <c r="O54" s="86" t="s">
        <v>117</v>
      </c>
      <c r="P54" s="76" t="s">
        <v>9</v>
      </c>
      <c r="Q54" s="77" t="s">
        <v>9</v>
      </c>
      <c r="R54" s="78" t="s">
        <v>98</v>
      </c>
      <c r="S54" s="80">
        <v>350</v>
      </c>
      <c r="T54" s="81" t="s">
        <v>9</v>
      </c>
      <c r="U54" s="86" t="s">
        <v>9</v>
      </c>
      <c r="V54" s="76" t="s">
        <v>9</v>
      </c>
      <c r="W54" s="80" t="s">
        <v>9</v>
      </c>
      <c r="X54" s="81" t="s">
        <v>235</v>
      </c>
      <c r="Y54" s="82">
        <v>6000</v>
      </c>
      <c r="Z54" s="76" t="s">
        <v>9</v>
      </c>
      <c r="AA54" s="79" t="s">
        <v>9</v>
      </c>
      <c r="AB54" s="81" t="s">
        <v>9</v>
      </c>
      <c r="AC54" s="82" t="s">
        <v>9</v>
      </c>
      <c r="AD54" s="81" t="s">
        <v>713</v>
      </c>
      <c r="AE54" s="82">
        <v>378</v>
      </c>
      <c r="AF54" s="81" t="s">
        <v>719</v>
      </c>
      <c r="AG54" s="82">
        <v>381</v>
      </c>
      <c r="AH54" s="81" t="s">
        <v>718</v>
      </c>
      <c r="AI54" s="82">
        <v>465</v>
      </c>
      <c r="AJ54" s="81" t="s">
        <v>100</v>
      </c>
      <c r="AK54" s="82" t="s">
        <v>217</v>
      </c>
      <c r="AL54" s="81" t="s">
        <v>96</v>
      </c>
      <c r="AM54" s="82" t="s">
        <v>193</v>
      </c>
      <c r="AN54" s="81" t="s">
        <v>97</v>
      </c>
      <c r="AO54" s="82" t="s">
        <v>164</v>
      </c>
      <c r="AP54" s="81" t="s">
        <v>109</v>
      </c>
      <c r="AQ54" s="82" t="s">
        <v>130</v>
      </c>
      <c r="AR54" s="81" t="s">
        <v>715</v>
      </c>
      <c r="AS54" s="95" t="s">
        <v>117</v>
      </c>
      <c r="AT54" s="81" t="s">
        <v>102</v>
      </c>
      <c r="AU54" s="77" t="s">
        <v>103</v>
      </c>
      <c r="AV54" s="78" t="s">
        <v>9</v>
      </c>
      <c r="AW54" s="79" t="s">
        <v>9</v>
      </c>
      <c r="AX54" s="78" t="s">
        <v>236</v>
      </c>
      <c r="AY54" s="86" t="s">
        <v>720</v>
      </c>
      <c r="AZ54" s="78" t="s">
        <v>237</v>
      </c>
      <c r="BA54" s="79" t="s">
        <v>722</v>
      </c>
      <c r="BB54" s="78" t="s">
        <v>716</v>
      </c>
      <c r="BC54" s="77" t="s">
        <v>717</v>
      </c>
    </row>
    <row r="55" spans="1:55" ht="7.5" customHeight="1" x14ac:dyDescent="0.25">
      <c r="A55" s="69">
        <v>54</v>
      </c>
      <c r="B55" s="83" t="str">
        <f t="shared" si="0"/>
        <v>TU.PB.K7.0400</v>
      </c>
      <c r="C55" s="84" t="s">
        <v>377</v>
      </c>
      <c r="D55" s="85" t="s">
        <v>124</v>
      </c>
      <c r="E55" s="87" t="s">
        <v>1431</v>
      </c>
      <c r="F55" s="81" t="s">
        <v>104</v>
      </c>
      <c r="G55" s="86" t="s">
        <v>118</v>
      </c>
      <c r="H55" s="78" t="s">
        <v>9</v>
      </c>
      <c r="I55" s="79" t="s">
        <v>9</v>
      </c>
      <c r="J55" s="78" t="s">
        <v>125</v>
      </c>
      <c r="K55" s="79" t="s">
        <v>424</v>
      </c>
      <c r="L55" s="78" t="s">
        <v>122</v>
      </c>
      <c r="M55" s="79" t="s">
        <v>123</v>
      </c>
      <c r="N55" s="81" t="s">
        <v>715</v>
      </c>
      <c r="O55" s="86" t="s">
        <v>117</v>
      </c>
      <c r="P55" s="76" t="s">
        <v>9</v>
      </c>
      <c r="Q55" s="77" t="s">
        <v>9</v>
      </c>
      <c r="R55" s="78" t="s">
        <v>98</v>
      </c>
      <c r="S55" s="80">
        <v>400</v>
      </c>
      <c r="T55" s="81" t="s">
        <v>9</v>
      </c>
      <c r="U55" s="86" t="s">
        <v>9</v>
      </c>
      <c r="V55" s="76" t="s">
        <v>9</v>
      </c>
      <c r="W55" s="80" t="s">
        <v>9</v>
      </c>
      <c r="X55" s="81" t="s">
        <v>235</v>
      </c>
      <c r="Y55" s="82">
        <v>6000</v>
      </c>
      <c r="Z55" s="76" t="s">
        <v>9</v>
      </c>
      <c r="AA55" s="79" t="s">
        <v>9</v>
      </c>
      <c r="AB55" s="81" t="s">
        <v>9</v>
      </c>
      <c r="AC55" s="82" t="s">
        <v>9</v>
      </c>
      <c r="AD55" s="81" t="s">
        <v>713</v>
      </c>
      <c r="AE55" s="82">
        <v>429</v>
      </c>
      <c r="AF55" s="81" t="s">
        <v>719</v>
      </c>
      <c r="AG55" s="82">
        <v>432</v>
      </c>
      <c r="AH55" s="81" t="s">
        <v>718</v>
      </c>
      <c r="AI55" s="82">
        <v>517</v>
      </c>
      <c r="AJ55" s="81" t="s">
        <v>100</v>
      </c>
      <c r="AK55" s="82" t="s">
        <v>218</v>
      </c>
      <c r="AL55" s="81" t="s">
        <v>96</v>
      </c>
      <c r="AM55" s="82" t="s">
        <v>194</v>
      </c>
      <c r="AN55" s="81" t="s">
        <v>97</v>
      </c>
      <c r="AO55" s="82" t="s">
        <v>165</v>
      </c>
      <c r="AP55" s="81" t="s">
        <v>109</v>
      </c>
      <c r="AQ55" s="82" t="s">
        <v>131</v>
      </c>
      <c r="AR55" s="81" t="s">
        <v>715</v>
      </c>
      <c r="AS55" s="95" t="s">
        <v>117</v>
      </c>
      <c r="AT55" s="81" t="s">
        <v>102</v>
      </c>
      <c r="AU55" s="77" t="s">
        <v>103</v>
      </c>
      <c r="AV55" s="78" t="s">
        <v>9</v>
      </c>
      <c r="AW55" s="79" t="s">
        <v>9</v>
      </c>
      <c r="AX55" s="78" t="s">
        <v>236</v>
      </c>
      <c r="AY55" s="86" t="s">
        <v>720</v>
      </c>
      <c r="AZ55" s="78" t="s">
        <v>237</v>
      </c>
      <c r="BA55" s="79" t="s">
        <v>722</v>
      </c>
      <c r="BB55" s="78" t="s">
        <v>716</v>
      </c>
      <c r="BC55" s="77" t="s">
        <v>717</v>
      </c>
    </row>
    <row r="56" spans="1:55" ht="7.5" customHeight="1" x14ac:dyDescent="0.25">
      <c r="A56" s="69">
        <v>55</v>
      </c>
      <c r="B56" s="83" t="str">
        <f t="shared" si="0"/>
        <v>TU.PB.K7.0450</v>
      </c>
      <c r="C56" s="84" t="s">
        <v>377</v>
      </c>
      <c r="D56" s="85" t="s">
        <v>124</v>
      </c>
      <c r="E56" s="87" t="s">
        <v>1431</v>
      </c>
      <c r="F56" s="81" t="s">
        <v>104</v>
      </c>
      <c r="G56" s="86" t="s">
        <v>118</v>
      </c>
      <c r="H56" s="78" t="s">
        <v>9</v>
      </c>
      <c r="I56" s="79" t="s">
        <v>9</v>
      </c>
      <c r="J56" s="78" t="s">
        <v>125</v>
      </c>
      <c r="K56" s="79" t="s">
        <v>424</v>
      </c>
      <c r="L56" s="78" t="s">
        <v>122</v>
      </c>
      <c r="M56" s="79" t="s">
        <v>123</v>
      </c>
      <c r="N56" s="81" t="s">
        <v>715</v>
      </c>
      <c r="O56" s="86" t="s">
        <v>117</v>
      </c>
      <c r="P56" s="76" t="s">
        <v>9</v>
      </c>
      <c r="Q56" s="77" t="s">
        <v>9</v>
      </c>
      <c r="R56" s="78" t="s">
        <v>98</v>
      </c>
      <c r="S56" s="80">
        <v>450</v>
      </c>
      <c r="T56" s="81" t="s">
        <v>9</v>
      </c>
      <c r="U56" s="86" t="s">
        <v>9</v>
      </c>
      <c r="V56" s="76" t="s">
        <v>9</v>
      </c>
      <c r="W56" s="80" t="s">
        <v>9</v>
      </c>
      <c r="X56" s="81" t="s">
        <v>235</v>
      </c>
      <c r="Y56" s="82">
        <v>6000</v>
      </c>
      <c r="Z56" s="76" t="s">
        <v>9</v>
      </c>
      <c r="AA56" s="79" t="s">
        <v>9</v>
      </c>
      <c r="AB56" s="81" t="s">
        <v>9</v>
      </c>
      <c r="AC56" s="82" t="s">
        <v>9</v>
      </c>
      <c r="AD56" s="81" t="s">
        <v>713</v>
      </c>
      <c r="AE56" s="82">
        <v>480</v>
      </c>
      <c r="AF56" s="81" t="s">
        <v>719</v>
      </c>
      <c r="AG56" s="82">
        <v>483</v>
      </c>
      <c r="AH56" s="81" t="s">
        <v>718</v>
      </c>
      <c r="AI56" s="82">
        <v>575</v>
      </c>
      <c r="AJ56" s="81" t="s">
        <v>100</v>
      </c>
      <c r="AK56" s="82" t="s">
        <v>219</v>
      </c>
      <c r="AL56" s="81" t="s">
        <v>96</v>
      </c>
      <c r="AM56" s="82" t="s">
        <v>195</v>
      </c>
      <c r="AN56" s="81" t="s">
        <v>97</v>
      </c>
      <c r="AO56" s="82" t="s">
        <v>166</v>
      </c>
      <c r="AP56" s="81" t="s">
        <v>109</v>
      </c>
      <c r="AQ56" s="82" t="s">
        <v>132</v>
      </c>
      <c r="AR56" s="81" t="s">
        <v>715</v>
      </c>
      <c r="AS56" s="95" t="s">
        <v>117</v>
      </c>
      <c r="AT56" s="81" t="s">
        <v>102</v>
      </c>
      <c r="AU56" s="77" t="s">
        <v>103</v>
      </c>
      <c r="AV56" s="78" t="s">
        <v>9</v>
      </c>
      <c r="AW56" s="79" t="s">
        <v>9</v>
      </c>
      <c r="AX56" s="78" t="s">
        <v>236</v>
      </c>
      <c r="AY56" s="86" t="s">
        <v>720</v>
      </c>
      <c r="AZ56" s="78" t="s">
        <v>237</v>
      </c>
      <c r="BA56" s="79" t="s">
        <v>722</v>
      </c>
      <c r="BB56" s="78" t="s">
        <v>716</v>
      </c>
      <c r="BC56" s="77" t="s">
        <v>717</v>
      </c>
    </row>
    <row r="57" spans="1:55" ht="7.5" customHeight="1" x14ac:dyDescent="0.25">
      <c r="A57" s="69">
        <v>56</v>
      </c>
      <c r="B57" s="83" t="str">
        <f t="shared" si="0"/>
        <v>TU.PB.K7.0500</v>
      </c>
      <c r="C57" s="84" t="s">
        <v>377</v>
      </c>
      <c r="D57" s="85" t="s">
        <v>124</v>
      </c>
      <c r="E57" s="87" t="s">
        <v>1431</v>
      </c>
      <c r="F57" s="81" t="s">
        <v>104</v>
      </c>
      <c r="G57" s="86" t="s">
        <v>118</v>
      </c>
      <c r="H57" s="78" t="s">
        <v>9</v>
      </c>
      <c r="I57" s="79" t="s">
        <v>9</v>
      </c>
      <c r="J57" s="78" t="s">
        <v>125</v>
      </c>
      <c r="K57" s="79" t="s">
        <v>424</v>
      </c>
      <c r="L57" s="78" t="s">
        <v>122</v>
      </c>
      <c r="M57" s="79" t="s">
        <v>123</v>
      </c>
      <c r="N57" s="81" t="s">
        <v>715</v>
      </c>
      <c r="O57" s="86" t="s">
        <v>117</v>
      </c>
      <c r="P57" s="76" t="s">
        <v>9</v>
      </c>
      <c r="Q57" s="77" t="s">
        <v>9</v>
      </c>
      <c r="R57" s="78" t="s">
        <v>98</v>
      </c>
      <c r="S57" s="80">
        <v>500</v>
      </c>
      <c r="T57" s="81" t="s">
        <v>9</v>
      </c>
      <c r="U57" s="86" t="s">
        <v>9</v>
      </c>
      <c r="V57" s="76" t="s">
        <v>9</v>
      </c>
      <c r="W57" s="80" t="s">
        <v>9</v>
      </c>
      <c r="X57" s="81" t="s">
        <v>235</v>
      </c>
      <c r="Y57" s="82">
        <v>6000</v>
      </c>
      <c r="Z57" s="76" t="s">
        <v>9</v>
      </c>
      <c r="AA57" s="79" t="s">
        <v>9</v>
      </c>
      <c r="AB57" s="81" t="s">
        <v>9</v>
      </c>
      <c r="AC57" s="82" t="s">
        <v>9</v>
      </c>
      <c r="AD57" s="81" t="s">
        <v>713</v>
      </c>
      <c r="AE57" s="82">
        <v>532</v>
      </c>
      <c r="AF57" s="81" t="s">
        <v>719</v>
      </c>
      <c r="AG57" s="82">
        <v>535</v>
      </c>
      <c r="AH57" s="81" t="s">
        <v>718</v>
      </c>
      <c r="AI57" s="82">
        <v>630</v>
      </c>
      <c r="AJ57" s="81" t="s">
        <v>100</v>
      </c>
      <c r="AK57" s="82" t="s">
        <v>220</v>
      </c>
      <c r="AL57" s="81" t="s">
        <v>96</v>
      </c>
      <c r="AM57" s="82">
        <v>7</v>
      </c>
      <c r="AN57" s="81" t="s">
        <v>97</v>
      </c>
      <c r="AO57" s="82" t="s">
        <v>167</v>
      </c>
      <c r="AP57" s="81" t="s">
        <v>109</v>
      </c>
      <c r="AQ57" s="82" t="s">
        <v>133</v>
      </c>
      <c r="AR57" s="81" t="s">
        <v>715</v>
      </c>
      <c r="AS57" s="95" t="s">
        <v>117</v>
      </c>
      <c r="AT57" s="81" t="s">
        <v>102</v>
      </c>
      <c r="AU57" s="77" t="s">
        <v>103</v>
      </c>
      <c r="AV57" s="78" t="s">
        <v>9</v>
      </c>
      <c r="AW57" s="79" t="s">
        <v>9</v>
      </c>
      <c r="AX57" s="78" t="s">
        <v>236</v>
      </c>
      <c r="AY57" s="86" t="s">
        <v>720</v>
      </c>
      <c r="AZ57" s="78" t="s">
        <v>237</v>
      </c>
      <c r="BA57" s="79" t="s">
        <v>722</v>
      </c>
      <c r="BB57" s="78" t="s">
        <v>716</v>
      </c>
      <c r="BC57" s="77" t="s">
        <v>717</v>
      </c>
    </row>
    <row r="58" spans="1:55" ht="7.5" customHeight="1" x14ac:dyDescent="0.25">
      <c r="A58" s="69">
        <v>57</v>
      </c>
      <c r="B58" s="83" t="str">
        <f t="shared" si="0"/>
        <v>TU.PB.K7.0600</v>
      </c>
      <c r="C58" s="84" t="s">
        <v>377</v>
      </c>
      <c r="D58" s="85" t="s">
        <v>124</v>
      </c>
      <c r="E58" s="87" t="s">
        <v>1431</v>
      </c>
      <c r="F58" s="81" t="s">
        <v>104</v>
      </c>
      <c r="G58" s="86" t="s">
        <v>118</v>
      </c>
      <c r="H58" s="78" t="s">
        <v>9</v>
      </c>
      <c r="I58" s="79" t="s">
        <v>9</v>
      </c>
      <c r="J58" s="78" t="s">
        <v>125</v>
      </c>
      <c r="K58" s="79" t="s">
        <v>424</v>
      </c>
      <c r="L58" s="78" t="s">
        <v>122</v>
      </c>
      <c r="M58" s="79" t="s">
        <v>123</v>
      </c>
      <c r="N58" s="81" t="s">
        <v>715</v>
      </c>
      <c r="O58" s="86" t="s">
        <v>117</v>
      </c>
      <c r="P58" s="76" t="s">
        <v>9</v>
      </c>
      <c r="Q58" s="77" t="s">
        <v>9</v>
      </c>
      <c r="R58" s="78" t="s">
        <v>98</v>
      </c>
      <c r="S58" s="80">
        <v>600</v>
      </c>
      <c r="T58" s="81" t="s">
        <v>9</v>
      </c>
      <c r="U58" s="86" t="s">
        <v>9</v>
      </c>
      <c r="V58" s="76" t="s">
        <v>9</v>
      </c>
      <c r="W58" s="80" t="s">
        <v>9</v>
      </c>
      <c r="X58" s="81" t="s">
        <v>235</v>
      </c>
      <c r="Y58" s="82">
        <v>6000</v>
      </c>
      <c r="Z58" s="76" t="s">
        <v>9</v>
      </c>
      <c r="AA58" s="79" t="s">
        <v>9</v>
      </c>
      <c r="AB58" s="81" t="s">
        <v>101</v>
      </c>
      <c r="AC58" s="82">
        <v>135</v>
      </c>
      <c r="AD58" s="81" t="s">
        <v>713</v>
      </c>
      <c r="AE58" s="82">
        <v>635</v>
      </c>
      <c r="AF58" s="81" t="s">
        <v>719</v>
      </c>
      <c r="AG58" s="82">
        <v>638</v>
      </c>
      <c r="AH58" s="81" t="s">
        <v>718</v>
      </c>
      <c r="AI58" s="82">
        <v>739</v>
      </c>
      <c r="AJ58" s="81" t="s">
        <v>100</v>
      </c>
      <c r="AK58" s="82" t="s">
        <v>221</v>
      </c>
      <c r="AL58" s="81" t="s">
        <v>96</v>
      </c>
      <c r="AM58" s="82" t="s">
        <v>196</v>
      </c>
      <c r="AN58" s="81" t="s">
        <v>97</v>
      </c>
      <c r="AO58" s="82" t="s">
        <v>168</v>
      </c>
      <c r="AP58" s="81" t="s">
        <v>109</v>
      </c>
      <c r="AQ58" s="82" t="s">
        <v>134</v>
      </c>
      <c r="AR58" s="81" t="s">
        <v>715</v>
      </c>
      <c r="AS58" s="95" t="s">
        <v>117</v>
      </c>
      <c r="AT58" s="81" t="s">
        <v>102</v>
      </c>
      <c r="AU58" s="77" t="s">
        <v>103</v>
      </c>
      <c r="AV58" s="78" t="s">
        <v>9</v>
      </c>
      <c r="AW58" s="79" t="s">
        <v>9</v>
      </c>
      <c r="AX58" s="78" t="s">
        <v>236</v>
      </c>
      <c r="AY58" s="86" t="s">
        <v>720</v>
      </c>
      <c r="AZ58" s="78" t="s">
        <v>237</v>
      </c>
      <c r="BA58" s="79" t="s">
        <v>722</v>
      </c>
      <c r="BB58" s="78" t="s">
        <v>716</v>
      </c>
      <c r="BC58" s="77" t="s">
        <v>717</v>
      </c>
    </row>
    <row r="59" spans="1:55" ht="7.5" customHeight="1" x14ac:dyDescent="0.25">
      <c r="A59" s="69">
        <v>58</v>
      </c>
      <c r="B59" s="83" t="str">
        <f t="shared" si="0"/>
        <v>TU.PB.K7.0700</v>
      </c>
      <c r="C59" s="84" t="s">
        <v>377</v>
      </c>
      <c r="D59" s="85" t="s">
        <v>124</v>
      </c>
      <c r="E59" s="87" t="s">
        <v>1431</v>
      </c>
      <c r="F59" s="81" t="s">
        <v>104</v>
      </c>
      <c r="G59" s="86" t="s">
        <v>118</v>
      </c>
      <c r="H59" s="78" t="s">
        <v>9</v>
      </c>
      <c r="I59" s="79" t="s">
        <v>9</v>
      </c>
      <c r="J59" s="78" t="s">
        <v>125</v>
      </c>
      <c r="K59" s="79" t="s">
        <v>424</v>
      </c>
      <c r="L59" s="78" t="s">
        <v>122</v>
      </c>
      <c r="M59" s="79" t="s">
        <v>123</v>
      </c>
      <c r="N59" s="81" t="s">
        <v>715</v>
      </c>
      <c r="O59" s="86" t="s">
        <v>117</v>
      </c>
      <c r="P59" s="76" t="s">
        <v>9</v>
      </c>
      <c r="Q59" s="77" t="s">
        <v>9</v>
      </c>
      <c r="R59" s="78" t="s">
        <v>98</v>
      </c>
      <c r="S59" s="80">
        <v>700</v>
      </c>
      <c r="T59" s="81" t="s">
        <v>9</v>
      </c>
      <c r="U59" s="86" t="s">
        <v>9</v>
      </c>
      <c r="V59" s="76" t="s">
        <v>9</v>
      </c>
      <c r="W59" s="80" t="s">
        <v>9</v>
      </c>
      <c r="X59" s="81" t="s">
        <v>235</v>
      </c>
      <c r="Y59" s="82">
        <v>7000</v>
      </c>
      <c r="Z59" s="76" t="s">
        <v>9</v>
      </c>
      <c r="AA59" s="79" t="s">
        <v>9</v>
      </c>
      <c r="AB59" s="81" t="s">
        <v>101</v>
      </c>
      <c r="AC59" s="82">
        <v>158</v>
      </c>
      <c r="AD59" s="81" t="s">
        <v>713</v>
      </c>
      <c r="AE59" s="82">
        <v>738</v>
      </c>
      <c r="AF59" s="81" t="s">
        <v>719</v>
      </c>
      <c r="AG59" s="82">
        <v>741</v>
      </c>
      <c r="AH59" s="81" t="s">
        <v>718</v>
      </c>
      <c r="AI59" s="82">
        <v>863</v>
      </c>
      <c r="AJ59" s="81" t="s">
        <v>100</v>
      </c>
      <c r="AK59" s="82" t="s">
        <v>222</v>
      </c>
      <c r="AL59" s="81" t="s">
        <v>96</v>
      </c>
      <c r="AM59" s="82" t="s">
        <v>197</v>
      </c>
      <c r="AN59" s="81" t="s">
        <v>97</v>
      </c>
      <c r="AO59" s="82" t="s">
        <v>169</v>
      </c>
      <c r="AP59" s="81" t="s">
        <v>109</v>
      </c>
      <c r="AQ59" s="82" t="s">
        <v>135</v>
      </c>
      <c r="AR59" s="81" t="s">
        <v>715</v>
      </c>
      <c r="AS59" s="95" t="s">
        <v>117</v>
      </c>
      <c r="AT59" s="81" t="s">
        <v>102</v>
      </c>
      <c r="AU59" s="77" t="s">
        <v>103</v>
      </c>
      <c r="AV59" s="78" t="s">
        <v>9</v>
      </c>
      <c r="AW59" s="79" t="s">
        <v>9</v>
      </c>
      <c r="AX59" s="78" t="s">
        <v>236</v>
      </c>
      <c r="AY59" s="86" t="s">
        <v>720</v>
      </c>
      <c r="AZ59" s="78" t="s">
        <v>237</v>
      </c>
      <c r="BA59" s="79" t="s">
        <v>722</v>
      </c>
      <c r="BB59" s="78" t="s">
        <v>716</v>
      </c>
      <c r="BC59" s="77" t="s">
        <v>717</v>
      </c>
    </row>
    <row r="60" spans="1:55" ht="7.5" customHeight="1" x14ac:dyDescent="0.25">
      <c r="A60" s="69">
        <v>59</v>
      </c>
      <c r="B60" s="83" t="str">
        <f t="shared" si="0"/>
        <v>TU.PB.K7.0800</v>
      </c>
      <c r="C60" s="84" t="s">
        <v>377</v>
      </c>
      <c r="D60" s="85" t="s">
        <v>124</v>
      </c>
      <c r="E60" s="87" t="s">
        <v>1431</v>
      </c>
      <c r="F60" s="81" t="s">
        <v>104</v>
      </c>
      <c r="G60" s="86" t="s">
        <v>118</v>
      </c>
      <c r="H60" s="78" t="s">
        <v>9</v>
      </c>
      <c r="I60" s="79" t="s">
        <v>9</v>
      </c>
      <c r="J60" s="78" t="s">
        <v>125</v>
      </c>
      <c r="K60" s="79" t="s">
        <v>424</v>
      </c>
      <c r="L60" s="78" t="s">
        <v>122</v>
      </c>
      <c r="M60" s="79" t="s">
        <v>123</v>
      </c>
      <c r="N60" s="81" t="s">
        <v>715</v>
      </c>
      <c r="O60" s="86" t="s">
        <v>117</v>
      </c>
      <c r="P60" s="76" t="s">
        <v>9</v>
      </c>
      <c r="Q60" s="77" t="s">
        <v>9</v>
      </c>
      <c r="R60" s="78" t="s">
        <v>98</v>
      </c>
      <c r="S60" s="80">
        <v>800</v>
      </c>
      <c r="T60" s="81" t="s">
        <v>9</v>
      </c>
      <c r="U60" s="86" t="s">
        <v>9</v>
      </c>
      <c r="V60" s="76" t="s">
        <v>9</v>
      </c>
      <c r="W60" s="80" t="s">
        <v>9</v>
      </c>
      <c r="X60" s="81" t="s">
        <v>235</v>
      </c>
      <c r="Y60" s="82">
        <v>7000</v>
      </c>
      <c r="Z60" s="76" t="s">
        <v>9</v>
      </c>
      <c r="AA60" s="79" t="s">
        <v>9</v>
      </c>
      <c r="AB60" s="81" t="s">
        <v>101</v>
      </c>
      <c r="AC60" s="82">
        <v>150</v>
      </c>
      <c r="AD60" s="81" t="s">
        <v>713</v>
      </c>
      <c r="AE60" s="82">
        <v>842</v>
      </c>
      <c r="AF60" s="81" t="s">
        <v>719</v>
      </c>
      <c r="AG60" s="82">
        <v>845</v>
      </c>
      <c r="AH60" s="81" t="s">
        <v>718</v>
      </c>
      <c r="AI60" s="82">
        <v>974</v>
      </c>
      <c r="AJ60" s="81" t="s">
        <v>100</v>
      </c>
      <c r="AK60" s="82" t="s">
        <v>222</v>
      </c>
      <c r="AL60" s="81" t="s">
        <v>96</v>
      </c>
      <c r="AM60" s="82" t="s">
        <v>198</v>
      </c>
      <c r="AN60" s="81" t="s">
        <v>97</v>
      </c>
      <c r="AO60" s="82" t="s">
        <v>170</v>
      </c>
      <c r="AP60" s="81" t="s">
        <v>109</v>
      </c>
      <c r="AQ60" s="82" t="s">
        <v>136</v>
      </c>
      <c r="AR60" s="81" t="s">
        <v>715</v>
      </c>
      <c r="AS60" s="95" t="s">
        <v>117</v>
      </c>
      <c r="AT60" s="81" t="s">
        <v>102</v>
      </c>
      <c r="AU60" s="77" t="s">
        <v>103</v>
      </c>
      <c r="AV60" s="78" t="s">
        <v>9</v>
      </c>
      <c r="AW60" s="79" t="s">
        <v>9</v>
      </c>
      <c r="AX60" s="78" t="s">
        <v>236</v>
      </c>
      <c r="AY60" s="86" t="s">
        <v>720</v>
      </c>
      <c r="AZ60" s="78" t="s">
        <v>237</v>
      </c>
      <c r="BA60" s="79" t="s">
        <v>722</v>
      </c>
      <c r="BB60" s="78" t="s">
        <v>716</v>
      </c>
      <c r="BC60" s="77" t="s">
        <v>717</v>
      </c>
    </row>
    <row r="61" spans="1:55" ht="7.5" customHeight="1" x14ac:dyDescent="0.25">
      <c r="A61" s="69">
        <v>60</v>
      </c>
      <c r="B61" s="83" t="str">
        <f t="shared" si="0"/>
        <v>TU.PB.K7.0900</v>
      </c>
      <c r="C61" s="84" t="s">
        <v>377</v>
      </c>
      <c r="D61" s="85" t="s">
        <v>124</v>
      </c>
      <c r="E61" s="87" t="s">
        <v>1431</v>
      </c>
      <c r="F61" s="81" t="s">
        <v>104</v>
      </c>
      <c r="G61" s="86" t="s">
        <v>118</v>
      </c>
      <c r="H61" s="78" t="s">
        <v>9</v>
      </c>
      <c r="I61" s="79" t="s">
        <v>9</v>
      </c>
      <c r="J61" s="78" t="s">
        <v>125</v>
      </c>
      <c r="K61" s="79" t="s">
        <v>424</v>
      </c>
      <c r="L61" s="78" t="s">
        <v>122</v>
      </c>
      <c r="M61" s="79" t="s">
        <v>123</v>
      </c>
      <c r="N61" s="81" t="s">
        <v>715</v>
      </c>
      <c r="O61" s="86" t="s">
        <v>117</v>
      </c>
      <c r="P61" s="76" t="s">
        <v>9</v>
      </c>
      <c r="Q61" s="77" t="s">
        <v>9</v>
      </c>
      <c r="R61" s="78" t="s">
        <v>98</v>
      </c>
      <c r="S61" s="80">
        <v>900</v>
      </c>
      <c r="T61" s="81" t="s">
        <v>9</v>
      </c>
      <c r="U61" s="86" t="s">
        <v>9</v>
      </c>
      <c r="V61" s="76" t="s">
        <v>9</v>
      </c>
      <c r="W61" s="80" t="s">
        <v>9</v>
      </c>
      <c r="X61" s="81" t="s">
        <v>235</v>
      </c>
      <c r="Y61" s="82">
        <v>7000</v>
      </c>
      <c r="Z61" s="76" t="s">
        <v>9</v>
      </c>
      <c r="AA61" s="79" t="s">
        <v>9</v>
      </c>
      <c r="AB61" s="81" t="s">
        <v>101</v>
      </c>
      <c r="AC61" s="82">
        <v>155</v>
      </c>
      <c r="AD61" s="81" t="s">
        <v>713</v>
      </c>
      <c r="AE61" s="82">
        <v>945</v>
      </c>
      <c r="AF61" s="81" t="s">
        <v>719</v>
      </c>
      <c r="AG61" s="82">
        <v>948</v>
      </c>
      <c r="AH61" s="81" t="s">
        <v>718</v>
      </c>
      <c r="AI61" s="82">
        <v>1082</v>
      </c>
      <c r="AJ61" s="81" t="s">
        <v>100</v>
      </c>
      <c r="AK61" s="82" t="s">
        <v>222</v>
      </c>
      <c r="AL61" s="81" t="s">
        <v>96</v>
      </c>
      <c r="AM61" s="82" t="s">
        <v>199</v>
      </c>
      <c r="AN61" s="81" t="s">
        <v>97</v>
      </c>
      <c r="AO61" s="82" t="s">
        <v>171</v>
      </c>
      <c r="AP61" s="81" t="s">
        <v>109</v>
      </c>
      <c r="AQ61" s="82" t="s">
        <v>137</v>
      </c>
      <c r="AR61" s="81" t="s">
        <v>715</v>
      </c>
      <c r="AS61" s="95" t="s">
        <v>117</v>
      </c>
      <c r="AT61" s="81" t="s">
        <v>102</v>
      </c>
      <c r="AU61" s="77" t="s">
        <v>103</v>
      </c>
      <c r="AV61" s="78" t="s">
        <v>9</v>
      </c>
      <c r="AW61" s="79" t="s">
        <v>9</v>
      </c>
      <c r="AX61" s="78" t="s">
        <v>236</v>
      </c>
      <c r="AY61" s="86" t="s">
        <v>720</v>
      </c>
      <c r="AZ61" s="78" t="s">
        <v>237</v>
      </c>
      <c r="BA61" s="79" t="s">
        <v>722</v>
      </c>
      <c r="BB61" s="78" t="s">
        <v>716</v>
      </c>
      <c r="BC61" s="77" t="s">
        <v>717</v>
      </c>
    </row>
    <row r="62" spans="1:55" ht="7.5" customHeight="1" x14ac:dyDescent="0.25">
      <c r="A62" s="69">
        <v>61</v>
      </c>
      <c r="B62" s="83" t="str">
        <f t="shared" si="0"/>
        <v>TU.PB.K7.1000</v>
      </c>
      <c r="C62" s="84" t="s">
        <v>377</v>
      </c>
      <c r="D62" s="85" t="s">
        <v>124</v>
      </c>
      <c r="E62" s="87" t="s">
        <v>1431</v>
      </c>
      <c r="F62" s="81" t="s">
        <v>104</v>
      </c>
      <c r="G62" s="86" t="s">
        <v>118</v>
      </c>
      <c r="H62" s="78" t="s">
        <v>9</v>
      </c>
      <c r="I62" s="79" t="s">
        <v>9</v>
      </c>
      <c r="J62" s="78" t="s">
        <v>125</v>
      </c>
      <c r="K62" s="79" t="s">
        <v>424</v>
      </c>
      <c r="L62" s="78" t="s">
        <v>122</v>
      </c>
      <c r="M62" s="79" t="s">
        <v>123</v>
      </c>
      <c r="N62" s="81" t="s">
        <v>715</v>
      </c>
      <c r="O62" s="86" t="s">
        <v>117</v>
      </c>
      <c r="P62" s="76" t="s">
        <v>9</v>
      </c>
      <c r="Q62" s="77" t="s">
        <v>9</v>
      </c>
      <c r="R62" s="78" t="s">
        <v>98</v>
      </c>
      <c r="S62" s="80">
        <v>1000</v>
      </c>
      <c r="T62" s="81" t="s">
        <v>9</v>
      </c>
      <c r="U62" s="86" t="s">
        <v>9</v>
      </c>
      <c r="V62" s="76" t="s">
        <v>9</v>
      </c>
      <c r="W62" s="80" t="s">
        <v>9</v>
      </c>
      <c r="X62" s="81" t="s">
        <v>235</v>
      </c>
      <c r="Y62" s="82">
        <v>7000</v>
      </c>
      <c r="Z62" s="76" t="s">
        <v>9</v>
      </c>
      <c r="AA62" s="79" t="s">
        <v>9</v>
      </c>
      <c r="AB62" s="81" t="s">
        <v>101</v>
      </c>
      <c r="AC62" s="82">
        <v>165</v>
      </c>
      <c r="AD62" s="81" t="s">
        <v>713</v>
      </c>
      <c r="AE62" s="82">
        <v>1048</v>
      </c>
      <c r="AF62" s="81" t="s">
        <v>719</v>
      </c>
      <c r="AG62" s="82">
        <v>1015</v>
      </c>
      <c r="AH62" s="81" t="s">
        <v>718</v>
      </c>
      <c r="AI62" s="82">
        <v>1191</v>
      </c>
      <c r="AJ62" s="81" t="s">
        <v>100</v>
      </c>
      <c r="AK62" s="82" t="s">
        <v>223</v>
      </c>
      <c r="AL62" s="81" t="s">
        <v>96</v>
      </c>
      <c r="AM62" s="82" t="s">
        <v>200</v>
      </c>
      <c r="AN62" s="81" t="s">
        <v>97</v>
      </c>
      <c r="AO62" s="82" t="s">
        <v>172</v>
      </c>
      <c r="AP62" s="81" t="s">
        <v>109</v>
      </c>
      <c r="AQ62" s="82" t="s">
        <v>138</v>
      </c>
      <c r="AR62" s="81" t="s">
        <v>715</v>
      </c>
      <c r="AS62" s="95" t="s">
        <v>117</v>
      </c>
      <c r="AT62" s="81" t="s">
        <v>102</v>
      </c>
      <c r="AU62" s="77" t="s">
        <v>103</v>
      </c>
      <c r="AV62" s="78" t="s">
        <v>9</v>
      </c>
      <c r="AW62" s="79" t="s">
        <v>9</v>
      </c>
      <c r="AX62" s="78" t="s">
        <v>236</v>
      </c>
      <c r="AY62" s="86" t="s">
        <v>720</v>
      </c>
      <c r="AZ62" s="78" t="s">
        <v>237</v>
      </c>
      <c r="BA62" s="79" t="s">
        <v>722</v>
      </c>
      <c r="BB62" s="78" t="s">
        <v>716</v>
      </c>
      <c r="BC62" s="77" t="s">
        <v>717</v>
      </c>
    </row>
    <row r="63" spans="1:55" ht="7.5" customHeight="1" x14ac:dyDescent="0.25">
      <c r="A63" s="69">
        <v>62</v>
      </c>
      <c r="B63" s="83" t="str">
        <f t="shared" si="0"/>
        <v>TU.PB.K7.1200</v>
      </c>
      <c r="C63" s="84" t="s">
        <v>377</v>
      </c>
      <c r="D63" s="85" t="s">
        <v>124</v>
      </c>
      <c r="E63" s="87" t="s">
        <v>1431</v>
      </c>
      <c r="F63" s="81" t="s">
        <v>104</v>
      </c>
      <c r="G63" s="86" t="s">
        <v>118</v>
      </c>
      <c r="H63" s="78" t="s">
        <v>9</v>
      </c>
      <c r="I63" s="79" t="s">
        <v>9</v>
      </c>
      <c r="J63" s="78" t="s">
        <v>125</v>
      </c>
      <c r="K63" s="79" t="s">
        <v>424</v>
      </c>
      <c r="L63" s="78" t="s">
        <v>122</v>
      </c>
      <c r="M63" s="79" t="s">
        <v>123</v>
      </c>
      <c r="N63" s="81" t="s">
        <v>715</v>
      </c>
      <c r="O63" s="86" t="s">
        <v>117</v>
      </c>
      <c r="P63" s="76" t="s">
        <v>9</v>
      </c>
      <c r="Q63" s="77" t="s">
        <v>9</v>
      </c>
      <c r="R63" s="78" t="s">
        <v>98</v>
      </c>
      <c r="S63" s="80">
        <v>1200</v>
      </c>
      <c r="T63" s="81" t="s">
        <v>9</v>
      </c>
      <c r="U63" s="86" t="s">
        <v>9</v>
      </c>
      <c r="V63" s="76" t="s">
        <v>9</v>
      </c>
      <c r="W63" s="80" t="s">
        <v>9</v>
      </c>
      <c r="X63" s="81" t="s">
        <v>235</v>
      </c>
      <c r="Y63" s="82">
        <v>7000</v>
      </c>
      <c r="Z63" s="76" t="s">
        <v>9</v>
      </c>
      <c r="AA63" s="79" t="s">
        <v>9</v>
      </c>
      <c r="AB63" s="81" t="s">
        <v>101</v>
      </c>
      <c r="AC63" s="82">
        <v>170</v>
      </c>
      <c r="AD63" s="81" t="s">
        <v>713</v>
      </c>
      <c r="AE63" s="82">
        <v>1255</v>
      </c>
      <c r="AF63" s="81" t="s">
        <v>719</v>
      </c>
      <c r="AG63" s="82">
        <v>1258</v>
      </c>
      <c r="AH63" s="81" t="s">
        <v>718</v>
      </c>
      <c r="AI63" s="82">
        <v>1412</v>
      </c>
      <c r="AJ63" s="81" t="s">
        <v>100</v>
      </c>
      <c r="AK63" s="82" t="s">
        <v>224</v>
      </c>
      <c r="AL63" s="81" t="s">
        <v>96</v>
      </c>
      <c r="AM63" s="82" t="s">
        <v>201</v>
      </c>
      <c r="AN63" s="81" t="s">
        <v>97</v>
      </c>
      <c r="AO63" s="82" t="s">
        <v>173</v>
      </c>
      <c r="AP63" s="81" t="s">
        <v>109</v>
      </c>
      <c r="AQ63" s="82" t="s">
        <v>139</v>
      </c>
      <c r="AR63" s="81" t="s">
        <v>715</v>
      </c>
      <c r="AS63" s="95" t="s">
        <v>117</v>
      </c>
      <c r="AT63" s="81" t="s">
        <v>102</v>
      </c>
      <c r="AU63" s="77" t="s">
        <v>103</v>
      </c>
      <c r="AV63" s="78" t="s">
        <v>9</v>
      </c>
      <c r="AW63" s="79" t="s">
        <v>9</v>
      </c>
      <c r="AX63" s="78" t="s">
        <v>236</v>
      </c>
      <c r="AY63" s="86" t="s">
        <v>720</v>
      </c>
      <c r="AZ63" s="78" t="s">
        <v>237</v>
      </c>
      <c r="BA63" s="79" t="s">
        <v>722</v>
      </c>
      <c r="BB63" s="78" t="s">
        <v>716</v>
      </c>
      <c r="BC63" s="77" t="s">
        <v>717</v>
      </c>
    </row>
    <row r="64" spans="1:55" ht="7.5" customHeight="1" x14ac:dyDescent="0.25">
      <c r="A64" s="69">
        <v>63</v>
      </c>
      <c r="B64" s="83" t="str">
        <f t="shared" si="0"/>
        <v>TU.PB.K9.0200</v>
      </c>
      <c r="C64" s="84" t="s">
        <v>377</v>
      </c>
      <c r="D64" s="85" t="s">
        <v>124</v>
      </c>
      <c r="E64" s="87" t="s">
        <v>1431</v>
      </c>
      <c r="F64" s="81" t="s">
        <v>104</v>
      </c>
      <c r="G64" s="86" t="s">
        <v>118</v>
      </c>
      <c r="H64" s="78" t="s">
        <v>9</v>
      </c>
      <c r="I64" s="79" t="s">
        <v>9</v>
      </c>
      <c r="J64" s="78" t="s">
        <v>125</v>
      </c>
      <c r="K64" s="79" t="s">
        <v>425</v>
      </c>
      <c r="L64" s="78" t="s">
        <v>122</v>
      </c>
      <c r="M64" s="79" t="s">
        <v>123</v>
      </c>
      <c r="N64" s="81" t="s">
        <v>715</v>
      </c>
      <c r="O64" s="86" t="s">
        <v>117</v>
      </c>
      <c r="P64" s="76" t="s">
        <v>9</v>
      </c>
      <c r="Q64" s="77" t="s">
        <v>9</v>
      </c>
      <c r="R64" s="78" t="s">
        <v>98</v>
      </c>
      <c r="S64" s="94">
        <v>200</v>
      </c>
      <c r="T64" s="81" t="s">
        <v>9</v>
      </c>
      <c r="U64" s="86" t="s">
        <v>9</v>
      </c>
      <c r="V64" s="76" t="s">
        <v>9</v>
      </c>
      <c r="W64" s="80" t="s">
        <v>9</v>
      </c>
      <c r="X64" s="81" t="s">
        <v>235</v>
      </c>
      <c r="Y64" s="94">
        <v>6000</v>
      </c>
      <c r="Z64" s="76" t="s">
        <v>9</v>
      </c>
      <c r="AA64" s="79" t="s">
        <v>9</v>
      </c>
      <c r="AB64" s="81" t="s">
        <v>9</v>
      </c>
      <c r="AC64" s="82" t="s">
        <v>9</v>
      </c>
      <c r="AD64" s="81" t="s">
        <v>713</v>
      </c>
      <c r="AE64" s="82">
        <v>222</v>
      </c>
      <c r="AF64" s="81" t="s">
        <v>719</v>
      </c>
      <c r="AG64" s="82">
        <v>225</v>
      </c>
      <c r="AH64" s="81" t="s">
        <v>718</v>
      </c>
      <c r="AI64" s="82" t="s">
        <v>228</v>
      </c>
      <c r="AJ64" s="81" t="s">
        <v>100</v>
      </c>
      <c r="AK64" s="82" t="s">
        <v>214</v>
      </c>
      <c r="AL64" s="81" t="s">
        <v>96</v>
      </c>
      <c r="AM64" s="82" t="s">
        <v>194</v>
      </c>
      <c r="AN64" s="81" t="s">
        <v>97</v>
      </c>
      <c r="AO64" s="82" t="s">
        <v>176</v>
      </c>
      <c r="AP64" s="81" t="s">
        <v>109</v>
      </c>
      <c r="AQ64" s="82" t="s">
        <v>141</v>
      </c>
      <c r="AR64" s="81" t="s">
        <v>715</v>
      </c>
      <c r="AS64" s="95" t="s">
        <v>117</v>
      </c>
      <c r="AT64" s="81" t="s">
        <v>102</v>
      </c>
      <c r="AU64" s="77" t="s">
        <v>121</v>
      </c>
      <c r="AV64" s="78" t="s">
        <v>9</v>
      </c>
      <c r="AW64" s="79" t="s">
        <v>9</v>
      </c>
      <c r="AX64" s="78" t="s">
        <v>236</v>
      </c>
      <c r="AY64" s="86" t="s">
        <v>720</v>
      </c>
      <c r="AZ64" s="78" t="s">
        <v>237</v>
      </c>
      <c r="BA64" s="79" t="s">
        <v>722</v>
      </c>
      <c r="BB64" s="78" t="s">
        <v>716</v>
      </c>
      <c r="BC64" s="77" t="s">
        <v>717</v>
      </c>
    </row>
    <row r="65" spans="1:55" ht="7.5" customHeight="1" x14ac:dyDescent="0.25">
      <c r="A65" s="69">
        <v>64</v>
      </c>
      <c r="B65" s="83" t="str">
        <f t="shared" si="0"/>
        <v>TU.PB.K9.0250</v>
      </c>
      <c r="C65" s="84" t="s">
        <v>377</v>
      </c>
      <c r="D65" s="85" t="s">
        <v>124</v>
      </c>
      <c r="E65" s="87" t="s">
        <v>1431</v>
      </c>
      <c r="F65" s="81" t="s">
        <v>104</v>
      </c>
      <c r="G65" s="86" t="s">
        <v>118</v>
      </c>
      <c r="H65" s="78" t="s">
        <v>9</v>
      </c>
      <c r="I65" s="79" t="s">
        <v>9</v>
      </c>
      <c r="J65" s="78" t="s">
        <v>125</v>
      </c>
      <c r="K65" s="79" t="s">
        <v>425</v>
      </c>
      <c r="L65" s="78" t="s">
        <v>122</v>
      </c>
      <c r="M65" s="79" t="s">
        <v>123</v>
      </c>
      <c r="N65" s="81" t="s">
        <v>715</v>
      </c>
      <c r="O65" s="86" t="s">
        <v>117</v>
      </c>
      <c r="P65" s="76" t="s">
        <v>9</v>
      </c>
      <c r="Q65" s="77" t="s">
        <v>9</v>
      </c>
      <c r="R65" s="78" t="s">
        <v>98</v>
      </c>
      <c r="S65" s="94">
        <v>250</v>
      </c>
      <c r="T65" s="81" t="s">
        <v>9</v>
      </c>
      <c r="U65" s="86" t="s">
        <v>9</v>
      </c>
      <c r="V65" s="76" t="s">
        <v>9</v>
      </c>
      <c r="W65" s="80" t="s">
        <v>9</v>
      </c>
      <c r="X65" s="81" t="s">
        <v>235</v>
      </c>
      <c r="Y65" s="94">
        <v>6000</v>
      </c>
      <c r="Z65" s="76" t="s">
        <v>9</v>
      </c>
      <c r="AA65" s="79" t="s">
        <v>9</v>
      </c>
      <c r="AB65" s="81" t="s">
        <v>9</v>
      </c>
      <c r="AC65" s="82" t="s">
        <v>9</v>
      </c>
      <c r="AD65" s="81" t="s">
        <v>713</v>
      </c>
      <c r="AE65" s="82">
        <v>274</v>
      </c>
      <c r="AF65" s="81" t="s">
        <v>719</v>
      </c>
      <c r="AG65" s="82">
        <v>277</v>
      </c>
      <c r="AH65" s="81" t="s">
        <v>718</v>
      </c>
      <c r="AI65" s="82" t="s">
        <v>229</v>
      </c>
      <c r="AJ65" s="81" t="s">
        <v>100</v>
      </c>
      <c r="AK65" s="82" t="s">
        <v>215</v>
      </c>
      <c r="AL65" s="81" t="s">
        <v>96</v>
      </c>
      <c r="AM65" s="82" t="s">
        <v>202</v>
      </c>
      <c r="AN65" s="81" t="s">
        <v>97</v>
      </c>
      <c r="AO65" s="82">
        <v>48</v>
      </c>
      <c r="AP65" s="81" t="s">
        <v>109</v>
      </c>
      <c r="AQ65" s="82">
        <v>288</v>
      </c>
      <c r="AR65" s="81" t="s">
        <v>715</v>
      </c>
      <c r="AS65" s="95" t="s">
        <v>117</v>
      </c>
      <c r="AT65" s="81" t="s">
        <v>102</v>
      </c>
      <c r="AU65" s="77" t="s">
        <v>121</v>
      </c>
      <c r="AV65" s="78" t="s">
        <v>9</v>
      </c>
      <c r="AW65" s="79" t="s">
        <v>9</v>
      </c>
      <c r="AX65" s="78" t="s">
        <v>236</v>
      </c>
      <c r="AY65" s="86" t="s">
        <v>720</v>
      </c>
      <c r="AZ65" s="78" t="s">
        <v>237</v>
      </c>
      <c r="BA65" s="79" t="s">
        <v>722</v>
      </c>
      <c r="BB65" s="78" t="s">
        <v>716</v>
      </c>
      <c r="BC65" s="77" t="s">
        <v>717</v>
      </c>
    </row>
    <row r="66" spans="1:55" ht="7.5" customHeight="1" x14ac:dyDescent="0.25">
      <c r="A66" s="69">
        <v>65</v>
      </c>
      <c r="B66" s="83" t="str">
        <f t="shared" si="0"/>
        <v>TU.PB.K9.0300</v>
      </c>
      <c r="C66" s="84" t="s">
        <v>377</v>
      </c>
      <c r="D66" s="85" t="s">
        <v>124</v>
      </c>
      <c r="E66" s="87" t="s">
        <v>1431</v>
      </c>
      <c r="F66" s="81" t="s">
        <v>104</v>
      </c>
      <c r="G66" s="86" t="s">
        <v>118</v>
      </c>
      <c r="H66" s="78" t="s">
        <v>9</v>
      </c>
      <c r="I66" s="79" t="s">
        <v>9</v>
      </c>
      <c r="J66" s="78" t="s">
        <v>125</v>
      </c>
      <c r="K66" s="79" t="s">
        <v>425</v>
      </c>
      <c r="L66" s="78" t="s">
        <v>122</v>
      </c>
      <c r="M66" s="79" t="s">
        <v>123</v>
      </c>
      <c r="N66" s="81" t="s">
        <v>715</v>
      </c>
      <c r="O66" s="86" t="s">
        <v>117</v>
      </c>
      <c r="P66" s="76" t="s">
        <v>9</v>
      </c>
      <c r="Q66" s="77" t="s">
        <v>9</v>
      </c>
      <c r="R66" s="78" t="s">
        <v>98</v>
      </c>
      <c r="S66" s="94">
        <v>300</v>
      </c>
      <c r="T66" s="81" t="s">
        <v>9</v>
      </c>
      <c r="U66" s="86" t="s">
        <v>9</v>
      </c>
      <c r="V66" s="76" t="s">
        <v>9</v>
      </c>
      <c r="W66" s="80" t="s">
        <v>9</v>
      </c>
      <c r="X66" s="81" t="s">
        <v>235</v>
      </c>
      <c r="Y66" s="94">
        <v>6000</v>
      </c>
      <c r="Z66" s="76" t="s">
        <v>9</v>
      </c>
      <c r="AA66" s="79" t="s">
        <v>9</v>
      </c>
      <c r="AB66" s="81" t="s">
        <v>101</v>
      </c>
      <c r="AC66" s="82">
        <v>115</v>
      </c>
      <c r="AD66" s="81" t="s">
        <v>713</v>
      </c>
      <c r="AE66" s="82">
        <v>326</v>
      </c>
      <c r="AF66" s="81" t="s">
        <v>719</v>
      </c>
      <c r="AG66" s="82">
        <v>329</v>
      </c>
      <c r="AH66" s="81" t="s">
        <v>718</v>
      </c>
      <c r="AI66" s="82">
        <v>410</v>
      </c>
      <c r="AJ66" s="81" t="s">
        <v>100</v>
      </c>
      <c r="AK66" s="82" t="s">
        <v>216</v>
      </c>
      <c r="AL66" s="81" t="s">
        <v>96</v>
      </c>
      <c r="AM66" s="82" t="s">
        <v>203</v>
      </c>
      <c r="AN66" s="81" t="s">
        <v>97</v>
      </c>
      <c r="AO66" s="82" t="s">
        <v>177</v>
      </c>
      <c r="AP66" s="81" t="s">
        <v>109</v>
      </c>
      <c r="AQ66" s="82" t="s">
        <v>142</v>
      </c>
      <c r="AR66" s="81" t="s">
        <v>715</v>
      </c>
      <c r="AS66" s="95" t="s">
        <v>117</v>
      </c>
      <c r="AT66" s="81" t="s">
        <v>102</v>
      </c>
      <c r="AU66" s="77" t="s">
        <v>121</v>
      </c>
      <c r="AV66" s="78" t="s">
        <v>9</v>
      </c>
      <c r="AW66" s="79" t="s">
        <v>9</v>
      </c>
      <c r="AX66" s="78" t="s">
        <v>236</v>
      </c>
      <c r="AY66" s="86" t="s">
        <v>720</v>
      </c>
      <c r="AZ66" s="78" t="s">
        <v>237</v>
      </c>
      <c r="BA66" s="79" t="s">
        <v>722</v>
      </c>
      <c r="BB66" s="78" t="s">
        <v>716</v>
      </c>
      <c r="BC66" s="77" t="s">
        <v>717</v>
      </c>
    </row>
    <row r="67" spans="1:55" ht="7.5" customHeight="1" x14ac:dyDescent="0.25">
      <c r="A67" s="69">
        <v>66</v>
      </c>
      <c r="B67" s="83" t="str">
        <f t="shared" si="0"/>
        <v>TU.PB.K9.0350</v>
      </c>
      <c r="C67" s="84" t="s">
        <v>377</v>
      </c>
      <c r="D67" s="85" t="s">
        <v>124</v>
      </c>
      <c r="E67" s="87" t="s">
        <v>1431</v>
      </c>
      <c r="F67" s="81" t="s">
        <v>104</v>
      </c>
      <c r="G67" s="86" t="s">
        <v>118</v>
      </c>
      <c r="H67" s="78" t="s">
        <v>9</v>
      </c>
      <c r="I67" s="79" t="s">
        <v>9</v>
      </c>
      <c r="J67" s="78" t="s">
        <v>125</v>
      </c>
      <c r="K67" s="79" t="s">
        <v>425</v>
      </c>
      <c r="L67" s="78" t="s">
        <v>122</v>
      </c>
      <c r="M67" s="79" t="s">
        <v>123</v>
      </c>
      <c r="N67" s="81" t="s">
        <v>715</v>
      </c>
      <c r="O67" s="86" t="s">
        <v>117</v>
      </c>
      <c r="P67" s="76" t="s">
        <v>9</v>
      </c>
      <c r="Q67" s="77" t="s">
        <v>9</v>
      </c>
      <c r="R67" s="78" t="s">
        <v>98</v>
      </c>
      <c r="S67" s="94">
        <v>350</v>
      </c>
      <c r="T67" s="81" t="s">
        <v>9</v>
      </c>
      <c r="U67" s="86" t="s">
        <v>9</v>
      </c>
      <c r="V67" s="76" t="s">
        <v>9</v>
      </c>
      <c r="W67" s="80" t="s">
        <v>9</v>
      </c>
      <c r="X67" s="81" t="s">
        <v>235</v>
      </c>
      <c r="Y67" s="94">
        <v>6000</v>
      </c>
      <c r="Z67" s="76" t="s">
        <v>9</v>
      </c>
      <c r="AA67" s="79" t="s">
        <v>9</v>
      </c>
      <c r="AB67" s="81" t="s">
        <v>101</v>
      </c>
      <c r="AC67" s="82">
        <v>114</v>
      </c>
      <c r="AD67" s="81" t="s">
        <v>713</v>
      </c>
      <c r="AE67" s="82">
        <v>378</v>
      </c>
      <c r="AF67" s="81" t="s">
        <v>719</v>
      </c>
      <c r="AG67" s="82">
        <v>381</v>
      </c>
      <c r="AH67" s="81" t="s">
        <v>718</v>
      </c>
      <c r="AI67" s="82">
        <v>465</v>
      </c>
      <c r="AJ67" s="81" t="s">
        <v>100</v>
      </c>
      <c r="AK67" s="82" t="s">
        <v>217</v>
      </c>
      <c r="AL67" s="81" t="s">
        <v>96</v>
      </c>
      <c r="AM67" s="82" t="s">
        <v>196</v>
      </c>
      <c r="AN67" s="81" t="s">
        <v>97</v>
      </c>
      <c r="AO67" s="82" t="s">
        <v>178</v>
      </c>
      <c r="AP67" s="81" t="s">
        <v>109</v>
      </c>
      <c r="AQ67" s="82" t="s">
        <v>143</v>
      </c>
      <c r="AR67" s="81" t="s">
        <v>715</v>
      </c>
      <c r="AS67" s="95" t="s">
        <v>117</v>
      </c>
      <c r="AT67" s="81" t="s">
        <v>102</v>
      </c>
      <c r="AU67" s="77" t="s">
        <v>121</v>
      </c>
      <c r="AV67" s="78" t="s">
        <v>9</v>
      </c>
      <c r="AW67" s="79" t="s">
        <v>9</v>
      </c>
      <c r="AX67" s="78" t="s">
        <v>236</v>
      </c>
      <c r="AY67" s="86" t="s">
        <v>720</v>
      </c>
      <c r="AZ67" s="78" t="s">
        <v>237</v>
      </c>
      <c r="BA67" s="79" t="s">
        <v>722</v>
      </c>
      <c r="BB67" s="78" t="s">
        <v>716</v>
      </c>
      <c r="BC67" s="77" t="s">
        <v>717</v>
      </c>
    </row>
    <row r="68" spans="1:55" ht="7.5" customHeight="1" x14ac:dyDescent="0.25">
      <c r="A68" s="69">
        <v>67</v>
      </c>
      <c r="B68" s="83" t="str">
        <f t="shared" si="0"/>
        <v>TU.PB.K9.0400</v>
      </c>
      <c r="C68" s="84" t="s">
        <v>377</v>
      </c>
      <c r="D68" s="85" t="s">
        <v>124</v>
      </c>
      <c r="E68" s="87" t="s">
        <v>1431</v>
      </c>
      <c r="F68" s="81" t="s">
        <v>104</v>
      </c>
      <c r="G68" s="86" t="s">
        <v>118</v>
      </c>
      <c r="H68" s="78" t="s">
        <v>9</v>
      </c>
      <c r="I68" s="79" t="s">
        <v>9</v>
      </c>
      <c r="J68" s="78" t="s">
        <v>125</v>
      </c>
      <c r="K68" s="79" t="s">
        <v>425</v>
      </c>
      <c r="L68" s="78" t="s">
        <v>122</v>
      </c>
      <c r="M68" s="79" t="s">
        <v>123</v>
      </c>
      <c r="N68" s="81" t="s">
        <v>715</v>
      </c>
      <c r="O68" s="86" t="s">
        <v>117</v>
      </c>
      <c r="P68" s="76" t="s">
        <v>9</v>
      </c>
      <c r="Q68" s="77" t="s">
        <v>9</v>
      </c>
      <c r="R68" s="78" t="s">
        <v>98</v>
      </c>
      <c r="S68" s="94">
        <v>400</v>
      </c>
      <c r="T68" s="81" t="s">
        <v>9</v>
      </c>
      <c r="U68" s="86" t="s">
        <v>9</v>
      </c>
      <c r="V68" s="76" t="s">
        <v>9</v>
      </c>
      <c r="W68" s="80" t="s">
        <v>9</v>
      </c>
      <c r="X68" s="81" t="s">
        <v>235</v>
      </c>
      <c r="Y68" s="94">
        <v>6000</v>
      </c>
      <c r="Z68" s="76" t="s">
        <v>9</v>
      </c>
      <c r="AA68" s="79" t="s">
        <v>9</v>
      </c>
      <c r="AB68" s="81" t="s">
        <v>101</v>
      </c>
      <c r="AC68" s="82">
        <v>113</v>
      </c>
      <c r="AD68" s="81" t="s">
        <v>713</v>
      </c>
      <c r="AE68" s="82">
        <v>429</v>
      </c>
      <c r="AF68" s="81" t="s">
        <v>719</v>
      </c>
      <c r="AG68" s="82">
        <v>432</v>
      </c>
      <c r="AH68" s="81" t="s">
        <v>718</v>
      </c>
      <c r="AI68" s="82">
        <v>517</v>
      </c>
      <c r="AJ68" s="81" t="s">
        <v>100</v>
      </c>
      <c r="AK68" s="82" t="s">
        <v>218</v>
      </c>
      <c r="AL68" s="81" t="s">
        <v>96</v>
      </c>
      <c r="AM68" s="82" t="s">
        <v>204</v>
      </c>
      <c r="AN68" s="81" t="s">
        <v>97</v>
      </c>
      <c r="AO68" s="82" t="s">
        <v>179</v>
      </c>
      <c r="AP68" s="81" t="s">
        <v>109</v>
      </c>
      <c r="AQ68" s="82" t="s">
        <v>144</v>
      </c>
      <c r="AR68" s="81" t="s">
        <v>715</v>
      </c>
      <c r="AS68" s="95" t="s">
        <v>117</v>
      </c>
      <c r="AT68" s="81" t="s">
        <v>102</v>
      </c>
      <c r="AU68" s="77" t="s">
        <v>121</v>
      </c>
      <c r="AV68" s="78" t="s">
        <v>9</v>
      </c>
      <c r="AW68" s="79" t="s">
        <v>9</v>
      </c>
      <c r="AX68" s="78" t="s">
        <v>236</v>
      </c>
      <c r="AY68" s="86" t="s">
        <v>720</v>
      </c>
      <c r="AZ68" s="78" t="s">
        <v>237</v>
      </c>
      <c r="BA68" s="79" t="s">
        <v>722</v>
      </c>
      <c r="BB68" s="78" t="s">
        <v>716</v>
      </c>
      <c r="BC68" s="77" t="s">
        <v>717</v>
      </c>
    </row>
    <row r="69" spans="1:55" ht="7.5" customHeight="1" x14ac:dyDescent="0.25">
      <c r="A69" s="69">
        <v>68</v>
      </c>
      <c r="B69" s="83" t="str">
        <f t="shared" si="0"/>
        <v>TU.PB.K9.0450</v>
      </c>
      <c r="C69" s="84" t="s">
        <v>377</v>
      </c>
      <c r="D69" s="85" t="s">
        <v>124</v>
      </c>
      <c r="E69" s="87" t="s">
        <v>1431</v>
      </c>
      <c r="F69" s="81" t="s">
        <v>104</v>
      </c>
      <c r="G69" s="86" t="s">
        <v>118</v>
      </c>
      <c r="H69" s="78" t="s">
        <v>9</v>
      </c>
      <c r="I69" s="79" t="s">
        <v>9</v>
      </c>
      <c r="J69" s="78" t="s">
        <v>125</v>
      </c>
      <c r="K69" s="79" t="s">
        <v>425</v>
      </c>
      <c r="L69" s="78" t="s">
        <v>122</v>
      </c>
      <c r="M69" s="79" t="s">
        <v>123</v>
      </c>
      <c r="N69" s="81" t="s">
        <v>715</v>
      </c>
      <c r="O69" s="86" t="s">
        <v>117</v>
      </c>
      <c r="P69" s="76" t="s">
        <v>9</v>
      </c>
      <c r="Q69" s="77" t="s">
        <v>9</v>
      </c>
      <c r="R69" s="78" t="s">
        <v>98</v>
      </c>
      <c r="S69" s="94">
        <v>450</v>
      </c>
      <c r="T69" s="81" t="s">
        <v>9</v>
      </c>
      <c r="U69" s="86" t="s">
        <v>9</v>
      </c>
      <c r="V69" s="76" t="s">
        <v>9</v>
      </c>
      <c r="W69" s="80" t="s">
        <v>9</v>
      </c>
      <c r="X69" s="81" t="s">
        <v>235</v>
      </c>
      <c r="Y69" s="94">
        <v>6000</v>
      </c>
      <c r="Z69" s="76" t="s">
        <v>9</v>
      </c>
      <c r="AA69" s="79" t="s">
        <v>9</v>
      </c>
      <c r="AB69" s="81" t="s">
        <v>101</v>
      </c>
      <c r="AC69" s="82">
        <v>120</v>
      </c>
      <c r="AD69" s="81" t="s">
        <v>713</v>
      </c>
      <c r="AE69" s="82">
        <v>480</v>
      </c>
      <c r="AF69" s="81" t="s">
        <v>719</v>
      </c>
      <c r="AG69" s="82">
        <v>483</v>
      </c>
      <c r="AH69" s="81" t="s">
        <v>718</v>
      </c>
      <c r="AI69" s="82">
        <v>575</v>
      </c>
      <c r="AJ69" s="81" t="s">
        <v>100</v>
      </c>
      <c r="AK69" s="82" t="s">
        <v>219</v>
      </c>
      <c r="AL69" s="81" t="s">
        <v>96</v>
      </c>
      <c r="AM69" s="82" t="s">
        <v>205</v>
      </c>
      <c r="AN69" s="81" t="s">
        <v>97</v>
      </c>
      <c r="AO69" s="82" t="s">
        <v>180</v>
      </c>
      <c r="AP69" s="81" t="s">
        <v>109</v>
      </c>
      <c r="AQ69" s="82" t="s">
        <v>145</v>
      </c>
      <c r="AR69" s="81" t="s">
        <v>715</v>
      </c>
      <c r="AS69" s="95" t="s">
        <v>117</v>
      </c>
      <c r="AT69" s="81" t="s">
        <v>102</v>
      </c>
      <c r="AU69" s="77" t="s">
        <v>121</v>
      </c>
      <c r="AV69" s="78" t="s">
        <v>9</v>
      </c>
      <c r="AW69" s="79" t="s">
        <v>9</v>
      </c>
      <c r="AX69" s="78" t="s">
        <v>236</v>
      </c>
      <c r="AY69" s="86" t="s">
        <v>720</v>
      </c>
      <c r="AZ69" s="78" t="s">
        <v>237</v>
      </c>
      <c r="BA69" s="79" t="s">
        <v>722</v>
      </c>
      <c r="BB69" s="78" t="s">
        <v>716</v>
      </c>
      <c r="BC69" s="77" t="s">
        <v>717</v>
      </c>
    </row>
    <row r="70" spans="1:55" ht="7.5" customHeight="1" x14ac:dyDescent="0.25">
      <c r="A70" s="69">
        <v>69</v>
      </c>
      <c r="B70" s="83" t="str">
        <f t="shared" si="0"/>
        <v>TU.PB.K9.0500</v>
      </c>
      <c r="C70" s="84" t="s">
        <v>377</v>
      </c>
      <c r="D70" s="85" t="s">
        <v>124</v>
      </c>
      <c r="E70" s="87" t="s">
        <v>1431</v>
      </c>
      <c r="F70" s="81" t="s">
        <v>104</v>
      </c>
      <c r="G70" s="86" t="s">
        <v>118</v>
      </c>
      <c r="H70" s="78" t="s">
        <v>9</v>
      </c>
      <c r="I70" s="79" t="s">
        <v>9</v>
      </c>
      <c r="J70" s="78" t="s">
        <v>125</v>
      </c>
      <c r="K70" s="79" t="s">
        <v>425</v>
      </c>
      <c r="L70" s="78" t="s">
        <v>122</v>
      </c>
      <c r="M70" s="79" t="s">
        <v>123</v>
      </c>
      <c r="N70" s="81" t="s">
        <v>715</v>
      </c>
      <c r="O70" s="86" t="s">
        <v>117</v>
      </c>
      <c r="P70" s="76" t="s">
        <v>9</v>
      </c>
      <c r="Q70" s="77" t="s">
        <v>9</v>
      </c>
      <c r="R70" s="78" t="s">
        <v>98</v>
      </c>
      <c r="S70" s="94">
        <v>500</v>
      </c>
      <c r="T70" s="81" t="s">
        <v>9</v>
      </c>
      <c r="U70" s="86" t="s">
        <v>9</v>
      </c>
      <c r="V70" s="76" t="s">
        <v>9</v>
      </c>
      <c r="W70" s="80" t="s">
        <v>9</v>
      </c>
      <c r="X70" s="81" t="s">
        <v>235</v>
      </c>
      <c r="Y70" s="94">
        <v>6000</v>
      </c>
      <c r="Z70" s="76" t="s">
        <v>9</v>
      </c>
      <c r="AA70" s="79" t="s">
        <v>9</v>
      </c>
      <c r="AB70" s="81" t="s">
        <v>101</v>
      </c>
      <c r="AC70" s="82">
        <v>125</v>
      </c>
      <c r="AD70" s="81" t="s">
        <v>713</v>
      </c>
      <c r="AE70" s="82">
        <v>532</v>
      </c>
      <c r="AF70" s="81" t="s">
        <v>719</v>
      </c>
      <c r="AG70" s="82">
        <v>535</v>
      </c>
      <c r="AH70" s="81" t="s">
        <v>718</v>
      </c>
      <c r="AI70" s="82">
        <v>630</v>
      </c>
      <c r="AJ70" s="81" t="s">
        <v>100</v>
      </c>
      <c r="AK70" s="82" t="s">
        <v>220</v>
      </c>
      <c r="AL70" s="81" t="s">
        <v>96</v>
      </c>
      <c r="AM70" s="82">
        <v>9</v>
      </c>
      <c r="AN70" s="81" t="s">
        <v>97</v>
      </c>
      <c r="AO70" s="82" t="s">
        <v>181</v>
      </c>
      <c r="AP70" s="81" t="s">
        <v>109</v>
      </c>
      <c r="AQ70" s="82" t="s">
        <v>146</v>
      </c>
      <c r="AR70" s="81" t="s">
        <v>715</v>
      </c>
      <c r="AS70" s="95" t="s">
        <v>117</v>
      </c>
      <c r="AT70" s="81" t="s">
        <v>102</v>
      </c>
      <c r="AU70" s="77" t="s">
        <v>121</v>
      </c>
      <c r="AV70" s="78" t="s">
        <v>9</v>
      </c>
      <c r="AW70" s="79" t="s">
        <v>9</v>
      </c>
      <c r="AX70" s="78" t="s">
        <v>236</v>
      </c>
      <c r="AY70" s="86" t="s">
        <v>720</v>
      </c>
      <c r="AZ70" s="78" t="s">
        <v>237</v>
      </c>
      <c r="BA70" s="79" t="s">
        <v>722</v>
      </c>
      <c r="BB70" s="78" t="s">
        <v>716</v>
      </c>
      <c r="BC70" s="77" t="s">
        <v>717</v>
      </c>
    </row>
    <row r="71" spans="1:55" ht="7.5" customHeight="1" x14ac:dyDescent="0.25">
      <c r="A71" s="69">
        <v>70</v>
      </c>
      <c r="B71" s="83" t="str">
        <f t="shared" si="0"/>
        <v>TU.PB.K9.0600</v>
      </c>
      <c r="C71" s="84" t="s">
        <v>377</v>
      </c>
      <c r="D71" s="85" t="s">
        <v>124</v>
      </c>
      <c r="E71" s="87" t="s">
        <v>1431</v>
      </c>
      <c r="F71" s="81" t="s">
        <v>104</v>
      </c>
      <c r="G71" s="86" t="s">
        <v>118</v>
      </c>
      <c r="H71" s="78" t="s">
        <v>9</v>
      </c>
      <c r="I71" s="79" t="s">
        <v>9</v>
      </c>
      <c r="J71" s="78" t="s">
        <v>125</v>
      </c>
      <c r="K71" s="79" t="s">
        <v>425</v>
      </c>
      <c r="L71" s="78" t="s">
        <v>122</v>
      </c>
      <c r="M71" s="79" t="s">
        <v>123</v>
      </c>
      <c r="N71" s="81" t="s">
        <v>715</v>
      </c>
      <c r="O71" s="86" t="s">
        <v>117</v>
      </c>
      <c r="P71" s="76" t="s">
        <v>9</v>
      </c>
      <c r="Q71" s="77" t="s">
        <v>9</v>
      </c>
      <c r="R71" s="78" t="s">
        <v>98</v>
      </c>
      <c r="S71" s="94">
        <v>600</v>
      </c>
      <c r="T71" s="81" t="s">
        <v>9</v>
      </c>
      <c r="U71" s="86" t="s">
        <v>9</v>
      </c>
      <c r="V71" s="76" t="s">
        <v>9</v>
      </c>
      <c r="W71" s="80" t="s">
        <v>9</v>
      </c>
      <c r="X71" s="81" t="s">
        <v>235</v>
      </c>
      <c r="Y71" s="94">
        <v>6000</v>
      </c>
      <c r="Z71" s="76" t="s">
        <v>9</v>
      </c>
      <c r="AA71" s="79" t="s">
        <v>9</v>
      </c>
      <c r="AB71" s="81" t="s">
        <v>101</v>
      </c>
      <c r="AC71" s="82">
        <v>135</v>
      </c>
      <c r="AD71" s="81" t="s">
        <v>713</v>
      </c>
      <c r="AE71" s="82">
        <v>635</v>
      </c>
      <c r="AF71" s="81" t="s">
        <v>719</v>
      </c>
      <c r="AG71" s="82">
        <v>638</v>
      </c>
      <c r="AH71" s="81" t="s">
        <v>718</v>
      </c>
      <c r="AI71" s="82">
        <v>739</v>
      </c>
      <c r="AJ71" s="81" t="s">
        <v>100</v>
      </c>
      <c r="AK71" s="82" t="s">
        <v>221</v>
      </c>
      <c r="AL71" s="81" t="s">
        <v>96</v>
      </c>
      <c r="AM71" s="82" t="s">
        <v>206</v>
      </c>
      <c r="AN71" s="81" t="s">
        <v>97</v>
      </c>
      <c r="AO71" s="82" t="s">
        <v>182</v>
      </c>
      <c r="AP71" s="81" t="s">
        <v>109</v>
      </c>
      <c r="AQ71" s="82" t="s">
        <v>147</v>
      </c>
      <c r="AR71" s="81" t="s">
        <v>715</v>
      </c>
      <c r="AS71" s="95" t="s">
        <v>117</v>
      </c>
      <c r="AT71" s="81" t="s">
        <v>102</v>
      </c>
      <c r="AU71" s="77" t="s">
        <v>121</v>
      </c>
      <c r="AV71" s="78" t="s">
        <v>9</v>
      </c>
      <c r="AW71" s="79" t="s">
        <v>9</v>
      </c>
      <c r="AX71" s="78" t="s">
        <v>236</v>
      </c>
      <c r="AY71" s="86" t="s">
        <v>720</v>
      </c>
      <c r="AZ71" s="78" t="s">
        <v>237</v>
      </c>
      <c r="BA71" s="79" t="s">
        <v>722</v>
      </c>
      <c r="BB71" s="78" t="s">
        <v>716</v>
      </c>
      <c r="BC71" s="77" t="s">
        <v>717</v>
      </c>
    </row>
    <row r="72" spans="1:55" ht="7.5" customHeight="1" x14ac:dyDescent="0.25">
      <c r="A72" s="69">
        <v>71</v>
      </c>
      <c r="B72" s="83" t="str">
        <f t="shared" si="0"/>
        <v>TU.PB.K9.0700</v>
      </c>
      <c r="C72" s="84" t="s">
        <v>377</v>
      </c>
      <c r="D72" s="85" t="s">
        <v>124</v>
      </c>
      <c r="E72" s="87" t="s">
        <v>1431</v>
      </c>
      <c r="F72" s="81" t="s">
        <v>104</v>
      </c>
      <c r="G72" s="86" t="s">
        <v>118</v>
      </c>
      <c r="H72" s="78" t="s">
        <v>9</v>
      </c>
      <c r="I72" s="79" t="s">
        <v>9</v>
      </c>
      <c r="J72" s="78" t="s">
        <v>125</v>
      </c>
      <c r="K72" s="79" t="s">
        <v>425</v>
      </c>
      <c r="L72" s="78" t="s">
        <v>122</v>
      </c>
      <c r="M72" s="79" t="s">
        <v>123</v>
      </c>
      <c r="N72" s="81" t="s">
        <v>715</v>
      </c>
      <c r="O72" s="86" t="s">
        <v>117</v>
      </c>
      <c r="P72" s="76" t="s">
        <v>9</v>
      </c>
      <c r="Q72" s="77" t="s">
        <v>9</v>
      </c>
      <c r="R72" s="78" t="s">
        <v>98</v>
      </c>
      <c r="S72" s="94">
        <v>700</v>
      </c>
      <c r="T72" s="81" t="s">
        <v>9</v>
      </c>
      <c r="U72" s="86" t="s">
        <v>9</v>
      </c>
      <c r="V72" s="76" t="s">
        <v>9</v>
      </c>
      <c r="W72" s="80" t="s">
        <v>9</v>
      </c>
      <c r="X72" s="81" t="s">
        <v>235</v>
      </c>
      <c r="Y72" s="94">
        <v>7000</v>
      </c>
      <c r="Z72" s="76" t="s">
        <v>9</v>
      </c>
      <c r="AA72" s="79" t="s">
        <v>9</v>
      </c>
      <c r="AB72" s="81" t="s">
        <v>101</v>
      </c>
      <c r="AC72" s="82">
        <v>158</v>
      </c>
      <c r="AD72" s="81" t="s">
        <v>713</v>
      </c>
      <c r="AE72" s="82">
        <v>738</v>
      </c>
      <c r="AF72" s="81" t="s">
        <v>719</v>
      </c>
      <c r="AG72" s="82">
        <v>741</v>
      </c>
      <c r="AH72" s="81" t="s">
        <v>718</v>
      </c>
      <c r="AI72" s="82">
        <v>863</v>
      </c>
      <c r="AJ72" s="81" t="s">
        <v>100</v>
      </c>
      <c r="AK72" s="82" t="s">
        <v>222</v>
      </c>
      <c r="AL72" s="81" t="s">
        <v>96</v>
      </c>
      <c r="AM72" s="82" t="s">
        <v>207</v>
      </c>
      <c r="AN72" s="81" t="s">
        <v>97</v>
      </c>
      <c r="AO72" s="82" t="s">
        <v>183</v>
      </c>
      <c r="AP72" s="81" t="s">
        <v>109</v>
      </c>
      <c r="AQ72" s="82" t="s">
        <v>148</v>
      </c>
      <c r="AR72" s="81" t="s">
        <v>715</v>
      </c>
      <c r="AS72" s="95" t="s">
        <v>117</v>
      </c>
      <c r="AT72" s="81" t="s">
        <v>102</v>
      </c>
      <c r="AU72" s="77" t="s">
        <v>121</v>
      </c>
      <c r="AV72" s="78" t="s">
        <v>9</v>
      </c>
      <c r="AW72" s="79" t="s">
        <v>9</v>
      </c>
      <c r="AX72" s="78" t="s">
        <v>236</v>
      </c>
      <c r="AY72" s="86" t="s">
        <v>720</v>
      </c>
      <c r="AZ72" s="78" t="s">
        <v>237</v>
      </c>
      <c r="BA72" s="79" t="s">
        <v>722</v>
      </c>
      <c r="BB72" s="78" t="s">
        <v>716</v>
      </c>
      <c r="BC72" s="77" t="s">
        <v>717</v>
      </c>
    </row>
    <row r="73" spans="1:55" ht="7.5" customHeight="1" x14ac:dyDescent="0.25">
      <c r="A73" s="69">
        <v>72</v>
      </c>
      <c r="B73" s="83" t="str">
        <f t="shared" si="0"/>
        <v>TU.PB.K9.0800</v>
      </c>
      <c r="C73" s="84" t="s">
        <v>377</v>
      </c>
      <c r="D73" s="85" t="s">
        <v>124</v>
      </c>
      <c r="E73" s="87" t="s">
        <v>1431</v>
      </c>
      <c r="F73" s="81" t="s">
        <v>104</v>
      </c>
      <c r="G73" s="86" t="s">
        <v>118</v>
      </c>
      <c r="H73" s="78" t="s">
        <v>9</v>
      </c>
      <c r="I73" s="79" t="s">
        <v>9</v>
      </c>
      <c r="J73" s="78" t="s">
        <v>125</v>
      </c>
      <c r="K73" s="79" t="s">
        <v>425</v>
      </c>
      <c r="L73" s="78" t="s">
        <v>122</v>
      </c>
      <c r="M73" s="79" t="s">
        <v>123</v>
      </c>
      <c r="N73" s="81" t="s">
        <v>715</v>
      </c>
      <c r="O73" s="86" t="s">
        <v>117</v>
      </c>
      <c r="P73" s="76" t="s">
        <v>9</v>
      </c>
      <c r="Q73" s="77" t="s">
        <v>9</v>
      </c>
      <c r="R73" s="78" t="s">
        <v>98</v>
      </c>
      <c r="S73" s="94">
        <v>800</v>
      </c>
      <c r="T73" s="81" t="s">
        <v>9</v>
      </c>
      <c r="U73" s="86" t="s">
        <v>9</v>
      </c>
      <c r="V73" s="76" t="s">
        <v>9</v>
      </c>
      <c r="W73" s="80" t="s">
        <v>9</v>
      </c>
      <c r="X73" s="81" t="s">
        <v>235</v>
      </c>
      <c r="Y73" s="94">
        <v>7000</v>
      </c>
      <c r="Z73" s="76" t="s">
        <v>9</v>
      </c>
      <c r="AA73" s="79" t="s">
        <v>9</v>
      </c>
      <c r="AB73" s="81" t="s">
        <v>101</v>
      </c>
      <c r="AC73" s="82">
        <v>150</v>
      </c>
      <c r="AD73" s="81" t="s">
        <v>713</v>
      </c>
      <c r="AE73" s="82">
        <v>842</v>
      </c>
      <c r="AF73" s="81" t="s">
        <v>719</v>
      </c>
      <c r="AG73" s="82">
        <v>845</v>
      </c>
      <c r="AH73" s="81" t="s">
        <v>718</v>
      </c>
      <c r="AI73" s="82">
        <v>974</v>
      </c>
      <c r="AJ73" s="81" t="s">
        <v>100</v>
      </c>
      <c r="AK73" s="82" t="s">
        <v>222</v>
      </c>
      <c r="AL73" s="81" t="s">
        <v>96</v>
      </c>
      <c r="AM73" s="82" t="s">
        <v>208</v>
      </c>
      <c r="AN73" s="81" t="s">
        <v>97</v>
      </c>
      <c r="AO73" s="82" t="s">
        <v>184</v>
      </c>
      <c r="AP73" s="81" t="s">
        <v>109</v>
      </c>
      <c r="AQ73" s="82" t="s">
        <v>149</v>
      </c>
      <c r="AR73" s="81" t="s">
        <v>715</v>
      </c>
      <c r="AS73" s="95" t="s">
        <v>117</v>
      </c>
      <c r="AT73" s="81" t="s">
        <v>102</v>
      </c>
      <c r="AU73" s="77" t="s">
        <v>121</v>
      </c>
      <c r="AV73" s="78" t="s">
        <v>9</v>
      </c>
      <c r="AW73" s="79" t="s">
        <v>9</v>
      </c>
      <c r="AX73" s="78" t="s">
        <v>236</v>
      </c>
      <c r="AY73" s="86" t="s">
        <v>720</v>
      </c>
      <c r="AZ73" s="78" t="s">
        <v>237</v>
      </c>
      <c r="BA73" s="79" t="s">
        <v>722</v>
      </c>
      <c r="BB73" s="78" t="s">
        <v>716</v>
      </c>
      <c r="BC73" s="77" t="s">
        <v>717</v>
      </c>
    </row>
    <row r="74" spans="1:55" customFormat="1" ht="7.9" customHeight="1" x14ac:dyDescent="0.25">
      <c r="A74" s="69">
        <v>73</v>
      </c>
      <c r="B74" s="83" t="str">
        <f t="shared" si="0"/>
        <v>TU.PB.K9.0900</v>
      </c>
      <c r="C74" s="84" t="s">
        <v>377</v>
      </c>
      <c r="D74" s="85" t="s">
        <v>124</v>
      </c>
      <c r="E74" s="87" t="s">
        <v>1431</v>
      </c>
      <c r="F74" s="81" t="s">
        <v>104</v>
      </c>
      <c r="G74" s="86" t="s">
        <v>118</v>
      </c>
      <c r="H74" s="78" t="s">
        <v>9</v>
      </c>
      <c r="I74" s="79" t="s">
        <v>9</v>
      </c>
      <c r="J74" s="78" t="s">
        <v>125</v>
      </c>
      <c r="K74" s="79" t="s">
        <v>425</v>
      </c>
      <c r="L74" s="78" t="s">
        <v>122</v>
      </c>
      <c r="M74" s="79" t="s">
        <v>123</v>
      </c>
      <c r="N74" s="81" t="s">
        <v>715</v>
      </c>
      <c r="O74" s="86" t="s">
        <v>117</v>
      </c>
      <c r="P74" s="76" t="s">
        <v>9</v>
      </c>
      <c r="Q74" s="77" t="s">
        <v>9</v>
      </c>
      <c r="R74" s="78" t="s">
        <v>98</v>
      </c>
      <c r="S74" s="94">
        <v>900</v>
      </c>
      <c r="T74" s="81" t="s">
        <v>9</v>
      </c>
      <c r="U74" s="86" t="s">
        <v>9</v>
      </c>
      <c r="V74" s="76" t="s">
        <v>9</v>
      </c>
      <c r="W74" s="80" t="s">
        <v>9</v>
      </c>
      <c r="X74" s="81" t="s">
        <v>235</v>
      </c>
      <c r="Y74" s="94">
        <v>7000</v>
      </c>
      <c r="Z74" s="76" t="s">
        <v>9</v>
      </c>
      <c r="AA74" s="79" t="s">
        <v>9</v>
      </c>
      <c r="AB74" s="81" t="s">
        <v>101</v>
      </c>
      <c r="AC74" s="82">
        <v>155</v>
      </c>
      <c r="AD74" s="81" t="s">
        <v>713</v>
      </c>
      <c r="AE74" s="82">
        <v>945</v>
      </c>
      <c r="AF74" s="81" t="s">
        <v>719</v>
      </c>
      <c r="AG74" s="82">
        <v>948</v>
      </c>
      <c r="AH74" s="81" t="s">
        <v>718</v>
      </c>
      <c r="AI74" s="82">
        <v>1082</v>
      </c>
      <c r="AJ74" s="81" t="s">
        <v>100</v>
      </c>
      <c r="AK74" s="82" t="s">
        <v>222</v>
      </c>
      <c r="AL74" s="81" t="s">
        <v>96</v>
      </c>
      <c r="AM74" s="82" t="s">
        <v>209</v>
      </c>
      <c r="AN74" s="81" t="s">
        <v>97</v>
      </c>
      <c r="AO74" s="82" t="s">
        <v>185</v>
      </c>
      <c r="AP74" s="81" t="s">
        <v>109</v>
      </c>
      <c r="AQ74" s="82" t="s">
        <v>150</v>
      </c>
      <c r="AR74" s="81" t="s">
        <v>715</v>
      </c>
      <c r="AS74" s="95" t="s">
        <v>117</v>
      </c>
      <c r="AT74" s="81" t="s">
        <v>102</v>
      </c>
      <c r="AU74" s="77" t="s">
        <v>121</v>
      </c>
      <c r="AV74" s="78" t="s">
        <v>9</v>
      </c>
      <c r="AW74" s="79" t="s">
        <v>9</v>
      </c>
      <c r="AX74" s="78" t="s">
        <v>236</v>
      </c>
      <c r="AY74" s="86" t="s">
        <v>720</v>
      </c>
      <c r="AZ74" s="78" t="s">
        <v>237</v>
      </c>
      <c r="BA74" s="79" t="s">
        <v>722</v>
      </c>
      <c r="BB74" s="78" t="s">
        <v>716</v>
      </c>
      <c r="BC74" s="77" t="s">
        <v>717</v>
      </c>
    </row>
    <row r="75" spans="1:55" customFormat="1" ht="8.65" customHeight="1" x14ac:dyDescent="0.25">
      <c r="A75" s="69">
        <v>74</v>
      </c>
      <c r="B75" s="83" t="str">
        <f t="shared" si="0"/>
        <v>TU.PB.K9.1000</v>
      </c>
      <c r="C75" s="84" t="s">
        <v>377</v>
      </c>
      <c r="D75" s="85" t="s">
        <v>124</v>
      </c>
      <c r="E75" s="87" t="s">
        <v>1431</v>
      </c>
      <c r="F75" s="81" t="s">
        <v>104</v>
      </c>
      <c r="G75" s="86" t="s">
        <v>118</v>
      </c>
      <c r="H75" s="78" t="s">
        <v>9</v>
      </c>
      <c r="I75" s="79" t="s">
        <v>9</v>
      </c>
      <c r="J75" s="78" t="s">
        <v>125</v>
      </c>
      <c r="K75" s="79" t="s">
        <v>425</v>
      </c>
      <c r="L75" s="78" t="s">
        <v>122</v>
      </c>
      <c r="M75" s="79" t="s">
        <v>123</v>
      </c>
      <c r="N75" s="81" t="s">
        <v>715</v>
      </c>
      <c r="O75" s="86" t="s">
        <v>117</v>
      </c>
      <c r="P75" s="76" t="s">
        <v>9</v>
      </c>
      <c r="Q75" s="77" t="s">
        <v>9</v>
      </c>
      <c r="R75" s="78" t="s">
        <v>98</v>
      </c>
      <c r="S75" s="94">
        <v>1000</v>
      </c>
      <c r="T75" s="81" t="s">
        <v>9</v>
      </c>
      <c r="U75" s="86" t="s">
        <v>9</v>
      </c>
      <c r="V75" s="76" t="s">
        <v>9</v>
      </c>
      <c r="W75" s="80" t="s">
        <v>9</v>
      </c>
      <c r="X75" s="81" t="s">
        <v>235</v>
      </c>
      <c r="Y75" s="94">
        <v>7000</v>
      </c>
      <c r="Z75" s="76" t="s">
        <v>9</v>
      </c>
      <c r="AA75" s="79" t="s">
        <v>9</v>
      </c>
      <c r="AB75" s="81" t="s">
        <v>101</v>
      </c>
      <c r="AC75" s="82">
        <v>165</v>
      </c>
      <c r="AD75" s="81" t="s">
        <v>713</v>
      </c>
      <c r="AE75" s="82">
        <v>1048</v>
      </c>
      <c r="AF75" s="81" t="s">
        <v>719</v>
      </c>
      <c r="AG75" s="82">
        <v>1015</v>
      </c>
      <c r="AH75" s="81" t="s">
        <v>718</v>
      </c>
      <c r="AI75" s="82">
        <v>1191</v>
      </c>
      <c r="AJ75" s="81" t="s">
        <v>100</v>
      </c>
      <c r="AK75" s="82" t="s">
        <v>223</v>
      </c>
      <c r="AL75" s="81" t="s">
        <v>96</v>
      </c>
      <c r="AM75" s="82" t="s">
        <v>210</v>
      </c>
      <c r="AN75" s="81" t="s">
        <v>97</v>
      </c>
      <c r="AO75" s="82">
        <v>375</v>
      </c>
      <c r="AP75" s="81" t="s">
        <v>109</v>
      </c>
      <c r="AQ75" s="82">
        <v>2625</v>
      </c>
      <c r="AR75" s="81" t="s">
        <v>715</v>
      </c>
      <c r="AS75" s="95" t="s">
        <v>117</v>
      </c>
      <c r="AT75" s="81" t="s">
        <v>102</v>
      </c>
      <c r="AU75" s="77" t="s">
        <v>121</v>
      </c>
      <c r="AV75" s="78" t="s">
        <v>9</v>
      </c>
      <c r="AW75" s="79" t="s">
        <v>9</v>
      </c>
      <c r="AX75" s="78" t="s">
        <v>236</v>
      </c>
      <c r="AY75" s="86" t="s">
        <v>720</v>
      </c>
      <c r="AZ75" s="78" t="s">
        <v>237</v>
      </c>
      <c r="BA75" s="79" t="s">
        <v>722</v>
      </c>
      <c r="BB75" s="78" t="s">
        <v>716</v>
      </c>
      <c r="BC75" s="77" t="s">
        <v>717</v>
      </c>
    </row>
    <row r="76" spans="1:55" customFormat="1" ht="7.9" customHeight="1" x14ac:dyDescent="0.25">
      <c r="A76" s="69">
        <v>75</v>
      </c>
      <c r="B76" s="83" t="str">
        <f t="shared" si="0"/>
        <v>TU.PB.K9.1200</v>
      </c>
      <c r="C76" s="84" t="s">
        <v>377</v>
      </c>
      <c r="D76" s="85" t="s">
        <v>124</v>
      </c>
      <c r="E76" s="87" t="s">
        <v>1431</v>
      </c>
      <c r="F76" s="81" t="s">
        <v>104</v>
      </c>
      <c r="G76" s="86" t="s">
        <v>118</v>
      </c>
      <c r="H76" s="78" t="s">
        <v>9</v>
      </c>
      <c r="I76" s="79" t="s">
        <v>9</v>
      </c>
      <c r="J76" s="78" t="s">
        <v>125</v>
      </c>
      <c r="K76" s="79" t="s">
        <v>425</v>
      </c>
      <c r="L76" s="78" t="s">
        <v>122</v>
      </c>
      <c r="M76" s="79" t="s">
        <v>123</v>
      </c>
      <c r="N76" s="81" t="s">
        <v>715</v>
      </c>
      <c r="O76" s="86" t="s">
        <v>117</v>
      </c>
      <c r="P76" s="76" t="s">
        <v>9</v>
      </c>
      <c r="Q76" s="77" t="s">
        <v>9</v>
      </c>
      <c r="R76" s="78" t="s">
        <v>98</v>
      </c>
      <c r="S76" s="94">
        <v>1200</v>
      </c>
      <c r="T76" s="81" t="s">
        <v>9</v>
      </c>
      <c r="U76" s="86" t="s">
        <v>9</v>
      </c>
      <c r="V76" s="76" t="s">
        <v>9</v>
      </c>
      <c r="W76" s="80" t="s">
        <v>9</v>
      </c>
      <c r="X76" s="81" t="s">
        <v>235</v>
      </c>
      <c r="Y76" s="94">
        <v>7000</v>
      </c>
      <c r="Z76" s="76" t="s">
        <v>9</v>
      </c>
      <c r="AA76" s="79" t="s">
        <v>9</v>
      </c>
      <c r="AB76" s="81" t="s">
        <v>101</v>
      </c>
      <c r="AC76" s="82">
        <v>170</v>
      </c>
      <c r="AD76" s="81" t="s">
        <v>713</v>
      </c>
      <c r="AE76" s="82">
        <v>1255</v>
      </c>
      <c r="AF76" s="81" t="s">
        <v>719</v>
      </c>
      <c r="AG76" s="82">
        <v>1258</v>
      </c>
      <c r="AH76" s="81" t="s">
        <v>718</v>
      </c>
      <c r="AI76" s="82">
        <v>1412</v>
      </c>
      <c r="AJ76" s="81" t="s">
        <v>100</v>
      </c>
      <c r="AK76" s="82" t="s">
        <v>224</v>
      </c>
      <c r="AL76" s="81" t="s">
        <v>96</v>
      </c>
      <c r="AM76" s="82" t="s">
        <v>211</v>
      </c>
      <c r="AN76" s="81" t="s">
        <v>97</v>
      </c>
      <c r="AO76" s="82" t="s">
        <v>186</v>
      </c>
      <c r="AP76" s="81" t="s">
        <v>109</v>
      </c>
      <c r="AQ76" s="82" t="s">
        <v>151</v>
      </c>
      <c r="AR76" s="81" t="s">
        <v>715</v>
      </c>
      <c r="AS76" s="95" t="s">
        <v>117</v>
      </c>
      <c r="AT76" s="81" t="s">
        <v>102</v>
      </c>
      <c r="AU76" s="77" t="s">
        <v>121</v>
      </c>
      <c r="AV76" s="78" t="s">
        <v>9</v>
      </c>
      <c r="AW76" s="79" t="s">
        <v>9</v>
      </c>
      <c r="AX76" s="78" t="s">
        <v>236</v>
      </c>
      <c r="AY76" s="86" t="s">
        <v>720</v>
      </c>
      <c r="AZ76" s="78" t="s">
        <v>237</v>
      </c>
      <c r="BA76" s="79" t="s">
        <v>722</v>
      </c>
      <c r="BB76" s="78" t="s">
        <v>716</v>
      </c>
      <c r="BC76" s="77" t="s">
        <v>717</v>
      </c>
    </row>
    <row r="77" spans="1:55" customFormat="1" ht="7.9" customHeight="1" x14ac:dyDescent="0.25">
      <c r="A77" s="69">
        <v>76</v>
      </c>
      <c r="B77" s="91" t="s">
        <v>1127</v>
      </c>
      <c r="C77" s="71" t="s">
        <v>1462</v>
      </c>
      <c r="D77" s="72" t="s">
        <v>124</v>
      </c>
      <c r="E77" s="88" t="s">
        <v>1118</v>
      </c>
      <c r="F77" s="74" t="s">
        <v>104</v>
      </c>
      <c r="G77" s="75" t="s">
        <v>1128</v>
      </c>
      <c r="H77" s="76" t="s">
        <v>9</v>
      </c>
      <c r="I77" s="77" t="s">
        <v>9</v>
      </c>
      <c r="J77" s="78" t="s">
        <v>9</v>
      </c>
      <c r="K77" s="79" t="s">
        <v>9</v>
      </c>
      <c r="L77" s="76" t="s">
        <v>9</v>
      </c>
      <c r="M77" s="77" t="s">
        <v>9</v>
      </c>
      <c r="N77" s="76" t="s">
        <v>715</v>
      </c>
      <c r="O77" s="77" t="s">
        <v>457</v>
      </c>
      <c r="P77" s="76" t="s">
        <v>1110</v>
      </c>
      <c r="Q77" s="77" t="s">
        <v>1111</v>
      </c>
      <c r="R77" s="76" t="s">
        <v>9</v>
      </c>
      <c r="S77" s="80" t="s">
        <v>9</v>
      </c>
      <c r="T77" s="76" t="s">
        <v>9</v>
      </c>
      <c r="U77" s="77" t="s">
        <v>9</v>
      </c>
      <c r="V77" s="76" t="s">
        <v>9</v>
      </c>
      <c r="W77" s="80" t="s">
        <v>9</v>
      </c>
      <c r="X77" s="76" t="s">
        <v>9</v>
      </c>
      <c r="Y77" s="80" t="s">
        <v>9</v>
      </c>
      <c r="Z77" s="76" t="s">
        <v>9</v>
      </c>
      <c r="AA77" s="79" t="s">
        <v>9</v>
      </c>
      <c r="AB77" s="96" t="s">
        <v>9</v>
      </c>
      <c r="AC77" s="80" t="s">
        <v>9</v>
      </c>
      <c r="AD77" s="96" t="s">
        <v>9</v>
      </c>
      <c r="AE77" s="80" t="s">
        <v>9</v>
      </c>
      <c r="AF77" s="78" t="s">
        <v>9</v>
      </c>
      <c r="AG77" s="80" t="s">
        <v>9</v>
      </c>
      <c r="AH77" s="78" t="s">
        <v>9</v>
      </c>
      <c r="AI77" s="80" t="s">
        <v>9</v>
      </c>
      <c r="AJ77" s="78" t="s">
        <v>9</v>
      </c>
      <c r="AK77" s="80" t="s">
        <v>9</v>
      </c>
      <c r="AL77" s="78" t="s">
        <v>9</v>
      </c>
      <c r="AM77" s="80" t="s">
        <v>9</v>
      </c>
      <c r="AN77" s="78" t="s">
        <v>9</v>
      </c>
      <c r="AO77" s="80" t="s">
        <v>9</v>
      </c>
      <c r="AP77" s="78" t="s">
        <v>9</v>
      </c>
      <c r="AQ77" s="80" t="s">
        <v>9</v>
      </c>
      <c r="AR77" s="78" t="s">
        <v>9</v>
      </c>
      <c r="AS77" s="77" t="s">
        <v>9</v>
      </c>
      <c r="AT77" s="78" t="s">
        <v>9</v>
      </c>
      <c r="AU77" s="77" t="s">
        <v>9</v>
      </c>
      <c r="AV77" s="78" t="s">
        <v>9</v>
      </c>
      <c r="AW77" s="79" t="s">
        <v>9</v>
      </c>
      <c r="AX77" s="96" t="s">
        <v>236</v>
      </c>
      <c r="AY77" s="77" t="s">
        <v>1123</v>
      </c>
      <c r="AZ77" s="96" t="s">
        <v>237</v>
      </c>
      <c r="BA77" s="77" t="s">
        <v>1124</v>
      </c>
      <c r="BB77" s="96" t="s">
        <v>716</v>
      </c>
      <c r="BC77" s="77" t="s">
        <v>1129</v>
      </c>
    </row>
    <row r="78" spans="1:55" customFormat="1" ht="7.9" customHeight="1" x14ac:dyDescent="0.25">
      <c r="A78" s="69">
        <v>77</v>
      </c>
      <c r="B78" s="91" t="s">
        <v>1130</v>
      </c>
      <c r="C78" s="71" t="s">
        <v>1462</v>
      </c>
      <c r="D78" s="72" t="s">
        <v>124</v>
      </c>
      <c r="E78" s="88" t="s">
        <v>1118</v>
      </c>
      <c r="F78" s="74" t="s">
        <v>104</v>
      </c>
      <c r="G78" s="75" t="s">
        <v>1128</v>
      </c>
      <c r="H78" s="76" t="s">
        <v>9</v>
      </c>
      <c r="I78" s="77" t="s">
        <v>9</v>
      </c>
      <c r="J78" s="78" t="s">
        <v>9</v>
      </c>
      <c r="K78" s="79" t="s">
        <v>9</v>
      </c>
      <c r="L78" s="76" t="s">
        <v>9</v>
      </c>
      <c r="M78" s="77" t="s">
        <v>9</v>
      </c>
      <c r="N78" s="76" t="s">
        <v>715</v>
      </c>
      <c r="O78" s="77" t="s">
        <v>457</v>
      </c>
      <c r="P78" s="76" t="s">
        <v>1110</v>
      </c>
      <c r="Q78" s="77" t="s">
        <v>1111</v>
      </c>
      <c r="R78" s="76" t="s">
        <v>9</v>
      </c>
      <c r="S78" s="80" t="s">
        <v>9</v>
      </c>
      <c r="T78" s="76" t="s">
        <v>9</v>
      </c>
      <c r="U78" s="77" t="s">
        <v>9</v>
      </c>
      <c r="V78" s="76" t="s">
        <v>9</v>
      </c>
      <c r="W78" s="80" t="s">
        <v>9</v>
      </c>
      <c r="X78" s="76" t="s">
        <v>9</v>
      </c>
      <c r="Y78" s="80" t="s">
        <v>9</v>
      </c>
      <c r="Z78" s="76" t="s">
        <v>9</v>
      </c>
      <c r="AA78" s="79" t="s">
        <v>9</v>
      </c>
      <c r="AB78" s="96" t="s">
        <v>9</v>
      </c>
      <c r="AC78" s="80" t="s">
        <v>9</v>
      </c>
      <c r="AD78" s="96" t="s">
        <v>9</v>
      </c>
      <c r="AE78" s="80" t="s">
        <v>9</v>
      </c>
      <c r="AF78" s="78" t="s">
        <v>9</v>
      </c>
      <c r="AG78" s="80" t="s">
        <v>9</v>
      </c>
      <c r="AH78" s="78" t="s">
        <v>9</v>
      </c>
      <c r="AI78" s="80" t="s">
        <v>9</v>
      </c>
      <c r="AJ78" s="78" t="s">
        <v>9</v>
      </c>
      <c r="AK78" s="80" t="s">
        <v>9</v>
      </c>
      <c r="AL78" s="78" t="s">
        <v>9</v>
      </c>
      <c r="AM78" s="80" t="s">
        <v>9</v>
      </c>
      <c r="AN78" s="78" t="s">
        <v>9</v>
      </c>
      <c r="AO78" s="80" t="s">
        <v>9</v>
      </c>
      <c r="AP78" s="78" t="s">
        <v>9</v>
      </c>
      <c r="AQ78" s="80" t="s">
        <v>9</v>
      </c>
      <c r="AR78" s="78" t="s">
        <v>9</v>
      </c>
      <c r="AS78" s="77" t="s">
        <v>9</v>
      </c>
      <c r="AT78" s="78" t="s">
        <v>9</v>
      </c>
      <c r="AU78" s="77" t="s">
        <v>9</v>
      </c>
      <c r="AV78" s="78" t="s">
        <v>9</v>
      </c>
      <c r="AW78" s="79" t="s">
        <v>9</v>
      </c>
      <c r="AX78" s="96" t="s">
        <v>236</v>
      </c>
      <c r="AY78" s="77" t="s">
        <v>1123</v>
      </c>
      <c r="AZ78" s="96" t="s">
        <v>237</v>
      </c>
      <c r="BA78" s="77" t="s">
        <v>1124</v>
      </c>
      <c r="BB78" s="96" t="s">
        <v>716</v>
      </c>
      <c r="BC78" s="77" t="s">
        <v>1129</v>
      </c>
    </row>
    <row r="79" spans="1:55" customFormat="1" ht="7.9" customHeight="1" x14ac:dyDescent="0.25">
      <c r="A79" s="69">
        <v>78</v>
      </c>
      <c r="B79" s="91" t="s">
        <v>1131</v>
      </c>
      <c r="C79" s="71" t="s">
        <v>1462</v>
      </c>
      <c r="D79" s="72" t="s">
        <v>124</v>
      </c>
      <c r="E79" s="88" t="s">
        <v>1118</v>
      </c>
      <c r="F79" s="74" t="s">
        <v>104</v>
      </c>
      <c r="G79" s="75" t="s">
        <v>1128</v>
      </c>
      <c r="H79" s="76" t="s">
        <v>9</v>
      </c>
      <c r="I79" s="77" t="s">
        <v>9</v>
      </c>
      <c r="J79" s="78" t="s">
        <v>9</v>
      </c>
      <c r="K79" s="79" t="s">
        <v>9</v>
      </c>
      <c r="L79" s="76" t="s">
        <v>9</v>
      </c>
      <c r="M79" s="77" t="s">
        <v>9</v>
      </c>
      <c r="N79" s="76" t="s">
        <v>715</v>
      </c>
      <c r="O79" s="77" t="s">
        <v>457</v>
      </c>
      <c r="P79" s="76" t="s">
        <v>1110</v>
      </c>
      <c r="Q79" s="77" t="s">
        <v>1111</v>
      </c>
      <c r="R79" s="76" t="s">
        <v>9</v>
      </c>
      <c r="S79" s="80" t="s">
        <v>9</v>
      </c>
      <c r="T79" s="76" t="s">
        <v>9</v>
      </c>
      <c r="U79" s="77" t="s">
        <v>9</v>
      </c>
      <c r="V79" s="76" t="s">
        <v>9</v>
      </c>
      <c r="W79" s="80" t="s">
        <v>9</v>
      </c>
      <c r="X79" s="76" t="s">
        <v>9</v>
      </c>
      <c r="Y79" s="80" t="s">
        <v>9</v>
      </c>
      <c r="Z79" s="76" t="s">
        <v>9</v>
      </c>
      <c r="AA79" s="79" t="s">
        <v>9</v>
      </c>
      <c r="AB79" s="96" t="s">
        <v>9</v>
      </c>
      <c r="AC79" s="80" t="s">
        <v>9</v>
      </c>
      <c r="AD79" s="96" t="s">
        <v>9</v>
      </c>
      <c r="AE79" s="80" t="s">
        <v>9</v>
      </c>
      <c r="AF79" s="78" t="s">
        <v>9</v>
      </c>
      <c r="AG79" s="80" t="s">
        <v>9</v>
      </c>
      <c r="AH79" s="78" t="s">
        <v>9</v>
      </c>
      <c r="AI79" s="80" t="s">
        <v>9</v>
      </c>
      <c r="AJ79" s="78" t="s">
        <v>9</v>
      </c>
      <c r="AK79" s="80" t="s">
        <v>9</v>
      </c>
      <c r="AL79" s="78" t="s">
        <v>9</v>
      </c>
      <c r="AM79" s="80" t="s">
        <v>9</v>
      </c>
      <c r="AN79" s="78" t="s">
        <v>9</v>
      </c>
      <c r="AO79" s="80" t="s">
        <v>9</v>
      </c>
      <c r="AP79" s="78" t="s">
        <v>9</v>
      </c>
      <c r="AQ79" s="80" t="s">
        <v>9</v>
      </c>
      <c r="AR79" s="78" t="s">
        <v>9</v>
      </c>
      <c r="AS79" s="77" t="s">
        <v>9</v>
      </c>
      <c r="AT79" s="78" t="s">
        <v>9</v>
      </c>
      <c r="AU79" s="77" t="s">
        <v>9</v>
      </c>
      <c r="AV79" s="78" t="s">
        <v>9</v>
      </c>
      <c r="AW79" s="79" t="s">
        <v>9</v>
      </c>
      <c r="AX79" s="96" t="s">
        <v>236</v>
      </c>
      <c r="AY79" s="77" t="s">
        <v>1123</v>
      </c>
      <c r="AZ79" s="96" t="s">
        <v>237</v>
      </c>
      <c r="BA79" s="77" t="s">
        <v>1124</v>
      </c>
      <c r="BB79" s="96" t="s">
        <v>716</v>
      </c>
      <c r="BC79" s="77" t="s">
        <v>1129</v>
      </c>
    </row>
    <row r="80" spans="1:55" customFormat="1" ht="7.9" customHeight="1" x14ac:dyDescent="0.25">
      <c r="A80" s="69">
        <v>79</v>
      </c>
      <c r="B80" s="91" t="s">
        <v>1132</v>
      </c>
      <c r="C80" s="71" t="s">
        <v>1462</v>
      </c>
      <c r="D80" s="72" t="s">
        <v>124</v>
      </c>
      <c r="E80" s="88" t="s">
        <v>1118</v>
      </c>
      <c r="F80" s="74" t="s">
        <v>104</v>
      </c>
      <c r="G80" s="75" t="s">
        <v>1128</v>
      </c>
      <c r="H80" s="76" t="s">
        <v>9</v>
      </c>
      <c r="I80" s="77" t="s">
        <v>9</v>
      </c>
      <c r="J80" s="78" t="s">
        <v>9</v>
      </c>
      <c r="K80" s="79" t="s">
        <v>9</v>
      </c>
      <c r="L80" s="76" t="s">
        <v>9</v>
      </c>
      <c r="M80" s="77" t="s">
        <v>9</v>
      </c>
      <c r="N80" s="76" t="s">
        <v>715</v>
      </c>
      <c r="O80" s="77" t="s">
        <v>457</v>
      </c>
      <c r="P80" s="76" t="s">
        <v>1110</v>
      </c>
      <c r="Q80" s="77" t="s">
        <v>1111</v>
      </c>
      <c r="R80" s="76" t="s">
        <v>9</v>
      </c>
      <c r="S80" s="80" t="s">
        <v>9</v>
      </c>
      <c r="T80" s="76" t="s">
        <v>9</v>
      </c>
      <c r="U80" s="77" t="s">
        <v>9</v>
      </c>
      <c r="V80" s="76" t="s">
        <v>9</v>
      </c>
      <c r="W80" s="80" t="s">
        <v>9</v>
      </c>
      <c r="X80" s="76" t="s">
        <v>9</v>
      </c>
      <c r="Y80" s="80" t="s">
        <v>9</v>
      </c>
      <c r="Z80" s="76" t="s">
        <v>9</v>
      </c>
      <c r="AA80" s="79" t="s">
        <v>9</v>
      </c>
      <c r="AB80" s="96" t="s">
        <v>9</v>
      </c>
      <c r="AC80" s="80" t="s">
        <v>9</v>
      </c>
      <c r="AD80" s="96" t="s">
        <v>9</v>
      </c>
      <c r="AE80" s="80" t="s">
        <v>9</v>
      </c>
      <c r="AF80" s="78" t="s">
        <v>9</v>
      </c>
      <c r="AG80" s="80" t="s">
        <v>9</v>
      </c>
      <c r="AH80" s="78" t="s">
        <v>9</v>
      </c>
      <c r="AI80" s="80" t="s">
        <v>9</v>
      </c>
      <c r="AJ80" s="78" t="s">
        <v>9</v>
      </c>
      <c r="AK80" s="80" t="s">
        <v>9</v>
      </c>
      <c r="AL80" s="78" t="s">
        <v>9</v>
      </c>
      <c r="AM80" s="80" t="s">
        <v>9</v>
      </c>
      <c r="AN80" s="78" t="s">
        <v>9</v>
      </c>
      <c r="AO80" s="80" t="s">
        <v>9</v>
      </c>
      <c r="AP80" s="78" t="s">
        <v>9</v>
      </c>
      <c r="AQ80" s="80" t="s">
        <v>9</v>
      </c>
      <c r="AR80" s="78" t="s">
        <v>9</v>
      </c>
      <c r="AS80" s="77" t="s">
        <v>9</v>
      </c>
      <c r="AT80" s="78" t="s">
        <v>9</v>
      </c>
      <c r="AU80" s="77" t="s">
        <v>9</v>
      </c>
      <c r="AV80" s="78" t="s">
        <v>9</v>
      </c>
      <c r="AW80" s="79" t="s">
        <v>9</v>
      </c>
      <c r="AX80" s="96" t="s">
        <v>236</v>
      </c>
      <c r="AY80" s="77" t="s">
        <v>1123</v>
      </c>
      <c r="AZ80" s="96" t="s">
        <v>237</v>
      </c>
      <c r="BA80" s="77" t="s">
        <v>1124</v>
      </c>
      <c r="BB80" s="96" t="s">
        <v>716</v>
      </c>
      <c r="BC80" s="77" t="s">
        <v>1129</v>
      </c>
    </row>
    <row r="81" spans="1:55" customFormat="1" ht="7.9" customHeight="1" x14ac:dyDescent="0.25">
      <c r="A81" s="69">
        <v>80</v>
      </c>
      <c r="B81" s="91" t="s">
        <v>1133</v>
      </c>
      <c r="C81" s="71" t="s">
        <v>1462</v>
      </c>
      <c r="D81" s="72" t="s">
        <v>124</v>
      </c>
      <c r="E81" s="88" t="s">
        <v>1118</v>
      </c>
      <c r="F81" s="74" t="s">
        <v>104</v>
      </c>
      <c r="G81" s="75" t="s">
        <v>1128</v>
      </c>
      <c r="H81" s="76" t="s">
        <v>9</v>
      </c>
      <c r="I81" s="77" t="s">
        <v>9</v>
      </c>
      <c r="J81" s="78" t="s">
        <v>9</v>
      </c>
      <c r="K81" s="79" t="s">
        <v>9</v>
      </c>
      <c r="L81" s="76" t="s">
        <v>9</v>
      </c>
      <c r="M81" s="77" t="s">
        <v>9</v>
      </c>
      <c r="N81" s="76" t="s">
        <v>715</v>
      </c>
      <c r="O81" s="77" t="s">
        <v>457</v>
      </c>
      <c r="P81" s="76" t="s">
        <v>1110</v>
      </c>
      <c r="Q81" s="77" t="s">
        <v>1111</v>
      </c>
      <c r="R81" s="76" t="s">
        <v>9</v>
      </c>
      <c r="S81" s="80" t="s">
        <v>9</v>
      </c>
      <c r="T81" s="76" t="s">
        <v>9</v>
      </c>
      <c r="U81" s="77" t="s">
        <v>9</v>
      </c>
      <c r="V81" s="76" t="s">
        <v>9</v>
      </c>
      <c r="W81" s="80" t="s">
        <v>9</v>
      </c>
      <c r="X81" s="76" t="s">
        <v>9</v>
      </c>
      <c r="Y81" s="80" t="s">
        <v>9</v>
      </c>
      <c r="Z81" s="76" t="s">
        <v>9</v>
      </c>
      <c r="AA81" s="79" t="s">
        <v>9</v>
      </c>
      <c r="AB81" s="96" t="s">
        <v>9</v>
      </c>
      <c r="AC81" s="80" t="s">
        <v>9</v>
      </c>
      <c r="AD81" s="96" t="s">
        <v>9</v>
      </c>
      <c r="AE81" s="80" t="s">
        <v>9</v>
      </c>
      <c r="AF81" s="78" t="s">
        <v>9</v>
      </c>
      <c r="AG81" s="80" t="s">
        <v>9</v>
      </c>
      <c r="AH81" s="78" t="s">
        <v>9</v>
      </c>
      <c r="AI81" s="80" t="s">
        <v>9</v>
      </c>
      <c r="AJ81" s="78" t="s">
        <v>9</v>
      </c>
      <c r="AK81" s="80" t="s">
        <v>9</v>
      </c>
      <c r="AL81" s="78" t="s">
        <v>9</v>
      </c>
      <c r="AM81" s="80" t="s">
        <v>9</v>
      </c>
      <c r="AN81" s="78" t="s">
        <v>9</v>
      </c>
      <c r="AO81" s="80" t="s">
        <v>9</v>
      </c>
      <c r="AP81" s="78" t="s">
        <v>9</v>
      </c>
      <c r="AQ81" s="80" t="s">
        <v>9</v>
      </c>
      <c r="AR81" s="78" t="s">
        <v>9</v>
      </c>
      <c r="AS81" s="77" t="s">
        <v>9</v>
      </c>
      <c r="AT81" s="78" t="s">
        <v>9</v>
      </c>
      <c r="AU81" s="77" t="s">
        <v>9</v>
      </c>
      <c r="AV81" s="78" t="s">
        <v>9</v>
      </c>
      <c r="AW81" s="79" t="s">
        <v>9</v>
      </c>
      <c r="AX81" s="96" t="s">
        <v>236</v>
      </c>
      <c r="AY81" s="77" t="s">
        <v>1123</v>
      </c>
      <c r="AZ81" s="96" t="s">
        <v>237</v>
      </c>
      <c r="BA81" s="77" t="s">
        <v>1124</v>
      </c>
      <c r="BB81" s="96" t="s">
        <v>716</v>
      </c>
      <c r="BC81" s="77" t="s">
        <v>1129</v>
      </c>
    </row>
    <row r="82" spans="1:55" customFormat="1" ht="7.9" customHeight="1" x14ac:dyDescent="0.25">
      <c r="A82" s="69">
        <v>81</v>
      </c>
      <c r="B82" s="91" t="s">
        <v>1134</v>
      </c>
      <c r="C82" s="71" t="s">
        <v>1462</v>
      </c>
      <c r="D82" s="72" t="s">
        <v>124</v>
      </c>
      <c r="E82" s="88" t="s">
        <v>1118</v>
      </c>
      <c r="F82" s="74" t="s">
        <v>104</v>
      </c>
      <c r="G82" s="75" t="s">
        <v>1128</v>
      </c>
      <c r="H82" s="76" t="s">
        <v>9</v>
      </c>
      <c r="I82" s="77" t="s">
        <v>9</v>
      </c>
      <c r="J82" s="78" t="s">
        <v>9</v>
      </c>
      <c r="K82" s="79" t="s">
        <v>9</v>
      </c>
      <c r="L82" s="76" t="s">
        <v>9</v>
      </c>
      <c r="M82" s="77" t="s">
        <v>9</v>
      </c>
      <c r="N82" s="76" t="s">
        <v>715</v>
      </c>
      <c r="O82" s="77" t="s">
        <v>457</v>
      </c>
      <c r="P82" s="76" t="s">
        <v>1110</v>
      </c>
      <c r="Q82" s="77" t="s">
        <v>1111</v>
      </c>
      <c r="R82" s="76" t="s">
        <v>9</v>
      </c>
      <c r="S82" s="80" t="s">
        <v>9</v>
      </c>
      <c r="T82" s="76" t="s">
        <v>9</v>
      </c>
      <c r="U82" s="77" t="s">
        <v>9</v>
      </c>
      <c r="V82" s="76" t="s">
        <v>9</v>
      </c>
      <c r="W82" s="80" t="s">
        <v>9</v>
      </c>
      <c r="X82" s="76" t="s">
        <v>9</v>
      </c>
      <c r="Y82" s="80" t="s">
        <v>9</v>
      </c>
      <c r="Z82" s="76" t="s">
        <v>9</v>
      </c>
      <c r="AA82" s="79" t="s">
        <v>9</v>
      </c>
      <c r="AB82" s="96" t="s">
        <v>9</v>
      </c>
      <c r="AC82" s="80" t="s">
        <v>9</v>
      </c>
      <c r="AD82" s="96" t="s">
        <v>9</v>
      </c>
      <c r="AE82" s="80" t="s">
        <v>9</v>
      </c>
      <c r="AF82" s="78" t="s">
        <v>9</v>
      </c>
      <c r="AG82" s="80" t="s">
        <v>9</v>
      </c>
      <c r="AH82" s="78" t="s">
        <v>9</v>
      </c>
      <c r="AI82" s="80" t="s">
        <v>9</v>
      </c>
      <c r="AJ82" s="78" t="s">
        <v>9</v>
      </c>
      <c r="AK82" s="80" t="s">
        <v>9</v>
      </c>
      <c r="AL82" s="78" t="s">
        <v>9</v>
      </c>
      <c r="AM82" s="80" t="s">
        <v>9</v>
      </c>
      <c r="AN82" s="78" t="s">
        <v>9</v>
      </c>
      <c r="AO82" s="80" t="s">
        <v>9</v>
      </c>
      <c r="AP82" s="78" t="s">
        <v>9</v>
      </c>
      <c r="AQ82" s="80" t="s">
        <v>9</v>
      </c>
      <c r="AR82" s="78" t="s">
        <v>9</v>
      </c>
      <c r="AS82" s="77" t="s">
        <v>9</v>
      </c>
      <c r="AT82" s="78" t="s">
        <v>9</v>
      </c>
      <c r="AU82" s="77" t="s">
        <v>9</v>
      </c>
      <c r="AV82" s="78" t="s">
        <v>9</v>
      </c>
      <c r="AW82" s="79" t="s">
        <v>9</v>
      </c>
      <c r="AX82" s="96" t="s">
        <v>236</v>
      </c>
      <c r="AY82" s="77" t="s">
        <v>1123</v>
      </c>
      <c r="AZ82" s="96" t="s">
        <v>237</v>
      </c>
      <c r="BA82" s="77" t="s">
        <v>1124</v>
      </c>
      <c r="BB82" s="96" t="s">
        <v>716</v>
      </c>
      <c r="BC82" s="77" t="s">
        <v>1129</v>
      </c>
    </row>
    <row r="83" spans="1:55" customFormat="1" ht="7.9" customHeight="1" x14ac:dyDescent="0.25">
      <c r="A83" s="69">
        <v>82</v>
      </c>
      <c r="B83" s="91" t="s">
        <v>1135</v>
      </c>
      <c r="C83" s="71" t="s">
        <v>1463</v>
      </c>
      <c r="D83" s="72" t="s">
        <v>124</v>
      </c>
      <c r="E83" s="88" t="s">
        <v>1120</v>
      </c>
      <c r="F83" s="74" t="s">
        <v>104</v>
      </c>
      <c r="G83" s="75" t="s">
        <v>1136</v>
      </c>
      <c r="H83" s="76" t="s">
        <v>9</v>
      </c>
      <c r="I83" s="77" t="s">
        <v>9</v>
      </c>
      <c r="J83" s="78" t="s">
        <v>9</v>
      </c>
      <c r="K83" s="79" t="s">
        <v>9</v>
      </c>
      <c r="L83" s="76" t="s">
        <v>9</v>
      </c>
      <c r="M83" s="77" t="s">
        <v>9</v>
      </c>
      <c r="N83" s="76" t="s">
        <v>715</v>
      </c>
      <c r="O83" s="77" t="s">
        <v>457</v>
      </c>
      <c r="P83" s="76" t="s">
        <v>1110</v>
      </c>
      <c r="Q83" s="77" t="s">
        <v>1111</v>
      </c>
      <c r="R83" s="76" t="s">
        <v>9</v>
      </c>
      <c r="S83" s="80" t="s">
        <v>9</v>
      </c>
      <c r="T83" s="76" t="s">
        <v>9</v>
      </c>
      <c r="U83" s="77" t="s">
        <v>9</v>
      </c>
      <c r="V83" s="76" t="s">
        <v>9</v>
      </c>
      <c r="W83" s="80" t="s">
        <v>9</v>
      </c>
      <c r="X83" s="76" t="s">
        <v>9</v>
      </c>
      <c r="Y83" s="80" t="s">
        <v>9</v>
      </c>
      <c r="Z83" s="76" t="s">
        <v>9</v>
      </c>
      <c r="AA83" s="79" t="s">
        <v>9</v>
      </c>
      <c r="AB83" s="96" t="s">
        <v>9</v>
      </c>
      <c r="AC83" s="80" t="s">
        <v>9</v>
      </c>
      <c r="AD83" s="96" t="s">
        <v>9</v>
      </c>
      <c r="AE83" s="80" t="s">
        <v>9</v>
      </c>
      <c r="AF83" s="78" t="s">
        <v>9</v>
      </c>
      <c r="AG83" s="80" t="s">
        <v>9</v>
      </c>
      <c r="AH83" s="78" t="s">
        <v>9</v>
      </c>
      <c r="AI83" s="80" t="s">
        <v>9</v>
      </c>
      <c r="AJ83" s="78" t="s">
        <v>9</v>
      </c>
      <c r="AK83" s="80" t="s">
        <v>9</v>
      </c>
      <c r="AL83" s="78" t="s">
        <v>9</v>
      </c>
      <c r="AM83" s="80" t="s">
        <v>9</v>
      </c>
      <c r="AN83" s="78" t="s">
        <v>9</v>
      </c>
      <c r="AO83" s="80" t="s">
        <v>9</v>
      </c>
      <c r="AP83" s="78" t="s">
        <v>9</v>
      </c>
      <c r="AQ83" s="80" t="s">
        <v>9</v>
      </c>
      <c r="AR83" s="78" t="s">
        <v>9</v>
      </c>
      <c r="AS83" s="77" t="s">
        <v>9</v>
      </c>
      <c r="AT83" s="78" t="s">
        <v>9</v>
      </c>
      <c r="AU83" s="77" t="s">
        <v>9</v>
      </c>
      <c r="AV83" s="78" t="s">
        <v>9</v>
      </c>
      <c r="AW83" s="79" t="s">
        <v>9</v>
      </c>
      <c r="AX83" s="96" t="s">
        <v>236</v>
      </c>
      <c r="AY83" s="77" t="s">
        <v>1123</v>
      </c>
      <c r="AZ83" s="96" t="s">
        <v>237</v>
      </c>
      <c r="BA83" s="77" t="s">
        <v>1124</v>
      </c>
      <c r="BB83" s="96" t="s">
        <v>716</v>
      </c>
      <c r="BC83" s="77" t="s">
        <v>1129</v>
      </c>
    </row>
    <row r="84" spans="1:55" customFormat="1" ht="7.9" customHeight="1" x14ac:dyDescent="0.25">
      <c r="A84" s="69">
        <v>83</v>
      </c>
      <c r="B84" s="91" t="s">
        <v>1137</v>
      </c>
      <c r="C84" s="71" t="s">
        <v>1463</v>
      </c>
      <c r="D84" s="72" t="s">
        <v>124</v>
      </c>
      <c r="E84" s="88" t="s">
        <v>1120</v>
      </c>
      <c r="F84" s="74" t="s">
        <v>104</v>
      </c>
      <c r="G84" s="75" t="s">
        <v>1136</v>
      </c>
      <c r="H84" s="76" t="s">
        <v>9</v>
      </c>
      <c r="I84" s="77" t="s">
        <v>9</v>
      </c>
      <c r="J84" s="78" t="s">
        <v>9</v>
      </c>
      <c r="K84" s="79" t="s">
        <v>9</v>
      </c>
      <c r="L84" s="76" t="s">
        <v>9</v>
      </c>
      <c r="M84" s="77" t="s">
        <v>9</v>
      </c>
      <c r="N84" s="76" t="s">
        <v>715</v>
      </c>
      <c r="O84" s="77" t="s">
        <v>457</v>
      </c>
      <c r="P84" s="76" t="s">
        <v>1110</v>
      </c>
      <c r="Q84" s="77" t="s">
        <v>1111</v>
      </c>
      <c r="R84" s="76" t="s">
        <v>9</v>
      </c>
      <c r="S84" s="80" t="s">
        <v>9</v>
      </c>
      <c r="T84" s="76" t="s">
        <v>9</v>
      </c>
      <c r="U84" s="77" t="s">
        <v>9</v>
      </c>
      <c r="V84" s="76" t="s">
        <v>9</v>
      </c>
      <c r="W84" s="80" t="s">
        <v>9</v>
      </c>
      <c r="X84" s="76" t="s">
        <v>9</v>
      </c>
      <c r="Y84" s="80" t="s">
        <v>9</v>
      </c>
      <c r="Z84" s="76" t="s">
        <v>9</v>
      </c>
      <c r="AA84" s="79" t="s">
        <v>9</v>
      </c>
      <c r="AB84" s="96" t="s">
        <v>9</v>
      </c>
      <c r="AC84" s="80" t="s">
        <v>9</v>
      </c>
      <c r="AD84" s="96" t="s">
        <v>9</v>
      </c>
      <c r="AE84" s="80" t="s">
        <v>9</v>
      </c>
      <c r="AF84" s="78" t="s">
        <v>9</v>
      </c>
      <c r="AG84" s="80" t="s">
        <v>9</v>
      </c>
      <c r="AH84" s="78" t="s">
        <v>9</v>
      </c>
      <c r="AI84" s="80" t="s">
        <v>9</v>
      </c>
      <c r="AJ84" s="78" t="s">
        <v>9</v>
      </c>
      <c r="AK84" s="80" t="s">
        <v>9</v>
      </c>
      <c r="AL84" s="78" t="s">
        <v>9</v>
      </c>
      <c r="AM84" s="80" t="s">
        <v>9</v>
      </c>
      <c r="AN84" s="78" t="s">
        <v>9</v>
      </c>
      <c r="AO84" s="80" t="s">
        <v>9</v>
      </c>
      <c r="AP84" s="78" t="s">
        <v>9</v>
      </c>
      <c r="AQ84" s="80" t="s">
        <v>9</v>
      </c>
      <c r="AR84" s="78" t="s">
        <v>9</v>
      </c>
      <c r="AS84" s="77" t="s">
        <v>9</v>
      </c>
      <c r="AT84" s="78" t="s">
        <v>9</v>
      </c>
      <c r="AU84" s="77" t="s">
        <v>9</v>
      </c>
      <c r="AV84" s="78" t="s">
        <v>9</v>
      </c>
      <c r="AW84" s="79" t="s">
        <v>9</v>
      </c>
      <c r="AX84" s="96" t="s">
        <v>236</v>
      </c>
      <c r="AY84" s="77" t="s">
        <v>1123</v>
      </c>
      <c r="AZ84" s="96" t="s">
        <v>237</v>
      </c>
      <c r="BA84" s="77" t="s">
        <v>1124</v>
      </c>
      <c r="BB84" s="96" t="s">
        <v>716</v>
      </c>
      <c r="BC84" s="77" t="s">
        <v>1129</v>
      </c>
    </row>
    <row r="85" spans="1:55" customFormat="1" ht="7.9" customHeight="1" x14ac:dyDescent="0.25">
      <c r="A85" s="69">
        <v>84</v>
      </c>
      <c r="B85" s="91" t="s">
        <v>1138</v>
      </c>
      <c r="C85" s="71" t="s">
        <v>1463</v>
      </c>
      <c r="D85" s="72" t="s">
        <v>124</v>
      </c>
      <c r="E85" s="88" t="s">
        <v>1120</v>
      </c>
      <c r="F85" s="74" t="s">
        <v>104</v>
      </c>
      <c r="G85" s="75" t="s">
        <v>1136</v>
      </c>
      <c r="H85" s="76" t="s">
        <v>9</v>
      </c>
      <c r="I85" s="77" t="s">
        <v>9</v>
      </c>
      <c r="J85" s="78" t="s">
        <v>9</v>
      </c>
      <c r="K85" s="79" t="s">
        <v>9</v>
      </c>
      <c r="L85" s="76" t="s">
        <v>9</v>
      </c>
      <c r="M85" s="77" t="s">
        <v>9</v>
      </c>
      <c r="N85" s="76" t="s">
        <v>715</v>
      </c>
      <c r="O85" s="77" t="s">
        <v>457</v>
      </c>
      <c r="P85" s="76" t="s">
        <v>1110</v>
      </c>
      <c r="Q85" s="77" t="s">
        <v>1111</v>
      </c>
      <c r="R85" s="76" t="s">
        <v>9</v>
      </c>
      <c r="S85" s="80" t="s">
        <v>9</v>
      </c>
      <c r="T85" s="76" t="s">
        <v>9</v>
      </c>
      <c r="U85" s="77" t="s">
        <v>9</v>
      </c>
      <c r="V85" s="76" t="s">
        <v>9</v>
      </c>
      <c r="W85" s="80" t="s">
        <v>9</v>
      </c>
      <c r="X85" s="76" t="s">
        <v>9</v>
      </c>
      <c r="Y85" s="80" t="s">
        <v>9</v>
      </c>
      <c r="Z85" s="76" t="s">
        <v>9</v>
      </c>
      <c r="AA85" s="79" t="s">
        <v>9</v>
      </c>
      <c r="AB85" s="96" t="s">
        <v>9</v>
      </c>
      <c r="AC85" s="80" t="s">
        <v>9</v>
      </c>
      <c r="AD85" s="96" t="s">
        <v>9</v>
      </c>
      <c r="AE85" s="80" t="s">
        <v>9</v>
      </c>
      <c r="AF85" s="78" t="s">
        <v>9</v>
      </c>
      <c r="AG85" s="80" t="s">
        <v>9</v>
      </c>
      <c r="AH85" s="78" t="s">
        <v>9</v>
      </c>
      <c r="AI85" s="80" t="s">
        <v>9</v>
      </c>
      <c r="AJ85" s="78" t="s">
        <v>9</v>
      </c>
      <c r="AK85" s="80" t="s">
        <v>9</v>
      </c>
      <c r="AL85" s="78" t="s">
        <v>9</v>
      </c>
      <c r="AM85" s="80" t="s">
        <v>9</v>
      </c>
      <c r="AN85" s="78" t="s">
        <v>9</v>
      </c>
      <c r="AO85" s="80" t="s">
        <v>9</v>
      </c>
      <c r="AP85" s="78" t="s">
        <v>9</v>
      </c>
      <c r="AQ85" s="80" t="s">
        <v>9</v>
      </c>
      <c r="AR85" s="78" t="s">
        <v>9</v>
      </c>
      <c r="AS85" s="77" t="s">
        <v>9</v>
      </c>
      <c r="AT85" s="78" t="s">
        <v>9</v>
      </c>
      <c r="AU85" s="77" t="s">
        <v>9</v>
      </c>
      <c r="AV85" s="78" t="s">
        <v>9</v>
      </c>
      <c r="AW85" s="79" t="s">
        <v>9</v>
      </c>
      <c r="AX85" s="96" t="s">
        <v>236</v>
      </c>
      <c r="AY85" s="77" t="s">
        <v>1123</v>
      </c>
      <c r="AZ85" s="96" t="s">
        <v>237</v>
      </c>
      <c r="BA85" s="77" t="s">
        <v>1124</v>
      </c>
      <c r="BB85" s="96" t="s">
        <v>716</v>
      </c>
      <c r="BC85" s="77" t="s">
        <v>1129</v>
      </c>
    </row>
    <row r="86" spans="1:55" customFormat="1" ht="7.9" customHeight="1" x14ac:dyDescent="0.25">
      <c r="A86" s="69">
        <v>85</v>
      </c>
      <c r="B86" s="91" t="s">
        <v>1139</v>
      </c>
      <c r="C86" s="71" t="s">
        <v>1463</v>
      </c>
      <c r="D86" s="72" t="s">
        <v>124</v>
      </c>
      <c r="E86" s="88" t="s">
        <v>1120</v>
      </c>
      <c r="F86" s="74" t="s">
        <v>104</v>
      </c>
      <c r="G86" s="75" t="s">
        <v>1136</v>
      </c>
      <c r="H86" s="76" t="s">
        <v>9</v>
      </c>
      <c r="I86" s="77" t="s">
        <v>9</v>
      </c>
      <c r="J86" s="78" t="s">
        <v>9</v>
      </c>
      <c r="K86" s="79" t="s">
        <v>9</v>
      </c>
      <c r="L86" s="76" t="s">
        <v>9</v>
      </c>
      <c r="M86" s="77" t="s">
        <v>9</v>
      </c>
      <c r="N86" s="76" t="s">
        <v>715</v>
      </c>
      <c r="O86" s="77" t="s">
        <v>457</v>
      </c>
      <c r="P86" s="76" t="s">
        <v>1110</v>
      </c>
      <c r="Q86" s="77" t="s">
        <v>1111</v>
      </c>
      <c r="R86" s="76" t="s">
        <v>9</v>
      </c>
      <c r="S86" s="80" t="s">
        <v>9</v>
      </c>
      <c r="T86" s="76" t="s">
        <v>9</v>
      </c>
      <c r="U86" s="77" t="s">
        <v>9</v>
      </c>
      <c r="V86" s="76" t="s">
        <v>9</v>
      </c>
      <c r="W86" s="80" t="s">
        <v>9</v>
      </c>
      <c r="X86" s="76" t="s">
        <v>9</v>
      </c>
      <c r="Y86" s="80" t="s">
        <v>9</v>
      </c>
      <c r="Z86" s="76" t="s">
        <v>9</v>
      </c>
      <c r="AA86" s="79" t="s">
        <v>9</v>
      </c>
      <c r="AB86" s="96" t="s">
        <v>9</v>
      </c>
      <c r="AC86" s="80" t="s">
        <v>9</v>
      </c>
      <c r="AD86" s="96" t="s">
        <v>9</v>
      </c>
      <c r="AE86" s="80" t="s">
        <v>9</v>
      </c>
      <c r="AF86" s="78" t="s">
        <v>9</v>
      </c>
      <c r="AG86" s="80" t="s">
        <v>9</v>
      </c>
      <c r="AH86" s="78" t="s">
        <v>9</v>
      </c>
      <c r="AI86" s="80" t="s">
        <v>9</v>
      </c>
      <c r="AJ86" s="78" t="s">
        <v>9</v>
      </c>
      <c r="AK86" s="80" t="s">
        <v>9</v>
      </c>
      <c r="AL86" s="78" t="s">
        <v>9</v>
      </c>
      <c r="AM86" s="80" t="s">
        <v>9</v>
      </c>
      <c r="AN86" s="78" t="s">
        <v>9</v>
      </c>
      <c r="AO86" s="80" t="s">
        <v>9</v>
      </c>
      <c r="AP86" s="78" t="s">
        <v>9</v>
      </c>
      <c r="AQ86" s="80" t="s">
        <v>9</v>
      </c>
      <c r="AR86" s="78" t="s">
        <v>9</v>
      </c>
      <c r="AS86" s="77" t="s">
        <v>9</v>
      </c>
      <c r="AT86" s="78" t="s">
        <v>9</v>
      </c>
      <c r="AU86" s="77" t="s">
        <v>9</v>
      </c>
      <c r="AV86" s="78" t="s">
        <v>9</v>
      </c>
      <c r="AW86" s="79" t="s">
        <v>9</v>
      </c>
      <c r="AX86" s="96" t="s">
        <v>236</v>
      </c>
      <c r="AY86" s="77" t="s">
        <v>1123</v>
      </c>
      <c r="AZ86" s="96" t="s">
        <v>237</v>
      </c>
      <c r="BA86" s="77" t="s">
        <v>1124</v>
      </c>
      <c r="BB86" s="96" t="s">
        <v>716</v>
      </c>
      <c r="BC86" s="77" t="s">
        <v>1129</v>
      </c>
    </row>
    <row r="87" spans="1:55" customFormat="1" ht="7.9" customHeight="1" x14ac:dyDescent="0.25">
      <c r="A87" s="69">
        <v>86</v>
      </c>
      <c r="B87" s="91" t="s">
        <v>1140</v>
      </c>
      <c r="C87" s="71" t="s">
        <v>1463</v>
      </c>
      <c r="D87" s="72" t="s">
        <v>124</v>
      </c>
      <c r="E87" s="88" t="s">
        <v>1120</v>
      </c>
      <c r="F87" s="74" t="s">
        <v>104</v>
      </c>
      <c r="G87" s="75" t="s">
        <v>1136</v>
      </c>
      <c r="H87" s="76" t="s">
        <v>9</v>
      </c>
      <c r="I87" s="77" t="s">
        <v>9</v>
      </c>
      <c r="J87" s="78" t="s">
        <v>9</v>
      </c>
      <c r="K87" s="79" t="s">
        <v>9</v>
      </c>
      <c r="L87" s="76" t="s">
        <v>9</v>
      </c>
      <c r="M87" s="77" t="s">
        <v>9</v>
      </c>
      <c r="N87" s="76" t="s">
        <v>715</v>
      </c>
      <c r="O87" s="77" t="s">
        <v>457</v>
      </c>
      <c r="P87" s="76" t="s">
        <v>1110</v>
      </c>
      <c r="Q87" s="77" t="s">
        <v>1111</v>
      </c>
      <c r="R87" s="76" t="s">
        <v>9</v>
      </c>
      <c r="S87" s="80" t="s">
        <v>9</v>
      </c>
      <c r="T87" s="76" t="s">
        <v>9</v>
      </c>
      <c r="U87" s="77" t="s">
        <v>9</v>
      </c>
      <c r="V87" s="76" t="s">
        <v>9</v>
      </c>
      <c r="W87" s="80" t="s">
        <v>9</v>
      </c>
      <c r="X87" s="76" t="s">
        <v>9</v>
      </c>
      <c r="Y87" s="80" t="s">
        <v>9</v>
      </c>
      <c r="Z87" s="76" t="s">
        <v>9</v>
      </c>
      <c r="AA87" s="79" t="s">
        <v>9</v>
      </c>
      <c r="AB87" s="96" t="s">
        <v>9</v>
      </c>
      <c r="AC87" s="80" t="s">
        <v>9</v>
      </c>
      <c r="AD87" s="96" t="s">
        <v>9</v>
      </c>
      <c r="AE87" s="80" t="s">
        <v>9</v>
      </c>
      <c r="AF87" s="78" t="s">
        <v>9</v>
      </c>
      <c r="AG87" s="80" t="s">
        <v>9</v>
      </c>
      <c r="AH87" s="78" t="s">
        <v>9</v>
      </c>
      <c r="AI87" s="80" t="s">
        <v>9</v>
      </c>
      <c r="AJ87" s="78" t="s">
        <v>9</v>
      </c>
      <c r="AK87" s="80" t="s">
        <v>9</v>
      </c>
      <c r="AL87" s="78" t="s">
        <v>9</v>
      </c>
      <c r="AM87" s="80" t="s">
        <v>9</v>
      </c>
      <c r="AN87" s="78" t="s">
        <v>9</v>
      </c>
      <c r="AO87" s="80" t="s">
        <v>9</v>
      </c>
      <c r="AP87" s="78" t="s">
        <v>9</v>
      </c>
      <c r="AQ87" s="80" t="s">
        <v>9</v>
      </c>
      <c r="AR87" s="78" t="s">
        <v>9</v>
      </c>
      <c r="AS87" s="77" t="s">
        <v>9</v>
      </c>
      <c r="AT87" s="78" t="s">
        <v>9</v>
      </c>
      <c r="AU87" s="77" t="s">
        <v>9</v>
      </c>
      <c r="AV87" s="78" t="s">
        <v>9</v>
      </c>
      <c r="AW87" s="79" t="s">
        <v>9</v>
      </c>
      <c r="AX87" s="96" t="s">
        <v>236</v>
      </c>
      <c r="AY87" s="77" t="s">
        <v>1123</v>
      </c>
      <c r="AZ87" s="96" t="s">
        <v>237</v>
      </c>
      <c r="BA87" s="77" t="s">
        <v>1124</v>
      </c>
      <c r="BB87" s="96" t="s">
        <v>716</v>
      </c>
      <c r="BC87" s="77" t="s">
        <v>1129</v>
      </c>
    </row>
    <row r="88" spans="1:55" customFormat="1" ht="7.9" customHeight="1" x14ac:dyDescent="0.25">
      <c r="A88" s="69">
        <v>87</v>
      </c>
      <c r="B88" s="91" t="s">
        <v>1141</v>
      </c>
      <c r="C88" s="71" t="s">
        <v>1463</v>
      </c>
      <c r="D88" s="72" t="s">
        <v>124</v>
      </c>
      <c r="E88" s="88" t="s">
        <v>1120</v>
      </c>
      <c r="F88" s="74" t="s">
        <v>104</v>
      </c>
      <c r="G88" s="75" t="s">
        <v>1136</v>
      </c>
      <c r="H88" s="76" t="s">
        <v>9</v>
      </c>
      <c r="I88" s="77" t="s">
        <v>9</v>
      </c>
      <c r="J88" s="78" t="s">
        <v>9</v>
      </c>
      <c r="K88" s="79" t="s">
        <v>9</v>
      </c>
      <c r="L88" s="76" t="s">
        <v>9</v>
      </c>
      <c r="M88" s="77" t="s">
        <v>9</v>
      </c>
      <c r="N88" s="76" t="s">
        <v>715</v>
      </c>
      <c r="O88" s="77" t="s">
        <v>457</v>
      </c>
      <c r="P88" s="76" t="s">
        <v>1110</v>
      </c>
      <c r="Q88" s="77" t="s">
        <v>1111</v>
      </c>
      <c r="R88" s="76" t="s">
        <v>9</v>
      </c>
      <c r="S88" s="80" t="s">
        <v>9</v>
      </c>
      <c r="T88" s="76" t="s">
        <v>9</v>
      </c>
      <c r="U88" s="77" t="s">
        <v>9</v>
      </c>
      <c r="V88" s="76" t="s">
        <v>9</v>
      </c>
      <c r="W88" s="80" t="s">
        <v>9</v>
      </c>
      <c r="X88" s="76" t="s">
        <v>9</v>
      </c>
      <c r="Y88" s="80" t="s">
        <v>9</v>
      </c>
      <c r="Z88" s="76" t="s">
        <v>9</v>
      </c>
      <c r="AA88" s="79" t="s">
        <v>9</v>
      </c>
      <c r="AB88" s="96" t="s">
        <v>9</v>
      </c>
      <c r="AC88" s="80" t="s">
        <v>9</v>
      </c>
      <c r="AD88" s="96" t="s">
        <v>9</v>
      </c>
      <c r="AE88" s="80" t="s">
        <v>9</v>
      </c>
      <c r="AF88" s="78" t="s">
        <v>9</v>
      </c>
      <c r="AG88" s="80" t="s">
        <v>9</v>
      </c>
      <c r="AH88" s="78" t="s">
        <v>9</v>
      </c>
      <c r="AI88" s="80" t="s">
        <v>9</v>
      </c>
      <c r="AJ88" s="78" t="s">
        <v>9</v>
      </c>
      <c r="AK88" s="80" t="s">
        <v>9</v>
      </c>
      <c r="AL88" s="78" t="s">
        <v>9</v>
      </c>
      <c r="AM88" s="80" t="s">
        <v>9</v>
      </c>
      <c r="AN88" s="78" t="s">
        <v>9</v>
      </c>
      <c r="AO88" s="80" t="s">
        <v>9</v>
      </c>
      <c r="AP88" s="78" t="s">
        <v>9</v>
      </c>
      <c r="AQ88" s="80" t="s">
        <v>9</v>
      </c>
      <c r="AR88" s="78" t="s">
        <v>9</v>
      </c>
      <c r="AS88" s="77" t="s">
        <v>9</v>
      </c>
      <c r="AT88" s="78" t="s">
        <v>9</v>
      </c>
      <c r="AU88" s="77" t="s">
        <v>9</v>
      </c>
      <c r="AV88" s="78" t="s">
        <v>9</v>
      </c>
      <c r="AW88" s="79" t="s">
        <v>9</v>
      </c>
      <c r="AX88" s="96" t="s">
        <v>236</v>
      </c>
      <c r="AY88" s="77" t="s">
        <v>1123</v>
      </c>
      <c r="AZ88" s="96" t="s">
        <v>237</v>
      </c>
      <c r="BA88" s="77" t="s">
        <v>1124</v>
      </c>
      <c r="BB88" s="96" t="s">
        <v>716</v>
      </c>
      <c r="BC88" s="77" t="s">
        <v>1129</v>
      </c>
    </row>
    <row r="89" spans="1:55" customFormat="1" ht="7.9" customHeight="1" x14ac:dyDescent="0.25">
      <c r="A89" s="69">
        <v>88</v>
      </c>
      <c r="B89" s="91" t="s">
        <v>1428</v>
      </c>
      <c r="C89" s="71" t="s">
        <v>727</v>
      </c>
      <c r="D89" s="72" t="s">
        <v>124</v>
      </c>
      <c r="E89" s="88" t="s">
        <v>1104</v>
      </c>
      <c r="F89" s="74" t="s">
        <v>104</v>
      </c>
      <c r="G89" s="75" t="s">
        <v>1109</v>
      </c>
      <c r="H89" s="76" t="s">
        <v>9</v>
      </c>
      <c r="I89" s="77" t="s">
        <v>9</v>
      </c>
      <c r="J89" s="78" t="s">
        <v>9</v>
      </c>
      <c r="K89" s="79" t="s">
        <v>9</v>
      </c>
      <c r="L89" s="78" t="s">
        <v>9</v>
      </c>
      <c r="M89" s="79" t="s">
        <v>9</v>
      </c>
      <c r="N89" s="76" t="s">
        <v>715</v>
      </c>
      <c r="O89" s="77" t="s">
        <v>457</v>
      </c>
      <c r="P89" s="76" t="s">
        <v>1110</v>
      </c>
      <c r="Q89" s="77" t="s">
        <v>1111</v>
      </c>
      <c r="R89" s="76" t="s">
        <v>9</v>
      </c>
      <c r="S89" s="80" t="s">
        <v>9</v>
      </c>
      <c r="T89" s="76" t="s">
        <v>9</v>
      </c>
      <c r="U89" s="77" t="s">
        <v>9</v>
      </c>
      <c r="V89" s="76" t="s">
        <v>9</v>
      </c>
      <c r="W89" s="80" t="s">
        <v>9</v>
      </c>
      <c r="X89" s="76" t="s">
        <v>9</v>
      </c>
      <c r="Y89" s="80" t="s">
        <v>9</v>
      </c>
      <c r="Z89" s="76" t="s">
        <v>9</v>
      </c>
      <c r="AA89" s="79" t="s">
        <v>9</v>
      </c>
      <c r="AB89" s="96" t="s">
        <v>9</v>
      </c>
      <c r="AC89" s="80" t="s">
        <v>9</v>
      </c>
      <c r="AD89" s="96" t="s">
        <v>9</v>
      </c>
      <c r="AE89" s="80" t="s">
        <v>9</v>
      </c>
      <c r="AF89" s="78" t="s">
        <v>9</v>
      </c>
      <c r="AG89" s="80" t="s">
        <v>9</v>
      </c>
      <c r="AH89" s="78" t="s">
        <v>9</v>
      </c>
      <c r="AI89" s="80" t="s">
        <v>9</v>
      </c>
      <c r="AJ89" s="78" t="s">
        <v>9</v>
      </c>
      <c r="AK89" s="80" t="s">
        <v>9</v>
      </c>
      <c r="AL89" s="78" t="s">
        <v>9</v>
      </c>
      <c r="AM89" s="80" t="s">
        <v>9</v>
      </c>
      <c r="AN89" s="78" t="s">
        <v>9</v>
      </c>
      <c r="AO89" s="80" t="s">
        <v>9</v>
      </c>
      <c r="AP89" s="78" t="s">
        <v>9</v>
      </c>
      <c r="AQ89" s="80" t="s">
        <v>9</v>
      </c>
      <c r="AR89" s="78" t="s">
        <v>9</v>
      </c>
      <c r="AS89" s="77" t="s">
        <v>9</v>
      </c>
      <c r="AT89" s="78" t="s">
        <v>9</v>
      </c>
      <c r="AU89" s="77" t="s">
        <v>9</v>
      </c>
      <c r="AV89" s="78" t="s">
        <v>9</v>
      </c>
      <c r="AW89" s="79" t="s">
        <v>9</v>
      </c>
      <c r="AX89" s="96" t="s">
        <v>236</v>
      </c>
      <c r="AY89" s="77" t="s">
        <v>1123</v>
      </c>
      <c r="AZ89" s="96" t="s">
        <v>237</v>
      </c>
      <c r="BA89" s="77" t="s">
        <v>1113</v>
      </c>
      <c r="BB89" s="96" t="s">
        <v>716</v>
      </c>
      <c r="BC89" s="77" t="s">
        <v>1112</v>
      </c>
    </row>
    <row r="90" spans="1:55" customFormat="1" ht="7.9" customHeight="1" x14ac:dyDescent="0.25">
      <c r="A90" s="69">
        <v>89</v>
      </c>
      <c r="B90" s="91" t="s">
        <v>1429</v>
      </c>
      <c r="C90" s="71" t="s">
        <v>727</v>
      </c>
      <c r="D90" s="72" t="s">
        <v>124</v>
      </c>
      <c r="E90" s="88" t="s">
        <v>1104</v>
      </c>
      <c r="F90" s="74" t="s">
        <v>104</v>
      </c>
      <c r="G90" s="75" t="s">
        <v>1109</v>
      </c>
      <c r="H90" s="76" t="s">
        <v>9</v>
      </c>
      <c r="I90" s="77" t="s">
        <v>9</v>
      </c>
      <c r="J90" s="78" t="s">
        <v>9</v>
      </c>
      <c r="K90" s="79" t="s">
        <v>9</v>
      </c>
      <c r="L90" s="78" t="s">
        <v>9</v>
      </c>
      <c r="M90" s="79" t="s">
        <v>9</v>
      </c>
      <c r="N90" s="76" t="s">
        <v>715</v>
      </c>
      <c r="O90" s="77" t="s">
        <v>457</v>
      </c>
      <c r="P90" s="76" t="s">
        <v>1110</v>
      </c>
      <c r="Q90" s="77" t="s">
        <v>1111</v>
      </c>
      <c r="R90" s="76" t="s">
        <v>9</v>
      </c>
      <c r="S90" s="80" t="s">
        <v>9</v>
      </c>
      <c r="T90" s="76" t="s">
        <v>9</v>
      </c>
      <c r="U90" s="77" t="s">
        <v>9</v>
      </c>
      <c r="V90" s="76" t="s">
        <v>9</v>
      </c>
      <c r="W90" s="80" t="s">
        <v>9</v>
      </c>
      <c r="X90" s="76" t="s">
        <v>9</v>
      </c>
      <c r="Y90" s="80" t="s">
        <v>9</v>
      </c>
      <c r="Z90" s="76" t="s">
        <v>9</v>
      </c>
      <c r="AA90" s="79" t="s">
        <v>9</v>
      </c>
      <c r="AB90" s="96" t="s">
        <v>9</v>
      </c>
      <c r="AC90" s="80" t="s">
        <v>9</v>
      </c>
      <c r="AD90" s="96" t="s">
        <v>9</v>
      </c>
      <c r="AE90" s="80" t="s">
        <v>9</v>
      </c>
      <c r="AF90" s="78" t="s">
        <v>9</v>
      </c>
      <c r="AG90" s="80" t="s">
        <v>9</v>
      </c>
      <c r="AH90" s="78" t="s">
        <v>9</v>
      </c>
      <c r="AI90" s="80" t="s">
        <v>9</v>
      </c>
      <c r="AJ90" s="78" t="s">
        <v>9</v>
      </c>
      <c r="AK90" s="80" t="s">
        <v>9</v>
      </c>
      <c r="AL90" s="78" t="s">
        <v>9</v>
      </c>
      <c r="AM90" s="80" t="s">
        <v>9</v>
      </c>
      <c r="AN90" s="78" t="s">
        <v>9</v>
      </c>
      <c r="AO90" s="80" t="s">
        <v>9</v>
      </c>
      <c r="AP90" s="78" t="s">
        <v>9</v>
      </c>
      <c r="AQ90" s="80" t="s">
        <v>9</v>
      </c>
      <c r="AR90" s="78" t="s">
        <v>9</v>
      </c>
      <c r="AS90" s="77" t="s">
        <v>9</v>
      </c>
      <c r="AT90" s="78" t="s">
        <v>9</v>
      </c>
      <c r="AU90" s="77" t="s">
        <v>9</v>
      </c>
      <c r="AV90" s="78" t="s">
        <v>9</v>
      </c>
      <c r="AW90" s="79" t="s">
        <v>9</v>
      </c>
      <c r="AX90" s="96" t="s">
        <v>236</v>
      </c>
      <c r="AY90" s="77" t="s">
        <v>1123</v>
      </c>
      <c r="AZ90" s="96" t="s">
        <v>237</v>
      </c>
      <c r="BA90" s="77" t="s">
        <v>1113</v>
      </c>
      <c r="BB90" s="96" t="s">
        <v>716</v>
      </c>
      <c r="BC90" s="77" t="s">
        <v>1112</v>
      </c>
    </row>
    <row r="91" spans="1:55" customFormat="1" ht="7.9" customHeight="1" x14ac:dyDescent="0.25">
      <c r="A91" s="69">
        <v>90</v>
      </c>
      <c r="B91" s="83" t="str">
        <f t="shared" ref="B91:B114" si="1">SUBSTITUTE(_xlfn.CONCAT("VAL.", K91,".", IF(S91&lt;100, _xlfn.CONCAT("00", S91), IF(S91&lt;1000, _xlfn.CONCAT("0", S91), S91)),".",U91),"""","")</f>
        <v>VAL.EURO21.0050.10</v>
      </c>
      <c r="C91" s="92" t="s">
        <v>404</v>
      </c>
      <c r="D91" s="85" t="s">
        <v>124</v>
      </c>
      <c r="E91" s="87" t="s">
        <v>1432</v>
      </c>
      <c r="F91" s="81" t="s">
        <v>104</v>
      </c>
      <c r="G91" s="86" t="s">
        <v>113</v>
      </c>
      <c r="H91" s="78" t="s">
        <v>9</v>
      </c>
      <c r="I91" s="79" t="s">
        <v>9</v>
      </c>
      <c r="J91" s="78" t="s">
        <v>234</v>
      </c>
      <c r="K91" s="79" t="s">
        <v>426</v>
      </c>
      <c r="L91" s="78" t="s">
        <v>122</v>
      </c>
      <c r="M91" s="79" t="s">
        <v>123</v>
      </c>
      <c r="N91" s="81" t="s">
        <v>715</v>
      </c>
      <c r="O91" s="86" t="s">
        <v>117</v>
      </c>
      <c r="P91" s="76" t="s">
        <v>9</v>
      </c>
      <c r="Q91" s="77" t="s">
        <v>9</v>
      </c>
      <c r="R91" s="78" t="s">
        <v>98</v>
      </c>
      <c r="S91" s="82">
        <v>50</v>
      </c>
      <c r="T91" s="81" t="s">
        <v>108</v>
      </c>
      <c r="U91" s="86">
        <v>10</v>
      </c>
      <c r="V91" s="81" t="s">
        <v>111</v>
      </c>
      <c r="W91" s="82">
        <v>250</v>
      </c>
      <c r="X91" s="76" t="s">
        <v>9</v>
      </c>
      <c r="Y91" s="80" t="s">
        <v>9</v>
      </c>
      <c r="Z91" s="76" t="s">
        <v>9</v>
      </c>
      <c r="AA91" s="79" t="s">
        <v>9</v>
      </c>
      <c r="AB91" s="81" t="s">
        <v>114</v>
      </c>
      <c r="AC91" s="82">
        <v>222</v>
      </c>
      <c r="AD91" s="81" t="s">
        <v>110</v>
      </c>
      <c r="AE91" s="82">
        <v>335</v>
      </c>
      <c r="AF91" s="81" t="s">
        <v>714</v>
      </c>
      <c r="AG91" s="82">
        <v>165</v>
      </c>
      <c r="AH91" s="81" t="s">
        <v>232</v>
      </c>
      <c r="AI91" s="82">
        <v>95</v>
      </c>
      <c r="AJ91" s="81" t="s">
        <v>233</v>
      </c>
      <c r="AK91" s="82">
        <v>144</v>
      </c>
      <c r="AL91" s="81" t="s">
        <v>112</v>
      </c>
      <c r="AM91" s="82">
        <v>19</v>
      </c>
      <c r="AN91" s="81" t="s">
        <v>115</v>
      </c>
      <c r="AO91" s="82" t="s">
        <v>187</v>
      </c>
      <c r="AP91" s="81" t="s">
        <v>109</v>
      </c>
      <c r="AQ91" s="82">
        <v>12</v>
      </c>
      <c r="AR91" s="81" t="s">
        <v>715</v>
      </c>
      <c r="AS91" s="95" t="s">
        <v>117</v>
      </c>
      <c r="AT91" s="81" t="s">
        <v>102</v>
      </c>
      <c r="AU91" s="95" t="s">
        <v>116</v>
      </c>
      <c r="AV91" s="78" t="s">
        <v>9</v>
      </c>
      <c r="AW91" s="79" t="s">
        <v>9</v>
      </c>
      <c r="AX91" s="78" t="s">
        <v>236</v>
      </c>
      <c r="AY91" s="79" t="s">
        <v>721</v>
      </c>
      <c r="AZ91" s="78" t="s">
        <v>237</v>
      </c>
      <c r="BA91" s="79" t="s">
        <v>723</v>
      </c>
      <c r="BB91" s="78" t="s">
        <v>716</v>
      </c>
      <c r="BC91" s="77" t="s">
        <v>717</v>
      </c>
    </row>
    <row r="92" spans="1:55" customFormat="1" ht="7.9" customHeight="1" x14ac:dyDescent="0.25">
      <c r="A92" s="69">
        <v>91</v>
      </c>
      <c r="B92" s="83" t="str">
        <f t="shared" si="1"/>
        <v>VAL.EURO21.0050.16</v>
      </c>
      <c r="C92" s="92" t="s">
        <v>404</v>
      </c>
      <c r="D92" s="85" t="s">
        <v>124</v>
      </c>
      <c r="E92" s="87" t="s">
        <v>1432</v>
      </c>
      <c r="F92" s="81" t="s">
        <v>104</v>
      </c>
      <c r="G92" s="86" t="s">
        <v>113</v>
      </c>
      <c r="H92" s="78" t="s">
        <v>9</v>
      </c>
      <c r="I92" s="79" t="s">
        <v>9</v>
      </c>
      <c r="J92" s="78" t="s">
        <v>234</v>
      </c>
      <c r="K92" s="79" t="s">
        <v>426</v>
      </c>
      <c r="L92" s="78" t="s">
        <v>122</v>
      </c>
      <c r="M92" s="79" t="s">
        <v>123</v>
      </c>
      <c r="N92" s="81" t="s">
        <v>715</v>
      </c>
      <c r="O92" s="86" t="s">
        <v>117</v>
      </c>
      <c r="P92" s="76" t="s">
        <v>9</v>
      </c>
      <c r="Q92" s="77" t="s">
        <v>9</v>
      </c>
      <c r="R92" s="78" t="s">
        <v>98</v>
      </c>
      <c r="S92" s="82">
        <v>50</v>
      </c>
      <c r="T92" s="81" t="s">
        <v>108</v>
      </c>
      <c r="U92" s="86">
        <v>16</v>
      </c>
      <c r="V92" s="81" t="s">
        <v>111</v>
      </c>
      <c r="W92" s="82">
        <v>250</v>
      </c>
      <c r="X92" s="76" t="s">
        <v>9</v>
      </c>
      <c r="Y92" s="80" t="s">
        <v>9</v>
      </c>
      <c r="Z92" s="76" t="s">
        <v>9</v>
      </c>
      <c r="AA92" s="79" t="s">
        <v>9</v>
      </c>
      <c r="AB92" s="81" t="s">
        <v>114</v>
      </c>
      <c r="AC92" s="82">
        <v>222</v>
      </c>
      <c r="AD92" s="81" t="s">
        <v>110</v>
      </c>
      <c r="AE92" s="82">
        <v>335</v>
      </c>
      <c r="AF92" s="81" t="s">
        <v>714</v>
      </c>
      <c r="AG92" s="82">
        <v>165</v>
      </c>
      <c r="AH92" s="81" t="s">
        <v>232</v>
      </c>
      <c r="AI92" s="82">
        <v>95</v>
      </c>
      <c r="AJ92" s="81" t="s">
        <v>233</v>
      </c>
      <c r="AK92" s="82">
        <v>144</v>
      </c>
      <c r="AL92" s="81" t="s">
        <v>112</v>
      </c>
      <c r="AM92" s="82">
        <v>19</v>
      </c>
      <c r="AN92" s="81" t="s">
        <v>115</v>
      </c>
      <c r="AO92" s="82" t="s">
        <v>187</v>
      </c>
      <c r="AP92" s="81" t="s">
        <v>109</v>
      </c>
      <c r="AQ92" s="82">
        <v>12</v>
      </c>
      <c r="AR92" s="81" t="s">
        <v>715</v>
      </c>
      <c r="AS92" s="95" t="s">
        <v>117</v>
      </c>
      <c r="AT92" s="81" t="s">
        <v>102</v>
      </c>
      <c r="AU92" s="95" t="s">
        <v>116</v>
      </c>
      <c r="AV92" s="78" t="s">
        <v>9</v>
      </c>
      <c r="AW92" s="79" t="s">
        <v>9</v>
      </c>
      <c r="AX92" s="78" t="s">
        <v>236</v>
      </c>
      <c r="AY92" s="79" t="s">
        <v>721</v>
      </c>
      <c r="AZ92" s="78" t="s">
        <v>237</v>
      </c>
      <c r="BA92" s="79" t="s">
        <v>723</v>
      </c>
      <c r="BB92" s="78" t="s">
        <v>716</v>
      </c>
      <c r="BC92" s="77" t="s">
        <v>717</v>
      </c>
    </row>
    <row r="93" spans="1:55" customFormat="1" ht="7.9" customHeight="1" x14ac:dyDescent="0.25">
      <c r="A93" s="69">
        <v>92</v>
      </c>
      <c r="B93" s="83" t="str">
        <f t="shared" si="1"/>
        <v>VAL.EURO21.0050.25</v>
      </c>
      <c r="C93" s="92" t="s">
        <v>404</v>
      </c>
      <c r="D93" s="85" t="s">
        <v>124</v>
      </c>
      <c r="E93" s="87" t="s">
        <v>1432</v>
      </c>
      <c r="F93" s="81" t="s">
        <v>104</v>
      </c>
      <c r="G93" s="86" t="s">
        <v>113</v>
      </c>
      <c r="H93" s="78" t="s">
        <v>9</v>
      </c>
      <c r="I93" s="79" t="s">
        <v>9</v>
      </c>
      <c r="J93" s="78" t="s">
        <v>234</v>
      </c>
      <c r="K93" s="79" t="s">
        <v>426</v>
      </c>
      <c r="L93" s="78" t="s">
        <v>122</v>
      </c>
      <c r="M93" s="79" t="s">
        <v>123</v>
      </c>
      <c r="N93" s="81" t="s">
        <v>715</v>
      </c>
      <c r="O93" s="86" t="s">
        <v>117</v>
      </c>
      <c r="P93" s="76" t="s">
        <v>9</v>
      </c>
      <c r="Q93" s="77" t="s">
        <v>9</v>
      </c>
      <c r="R93" s="78" t="s">
        <v>98</v>
      </c>
      <c r="S93" s="82">
        <v>50</v>
      </c>
      <c r="T93" s="81" t="s">
        <v>108</v>
      </c>
      <c r="U93" s="86">
        <v>25</v>
      </c>
      <c r="V93" s="81" t="s">
        <v>111</v>
      </c>
      <c r="W93" s="82">
        <v>250</v>
      </c>
      <c r="X93" s="76" t="s">
        <v>9</v>
      </c>
      <c r="Y93" s="80" t="s">
        <v>9</v>
      </c>
      <c r="Z93" s="76" t="s">
        <v>9</v>
      </c>
      <c r="AA93" s="79" t="s">
        <v>9</v>
      </c>
      <c r="AB93" s="81" t="s">
        <v>114</v>
      </c>
      <c r="AC93" s="82">
        <v>222</v>
      </c>
      <c r="AD93" s="81" t="s">
        <v>110</v>
      </c>
      <c r="AE93" s="82">
        <v>335</v>
      </c>
      <c r="AF93" s="81" t="s">
        <v>714</v>
      </c>
      <c r="AG93" s="82">
        <v>165</v>
      </c>
      <c r="AH93" s="81" t="s">
        <v>232</v>
      </c>
      <c r="AI93" s="82">
        <v>95</v>
      </c>
      <c r="AJ93" s="81" t="s">
        <v>233</v>
      </c>
      <c r="AK93" s="82">
        <v>144</v>
      </c>
      <c r="AL93" s="81" t="s">
        <v>112</v>
      </c>
      <c r="AM93" s="82">
        <v>19</v>
      </c>
      <c r="AN93" s="81" t="s">
        <v>115</v>
      </c>
      <c r="AO93" s="82" t="s">
        <v>187</v>
      </c>
      <c r="AP93" s="81" t="s">
        <v>109</v>
      </c>
      <c r="AQ93" s="82">
        <v>12</v>
      </c>
      <c r="AR93" s="81" t="s">
        <v>715</v>
      </c>
      <c r="AS93" s="95" t="s">
        <v>117</v>
      </c>
      <c r="AT93" s="81" t="s">
        <v>102</v>
      </c>
      <c r="AU93" s="95" t="s">
        <v>116</v>
      </c>
      <c r="AV93" s="78" t="s">
        <v>9</v>
      </c>
      <c r="AW93" s="79" t="s">
        <v>9</v>
      </c>
      <c r="AX93" s="78" t="s">
        <v>236</v>
      </c>
      <c r="AY93" s="79" t="s">
        <v>721</v>
      </c>
      <c r="AZ93" s="78" t="s">
        <v>237</v>
      </c>
      <c r="BA93" s="79" t="s">
        <v>723</v>
      </c>
      <c r="BB93" s="78" t="s">
        <v>716</v>
      </c>
      <c r="BC93" s="77" t="s">
        <v>717</v>
      </c>
    </row>
    <row r="94" spans="1:55" customFormat="1" ht="7.9" customHeight="1" x14ac:dyDescent="0.25">
      <c r="A94" s="69">
        <v>93</v>
      </c>
      <c r="B94" s="83" t="str">
        <f t="shared" si="1"/>
        <v>VAL.EURO21.0080.10</v>
      </c>
      <c r="C94" s="92" t="s">
        <v>404</v>
      </c>
      <c r="D94" s="85" t="s">
        <v>124</v>
      </c>
      <c r="E94" s="87" t="s">
        <v>1432</v>
      </c>
      <c r="F94" s="81" t="s">
        <v>104</v>
      </c>
      <c r="G94" s="86" t="s">
        <v>113</v>
      </c>
      <c r="H94" s="78" t="s">
        <v>9</v>
      </c>
      <c r="I94" s="79" t="s">
        <v>9</v>
      </c>
      <c r="J94" s="78" t="s">
        <v>234</v>
      </c>
      <c r="K94" s="79" t="s">
        <v>426</v>
      </c>
      <c r="L94" s="78" t="s">
        <v>122</v>
      </c>
      <c r="M94" s="79" t="s">
        <v>123</v>
      </c>
      <c r="N94" s="81" t="s">
        <v>715</v>
      </c>
      <c r="O94" s="86" t="s">
        <v>117</v>
      </c>
      <c r="P94" s="76" t="s">
        <v>9</v>
      </c>
      <c r="Q94" s="77" t="s">
        <v>9</v>
      </c>
      <c r="R94" s="78" t="s">
        <v>98</v>
      </c>
      <c r="S94" s="82">
        <v>80</v>
      </c>
      <c r="T94" s="81" t="s">
        <v>108</v>
      </c>
      <c r="U94" s="86">
        <v>10</v>
      </c>
      <c r="V94" s="81" t="s">
        <v>111</v>
      </c>
      <c r="W94" s="82">
        <v>280</v>
      </c>
      <c r="X94" s="76" t="s">
        <v>9</v>
      </c>
      <c r="Y94" s="80" t="s">
        <v>9</v>
      </c>
      <c r="Z94" s="76" t="s">
        <v>9</v>
      </c>
      <c r="AA94" s="79" t="s">
        <v>9</v>
      </c>
      <c r="AB94" s="81" t="s">
        <v>114</v>
      </c>
      <c r="AC94" s="82">
        <v>275</v>
      </c>
      <c r="AD94" s="81" t="s">
        <v>110</v>
      </c>
      <c r="AE94" s="82">
        <v>395</v>
      </c>
      <c r="AF94" s="81" t="s">
        <v>714</v>
      </c>
      <c r="AG94" s="82">
        <v>200</v>
      </c>
      <c r="AH94" s="81" t="s">
        <v>232</v>
      </c>
      <c r="AI94" s="82">
        <v>105</v>
      </c>
      <c r="AJ94" s="81" t="s">
        <v>233</v>
      </c>
      <c r="AK94" s="82">
        <v>174</v>
      </c>
      <c r="AL94" s="81" t="s">
        <v>112</v>
      </c>
      <c r="AM94" s="82">
        <v>19</v>
      </c>
      <c r="AN94" s="81" t="s">
        <v>115</v>
      </c>
      <c r="AO94" s="82">
        <v>17</v>
      </c>
      <c r="AP94" s="81" t="s">
        <v>109</v>
      </c>
      <c r="AQ94" s="82" t="s">
        <v>152</v>
      </c>
      <c r="AR94" s="81" t="s">
        <v>715</v>
      </c>
      <c r="AS94" s="95" t="s">
        <v>117</v>
      </c>
      <c r="AT94" s="81" t="s">
        <v>102</v>
      </c>
      <c r="AU94" s="95" t="s">
        <v>116</v>
      </c>
      <c r="AV94" s="78" t="s">
        <v>9</v>
      </c>
      <c r="AW94" s="79" t="s">
        <v>9</v>
      </c>
      <c r="AX94" s="78" t="s">
        <v>236</v>
      </c>
      <c r="AY94" s="79" t="s">
        <v>721</v>
      </c>
      <c r="AZ94" s="78" t="s">
        <v>237</v>
      </c>
      <c r="BA94" s="79" t="s">
        <v>723</v>
      </c>
      <c r="BB94" s="78" t="s">
        <v>716</v>
      </c>
      <c r="BC94" s="77" t="s">
        <v>717</v>
      </c>
    </row>
    <row r="95" spans="1:55" customFormat="1" ht="7.9" customHeight="1" x14ac:dyDescent="0.25">
      <c r="A95" s="69">
        <v>94</v>
      </c>
      <c r="B95" s="83" t="str">
        <f t="shared" si="1"/>
        <v>VAL.EURO21.0080.16</v>
      </c>
      <c r="C95" s="92" t="s">
        <v>404</v>
      </c>
      <c r="D95" s="85" t="s">
        <v>124</v>
      </c>
      <c r="E95" s="87" t="s">
        <v>1432</v>
      </c>
      <c r="F95" s="81" t="s">
        <v>104</v>
      </c>
      <c r="G95" s="86" t="s">
        <v>113</v>
      </c>
      <c r="H95" s="78" t="s">
        <v>9</v>
      </c>
      <c r="I95" s="79" t="s">
        <v>9</v>
      </c>
      <c r="J95" s="78" t="s">
        <v>234</v>
      </c>
      <c r="K95" s="79" t="s">
        <v>426</v>
      </c>
      <c r="L95" s="78" t="s">
        <v>122</v>
      </c>
      <c r="M95" s="79" t="s">
        <v>123</v>
      </c>
      <c r="N95" s="81" t="s">
        <v>715</v>
      </c>
      <c r="O95" s="86" t="s">
        <v>117</v>
      </c>
      <c r="P95" s="76" t="s">
        <v>9</v>
      </c>
      <c r="Q95" s="77" t="s">
        <v>9</v>
      </c>
      <c r="R95" s="78" t="s">
        <v>98</v>
      </c>
      <c r="S95" s="82">
        <v>80</v>
      </c>
      <c r="T95" s="81" t="s">
        <v>108</v>
      </c>
      <c r="U95" s="86">
        <v>16</v>
      </c>
      <c r="V95" s="81" t="s">
        <v>111</v>
      </c>
      <c r="W95" s="82">
        <v>280</v>
      </c>
      <c r="X95" s="76" t="s">
        <v>9</v>
      </c>
      <c r="Y95" s="80" t="s">
        <v>9</v>
      </c>
      <c r="Z95" s="76" t="s">
        <v>9</v>
      </c>
      <c r="AA95" s="79" t="s">
        <v>9</v>
      </c>
      <c r="AB95" s="81" t="s">
        <v>114</v>
      </c>
      <c r="AC95" s="82">
        <v>275</v>
      </c>
      <c r="AD95" s="81" t="s">
        <v>110</v>
      </c>
      <c r="AE95" s="82">
        <v>395</v>
      </c>
      <c r="AF95" s="81" t="s">
        <v>714</v>
      </c>
      <c r="AG95" s="82">
        <v>200</v>
      </c>
      <c r="AH95" s="81" t="s">
        <v>232</v>
      </c>
      <c r="AI95" s="82">
        <v>105</v>
      </c>
      <c r="AJ95" s="81" t="s">
        <v>233</v>
      </c>
      <c r="AK95" s="82">
        <v>174</v>
      </c>
      <c r="AL95" s="81" t="s">
        <v>112</v>
      </c>
      <c r="AM95" s="82">
        <v>19</v>
      </c>
      <c r="AN95" s="81" t="s">
        <v>115</v>
      </c>
      <c r="AO95" s="82">
        <v>17</v>
      </c>
      <c r="AP95" s="81" t="s">
        <v>109</v>
      </c>
      <c r="AQ95" s="82" t="s">
        <v>152</v>
      </c>
      <c r="AR95" s="81" t="s">
        <v>715</v>
      </c>
      <c r="AS95" s="95" t="s">
        <v>117</v>
      </c>
      <c r="AT95" s="81" t="s">
        <v>102</v>
      </c>
      <c r="AU95" s="95" t="s">
        <v>116</v>
      </c>
      <c r="AV95" s="78" t="s">
        <v>9</v>
      </c>
      <c r="AW95" s="79" t="s">
        <v>9</v>
      </c>
      <c r="AX95" s="78" t="s">
        <v>236</v>
      </c>
      <c r="AY95" s="79" t="s">
        <v>721</v>
      </c>
      <c r="AZ95" s="78" t="s">
        <v>237</v>
      </c>
      <c r="BA95" s="79" t="s">
        <v>723</v>
      </c>
      <c r="BB95" s="78" t="s">
        <v>716</v>
      </c>
      <c r="BC95" s="77" t="s">
        <v>717</v>
      </c>
    </row>
    <row r="96" spans="1:55" customFormat="1" ht="7.9" customHeight="1" x14ac:dyDescent="0.25">
      <c r="A96" s="69">
        <v>95</v>
      </c>
      <c r="B96" s="83" t="str">
        <f t="shared" si="1"/>
        <v>VAL.EURO21.0080.25</v>
      </c>
      <c r="C96" s="92" t="s">
        <v>404</v>
      </c>
      <c r="D96" s="85" t="s">
        <v>124</v>
      </c>
      <c r="E96" s="87" t="s">
        <v>1432</v>
      </c>
      <c r="F96" s="81" t="s">
        <v>104</v>
      </c>
      <c r="G96" s="86" t="s">
        <v>113</v>
      </c>
      <c r="H96" s="78" t="s">
        <v>9</v>
      </c>
      <c r="I96" s="79" t="s">
        <v>9</v>
      </c>
      <c r="J96" s="78" t="s">
        <v>234</v>
      </c>
      <c r="K96" s="79" t="s">
        <v>426</v>
      </c>
      <c r="L96" s="78" t="s">
        <v>122</v>
      </c>
      <c r="M96" s="79" t="s">
        <v>123</v>
      </c>
      <c r="N96" s="81" t="s">
        <v>715</v>
      </c>
      <c r="O96" s="86" t="s">
        <v>117</v>
      </c>
      <c r="P96" s="76" t="s">
        <v>9</v>
      </c>
      <c r="Q96" s="77" t="s">
        <v>9</v>
      </c>
      <c r="R96" s="78" t="s">
        <v>98</v>
      </c>
      <c r="S96" s="82">
        <v>80</v>
      </c>
      <c r="T96" s="81" t="s">
        <v>108</v>
      </c>
      <c r="U96" s="86">
        <v>25</v>
      </c>
      <c r="V96" s="81" t="s">
        <v>111</v>
      </c>
      <c r="W96" s="82">
        <v>280</v>
      </c>
      <c r="X96" s="76" t="s">
        <v>9</v>
      </c>
      <c r="Y96" s="80" t="s">
        <v>9</v>
      </c>
      <c r="Z96" s="76" t="s">
        <v>9</v>
      </c>
      <c r="AA96" s="79" t="s">
        <v>9</v>
      </c>
      <c r="AB96" s="81" t="s">
        <v>114</v>
      </c>
      <c r="AC96" s="82">
        <v>275</v>
      </c>
      <c r="AD96" s="81" t="s">
        <v>110</v>
      </c>
      <c r="AE96" s="82">
        <v>395</v>
      </c>
      <c r="AF96" s="81" t="s">
        <v>714</v>
      </c>
      <c r="AG96" s="82">
        <v>200</v>
      </c>
      <c r="AH96" s="81" t="s">
        <v>232</v>
      </c>
      <c r="AI96" s="82">
        <v>105</v>
      </c>
      <c r="AJ96" s="81" t="s">
        <v>233</v>
      </c>
      <c r="AK96" s="82">
        <v>174</v>
      </c>
      <c r="AL96" s="81" t="s">
        <v>112</v>
      </c>
      <c r="AM96" s="82">
        <v>19</v>
      </c>
      <c r="AN96" s="81" t="s">
        <v>115</v>
      </c>
      <c r="AO96" s="82">
        <v>17</v>
      </c>
      <c r="AP96" s="81" t="s">
        <v>109</v>
      </c>
      <c r="AQ96" s="82" t="s">
        <v>152</v>
      </c>
      <c r="AR96" s="81" t="s">
        <v>715</v>
      </c>
      <c r="AS96" s="95" t="s">
        <v>117</v>
      </c>
      <c r="AT96" s="81" t="s">
        <v>102</v>
      </c>
      <c r="AU96" s="95" t="s">
        <v>116</v>
      </c>
      <c r="AV96" s="78" t="s">
        <v>9</v>
      </c>
      <c r="AW96" s="79" t="s">
        <v>9</v>
      </c>
      <c r="AX96" s="78" t="s">
        <v>236</v>
      </c>
      <c r="AY96" s="79" t="s">
        <v>721</v>
      </c>
      <c r="AZ96" s="78" t="s">
        <v>237</v>
      </c>
      <c r="BA96" s="79" t="s">
        <v>723</v>
      </c>
      <c r="BB96" s="78" t="s">
        <v>716</v>
      </c>
      <c r="BC96" s="77" t="s">
        <v>717</v>
      </c>
    </row>
    <row r="97" spans="1:55" customFormat="1" ht="7.9" customHeight="1" x14ac:dyDescent="0.25">
      <c r="A97" s="69">
        <v>96</v>
      </c>
      <c r="B97" s="83" t="str">
        <f t="shared" si="1"/>
        <v>VAL.EURO21.0100.10</v>
      </c>
      <c r="C97" s="92" t="s">
        <v>404</v>
      </c>
      <c r="D97" s="85" t="s">
        <v>124</v>
      </c>
      <c r="E97" s="87" t="s">
        <v>1432</v>
      </c>
      <c r="F97" s="81" t="s">
        <v>104</v>
      </c>
      <c r="G97" s="86" t="s">
        <v>113</v>
      </c>
      <c r="H97" s="78" t="s">
        <v>9</v>
      </c>
      <c r="I97" s="79" t="s">
        <v>9</v>
      </c>
      <c r="J97" s="78" t="s">
        <v>234</v>
      </c>
      <c r="K97" s="79" t="s">
        <v>426</v>
      </c>
      <c r="L97" s="78" t="s">
        <v>122</v>
      </c>
      <c r="M97" s="79" t="s">
        <v>123</v>
      </c>
      <c r="N97" s="81" t="s">
        <v>715</v>
      </c>
      <c r="O97" s="86" t="s">
        <v>117</v>
      </c>
      <c r="P97" s="76" t="s">
        <v>9</v>
      </c>
      <c r="Q97" s="77" t="s">
        <v>9</v>
      </c>
      <c r="R97" s="78" t="s">
        <v>98</v>
      </c>
      <c r="S97" s="82">
        <v>100</v>
      </c>
      <c r="T97" s="81" t="s">
        <v>108</v>
      </c>
      <c r="U97" s="86">
        <v>10</v>
      </c>
      <c r="V97" s="81" t="s">
        <v>111</v>
      </c>
      <c r="W97" s="82">
        <v>300</v>
      </c>
      <c r="X97" s="76" t="s">
        <v>9</v>
      </c>
      <c r="Y97" s="80" t="s">
        <v>9</v>
      </c>
      <c r="Z97" s="76" t="s">
        <v>9</v>
      </c>
      <c r="AA97" s="79" t="s">
        <v>9</v>
      </c>
      <c r="AB97" s="81" t="s">
        <v>114</v>
      </c>
      <c r="AC97" s="82">
        <v>323</v>
      </c>
      <c r="AD97" s="81" t="s">
        <v>110</v>
      </c>
      <c r="AE97" s="82">
        <v>456</v>
      </c>
      <c r="AF97" s="81" t="s">
        <v>714</v>
      </c>
      <c r="AG97" s="82">
        <v>225</v>
      </c>
      <c r="AH97" s="81" t="s">
        <v>232</v>
      </c>
      <c r="AI97" s="82">
        <v>111</v>
      </c>
      <c r="AJ97" s="81" t="s">
        <v>233</v>
      </c>
      <c r="AK97" s="82">
        <v>194</v>
      </c>
      <c r="AL97" s="81" t="s">
        <v>112</v>
      </c>
      <c r="AM97" s="82">
        <v>19</v>
      </c>
      <c r="AN97" s="81" t="s">
        <v>115</v>
      </c>
      <c r="AO97" s="82">
        <v>23</v>
      </c>
      <c r="AP97" s="81" t="s">
        <v>109</v>
      </c>
      <c r="AQ97" s="82" t="s">
        <v>153</v>
      </c>
      <c r="AR97" s="81" t="s">
        <v>715</v>
      </c>
      <c r="AS97" s="95" t="s">
        <v>117</v>
      </c>
      <c r="AT97" s="81" t="s">
        <v>102</v>
      </c>
      <c r="AU97" s="95" t="s">
        <v>116</v>
      </c>
      <c r="AV97" s="78" t="s">
        <v>9</v>
      </c>
      <c r="AW97" s="79" t="s">
        <v>9</v>
      </c>
      <c r="AX97" s="78" t="s">
        <v>236</v>
      </c>
      <c r="AY97" s="79" t="s">
        <v>721</v>
      </c>
      <c r="AZ97" s="78" t="s">
        <v>237</v>
      </c>
      <c r="BA97" s="79" t="s">
        <v>723</v>
      </c>
      <c r="BB97" s="78" t="s">
        <v>716</v>
      </c>
      <c r="BC97" s="77" t="s">
        <v>717</v>
      </c>
    </row>
    <row r="98" spans="1:55" customFormat="1" ht="7.9" customHeight="1" x14ac:dyDescent="0.25">
      <c r="A98" s="69">
        <v>97</v>
      </c>
      <c r="B98" s="83" t="str">
        <f t="shared" si="1"/>
        <v>VAL.EURO21.0100.16</v>
      </c>
      <c r="C98" s="92" t="s">
        <v>404</v>
      </c>
      <c r="D98" s="85" t="s">
        <v>124</v>
      </c>
      <c r="E98" s="87" t="s">
        <v>1432</v>
      </c>
      <c r="F98" s="81" t="s">
        <v>104</v>
      </c>
      <c r="G98" s="86" t="s">
        <v>113</v>
      </c>
      <c r="H98" s="78" t="s">
        <v>9</v>
      </c>
      <c r="I98" s="79" t="s">
        <v>9</v>
      </c>
      <c r="J98" s="78" t="s">
        <v>234</v>
      </c>
      <c r="K98" s="79" t="s">
        <v>426</v>
      </c>
      <c r="L98" s="78" t="s">
        <v>122</v>
      </c>
      <c r="M98" s="79" t="s">
        <v>123</v>
      </c>
      <c r="N98" s="81" t="s">
        <v>715</v>
      </c>
      <c r="O98" s="86" t="s">
        <v>117</v>
      </c>
      <c r="P98" s="76" t="s">
        <v>9</v>
      </c>
      <c r="Q98" s="77" t="s">
        <v>9</v>
      </c>
      <c r="R98" s="78" t="s">
        <v>98</v>
      </c>
      <c r="S98" s="82">
        <v>100</v>
      </c>
      <c r="T98" s="81" t="s">
        <v>108</v>
      </c>
      <c r="U98" s="86">
        <v>16</v>
      </c>
      <c r="V98" s="81" t="s">
        <v>111</v>
      </c>
      <c r="W98" s="82">
        <v>300</v>
      </c>
      <c r="X98" s="76" t="s">
        <v>9</v>
      </c>
      <c r="Y98" s="80" t="s">
        <v>9</v>
      </c>
      <c r="Z98" s="76" t="s">
        <v>9</v>
      </c>
      <c r="AA98" s="79" t="s">
        <v>9</v>
      </c>
      <c r="AB98" s="81" t="s">
        <v>114</v>
      </c>
      <c r="AC98" s="82">
        <v>323</v>
      </c>
      <c r="AD98" s="81" t="s">
        <v>110</v>
      </c>
      <c r="AE98" s="82">
        <v>456</v>
      </c>
      <c r="AF98" s="81" t="s">
        <v>714</v>
      </c>
      <c r="AG98" s="82">
        <v>225</v>
      </c>
      <c r="AH98" s="81" t="s">
        <v>232</v>
      </c>
      <c r="AI98" s="82">
        <v>111</v>
      </c>
      <c r="AJ98" s="81" t="s">
        <v>233</v>
      </c>
      <c r="AK98" s="82">
        <v>194</v>
      </c>
      <c r="AL98" s="81" t="s">
        <v>112</v>
      </c>
      <c r="AM98" s="82">
        <v>19</v>
      </c>
      <c r="AN98" s="81" t="s">
        <v>115</v>
      </c>
      <c r="AO98" s="82">
        <v>23</v>
      </c>
      <c r="AP98" s="81" t="s">
        <v>109</v>
      </c>
      <c r="AQ98" s="82" t="s">
        <v>153</v>
      </c>
      <c r="AR98" s="81" t="s">
        <v>715</v>
      </c>
      <c r="AS98" s="95" t="s">
        <v>117</v>
      </c>
      <c r="AT98" s="81" t="s">
        <v>102</v>
      </c>
      <c r="AU98" s="95" t="s">
        <v>116</v>
      </c>
      <c r="AV98" s="78" t="s">
        <v>9</v>
      </c>
      <c r="AW98" s="79" t="s">
        <v>9</v>
      </c>
      <c r="AX98" s="78" t="s">
        <v>236</v>
      </c>
      <c r="AY98" s="79" t="s">
        <v>721</v>
      </c>
      <c r="AZ98" s="78" t="s">
        <v>237</v>
      </c>
      <c r="BA98" s="79" t="s">
        <v>723</v>
      </c>
      <c r="BB98" s="78" t="s">
        <v>716</v>
      </c>
      <c r="BC98" s="77" t="s">
        <v>717</v>
      </c>
    </row>
    <row r="99" spans="1:55" customFormat="1" ht="7.9" customHeight="1" x14ac:dyDescent="0.25">
      <c r="A99" s="69">
        <v>98</v>
      </c>
      <c r="B99" s="83" t="str">
        <f t="shared" si="1"/>
        <v>VAL.EURO21.0100.25</v>
      </c>
      <c r="C99" s="92" t="s">
        <v>404</v>
      </c>
      <c r="D99" s="85" t="s">
        <v>124</v>
      </c>
      <c r="E99" s="87" t="s">
        <v>1432</v>
      </c>
      <c r="F99" s="81" t="s">
        <v>104</v>
      </c>
      <c r="G99" s="86" t="s">
        <v>113</v>
      </c>
      <c r="H99" s="78" t="s">
        <v>9</v>
      </c>
      <c r="I99" s="79" t="s">
        <v>9</v>
      </c>
      <c r="J99" s="78" t="s">
        <v>234</v>
      </c>
      <c r="K99" s="79" t="s">
        <v>426</v>
      </c>
      <c r="L99" s="78" t="s">
        <v>122</v>
      </c>
      <c r="M99" s="79" t="s">
        <v>123</v>
      </c>
      <c r="N99" s="81" t="s">
        <v>715</v>
      </c>
      <c r="O99" s="86" t="s">
        <v>117</v>
      </c>
      <c r="P99" s="76" t="s">
        <v>9</v>
      </c>
      <c r="Q99" s="77" t="s">
        <v>9</v>
      </c>
      <c r="R99" s="78" t="s">
        <v>98</v>
      </c>
      <c r="S99" s="82">
        <v>100</v>
      </c>
      <c r="T99" s="81" t="s">
        <v>108</v>
      </c>
      <c r="U99" s="86">
        <v>25</v>
      </c>
      <c r="V99" s="81" t="s">
        <v>111</v>
      </c>
      <c r="W99" s="82">
        <v>300</v>
      </c>
      <c r="X99" s="76" t="s">
        <v>9</v>
      </c>
      <c r="Y99" s="80" t="s">
        <v>9</v>
      </c>
      <c r="Z99" s="76" t="s">
        <v>9</v>
      </c>
      <c r="AA99" s="79" t="s">
        <v>9</v>
      </c>
      <c r="AB99" s="81" t="s">
        <v>114</v>
      </c>
      <c r="AC99" s="82">
        <v>323</v>
      </c>
      <c r="AD99" s="81" t="s">
        <v>110</v>
      </c>
      <c r="AE99" s="82">
        <v>461</v>
      </c>
      <c r="AF99" s="81" t="s">
        <v>714</v>
      </c>
      <c r="AG99" s="82">
        <v>235</v>
      </c>
      <c r="AH99" s="81" t="s">
        <v>232</v>
      </c>
      <c r="AI99" s="82">
        <v>111</v>
      </c>
      <c r="AJ99" s="81" t="s">
        <v>233</v>
      </c>
      <c r="AK99" s="82">
        <v>194</v>
      </c>
      <c r="AL99" s="81" t="s">
        <v>112</v>
      </c>
      <c r="AM99" s="82">
        <v>19</v>
      </c>
      <c r="AN99" s="81" t="s">
        <v>115</v>
      </c>
      <c r="AO99" s="82">
        <v>23</v>
      </c>
      <c r="AP99" s="81" t="s">
        <v>109</v>
      </c>
      <c r="AQ99" s="82" t="s">
        <v>155</v>
      </c>
      <c r="AR99" s="81" t="s">
        <v>715</v>
      </c>
      <c r="AS99" s="95" t="s">
        <v>117</v>
      </c>
      <c r="AT99" s="81" t="s">
        <v>102</v>
      </c>
      <c r="AU99" s="95" t="s">
        <v>116</v>
      </c>
      <c r="AV99" s="78" t="s">
        <v>9</v>
      </c>
      <c r="AW99" s="79" t="s">
        <v>9</v>
      </c>
      <c r="AX99" s="78" t="s">
        <v>236</v>
      </c>
      <c r="AY99" s="79" t="s">
        <v>721</v>
      </c>
      <c r="AZ99" s="78" t="s">
        <v>237</v>
      </c>
      <c r="BA99" s="79" t="s">
        <v>723</v>
      </c>
      <c r="BB99" s="78" t="s">
        <v>716</v>
      </c>
      <c r="BC99" s="77" t="s">
        <v>717</v>
      </c>
    </row>
    <row r="100" spans="1:55" customFormat="1" ht="7.9" customHeight="1" x14ac:dyDescent="0.25">
      <c r="A100" s="69">
        <v>99</v>
      </c>
      <c r="B100" s="83" t="str">
        <f t="shared" si="1"/>
        <v>VAL.EURO21.0150.10</v>
      </c>
      <c r="C100" s="92" t="s">
        <v>404</v>
      </c>
      <c r="D100" s="85" t="s">
        <v>124</v>
      </c>
      <c r="E100" s="87" t="s">
        <v>1432</v>
      </c>
      <c r="F100" s="81" t="s">
        <v>104</v>
      </c>
      <c r="G100" s="86" t="s">
        <v>113</v>
      </c>
      <c r="H100" s="78" t="s">
        <v>9</v>
      </c>
      <c r="I100" s="79" t="s">
        <v>9</v>
      </c>
      <c r="J100" s="78" t="s">
        <v>234</v>
      </c>
      <c r="K100" s="79" t="s">
        <v>426</v>
      </c>
      <c r="L100" s="78" t="s">
        <v>122</v>
      </c>
      <c r="M100" s="79" t="s">
        <v>123</v>
      </c>
      <c r="N100" s="81" t="s">
        <v>715</v>
      </c>
      <c r="O100" s="86" t="s">
        <v>117</v>
      </c>
      <c r="P100" s="76" t="s">
        <v>9</v>
      </c>
      <c r="Q100" s="77" t="s">
        <v>9</v>
      </c>
      <c r="R100" s="78" t="s">
        <v>98</v>
      </c>
      <c r="S100" s="82">
        <v>150</v>
      </c>
      <c r="T100" s="81" t="s">
        <v>108</v>
      </c>
      <c r="U100" s="86">
        <v>10</v>
      </c>
      <c r="V100" s="81" t="s">
        <v>111</v>
      </c>
      <c r="W100" s="82">
        <v>350</v>
      </c>
      <c r="X100" s="76" t="s">
        <v>9</v>
      </c>
      <c r="Y100" s="80" t="s">
        <v>9</v>
      </c>
      <c r="Z100" s="76" t="s">
        <v>9</v>
      </c>
      <c r="AA100" s="79" t="s">
        <v>9</v>
      </c>
      <c r="AB100" s="81" t="s">
        <v>114</v>
      </c>
      <c r="AC100" s="82">
        <v>410</v>
      </c>
      <c r="AD100" s="81" t="s">
        <v>110</v>
      </c>
      <c r="AE100" s="82">
        <v>573</v>
      </c>
      <c r="AF100" s="81" t="s">
        <v>714</v>
      </c>
      <c r="AG100" s="82">
        <v>285</v>
      </c>
      <c r="AH100" s="81" t="s">
        <v>232</v>
      </c>
      <c r="AI100" s="82">
        <v>136</v>
      </c>
      <c r="AJ100" s="81" t="s">
        <v>233</v>
      </c>
      <c r="AK100" s="82">
        <v>257</v>
      </c>
      <c r="AL100" s="81" t="s">
        <v>112</v>
      </c>
      <c r="AM100" s="82">
        <v>19</v>
      </c>
      <c r="AN100" s="81" t="s">
        <v>115</v>
      </c>
      <c r="AO100" s="82">
        <v>32</v>
      </c>
      <c r="AP100" s="81" t="s">
        <v>109</v>
      </c>
      <c r="AQ100" s="82" t="s">
        <v>154</v>
      </c>
      <c r="AR100" s="81" t="s">
        <v>715</v>
      </c>
      <c r="AS100" s="95" t="s">
        <v>117</v>
      </c>
      <c r="AT100" s="81" t="s">
        <v>102</v>
      </c>
      <c r="AU100" s="95" t="s">
        <v>116</v>
      </c>
      <c r="AV100" s="78" t="s">
        <v>9</v>
      </c>
      <c r="AW100" s="79" t="s">
        <v>9</v>
      </c>
      <c r="AX100" s="78" t="s">
        <v>236</v>
      </c>
      <c r="AY100" s="79" t="s">
        <v>721</v>
      </c>
      <c r="AZ100" s="78" t="s">
        <v>237</v>
      </c>
      <c r="BA100" s="79" t="s">
        <v>723</v>
      </c>
      <c r="BB100" s="78" t="s">
        <v>716</v>
      </c>
      <c r="BC100" s="77" t="s">
        <v>717</v>
      </c>
    </row>
    <row r="101" spans="1:55" customFormat="1" ht="7.9" customHeight="1" x14ac:dyDescent="0.25">
      <c r="A101" s="69">
        <v>100</v>
      </c>
      <c r="B101" s="83" t="str">
        <f t="shared" si="1"/>
        <v>VAL.EURO21.0150.16</v>
      </c>
      <c r="C101" s="92" t="s">
        <v>404</v>
      </c>
      <c r="D101" s="85" t="s">
        <v>124</v>
      </c>
      <c r="E101" s="87" t="s">
        <v>1432</v>
      </c>
      <c r="F101" s="81" t="s">
        <v>104</v>
      </c>
      <c r="G101" s="86" t="s">
        <v>113</v>
      </c>
      <c r="H101" s="78" t="s">
        <v>9</v>
      </c>
      <c r="I101" s="79" t="s">
        <v>9</v>
      </c>
      <c r="J101" s="78" t="s">
        <v>234</v>
      </c>
      <c r="K101" s="79" t="s">
        <v>426</v>
      </c>
      <c r="L101" s="78" t="s">
        <v>122</v>
      </c>
      <c r="M101" s="79" t="s">
        <v>123</v>
      </c>
      <c r="N101" s="81" t="s">
        <v>715</v>
      </c>
      <c r="O101" s="86" t="s">
        <v>117</v>
      </c>
      <c r="P101" s="76" t="s">
        <v>9</v>
      </c>
      <c r="Q101" s="77" t="s">
        <v>9</v>
      </c>
      <c r="R101" s="78" t="s">
        <v>98</v>
      </c>
      <c r="S101" s="82">
        <v>150</v>
      </c>
      <c r="T101" s="81" t="s">
        <v>108</v>
      </c>
      <c r="U101" s="86">
        <v>16</v>
      </c>
      <c r="V101" s="81" t="s">
        <v>111</v>
      </c>
      <c r="W101" s="82">
        <v>350</v>
      </c>
      <c r="X101" s="76" t="s">
        <v>9</v>
      </c>
      <c r="Y101" s="80" t="s">
        <v>9</v>
      </c>
      <c r="Z101" s="76" t="s">
        <v>9</v>
      </c>
      <c r="AA101" s="79" t="s">
        <v>9</v>
      </c>
      <c r="AB101" s="81" t="s">
        <v>114</v>
      </c>
      <c r="AC101" s="82">
        <v>410</v>
      </c>
      <c r="AD101" s="81" t="s">
        <v>110</v>
      </c>
      <c r="AE101" s="82">
        <v>573</v>
      </c>
      <c r="AF101" s="81" t="s">
        <v>714</v>
      </c>
      <c r="AG101" s="82">
        <v>285</v>
      </c>
      <c r="AH101" s="81" t="s">
        <v>232</v>
      </c>
      <c r="AI101" s="82">
        <v>136</v>
      </c>
      <c r="AJ101" s="81" t="s">
        <v>233</v>
      </c>
      <c r="AK101" s="82">
        <v>257</v>
      </c>
      <c r="AL101" s="81" t="s">
        <v>112</v>
      </c>
      <c r="AM101" s="82">
        <v>19</v>
      </c>
      <c r="AN101" s="81" t="s">
        <v>115</v>
      </c>
      <c r="AO101" s="82">
        <v>32</v>
      </c>
      <c r="AP101" s="81" t="s">
        <v>109</v>
      </c>
      <c r="AQ101" s="82" t="s">
        <v>154</v>
      </c>
      <c r="AR101" s="81" t="s">
        <v>715</v>
      </c>
      <c r="AS101" s="95" t="s">
        <v>117</v>
      </c>
      <c r="AT101" s="81" t="s">
        <v>102</v>
      </c>
      <c r="AU101" s="95" t="s">
        <v>116</v>
      </c>
      <c r="AV101" s="78" t="s">
        <v>9</v>
      </c>
      <c r="AW101" s="79" t="s">
        <v>9</v>
      </c>
      <c r="AX101" s="78" t="s">
        <v>236</v>
      </c>
      <c r="AY101" s="79" t="s">
        <v>721</v>
      </c>
      <c r="AZ101" s="78" t="s">
        <v>237</v>
      </c>
      <c r="BA101" s="79" t="s">
        <v>723</v>
      </c>
      <c r="BB101" s="78" t="s">
        <v>716</v>
      </c>
      <c r="BC101" s="77" t="s">
        <v>717</v>
      </c>
    </row>
    <row r="102" spans="1:55" customFormat="1" ht="7.9" customHeight="1" x14ac:dyDescent="0.25">
      <c r="A102" s="69">
        <v>101</v>
      </c>
      <c r="B102" s="83" t="str">
        <f t="shared" si="1"/>
        <v>VAL.EURO21.0150.25</v>
      </c>
      <c r="C102" s="92" t="s">
        <v>404</v>
      </c>
      <c r="D102" s="85" t="s">
        <v>124</v>
      </c>
      <c r="E102" s="87" t="s">
        <v>1432</v>
      </c>
      <c r="F102" s="81" t="s">
        <v>104</v>
      </c>
      <c r="G102" s="86" t="s">
        <v>113</v>
      </c>
      <c r="H102" s="78" t="s">
        <v>9</v>
      </c>
      <c r="I102" s="79" t="s">
        <v>9</v>
      </c>
      <c r="J102" s="78" t="s">
        <v>234</v>
      </c>
      <c r="K102" s="79" t="s">
        <v>426</v>
      </c>
      <c r="L102" s="78" t="s">
        <v>122</v>
      </c>
      <c r="M102" s="79" t="s">
        <v>123</v>
      </c>
      <c r="N102" s="81" t="s">
        <v>715</v>
      </c>
      <c r="O102" s="86" t="s">
        <v>117</v>
      </c>
      <c r="P102" s="76" t="s">
        <v>9</v>
      </c>
      <c r="Q102" s="77" t="s">
        <v>9</v>
      </c>
      <c r="R102" s="78" t="s">
        <v>98</v>
      </c>
      <c r="S102" s="82">
        <v>150</v>
      </c>
      <c r="T102" s="81" t="s">
        <v>108</v>
      </c>
      <c r="U102" s="86">
        <v>25</v>
      </c>
      <c r="V102" s="81" t="s">
        <v>111</v>
      </c>
      <c r="W102" s="82">
        <v>350</v>
      </c>
      <c r="X102" s="76" t="s">
        <v>9</v>
      </c>
      <c r="Y102" s="80" t="s">
        <v>9</v>
      </c>
      <c r="Z102" s="76" t="s">
        <v>9</v>
      </c>
      <c r="AA102" s="79" t="s">
        <v>9</v>
      </c>
      <c r="AB102" s="81" t="s">
        <v>114</v>
      </c>
      <c r="AC102" s="82">
        <v>410</v>
      </c>
      <c r="AD102" s="81" t="s">
        <v>110</v>
      </c>
      <c r="AE102" s="82">
        <v>581</v>
      </c>
      <c r="AF102" s="81" t="s">
        <v>714</v>
      </c>
      <c r="AG102" s="82">
        <v>300</v>
      </c>
      <c r="AH102" s="81" t="s">
        <v>232</v>
      </c>
      <c r="AI102" s="82">
        <v>136</v>
      </c>
      <c r="AJ102" s="81" t="s">
        <v>233</v>
      </c>
      <c r="AK102" s="82">
        <v>257</v>
      </c>
      <c r="AL102" s="81" t="s">
        <v>112</v>
      </c>
      <c r="AM102" s="82">
        <v>20</v>
      </c>
      <c r="AN102" s="81" t="s">
        <v>115</v>
      </c>
      <c r="AO102" s="82">
        <v>32</v>
      </c>
      <c r="AP102" s="81" t="s">
        <v>109</v>
      </c>
      <c r="AQ102" s="82">
        <v>41</v>
      </c>
      <c r="AR102" s="81" t="s">
        <v>715</v>
      </c>
      <c r="AS102" s="95" t="s">
        <v>117</v>
      </c>
      <c r="AT102" s="81" t="s">
        <v>102</v>
      </c>
      <c r="AU102" s="95" t="s">
        <v>116</v>
      </c>
      <c r="AV102" s="78" t="s">
        <v>9</v>
      </c>
      <c r="AW102" s="79" t="s">
        <v>9</v>
      </c>
      <c r="AX102" s="78" t="s">
        <v>236</v>
      </c>
      <c r="AY102" s="79" t="s">
        <v>721</v>
      </c>
      <c r="AZ102" s="78" t="s">
        <v>237</v>
      </c>
      <c r="BA102" s="79" t="s">
        <v>723</v>
      </c>
      <c r="BB102" s="78" t="s">
        <v>716</v>
      </c>
      <c r="BC102" s="77" t="s">
        <v>717</v>
      </c>
    </row>
    <row r="103" spans="1:55" customFormat="1" ht="7.9" customHeight="1" x14ac:dyDescent="0.25">
      <c r="A103" s="69">
        <v>102</v>
      </c>
      <c r="B103" s="83" t="str">
        <f t="shared" si="1"/>
        <v>VAL.EURO21.0200.10</v>
      </c>
      <c r="C103" s="92" t="s">
        <v>404</v>
      </c>
      <c r="D103" s="85" t="s">
        <v>124</v>
      </c>
      <c r="E103" s="87" t="s">
        <v>1432</v>
      </c>
      <c r="F103" s="81" t="s">
        <v>104</v>
      </c>
      <c r="G103" s="86" t="s">
        <v>113</v>
      </c>
      <c r="H103" s="78" t="s">
        <v>9</v>
      </c>
      <c r="I103" s="79" t="s">
        <v>9</v>
      </c>
      <c r="J103" s="78" t="s">
        <v>234</v>
      </c>
      <c r="K103" s="79" t="s">
        <v>426</v>
      </c>
      <c r="L103" s="78" t="s">
        <v>122</v>
      </c>
      <c r="M103" s="79" t="s">
        <v>123</v>
      </c>
      <c r="N103" s="81" t="s">
        <v>715</v>
      </c>
      <c r="O103" s="86" t="s">
        <v>117</v>
      </c>
      <c r="P103" s="76" t="s">
        <v>9</v>
      </c>
      <c r="Q103" s="77" t="s">
        <v>9</v>
      </c>
      <c r="R103" s="78" t="s">
        <v>98</v>
      </c>
      <c r="S103" s="82">
        <v>200</v>
      </c>
      <c r="T103" s="81" t="s">
        <v>108</v>
      </c>
      <c r="U103" s="86">
        <v>10</v>
      </c>
      <c r="V103" s="81" t="s">
        <v>111</v>
      </c>
      <c r="W103" s="82">
        <v>400</v>
      </c>
      <c r="X103" s="76" t="s">
        <v>9</v>
      </c>
      <c r="Y103" s="80" t="s">
        <v>9</v>
      </c>
      <c r="Z103" s="76" t="s">
        <v>9</v>
      </c>
      <c r="AA103" s="79" t="s">
        <v>9</v>
      </c>
      <c r="AB103" s="81" t="s">
        <v>114</v>
      </c>
      <c r="AC103" s="82">
        <v>515</v>
      </c>
      <c r="AD103" s="81" t="s">
        <v>110</v>
      </c>
      <c r="AE103" s="82">
        <v>745</v>
      </c>
      <c r="AF103" s="81" t="s">
        <v>714</v>
      </c>
      <c r="AG103" s="82">
        <v>340</v>
      </c>
      <c r="AH103" s="81" t="s">
        <v>232</v>
      </c>
      <c r="AI103" s="82">
        <v>266</v>
      </c>
      <c r="AJ103" s="81" t="s">
        <v>233</v>
      </c>
      <c r="AK103" s="82">
        <v>382</v>
      </c>
      <c r="AL103" s="81" t="s">
        <v>112</v>
      </c>
      <c r="AM103" s="82">
        <v>20</v>
      </c>
      <c r="AN103" s="81" t="s">
        <v>115</v>
      </c>
      <c r="AO103" s="82">
        <v>33</v>
      </c>
      <c r="AP103" s="81" t="s">
        <v>109</v>
      </c>
      <c r="AQ103" s="82">
        <v>75</v>
      </c>
      <c r="AR103" s="81" t="s">
        <v>715</v>
      </c>
      <c r="AS103" s="95" t="s">
        <v>117</v>
      </c>
      <c r="AT103" s="81" t="s">
        <v>102</v>
      </c>
      <c r="AU103" s="95" t="s">
        <v>116</v>
      </c>
      <c r="AV103" s="78" t="s">
        <v>9</v>
      </c>
      <c r="AW103" s="79" t="s">
        <v>9</v>
      </c>
      <c r="AX103" s="78" t="s">
        <v>236</v>
      </c>
      <c r="AY103" s="79" t="s">
        <v>721</v>
      </c>
      <c r="AZ103" s="78" t="s">
        <v>237</v>
      </c>
      <c r="BA103" s="79" t="s">
        <v>723</v>
      </c>
      <c r="BB103" s="78" t="s">
        <v>716</v>
      </c>
      <c r="BC103" s="77" t="s">
        <v>717</v>
      </c>
    </row>
    <row r="104" spans="1:55" customFormat="1" ht="7.9" customHeight="1" x14ac:dyDescent="0.25">
      <c r="A104" s="69">
        <v>103</v>
      </c>
      <c r="B104" s="83" t="str">
        <f t="shared" si="1"/>
        <v>VAL.EURO21.0200.16</v>
      </c>
      <c r="C104" s="92" t="s">
        <v>404</v>
      </c>
      <c r="D104" s="85" t="s">
        <v>124</v>
      </c>
      <c r="E104" s="87" t="s">
        <v>1432</v>
      </c>
      <c r="F104" s="81" t="s">
        <v>104</v>
      </c>
      <c r="G104" s="86" t="s">
        <v>113</v>
      </c>
      <c r="H104" s="78" t="s">
        <v>9</v>
      </c>
      <c r="I104" s="79" t="s">
        <v>9</v>
      </c>
      <c r="J104" s="78" t="s">
        <v>234</v>
      </c>
      <c r="K104" s="79" t="s">
        <v>426</v>
      </c>
      <c r="L104" s="78" t="s">
        <v>122</v>
      </c>
      <c r="M104" s="79" t="s">
        <v>123</v>
      </c>
      <c r="N104" s="81" t="s">
        <v>715</v>
      </c>
      <c r="O104" s="86" t="s">
        <v>117</v>
      </c>
      <c r="P104" s="76" t="s">
        <v>9</v>
      </c>
      <c r="Q104" s="77" t="s">
        <v>9</v>
      </c>
      <c r="R104" s="78" t="s">
        <v>98</v>
      </c>
      <c r="S104" s="82">
        <v>200</v>
      </c>
      <c r="T104" s="81" t="s">
        <v>108</v>
      </c>
      <c r="U104" s="86">
        <v>16</v>
      </c>
      <c r="V104" s="81" t="s">
        <v>111</v>
      </c>
      <c r="W104" s="82">
        <v>400</v>
      </c>
      <c r="X104" s="76" t="s">
        <v>9</v>
      </c>
      <c r="Y104" s="80" t="s">
        <v>9</v>
      </c>
      <c r="Z104" s="76" t="s">
        <v>9</v>
      </c>
      <c r="AA104" s="79" t="s">
        <v>9</v>
      </c>
      <c r="AB104" s="81" t="s">
        <v>114</v>
      </c>
      <c r="AC104" s="82">
        <v>515</v>
      </c>
      <c r="AD104" s="81" t="s">
        <v>110</v>
      </c>
      <c r="AE104" s="82">
        <v>745</v>
      </c>
      <c r="AF104" s="81" t="s">
        <v>714</v>
      </c>
      <c r="AG104" s="82">
        <v>340</v>
      </c>
      <c r="AH104" s="81" t="s">
        <v>232</v>
      </c>
      <c r="AI104" s="82">
        <v>266</v>
      </c>
      <c r="AJ104" s="81" t="s">
        <v>233</v>
      </c>
      <c r="AK104" s="82">
        <v>382</v>
      </c>
      <c r="AL104" s="81" t="s">
        <v>112</v>
      </c>
      <c r="AM104" s="82">
        <v>20</v>
      </c>
      <c r="AN104" s="81" t="s">
        <v>115</v>
      </c>
      <c r="AO104" s="82">
        <v>33</v>
      </c>
      <c r="AP104" s="81" t="s">
        <v>109</v>
      </c>
      <c r="AQ104" s="82">
        <v>75</v>
      </c>
      <c r="AR104" s="81" t="s">
        <v>715</v>
      </c>
      <c r="AS104" s="95" t="s">
        <v>117</v>
      </c>
      <c r="AT104" s="81" t="s">
        <v>102</v>
      </c>
      <c r="AU104" s="95" t="s">
        <v>116</v>
      </c>
      <c r="AV104" s="78" t="s">
        <v>9</v>
      </c>
      <c r="AW104" s="79" t="s">
        <v>9</v>
      </c>
      <c r="AX104" s="78" t="s">
        <v>236</v>
      </c>
      <c r="AY104" s="79" t="s">
        <v>721</v>
      </c>
      <c r="AZ104" s="78" t="s">
        <v>237</v>
      </c>
      <c r="BA104" s="79" t="s">
        <v>723</v>
      </c>
      <c r="BB104" s="78" t="s">
        <v>716</v>
      </c>
      <c r="BC104" s="77" t="s">
        <v>717</v>
      </c>
    </row>
    <row r="105" spans="1:55" customFormat="1" ht="7.9" customHeight="1" x14ac:dyDescent="0.25">
      <c r="A105" s="69">
        <v>104</v>
      </c>
      <c r="B105" s="83" t="str">
        <f t="shared" si="1"/>
        <v>VAL.EURO21.0250.10</v>
      </c>
      <c r="C105" s="92" t="s">
        <v>404</v>
      </c>
      <c r="D105" s="85" t="s">
        <v>124</v>
      </c>
      <c r="E105" s="87" t="s">
        <v>1432</v>
      </c>
      <c r="F105" s="81" t="s">
        <v>104</v>
      </c>
      <c r="G105" s="86" t="s">
        <v>113</v>
      </c>
      <c r="H105" s="78" t="s">
        <v>9</v>
      </c>
      <c r="I105" s="79" t="s">
        <v>9</v>
      </c>
      <c r="J105" s="78" t="s">
        <v>234</v>
      </c>
      <c r="K105" s="79" t="s">
        <v>426</v>
      </c>
      <c r="L105" s="78" t="s">
        <v>122</v>
      </c>
      <c r="M105" s="79" t="s">
        <v>123</v>
      </c>
      <c r="N105" s="81" t="s">
        <v>715</v>
      </c>
      <c r="O105" s="86" t="s">
        <v>117</v>
      </c>
      <c r="P105" s="76" t="s">
        <v>9</v>
      </c>
      <c r="Q105" s="77" t="s">
        <v>9</v>
      </c>
      <c r="R105" s="78" t="s">
        <v>98</v>
      </c>
      <c r="S105" s="82">
        <v>250</v>
      </c>
      <c r="T105" s="81" t="s">
        <v>108</v>
      </c>
      <c r="U105" s="86">
        <v>10</v>
      </c>
      <c r="V105" s="81" t="s">
        <v>111</v>
      </c>
      <c r="W105" s="82">
        <v>450</v>
      </c>
      <c r="X105" s="76" t="s">
        <v>9</v>
      </c>
      <c r="Y105" s="80" t="s">
        <v>9</v>
      </c>
      <c r="Z105" s="76" t="s">
        <v>9</v>
      </c>
      <c r="AA105" s="79" t="s">
        <v>9</v>
      </c>
      <c r="AB105" s="81" t="s">
        <v>114</v>
      </c>
      <c r="AC105" s="82">
        <v>595</v>
      </c>
      <c r="AD105" s="81" t="s">
        <v>110</v>
      </c>
      <c r="AE105" s="82">
        <v>855</v>
      </c>
      <c r="AF105" s="81" t="s">
        <v>714</v>
      </c>
      <c r="AG105" s="82">
        <v>400</v>
      </c>
      <c r="AH105" s="81" t="s">
        <v>232</v>
      </c>
      <c r="AI105" s="82">
        <v>285</v>
      </c>
      <c r="AJ105" s="81" t="s">
        <v>233</v>
      </c>
      <c r="AK105" s="82">
        <v>470</v>
      </c>
      <c r="AL105" s="81" t="s">
        <v>112</v>
      </c>
      <c r="AM105" s="82">
        <v>22</v>
      </c>
      <c r="AN105" s="81" t="s">
        <v>115</v>
      </c>
      <c r="AO105" s="82" t="s">
        <v>188</v>
      </c>
      <c r="AP105" s="81" t="s">
        <v>109</v>
      </c>
      <c r="AQ105" s="82">
        <v>121</v>
      </c>
      <c r="AR105" s="81" t="s">
        <v>715</v>
      </c>
      <c r="AS105" s="95" t="s">
        <v>117</v>
      </c>
      <c r="AT105" s="81" t="s">
        <v>102</v>
      </c>
      <c r="AU105" s="95" t="s">
        <v>116</v>
      </c>
      <c r="AV105" s="78" t="s">
        <v>9</v>
      </c>
      <c r="AW105" s="79" t="s">
        <v>9</v>
      </c>
      <c r="AX105" s="78" t="s">
        <v>236</v>
      </c>
      <c r="AY105" s="79" t="s">
        <v>721</v>
      </c>
      <c r="AZ105" s="78" t="s">
        <v>237</v>
      </c>
      <c r="BA105" s="79" t="s">
        <v>723</v>
      </c>
      <c r="BB105" s="78" t="s">
        <v>716</v>
      </c>
      <c r="BC105" s="77" t="s">
        <v>717</v>
      </c>
    </row>
    <row r="106" spans="1:55" customFormat="1" ht="7.9" customHeight="1" x14ac:dyDescent="0.25">
      <c r="A106" s="69">
        <v>105</v>
      </c>
      <c r="B106" s="83" t="str">
        <f t="shared" si="1"/>
        <v>VAL.EURO21.0250.16</v>
      </c>
      <c r="C106" s="92" t="s">
        <v>404</v>
      </c>
      <c r="D106" s="85" t="s">
        <v>124</v>
      </c>
      <c r="E106" s="87" t="s">
        <v>1432</v>
      </c>
      <c r="F106" s="81" t="s">
        <v>104</v>
      </c>
      <c r="G106" s="86" t="s">
        <v>113</v>
      </c>
      <c r="H106" s="78" t="s">
        <v>9</v>
      </c>
      <c r="I106" s="79" t="s">
        <v>9</v>
      </c>
      <c r="J106" s="78" t="s">
        <v>234</v>
      </c>
      <c r="K106" s="79" t="s">
        <v>426</v>
      </c>
      <c r="L106" s="78" t="s">
        <v>122</v>
      </c>
      <c r="M106" s="79" t="s">
        <v>123</v>
      </c>
      <c r="N106" s="81" t="s">
        <v>715</v>
      </c>
      <c r="O106" s="86" t="s">
        <v>117</v>
      </c>
      <c r="P106" s="76" t="s">
        <v>9</v>
      </c>
      <c r="Q106" s="77" t="s">
        <v>9</v>
      </c>
      <c r="R106" s="78" t="s">
        <v>98</v>
      </c>
      <c r="S106" s="82">
        <v>250</v>
      </c>
      <c r="T106" s="81" t="s">
        <v>108</v>
      </c>
      <c r="U106" s="86">
        <v>16</v>
      </c>
      <c r="V106" s="81" t="s">
        <v>111</v>
      </c>
      <c r="W106" s="82">
        <v>450</v>
      </c>
      <c r="X106" s="76" t="s">
        <v>9</v>
      </c>
      <c r="Y106" s="80" t="s">
        <v>9</v>
      </c>
      <c r="Z106" s="76" t="s">
        <v>9</v>
      </c>
      <c r="AA106" s="79" t="s">
        <v>9</v>
      </c>
      <c r="AB106" s="81" t="s">
        <v>114</v>
      </c>
      <c r="AC106" s="82">
        <v>595</v>
      </c>
      <c r="AD106" s="81" t="s">
        <v>110</v>
      </c>
      <c r="AE106" s="82">
        <v>855</v>
      </c>
      <c r="AF106" s="81" t="s">
        <v>714</v>
      </c>
      <c r="AG106" s="82">
        <v>400</v>
      </c>
      <c r="AH106" s="81" t="s">
        <v>232</v>
      </c>
      <c r="AI106" s="82">
        <v>285</v>
      </c>
      <c r="AJ106" s="81" t="s">
        <v>233</v>
      </c>
      <c r="AK106" s="82">
        <v>470</v>
      </c>
      <c r="AL106" s="81" t="s">
        <v>112</v>
      </c>
      <c r="AM106" s="82">
        <v>22</v>
      </c>
      <c r="AN106" s="81" t="s">
        <v>115</v>
      </c>
      <c r="AO106" s="82" t="s">
        <v>188</v>
      </c>
      <c r="AP106" s="81" t="s">
        <v>109</v>
      </c>
      <c r="AQ106" s="82">
        <v>121</v>
      </c>
      <c r="AR106" s="81" t="s">
        <v>715</v>
      </c>
      <c r="AS106" s="95" t="s">
        <v>117</v>
      </c>
      <c r="AT106" s="81" t="s">
        <v>102</v>
      </c>
      <c r="AU106" s="95" t="s">
        <v>116</v>
      </c>
      <c r="AV106" s="78" t="s">
        <v>9</v>
      </c>
      <c r="AW106" s="79" t="s">
        <v>9</v>
      </c>
      <c r="AX106" s="78" t="s">
        <v>236</v>
      </c>
      <c r="AY106" s="79" t="s">
        <v>721</v>
      </c>
      <c r="AZ106" s="78" t="s">
        <v>237</v>
      </c>
      <c r="BA106" s="79" t="s">
        <v>723</v>
      </c>
      <c r="BB106" s="78" t="s">
        <v>716</v>
      </c>
      <c r="BC106" s="77" t="s">
        <v>717</v>
      </c>
    </row>
    <row r="107" spans="1:55" customFormat="1" ht="7.9" customHeight="1" x14ac:dyDescent="0.25">
      <c r="A107" s="69">
        <v>106</v>
      </c>
      <c r="B107" s="83" t="str">
        <f t="shared" si="1"/>
        <v>VAL.EURO21.0300.10</v>
      </c>
      <c r="C107" s="92" t="s">
        <v>404</v>
      </c>
      <c r="D107" s="85" t="s">
        <v>124</v>
      </c>
      <c r="E107" s="87" t="s">
        <v>1432</v>
      </c>
      <c r="F107" s="81" t="s">
        <v>104</v>
      </c>
      <c r="G107" s="86" t="s">
        <v>113</v>
      </c>
      <c r="H107" s="78" t="s">
        <v>9</v>
      </c>
      <c r="I107" s="79" t="s">
        <v>9</v>
      </c>
      <c r="J107" s="78" t="s">
        <v>234</v>
      </c>
      <c r="K107" s="79" t="s">
        <v>426</v>
      </c>
      <c r="L107" s="78" t="s">
        <v>122</v>
      </c>
      <c r="M107" s="79" t="s">
        <v>123</v>
      </c>
      <c r="N107" s="81" t="s">
        <v>715</v>
      </c>
      <c r="O107" s="86" t="s">
        <v>117</v>
      </c>
      <c r="P107" s="76" t="s">
        <v>9</v>
      </c>
      <c r="Q107" s="77" t="s">
        <v>9</v>
      </c>
      <c r="R107" s="78" t="s">
        <v>98</v>
      </c>
      <c r="S107" s="82">
        <v>300</v>
      </c>
      <c r="T107" s="81" t="s">
        <v>108</v>
      </c>
      <c r="U107" s="86">
        <v>10</v>
      </c>
      <c r="V107" s="81" t="s">
        <v>111</v>
      </c>
      <c r="W107" s="82">
        <v>500</v>
      </c>
      <c r="X107" s="76" t="s">
        <v>9</v>
      </c>
      <c r="Y107" s="80" t="s">
        <v>9</v>
      </c>
      <c r="Z107" s="76" t="s">
        <v>9</v>
      </c>
      <c r="AA107" s="79" t="s">
        <v>9</v>
      </c>
      <c r="AB107" s="81" t="s">
        <v>114</v>
      </c>
      <c r="AC107" s="82">
        <v>705</v>
      </c>
      <c r="AD107" s="81" t="s">
        <v>110</v>
      </c>
      <c r="AE107" s="82">
        <v>1010</v>
      </c>
      <c r="AF107" s="81" t="s">
        <v>714</v>
      </c>
      <c r="AG107" s="82">
        <v>455</v>
      </c>
      <c r="AH107" s="81" t="s">
        <v>232</v>
      </c>
      <c r="AI107" s="82">
        <v>305</v>
      </c>
      <c r="AJ107" s="81" t="s">
        <v>233</v>
      </c>
      <c r="AK107" s="82">
        <v>538</v>
      </c>
      <c r="AL107" s="81" t="s">
        <v>112</v>
      </c>
      <c r="AM107" s="82" t="s">
        <v>212</v>
      </c>
      <c r="AN107" s="81" t="s">
        <v>115</v>
      </c>
      <c r="AO107" s="82">
        <v>50</v>
      </c>
      <c r="AP107" s="81" t="s">
        <v>109</v>
      </c>
      <c r="AQ107" s="82">
        <v>174</v>
      </c>
      <c r="AR107" s="81" t="s">
        <v>715</v>
      </c>
      <c r="AS107" s="95" t="s">
        <v>117</v>
      </c>
      <c r="AT107" s="81" t="s">
        <v>102</v>
      </c>
      <c r="AU107" s="95" t="s">
        <v>116</v>
      </c>
      <c r="AV107" s="78" t="s">
        <v>9</v>
      </c>
      <c r="AW107" s="79" t="s">
        <v>9</v>
      </c>
      <c r="AX107" s="78" t="s">
        <v>236</v>
      </c>
      <c r="AY107" s="79" t="s">
        <v>721</v>
      </c>
      <c r="AZ107" s="78" t="s">
        <v>237</v>
      </c>
      <c r="BA107" s="79" t="s">
        <v>723</v>
      </c>
      <c r="BB107" s="78" t="s">
        <v>716</v>
      </c>
      <c r="BC107" s="77" t="s">
        <v>717</v>
      </c>
    </row>
    <row r="108" spans="1:55" customFormat="1" ht="7.9" customHeight="1" x14ac:dyDescent="0.25">
      <c r="A108" s="69">
        <v>107</v>
      </c>
      <c r="B108" s="83" t="str">
        <f t="shared" si="1"/>
        <v>VAL.EURO21.0300.16</v>
      </c>
      <c r="C108" s="92" t="s">
        <v>404</v>
      </c>
      <c r="D108" s="85" t="s">
        <v>124</v>
      </c>
      <c r="E108" s="87" t="s">
        <v>1432</v>
      </c>
      <c r="F108" s="81" t="s">
        <v>104</v>
      </c>
      <c r="G108" s="86" t="s">
        <v>113</v>
      </c>
      <c r="H108" s="78" t="s">
        <v>9</v>
      </c>
      <c r="I108" s="79" t="s">
        <v>9</v>
      </c>
      <c r="J108" s="78" t="s">
        <v>234</v>
      </c>
      <c r="K108" s="79" t="s">
        <v>426</v>
      </c>
      <c r="L108" s="78" t="s">
        <v>122</v>
      </c>
      <c r="M108" s="79" t="s">
        <v>123</v>
      </c>
      <c r="N108" s="81" t="s">
        <v>715</v>
      </c>
      <c r="O108" s="86" t="s">
        <v>117</v>
      </c>
      <c r="P108" s="76" t="s">
        <v>9</v>
      </c>
      <c r="Q108" s="77" t="s">
        <v>9</v>
      </c>
      <c r="R108" s="78" t="s">
        <v>98</v>
      </c>
      <c r="S108" s="82">
        <v>300</v>
      </c>
      <c r="T108" s="81" t="s">
        <v>108</v>
      </c>
      <c r="U108" s="86">
        <v>16</v>
      </c>
      <c r="V108" s="81" t="s">
        <v>111</v>
      </c>
      <c r="W108" s="82">
        <v>500</v>
      </c>
      <c r="X108" s="76" t="s">
        <v>9</v>
      </c>
      <c r="Y108" s="80" t="s">
        <v>9</v>
      </c>
      <c r="Z108" s="76" t="s">
        <v>9</v>
      </c>
      <c r="AA108" s="79" t="s">
        <v>9</v>
      </c>
      <c r="AB108" s="81" t="s">
        <v>114</v>
      </c>
      <c r="AC108" s="82">
        <v>705</v>
      </c>
      <c r="AD108" s="81" t="s">
        <v>110</v>
      </c>
      <c r="AE108" s="82">
        <v>1010</v>
      </c>
      <c r="AF108" s="81" t="s">
        <v>714</v>
      </c>
      <c r="AG108" s="82">
        <v>455</v>
      </c>
      <c r="AH108" s="81" t="s">
        <v>232</v>
      </c>
      <c r="AI108" s="82">
        <v>305</v>
      </c>
      <c r="AJ108" s="81" t="s">
        <v>233</v>
      </c>
      <c r="AK108" s="82">
        <v>538</v>
      </c>
      <c r="AL108" s="81" t="s">
        <v>112</v>
      </c>
      <c r="AM108" s="82" t="s">
        <v>212</v>
      </c>
      <c r="AN108" s="81" t="s">
        <v>115</v>
      </c>
      <c r="AO108" s="82">
        <v>50</v>
      </c>
      <c r="AP108" s="81" t="s">
        <v>109</v>
      </c>
      <c r="AQ108" s="82">
        <v>174</v>
      </c>
      <c r="AR108" s="81" t="s">
        <v>715</v>
      </c>
      <c r="AS108" s="95" t="s">
        <v>117</v>
      </c>
      <c r="AT108" s="81" t="s">
        <v>102</v>
      </c>
      <c r="AU108" s="95" t="s">
        <v>116</v>
      </c>
      <c r="AV108" s="78" t="s">
        <v>9</v>
      </c>
      <c r="AW108" s="79" t="s">
        <v>9</v>
      </c>
      <c r="AX108" s="78" t="s">
        <v>236</v>
      </c>
      <c r="AY108" s="79" t="s">
        <v>721</v>
      </c>
      <c r="AZ108" s="78" t="s">
        <v>237</v>
      </c>
      <c r="BA108" s="79" t="s">
        <v>723</v>
      </c>
      <c r="BB108" s="78" t="s">
        <v>716</v>
      </c>
      <c r="BC108" s="77" t="s">
        <v>717</v>
      </c>
    </row>
    <row r="109" spans="1:55" customFormat="1" ht="7.9" customHeight="1" x14ac:dyDescent="0.25">
      <c r="A109" s="69">
        <v>108</v>
      </c>
      <c r="B109" s="83" t="str">
        <f t="shared" si="1"/>
        <v>VAL.EURO22.0080.10</v>
      </c>
      <c r="C109" s="92" t="s">
        <v>404</v>
      </c>
      <c r="D109" s="85" t="s">
        <v>124</v>
      </c>
      <c r="E109" s="87" t="s">
        <v>1432</v>
      </c>
      <c r="F109" s="81" t="s">
        <v>104</v>
      </c>
      <c r="G109" s="86" t="s">
        <v>120</v>
      </c>
      <c r="H109" s="78" t="s">
        <v>9</v>
      </c>
      <c r="I109" s="79" t="s">
        <v>9</v>
      </c>
      <c r="J109" s="78" t="s">
        <v>234</v>
      </c>
      <c r="K109" s="79" t="s">
        <v>427</v>
      </c>
      <c r="L109" s="78" t="s">
        <v>122</v>
      </c>
      <c r="M109" s="79" t="s">
        <v>123</v>
      </c>
      <c r="N109" s="81" t="s">
        <v>715</v>
      </c>
      <c r="O109" s="86" t="s">
        <v>117</v>
      </c>
      <c r="P109" s="76" t="s">
        <v>9</v>
      </c>
      <c r="Q109" s="77" t="s">
        <v>9</v>
      </c>
      <c r="R109" s="78" t="s">
        <v>98</v>
      </c>
      <c r="S109" s="82">
        <v>80</v>
      </c>
      <c r="T109" s="81" t="s">
        <v>108</v>
      </c>
      <c r="U109" s="86">
        <v>10</v>
      </c>
      <c r="V109" s="81" t="s">
        <v>111</v>
      </c>
      <c r="W109" s="82">
        <v>203</v>
      </c>
      <c r="X109" s="76" t="s">
        <v>9</v>
      </c>
      <c r="Y109" s="80" t="s">
        <v>9</v>
      </c>
      <c r="Z109" s="76" t="s">
        <v>9</v>
      </c>
      <c r="AA109" s="79" t="s">
        <v>9</v>
      </c>
      <c r="AB109" s="81" t="s">
        <v>114</v>
      </c>
      <c r="AC109" s="82">
        <v>275</v>
      </c>
      <c r="AD109" s="81" t="s">
        <v>110</v>
      </c>
      <c r="AE109" s="82">
        <v>395</v>
      </c>
      <c r="AF109" s="81" t="s">
        <v>714</v>
      </c>
      <c r="AG109" s="82">
        <v>190</v>
      </c>
      <c r="AH109" s="81" t="s">
        <v>232</v>
      </c>
      <c r="AI109" s="82">
        <v>105</v>
      </c>
      <c r="AJ109" s="81" t="s">
        <v>233</v>
      </c>
      <c r="AK109" s="82">
        <v>174</v>
      </c>
      <c r="AL109" s="81" t="s">
        <v>112</v>
      </c>
      <c r="AM109" s="82">
        <v>19</v>
      </c>
      <c r="AN109" s="81" t="s">
        <v>115</v>
      </c>
      <c r="AO109" s="82">
        <v>17</v>
      </c>
      <c r="AP109" s="81" t="s">
        <v>109</v>
      </c>
      <c r="AQ109" s="82">
        <v>18</v>
      </c>
      <c r="AR109" s="81" t="s">
        <v>715</v>
      </c>
      <c r="AS109" s="95" t="s">
        <v>117</v>
      </c>
      <c r="AT109" s="81" t="s">
        <v>102</v>
      </c>
      <c r="AU109" s="95" t="s">
        <v>119</v>
      </c>
      <c r="AV109" s="78" t="s">
        <v>9</v>
      </c>
      <c r="AW109" s="79" t="s">
        <v>9</v>
      </c>
      <c r="AX109" s="78" t="s">
        <v>236</v>
      </c>
      <c r="AY109" s="79" t="s">
        <v>721</v>
      </c>
      <c r="AZ109" s="78" t="s">
        <v>237</v>
      </c>
      <c r="BA109" s="79" t="s">
        <v>723</v>
      </c>
      <c r="BB109" s="78" t="s">
        <v>716</v>
      </c>
      <c r="BC109" s="77" t="s">
        <v>717</v>
      </c>
    </row>
    <row r="110" spans="1:55" customFormat="1" ht="7.9" customHeight="1" x14ac:dyDescent="0.25">
      <c r="A110" s="69">
        <v>109</v>
      </c>
      <c r="B110" s="83" t="str">
        <f t="shared" si="1"/>
        <v>VAL.EURO22.0100.10</v>
      </c>
      <c r="C110" s="92" t="s">
        <v>404</v>
      </c>
      <c r="D110" s="85" t="s">
        <v>124</v>
      </c>
      <c r="E110" s="87" t="s">
        <v>1432</v>
      </c>
      <c r="F110" s="81" t="s">
        <v>104</v>
      </c>
      <c r="G110" s="86" t="s">
        <v>120</v>
      </c>
      <c r="H110" s="78" t="s">
        <v>9</v>
      </c>
      <c r="I110" s="79" t="s">
        <v>9</v>
      </c>
      <c r="J110" s="78" t="s">
        <v>234</v>
      </c>
      <c r="K110" s="79" t="s">
        <v>427</v>
      </c>
      <c r="L110" s="78" t="s">
        <v>122</v>
      </c>
      <c r="M110" s="79" t="s">
        <v>123</v>
      </c>
      <c r="N110" s="81" t="s">
        <v>715</v>
      </c>
      <c r="O110" s="86" t="s">
        <v>117</v>
      </c>
      <c r="P110" s="76" t="s">
        <v>9</v>
      </c>
      <c r="Q110" s="77" t="s">
        <v>9</v>
      </c>
      <c r="R110" s="78" t="s">
        <v>98</v>
      </c>
      <c r="S110" s="82">
        <v>100</v>
      </c>
      <c r="T110" s="81" t="s">
        <v>108</v>
      </c>
      <c r="U110" s="86">
        <v>10</v>
      </c>
      <c r="V110" s="81" t="s">
        <v>111</v>
      </c>
      <c r="W110" s="82">
        <v>229</v>
      </c>
      <c r="X110" s="76" t="s">
        <v>9</v>
      </c>
      <c r="Y110" s="80" t="s">
        <v>9</v>
      </c>
      <c r="Z110" s="76" t="s">
        <v>9</v>
      </c>
      <c r="AA110" s="79" t="s">
        <v>9</v>
      </c>
      <c r="AB110" s="81" t="s">
        <v>114</v>
      </c>
      <c r="AC110" s="82">
        <v>323</v>
      </c>
      <c r="AD110" s="81" t="s">
        <v>110</v>
      </c>
      <c r="AE110" s="82">
        <v>456</v>
      </c>
      <c r="AF110" s="81" t="s">
        <v>714</v>
      </c>
      <c r="AG110" s="82">
        <v>228</v>
      </c>
      <c r="AH110" s="81" t="s">
        <v>232</v>
      </c>
      <c r="AI110" s="82">
        <v>111</v>
      </c>
      <c r="AJ110" s="81" t="s">
        <v>233</v>
      </c>
      <c r="AK110" s="82">
        <v>194</v>
      </c>
      <c r="AL110" s="81" t="s">
        <v>112</v>
      </c>
      <c r="AM110" s="82">
        <v>24</v>
      </c>
      <c r="AN110" s="81" t="s">
        <v>115</v>
      </c>
      <c r="AO110" s="82">
        <v>23</v>
      </c>
      <c r="AP110" s="81" t="s">
        <v>109</v>
      </c>
      <c r="AQ110" s="82" t="s">
        <v>156</v>
      </c>
      <c r="AR110" s="81" t="s">
        <v>715</v>
      </c>
      <c r="AS110" s="95" t="s">
        <v>117</v>
      </c>
      <c r="AT110" s="81" t="s">
        <v>102</v>
      </c>
      <c r="AU110" s="95" t="s">
        <v>119</v>
      </c>
      <c r="AV110" s="78" t="s">
        <v>9</v>
      </c>
      <c r="AW110" s="79" t="s">
        <v>9</v>
      </c>
      <c r="AX110" s="78" t="s">
        <v>236</v>
      </c>
      <c r="AY110" s="79" t="s">
        <v>721</v>
      </c>
      <c r="AZ110" s="78" t="s">
        <v>237</v>
      </c>
      <c r="BA110" s="79" t="s">
        <v>723</v>
      </c>
      <c r="BB110" s="78" t="s">
        <v>716</v>
      </c>
      <c r="BC110" s="77" t="s">
        <v>717</v>
      </c>
    </row>
    <row r="111" spans="1:55" customFormat="1" ht="7.9" customHeight="1" x14ac:dyDescent="0.25">
      <c r="A111" s="69">
        <v>110</v>
      </c>
      <c r="B111" s="83" t="str">
        <f t="shared" si="1"/>
        <v>VAL.EURO22.0150.10</v>
      </c>
      <c r="C111" s="92" t="s">
        <v>404</v>
      </c>
      <c r="D111" s="85" t="s">
        <v>124</v>
      </c>
      <c r="E111" s="87" t="s">
        <v>1432</v>
      </c>
      <c r="F111" s="81" t="s">
        <v>104</v>
      </c>
      <c r="G111" s="86" t="s">
        <v>120</v>
      </c>
      <c r="H111" s="78" t="s">
        <v>9</v>
      </c>
      <c r="I111" s="79" t="s">
        <v>9</v>
      </c>
      <c r="J111" s="78" t="s">
        <v>234</v>
      </c>
      <c r="K111" s="79" t="s">
        <v>427</v>
      </c>
      <c r="L111" s="78" t="s">
        <v>122</v>
      </c>
      <c r="M111" s="79" t="s">
        <v>123</v>
      </c>
      <c r="N111" s="81" t="s">
        <v>715</v>
      </c>
      <c r="O111" s="86" t="s">
        <v>117</v>
      </c>
      <c r="P111" s="76" t="s">
        <v>9</v>
      </c>
      <c r="Q111" s="77" t="s">
        <v>9</v>
      </c>
      <c r="R111" s="78" t="s">
        <v>98</v>
      </c>
      <c r="S111" s="82">
        <v>150</v>
      </c>
      <c r="T111" s="81" t="s">
        <v>108</v>
      </c>
      <c r="U111" s="86">
        <v>10</v>
      </c>
      <c r="V111" s="81" t="s">
        <v>111</v>
      </c>
      <c r="W111" s="82">
        <v>267</v>
      </c>
      <c r="X111" s="76" t="s">
        <v>9</v>
      </c>
      <c r="Y111" s="80" t="s">
        <v>9</v>
      </c>
      <c r="Z111" s="76" t="s">
        <v>9</v>
      </c>
      <c r="AA111" s="79" t="s">
        <v>9</v>
      </c>
      <c r="AB111" s="81" t="s">
        <v>114</v>
      </c>
      <c r="AC111" s="82">
        <v>410</v>
      </c>
      <c r="AD111" s="81" t="s">
        <v>110</v>
      </c>
      <c r="AE111" s="82">
        <v>573</v>
      </c>
      <c r="AF111" s="81" t="s">
        <v>714</v>
      </c>
      <c r="AG111" s="82">
        <v>280</v>
      </c>
      <c r="AH111" s="81" t="s">
        <v>232</v>
      </c>
      <c r="AI111" s="82">
        <v>136</v>
      </c>
      <c r="AJ111" s="81" t="s">
        <v>233</v>
      </c>
      <c r="AK111" s="82">
        <v>257</v>
      </c>
      <c r="AL111" s="81" t="s">
        <v>112</v>
      </c>
      <c r="AM111" s="82">
        <v>25</v>
      </c>
      <c r="AN111" s="81" t="s">
        <v>115</v>
      </c>
      <c r="AO111" s="82">
        <v>32</v>
      </c>
      <c r="AP111" s="81" t="s">
        <v>109</v>
      </c>
      <c r="AQ111" s="82" t="s">
        <v>157</v>
      </c>
      <c r="AR111" s="81" t="s">
        <v>715</v>
      </c>
      <c r="AS111" s="95" t="s">
        <v>117</v>
      </c>
      <c r="AT111" s="81" t="s">
        <v>102</v>
      </c>
      <c r="AU111" s="95" t="s">
        <v>119</v>
      </c>
      <c r="AV111" s="78" t="s">
        <v>9</v>
      </c>
      <c r="AW111" s="79" t="s">
        <v>9</v>
      </c>
      <c r="AX111" s="78" t="s">
        <v>236</v>
      </c>
      <c r="AY111" s="79" t="s">
        <v>721</v>
      </c>
      <c r="AZ111" s="78" t="s">
        <v>237</v>
      </c>
      <c r="BA111" s="79" t="s">
        <v>723</v>
      </c>
      <c r="BB111" s="78" t="s">
        <v>716</v>
      </c>
      <c r="BC111" s="77" t="s">
        <v>717</v>
      </c>
    </row>
    <row r="112" spans="1:55" customFormat="1" ht="7.9" customHeight="1" x14ac:dyDescent="0.25">
      <c r="A112" s="69">
        <v>111</v>
      </c>
      <c r="B112" s="83" t="str">
        <f t="shared" si="1"/>
        <v>VAL.EURO22.0200.10</v>
      </c>
      <c r="C112" s="92" t="s">
        <v>404</v>
      </c>
      <c r="D112" s="85" t="s">
        <v>124</v>
      </c>
      <c r="E112" s="87" t="s">
        <v>1432</v>
      </c>
      <c r="F112" s="81" t="s">
        <v>104</v>
      </c>
      <c r="G112" s="86" t="s">
        <v>120</v>
      </c>
      <c r="H112" s="78" t="s">
        <v>9</v>
      </c>
      <c r="I112" s="79" t="s">
        <v>9</v>
      </c>
      <c r="J112" s="78" t="s">
        <v>234</v>
      </c>
      <c r="K112" s="79" t="s">
        <v>427</v>
      </c>
      <c r="L112" s="78" t="s">
        <v>122</v>
      </c>
      <c r="M112" s="79" t="s">
        <v>123</v>
      </c>
      <c r="N112" s="81" t="s">
        <v>715</v>
      </c>
      <c r="O112" s="86" t="s">
        <v>117</v>
      </c>
      <c r="P112" s="76" t="s">
        <v>9</v>
      </c>
      <c r="Q112" s="77" t="s">
        <v>9</v>
      </c>
      <c r="R112" s="78" t="s">
        <v>98</v>
      </c>
      <c r="S112" s="82">
        <v>200</v>
      </c>
      <c r="T112" s="81" t="s">
        <v>108</v>
      </c>
      <c r="U112" s="86">
        <v>10</v>
      </c>
      <c r="V112" s="81" t="s">
        <v>111</v>
      </c>
      <c r="W112" s="82">
        <v>292</v>
      </c>
      <c r="X112" s="76" t="s">
        <v>9</v>
      </c>
      <c r="Y112" s="80" t="s">
        <v>9</v>
      </c>
      <c r="Z112" s="76" t="s">
        <v>9</v>
      </c>
      <c r="AA112" s="79" t="s">
        <v>9</v>
      </c>
      <c r="AB112" s="81" t="s">
        <v>114</v>
      </c>
      <c r="AC112" s="82">
        <v>515</v>
      </c>
      <c r="AD112" s="81" t="s">
        <v>110</v>
      </c>
      <c r="AE112" s="82">
        <v>745</v>
      </c>
      <c r="AF112" s="81" t="s">
        <v>714</v>
      </c>
      <c r="AG112" s="82">
        <v>343</v>
      </c>
      <c r="AH112" s="81" t="s">
        <v>232</v>
      </c>
      <c r="AI112" s="82">
        <v>266</v>
      </c>
      <c r="AJ112" s="81" t="s">
        <v>233</v>
      </c>
      <c r="AK112" s="82">
        <v>382</v>
      </c>
      <c r="AL112" s="81" t="s">
        <v>112</v>
      </c>
      <c r="AM112" s="82">
        <v>20</v>
      </c>
      <c r="AN112" s="81" t="s">
        <v>115</v>
      </c>
      <c r="AO112" s="82">
        <v>33</v>
      </c>
      <c r="AP112" s="81" t="s">
        <v>109</v>
      </c>
      <c r="AQ112" s="82" t="s">
        <v>158</v>
      </c>
      <c r="AR112" s="81" t="s">
        <v>715</v>
      </c>
      <c r="AS112" s="95" t="s">
        <v>117</v>
      </c>
      <c r="AT112" s="81" t="s">
        <v>102</v>
      </c>
      <c r="AU112" s="95" t="s">
        <v>119</v>
      </c>
      <c r="AV112" s="78" t="s">
        <v>9</v>
      </c>
      <c r="AW112" s="79" t="s">
        <v>9</v>
      </c>
      <c r="AX112" s="78" t="s">
        <v>236</v>
      </c>
      <c r="AY112" s="79" t="s">
        <v>721</v>
      </c>
      <c r="AZ112" s="78" t="s">
        <v>237</v>
      </c>
      <c r="BA112" s="79" t="s">
        <v>723</v>
      </c>
      <c r="BB112" s="78" t="s">
        <v>716</v>
      </c>
      <c r="BC112" s="77" t="s">
        <v>717</v>
      </c>
    </row>
    <row r="113" spans="1:55" customFormat="1" ht="7.9" customHeight="1" x14ac:dyDescent="0.25">
      <c r="A113" s="69">
        <v>112</v>
      </c>
      <c r="B113" s="83" t="str">
        <f t="shared" si="1"/>
        <v>VAL.EURO22.0250.10</v>
      </c>
      <c r="C113" s="92" t="s">
        <v>404</v>
      </c>
      <c r="D113" s="85" t="s">
        <v>124</v>
      </c>
      <c r="E113" s="87" t="s">
        <v>1432</v>
      </c>
      <c r="F113" s="81" t="s">
        <v>104</v>
      </c>
      <c r="G113" s="86" t="s">
        <v>120</v>
      </c>
      <c r="H113" s="78" t="s">
        <v>9</v>
      </c>
      <c r="I113" s="79" t="s">
        <v>9</v>
      </c>
      <c r="J113" s="78" t="s">
        <v>234</v>
      </c>
      <c r="K113" s="79" t="s">
        <v>427</v>
      </c>
      <c r="L113" s="78" t="s">
        <v>122</v>
      </c>
      <c r="M113" s="79" t="s">
        <v>123</v>
      </c>
      <c r="N113" s="81" t="s">
        <v>715</v>
      </c>
      <c r="O113" s="86" t="s">
        <v>117</v>
      </c>
      <c r="P113" s="76" t="s">
        <v>9</v>
      </c>
      <c r="Q113" s="77" t="s">
        <v>9</v>
      </c>
      <c r="R113" s="78" t="s">
        <v>98</v>
      </c>
      <c r="S113" s="82">
        <v>250</v>
      </c>
      <c r="T113" s="81" t="s">
        <v>108</v>
      </c>
      <c r="U113" s="86">
        <v>10</v>
      </c>
      <c r="V113" s="81" t="s">
        <v>111</v>
      </c>
      <c r="W113" s="82">
        <v>330</v>
      </c>
      <c r="X113" s="76" t="s">
        <v>9</v>
      </c>
      <c r="Y113" s="80" t="s">
        <v>9</v>
      </c>
      <c r="Z113" s="76" t="s">
        <v>9</v>
      </c>
      <c r="AA113" s="79" t="s">
        <v>9</v>
      </c>
      <c r="AB113" s="81" t="s">
        <v>114</v>
      </c>
      <c r="AC113" s="82">
        <v>595</v>
      </c>
      <c r="AD113" s="81" t="s">
        <v>110</v>
      </c>
      <c r="AE113" s="82">
        <v>855</v>
      </c>
      <c r="AF113" s="81" t="s">
        <v>714</v>
      </c>
      <c r="AG113" s="82">
        <v>406</v>
      </c>
      <c r="AH113" s="81" t="s">
        <v>232</v>
      </c>
      <c r="AI113" s="82">
        <v>285</v>
      </c>
      <c r="AJ113" s="81" t="s">
        <v>233</v>
      </c>
      <c r="AK113" s="82">
        <v>470</v>
      </c>
      <c r="AL113" s="81" t="s">
        <v>112</v>
      </c>
      <c r="AM113" s="82">
        <v>22</v>
      </c>
      <c r="AN113" s="81" t="s">
        <v>115</v>
      </c>
      <c r="AO113" s="82" t="s">
        <v>188</v>
      </c>
      <c r="AP113" s="81" t="s">
        <v>109</v>
      </c>
      <c r="AQ113" s="82" t="s">
        <v>159</v>
      </c>
      <c r="AR113" s="81" t="s">
        <v>715</v>
      </c>
      <c r="AS113" s="95" t="s">
        <v>117</v>
      </c>
      <c r="AT113" s="81" t="s">
        <v>102</v>
      </c>
      <c r="AU113" s="95" t="s">
        <v>119</v>
      </c>
      <c r="AV113" s="78" t="s">
        <v>9</v>
      </c>
      <c r="AW113" s="79" t="s">
        <v>9</v>
      </c>
      <c r="AX113" s="78" t="s">
        <v>236</v>
      </c>
      <c r="AY113" s="79" t="s">
        <v>721</v>
      </c>
      <c r="AZ113" s="78" t="s">
        <v>237</v>
      </c>
      <c r="BA113" s="79" t="s">
        <v>723</v>
      </c>
      <c r="BB113" s="78" t="s">
        <v>716</v>
      </c>
      <c r="BC113" s="77" t="s">
        <v>717</v>
      </c>
    </row>
    <row r="114" spans="1:55" customFormat="1" ht="7.9" customHeight="1" x14ac:dyDescent="0.25">
      <c r="A114" s="69">
        <v>113</v>
      </c>
      <c r="B114" s="83" t="str">
        <f t="shared" si="1"/>
        <v>VAL.EURO22.0300.10</v>
      </c>
      <c r="C114" s="92" t="s">
        <v>404</v>
      </c>
      <c r="D114" s="85" t="s">
        <v>124</v>
      </c>
      <c r="E114" s="87" t="s">
        <v>1432</v>
      </c>
      <c r="F114" s="81" t="s">
        <v>104</v>
      </c>
      <c r="G114" s="86" t="s">
        <v>120</v>
      </c>
      <c r="H114" s="78" t="s">
        <v>9</v>
      </c>
      <c r="I114" s="79" t="s">
        <v>9</v>
      </c>
      <c r="J114" s="78" t="s">
        <v>234</v>
      </c>
      <c r="K114" s="79" t="s">
        <v>427</v>
      </c>
      <c r="L114" s="78" t="s">
        <v>122</v>
      </c>
      <c r="M114" s="79" t="s">
        <v>123</v>
      </c>
      <c r="N114" s="81" t="s">
        <v>715</v>
      </c>
      <c r="O114" s="86" t="s">
        <v>117</v>
      </c>
      <c r="P114" s="76" t="s">
        <v>9</v>
      </c>
      <c r="Q114" s="77" t="s">
        <v>9</v>
      </c>
      <c r="R114" s="78" t="s">
        <v>98</v>
      </c>
      <c r="S114" s="82">
        <v>300</v>
      </c>
      <c r="T114" s="81" t="s">
        <v>108</v>
      </c>
      <c r="U114" s="86">
        <v>10</v>
      </c>
      <c r="V114" s="81" t="s">
        <v>111</v>
      </c>
      <c r="W114" s="82">
        <v>356</v>
      </c>
      <c r="X114" s="76" t="s">
        <v>9</v>
      </c>
      <c r="Y114" s="80" t="s">
        <v>9</v>
      </c>
      <c r="Z114" s="76" t="s">
        <v>9</v>
      </c>
      <c r="AA114" s="79" t="s">
        <v>9</v>
      </c>
      <c r="AB114" s="81" t="s">
        <v>114</v>
      </c>
      <c r="AC114" s="82">
        <v>705</v>
      </c>
      <c r="AD114" s="81" t="s">
        <v>110</v>
      </c>
      <c r="AE114" s="82">
        <v>1010</v>
      </c>
      <c r="AF114" s="81" t="s">
        <v>714</v>
      </c>
      <c r="AG114" s="82">
        <v>486</v>
      </c>
      <c r="AH114" s="81" t="s">
        <v>232</v>
      </c>
      <c r="AI114" s="82">
        <v>305</v>
      </c>
      <c r="AJ114" s="81" t="s">
        <v>233</v>
      </c>
      <c r="AK114" s="82">
        <v>538</v>
      </c>
      <c r="AL114" s="81" t="s">
        <v>112</v>
      </c>
      <c r="AM114" s="82" t="s">
        <v>212</v>
      </c>
      <c r="AN114" s="81" t="s">
        <v>115</v>
      </c>
      <c r="AO114" s="82">
        <v>50</v>
      </c>
      <c r="AP114" s="81" t="s">
        <v>109</v>
      </c>
      <c r="AQ114" s="82">
        <v>130</v>
      </c>
      <c r="AR114" s="81" t="s">
        <v>715</v>
      </c>
      <c r="AS114" s="95" t="s">
        <v>117</v>
      </c>
      <c r="AT114" s="81" t="s">
        <v>102</v>
      </c>
      <c r="AU114" s="95" t="s">
        <v>119</v>
      </c>
      <c r="AV114" s="78" t="s">
        <v>9</v>
      </c>
      <c r="AW114" s="79" t="s">
        <v>9</v>
      </c>
      <c r="AX114" s="78" t="s">
        <v>236</v>
      </c>
      <c r="AY114" s="79" t="s">
        <v>721</v>
      </c>
      <c r="AZ114" s="78" t="s">
        <v>237</v>
      </c>
      <c r="BA114" s="79" t="s">
        <v>723</v>
      </c>
      <c r="BB114" s="78" t="s">
        <v>716</v>
      </c>
      <c r="BC114" s="77" t="s">
        <v>717</v>
      </c>
    </row>
  </sheetData>
  <phoneticPr fontId="1" type="noConversion"/>
  <conditionalFormatting sqref="B12:B14">
    <cfRule type="duplicateValues" dxfId="10" priority="8"/>
  </conditionalFormatting>
  <conditionalFormatting sqref="B15:B20 B24:B114">
    <cfRule type="duplicateValues" dxfId="9" priority="17"/>
  </conditionalFormatting>
  <conditionalFormatting sqref="B21:B23 D21:D23 F21:F23">
    <cfRule type="cellIs" dxfId="8" priority="3" operator="equal">
      <formula>"null"</formula>
    </cfRule>
  </conditionalFormatting>
  <conditionalFormatting sqref="B21:B23">
    <cfRule type="duplicateValues" dxfId="7" priority="4"/>
  </conditionalFormatting>
  <conditionalFormatting sqref="B115:B1048576 B1:B11">
    <cfRule type="duplicateValues" dxfId="6" priority="21"/>
  </conditionalFormatting>
  <conditionalFormatting sqref="C2">
    <cfRule type="cellIs" dxfId="5" priority="18" operator="equal">
      <formula>"null"</formula>
    </cfRule>
  </conditionalFormatting>
  <conditionalFormatting sqref="C17">
    <cfRule type="duplicateValues" dxfId="4" priority="16"/>
  </conditionalFormatting>
  <conditionalFormatting sqref="E21:E23">
    <cfRule type="duplicateValues" dxfId="3" priority="1"/>
  </conditionalFormatting>
  <conditionalFormatting sqref="F12:F14">
    <cfRule type="cellIs" dxfId="2" priority="10" operator="equal">
      <formula>"null"</formula>
    </cfRule>
  </conditionalFormatting>
  <conditionalFormatting sqref="I12:I14 R12:U14 Z12:AA14 BD12:XFD14">
    <cfRule type="cellIs" dxfId="1" priority="9" operator="equal">
      <formula>"null"</formula>
    </cfRule>
  </conditionalFormatting>
  <conditionalFormatting sqref="I21:I23 R21:U23 Z21:AA23 BD21:XFD23">
    <cfRule type="cellIs" dxfId="0" priority="2" operator="equal">
      <formula>"null"</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TotalTime>411</TotalTime>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José Luis Menegotto</dc:creator>
  <dc:description/>
  <cp:lastModifiedBy>José Luis Menegotto</cp:lastModifiedBy>
  <cp:revision>26</cp:revision>
  <dcterms:created xsi:type="dcterms:W3CDTF">2024-12-02T13:09:25Z</dcterms:created>
  <dcterms:modified xsi:type="dcterms:W3CDTF">2026-09-18T15:27:03Z</dcterms:modified>
  <dc:language>pt-BR</dc:language>
</cp:coreProperties>
</file>