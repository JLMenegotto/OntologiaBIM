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PRO\"/>
    </mc:Choice>
  </mc:AlternateContent>
  <xr:revisionPtr revIDLastSave="0" documentId="13_ncr:1_{1C4B0013-E011-45F0-A671-E7BA1A893432}" xr6:coauthVersionLast="47" xr6:coauthVersionMax="47" xr10:uidLastSave="{00000000-0000-0000-0000-000000000000}"/>
  <bookViews>
    <workbookView xWindow="-120" yWindow="-120" windowWidth="24240" windowHeight="13290" activeTab="1" xr2:uid="{6AA21774-678E-47D1-B8DD-6444A2CEB00E}"/>
  </bookViews>
  <sheets>
    <sheet name="Projeto" sheetId="26" r:id="rId1"/>
    <sheet name="Classes" sheetId="33" r:id="rId2"/>
    <sheet name="Disjunt" sheetId="3" r:id="rId3"/>
    <sheet name="Interop" sheetId="27" r:id="rId4"/>
    <sheet name="FatosIn" sheetId="32" r:id="rId5"/>
    <sheet name="ExemplosDL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33" l="1"/>
  <c r="X19" i="33"/>
  <c r="X20" i="33"/>
  <c r="X21" i="33"/>
  <c r="X22" i="33"/>
  <c r="V22" i="33"/>
  <c r="U22" i="33"/>
  <c r="T22" i="33"/>
  <c r="O22" i="33"/>
  <c r="N22" i="33"/>
  <c r="M22" i="33"/>
  <c r="L22" i="33"/>
  <c r="V21" i="33"/>
  <c r="U21" i="33"/>
  <c r="T21" i="33"/>
  <c r="O21" i="33"/>
  <c r="N21" i="33"/>
  <c r="M21" i="33"/>
  <c r="L21" i="33"/>
  <c r="V20" i="33"/>
  <c r="U20" i="33"/>
  <c r="T20" i="33"/>
  <c r="O20" i="33"/>
  <c r="N20" i="33"/>
  <c r="M20" i="33"/>
  <c r="L20" i="33"/>
  <c r="V19" i="33"/>
  <c r="U19" i="33"/>
  <c r="T19" i="33"/>
  <c r="O19" i="33"/>
  <c r="N19" i="33"/>
  <c r="M19" i="33"/>
  <c r="L19" i="33"/>
  <c r="V18" i="33"/>
  <c r="U18" i="33"/>
  <c r="T18" i="33"/>
  <c r="O18" i="33"/>
  <c r="N18" i="33"/>
  <c r="M18" i="33"/>
  <c r="L18" i="33"/>
  <c r="AD19" i="32" l="1"/>
  <c r="AD18" i="32"/>
  <c r="AD17" i="32"/>
  <c r="AD16" i="32"/>
  <c r="AD15" i="32"/>
  <c r="X17" i="33" l="1"/>
  <c r="V17" i="33" l="1"/>
  <c r="U17" i="33"/>
  <c r="T17" i="33"/>
  <c r="O17" i="33"/>
  <c r="N17" i="33"/>
  <c r="M17" i="33"/>
  <c r="L17" i="33"/>
  <c r="X2" i="33" l="1"/>
  <c r="X3" i="33"/>
  <c r="X4" i="33"/>
  <c r="X5" i="33"/>
  <c r="X6" i="33"/>
  <c r="X7" i="33"/>
  <c r="X8" i="33"/>
  <c r="X9" i="33"/>
  <c r="X10" i="33"/>
  <c r="X11" i="33"/>
  <c r="X12" i="33"/>
  <c r="X13" i="33"/>
  <c r="X14" i="33"/>
  <c r="X15" i="33"/>
  <c r="X16" i="33"/>
  <c r="V12" i="33" l="1"/>
  <c r="U12" i="33"/>
  <c r="T12" i="33"/>
  <c r="O12" i="33"/>
  <c r="N12" i="33"/>
  <c r="M12" i="33"/>
  <c r="L12" i="33"/>
  <c r="V16" i="33"/>
  <c r="U16" i="33"/>
  <c r="T16" i="33"/>
  <c r="O16" i="33"/>
  <c r="N16" i="33"/>
  <c r="M16" i="33"/>
  <c r="L16" i="33"/>
  <c r="V15" i="33"/>
  <c r="U15" i="33"/>
  <c r="T15" i="33"/>
  <c r="O15" i="33"/>
  <c r="N15" i="33"/>
  <c r="M15" i="33"/>
  <c r="L15" i="33"/>
  <c r="V14" i="33"/>
  <c r="U14" i="33"/>
  <c r="T14" i="33"/>
  <c r="O14" i="33"/>
  <c r="N14" i="33"/>
  <c r="M14" i="33"/>
  <c r="L14" i="33"/>
  <c r="V13" i="33"/>
  <c r="U13" i="33"/>
  <c r="T13" i="33"/>
  <c r="O13" i="33"/>
  <c r="N13" i="33"/>
  <c r="M13" i="33"/>
  <c r="L13" i="33"/>
  <c r="V11" i="33"/>
  <c r="U11" i="33"/>
  <c r="T11" i="33"/>
  <c r="O11" i="33"/>
  <c r="N11" i="33"/>
  <c r="M11" i="33"/>
  <c r="L11" i="33"/>
  <c r="V10" i="33"/>
  <c r="U10" i="33"/>
  <c r="T10" i="33"/>
  <c r="O10" i="33"/>
  <c r="N10" i="33"/>
  <c r="M10" i="33"/>
  <c r="L10" i="33"/>
  <c r="V9" i="33"/>
  <c r="U9" i="33"/>
  <c r="T9" i="33"/>
  <c r="O9" i="33"/>
  <c r="N9" i="33"/>
  <c r="M9" i="33"/>
  <c r="L9" i="33"/>
  <c r="V8" i="33"/>
  <c r="U8" i="33"/>
  <c r="T8" i="33"/>
  <c r="O8" i="33"/>
  <c r="N8" i="33"/>
  <c r="M8" i="33"/>
  <c r="L8" i="33"/>
  <c r="V7" i="33"/>
  <c r="U7" i="33"/>
  <c r="T7" i="33"/>
  <c r="O7" i="33"/>
  <c r="N7" i="33"/>
  <c r="M7" i="33"/>
  <c r="L7" i="33"/>
  <c r="V6" i="33"/>
  <c r="U6" i="33"/>
  <c r="T6" i="33"/>
  <c r="O6" i="33"/>
  <c r="N6" i="33"/>
  <c r="M6" i="33"/>
  <c r="L6" i="33"/>
  <c r="V5" i="33"/>
  <c r="U5" i="33"/>
  <c r="T5" i="33"/>
  <c r="O5" i="33"/>
  <c r="N5" i="33"/>
  <c r="M5" i="33"/>
  <c r="L5" i="33"/>
  <c r="V4" i="33"/>
  <c r="U4" i="33"/>
  <c r="T4" i="33"/>
  <c r="O4" i="33"/>
  <c r="N4" i="33"/>
  <c r="M4" i="33"/>
  <c r="L4" i="33"/>
  <c r="V3" i="33"/>
  <c r="U3" i="33"/>
  <c r="T3" i="33"/>
  <c r="O3" i="33"/>
  <c r="N3" i="33"/>
  <c r="M3" i="33"/>
  <c r="L3" i="33"/>
  <c r="V2" i="33"/>
  <c r="U2" i="33"/>
  <c r="T2" i="33"/>
  <c r="O2" i="33"/>
  <c r="N2" i="33"/>
  <c r="M2" i="33"/>
  <c r="L2" i="33"/>
  <c r="B21" i="26" l="1"/>
  <c r="B20" i="26"/>
  <c r="B26" i="26"/>
  <c r="B18" i="26" l="1"/>
  <c r="B6" i="26" l="1"/>
  <c r="B5" i="26"/>
</calcChain>
</file>

<file path=xl/sharedStrings.xml><?xml version="1.0" encoding="utf-8"?>
<sst xmlns="http://schemas.openxmlformats.org/spreadsheetml/2006/main" count="1334" uniqueCount="286">
  <si>
    <t>Key</t>
  </si>
  <si>
    <t>null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</si>
  <si>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</si>
  <si>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</si>
  <si>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</si>
  <si>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</si>
  <si>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</si>
  <si>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</si>
  <si>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</si>
  <si>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</si>
  <si>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</si>
  <si>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</si>
  <si>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</si>
  <si>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</si>
  <si>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</si>
  <si>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</si>
  <si>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</si>
  <si>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</si>
  <si>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</si>
  <si>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</si>
  <si>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</si>
  <si>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</si>
  <si>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</si>
  <si>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 xml:space="preserve">Exemplos de DL Queries </t>
  </si>
  <si>
    <r>
      <t xml:space="preserve">Class: </t>
    </r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
    Annotations:  rdfs:comment  "Texto explicativo do Conceito em Português (@pt) "@pt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 rdfs:label         "Etiquetagem"@pt
    EquivalentTo:</t>
    </r>
    <r>
      <rPr>
        <b/>
        <sz val="6"/>
        <color rgb="FFFFC000"/>
        <rFont val="Arial Nova Cond"/>
        <family val="2"/>
      </rPr>
      <t xml:space="preserve"> ClasseDominio</t>
    </r>
    <r>
      <rPr>
        <sz val="6"/>
        <color theme="1"/>
        <rFont val="Arial Nova Cond"/>
        <family val="2"/>
      </rPr>
      <t xml:space="preserve"> </t>
    </r>
    <r>
      <rPr>
        <sz val="6"/>
        <color theme="8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( { </t>
    </r>
    <r>
      <rPr>
        <b/>
        <sz val="6"/>
        <color rgb="FFFF99FF"/>
        <rFont val="Arial Nova Cond"/>
        <family val="2"/>
      </rPr>
      <t>Individuo1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Individuo2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Individuo3</t>
    </r>
    <r>
      <rPr>
        <sz val="6"/>
        <color theme="1"/>
        <rFont val="Arial Nova Cond"/>
        <family val="2"/>
      </rPr>
      <t xml:space="preserve"> , </t>
    </r>
    <r>
      <rPr>
        <b/>
        <sz val="6"/>
        <color rgb="FFFF99FF"/>
        <rFont val="Arial Nova Cond"/>
        <family val="2"/>
      </rPr>
      <t>Individuo4</t>
    </r>
    <r>
      <rPr>
        <sz val="6"/>
        <color theme="1"/>
        <rFont val="Arial Nova Cond"/>
        <family val="2"/>
      </rPr>
      <t xml:space="preserve"> } )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</si>
  <si>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</si>
  <si>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 B"@pt
    SubClassOf:  </t>
    </r>
    <r>
      <rPr>
        <b/>
        <sz val="6"/>
        <color rgb="FFFFC000"/>
        <rFont val="Arial Nova Cond"/>
        <family val="2"/>
      </rPr>
      <t xml:space="preserve">Classe.A 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8" tint="-0.249977111117893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Classe.C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8" tint="-0.249977111117893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</si>
  <si>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 xml:space="preserve">Classe.C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( </t>
    </r>
    <r>
      <rPr>
        <sz val="6"/>
        <color rgb="FFFFC000"/>
        <rFont val="Arial Nova Cond"/>
        <family val="2"/>
      </rPr>
      <t>Classe.C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or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sz val="6"/>
        <color theme="1"/>
        <rFont val="Arial Nova Cond"/>
        <family val="2"/>
      </rPr>
      <t xml:space="preserve"> )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</si>
  <si>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(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4" tint="-0.249977111117893"/>
        <rFont val="Arial Nova Cond"/>
        <family val="2"/>
      </rPr>
      <t>objprop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 xml:space="preserve">Indivíduo </t>
    </r>
    <r>
      <rPr>
        <b/>
        <sz val="6"/>
        <rFont val="Arial Nova Cond"/>
        <family val="2"/>
      </rPr>
      <t>)</t>
    </r>
  </si>
  <si>
    <t>Filtros DL possíveis</t>
  </si>
  <si>
    <r>
      <t xml:space="preserve">Norma.Nacional </t>
    </r>
    <r>
      <rPr>
        <b/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8" tint="-0.249977111117893"/>
        <rFont val="Arial Nova Cond"/>
        <family val="2"/>
      </rPr>
      <t>tem.siscla.equiv</t>
    </r>
    <r>
      <rPr>
        <sz val="6"/>
        <color theme="1"/>
        <rFont val="Arial Nova Cond"/>
        <family val="2"/>
      </rPr>
      <t xml:space="preserve">  </t>
    </r>
    <r>
      <rPr>
        <b/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Omni.41</t>
    </r>
  </si>
  <si>
    <r>
      <t xml:space="preserve">(é.unidade.funcional.sus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UF.EME and Prédio) and</t>
    </r>
    <r>
      <rPr>
        <b/>
        <sz val="6"/>
        <color theme="8" tint="-0.249977111117893"/>
        <rFont val="Arial Nova Cond"/>
        <family val="2"/>
      </rPr>
      <t xml:space="preserve"> é.dentro.de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Copacabana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</si>
  <si>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Tema.Estrutura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</si>
  <si>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Tema.Saúde</t>
    </r>
  </si>
  <si>
    <r>
      <t xml:space="preserve">Ambiente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</si>
  <si>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Prédio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</si>
  <si>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Bairro and ( é.localizado 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AP.1</t>
    </r>
    <r>
      <rPr>
        <sz val="6"/>
        <color theme="1"/>
        <rFont val="Arial Nova Cond"/>
        <family val="2"/>
      </rPr>
      <t>)</t>
    </r>
  </si>
  <si>
    <r>
      <t xml:space="preserve">Bairro and (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RA.12</t>
    </r>
    <r>
      <rPr>
        <sz val="6"/>
        <color theme="1"/>
        <rFont val="Arial Nova Cond"/>
        <family val="2"/>
      </rPr>
      <t>)</t>
    </r>
  </si>
  <si>
    <t>-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</si>
  <si>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</si>
  <si>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</si>
  <si>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</si>
  <si>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</si>
  <si>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</si>
  <si>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5</t>
  </si>
  <si>
    <t>Anotações 
de ajuda
Classe 3</t>
  </si>
  <si>
    <t>Anotações 
de ajuda
Classe 1</t>
  </si>
  <si>
    <t>Anotações 
de ajuda
Classe 2</t>
  </si>
  <si>
    <t>Fato</t>
  </si>
  <si>
    <t>Indivíduo</t>
  </si>
  <si>
    <t>Valor</t>
  </si>
  <si>
    <t>Chave</t>
  </si>
  <si>
    <t>RaizClass</t>
  </si>
  <si>
    <t>RaizProp</t>
  </si>
  <si>
    <t>RaizData</t>
  </si>
  <si>
    <t>URI</t>
  </si>
  <si>
    <t>Autor</t>
  </si>
  <si>
    <t>Edição</t>
  </si>
  <si>
    <t>ISBN</t>
  </si>
  <si>
    <t>Observações</t>
  </si>
  <si>
    <t>OntologiaPrefixo</t>
  </si>
  <si>
    <t>OntologiaTema</t>
  </si>
  <si>
    <t>BIM</t>
  </si>
  <si>
    <t>https://github.com/JLMenegotto/RepoOnto#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</si>
  <si>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</si>
  <si>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</si>
  <si>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</si>
  <si>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</si>
  <si>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</si>
  <si>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</si>
  <si>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</si>
  <si>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</si>
  <si>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Prédio</t>
  </si>
  <si>
    <t>Cidade</t>
  </si>
  <si>
    <t>Explicação</t>
  </si>
  <si>
    <t>Explicación</t>
  </si>
  <si>
    <t>bim:</t>
  </si>
  <si>
    <t>0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</si>
  <si>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</si>
  <si>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</si>
  <si>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</si>
  <si>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</si>
  <si>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</si>
  <si>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</si>
  <si>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</si>
  <si>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</si>
  <si>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000 Tradução Classe 5</t>
  </si>
  <si>
    <t>000 Traducción Classe 5</t>
  </si>
  <si>
    <t>Interop</t>
  </si>
  <si>
    <t>Especie</t>
  </si>
  <si>
    <t>Interdisciplinar</t>
  </si>
  <si>
    <t>N°</t>
  </si>
  <si>
    <t>Val</t>
  </si>
  <si>
    <t>Classe</t>
  </si>
  <si>
    <t>Equivalente a</t>
  </si>
  <si>
    <t>descrição</t>
  </si>
  <si>
    <t>CategoriaRvt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</si>
  <si>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</si>
  <si>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</si>
  <si>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</si>
  <si>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</si>
  <si>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</si>
  <si>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</si>
  <si>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</si>
  <si>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</si>
  <si>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Aviso</t>
  </si>
  <si>
    <t>Alert</t>
  </si>
  <si>
    <t>Advertência</t>
  </si>
  <si>
    <t xml:space="preserve">Traduções ao espanhol e ao inglês incorporadas - As traduções devem ser constantemente revisadas </t>
  </si>
  <si>
    <t>EGC</t>
  </si>
  <si>
    <t>Conceitos de elementos das Estruturas Genéticamente Construídas</t>
  </si>
  <si>
    <t>Formalizar conceitos de  Estruturas Genéticamente Construídas</t>
  </si>
  <si>
    <t>Formalizar conceptos de las  Estructuras Genéticamente Construídas</t>
  </si>
  <si>
    <t>Giro</t>
  </si>
  <si>
    <t>Escalar</t>
  </si>
  <si>
    <t>Reflexão</t>
  </si>
  <si>
    <t>Ponto.Base</t>
  </si>
  <si>
    <t>Ponto.Destino</t>
  </si>
  <si>
    <t>código.ontogenético</t>
  </si>
  <si>
    <t>"T"</t>
  </si>
  <si>
    <t>"G"</t>
  </si>
  <si>
    <t>"E"</t>
  </si>
  <si>
    <t>"R"</t>
  </si>
  <si>
    <t>Valor.Angular</t>
  </si>
  <si>
    <t>Valor.X</t>
  </si>
  <si>
    <t>Valor.Y</t>
  </si>
  <si>
    <t>Valor.Z</t>
  </si>
  <si>
    <t>Valor.Escalar</t>
  </si>
  <si>
    <t>PB1</t>
  </si>
  <si>
    <t>é.ponto.base</t>
  </si>
  <si>
    <t>PBP</t>
  </si>
  <si>
    <t>TRA_Hor</t>
  </si>
  <si>
    <t>TRA_Ver</t>
  </si>
  <si>
    <t>T1</t>
  </si>
  <si>
    <t>G1</t>
  </si>
  <si>
    <t>E1</t>
  </si>
  <si>
    <t>R1</t>
  </si>
  <si>
    <t>é.transformação.geométrica</t>
  </si>
  <si>
    <t>Ponto.Eixo1</t>
  </si>
  <si>
    <t>Ponto.Eixo2</t>
  </si>
  <si>
    <t>Ponto 1 que define um eixo de simetria</t>
  </si>
  <si>
    <t>Ponto 2 que define um eixo de simetria</t>
  </si>
  <si>
    <t>Ponto Base que pode servir como primeiro ponto base de um vetor de translação ou para referenciar um projeto</t>
  </si>
  <si>
    <t>Ponto final de um vetor de translação</t>
  </si>
  <si>
    <t>Valor Escalar de uma transformação de mudança de escala</t>
  </si>
  <si>
    <t>Valor Angular de uma transformação de Giro ou rotação</t>
  </si>
  <si>
    <t>Valor Deslocar. Valor de distância de uma translação</t>
  </si>
  <si>
    <t>Valor de Y. Coordenada Y.</t>
  </si>
  <si>
    <t>Valor de X. Coordenada X.</t>
  </si>
  <si>
    <t>Valor de Z. Coordenada Z.</t>
  </si>
  <si>
    <t>Giro. A transformação que transforma a posição de um ponto com um deslocamento circular. Precisa Ponto Base e ângulo.</t>
  </si>
  <si>
    <t>Escalar. Ampliação ou redução de uma forma em relação a um centro de homotetia.  Precisa Ponto Base e fator escalar.</t>
  </si>
  <si>
    <t>Reflexão. Transformação de uma ponto em relação a um eixo de simetria. Precisa Ponto Eixo1 e Ponto Eixo2.</t>
  </si>
  <si>
    <t>Punto final de un vector de traslación</t>
  </si>
  <si>
    <t>Transformación de un punto respecto a un eje de simetría. Define el eje de simetría por 2 puntos.</t>
  </si>
  <si>
    <t>Aumento o reducción de una forma en relación con un centro homotético. Necesita punto base y factor escalar.</t>
  </si>
  <si>
    <t>La transformación que modifica la posición de un punto mediante un desplazamiento circular. Necesita punto base y ángulo de rotación.</t>
  </si>
  <si>
    <t>Value of X. Coordinate X.</t>
  </si>
  <si>
    <t>Value of Y. Y-coordinate.</t>
  </si>
  <si>
    <t>Z Value. Z Coordinate.</t>
  </si>
  <si>
    <t>Displace Value. Distance Value of a Translation</t>
  </si>
  <si>
    <t>Angular Value of a Spin or Rotation Transform</t>
  </si>
  <si>
    <t>Scalar Value of a Scale-Changing Transformation</t>
  </si>
  <si>
    <t>Point 1 that defines a symmetry axis</t>
  </si>
  <si>
    <t>Point 2 that defines a symmetry axis</t>
  </si>
  <si>
    <t>Base point that can serve as the first base point of a translation vector or to reference a project</t>
  </si>
  <si>
    <t>Endpoint of a translational vector</t>
  </si>
  <si>
    <t>The transformation that modifies the position of a point by means of a circular displacement. Needs base point and rotation angle.</t>
  </si>
  <si>
    <t>Increase or decrease of a shape in relation to a homothetic center. You need base point and scalar factor.</t>
  </si>
  <si>
    <t>Transformation of a point with respect to an axis of symmetry. Define the axis of symmetry by 2 points.</t>
  </si>
  <si>
    <t>Translação.Polar</t>
  </si>
  <si>
    <t>Valor.Distância</t>
  </si>
  <si>
    <t>Translação.XYZ</t>
  </si>
  <si>
    <t>Translação Polar. A transformação que transforma o ponto por um deslocamento linear. Precisa Ponto Base e Ponto Destino.</t>
  </si>
  <si>
    <t>Translação XYZ. A transformação que transforma o ponto por um deslocamento linear. Precisa dos componentes XYZ do vetor de translação.</t>
  </si>
  <si>
    <t>Translación Polar. La transformación que modifica la posición de un punto mediante un desplazamiento lineal. Necesita punto base y punto objetivo.</t>
  </si>
  <si>
    <t>Translación XYZ. La transformación que modifica la posición de un punto mediante un desplazamiento lineal. Necesita los componentes XYZ del vector de translación.</t>
  </si>
  <si>
    <t>XYZ translation. The transformation that modifies the position of a point by means of a linear displacement. You need the XYZ components of the translation vector.</t>
  </si>
  <si>
    <t>Polar translation. The transformation that modifies the position of a point by means of a linear displacement. You need base point and target point.</t>
  </si>
  <si>
    <t>valor.angular</t>
  </si>
  <si>
    <t>valor.escalar</t>
  </si>
  <si>
    <t>base.x</t>
  </si>
  <si>
    <t>base.y</t>
  </si>
  <si>
    <t>base.z</t>
  </si>
  <si>
    <t>base.xx</t>
  </si>
  <si>
    <t>base.zz</t>
  </si>
  <si>
    <t>base.yy</t>
  </si>
  <si>
    <t>"Uma translação absoluta definindo o deslocamento"</t>
  </si>
  <si>
    <t>T2</t>
  </si>
  <si>
    <t>"Uma translação relativa definindo 2 pontos do vetor de translação"</t>
  </si>
  <si>
    <t>"Definição de um valor de distância de deslocamento para usar em alguma transformação"</t>
  </si>
  <si>
    <t>A90</t>
  </si>
  <si>
    <t>A60</t>
  </si>
  <si>
    <t>DI1</t>
  </si>
  <si>
    <t>DI-Ex1-Ex2</t>
  </si>
  <si>
    <t>valor.distância</t>
  </si>
  <si>
    <t>5.45</t>
  </si>
  <si>
    <t>"Uma rotação definida pelo seu centro de giro e ángulo"</t>
  </si>
  <si>
    <t>"Uma mudança escalar definida pelo seu centro de homotetia e o fator escalar"</t>
  </si>
  <si>
    <t>"Uma reflexão definida por dois pontos do eixo de reflexão"</t>
  </si>
  <si>
    <t>"O ponto base de uma transformação qualquer"</t>
  </si>
  <si>
    <t>"O ponto base de implantação de um projeto qualquer"</t>
  </si>
  <si>
    <t>"A Translação principal de módulos estruturais horizontais hipotéticos usando uma transformação já definida"</t>
  </si>
  <si>
    <t>"A Translação principal dos módulos estruturais verticais hipotéticos usando uma transformação já definida"</t>
  </si>
  <si>
    <t>"Definição de um valor de distância hipotético entre os Eixos 1 e 2 de um projeto qualquer"</t>
  </si>
  <si>
    <t>"Definição de um valor de ângulo absoluto de 90 graus para usar em alguma transformação"</t>
  </si>
  <si>
    <t>"Definição de um valor de ângulo absoluto de 60 graus para usar em alguma transformação"</t>
  </si>
  <si>
    <t xml:space="preserve"> base.x exactly 1 ,    base.y exactly 1  ,  base.z exactly 1 </t>
  </si>
  <si>
    <t xml:space="preserve"> base.x exactly 1  ,   base.y exactly 1  ,  base.z exactly 1  ,  valor.angular    exactly 1 </t>
  </si>
  <si>
    <t xml:space="preserve"> base.x exactly 1  ,   base.y exactly 1  ,  base.z exactly 1 ,   valor.escalar     exactly 1 </t>
  </si>
  <si>
    <t xml:space="preserve"> base.x exactly 1 ,    base.y exactly 1  ,  base.z exactly 1  ,  base.xx exactly 1  ,   base.yy exactly 1 ,   base.zz exactly 1  </t>
  </si>
  <si>
    <t xml:space="preserve"> base.x exactly 1  ,   base.y exactly 1  ,  base.z exactly 1  ,  valor.distância  exactly 1  ,   valor.angular exactly 1 </t>
  </si>
  <si>
    <t>Conceitos</t>
  </si>
  <si>
    <t>Formantes</t>
  </si>
  <si>
    <t>Projeto</t>
  </si>
  <si>
    <t>Morfológico</t>
  </si>
  <si>
    <t>Código.De.Forma</t>
  </si>
  <si>
    <t>Códificação.Formal</t>
  </si>
  <si>
    <t>Morfologias</t>
  </si>
  <si>
    <t>Código formal do projeto de acordo à técnica EGC</t>
  </si>
  <si>
    <t>Elementos.EGC</t>
  </si>
  <si>
    <t>EGC.Bases</t>
  </si>
  <si>
    <t>EGC.Movimentos</t>
  </si>
  <si>
    <t>EGC.Parâmetros</t>
  </si>
  <si>
    <t>Formal design code according to the EGC technique</t>
  </si>
  <si>
    <t>Valor Z. Coordenada Z.</t>
  </si>
  <si>
    <t>Valor desplazado. Valor de distancia de una traslación</t>
  </si>
  <si>
    <t>Valor angular de una transformada de espín o rotación</t>
  </si>
  <si>
    <t>Valor escalar de una transformación que cambia la escala</t>
  </si>
  <si>
    <t>Punto 1 que define un eje de simetría</t>
  </si>
  <si>
    <t>Punto 2 que define un eje de simetría</t>
  </si>
  <si>
    <t>Punto base que puede servir como primer punto base de un vector de traslación o para referenciar un proyecto</t>
  </si>
  <si>
    <t>Código formal de diseño según la técnica EGC</t>
  </si>
  <si>
    <t>Parâmetro Rvt</t>
  </si>
  <si>
    <t>Atributo IFC</t>
  </si>
  <si>
    <t>Classe IFC</t>
  </si>
  <si>
    <t>API_Ambiente</t>
  </si>
  <si>
    <t>tema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</si>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</sst>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Arial Nova Cond"/>
      <family val="2"/>
    </font>
    <font>
      <sz val="6"/>
      <color theme="1"/>
      <name val="Arial Nova Cond"/>
      <family val="2"/>
    </font>
    <font>
      <b/>
      <sz val="6"/>
      <name val="Arial Nova Cond"/>
      <family val="2"/>
    </font>
    <font>
      <i/>
      <sz val="6"/>
      <name val="Arial Nova Cond"/>
      <family val="2"/>
    </font>
    <font>
      <b/>
      <sz val="6"/>
      <color theme="1"/>
      <name val="Arial Nova Cond"/>
      <family val="2"/>
    </font>
    <font>
      <b/>
      <sz val="6"/>
      <color rgb="FFFFC000"/>
      <name val="Arial Nova Cond"/>
      <family val="2"/>
    </font>
    <font>
      <sz val="6"/>
      <color theme="8"/>
      <name val="Arial Nova Cond"/>
      <family val="2"/>
    </font>
    <font>
      <b/>
      <sz val="6"/>
      <color rgb="FFFF99FF"/>
      <name val="Arial Nova Cond"/>
      <family val="2"/>
    </font>
    <font>
      <b/>
      <sz val="6"/>
      <color theme="4"/>
      <name val="Arial Nova Cond"/>
      <family val="2"/>
    </font>
    <font>
      <sz val="6"/>
      <color rgb="FF00B0F0"/>
      <name val="Arial Nova Cond"/>
      <family val="2"/>
    </font>
    <font>
      <b/>
      <sz val="6"/>
      <color theme="8" tint="-0.249977111117893"/>
      <name val="Arial Nova Cond"/>
      <family val="2"/>
    </font>
    <font>
      <sz val="6"/>
      <color rgb="FFFFC000"/>
      <name val="Arial Nova Cond"/>
      <family val="2"/>
    </font>
    <font>
      <b/>
      <sz val="6"/>
      <color theme="4" tint="-0.249977111117893"/>
      <name val="Arial Nova Cond"/>
      <family val="2"/>
    </font>
    <font>
      <b/>
      <sz val="6"/>
      <color rgb="FF00B0F0"/>
      <name val="Arial Nova Cond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rgb="FFFBE79D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E89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1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22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left" vertical="center" wrapText="1"/>
    </xf>
    <xf numFmtId="0" fontId="22" fillId="15" borderId="3" xfId="0" applyFont="1" applyFill="1" applyBorder="1" applyAlignment="1">
      <alignment horizontal="left" vertical="center" wrapText="1"/>
    </xf>
    <xf numFmtId="0" fontId="22" fillId="15" borderId="2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left" vertical="center"/>
    </xf>
    <xf numFmtId="0" fontId="17" fillId="8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3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22" fontId="18" fillId="0" borderId="1" xfId="0" applyNumberFormat="1" applyFont="1" applyBorder="1" applyAlignment="1">
      <alignment vertical="center"/>
    </xf>
    <xf numFmtId="164" fontId="18" fillId="6" borderId="1" xfId="0" applyNumberFormat="1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vertical="center"/>
    </xf>
    <xf numFmtId="0" fontId="18" fillId="18" borderId="3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left" vertical="center"/>
    </xf>
    <xf numFmtId="0" fontId="21" fillId="16" borderId="3" xfId="0" applyFont="1" applyFill="1" applyBorder="1" applyAlignment="1">
      <alignment vertical="center" wrapText="1"/>
    </xf>
    <xf numFmtId="0" fontId="23" fillId="3" borderId="3" xfId="0" applyFont="1" applyFill="1" applyBorder="1" applyAlignment="1">
      <alignment vertical="center"/>
    </xf>
    <xf numFmtId="0" fontId="17" fillId="8" borderId="1" xfId="0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9" fillId="2" borderId="1" xfId="0" applyFont="1" applyFill="1" applyBorder="1" applyAlignment="1">
      <alignment horizontal="right" vertical="center"/>
    </xf>
    <xf numFmtId="0" fontId="19" fillId="20" borderId="1" xfId="0" applyFont="1" applyFill="1" applyBorder="1" applyAlignment="1">
      <alignment horizontal="left" vertical="center"/>
    </xf>
    <xf numFmtId="0" fontId="22" fillId="16" borderId="2" xfId="0" applyFont="1" applyFill="1" applyBorder="1" applyAlignment="1">
      <alignment horizontal="left" vertical="center" wrapText="1"/>
    </xf>
    <xf numFmtId="0" fontId="19" fillId="21" borderId="1" xfId="0" applyFont="1" applyFill="1" applyBorder="1" applyAlignment="1">
      <alignment horizontal="left" vertical="center"/>
    </xf>
    <xf numFmtId="0" fontId="23" fillId="16" borderId="1" xfId="0" applyFont="1" applyFill="1" applyBorder="1" applyAlignment="1">
      <alignment horizontal="left" vertical="center"/>
    </xf>
    <xf numFmtId="0" fontId="18" fillId="18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left"/>
    </xf>
    <xf numFmtId="0" fontId="19" fillId="18" borderId="1" xfId="0" applyFont="1" applyFill="1" applyBorder="1" applyAlignment="1">
      <alignment vertical="center"/>
    </xf>
    <xf numFmtId="0" fontId="23" fillId="22" borderId="1" xfId="0" applyFont="1" applyFill="1" applyBorder="1" applyAlignment="1">
      <alignment horizontal="left" vertical="center"/>
    </xf>
    <xf numFmtId="0" fontId="19" fillId="23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0" fontId="23" fillId="24" borderId="1" xfId="0" applyFont="1" applyFill="1" applyBorder="1" applyAlignment="1">
      <alignment horizontal="left" vertical="center"/>
    </xf>
    <xf numFmtId="0" fontId="23" fillId="25" borderId="1" xfId="0" applyFont="1" applyFill="1" applyBorder="1" applyAlignment="1">
      <alignment horizontal="left" vertical="center"/>
    </xf>
    <xf numFmtId="0" fontId="23" fillId="26" borderId="1" xfId="0" applyFont="1" applyFill="1" applyBorder="1" applyAlignment="1">
      <alignment horizontal="left" vertical="center"/>
    </xf>
    <xf numFmtId="0" fontId="26" fillId="0" borderId="0" xfId="0" applyFont="1"/>
    <xf numFmtId="0" fontId="23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/>
    </xf>
    <xf numFmtId="164" fontId="18" fillId="10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left" vertical="center"/>
    </xf>
    <xf numFmtId="0" fontId="19" fillId="18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3" fillId="21" borderId="3" xfId="0" applyFont="1" applyFill="1" applyBorder="1" applyAlignment="1">
      <alignment vertical="center"/>
    </xf>
    <xf numFmtId="0" fontId="23" fillId="21" borderId="3" xfId="0" applyFont="1" applyFill="1" applyBorder="1" applyAlignment="1">
      <alignment horizontal="left" vertical="center"/>
    </xf>
    <xf numFmtId="164" fontId="18" fillId="21" borderId="1" xfId="0" applyNumberFormat="1" applyFont="1" applyFill="1" applyBorder="1" applyAlignment="1">
      <alignment horizontal="left" vertical="center"/>
    </xf>
    <xf numFmtId="0" fontId="18" fillId="21" borderId="1" xfId="0" applyFont="1" applyFill="1" applyBorder="1" applyAlignment="1">
      <alignment horizontal="left" vertical="center"/>
    </xf>
    <xf numFmtId="0" fontId="22" fillId="1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13C-8B96-43A0-BB50-A45AC26373E3}">
  <sheetPr codeName="Planilha1"/>
  <dimension ref="A1:C26"/>
  <sheetViews>
    <sheetView zoomScale="220" zoomScaleNormal="220" workbookViewId="0">
      <pane ySplit="1" topLeftCell="A2" activePane="bottomLeft" state="frozen"/>
      <selection activeCell="C18" sqref="C18"/>
      <selection pane="bottomLeft" activeCell="B3" sqref="B3"/>
    </sheetView>
  </sheetViews>
  <sheetFormatPr defaultColWidth="3.28515625" defaultRowHeight="9.75" customHeight="1" x14ac:dyDescent="0.25"/>
  <cols>
    <col min="1" max="1" width="9.7109375" style="12" customWidth="1"/>
    <col min="2" max="2" width="51.7109375" style="12" customWidth="1"/>
    <col min="3" max="3" width="3.42578125" style="41" bestFit="1" customWidth="1"/>
    <col min="4" max="16384" width="3.28515625" style="12"/>
  </cols>
  <sheetData>
    <row r="1" spans="1:3" ht="27" customHeight="1" x14ac:dyDescent="0.25">
      <c r="A1" s="13" t="s">
        <v>51</v>
      </c>
      <c r="B1" s="13" t="s">
        <v>50</v>
      </c>
      <c r="C1" s="36" t="s">
        <v>101</v>
      </c>
    </row>
    <row r="2" spans="1:3" ht="6.95" customHeight="1" x14ac:dyDescent="0.25">
      <c r="A2" s="14" t="s">
        <v>60</v>
      </c>
      <c r="B2" s="14" t="s">
        <v>76</v>
      </c>
      <c r="C2" s="40" t="s">
        <v>102</v>
      </c>
    </row>
    <row r="3" spans="1:3" ht="6.95" customHeight="1" x14ac:dyDescent="0.25">
      <c r="A3" s="14" t="s">
        <v>61</v>
      </c>
      <c r="B3" s="15" t="s">
        <v>109</v>
      </c>
      <c r="C3" s="40" t="s">
        <v>102</v>
      </c>
    </row>
    <row r="4" spans="1:3" ht="6.95" customHeight="1" x14ac:dyDescent="0.25">
      <c r="A4" s="14" t="s">
        <v>52</v>
      </c>
      <c r="B4" s="14" t="s">
        <v>62</v>
      </c>
      <c r="C4" s="40" t="s">
        <v>102</v>
      </c>
    </row>
    <row r="5" spans="1:3" ht="6.95" customHeight="1" x14ac:dyDescent="0.25">
      <c r="A5" s="14" t="s">
        <v>53</v>
      </c>
      <c r="B5" s="14" t="str">
        <f>_xlfn.CONCAT(B4,"Prop")</f>
        <v>BIMProp</v>
      </c>
      <c r="C5" s="40" t="s">
        <v>102</v>
      </c>
    </row>
    <row r="6" spans="1:3" ht="6.95" customHeight="1" x14ac:dyDescent="0.25">
      <c r="A6" s="14" t="s">
        <v>54</v>
      </c>
      <c r="B6" s="14" t="str">
        <f>_xlfn.CONCAT(B4,"Data")</f>
        <v>BIMData</v>
      </c>
      <c r="C6" s="40" t="s">
        <v>102</v>
      </c>
    </row>
    <row r="7" spans="1:3" ht="6.95" customHeight="1" x14ac:dyDescent="0.25">
      <c r="A7" s="14" t="s">
        <v>55</v>
      </c>
      <c r="B7" s="14" t="s">
        <v>63</v>
      </c>
      <c r="C7" s="40" t="s">
        <v>102</v>
      </c>
    </row>
    <row r="8" spans="1:3" customFormat="1" ht="6.95" customHeight="1" x14ac:dyDescent="0.25">
      <c r="A8" s="16" t="s">
        <v>56</v>
      </c>
      <c r="B8" s="16" t="s">
        <v>100</v>
      </c>
      <c r="C8" s="40" t="s">
        <v>102</v>
      </c>
    </row>
    <row r="9" spans="1:3" ht="6.95" customHeight="1" x14ac:dyDescent="0.25">
      <c r="A9" s="14" t="s">
        <v>64</v>
      </c>
      <c r="B9" s="14" t="s">
        <v>65</v>
      </c>
      <c r="C9" s="40" t="s">
        <v>102</v>
      </c>
    </row>
    <row r="10" spans="1:3" ht="6.95" customHeight="1" x14ac:dyDescent="0.25">
      <c r="A10" s="14" t="s">
        <v>66</v>
      </c>
      <c r="B10" s="14" t="s">
        <v>38</v>
      </c>
      <c r="C10" s="40" t="s">
        <v>102</v>
      </c>
    </row>
    <row r="11" spans="1:3" ht="6.95" customHeight="1" x14ac:dyDescent="0.25">
      <c r="A11" s="14" t="s">
        <v>57</v>
      </c>
      <c r="B11" s="14" t="s">
        <v>38</v>
      </c>
      <c r="C11" s="40" t="s">
        <v>102</v>
      </c>
    </row>
    <row r="12" spans="1:3" ht="6.95" customHeight="1" x14ac:dyDescent="0.25">
      <c r="A12" s="14" t="s">
        <v>58</v>
      </c>
      <c r="B12" s="14" t="s">
        <v>38</v>
      </c>
      <c r="C12" s="40" t="s">
        <v>102</v>
      </c>
    </row>
    <row r="13" spans="1:3" ht="6.95" customHeight="1" x14ac:dyDescent="0.25">
      <c r="A13" s="14" t="s">
        <v>67</v>
      </c>
      <c r="B13" s="14" t="s">
        <v>38</v>
      </c>
      <c r="C13" s="40" t="s">
        <v>102</v>
      </c>
    </row>
    <row r="14" spans="1:3" ht="6.95" customHeight="1" x14ac:dyDescent="0.25">
      <c r="A14" s="14" t="s">
        <v>68</v>
      </c>
      <c r="B14" s="14" t="s">
        <v>38</v>
      </c>
      <c r="C14" s="40" t="s">
        <v>102</v>
      </c>
    </row>
    <row r="15" spans="1:3" ht="6.95" customHeight="1" x14ac:dyDescent="0.25">
      <c r="A15" s="14" t="s">
        <v>69</v>
      </c>
      <c r="B15" s="14" t="s">
        <v>38</v>
      </c>
      <c r="C15" s="40" t="s">
        <v>102</v>
      </c>
    </row>
    <row r="16" spans="1:3" ht="6.95" customHeight="1" x14ac:dyDescent="0.25">
      <c r="A16" s="14" t="s">
        <v>70</v>
      </c>
      <c r="B16" s="14" t="s">
        <v>38</v>
      </c>
      <c r="C16" s="40" t="s">
        <v>102</v>
      </c>
    </row>
    <row r="17" spans="1:3" ht="6.95" customHeight="1" x14ac:dyDescent="0.25">
      <c r="A17" s="14" t="s">
        <v>59</v>
      </c>
      <c r="B17" s="16" t="s">
        <v>110</v>
      </c>
      <c r="C17" s="40" t="s">
        <v>102</v>
      </c>
    </row>
    <row r="18" spans="1:3" ht="6.95" customHeight="1" x14ac:dyDescent="0.25">
      <c r="A18" s="14" t="s">
        <v>71</v>
      </c>
      <c r="B18" s="17">
        <f ca="1">NOW()</f>
        <v>46274.378820370373</v>
      </c>
      <c r="C18" s="40" t="s">
        <v>102</v>
      </c>
    </row>
    <row r="19" spans="1:3" s="32" customFormat="1" ht="6.95" customHeight="1" x14ac:dyDescent="0.25">
      <c r="A19" s="16" t="s">
        <v>107</v>
      </c>
      <c r="B19" s="42" t="s">
        <v>108</v>
      </c>
      <c r="C19" s="40" t="s">
        <v>102</v>
      </c>
    </row>
    <row r="20" spans="1:3" s="32" customFormat="1" ht="6.95" customHeight="1" x14ac:dyDescent="0.25">
      <c r="A20" s="16" t="s">
        <v>105</v>
      </c>
      <c r="B20" s="42" t="str">
        <f>_xlfn.TRANSLATE(B19,"pt","es")</f>
        <v>Traducciones integradas al español e inglés - Las traducciones deben revisarse constantemente</v>
      </c>
      <c r="C20" s="40" t="s">
        <v>103</v>
      </c>
    </row>
    <row r="21" spans="1:3" s="32" customFormat="1" ht="6.95" customHeight="1" x14ac:dyDescent="0.25">
      <c r="A21" s="16" t="s">
        <v>106</v>
      </c>
      <c r="B21" s="42" t="str">
        <f>_xlfn.TRANSLATE(B19,"pt","en")</f>
        <v>Built-in Spanish and English Translations - Translations must be constantly reviewed</v>
      </c>
      <c r="C21" s="40" t="s">
        <v>104</v>
      </c>
    </row>
    <row r="22" spans="1:3" ht="6.95" customHeight="1" x14ac:dyDescent="0.25">
      <c r="A22" s="14" t="s">
        <v>72</v>
      </c>
      <c r="B22" s="14" t="s">
        <v>38</v>
      </c>
      <c r="C22" s="40" t="s">
        <v>102</v>
      </c>
    </row>
    <row r="23" spans="1:3" ht="6.95" customHeight="1" x14ac:dyDescent="0.25">
      <c r="A23" s="14" t="s">
        <v>73</v>
      </c>
      <c r="B23" s="14" t="s">
        <v>38</v>
      </c>
      <c r="C23" s="40" t="s">
        <v>102</v>
      </c>
    </row>
    <row r="24" spans="1:3" ht="6.95" customHeight="1" x14ac:dyDescent="0.25">
      <c r="A24" s="16" t="s">
        <v>74</v>
      </c>
      <c r="B24" s="18" t="s">
        <v>111</v>
      </c>
      <c r="C24" s="40" t="s">
        <v>102</v>
      </c>
    </row>
    <row r="25" spans="1:3" ht="6.95" customHeight="1" x14ac:dyDescent="0.25">
      <c r="A25" s="16" t="s">
        <v>75</v>
      </c>
      <c r="B25" s="18" t="s">
        <v>112</v>
      </c>
      <c r="C25" s="40" t="s">
        <v>103</v>
      </c>
    </row>
    <row r="26" spans="1:3" customFormat="1" ht="6.95" customHeight="1" x14ac:dyDescent="0.25">
      <c r="A26" s="16" t="s">
        <v>99</v>
      </c>
      <c r="B26" s="18" t="str">
        <f>_xlfn.TRANSLATE(B24,"pt","en")</f>
        <v>Formalize concepts of Genetically Constructed Structures</v>
      </c>
      <c r="C26" s="40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176F-27DE-4341-8BCF-4E468F3B43BE}">
  <sheetPr codeName="Planilha2"/>
  <dimension ref="A1:AD22"/>
  <sheetViews>
    <sheetView tabSelected="1" zoomScale="205" zoomScaleNormal="205" workbookViewId="0">
      <pane ySplit="1" topLeftCell="A2" activePane="bottomLeft" state="frozen"/>
      <selection pane="bottomLeft" activeCell="W1" sqref="W1:W1048576"/>
    </sheetView>
  </sheetViews>
  <sheetFormatPr defaultRowHeight="8.25" customHeight="1" x14ac:dyDescent="0.25"/>
  <cols>
    <col min="1" max="1" width="2.42578125" bestFit="1" customWidth="1"/>
    <col min="2" max="2" width="5.140625" customWidth="1"/>
    <col min="3" max="3" width="7" customWidth="1"/>
    <col min="4" max="4" width="9" bestFit="1" customWidth="1"/>
    <col min="5" max="5" width="8.85546875" customWidth="1"/>
    <col min="6" max="6" width="8.42578125" customWidth="1"/>
    <col min="7" max="10" width="7.28515625" customWidth="1"/>
    <col min="11" max="11" width="47.28515625" customWidth="1"/>
    <col min="12" max="12" width="7.7109375" bestFit="1" customWidth="1"/>
    <col min="13" max="13" width="9" bestFit="1" customWidth="1"/>
    <col min="14" max="14" width="11.140625" bestFit="1" customWidth="1"/>
    <col min="15" max="15" width="10.28515625" bestFit="1" customWidth="1"/>
    <col min="16" max="16" width="57" customWidth="1"/>
    <col min="17" max="17" width="66.5703125" customWidth="1"/>
    <col min="18" max="18" width="64.85546875" style="53" customWidth="1"/>
    <col min="19" max="19" width="4.42578125" style="82" customWidth="1"/>
    <col min="20" max="20" width="7.7109375" style="53" bestFit="1" customWidth="1"/>
    <col min="21" max="21" width="9" style="53" bestFit="1" customWidth="1"/>
    <col min="22" max="22" width="9.7109375" style="53" customWidth="1"/>
    <col min="23" max="23" width="7.140625" style="53" customWidth="1"/>
    <col min="24" max="24" width="6.28515625" style="53" customWidth="1"/>
    <col min="25" max="25" width="6.7109375" style="53" customWidth="1"/>
    <col min="26" max="26" width="6.85546875" style="53" bestFit="1" customWidth="1"/>
    <col min="27" max="27" width="5.5703125" style="53" bestFit="1" customWidth="1"/>
    <col min="28" max="28" width="5.42578125" style="53" bestFit="1" customWidth="1"/>
    <col min="29" max="29" width="3.140625" style="53" bestFit="1" customWidth="1"/>
    <col min="30" max="30" width="3.5703125" customWidth="1"/>
  </cols>
  <sheetData>
    <row r="1" spans="1:30" ht="38.25" customHeight="1" x14ac:dyDescent="0.25">
      <c r="A1" s="20" t="s">
        <v>77</v>
      </c>
      <c r="B1" s="21" t="s">
        <v>81</v>
      </c>
      <c r="C1" s="21" t="s">
        <v>82</v>
      </c>
      <c r="D1" s="21" t="s">
        <v>83</v>
      </c>
      <c r="E1" s="21" t="s">
        <v>84</v>
      </c>
      <c r="F1" s="21" t="s">
        <v>85</v>
      </c>
      <c r="G1" s="48" t="s">
        <v>39</v>
      </c>
      <c r="H1" s="48" t="s">
        <v>40</v>
      </c>
      <c r="I1" s="48" t="s">
        <v>41</v>
      </c>
      <c r="J1" s="48" t="s">
        <v>42</v>
      </c>
      <c r="K1" s="48" t="s">
        <v>43</v>
      </c>
      <c r="L1" s="22" t="s">
        <v>46</v>
      </c>
      <c r="M1" s="22" t="s">
        <v>47</v>
      </c>
      <c r="N1" s="22" t="s">
        <v>45</v>
      </c>
      <c r="O1" s="22" t="s">
        <v>44</v>
      </c>
      <c r="P1" s="22" t="s">
        <v>86</v>
      </c>
      <c r="Q1" s="22" t="s">
        <v>87</v>
      </c>
      <c r="R1" s="38" t="s">
        <v>98</v>
      </c>
      <c r="S1" s="81" t="s">
        <v>88</v>
      </c>
      <c r="T1" s="22" t="s">
        <v>78</v>
      </c>
      <c r="U1" s="22" t="s">
        <v>89</v>
      </c>
      <c r="V1" s="23" t="s">
        <v>80</v>
      </c>
      <c r="W1" s="22" t="s">
        <v>79</v>
      </c>
      <c r="X1" s="56" t="s">
        <v>0</v>
      </c>
      <c r="Y1" s="22" t="s">
        <v>96</v>
      </c>
      <c r="Z1" s="22" t="s">
        <v>233</v>
      </c>
      <c r="AA1" s="22" t="s">
        <v>235</v>
      </c>
      <c r="AB1" s="22" t="s">
        <v>234</v>
      </c>
      <c r="AC1" s="22" t="s">
        <v>97</v>
      </c>
      <c r="AD1" s="22" t="s">
        <v>279</v>
      </c>
    </row>
    <row r="2" spans="1:30" ht="6" customHeight="1" x14ac:dyDescent="0.25">
      <c r="A2" s="54">
        <v>2</v>
      </c>
      <c r="B2" s="57" t="s">
        <v>212</v>
      </c>
      <c r="C2" s="77" t="s">
        <v>213</v>
      </c>
      <c r="D2" s="78" t="s">
        <v>220</v>
      </c>
      <c r="E2" s="78" t="s">
        <v>223</v>
      </c>
      <c r="F2" s="79" t="s">
        <v>124</v>
      </c>
      <c r="G2" s="49" t="s">
        <v>1</v>
      </c>
      <c r="H2" s="49" t="s">
        <v>1</v>
      </c>
      <c r="I2" s="49" t="s">
        <v>1</v>
      </c>
      <c r="J2" s="49" t="s">
        <v>1</v>
      </c>
      <c r="K2" s="49" t="s">
        <v>1</v>
      </c>
      <c r="L2" s="46" t="str">
        <f t="shared" ref="L2:L16" si="0">_xlfn.CONCAT(C2)</f>
        <v>Formantes</v>
      </c>
      <c r="M2" s="46" t="str">
        <f t="shared" ref="M2:O16" si="1">_xlfn.CONCAT("", D2)</f>
        <v>Elementos.EGC</v>
      </c>
      <c r="N2" s="46" t="str">
        <f t="shared" si="1"/>
        <v>EGC.Parâmetros</v>
      </c>
      <c r="O2" s="46" t="str">
        <f t="shared" si="1"/>
        <v>Valor.X</v>
      </c>
      <c r="P2" s="46" t="s">
        <v>148</v>
      </c>
      <c r="Q2" s="46" t="s">
        <v>148</v>
      </c>
      <c r="R2" s="39" t="s">
        <v>157</v>
      </c>
      <c r="S2" s="75" t="s">
        <v>1</v>
      </c>
      <c r="T2" s="39" t="str">
        <f t="shared" ref="T2:V16" si="2">SUBSTITUTE(C2, "_", " ")</f>
        <v>Formantes</v>
      </c>
      <c r="U2" s="39" t="str">
        <f t="shared" si="2"/>
        <v>Elementos.EGC</v>
      </c>
      <c r="V2" s="47" t="str">
        <f t="shared" si="2"/>
        <v>EGC.Parâmetros</v>
      </c>
      <c r="W2" s="39" t="s">
        <v>90</v>
      </c>
      <c r="X2" s="55" t="str">
        <f t="shared" ref="X2:X22" si="3">CONCATENATE("Key-EGC-",A2)</f>
        <v>Key-EGC-2</v>
      </c>
      <c r="Y2" s="62" t="s">
        <v>1</v>
      </c>
      <c r="Z2" s="62" t="s">
        <v>1</v>
      </c>
      <c r="AA2" s="62" t="s">
        <v>1</v>
      </c>
      <c r="AB2" s="62" t="s">
        <v>1</v>
      </c>
      <c r="AC2" s="62" t="s">
        <v>1</v>
      </c>
      <c r="AD2" s="62" t="s">
        <v>1</v>
      </c>
    </row>
    <row r="3" spans="1:30" ht="6" customHeight="1" x14ac:dyDescent="0.25">
      <c r="A3" s="54">
        <v>3</v>
      </c>
      <c r="B3" s="57" t="s">
        <v>212</v>
      </c>
      <c r="C3" s="77" t="s">
        <v>213</v>
      </c>
      <c r="D3" s="78" t="s">
        <v>220</v>
      </c>
      <c r="E3" s="78" t="s">
        <v>223</v>
      </c>
      <c r="F3" s="79" t="s">
        <v>125</v>
      </c>
      <c r="G3" s="49" t="s">
        <v>1</v>
      </c>
      <c r="H3" s="49" t="s">
        <v>1</v>
      </c>
      <c r="I3" s="49" t="s">
        <v>1</v>
      </c>
      <c r="J3" s="49" t="s">
        <v>1</v>
      </c>
      <c r="K3" s="49" t="s">
        <v>1</v>
      </c>
      <c r="L3" s="46" t="str">
        <f t="shared" si="0"/>
        <v>Formantes</v>
      </c>
      <c r="M3" s="46" t="str">
        <f t="shared" si="1"/>
        <v>Elementos.EGC</v>
      </c>
      <c r="N3" s="46" t="str">
        <f t="shared" si="1"/>
        <v>EGC.Parâmetros</v>
      </c>
      <c r="O3" s="46" t="str">
        <f t="shared" si="1"/>
        <v>Valor.Y</v>
      </c>
      <c r="P3" s="46" t="s">
        <v>147</v>
      </c>
      <c r="Q3" s="46" t="s">
        <v>147</v>
      </c>
      <c r="R3" s="39" t="s">
        <v>158</v>
      </c>
      <c r="S3" s="75" t="s">
        <v>1</v>
      </c>
      <c r="T3" s="39" t="str">
        <f t="shared" si="2"/>
        <v>Formantes</v>
      </c>
      <c r="U3" s="39" t="str">
        <f t="shared" si="2"/>
        <v>Elementos.EGC</v>
      </c>
      <c r="V3" s="47" t="str">
        <f t="shared" si="2"/>
        <v>EGC.Parâmetros</v>
      </c>
      <c r="W3" s="39" t="s">
        <v>90</v>
      </c>
      <c r="X3" s="55" t="str">
        <f t="shared" si="3"/>
        <v>Key-EGC-3</v>
      </c>
      <c r="Y3" s="62" t="s">
        <v>1</v>
      </c>
      <c r="Z3" s="62" t="s">
        <v>1</v>
      </c>
      <c r="AA3" s="62" t="s">
        <v>1</v>
      </c>
      <c r="AB3" s="62" t="s">
        <v>1</v>
      </c>
      <c r="AC3" s="62" t="s">
        <v>1</v>
      </c>
      <c r="AD3" s="62" t="s">
        <v>1</v>
      </c>
    </row>
    <row r="4" spans="1:30" ht="6" customHeight="1" x14ac:dyDescent="0.25">
      <c r="A4" s="54">
        <v>4</v>
      </c>
      <c r="B4" s="57" t="s">
        <v>212</v>
      </c>
      <c r="C4" s="77" t="s">
        <v>213</v>
      </c>
      <c r="D4" s="78" t="s">
        <v>220</v>
      </c>
      <c r="E4" s="78" t="s">
        <v>223</v>
      </c>
      <c r="F4" s="79" t="s">
        <v>126</v>
      </c>
      <c r="G4" s="49" t="s">
        <v>1</v>
      </c>
      <c r="H4" s="49" t="s">
        <v>1</v>
      </c>
      <c r="I4" s="49" t="s">
        <v>1</v>
      </c>
      <c r="J4" s="49" t="s">
        <v>1</v>
      </c>
      <c r="K4" s="49" t="s">
        <v>1</v>
      </c>
      <c r="L4" s="46" t="str">
        <f t="shared" si="0"/>
        <v>Formantes</v>
      </c>
      <c r="M4" s="46" t="str">
        <f t="shared" si="1"/>
        <v>Elementos.EGC</v>
      </c>
      <c r="N4" s="46" t="str">
        <f t="shared" si="1"/>
        <v>EGC.Parâmetros</v>
      </c>
      <c r="O4" s="46" t="str">
        <f t="shared" si="1"/>
        <v>Valor.Z</v>
      </c>
      <c r="P4" s="46" t="s">
        <v>149</v>
      </c>
      <c r="Q4" s="46" t="s">
        <v>225</v>
      </c>
      <c r="R4" s="39" t="s">
        <v>159</v>
      </c>
      <c r="S4" s="75" t="s">
        <v>1</v>
      </c>
      <c r="T4" s="39" t="str">
        <f t="shared" si="2"/>
        <v>Formantes</v>
      </c>
      <c r="U4" s="39" t="str">
        <f t="shared" si="2"/>
        <v>Elementos.EGC</v>
      </c>
      <c r="V4" s="47" t="str">
        <f t="shared" si="2"/>
        <v>EGC.Parâmetros</v>
      </c>
      <c r="W4" s="39" t="s">
        <v>90</v>
      </c>
      <c r="X4" s="55" t="str">
        <f t="shared" si="3"/>
        <v>Key-EGC-4</v>
      </c>
      <c r="Y4" s="62" t="s">
        <v>1</v>
      </c>
      <c r="Z4" s="62" t="s">
        <v>1</v>
      </c>
      <c r="AA4" s="62" t="s">
        <v>1</v>
      </c>
      <c r="AB4" s="62" t="s">
        <v>1</v>
      </c>
      <c r="AC4" s="62" t="s">
        <v>1</v>
      </c>
      <c r="AD4" s="62" t="s">
        <v>1</v>
      </c>
    </row>
    <row r="5" spans="1:30" ht="6" customHeight="1" x14ac:dyDescent="0.25">
      <c r="A5" s="54">
        <v>5</v>
      </c>
      <c r="B5" s="57" t="s">
        <v>212</v>
      </c>
      <c r="C5" s="77" t="s">
        <v>213</v>
      </c>
      <c r="D5" s="78" t="s">
        <v>220</v>
      </c>
      <c r="E5" s="78" t="s">
        <v>223</v>
      </c>
      <c r="F5" s="79" t="s">
        <v>171</v>
      </c>
      <c r="G5" s="49" t="s">
        <v>1</v>
      </c>
      <c r="H5" s="49" t="s">
        <v>1</v>
      </c>
      <c r="I5" s="49" t="s">
        <v>1</v>
      </c>
      <c r="J5" s="49" t="s">
        <v>1</v>
      </c>
      <c r="K5" s="49" t="s">
        <v>1</v>
      </c>
      <c r="L5" s="46" t="str">
        <f t="shared" si="0"/>
        <v>Formantes</v>
      </c>
      <c r="M5" s="46" t="str">
        <f t="shared" si="1"/>
        <v>Elementos.EGC</v>
      </c>
      <c r="N5" s="46" t="str">
        <f t="shared" si="1"/>
        <v>EGC.Parâmetros</v>
      </c>
      <c r="O5" s="46" t="str">
        <f t="shared" si="1"/>
        <v>Valor.Distância</v>
      </c>
      <c r="P5" s="46" t="s">
        <v>146</v>
      </c>
      <c r="Q5" s="46" t="s">
        <v>226</v>
      </c>
      <c r="R5" s="39" t="s">
        <v>160</v>
      </c>
      <c r="S5" s="75" t="s">
        <v>1</v>
      </c>
      <c r="T5" s="39" t="str">
        <f t="shared" si="2"/>
        <v>Formantes</v>
      </c>
      <c r="U5" s="39" t="str">
        <f t="shared" si="2"/>
        <v>Elementos.EGC</v>
      </c>
      <c r="V5" s="47" t="str">
        <f t="shared" si="2"/>
        <v>EGC.Parâmetros</v>
      </c>
      <c r="W5" s="39" t="s">
        <v>90</v>
      </c>
      <c r="X5" s="55" t="str">
        <f t="shared" si="3"/>
        <v>Key-EGC-5</v>
      </c>
      <c r="Y5" s="62" t="s">
        <v>1</v>
      </c>
      <c r="Z5" s="62" t="s">
        <v>1</v>
      </c>
      <c r="AA5" s="62" t="s">
        <v>1</v>
      </c>
      <c r="AB5" s="62" t="s">
        <v>1</v>
      </c>
      <c r="AC5" s="62" t="s">
        <v>1</v>
      </c>
      <c r="AD5" s="62" t="s">
        <v>1</v>
      </c>
    </row>
    <row r="6" spans="1:30" ht="6" customHeight="1" x14ac:dyDescent="0.25">
      <c r="A6" s="54">
        <v>6</v>
      </c>
      <c r="B6" s="57" t="s">
        <v>212</v>
      </c>
      <c r="C6" s="77" t="s">
        <v>213</v>
      </c>
      <c r="D6" s="78" t="s">
        <v>220</v>
      </c>
      <c r="E6" s="78" t="s">
        <v>223</v>
      </c>
      <c r="F6" s="79" t="s">
        <v>123</v>
      </c>
      <c r="G6" s="49" t="s">
        <v>1</v>
      </c>
      <c r="H6" s="49" t="s">
        <v>1</v>
      </c>
      <c r="I6" s="49" t="s">
        <v>1</v>
      </c>
      <c r="J6" s="49" t="s">
        <v>1</v>
      </c>
      <c r="K6" s="49" t="s">
        <v>1</v>
      </c>
      <c r="L6" s="46" t="str">
        <f t="shared" si="0"/>
        <v>Formantes</v>
      </c>
      <c r="M6" s="46" t="str">
        <f t="shared" si="1"/>
        <v>Elementos.EGC</v>
      </c>
      <c r="N6" s="46" t="str">
        <f t="shared" si="1"/>
        <v>EGC.Parâmetros</v>
      </c>
      <c r="O6" s="46" t="str">
        <f t="shared" si="1"/>
        <v>Valor.Angular</v>
      </c>
      <c r="P6" s="46" t="s">
        <v>145</v>
      </c>
      <c r="Q6" s="46" t="s">
        <v>227</v>
      </c>
      <c r="R6" s="39" t="s">
        <v>161</v>
      </c>
      <c r="S6" s="75" t="s">
        <v>1</v>
      </c>
      <c r="T6" s="39" t="str">
        <f t="shared" si="2"/>
        <v>Formantes</v>
      </c>
      <c r="U6" s="39" t="str">
        <f t="shared" si="2"/>
        <v>Elementos.EGC</v>
      </c>
      <c r="V6" s="47" t="str">
        <f t="shared" si="2"/>
        <v>EGC.Parâmetros</v>
      </c>
      <c r="W6" s="39" t="s">
        <v>90</v>
      </c>
      <c r="X6" s="55" t="str">
        <f t="shared" si="3"/>
        <v>Key-EGC-6</v>
      </c>
      <c r="Y6" s="62" t="s">
        <v>1</v>
      </c>
      <c r="Z6" s="62" t="s">
        <v>1</v>
      </c>
      <c r="AA6" s="62" t="s">
        <v>1</v>
      </c>
      <c r="AB6" s="62" t="s">
        <v>1</v>
      </c>
      <c r="AC6" s="62" t="s">
        <v>1</v>
      </c>
      <c r="AD6" s="62" t="s">
        <v>1</v>
      </c>
    </row>
    <row r="7" spans="1:30" ht="6" customHeight="1" x14ac:dyDescent="0.25">
      <c r="A7" s="54">
        <v>7</v>
      </c>
      <c r="B7" s="57" t="s">
        <v>212</v>
      </c>
      <c r="C7" s="77" t="s">
        <v>213</v>
      </c>
      <c r="D7" s="78" t="s">
        <v>220</v>
      </c>
      <c r="E7" s="78" t="s">
        <v>223</v>
      </c>
      <c r="F7" s="79" t="s">
        <v>127</v>
      </c>
      <c r="G7" s="49" t="s">
        <v>1</v>
      </c>
      <c r="H7" s="49" t="s">
        <v>1</v>
      </c>
      <c r="I7" s="49" t="s">
        <v>1</v>
      </c>
      <c r="J7" s="49" t="s">
        <v>1</v>
      </c>
      <c r="K7" s="49" t="s">
        <v>1</v>
      </c>
      <c r="L7" s="46" t="str">
        <f t="shared" si="0"/>
        <v>Formantes</v>
      </c>
      <c r="M7" s="46" t="str">
        <f t="shared" si="1"/>
        <v>Elementos.EGC</v>
      </c>
      <c r="N7" s="46" t="str">
        <f t="shared" si="1"/>
        <v>EGC.Parâmetros</v>
      </c>
      <c r="O7" s="46" t="str">
        <f t="shared" si="1"/>
        <v>Valor.Escalar</v>
      </c>
      <c r="P7" s="46" t="s">
        <v>144</v>
      </c>
      <c r="Q7" s="46" t="s">
        <v>228</v>
      </c>
      <c r="R7" s="39" t="s">
        <v>162</v>
      </c>
      <c r="S7" s="75" t="s">
        <v>1</v>
      </c>
      <c r="T7" s="39" t="str">
        <f t="shared" si="2"/>
        <v>Formantes</v>
      </c>
      <c r="U7" s="39" t="str">
        <f t="shared" si="2"/>
        <v>Elementos.EGC</v>
      </c>
      <c r="V7" s="47" t="str">
        <f t="shared" si="2"/>
        <v>EGC.Parâmetros</v>
      </c>
      <c r="W7" s="39" t="s">
        <v>90</v>
      </c>
      <c r="X7" s="55" t="str">
        <f t="shared" si="3"/>
        <v>Key-EGC-7</v>
      </c>
      <c r="Y7" s="62" t="s">
        <v>1</v>
      </c>
      <c r="Z7" s="62" t="s">
        <v>1</v>
      </c>
      <c r="AA7" s="62" t="s">
        <v>1</v>
      </c>
      <c r="AB7" s="62" t="s">
        <v>1</v>
      </c>
      <c r="AC7" s="62" t="s">
        <v>1</v>
      </c>
      <c r="AD7" s="62" t="s">
        <v>1</v>
      </c>
    </row>
    <row r="8" spans="1:30" ht="6" customHeight="1" x14ac:dyDescent="0.25">
      <c r="A8" s="54">
        <v>8</v>
      </c>
      <c r="B8" s="57" t="s">
        <v>212</v>
      </c>
      <c r="C8" s="77" t="s">
        <v>213</v>
      </c>
      <c r="D8" s="78" t="s">
        <v>220</v>
      </c>
      <c r="E8" s="78" t="s">
        <v>221</v>
      </c>
      <c r="F8" s="79" t="s">
        <v>138</v>
      </c>
      <c r="G8" s="49" t="s">
        <v>1</v>
      </c>
      <c r="H8" s="49" t="s">
        <v>1</v>
      </c>
      <c r="I8" s="49" t="s">
        <v>1</v>
      </c>
      <c r="J8" s="49" t="s">
        <v>1</v>
      </c>
      <c r="K8" s="49" t="s">
        <v>1</v>
      </c>
      <c r="L8" s="46" t="str">
        <f t="shared" si="0"/>
        <v>Formantes</v>
      </c>
      <c r="M8" s="46" t="str">
        <f t="shared" si="1"/>
        <v>Elementos.EGC</v>
      </c>
      <c r="N8" s="46" t="str">
        <f t="shared" si="1"/>
        <v>EGC.Bases</v>
      </c>
      <c r="O8" s="46" t="str">
        <f t="shared" si="1"/>
        <v>Ponto.Eixo1</v>
      </c>
      <c r="P8" s="46" t="s">
        <v>140</v>
      </c>
      <c r="Q8" s="46" t="s">
        <v>229</v>
      </c>
      <c r="R8" s="39" t="s">
        <v>163</v>
      </c>
      <c r="S8" s="75" t="s">
        <v>1</v>
      </c>
      <c r="T8" s="39" t="str">
        <f t="shared" si="2"/>
        <v>Formantes</v>
      </c>
      <c r="U8" s="39" t="str">
        <f t="shared" si="2"/>
        <v>Elementos.EGC</v>
      </c>
      <c r="V8" s="47" t="str">
        <f t="shared" si="2"/>
        <v>EGC.Bases</v>
      </c>
      <c r="W8" s="39" t="s">
        <v>90</v>
      </c>
      <c r="X8" s="55" t="str">
        <f t="shared" si="3"/>
        <v>Key-EGC-8</v>
      </c>
      <c r="Y8" s="62" t="s">
        <v>1</v>
      </c>
      <c r="Z8" s="62" t="s">
        <v>1</v>
      </c>
      <c r="AA8" s="62" t="s">
        <v>1</v>
      </c>
      <c r="AB8" s="62" t="s">
        <v>1</v>
      </c>
      <c r="AC8" s="62" t="s">
        <v>1</v>
      </c>
      <c r="AD8" s="62" t="s">
        <v>1</v>
      </c>
    </row>
    <row r="9" spans="1:30" ht="6" customHeight="1" x14ac:dyDescent="0.25">
      <c r="A9" s="54">
        <v>9</v>
      </c>
      <c r="B9" s="57" t="s">
        <v>212</v>
      </c>
      <c r="C9" s="77" t="s">
        <v>213</v>
      </c>
      <c r="D9" s="78" t="s">
        <v>220</v>
      </c>
      <c r="E9" s="78" t="s">
        <v>221</v>
      </c>
      <c r="F9" s="79" t="s">
        <v>139</v>
      </c>
      <c r="G9" s="49" t="s">
        <v>1</v>
      </c>
      <c r="H9" s="49" t="s">
        <v>1</v>
      </c>
      <c r="I9" s="49" t="s">
        <v>1</v>
      </c>
      <c r="J9" s="49" t="s">
        <v>1</v>
      </c>
      <c r="K9" s="49" t="s">
        <v>1</v>
      </c>
      <c r="L9" s="46" t="str">
        <f t="shared" si="0"/>
        <v>Formantes</v>
      </c>
      <c r="M9" s="46" t="str">
        <f t="shared" si="1"/>
        <v>Elementos.EGC</v>
      </c>
      <c r="N9" s="46" t="str">
        <f t="shared" si="1"/>
        <v>EGC.Bases</v>
      </c>
      <c r="O9" s="46" t="str">
        <f t="shared" si="1"/>
        <v>Ponto.Eixo2</v>
      </c>
      <c r="P9" s="46" t="s">
        <v>141</v>
      </c>
      <c r="Q9" s="46" t="s">
        <v>230</v>
      </c>
      <c r="R9" s="39" t="s">
        <v>164</v>
      </c>
      <c r="S9" s="75" t="s">
        <v>1</v>
      </c>
      <c r="T9" s="39" t="str">
        <f t="shared" si="2"/>
        <v>Formantes</v>
      </c>
      <c r="U9" s="39" t="str">
        <f t="shared" si="2"/>
        <v>Elementos.EGC</v>
      </c>
      <c r="V9" s="47" t="str">
        <f t="shared" si="2"/>
        <v>EGC.Bases</v>
      </c>
      <c r="W9" s="39" t="s">
        <v>90</v>
      </c>
      <c r="X9" s="55" t="str">
        <f t="shared" si="3"/>
        <v>Key-EGC-9</v>
      </c>
      <c r="Y9" s="62" t="s">
        <v>1</v>
      </c>
      <c r="Z9" s="62" t="s">
        <v>1</v>
      </c>
      <c r="AA9" s="62" t="s">
        <v>1</v>
      </c>
      <c r="AB9" s="62" t="s">
        <v>1</v>
      </c>
      <c r="AC9" s="62" t="s">
        <v>1</v>
      </c>
      <c r="AD9" s="62" t="s">
        <v>1</v>
      </c>
    </row>
    <row r="10" spans="1:30" ht="6" customHeight="1" x14ac:dyDescent="0.25">
      <c r="A10" s="54">
        <v>10</v>
      </c>
      <c r="B10" s="57" t="s">
        <v>212</v>
      </c>
      <c r="C10" s="77" t="s">
        <v>213</v>
      </c>
      <c r="D10" s="78" t="s">
        <v>220</v>
      </c>
      <c r="E10" s="78" t="s">
        <v>221</v>
      </c>
      <c r="F10" s="79" t="s">
        <v>116</v>
      </c>
      <c r="G10" s="49" t="s">
        <v>1</v>
      </c>
      <c r="H10" s="49" t="s">
        <v>1</v>
      </c>
      <c r="I10" s="49" t="s">
        <v>1</v>
      </c>
      <c r="J10" s="49" t="s">
        <v>1</v>
      </c>
      <c r="K10" s="49" t="s">
        <v>1</v>
      </c>
      <c r="L10" s="46" t="str">
        <f t="shared" si="0"/>
        <v>Formantes</v>
      </c>
      <c r="M10" s="46" t="str">
        <f t="shared" si="1"/>
        <v>Elementos.EGC</v>
      </c>
      <c r="N10" s="46" t="str">
        <f t="shared" si="1"/>
        <v>EGC.Bases</v>
      </c>
      <c r="O10" s="46" t="str">
        <f t="shared" si="1"/>
        <v>Ponto.Base</v>
      </c>
      <c r="P10" s="46" t="s">
        <v>142</v>
      </c>
      <c r="Q10" s="46" t="s">
        <v>231</v>
      </c>
      <c r="R10" s="39" t="s">
        <v>165</v>
      </c>
      <c r="S10" s="75" t="s">
        <v>1</v>
      </c>
      <c r="T10" s="39" t="str">
        <f t="shared" si="2"/>
        <v>Formantes</v>
      </c>
      <c r="U10" s="39" t="str">
        <f t="shared" si="2"/>
        <v>Elementos.EGC</v>
      </c>
      <c r="V10" s="47" t="str">
        <f t="shared" si="2"/>
        <v>EGC.Bases</v>
      </c>
      <c r="W10" s="39" t="s">
        <v>90</v>
      </c>
      <c r="X10" s="55" t="str">
        <f t="shared" si="3"/>
        <v>Key-EGC-10</v>
      </c>
      <c r="Y10" s="62" t="s">
        <v>1</v>
      </c>
      <c r="Z10" s="62" t="s">
        <v>1</v>
      </c>
      <c r="AA10" s="62" t="s">
        <v>1</v>
      </c>
      <c r="AB10" s="62" t="s">
        <v>1</v>
      </c>
      <c r="AC10" s="62" t="s">
        <v>1</v>
      </c>
      <c r="AD10" s="62" t="s">
        <v>1</v>
      </c>
    </row>
    <row r="11" spans="1:30" ht="6" customHeight="1" x14ac:dyDescent="0.25">
      <c r="A11" s="54">
        <v>11</v>
      </c>
      <c r="B11" s="57" t="s">
        <v>212</v>
      </c>
      <c r="C11" s="77" t="s">
        <v>213</v>
      </c>
      <c r="D11" s="78" t="s">
        <v>220</v>
      </c>
      <c r="E11" s="78" t="s">
        <v>221</v>
      </c>
      <c r="F11" s="79" t="s">
        <v>117</v>
      </c>
      <c r="G11" s="49" t="s">
        <v>1</v>
      </c>
      <c r="H11" s="49" t="s">
        <v>1</v>
      </c>
      <c r="I11" s="49" t="s">
        <v>1</v>
      </c>
      <c r="J11" s="49" t="s">
        <v>1</v>
      </c>
      <c r="K11" s="49" t="s">
        <v>1</v>
      </c>
      <c r="L11" s="46" t="str">
        <f t="shared" si="0"/>
        <v>Formantes</v>
      </c>
      <c r="M11" s="46" t="str">
        <f t="shared" si="1"/>
        <v>Elementos.EGC</v>
      </c>
      <c r="N11" s="46" t="str">
        <f t="shared" si="1"/>
        <v>EGC.Bases</v>
      </c>
      <c r="O11" s="46" t="str">
        <f t="shared" si="1"/>
        <v>Ponto.Destino</v>
      </c>
      <c r="P11" s="46" t="s">
        <v>143</v>
      </c>
      <c r="Q11" s="46" t="s">
        <v>153</v>
      </c>
      <c r="R11" s="39" t="s">
        <v>166</v>
      </c>
      <c r="S11" s="75" t="s">
        <v>1</v>
      </c>
      <c r="T11" s="39" t="str">
        <f t="shared" si="2"/>
        <v>Formantes</v>
      </c>
      <c r="U11" s="39" t="str">
        <f t="shared" si="2"/>
        <v>Elementos.EGC</v>
      </c>
      <c r="V11" s="47" t="str">
        <f t="shared" si="2"/>
        <v>EGC.Bases</v>
      </c>
      <c r="W11" s="39" t="s">
        <v>90</v>
      </c>
      <c r="X11" s="55" t="str">
        <f t="shared" si="3"/>
        <v>Key-EGC-11</v>
      </c>
      <c r="Y11" s="62" t="s">
        <v>1</v>
      </c>
      <c r="Z11" s="62" t="s">
        <v>1</v>
      </c>
      <c r="AA11" s="62" t="s">
        <v>1</v>
      </c>
      <c r="AB11" s="62" t="s">
        <v>1</v>
      </c>
      <c r="AC11" s="62" t="s">
        <v>1</v>
      </c>
      <c r="AD11" s="62" t="s">
        <v>1</v>
      </c>
    </row>
    <row r="12" spans="1:30" ht="6" customHeight="1" x14ac:dyDescent="0.25">
      <c r="A12" s="54">
        <v>12</v>
      </c>
      <c r="B12" s="57" t="s">
        <v>212</v>
      </c>
      <c r="C12" s="77" t="s">
        <v>213</v>
      </c>
      <c r="D12" s="78" t="s">
        <v>220</v>
      </c>
      <c r="E12" s="78" t="s">
        <v>222</v>
      </c>
      <c r="F12" s="79" t="s">
        <v>172</v>
      </c>
      <c r="G12" s="49" t="s">
        <v>1</v>
      </c>
      <c r="H12" s="49" t="s">
        <v>1</v>
      </c>
      <c r="I12" s="49" t="s">
        <v>1</v>
      </c>
      <c r="J12" s="49" t="s">
        <v>1</v>
      </c>
      <c r="K12" s="49" t="s">
        <v>207</v>
      </c>
      <c r="L12" s="46" t="str">
        <f t="shared" ref="L12" si="4">_xlfn.CONCAT(C12)</f>
        <v>Formantes</v>
      </c>
      <c r="M12" s="46" t="str">
        <f t="shared" ref="M12" si="5">_xlfn.CONCAT("", D12)</f>
        <v>Elementos.EGC</v>
      </c>
      <c r="N12" s="46" t="str">
        <f t="shared" ref="N12" si="6">_xlfn.CONCAT("", E12)</f>
        <v>EGC.Movimentos</v>
      </c>
      <c r="O12" s="46" t="str">
        <f t="shared" ref="O12" si="7">_xlfn.CONCAT("", F12)</f>
        <v>Translação.XYZ</v>
      </c>
      <c r="P12" s="46" t="s">
        <v>174</v>
      </c>
      <c r="Q12" s="46" t="s">
        <v>176</v>
      </c>
      <c r="R12" s="39" t="s">
        <v>177</v>
      </c>
      <c r="S12" s="75" t="s">
        <v>1</v>
      </c>
      <c r="T12" s="39" t="str">
        <f t="shared" ref="T12" si="8">SUBSTITUTE(C12, "_", " ")</f>
        <v>Formantes</v>
      </c>
      <c r="U12" s="39" t="str">
        <f t="shared" ref="U12" si="9">SUBSTITUTE(D12, "_", " ")</f>
        <v>Elementos.EGC</v>
      </c>
      <c r="V12" s="47" t="str">
        <f t="shared" ref="V12" si="10">SUBSTITUTE(E12, "_", " ")</f>
        <v>EGC.Movimentos</v>
      </c>
      <c r="W12" s="39" t="s">
        <v>90</v>
      </c>
      <c r="X12" s="55" t="str">
        <f t="shared" si="3"/>
        <v>Key-EGC-12</v>
      </c>
      <c r="Y12" s="62" t="s">
        <v>1</v>
      </c>
      <c r="Z12" s="62" t="s">
        <v>1</v>
      </c>
      <c r="AA12" s="62" t="s">
        <v>1</v>
      </c>
      <c r="AB12" s="62" t="s">
        <v>1</v>
      </c>
      <c r="AC12" s="62" t="s">
        <v>1</v>
      </c>
      <c r="AD12" s="62" t="s">
        <v>1</v>
      </c>
    </row>
    <row r="13" spans="1:30" ht="6" customHeight="1" x14ac:dyDescent="0.25">
      <c r="A13" s="54">
        <v>13</v>
      </c>
      <c r="B13" s="57" t="s">
        <v>212</v>
      </c>
      <c r="C13" s="77" t="s">
        <v>213</v>
      </c>
      <c r="D13" s="78" t="s">
        <v>220</v>
      </c>
      <c r="E13" s="78" t="s">
        <v>222</v>
      </c>
      <c r="F13" s="79" t="s">
        <v>170</v>
      </c>
      <c r="G13" s="49" t="s">
        <v>1</v>
      </c>
      <c r="H13" s="49" t="s">
        <v>1</v>
      </c>
      <c r="I13" s="49" t="s">
        <v>1</v>
      </c>
      <c r="J13" s="49" t="s">
        <v>1</v>
      </c>
      <c r="K13" s="49" t="s">
        <v>211</v>
      </c>
      <c r="L13" s="46" t="str">
        <f t="shared" si="0"/>
        <v>Formantes</v>
      </c>
      <c r="M13" s="46" t="str">
        <f t="shared" si="1"/>
        <v>Elementos.EGC</v>
      </c>
      <c r="N13" s="46" t="str">
        <f t="shared" si="1"/>
        <v>EGC.Movimentos</v>
      </c>
      <c r="O13" s="46" t="str">
        <f t="shared" si="1"/>
        <v>Translação.Polar</v>
      </c>
      <c r="P13" s="46" t="s">
        <v>173</v>
      </c>
      <c r="Q13" s="46" t="s">
        <v>175</v>
      </c>
      <c r="R13" s="39" t="s">
        <v>178</v>
      </c>
      <c r="S13" s="75" t="s">
        <v>1</v>
      </c>
      <c r="T13" s="39" t="str">
        <f t="shared" si="2"/>
        <v>Formantes</v>
      </c>
      <c r="U13" s="39" t="str">
        <f t="shared" si="2"/>
        <v>Elementos.EGC</v>
      </c>
      <c r="V13" s="47" t="str">
        <f t="shared" si="2"/>
        <v>EGC.Movimentos</v>
      </c>
      <c r="W13" s="39" t="s">
        <v>90</v>
      </c>
      <c r="X13" s="55" t="str">
        <f t="shared" si="3"/>
        <v>Key-EGC-13</v>
      </c>
      <c r="Y13" s="62" t="s">
        <v>1</v>
      </c>
      <c r="Z13" s="62" t="s">
        <v>1</v>
      </c>
      <c r="AA13" s="62" t="s">
        <v>1</v>
      </c>
      <c r="AB13" s="62" t="s">
        <v>1</v>
      </c>
      <c r="AC13" s="62" t="s">
        <v>1</v>
      </c>
      <c r="AD13" s="62" t="s">
        <v>1</v>
      </c>
    </row>
    <row r="14" spans="1:30" ht="6" customHeight="1" x14ac:dyDescent="0.25">
      <c r="A14" s="54">
        <v>14</v>
      </c>
      <c r="B14" s="57" t="s">
        <v>212</v>
      </c>
      <c r="C14" s="77" t="s">
        <v>213</v>
      </c>
      <c r="D14" s="78" t="s">
        <v>220</v>
      </c>
      <c r="E14" s="78" t="s">
        <v>222</v>
      </c>
      <c r="F14" s="79" t="s">
        <v>113</v>
      </c>
      <c r="G14" s="49" t="s">
        <v>1</v>
      </c>
      <c r="H14" s="49" t="s">
        <v>1</v>
      </c>
      <c r="I14" s="49" t="s">
        <v>1</v>
      </c>
      <c r="J14" s="49" t="s">
        <v>1</v>
      </c>
      <c r="K14" s="49" t="s">
        <v>208</v>
      </c>
      <c r="L14" s="46" t="str">
        <f t="shared" si="0"/>
        <v>Formantes</v>
      </c>
      <c r="M14" s="46" t="str">
        <f t="shared" si="1"/>
        <v>Elementos.EGC</v>
      </c>
      <c r="N14" s="46" t="str">
        <f t="shared" si="1"/>
        <v>EGC.Movimentos</v>
      </c>
      <c r="O14" s="46" t="str">
        <f t="shared" si="1"/>
        <v>Giro</v>
      </c>
      <c r="P14" s="46" t="s">
        <v>150</v>
      </c>
      <c r="Q14" s="46" t="s">
        <v>156</v>
      </c>
      <c r="R14" s="39" t="s">
        <v>167</v>
      </c>
      <c r="S14" s="75" t="s">
        <v>1</v>
      </c>
      <c r="T14" s="39" t="str">
        <f t="shared" si="2"/>
        <v>Formantes</v>
      </c>
      <c r="U14" s="39" t="str">
        <f t="shared" si="2"/>
        <v>Elementos.EGC</v>
      </c>
      <c r="V14" s="47" t="str">
        <f t="shared" si="2"/>
        <v>EGC.Movimentos</v>
      </c>
      <c r="W14" s="39" t="s">
        <v>90</v>
      </c>
      <c r="X14" s="55" t="str">
        <f t="shared" si="3"/>
        <v>Key-EGC-14</v>
      </c>
      <c r="Y14" s="62" t="s">
        <v>1</v>
      </c>
      <c r="Z14" s="62" t="s">
        <v>1</v>
      </c>
      <c r="AA14" s="62" t="s">
        <v>1</v>
      </c>
      <c r="AB14" s="62" t="s">
        <v>1</v>
      </c>
      <c r="AC14" s="62" t="s">
        <v>1</v>
      </c>
      <c r="AD14" s="62" t="s">
        <v>1</v>
      </c>
    </row>
    <row r="15" spans="1:30" ht="6" customHeight="1" x14ac:dyDescent="0.25">
      <c r="A15" s="54">
        <v>15</v>
      </c>
      <c r="B15" s="57" t="s">
        <v>212</v>
      </c>
      <c r="C15" s="77" t="s">
        <v>213</v>
      </c>
      <c r="D15" s="78" t="s">
        <v>220</v>
      </c>
      <c r="E15" s="78" t="s">
        <v>222</v>
      </c>
      <c r="F15" s="79" t="s">
        <v>114</v>
      </c>
      <c r="G15" s="49" t="s">
        <v>1</v>
      </c>
      <c r="H15" s="49" t="s">
        <v>1</v>
      </c>
      <c r="I15" s="49" t="s">
        <v>1</v>
      </c>
      <c r="J15" s="49" t="s">
        <v>1</v>
      </c>
      <c r="K15" s="49" t="s">
        <v>209</v>
      </c>
      <c r="L15" s="46" t="str">
        <f t="shared" si="0"/>
        <v>Formantes</v>
      </c>
      <c r="M15" s="46" t="str">
        <f t="shared" si="1"/>
        <v>Elementos.EGC</v>
      </c>
      <c r="N15" s="46" t="str">
        <f t="shared" si="1"/>
        <v>EGC.Movimentos</v>
      </c>
      <c r="O15" s="46" t="str">
        <f t="shared" si="1"/>
        <v>Escalar</v>
      </c>
      <c r="P15" s="46" t="s">
        <v>151</v>
      </c>
      <c r="Q15" s="46" t="s">
        <v>155</v>
      </c>
      <c r="R15" s="39" t="s">
        <v>168</v>
      </c>
      <c r="S15" s="75" t="s">
        <v>1</v>
      </c>
      <c r="T15" s="39" t="str">
        <f t="shared" si="2"/>
        <v>Formantes</v>
      </c>
      <c r="U15" s="39" t="str">
        <f t="shared" si="2"/>
        <v>Elementos.EGC</v>
      </c>
      <c r="V15" s="47" t="str">
        <f t="shared" si="2"/>
        <v>EGC.Movimentos</v>
      </c>
      <c r="W15" s="39" t="s">
        <v>90</v>
      </c>
      <c r="X15" s="55" t="str">
        <f t="shared" si="3"/>
        <v>Key-EGC-15</v>
      </c>
      <c r="Y15" s="62" t="s">
        <v>1</v>
      </c>
      <c r="Z15" s="62" t="s">
        <v>1</v>
      </c>
      <c r="AA15" s="62" t="s">
        <v>1</v>
      </c>
      <c r="AB15" s="62" t="s">
        <v>1</v>
      </c>
      <c r="AC15" s="62" t="s">
        <v>1</v>
      </c>
      <c r="AD15" s="62" t="s">
        <v>1</v>
      </c>
    </row>
    <row r="16" spans="1:30" ht="6" customHeight="1" x14ac:dyDescent="0.25">
      <c r="A16" s="54">
        <v>16</v>
      </c>
      <c r="B16" s="57" t="s">
        <v>212</v>
      </c>
      <c r="C16" s="77" t="s">
        <v>213</v>
      </c>
      <c r="D16" s="78" t="s">
        <v>220</v>
      </c>
      <c r="E16" s="78" t="s">
        <v>222</v>
      </c>
      <c r="F16" s="79" t="s">
        <v>115</v>
      </c>
      <c r="G16" s="49" t="s">
        <v>1</v>
      </c>
      <c r="H16" s="49" t="s">
        <v>1</v>
      </c>
      <c r="I16" s="49" t="s">
        <v>1</v>
      </c>
      <c r="J16" s="49" t="s">
        <v>1</v>
      </c>
      <c r="K16" s="49" t="s">
        <v>210</v>
      </c>
      <c r="L16" s="46" t="str">
        <f t="shared" si="0"/>
        <v>Formantes</v>
      </c>
      <c r="M16" s="46" t="str">
        <f t="shared" si="1"/>
        <v>Elementos.EGC</v>
      </c>
      <c r="N16" s="46" t="str">
        <f t="shared" si="1"/>
        <v>EGC.Movimentos</v>
      </c>
      <c r="O16" s="46" t="str">
        <f t="shared" si="1"/>
        <v>Reflexão</v>
      </c>
      <c r="P16" s="46" t="s">
        <v>152</v>
      </c>
      <c r="Q16" s="46" t="s">
        <v>154</v>
      </c>
      <c r="R16" s="39" t="s">
        <v>169</v>
      </c>
      <c r="S16" s="75" t="s">
        <v>1</v>
      </c>
      <c r="T16" s="39" t="str">
        <f t="shared" si="2"/>
        <v>Formantes</v>
      </c>
      <c r="U16" s="39" t="str">
        <f t="shared" si="2"/>
        <v>Elementos.EGC</v>
      </c>
      <c r="V16" s="47" t="str">
        <f t="shared" si="2"/>
        <v>EGC.Movimentos</v>
      </c>
      <c r="W16" s="39" t="s">
        <v>90</v>
      </c>
      <c r="X16" s="55" t="str">
        <f t="shared" si="3"/>
        <v>Key-EGC-16</v>
      </c>
      <c r="Y16" s="62" t="s">
        <v>1</v>
      </c>
      <c r="Z16" s="62" t="s">
        <v>1</v>
      </c>
      <c r="AA16" s="62" t="s">
        <v>1</v>
      </c>
      <c r="AB16" s="62" t="s">
        <v>1</v>
      </c>
      <c r="AC16" s="62" t="s">
        <v>1</v>
      </c>
      <c r="AD16" s="62" t="s">
        <v>1</v>
      </c>
    </row>
    <row r="17" spans="1:30" s="60" customFormat="1" ht="6.75" customHeight="1" x14ac:dyDescent="0.2">
      <c r="A17" s="54">
        <v>17</v>
      </c>
      <c r="B17" s="57" t="s">
        <v>214</v>
      </c>
      <c r="C17" s="80" t="s">
        <v>215</v>
      </c>
      <c r="D17" s="80" t="s">
        <v>218</v>
      </c>
      <c r="E17" s="80" t="s">
        <v>217</v>
      </c>
      <c r="F17" s="80" t="s">
        <v>216</v>
      </c>
      <c r="G17" s="58" t="s">
        <v>1</v>
      </c>
      <c r="H17" s="58" t="s">
        <v>1</v>
      </c>
      <c r="I17" s="58" t="s">
        <v>1</v>
      </c>
      <c r="J17" s="58" t="s">
        <v>1</v>
      </c>
      <c r="K17" s="58" t="s">
        <v>1</v>
      </c>
      <c r="L17" s="47" t="str">
        <f t="shared" ref="L17:O22" si="11">SUBSTITUTE(CONCATENATE("", C17), ".", " ")</f>
        <v>Morfológico</v>
      </c>
      <c r="M17" s="47" t="str">
        <f t="shared" si="11"/>
        <v>Morfologias</v>
      </c>
      <c r="N17" s="47" t="str">
        <f t="shared" si="11"/>
        <v>Códificação Formal</v>
      </c>
      <c r="O17" s="47" t="str">
        <f t="shared" si="11"/>
        <v>Código De Forma</v>
      </c>
      <c r="P17" s="39" t="s">
        <v>219</v>
      </c>
      <c r="Q17" s="59" t="s">
        <v>232</v>
      </c>
      <c r="R17" s="39" t="s">
        <v>224</v>
      </c>
      <c r="S17" s="75" t="s">
        <v>1</v>
      </c>
      <c r="T17" s="39" t="str">
        <f t="shared" ref="T17:V22" si="12">SUBSTITUTE(C17, ".", " ")</f>
        <v>Morfológico</v>
      </c>
      <c r="U17" s="39" t="str">
        <f t="shared" si="12"/>
        <v>Morfologias</v>
      </c>
      <c r="V17" s="39" t="str">
        <f t="shared" si="12"/>
        <v>Códificação Formal</v>
      </c>
      <c r="W17" s="39" t="s">
        <v>90</v>
      </c>
      <c r="X17" s="55" t="str">
        <f t="shared" si="3"/>
        <v>Key-EGC-17</v>
      </c>
      <c r="Y17" s="62" t="s">
        <v>1</v>
      </c>
      <c r="Z17" s="62" t="s">
        <v>1</v>
      </c>
      <c r="AA17" s="62" t="s">
        <v>1</v>
      </c>
      <c r="AB17" s="62" t="s">
        <v>1</v>
      </c>
      <c r="AC17" s="62" t="s">
        <v>1</v>
      </c>
      <c r="AD17" s="62" t="s">
        <v>1</v>
      </c>
    </row>
    <row r="18" spans="1:30" s="76" customFormat="1" ht="6.75" customHeight="1" x14ac:dyDescent="0.25">
      <c r="A18" s="54">
        <v>18</v>
      </c>
      <c r="B18" s="57" t="s">
        <v>280</v>
      </c>
      <c r="C18" s="80" t="s">
        <v>281</v>
      </c>
      <c r="D18" s="80" t="s">
        <v>282</v>
      </c>
      <c r="E18" s="80" t="s">
        <v>283</v>
      </c>
      <c r="F18" s="80" t="s">
        <v>259</v>
      </c>
      <c r="G18" s="58" t="s">
        <v>1</v>
      </c>
      <c r="H18" s="58" t="s">
        <v>1</v>
      </c>
      <c r="I18" s="58" t="s">
        <v>1</v>
      </c>
      <c r="J18" s="58" t="s">
        <v>1</v>
      </c>
      <c r="K18" s="58" t="s">
        <v>1</v>
      </c>
      <c r="L18" s="47" t="str">
        <f t="shared" ref="L18:M22" si="13">CONCATENATE("", C18)</f>
        <v>API.Plataforma</v>
      </c>
      <c r="M18" s="47" t="str">
        <f t="shared" si="13"/>
        <v>API.Macros</v>
      </c>
      <c r="N18" s="47" t="str">
        <f t="shared" ref="N18:O22" si="14">(SUBSTITUTE(SUBSTITUTE(CONCATENATE("",E18),"."," ")," De "," de "))</f>
        <v>API Método</v>
      </c>
      <c r="O18" s="47" t="str">
        <f t="shared" si="14"/>
        <v>Função Auxiliar</v>
      </c>
      <c r="P18" s="39" t="s">
        <v>260</v>
      </c>
      <c r="Q18" s="39" t="s">
        <v>261</v>
      </c>
      <c r="R18" s="39" t="s">
        <v>262</v>
      </c>
      <c r="S18" s="75" t="s">
        <v>1</v>
      </c>
      <c r="T18" s="39" t="str">
        <f t="shared" si="12"/>
        <v>API Plataforma</v>
      </c>
      <c r="U18" s="39" t="str">
        <f t="shared" si="12"/>
        <v>API Macros</v>
      </c>
      <c r="V18" s="61" t="str">
        <f t="shared" si="12"/>
        <v>API Método</v>
      </c>
      <c r="W18" s="39" t="s">
        <v>90</v>
      </c>
      <c r="X18" s="55" t="str">
        <f t="shared" ref="X18:X22" si="15">CONCATENATE("Key-EGC-",A18)</f>
        <v>Key-EGC-18</v>
      </c>
      <c r="Y18" s="62" t="s">
        <v>1</v>
      </c>
      <c r="Z18" s="62" t="s">
        <v>1</v>
      </c>
      <c r="AA18" s="62" t="s">
        <v>1</v>
      </c>
      <c r="AB18" s="62" t="s">
        <v>1</v>
      </c>
      <c r="AC18" s="62" t="s">
        <v>1</v>
      </c>
      <c r="AD18" s="62" t="s">
        <v>1</v>
      </c>
    </row>
    <row r="19" spans="1:30" s="76" customFormat="1" ht="6.75" customHeight="1" x14ac:dyDescent="0.25">
      <c r="A19" s="54">
        <v>19</v>
      </c>
      <c r="B19" s="57" t="s">
        <v>280</v>
      </c>
      <c r="C19" s="80" t="s">
        <v>281</v>
      </c>
      <c r="D19" s="80" t="s">
        <v>282</v>
      </c>
      <c r="E19" s="80" t="s">
        <v>283</v>
      </c>
      <c r="F19" s="80" t="s">
        <v>263</v>
      </c>
      <c r="G19" s="58" t="s">
        <v>1</v>
      </c>
      <c r="H19" s="58" t="s">
        <v>1</v>
      </c>
      <c r="I19" s="58" t="s">
        <v>1</v>
      </c>
      <c r="J19" s="58" t="s">
        <v>1</v>
      </c>
      <c r="K19" s="58" t="s">
        <v>1</v>
      </c>
      <c r="L19" s="47" t="str">
        <f t="shared" si="13"/>
        <v>API.Plataforma</v>
      </c>
      <c r="M19" s="47" t="str">
        <f t="shared" si="13"/>
        <v>API.Macros</v>
      </c>
      <c r="N19" s="47" t="str">
        <f t="shared" si="14"/>
        <v>API Método</v>
      </c>
      <c r="O19" s="47" t="str">
        <f t="shared" si="14"/>
        <v>Função Global</v>
      </c>
      <c r="P19" s="39" t="s">
        <v>264</v>
      </c>
      <c r="Q19" s="39" t="s">
        <v>265</v>
      </c>
      <c r="R19" s="39" t="s">
        <v>266</v>
      </c>
      <c r="S19" s="75" t="s">
        <v>1</v>
      </c>
      <c r="T19" s="39" t="str">
        <f t="shared" si="12"/>
        <v>API Plataforma</v>
      </c>
      <c r="U19" s="39" t="str">
        <f t="shared" si="12"/>
        <v>API Macros</v>
      </c>
      <c r="V19" s="61" t="str">
        <f t="shared" si="12"/>
        <v>API Método</v>
      </c>
      <c r="W19" s="39" t="s">
        <v>90</v>
      </c>
      <c r="X19" s="55" t="str">
        <f t="shared" si="15"/>
        <v>Key-EGC-19</v>
      </c>
      <c r="Y19" s="62" t="s">
        <v>1</v>
      </c>
      <c r="Z19" s="62" t="s">
        <v>1</v>
      </c>
      <c r="AA19" s="62" t="s">
        <v>1</v>
      </c>
      <c r="AB19" s="62" t="s">
        <v>1</v>
      </c>
      <c r="AC19" s="62" t="s">
        <v>1</v>
      </c>
      <c r="AD19" s="62" t="s">
        <v>1</v>
      </c>
    </row>
    <row r="20" spans="1:30" s="76" customFormat="1" ht="6.75" customHeight="1" x14ac:dyDescent="0.25">
      <c r="A20" s="54">
        <v>20</v>
      </c>
      <c r="B20" s="57" t="s">
        <v>280</v>
      </c>
      <c r="C20" s="80" t="s">
        <v>281</v>
      </c>
      <c r="D20" s="80" t="s">
        <v>282</v>
      </c>
      <c r="E20" s="80" t="s">
        <v>283</v>
      </c>
      <c r="F20" s="80" t="s">
        <v>267</v>
      </c>
      <c r="G20" s="58" t="s">
        <v>1</v>
      </c>
      <c r="H20" s="58" t="s">
        <v>1</v>
      </c>
      <c r="I20" s="58" t="s">
        <v>1</v>
      </c>
      <c r="J20" s="58" t="s">
        <v>1</v>
      </c>
      <c r="K20" s="58" t="s">
        <v>1</v>
      </c>
      <c r="L20" s="47" t="str">
        <f t="shared" si="13"/>
        <v>API.Plataforma</v>
      </c>
      <c r="M20" s="47" t="str">
        <f t="shared" si="13"/>
        <v>API.Macros</v>
      </c>
      <c r="N20" s="47" t="str">
        <f t="shared" si="14"/>
        <v>API Método</v>
      </c>
      <c r="O20" s="47" t="str">
        <f t="shared" si="14"/>
        <v>Função Local</v>
      </c>
      <c r="P20" s="39" t="s">
        <v>268</v>
      </c>
      <c r="Q20" s="39" t="s">
        <v>269</v>
      </c>
      <c r="R20" s="39" t="s">
        <v>270</v>
      </c>
      <c r="S20" s="75" t="s">
        <v>1</v>
      </c>
      <c r="T20" s="39" t="str">
        <f t="shared" si="12"/>
        <v>API Plataforma</v>
      </c>
      <c r="U20" s="39" t="str">
        <f t="shared" si="12"/>
        <v>API Macros</v>
      </c>
      <c r="V20" s="61" t="str">
        <f t="shared" si="12"/>
        <v>API Método</v>
      </c>
      <c r="W20" s="39" t="s">
        <v>90</v>
      </c>
      <c r="X20" s="55" t="str">
        <f t="shared" si="15"/>
        <v>Key-EGC-20</v>
      </c>
      <c r="Y20" s="62" t="s">
        <v>1</v>
      </c>
      <c r="Z20" s="62" t="s">
        <v>1</v>
      </c>
      <c r="AA20" s="62" t="s">
        <v>1</v>
      </c>
      <c r="AB20" s="62" t="s">
        <v>1</v>
      </c>
      <c r="AC20" s="62" t="s">
        <v>1</v>
      </c>
      <c r="AD20" s="62" t="s">
        <v>1</v>
      </c>
    </row>
    <row r="21" spans="1:30" s="76" customFormat="1" ht="6.75" customHeight="1" x14ac:dyDescent="0.25">
      <c r="A21" s="54">
        <v>21</v>
      </c>
      <c r="B21" s="57" t="s">
        <v>280</v>
      </c>
      <c r="C21" s="80" t="s">
        <v>281</v>
      </c>
      <c r="D21" s="80" t="s">
        <v>282</v>
      </c>
      <c r="E21" s="80" t="s">
        <v>283</v>
      </c>
      <c r="F21" s="80" t="s">
        <v>271</v>
      </c>
      <c r="G21" s="58" t="s">
        <v>1</v>
      </c>
      <c r="H21" s="58" t="s">
        <v>1</v>
      </c>
      <c r="I21" s="58" t="s">
        <v>1</v>
      </c>
      <c r="J21" s="58" t="s">
        <v>1</v>
      </c>
      <c r="K21" s="58" t="s">
        <v>1</v>
      </c>
      <c r="L21" s="47" t="str">
        <f t="shared" si="13"/>
        <v>API.Plataforma</v>
      </c>
      <c r="M21" s="47" t="str">
        <f t="shared" si="13"/>
        <v>API.Macros</v>
      </c>
      <c r="N21" s="47" t="str">
        <f t="shared" si="14"/>
        <v>API Método</v>
      </c>
      <c r="O21" s="47" t="str">
        <f t="shared" si="14"/>
        <v>Função Filtro</v>
      </c>
      <c r="P21" s="39" t="s">
        <v>272</v>
      </c>
      <c r="Q21" s="39" t="s">
        <v>273</v>
      </c>
      <c r="R21" s="39" t="s">
        <v>274</v>
      </c>
      <c r="S21" s="75" t="s">
        <v>1</v>
      </c>
      <c r="T21" s="39" t="str">
        <f t="shared" si="12"/>
        <v>API Plataforma</v>
      </c>
      <c r="U21" s="39" t="str">
        <f t="shared" si="12"/>
        <v>API Macros</v>
      </c>
      <c r="V21" s="61" t="str">
        <f t="shared" si="12"/>
        <v>API Método</v>
      </c>
      <c r="W21" s="39" t="s">
        <v>90</v>
      </c>
      <c r="X21" s="55" t="str">
        <f t="shared" si="15"/>
        <v>Key-EGC-21</v>
      </c>
      <c r="Y21" s="62" t="s">
        <v>1</v>
      </c>
      <c r="Z21" s="62" t="s">
        <v>1</v>
      </c>
      <c r="AA21" s="62" t="s">
        <v>1</v>
      </c>
      <c r="AB21" s="62" t="s">
        <v>1</v>
      </c>
      <c r="AC21" s="62" t="s">
        <v>1</v>
      </c>
      <c r="AD21" s="62" t="s">
        <v>1</v>
      </c>
    </row>
    <row r="22" spans="1:30" s="76" customFormat="1" ht="6.75" customHeight="1" x14ac:dyDescent="0.25">
      <c r="A22" s="54">
        <v>22</v>
      </c>
      <c r="B22" s="57" t="s">
        <v>280</v>
      </c>
      <c r="C22" s="80" t="s">
        <v>281</v>
      </c>
      <c r="D22" s="80" t="s">
        <v>284</v>
      </c>
      <c r="E22" s="80" t="s">
        <v>285</v>
      </c>
      <c r="F22" s="80" t="s">
        <v>275</v>
      </c>
      <c r="G22" s="58" t="s">
        <v>1</v>
      </c>
      <c r="H22" s="58" t="s">
        <v>1</v>
      </c>
      <c r="I22" s="58" t="s">
        <v>1</v>
      </c>
      <c r="J22" s="58" t="s">
        <v>1</v>
      </c>
      <c r="K22" s="58" t="s">
        <v>1</v>
      </c>
      <c r="L22" s="47" t="str">
        <f t="shared" si="13"/>
        <v>API.Plataforma</v>
      </c>
      <c r="M22" s="47" t="str">
        <f t="shared" si="13"/>
        <v>API.Macros.Visuais</v>
      </c>
      <c r="N22" s="47" t="str">
        <f t="shared" si="14"/>
        <v>API Método Visual</v>
      </c>
      <c r="O22" s="47" t="str">
        <f t="shared" si="14"/>
        <v>Bloco de Código</v>
      </c>
      <c r="P22" s="39" t="s">
        <v>276</v>
      </c>
      <c r="Q22" s="39" t="s">
        <v>277</v>
      </c>
      <c r="R22" s="39" t="s">
        <v>278</v>
      </c>
      <c r="S22" s="75" t="s">
        <v>1</v>
      </c>
      <c r="T22" s="39" t="str">
        <f t="shared" si="12"/>
        <v>API Plataforma</v>
      </c>
      <c r="U22" s="39" t="str">
        <f t="shared" si="12"/>
        <v>API Macros Visuais</v>
      </c>
      <c r="V22" s="61" t="str">
        <f t="shared" si="12"/>
        <v>API Método Visual</v>
      </c>
      <c r="W22" s="39" t="s">
        <v>90</v>
      </c>
      <c r="X22" s="55" t="str">
        <f t="shared" si="15"/>
        <v>Key-EGC-22</v>
      </c>
      <c r="Y22" s="62" t="s">
        <v>1</v>
      </c>
      <c r="Z22" s="62" t="s">
        <v>1</v>
      </c>
      <c r="AA22" s="62" t="s">
        <v>1</v>
      </c>
      <c r="AB22" s="62" t="s">
        <v>1</v>
      </c>
      <c r="AC22" s="62" t="s">
        <v>1</v>
      </c>
      <c r="AD22" s="62" t="s">
        <v>1</v>
      </c>
    </row>
  </sheetData>
  <conditionalFormatting sqref="A2:B17 A18:A22">
    <cfRule type="cellIs" dxfId="0" priority="5" operator="equal">
      <formula>"null"</formula>
    </cfRule>
  </conditionalFormatting>
  <conditionalFormatting sqref="F1:F16">
    <cfRule type="duplicateValues" dxfId="16" priority="30"/>
  </conditionalFormatting>
  <conditionalFormatting sqref="F17">
    <cfRule type="duplicateValues" dxfId="15" priority="16"/>
  </conditionalFormatting>
  <conditionalFormatting sqref="Q17">
    <cfRule type="cellIs" dxfId="13" priority="15" operator="equal">
      <formula>"null"</formula>
    </cfRule>
  </conditionalFormatting>
  <conditionalFormatting sqref="R17">
    <cfRule type="cellIs" dxfId="12" priority="8" operator="equal">
      <formula>"null"</formula>
    </cfRule>
  </conditionalFormatting>
  <conditionalFormatting sqref="F18:F22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05" zoomScaleNormal="205" workbookViewId="0">
      <pane ySplit="1" topLeftCell="A2" activePane="bottomLeft" state="frozen"/>
      <selection activeCell="C18" sqref="C18"/>
      <selection pane="bottomLeft" activeCell="A2" sqref="A2"/>
    </sheetView>
  </sheetViews>
  <sheetFormatPr defaultColWidth="11.140625" defaultRowHeight="7.9" customHeight="1" x14ac:dyDescent="0.15"/>
  <cols>
    <col min="1" max="1" width="2.85546875" style="1" bestFit="1" customWidth="1"/>
    <col min="2" max="10" width="5.85546875" style="2" customWidth="1"/>
    <col min="11" max="21" width="5.85546875" style="5" customWidth="1"/>
    <col min="22" max="16384" width="11.140625" style="5"/>
  </cols>
  <sheetData>
    <row r="1" spans="1:21" s="3" customFormat="1" ht="49.5" customHeight="1" x14ac:dyDescent="0.15">
      <c r="A1" s="30" t="s">
        <v>22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17</v>
      </c>
      <c r="R1" s="31" t="s">
        <v>18</v>
      </c>
      <c r="S1" s="31" t="s">
        <v>19</v>
      </c>
      <c r="T1" s="31" t="s">
        <v>20</v>
      </c>
      <c r="U1" s="31" t="s">
        <v>21</v>
      </c>
    </row>
    <row r="2" spans="1:21" ht="9" customHeight="1" x14ac:dyDescent="0.15">
      <c r="A2" s="30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</row>
  </sheetData>
  <phoneticPr fontId="1" type="noConversion"/>
  <conditionalFormatting sqref="A1:XFD1048576">
    <cfRule type="cellIs" dxfId="11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E13-E93E-488C-9C8F-4E4982DFBAE7}">
  <sheetPr codeName="Planilha4"/>
  <dimension ref="A1:C2"/>
  <sheetViews>
    <sheetView zoomScale="175" zoomScaleNormal="175" workbookViewId="0">
      <pane ySplit="1" topLeftCell="A2" activePane="bottomLeft" state="frozen"/>
      <selection activeCell="C18" sqref="C18"/>
      <selection pane="bottomLeft" activeCell="C14" sqref="C14"/>
    </sheetView>
  </sheetViews>
  <sheetFormatPr defaultColWidth="9.140625" defaultRowHeight="15" x14ac:dyDescent="0.25"/>
  <cols>
    <col min="1" max="1" width="3.28515625" customWidth="1"/>
    <col min="2" max="2" width="10.28515625" customWidth="1"/>
    <col min="3" max="3" width="14.85546875" customWidth="1"/>
  </cols>
  <sheetData>
    <row r="1" spans="1:3" ht="49.5" customHeight="1" x14ac:dyDescent="0.25">
      <c r="A1" s="27">
        <v>1</v>
      </c>
      <c r="B1" s="28" t="s">
        <v>93</v>
      </c>
      <c r="C1" s="28" t="s">
        <v>94</v>
      </c>
    </row>
    <row r="2" spans="1:3" ht="14.45" customHeight="1" x14ac:dyDescent="0.25">
      <c r="A2" s="19">
        <v>2</v>
      </c>
      <c r="B2" s="29" t="s">
        <v>1</v>
      </c>
      <c r="C2" s="29" t="s">
        <v>1</v>
      </c>
    </row>
  </sheetData>
  <conditionalFormatting sqref="A1:A2">
    <cfRule type="cellIs" dxfId="10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0AC9-81F8-4DDA-B9A5-638130FB9FB8}">
  <sheetPr codeName="Planilha5"/>
  <dimension ref="A1:AO19"/>
  <sheetViews>
    <sheetView zoomScale="220" zoomScaleNormal="220" workbookViewId="0">
      <pane ySplit="1" topLeftCell="A2" activePane="bottomLeft" state="frozen"/>
      <selection pane="bottomLeft" activeCell="D16" sqref="D16"/>
    </sheetView>
  </sheetViews>
  <sheetFormatPr defaultColWidth="2.85546875" defaultRowHeight="6.95" customHeight="1" x14ac:dyDescent="0.25"/>
  <cols>
    <col min="1" max="1" width="3.140625" customWidth="1"/>
    <col min="2" max="2" width="7.42578125" customWidth="1"/>
    <col min="3" max="3" width="7.85546875" customWidth="1"/>
    <col min="4" max="4" width="6.28515625" customWidth="1"/>
    <col min="5" max="5" width="3.5703125" style="53" bestFit="1" customWidth="1"/>
    <col min="6" max="6" width="12.7109375" customWidth="1"/>
    <col min="7" max="7" width="3.42578125" style="53" bestFit="1" customWidth="1"/>
    <col min="8" max="8" width="5.140625" customWidth="1"/>
    <col min="9" max="9" width="47.5703125" customWidth="1"/>
    <col min="10" max="10" width="10" customWidth="1"/>
    <col min="11" max="11" width="4" style="53" bestFit="1" customWidth="1"/>
    <col min="12" max="12" width="4.28515625" bestFit="1" customWidth="1"/>
    <col min="13" max="13" width="3.85546875" style="52" bestFit="1" customWidth="1"/>
    <col min="14" max="14" width="4.28515625" bestFit="1" customWidth="1"/>
    <col min="15" max="15" width="3.85546875" style="52" bestFit="1" customWidth="1"/>
    <col min="16" max="16" width="4.28515625" bestFit="1" customWidth="1"/>
    <col min="17" max="17" width="3.42578125" style="52" bestFit="1" customWidth="1"/>
    <col min="18" max="18" width="4.85546875" style="53" bestFit="1" customWidth="1"/>
    <col min="19" max="19" width="4.5703125" style="52" bestFit="1" customWidth="1"/>
    <col min="20" max="20" width="4.85546875" style="53" bestFit="1" customWidth="1"/>
    <col min="21" max="21" width="4.5703125" style="52" bestFit="1" customWidth="1"/>
    <col min="22" max="22" width="4.85546875" style="53" bestFit="1" customWidth="1"/>
    <col min="23" max="23" width="3.42578125" style="52" bestFit="1" customWidth="1"/>
    <col min="24" max="24" width="8.42578125" bestFit="1" customWidth="1"/>
    <col min="25" max="25" width="3.85546875" style="53" bestFit="1" customWidth="1"/>
    <col min="26" max="26" width="3.85546875" customWidth="1"/>
    <col min="27" max="27" width="3.85546875" style="53" customWidth="1"/>
    <col min="28" max="28" width="4.85546875" style="53" bestFit="1" customWidth="1"/>
    <col min="29" max="29" width="12.42578125" style="53" customWidth="1"/>
    <col min="30" max="30" width="7.5703125" style="53" bestFit="1" customWidth="1"/>
    <col min="31" max="31" width="8.28515625" style="53" customWidth="1"/>
    <col min="32" max="32" width="4.28515625" bestFit="1" customWidth="1"/>
    <col min="33" max="33" width="3.42578125" bestFit="1" customWidth="1"/>
    <col min="34" max="34" width="4.28515625" bestFit="1" customWidth="1"/>
    <col min="35" max="35" width="3.42578125" bestFit="1" customWidth="1"/>
    <col min="36" max="36" width="4.28515625" bestFit="1" customWidth="1"/>
    <col min="37" max="37" width="3.42578125" bestFit="1" customWidth="1"/>
    <col min="38" max="38" width="4.28515625" bestFit="1" customWidth="1"/>
    <col min="39" max="39" width="3.42578125" bestFit="1" customWidth="1"/>
    <col min="40" max="40" width="4.28515625" bestFit="1" customWidth="1"/>
    <col min="41" max="41" width="3.42578125" bestFit="1" customWidth="1"/>
  </cols>
  <sheetData>
    <row r="1" spans="1:41" ht="21.75" customHeight="1" x14ac:dyDescent="0.25">
      <c r="A1" s="36" t="s">
        <v>91</v>
      </c>
      <c r="B1" s="24" t="s">
        <v>49</v>
      </c>
      <c r="C1" s="26" t="s">
        <v>49</v>
      </c>
      <c r="D1" s="24" t="s">
        <v>48</v>
      </c>
      <c r="E1" s="24" t="s">
        <v>92</v>
      </c>
      <c r="F1" s="24" t="s">
        <v>48</v>
      </c>
      <c r="G1" s="24" t="s">
        <v>92</v>
      </c>
      <c r="H1" s="24" t="s">
        <v>48</v>
      </c>
      <c r="I1" s="24" t="s">
        <v>92</v>
      </c>
      <c r="J1" s="26" t="s">
        <v>48</v>
      </c>
      <c r="K1" s="24" t="s">
        <v>92</v>
      </c>
      <c r="L1" s="26" t="s">
        <v>48</v>
      </c>
      <c r="M1" s="50" t="s">
        <v>92</v>
      </c>
      <c r="N1" s="24" t="s">
        <v>48</v>
      </c>
      <c r="O1" s="50" t="s">
        <v>92</v>
      </c>
      <c r="P1" s="24" t="s">
        <v>48</v>
      </c>
      <c r="Q1" s="50" t="s">
        <v>92</v>
      </c>
      <c r="R1" s="24" t="s">
        <v>48</v>
      </c>
      <c r="S1" s="50" t="s">
        <v>92</v>
      </c>
      <c r="T1" s="24" t="s">
        <v>48</v>
      </c>
      <c r="U1" s="50" t="s">
        <v>92</v>
      </c>
      <c r="V1" s="24" t="s">
        <v>48</v>
      </c>
      <c r="W1" s="50" t="s">
        <v>92</v>
      </c>
      <c r="X1" s="26" t="s">
        <v>48</v>
      </c>
      <c r="Y1" s="24" t="s">
        <v>92</v>
      </c>
      <c r="Z1" s="24" t="s">
        <v>48</v>
      </c>
      <c r="AA1" s="24" t="s">
        <v>92</v>
      </c>
      <c r="AB1" s="24" t="s">
        <v>48</v>
      </c>
      <c r="AC1" s="24" t="s">
        <v>92</v>
      </c>
      <c r="AD1" s="24" t="s">
        <v>48</v>
      </c>
      <c r="AE1" s="24" t="s">
        <v>92</v>
      </c>
      <c r="AF1" s="26" t="s">
        <v>48</v>
      </c>
      <c r="AG1" s="37" t="s">
        <v>92</v>
      </c>
      <c r="AH1" s="26" t="s">
        <v>48</v>
      </c>
      <c r="AI1" s="37" t="s">
        <v>92</v>
      </c>
      <c r="AJ1" s="26" t="s">
        <v>48</v>
      </c>
      <c r="AK1" s="37" t="s">
        <v>92</v>
      </c>
      <c r="AL1" s="26" t="s">
        <v>48</v>
      </c>
      <c r="AM1" s="37" t="s">
        <v>92</v>
      </c>
      <c r="AN1" s="26" t="s">
        <v>48</v>
      </c>
      <c r="AO1" s="37" t="s">
        <v>92</v>
      </c>
    </row>
    <row r="2" spans="1:41" ht="6.95" customHeight="1" x14ac:dyDescent="0.25">
      <c r="A2" s="73">
        <v>2</v>
      </c>
      <c r="B2" s="25" t="s">
        <v>133</v>
      </c>
      <c r="C2" s="43" t="s">
        <v>172</v>
      </c>
      <c r="D2" s="45" t="s">
        <v>1</v>
      </c>
      <c r="E2" s="71" t="s">
        <v>1</v>
      </c>
      <c r="F2" s="45" t="s">
        <v>1</v>
      </c>
      <c r="G2" s="71" t="s">
        <v>1</v>
      </c>
      <c r="H2" s="33" t="s">
        <v>95</v>
      </c>
      <c r="I2" s="35" t="s">
        <v>187</v>
      </c>
      <c r="J2" s="34" t="s">
        <v>118</v>
      </c>
      <c r="K2" s="35" t="s">
        <v>119</v>
      </c>
      <c r="L2" s="34" t="s">
        <v>181</v>
      </c>
      <c r="M2" s="51">
        <v>1.05</v>
      </c>
      <c r="N2" s="34" t="s">
        <v>182</v>
      </c>
      <c r="O2" s="51">
        <v>1.05</v>
      </c>
      <c r="P2" s="34" t="s">
        <v>183</v>
      </c>
      <c r="Q2" s="51">
        <v>0</v>
      </c>
      <c r="R2" s="33" t="s">
        <v>1</v>
      </c>
      <c r="S2" s="51" t="s">
        <v>1</v>
      </c>
      <c r="T2" s="33" t="s">
        <v>1</v>
      </c>
      <c r="U2" s="51" t="s">
        <v>1</v>
      </c>
      <c r="V2" s="33" t="s">
        <v>1</v>
      </c>
      <c r="W2" s="51" t="s">
        <v>1</v>
      </c>
      <c r="X2" s="34" t="s">
        <v>1</v>
      </c>
      <c r="Y2" s="35" t="s">
        <v>1</v>
      </c>
      <c r="Z2" s="33" t="s">
        <v>1</v>
      </c>
      <c r="AA2" s="35" t="s">
        <v>1</v>
      </c>
      <c r="AB2" s="33" t="s">
        <v>1</v>
      </c>
      <c r="AC2" s="35" t="s">
        <v>1</v>
      </c>
      <c r="AD2" s="33" t="s">
        <v>1</v>
      </c>
      <c r="AE2" s="35" t="s">
        <v>1</v>
      </c>
      <c r="AF2" s="45" t="s">
        <v>1</v>
      </c>
      <c r="AG2" s="70" t="s">
        <v>1</v>
      </c>
      <c r="AH2" s="45" t="s">
        <v>1</v>
      </c>
      <c r="AI2" s="70" t="s">
        <v>1</v>
      </c>
      <c r="AJ2" s="45" t="s">
        <v>1</v>
      </c>
      <c r="AK2" s="70" t="s">
        <v>1</v>
      </c>
      <c r="AL2" s="45" t="s">
        <v>1</v>
      </c>
      <c r="AM2" s="70" t="s">
        <v>1</v>
      </c>
      <c r="AN2" s="45" t="s">
        <v>1</v>
      </c>
      <c r="AO2" s="70" t="s">
        <v>1</v>
      </c>
    </row>
    <row r="3" spans="1:41" ht="6.95" customHeight="1" x14ac:dyDescent="0.25">
      <c r="A3" s="73">
        <v>3</v>
      </c>
      <c r="B3" s="25" t="s">
        <v>188</v>
      </c>
      <c r="C3" s="43" t="s">
        <v>172</v>
      </c>
      <c r="D3" s="45" t="s">
        <v>1</v>
      </c>
      <c r="E3" s="71" t="s">
        <v>1</v>
      </c>
      <c r="F3" s="45" t="s">
        <v>1</v>
      </c>
      <c r="G3" s="71" t="s">
        <v>1</v>
      </c>
      <c r="H3" s="33" t="s">
        <v>95</v>
      </c>
      <c r="I3" s="35" t="s">
        <v>189</v>
      </c>
      <c r="J3" s="34" t="s">
        <v>118</v>
      </c>
      <c r="K3" s="35" t="s">
        <v>119</v>
      </c>
      <c r="L3" s="34" t="s">
        <v>181</v>
      </c>
      <c r="M3" s="51">
        <v>1.05</v>
      </c>
      <c r="N3" s="34" t="s">
        <v>182</v>
      </c>
      <c r="O3" s="51">
        <v>1.05</v>
      </c>
      <c r="P3" s="34" t="s">
        <v>183</v>
      </c>
      <c r="Q3" s="51">
        <v>0</v>
      </c>
      <c r="R3" s="34" t="s">
        <v>184</v>
      </c>
      <c r="S3" s="51">
        <v>5.2</v>
      </c>
      <c r="T3" s="34" t="s">
        <v>186</v>
      </c>
      <c r="U3" s="51">
        <v>0</v>
      </c>
      <c r="V3" s="34" t="s">
        <v>185</v>
      </c>
      <c r="W3" s="51">
        <v>0</v>
      </c>
      <c r="X3" s="34" t="s">
        <v>1</v>
      </c>
      <c r="Y3" s="35" t="s">
        <v>1</v>
      </c>
      <c r="Z3" s="33" t="s">
        <v>1</v>
      </c>
      <c r="AA3" s="35" t="s">
        <v>1</v>
      </c>
      <c r="AB3" s="33" t="s">
        <v>1</v>
      </c>
      <c r="AC3" s="35" t="s">
        <v>1</v>
      </c>
      <c r="AD3" s="33" t="s">
        <v>1</v>
      </c>
      <c r="AE3" s="35" t="s">
        <v>1</v>
      </c>
      <c r="AF3" s="45" t="s">
        <v>1</v>
      </c>
      <c r="AG3" s="70" t="s">
        <v>1</v>
      </c>
      <c r="AH3" s="45" t="s">
        <v>1</v>
      </c>
      <c r="AI3" s="70" t="s">
        <v>1</v>
      </c>
      <c r="AJ3" s="45" t="s">
        <v>1</v>
      </c>
      <c r="AK3" s="70" t="s">
        <v>1</v>
      </c>
      <c r="AL3" s="45" t="s">
        <v>1</v>
      </c>
      <c r="AM3" s="70" t="s">
        <v>1</v>
      </c>
      <c r="AN3" s="45" t="s">
        <v>1</v>
      </c>
      <c r="AO3" s="70" t="s">
        <v>1</v>
      </c>
    </row>
    <row r="4" spans="1:41" ht="6.95" customHeight="1" x14ac:dyDescent="0.25">
      <c r="A4" s="73">
        <v>4</v>
      </c>
      <c r="B4" s="25" t="s">
        <v>134</v>
      </c>
      <c r="C4" s="43" t="s">
        <v>113</v>
      </c>
      <c r="D4" s="45" t="s">
        <v>1</v>
      </c>
      <c r="E4" s="71" t="s">
        <v>1</v>
      </c>
      <c r="F4" s="45" t="s">
        <v>1</v>
      </c>
      <c r="G4" s="71" t="s">
        <v>1</v>
      </c>
      <c r="H4" s="33" t="s">
        <v>95</v>
      </c>
      <c r="I4" s="35" t="s">
        <v>197</v>
      </c>
      <c r="J4" s="34" t="s">
        <v>118</v>
      </c>
      <c r="K4" s="35" t="s">
        <v>120</v>
      </c>
      <c r="L4" s="34" t="s">
        <v>181</v>
      </c>
      <c r="M4" s="51">
        <v>2.0499999999999998</v>
      </c>
      <c r="N4" s="34" t="s">
        <v>182</v>
      </c>
      <c r="O4" s="51">
        <v>2.0499999999999998</v>
      </c>
      <c r="P4" s="34" t="s">
        <v>183</v>
      </c>
      <c r="Q4" s="51">
        <v>0</v>
      </c>
      <c r="R4" s="33" t="s">
        <v>1</v>
      </c>
      <c r="S4" s="51" t="s">
        <v>1</v>
      </c>
      <c r="T4" s="33" t="s">
        <v>1</v>
      </c>
      <c r="U4" s="51" t="s">
        <v>1</v>
      </c>
      <c r="V4" s="33" t="s">
        <v>1</v>
      </c>
      <c r="W4" s="51" t="s">
        <v>1</v>
      </c>
      <c r="X4" s="34" t="s">
        <v>179</v>
      </c>
      <c r="Y4" s="35">
        <v>45</v>
      </c>
      <c r="Z4" s="33" t="s">
        <v>1</v>
      </c>
      <c r="AA4" s="35" t="s">
        <v>1</v>
      </c>
      <c r="AB4" s="33" t="s">
        <v>1</v>
      </c>
      <c r="AC4" s="35" t="s">
        <v>1</v>
      </c>
      <c r="AD4" s="33" t="s">
        <v>1</v>
      </c>
      <c r="AE4" s="35" t="s">
        <v>1</v>
      </c>
      <c r="AF4" s="45" t="s">
        <v>1</v>
      </c>
      <c r="AG4" s="70" t="s">
        <v>1</v>
      </c>
      <c r="AH4" s="45" t="s">
        <v>1</v>
      </c>
      <c r="AI4" s="70" t="s">
        <v>1</v>
      </c>
      <c r="AJ4" s="45" t="s">
        <v>1</v>
      </c>
      <c r="AK4" s="70" t="s">
        <v>1</v>
      </c>
      <c r="AL4" s="45" t="s">
        <v>1</v>
      </c>
      <c r="AM4" s="70" t="s">
        <v>1</v>
      </c>
      <c r="AN4" s="45" t="s">
        <v>1</v>
      </c>
      <c r="AO4" s="70" t="s">
        <v>1</v>
      </c>
    </row>
    <row r="5" spans="1:41" ht="6.95" customHeight="1" x14ac:dyDescent="0.25">
      <c r="A5" s="73">
        <v>5</v>
      </c>
      <c r="B5" s="25" t="s">
        <v>135</v>
      </c>
      <c r="C5" s="43" t="s">
        <v>114</v>
      </c>
      <c r="D5" s="45" t="s">
        <v>1</v>
      </c>
      <c r="E5" s="71" t="s">
        <v>1</v>
      </c>
      <c r="F5" s="45" t="s">
        <v>1</v>
      </c>
      <c r="G5" s="71" t="s">
        <v>1</v>
      </c>
      <c r="H5" s="33" t="s">
        <v>95</v>
      </c>
      <c r="I5" s="35" t="s">
        <v>198</v>
      </c>
      <c r="J5" s="34" t="s">
        <v>118</v>
      </c>
      <c r="K5" s="35" t="s">
        <v>121</v>
      </c>
      <c r="L5" s="34" t="s">
        <v>181</v>
      </c>
      <c r="M5" s="51">
        <v>3.05</v>
      </c>
      <c r="N5" s="34" t="s">
        <v>182</v>
      </c>
      <c r="O5" s="51">
        <v>3.05</v>
      </c>
      <c r="P5" s="34" t="s">
        <v>183</v>
      </c>
      <c r="Q5" s="51">
        <v>0</v>
      </c>
      <c r="R5" s="33" t="s">
        <v>1</v>
      </c>
      <c r="S5" s="51" t="s">
        <v>1</v>
      </c>
      <c r="T5" s="33" t="s">
        <v>1</v>
      </c>
      <c r="U5" s="51" t="s">
        <v>1</v>
      </c>
      <c r="V5" s="33" t="s">
        <v>1</v>
      </c>
      <c r="W5" s="51" t="s">
        <v>1</v>
      </c>
      <c r="X5" s="34" t="s">
        <v>180</v>
      </c>
      <c r="Y5" s="35">
        <v>1.5</v>
      </c>
      <c r="Z5" s="33" t="s">
        <v>1</v>
      </c>
      <c r="AA5" s="35" t="s">
        <v>1</v>
      </c>
      <c r="AB5" s="33" t="s">
        <v>1</v>
      </c>
      <c r="AC5" s="35" t="s">
        <v>1</v>
      </c>
      <c r="AD5" s="33" t="s">
        <v>1</v>
      </c>
      <c r="AE5" s="35" t="s">
        <v>1</v>
      </c>
      <c r="AF5" s="45" t="s">
        <v>1</v>
      </c>
      <c r="AG5" s="70" t="s">
        <v>1</v>
      </c>
      <c r="AH5" s="45" t="s">
        <v>1</v>
      </c>
      <c r="AI5" s="70" t="s">
        <v>1</v>
      </c>
      <c r="AJ5" s="45" t="s">
        <v>1</v>
      </c>
      <c r="AK5" s="70" t="s">
        <v>1</v>
      </c>
      <c r="AL5" s="45" t="s">
        <v>1</v>
      </c>
      <c r="AM5" s="70" t="s">
        <v>1</v>
      </c>
      <c r="AN5" s="45" t="s">
        <v>1</v>
      </c>
      <c r="AO5" s="70" t="s">
        <v>1</v>
      </c>
    </row>
    <row r="6" spans="1:41" ht="6.95" customHeight="1" x14ac:dyDescent="0.25">
      <c r="A6" s="73">
        <v>6</v>
      </c>
      <c r="B6" s="25" t="s">
        <v>136</v>
      </c>
      <c r="C6" s="43" t="s">
        <v>115</v>
      </c>
      <c r="D6" s="45" t="s">
        <v>1</v>
      </c>
      <c r="E6" s="71" t="s">
        <v>1</v>
      </c>
      <c r="F6" s="45" t="s">
        <v>1</v>
      </c>
      <c r="G6" s="71" t="s">
        <v>1</v>
      </c>
      <c r="H6" s="33" t="s">
        <v>95</v>
      </c>
      <c r="I6" s="35" t="s">
        <v>199</v>
      </c>
      <c r="J6" s="34" t="s">
        <v>118</v>
      </c>
      <c r="K6" s="35" t="s">
        <v>122</v>
      </c>
      <c r="L6" s="34" t="s">
        <v>181</v>
      </c>
      <c r="M6" s="51">
        <v>4.05</v>
      </c>
      <c r="N6" s="34" t="s">
        <v>182</v>
      </c>
      <c r="O6" s="51">
        <v>4.05</v>
      </c>
      <c r="P6" s="34" t="s">
        <v>183</v>
      </c>
      <c r="Q6" s="51">
        <v>0</v>
      </c>
      <c r="R6" s="33" t="s">
        <v>184</v>
      </c>
      <c r="S6" s="51">
        <v>14.05</v>
      </c>
      <c r="T6" s="33" t="s">
        <v>186</v>
      </c>
      <c r="U6" s="51">
        <v>14.05</v>
      </c>
      <c r="V6" s="33" t="s">
        <v>185</v>
      </c>
      <c r="W6" s="51">
        <v>0</v>
      </c>
      <c r="X6" s="34" t="s">
        <v>1</v>
      </c>
      <c r="Y6" s="35" t="s">
        <v>1</v>
      </c>
      <c r="Z6" s="33" t="s">
        <v>1</v>
      </c>
      <c r="AA6" s="35" t="s">
        <v>1</v>
      </c>
      <c r="AB6" s="33" t="s">
        <v>1</v>
      </c>
      <c r="AC6" s="35" t="s">
        <v>1</v>
      </c>
      <c r="AD6" s="33" t="s">
        <v>1</v>
      </c>
      <c r="AE6" s="35" t="s">
        <v>1</v>
      </c>
      <c r="AF6" s="45" t="s">
        <v>1</v>
      </c>
      <c r="AG6" s="70" t="s">
        <v>1</v>
      </c>
      <c r="AH6" s="45" t="s">
        <v>1</v>
      </c>
      <c r="AI6" s="70" t="s">
        <v>1</v>
      </c>
      <c r="AJ6" s="45" t="s">
        <v>1</v>
      </c>
      <c r="AK6" s="70" t="s">
        <v>1</v>
      </c>
      <c r="AL6" s="45" t="s">
        <v>1</v>
      </c>
      <c r="AM6" s="70" t="s">
        <v>1</v>
      </c>
      <c r="AN6" s="45" t="s">
        <v>1</v>
      </c>
      <c r="AO6" s="70" t="s">
        <v>1</v>
      </c>
    </row>
    <row r="7" spans="1:41" ht="6.95" customHeight="1" x14ac:dyDescent="0.25">
      <c r="A7" s="73">
        <v>7</v>
      </c>
      <c r="B7" s="25" t="s">
        <v>128</v>
      </c>
      <c r="C7" s="43" t="s">
        <v>116</v>
      </c>
      <c r="D7" s="45" t="s">
        <v>1</v>
      </c>
      <c r="E7" s="71" t="s">
        <v>1</v>
      </c>
      <c r="F7" s="45" t="s">
        <v>1</v>
      </c>
      <c r="G7" s="71" t="s">
        <v>1</v>
      </c>
      <c r="H7" s="33" t="s">
        <v>95</v>
      </c>
      <c r="I7" s="35" t="s">
        <v>200</v>
      </c>
      <c r="J7" s="34" t="s">
        <v>1</v>
      </c>
      <c r="K7" s="35" t="s">
        <v>1</v>
      </c>
      <c r="L7" s="34" t="s">
        <v>1</v>
      </c>
      <c r="M7" s="51" t="s">
        <v>1</v>
      </c>
      <c r="N7" s="34" t="s">
        <v>1</v>
      </c>
      <c r="O7" s="51" t="s">
        <v>1</v>
      </c>
      <c r="P7" s="34" t="s">
        <v>1</v>
      </c>
      <c r="Q7" s="51" t="s">
        <v>1</v>
      </c>
      <c r="R7" s="33" t="s">
        <v>1</v>
      </c>
      <c r="S7" s="51" t="s">
        <v>1</v>
      </c>
      <c r="T7" s="33" t="s">
        <v>1</v>
      </c>
      <c r="U7" s="51" t="s">
        <v>1</v>
      </c>
      <c r="V7" s="33" t="s">
        <v>1</v>
      </c>
      <c r="W7" s="51" t="s">
        <v>1</v>
      </c>
      <c r="X7" s="34" t="s">
        <v>1</v>
      </c>
      <c r="Y7" s="35" t="s">
        <v>1</v>
      </c>
      <c r="Z7" s="33" t="s">
        <v>1</v>
      </c>
      <c r="AA7" s="35" t="s">
        <v>1</v>
      </c>
      <c r="AB7" s="33" t="s">
        <v>1</v>
      </c>
      <c r="AC7" s="35" t="s">
        <v>1</v>
      </c>
      <c r="AD7" s="33" t="s">
        <v>1</v>
      </c>
      <c r="AE7" s="35" t="s">
        <v>1</v>
      </c>
      <c r="AF7" s="45" t="s">
        <v>1</v>
      </c>
      <c r="AG7" s="70" t="s">
        <v>1</v>
      </c>
      <c r="AH7" s="45" t="s">
        <v>1</v>
      </c>
      <c r="AI7" s="70" t="s">
        <v>1</v>
      </c>
      <c r="AJ7" s="45" t="s">
        <v>1</v>
      </c>
      <c r="AK7" s="70" t="s">
        <v>1</v>
      </c>
      <c r="AL7" s="45" t="s">
        <v>1</v>
      </c>
      <c r="AM7" s="70" t="s">
        <v>1</v>
      </c>
      <c r="AN7" s="45" t="s">
        <v>1</v>
      </c>
      <c r="AO7" s="70" t="s">
        <v>1</v>
      </c>
    </row>
    <row r="8" spans="1:41" ht="6.95" customHeight="1" x14ac:dyDescent="0.25">
      <c r="A8" s="73">
        <v>8</v>
      </c>
      <c r="B8" s="25" t="s">
        <v>130</v>
      </c>
      <c r="C8" s="43" t="s">
        <v>116</v>
      </c>
      <c r="D8" s="45" t="s">
        <v>1</v>
      </c>
      <c r="E8" s="71" t="s">
        <v>1</v>
      </c>
      <c r="F8" s="45" t="s">
        <v>1</v>
      </c>
      <c r="G8" s="71" t="s">
        <v>1</v>
      </c>
      <c r="H8" s="33" t="s">
        <v>95</v>
      </c>
      <c r="I8" s="35" t="s">
        <v>201</v>
      </c>
      <c r="J8" s="34" t="s">
        <v>1</v>
      </c>
      <c r="K8" s="35" t="s">
        <v>1</v>
      </c>
      <c r="L8" s="34" t="s">
        <v>1</v>
      </c>
      <c r="M8" s="51" t="s">
        <v>1</v>
      </c>
      <c r="N8" s="34" t="s">
        <v>1</v>
      </c>
      <c r="O8" s="51" t="s">
        <v>1</v>
      </c>
      <c r="P8" s="34" t="s">
        <v>1</v>
      </c>
      <c r="Q8" s="51" t="s">
        <v>1</v>
      </c>
      <c r="R8" s="33" t="s">
        <v>1</v>
      </c>
      <c r="S8" s="51" t="s">
        <v>1</v>
      </c>
      <c r="T8" s="33" t="s">
        <v>1</v>
      </c>
      <c r="U8" s="51" t="s">
        <v>1</v>
      </c>
      <c r="V8" s="33" t="s">
        <v>1</v>
      </c>
      <c r="W8" s="51" t="s">
        <v>1</v>
      </c>
      <c r="X8" s="34" t="s">
        <v>1</v>
      </c>
      <c r="Y8" s="35" t="s">
        <v>1</v>
      </c>
      <c r="Z8" s="33" t="s">
        <v>1</v>
      </c>
      <c r="AA8" s="35" t="s">
        <v>1</v>
      </c>
      <c r="AB8" s="33" t="s">
        <v>1</v>
      </c>
      <c r="AC8" s="35" t="s">
        <v>1</v>
      </c>
      <c r="AD8" s="33" t="s">
        <v>1</v>
      </c>
      <c r="AE8" s="35" t="s">
        <v>1</v>
      </c>
      <c r="AF8" s="45" t="s">
        <v>1</v>
      </c>
      <c r="AG8" s="70" t="s">
        <v>1</v>
      </c>
      <c r="AH8" s="45" t="s">
        <v>1</v>
      </c>
      <c r="AI8" s="70" t="s">
        <v>1</v>
      </c>
      <c r="AJ8" s="45" t="s">
        <v>1</v>
      </c>
      <c r="AK8" s="70" t="s">
        <v>1</v>
      </c>
      <c r="AL8" s="45" t="s">
        <v>1</v>
      </c>
      <c r="AM8" s="70" t="s">
        <v>1</v>
      </c>
      <c r="AN8" s="45" t="s">
        <v>1</v>
      </c>
      <c r="AO8" s="70" t="s">
        <v>1</v>
      </c>
    </row>
    <row r="9" spans="1:41" ht="6.95" customHeight="1" x14ac:dyDescent="0.25">
      <c r="A9" s="73">
        <v>9</v>
      </c>
      <c r="B9" s="25" t="s">
        <v>131</v>
      </c>
      <c r="C9" s="43" t="s">
        <v>172</v>
      </c>
      <c r="D9" s="44" t="s">
        <v>129</v>
      </c>
      <c r="E9" s="72" t="s">
        <v>130</v>
      </c>
      <c r="F9" s="44" t="s">
        <v>137</v>
      </c>
      <c r="G9" s="72" t="s">
        <v>133</v>
      </c>
      <c r="H9" s="33" t="s">
        <v>95</v>
      </c>
      <c r="I9" s="35" t="s">
        <v>202</v>
      </c>
      <c r="J9" s="34" t="s">
        <v>1</v>
      </c>
      <c r="K9" s="35" t="s">
        <v>1</v>
      </c>
      <c r="L9" s="34" t="s">
        <v>1</v>
      </c>
      <c r="M9" s="51" t="s">
        <v>1</v>
      </c>
      <c r="N9" s="34" t="s">
        <v>1</v>
      </c>
      <c r="O9" s="51" t="s">
        <v>1</v>
      </c>
      <c r="P9" s="34" t="s">
        <v>1</v>
      </c>
      <c r="Q9" s="51" t="s">
        <v>1</v>
      </c>
      <c r="R9" s="33" t="s">
        <v>1</v>
      </c>
      <c r="S9" s="51" t="s">
        <v>1</v>
      </c>
      <c r="T9" s="33" t="s">
        <v>1</v>
      </c>
      <c r="U9" s="51" t="s">
        <v>1</v>
      </c>
      <c r="V9" s="33" t="s">
        <v>1</v>
      </c>
      <c r="W9" s="51" t="s">
        <v>1</v>
      </c>
      <c r="X9" s="34" t="s">
        <v>1</v>
      </c>
      <c r="Y9" s="35" t="s">
        <v>1</v>
      </c>
      <c r="Z9" s="33" t="s">
        <v>1</v>
      </c>
      <c r="AA9" s="35" t="s">
        <v>1</v>
      </c>
      <c r="AB9" s="33" t="s">
        <v>1</v>
      </c>
      <c r="AC9" s="35" t="s">
        <v>1</v>
      </c>
      <c r="AD9" s="33" t="s">
        <v>1</v>
      </c>
      <c r="AE9" s="35" t="s">
        <v>1</v>
      </c>
      <c r="AF9" s="45" t="s">
        <v>1</v>
      </c>
      <c r="AG9" s="70" t="s">
        <v>1</v>
      </c>
      <c r="AH9" s="45" t="s">
        <v>1</v>
      </c>
      <c r="AI9" s="70" t="s">
        <v>1</v>
      </c>
      <c r="AJ9" s="45" t="s">
        <v>1</v>
      </c>
      <c r="AK9" s="70" t="s">
        <v>1</v>
      </c>
      <c r="AL9" s="45" t="s">
        <v>1</v>
      </c>
      <c r="AM9" s="70" t="s">
        <v>1</v>
      </c>
      <c r="AN9" s="45" t="s">
        <v>1</v>
      </c>
      <c r="AO9" s="70" t="s">
        <v>1</v>
      </c>
    </row>
    <row r="10" spans="1:41" ht="6.95" customHeight="1" x14ac:dyDescent="0.25">
      <c r="A10" s="73">
        <v>10</v>
      </c>
      <c r="B10" s="25" t="s">
        <v>132</v>
      </c>
      <c r="C10" s="43" t="s">
        <v>172</v>
      </c>
      <c r="D10" s="44" t="s">
        <v>129</v>
      </c>
      <c r="E10" s="72" t="s">
        <v>130</v>
      </c>
      <c r="F10" s="44" t="s">
        <v>137</v>
      </c>
      <c r="G10" s="72" t="s">
        <v>188</v>
      </c>
      <c r="H10" s="33" t="s">
        <v>95</v>
      </c>
      <c r="I10" s="35" t="s">
        <v>203</v>
      </c>
      <c r="J10" s="34" t="s">
        <v>1</v>
      </c>
      <c r="K10" s="35" t="s">
        <v>1</v>
      </c>
      <c r="L10" s="34" t="s">
        <v>1</v>
      </c>
      <c r="M10" s="51" t="s">
        <v>1</v>
      </c>
      <c r="N10" s="34" t="s">
        <v>1</v>
      </c>
      <c r="O10" s="51" t="s">
        <v>1</v>
      </c>
      <c r="P10" s="34" t="s">
        <v>1</v>
      </c>
      <c r="Q10" s="51" t="s">
        <v>1</v>
      </c>
      <c r="R10" s="33" t="s">
        <v>1</v>
      </c>
      <c r="S10" s="51" t="s">
        <v>1</v>
      </c>
      <c r="T10" s="33" t="s">
        <v>1</v>
      </c>
      <c r="U10" s="51" t="s">
        <v>1</v>
      </c>
      <c r="V10" s="33" t="s">
        <v>1</v>
      </c>
      <c r="W10" s="51" t="s">
        <v>1</v>
      </c>
      <c r="X10" s="34" t="s">
        <v>1</v>
      </c>
      <c r="Y10" s="35" t="s">
        <v>1</v>
      </c>
      <c r="Z10" s="33" t="s">
        <v>1</v>
      </c>
      <c r="AA10" s="35" t="s">
        <v>1</v>
      </c>
      <c r="AB10" s="33" t="s">
        <v>1</v>
      </c>
      <c r="AC10" s="35" t="s">
        <v>1</v>
      </c>
      <c r="AD10" s="33" t="s">
        <v>1</v>
      </c>
      <c r="AE10" s="35" t="s">
        <v>1</v>
      </c>
      <c r="AF10" s="45" t="s">
        <v>1</v>
      </c>
      <c r="AG10" s="70" t="s">
        <v>1</v>
      </c>
      <c r="AH10" s="45" t="s">
        <v>1</v>
      </c>
      <c r="AI10" s="70" t="s">
        <v>1</v>
      </c>
      <c r="AJ10" s="45" t="s">
        <v>1</v>
      </c>
      <c r="AK10" s="70" t="s">
        <v>1</v>
      </c>
      <c r="AL10" s="45" t="s">
        <v>1</v>
      </c>
      <c r="AM10" s="70" t="s">
        <v>1</v>
      </c>
      <c r="AN10" s="45" t="s">
        <v>1</v>
      </c>
      <c r="AO10" s="70" t="s">
        <v>1</v>
      </c>
    </row>
    <row r="11" spans="1:41" ht="6.95" customHeight="1" x14ac:dyDescent="0.25">
      <c r="A11" s="73">
        <v>11</v>
      </c>
      <c r="B11" s="25" t="s">
        <v>193</v>
      </c>
      <c r="C11" s="43" t="s">
        <v>171</v>
      </c>
      <c r="D11" s="45" t="s">
        <v>1</v>
      </c>
      <c r="E11" s="71" t="s">
        <v>1</v>
      </c>
      <c r="F11" s="45" t="s">
        <v>1</v>
      </c>
      <c r="G11" s="71" t="s">
        <v>1</v>
      </c>
      <c r="H11" s="33" t="s">
        <v>95</v>
      </c>
      <c r="I11" s="35" t="s">
        <v>190</v>
      </c>
      <c r="J11" s="34" t="s">
        <v>1</v>
      </c>
      <c r="K11" s="35" t="s">
        <v>1</v>
      </c>
      <c r="L11" s="34" t="s">
        <v>1</v>
      </c>
      <c r="M11" s="51" t="s">
        <v>1</v>
      </c>
      <c r="N11" s="34" t="s">
        <v>1</v>
      </c>
      <c r="O11" s="51" t="s">
        <v>1</v>
      </c>
      <c r="P11" s="34" t="s">
        <v>1</v>
      </c>
      <c r="Q11" s="51" t="s">
        <v>1</v>
      </c>
      <c r="R11" s="33" t="s">
        <v>1</v>
      </c>
      <c r="S11" s="51" t="s">
        <v>1</v>
      </c>
      <c r="T11" s="33" t="s">
        <v>1</v>
      </c>
      <c r="U11" s="51" t="s">
        <v>1</v>
      </c>
      <c r="V11" s="33" t="s">
        <v>1</v>
      </c>
      <c r="W11" s="51" t="s">
        <v>1</v>
      </c>
      <c r="X11" s="34" t="s">
        <v>1</v>
      </c>
      <c r="Y11" s="35" t="s">
        <v>1</v>
      </c>
      <c r="Z11" s="33" t="s">
        <v>1</v>
      </c>
      <c r="AA11" s="35" t="s">
        <v>1</v>
      </c>
      <c r="AB11" s="33" t="s">
        <v>1</v>
      </c>
      <c r="AC11" s="35" t="s">
        <v>1</v>
      </c>
      <c r="AD11" s="33" t="s">
        <v>1</v>
      </c>
      <c r="AE11" s="35" t="s">
        <v>1</v>
      </c>
      <c r="AF11" s="45" t="s">
        <v>1</v>
      </c>
      <c r="AG11" s="70" t="s">
        <v>1</v>
      </c>
      <c r="AH11" s="45" t="s">
        <v>1</v>
      </c>
      <c r="AI11" s="70" t="s">
        <v>1</v>
      </c>
      <c r="AJ11" s="45" t="s">
        <v>1</v>
      </c>
      <c r="AK11" s="70" t="s">
        <v>1</v>
      </c>
      <c r="AL11" s="45" t="s">
        <v>1</v>
      </c>
      <c r="AM11" s="70" t="s">
        <v>1</v>
      </c>
      <c r="AN11" s="45" t="s">
        <v>1</v>
      </c>
      <c r="AO11" s="70" t="s">
        <v>1</v>
      </c>
    </row>
    <row r="12" spans="1:41" ht="6.95" customHeight="1" x14ac:dyDescent="0.25">
      <c r="A12" s="73">
        <v>12</v>
      </c>
      <c r="B12" s="25" t="s">
        <v>194</v>
      </c>
      <c r="C12" s="43" t="s">
        <v>171</v>
      </c>
      <c r="D12" s="45" t="s">
        <v>1</v>
      </c>
      <c r="E12" s="71" t="s">
        <v>1</v>
      </c>
      <c r="F12" s="45" t="s">
        <v>1</v>
      </c>
      <c r="G12" s="71" t="s">
        <v>1</v>
      </c>
      <c r="H12" s="33" t="s">
        <v>95</v>
      </c>
      <c r="I12" s="35" t="s">
        <v>204</v>
      </c>
      <c r="J12" s="34" t="s">
        <v>1</v>
      </c>
      <c r="K12" s="35" t="s">
        <v>1</v>
      </c>
      <c r="L12" s="34" t="s">
        <v>1</v>
      </c>
      <c r="M12" s="51" t="s">
        <v>1</v>
      </c>
      <c r="N12" s="34" t="s">
        <v>1</v>
      </c>
      <c r="O12" s="51" t="s">
        <v>1</v>
      </c>
      <c r="P12" s="34" t="s">
        <v>1</v>
      </c>
      <c r="Q12" s="51" t="s">
        <v>1</v>
      </c>
      <c r="R12" s="33" t="s">
        <v>1</v>
      </c>
      <c r="S12" s="51" t="s">
        <v>1</v>
      </c>
      <c r="T12" s="33" t="s">
        <v>1</v>
      </c>
      <c r="U12" s="51" t="s">
        <v>1</v>
      </c>
      <c r="V12" s="33" t="s">
        <v>1</v>
      </c>
      <c r="W12" s="51" t="s">
        <v>1</v>
      </c>
      <c r="X12" s="34" t="s">
        <v>195</v>
      </c>
      <c r="Y12" s="35" t="s">
        <v>196</v>
      </c>
      <c r="Z12" s="33" t="s">
        <v>1</v>
      </c>
      <c r="AA12" s="35" t="s">
        <v>1</v>
      </c>
      <c r="AB12" s="33" t="s">
        <v>1</v>
      </c>
      <c r="AC12" s="35" t="s">
        <v>1</v>
      </c>
      <c r="AD12" s="33" t="s">
        <v>1</v>
      </c>
      <c r="AE12" s="35" t="s">
        <v>1</v>
      </c>
      <c r="AF12" s="45" t="s">
        <v>1</v>
      </c>
      <c r="AG12" s="70" t="s">
        <v>1</v>
      </c>
      <c r="AH12" s="45" t="s">
        <v>1</v>
      </c>
      <c r="AI12" s="70" t="s">
        <v>1</v>
      </c>
      <c r="AJ12" s="45" t="s">
        <v>1</v>
      </c>
      <c r="AK12" s="70" t="s">
        <v>1</v>
      </c>
      <c r="AL12" s="45" t="s">
        <v>1</v>
      </c>
      <c r="AM12" s="70" t="s">
        <v>1</v>
      </c>
      <c r="AN12" s="45" t="s">
        <v>1</v>
      </c>
      <c r="AO12" s="70" t="s">
        <v>1</v>
      </c>
    </row>
    <row r="13" spans="1:41" ht="6.95" customHeight="1" x14ac:dyDescent="0.25">
      <c r="A13" s="73">
        <v>13</v>
      </c>
      <c r="B13" s="25" t="s">
        <v>191</v>
      </c>
      <c r="C13" s="43" t="s">
        <v>123</v>
      </c>
      <c r="D13" s="45" t="s">
        <v>1</v>
      </c>
      <c r="E13" s="71" t="s">
        <v>1</v>
      </c>
      <c r="F13" s="45" t="s">
        <v>1</v>
      </c>
      <c r="G13" s="71" t="s">
        <v>1</v>
      </c>
      <c r="H13" s="33" t="s">
        <v>95</v>
      </c>
      <c r="I13" s="35" t="s">
        <v>205</v>
      </c>
      <c r="J13" s="34" t="s">
        <v>1</v>
      </c>
      <c r="K13" s="35" t="s">
        <v>1</v>
      </c>
      <c r="L13" s="34" t="s">
        <v>1</v>
      </c>
      <c r="M13" s="51" t="s">
        <v>1</v>
      </c>
      <c r="N13" s="34" t="s">
        <v>1</v>
      </c>
      <c r="O13" s="51" t="s">
        <v>1</v>
      </c>
      <c r="P13" s="34" t="s">
        <v>1</v>
      </c>
      <c r="Q13" s="51" t="s">
        <v>1</v>
      </c>
      <c r="R13" s="33" t="s">
        <v>1</v>
      </c>
      <c r="S13" s="51" t="s">
        <v>1</v>
      </c>
      <c r="T13" s="33" t="s">
        <v>1</v>
      </c>
      <c r="U13" s="51" t="s">
        <v>1</v>
      </c>
      <c r="V13" s="33" t="s">
        <v>1</v>
      </c>
      <c r="W13" s="51" t="s">
        <v>1</v>
      </c>
      <c r="X13" s="34" t="s">
        <v>179</v>
      </c>
      <c r="Y13" s="35">
        <v>90</v>
      </c>
      <c r="Z13" s="33" t="s">
        <v>1</v>
      </c>
      <c r="AA13" s="35" t="s">
        <v>1</v>
      </c>
      <c r="AB13" s="33" t="s">
        <v>1</v>
      </c>
      <c r="AC13" s="35" t="s">
        <v>1</v>
      </c>
      <c r="AD13" s="33" t="s">
        <v>1</v>
      </c>
      <c r="AE13" s="35" t="s">
        <v>1</v>
      </c>
      <c r="AF13" s="45" t="s">
        <v>1</v>
      </c>
      <c r="AG13" s="70" t="s">
        <v>1</v>
      </c>
      <c r="AH13" s="45" t="s">
        <v>1</v>
      </c>
      <c r="AI13" s="70" t="s">
        <v>1</v>
      </c>
      <c r="AJ13" s="45" t="s">
        <v>1</v>
      </c>
      <c r="AK13" s="70" t="s">
        <v>1</v>
      </c>
      <c r="AL13" s="45" t="s">
        <v>1</v>
      </c>
      <c r="AM13" s="70" t="s">
        <v>1</v>
      </c>
      <c r="AN13" s="45" t="s">
        <v>1</v>
      </c>
      <c r="AO13" s="70" t="s">
        <v>1</v>
      </c>
    </row>
    <row r="14" spans="1:41" ht="6.95" customHeight="1" x14ac:dyDescent="0.25">
      <c r="A14" s="73">
        <v>14</v>
      </c>
      <c r="B14" s="25" t="s">
        <v>192</v>
      </c>
      <c r="C14" s="43" t="s">
        <v>123</v>
      </c>
      <c r="D14" s="45" t="s">
        <v>1</v>
      </c>
      <c r="E14" s="71" t="s">
        <v>1</v>
      </c>
      <c r="F14" s="45" t="s">
        <v>1</v>
      </c>
      <c r="G14" s="71" t="s">
        <v>1</v>
      </c>
      <c r="H14" s="33" t="s">
        <v>95</v>
      </c>
      <c r="I14" s="35" t="s">
        <v>206</v>
      </c>
      <c r="J14" s="34" t="s">
        <v>1</v>
      </c>
      <c r="K14" s="35" t="s">
        <v>1</v>
      </c>
      <c r="L14" s="34" t="s">
        <v>1</v>
      </c>
      <c r="M14" s="51" t="s">
        <v>1</v>
      </c>
      <c r="N14" s="34" t="s">
        <v>1</v>
      </c>
      <c r="O14" s="51" t="s">
        <v>1</v>
      </c>
      <c r="P14" s="34" t="s">
        <v>1</v>
      </c>
      <c r="Q14" s="51" t="s">
        <v>1</v>
      </c>
      <c r="R14" s="33" t="s">
        <v>1</v>
      </c>
      <c r="S14" s="51" t="s">
        <v>1</v>
      </c>
      <c r="T14" s="33" t="s">
        <v>1</v>
      </c>
      <c r="U14" s="51" t="s">
        <v>1</v>
      </c>
      <c r="V14" s="33" t="s">
        <v>1</v>
      </c>
      <c r="W14" s="51" t="s">
        <v>1</v>
      </c>
      <c r="X14" s="34" t="s">
        <v>179</v>
      </c>
      <c r="Y14" s="35">
        <v>60</v>
      </c>
      <c r="Z14" s="33" t="s">
        <v>1</v>
      </c>
      <c r="AA14" s="35" t="s">
        <v>1</v>
      </c>
      <c r="AB14" s="33" t="s">
        <v>1</v>
      </c>
      <c r="AC14" s="35" t="s">
        <v>1</v>
      </c>
      <c r="AD14" s="33" t="s">
        <v>1</v>
      </c>
      <c r="AE14" s="35" t="s">
        <v>1</v>
      </c>
      <c r="AF14" s="45" t="s">
        <v>1</v>
      </c>
      <c r="AG14" s="70" t="s">
        <v>1</v>
      </c>
      <c r="AH14" s="45" t="s">
        <v>1</v>
      </c>
      <c r="AI14" s="70" t="s">
        <v>1</v>
      </c>
      <c r="AJ14" s="45" t="s">
        <v>1</v>
      </c>
      <c r="AK14" s="70" t="s">
        <v>1</v>
      </c>
      <c r="AL14" s="45" t="s">
        <v>1</v>
      </c>
      <c r="AM14" s="70" t="s">
        <v>1</v>
      </c>
      <c r="AN14" s="45" t="s">
        <v>1</v>
      </c>
      <c r="AO14" s="70" t="s">
        <v>1</v>
      </c>
    </row>
    <row r="15" spans="1:41" s="69" customFormat="1" ht="7.5" customHeight="1" x14ac:dyDescent="0.2">
      <c r="A15" s="73">
        <v>15</v>
      </c>
      <c r="B15" s="63" t="s">
        <v>236</v>
      </c>
      <c r="C15" s="74" t="s">
        <v>271</v>
      </c>
      <c r="D15" s="45" t="s">
        <v>1</v>
      </c>
      <c r="E15" s="71" t="s">
        <v>1</v>
      </c>
      <c r="F15" s="45" t="s">
        <v>1</v>
      </c>
      <c r="G15" s="71" t="s">
        <v>1</v>
      </c>
      <c r="H15" s="66" t="s">
        <v>95</v>
      </c>
      <c r="I15" s="65" t="s">
        <v>241</v>
      </c>
      <c r="J15" s="34" t="s">
        <v>1</v>
      </c>
      <c r="K15" s="35" t="s">
        <v>1</v>
      </c>
      <c r="L15" s="34" t="s">
        <v>1</v>
      </c>
      <c r="M15" s="51" t="s">
        <v>1</v>
      </c>
      <c r="N15" s="34" t="s">
        <v>1</v>
      </c>
      <c r="O15" s="51" t="s">
        <v>1</v>
      </c>
      <c r="P15" s="34" t="s">
        <v>1</v>
      </c>
      <c r="Q15" s="51" t="s">
        <v>1</v>
      </c>
      <c r="R15" s="33" t="s">
        <v>1</v>
      </c>
      <c r="S15" s="51" t="s">
        <v>1</v>
      </c>
      <c r="T15" s="33" t="s">
        <v>1</v>
      </c>
      <c r="U15" s="51" t="s">
        <v>1</v>
      </c>
      <c r="V15" s="33" t="s">
        <v>1</v>
      </c>
      <c r="W15" s="51" t="s">
        <v>1</v>
      </c>
      <c r="X15" s="33" t="s">
        <v>1</v>
      </c>
      <c r="Y15" s="35" t="s">
        <v>1</v>
      </c>
      <c r="Z15" s="64" t="s">
        <v>237</v>
      </c>
      <c r="AA15" s="65" t="s">
        <v>238</v>
      </c>
      <c r="AB15" s="64" t="s">
        <v>239</v>
      </c>
      <c r="AC15" s="65" t="s">
        <v>240</v>
      </c>
      <c r="AD15" s="67" t="str">
        <f t="shared" ref="AD15:AD19" si="0">IF(AE15="null", "null", "método.revit")</f>
        <v>método.revit</v>
      </c>
      <c r="AE15" s="68" t="s">
        <v>242</v>
      </c>
      <c r="AF15" s="45" t="s">
        <v>1</v>
      </c>
      <c r="AG15" s="70" t="s">
        <v>1</v>
      </c>
      <c r="AH15" s="45" t="s">
        <v>1</v>
      </c>
      <c r="AI15" s="70" t="s">
        <v>1</v>
      </c>
      <c r="AJ15" s="45" t="s">
        <v>1</v>
      </c>
      <c r="AK15" s="70" t="s">
        <v>1</v>
      </c>
      <c r="AL15" s="45" t="s">
        <v>1</v>
      </c>
      <c r="AM15" s="70" t="s">
        <v>1</v>
      </c>
      <c r="AN15" s="45" t="s">
        <v>1</v>
      </c>
      <c r="AO15" s="70" t="s">
        <v>1</v>
      </c>
    </row>
    <row r="16" spans="1:41" s="69" customFormat="1" ht="7.5" customHeight="1" x14ac:dyDescent="0.2">
      <c r="A16" s="73">
        <v>16</v>
      </c>
      <c r="B16" s="63" t="s">
        <v>243</v>
      </c>
      <c r="C16" s="74" t="s">
        <v>271</v>
      </c>
      <c r="D16" s="45" t="s">
        <v>1</v>
      </c>
      <c r="E16" s="71" t="s">
        <v>1</v>
      </c>
      <c r="F16" s="45" t="s">
        <v>1</v>
      </c>
      <c r="G16" s="71" t="s">
        <v>1</v>
      </c>
      <c r="H16" s="66" t="s">
        <v>95</v>
      </c>
      <c r="I16" s="65" t="s">
        <v>245</v>
      </c>
      <c r="J16" s="34" t="s">
        <v>1</v>
      </c>
      <c r="K16" s="35" t="s">
        <v>1</v>
      </c>
      <c r="L16" s="34" t="s">
        <v>1</v>
      </c>
      <c r="M16" s="51" t="s">
        <v>1</v>
      </c>
      <c r="N16" s="34" t="s">
        <v>1</v>
      </c>
      <c r="O16" s="51" t="s">
        <v>1</v>
      </c>
      <c r="P16" s="34" t="s">
        <v>1</v>
      </c>
      <c r="Q16" s="51" t="s">
        <v>1</v>
      </c>
      <c r="R16" s="33" t="s">
        <v>1</v>
      </c>
      <c r="S16" s="51" t="s">
        <v>1</v>
      </c>
      <c r="T16" s="33" t="s">
        <v>1</v>
      </c>
      <c r="U16" s="51" t="s">
        <v>1</v>
      </c>
      <c r="V16" s="33" t="s">
        <v>1</v>
      </c>
      <c r="W16" s="51" t="s">
        <v>1</v>
      </c>
      <c r="X16" s="33" t="s">
        <v>1</v>
      </c>
      <c r="Y16" s="35" t="s">
        <v>1</v>
      </c>
      <c r="Z16" s="64" t="s">
        <v>237</v>
      </c>
      <c r="AA16" s="65" t="s">
        <v>238</v>
      </c>
      <c r="AB16" s="64" t="s">
        <v>239</v>
      </c>
      <c r="AC16" s="65" t="s">
        <v>244</v>
      </c>
      <c r="AD16" s="67" t="str">
        <f t="shared" si="0"/>
        <v>método.revit</v>
      </c>
      <c r="AE16" s="68" t="s">
        <v>246</v>
      </c>
      <c r="AF16" s="45" t="s">
        <v>1</v>
      </c>
      <c r="AG16" s="70" t="s">
        <v>1</v>
      </c>
      <c r="AH16" s="45" t="s">
        <v>1</v>
      </c>
      <c r="AI16" s="70" t="s">
        <v>1</v>
      </c>
      <c r="AJ16" s="45" t="s">
        <v>1</v>
      </c>
      <c r="AK16" s="70" t="s">
        <v>1</v>
      </c>
      <c r="AL16" s="45" t="s">
        <v>1</v>
      </c>
      <c r="AM16" s="70" t="s">
        <v>1</v>
      </c>
      <c r="AN16" s="45" t="s">
        <v>1</v>
      </c>
      <c r="AO16" s="70" t="s">
        <v>1</v>
      </c>
    </row>
    <row r="17" spans="1:41" s="69" customFormat="1" ht="7.5" customHeight="1" x14ac:dyDescent="0.2">
      <c r="A17" s="73">
        <v>17</v>
      </c>
      <c r="B17" s="63" t="s">
        <v>247</v>
      </c>
      <c r="C17" s="74" t="s">
        <v>271</v>
      </c>
      <c r="D17" s="45" t="s">
        <v>1</v>
      </c>
      <c r="E17" s="71" t="s">
        <v>1</v>
      </c>
      <c r="F17" s="45" t="s">
        <v>1</v>
      </c>
      <c r="G17" s="71" t="s">
        <v>1</v>
      </c>
      <c r="H17" s="66" t="s">
        <v>95</v>
      </c>
      <c r="I17" s="65" t="s">
        <v>249</v>
      </c>
      <c r="J17" s="34" t="s">
        <v>1</v>
      </c>
      <c r="K17" s="35" t="s">
        <v>1</v>
      </c>
      <c r="L17" s="34" t="s">
        <v>1</v>
      </c>
      <c r="M17" s="51" t="s">
        <v>1</v>
      </c>
      <c r="N17" s="34" t="s">
        <v>1</v>
      </c>
      <c r="O17" s="51" t="s">
        <v>1</v>
      </c>
      <c r="P17" s="34" t="s">
        <v>1</v>
      </c>
      <c r="Q17" s="51" t="s">
        <v>1</v>
      </c>
      <c r="R17" s="33" t="s">
        <v>1</v>
      </c>
      <c r="S17" s="51" t="s">
        <v>1</v>
      </c>
      <c r="T17" s="33" t="s">
        <v>1</v>
      </c>
      <c r="U17" s="51" t="s">
        <v>1</v>
      </c>
      <c r="V17" s="33" t="s">
        <v>1</v>
      </c>
      <c r="W17" s="51" t="s">
        <v>1</v>
      </c>
      <c r="X17" s="33" t="s">
        <v>1</v>
      </c>
      <c r="Y17" s="35" t="s">
        <v>1</v>
      </c>
      <c r="Z17" s="64" t="s">
        <v>237</v>
      </c>
      <c r="AA17" s="65" t="s">
        <v>238</v>
      </c>
      <c r="AB17" s="64" t="s">
        <v>239</v>
      </c>
      <c r="AC17" s="65" t="s">
        <v>248</v>
      </c>
      <c r="AD17" s="67" t="str">
        <f t="shared" si="0"/>
        <v>método.revit</v>
      </c>
      <c r="AE17" s="68" t="s">
        <v>250</v>
      </c>
      <c r="AF17" s="45" t="s">
        <v>1</v>
      </c>
      <c r="AG17" s="70" t="s">
        <v>1</v>
      </c>
      <c r="AH17" s="45" t="s">
        <v>1</v>
      </c>
      <c r="AI17" s="70" t="s">
        <v>1</v>
      </c>
      <c r="AJ17" s="45" t="s">
        <v>1</v>
      </c>
      <c r="AK17" s="70" t="s">
        <v>1</v>
      </c>
      <c r="AL17" s="45" t="s">
        <v>1</v>
      </c>
      <c r="AM17" s="70" t="s">
        <v>1</v>
      </c>
      <c r="AN17" s="45" t="s">
        <v>1</v>
      </c>
      <c r="AO17" s="70" t="s">
        <v>1</v>
      </c>
    </row>
    <row r="18" spans="1:41" s="69" customFormat="1" ht="7.5" customHeight="1" x14ac:dyDescent="0.2">
      <c r="A18" s="73">
        <v>18</v>
      </c>
      <c r="B18" s="63" t="s">
        <v>251</v>
      </c>
      <c r="C18" s="74" t="s">
        <v>271</v>
      </c>
      <c r="D18" s="45" t="s">
        <v>1</v>
      </c>
      <c r="E18" s="71" t="s">
        <v>1</v>
      </c>
      <c r="F18" s="45" t="s">
        <v>1</v>
      </c>
      <c r="G18" s="71" t="s">
        <v>1</v>
      </c>
      <c r="H18" s="66" t="s">
        <v>95</v>
      </c>
      <c r="I18" s="65" t="s">
        <v>253</v>
      </c>
      <c r="J18" s="34" t="s">
        <v>1</v>
      </c>
      <c r="K18" s="35" t="s">
        <v>1</v>
      </c>
      <c r="L18" s="34" t="s">
        <v>1</v>
      </c>
      <c r="M18" s="51" t="s">
        <v>1</v>
      </c>
      <c r="N18" s="34" t="s">
        <v>1</v>
      </c>
      <c r="O18" s="51" t="s">
        <v>1</v>
      </c>
      <c r="P18" s="34" t="s">
        <v>1</v>
      </c>
      <c r="Q18" s="51" t="s">
        <v>1</v>
      </c>
      <c r="R18" s="33" t="s">
        <v>1</v>
      </c>
      <c r="S18" s="51" t="s">
        <v>1</v>
      </c>
      <c r="T18" s="33" t="s">
        <v>1</v>
      </c>
      <c r="U18" s="51" t="s">
        <v>1</v>
      </c>
      <c r="V18" s="33" t="s">
        <v>1</v>
      </c>
      <c r="W18" s="51" t="s">
        <v>1</v>
      </c>
      <c r="X18" s="33" t="s">
        <v>1</v>
      </c>
      <c r="Y18" s="35" t="s">
        <v>1</v>
      </c>
      <c r="Z18" s="64" t="s">
        <v>237</v>
      </c>
      <c r="AA18" s="65" t="s">
        <v>238</v>
      </c>
      <c r="AB18" s="64" t="s">
        <v>239</v>
      </c>
      <c r="AC18" s="65" t="s">
        <v>252</v>
      </c>
      <c r="AD18" s="67" t="str">
        <f t="shared" si="0"/>
        <v>método.revit</v>
      </c>
      <c r="AE18" s="68" t="s">
        <v>254</v>
      </c>
      <c r="AF18" s="45" t="s">
        <v>1</v>
      </c>
      <c r="AG18" s="70" t="s">
        <v>1</v>
      </c>
      <c r="AH18" s="45" t="s">
        <v>1</v>
      </c>
      <c r="AI18" s="70" t="s">
        <v>1</v>
      </c>
      <c r="AJ18" s="45" t="s">
        <v>1</v>
      </c>
      <c r="AK18" s="70" t="s">
        <v>1</v>
      </c>
      <c r="AL18" s="45" t="s">
        <v>1</v>
      </c>
      <c r="AM18" s="70" t="s">
        <v>1</v>
      </c>
      <c r="AN18" s="45" t="s">
        <v>1</v>
      </c>
      <c r="AO18" s="70" t="s">
        <v>1</v>
      </c>
    </row>
    <row r="19" spans="1:41" s="69" customFormat="1" ht="7.5" customHeight="1" x14ac:dyDescent="0.2">
      <c r="A19" s="73">
        <v>19</v>
      </c>
      <c r="B19" s="63" t="s">
        <v>255</v>
      </c>
      <c r="C19" s="74" t="s">
        <v>271</v>
      </c>
      <c r="D19" s="45" t="s">
        <v>1</v>
      </c>
      <c r="E19" s="71" t="s">
        <v>1</v>
      </c>
      <c r="F19" s="45" t="s">
        <v>1</v>
      </c>
      <c r="G19" s="71" t="s">
        <v>1</v>
      </c>
      <c r="H19" s="66" t="s">
        <v>95</v>
      </c>
      <c r="I19" s="65" t="s">
        <v>257</v>
      </c>
      <c r="J19" s="34" t="s">
        <v>1</v>
      </c>
      <c r="K19" s="35" t="s">
        <v>1</v>
      </c>
      <c r="L19" s="34" t="s">
        <v>1</v>
      </c>
      <c r="M19" s="51" t="s">
        <v>1</v>
      </c>
      <c r="N19" s="34" t="s">
        <v>1</v>
      </c>
      <c r="O19" s="51" t="s">
        <v>1</v>
      </c>
      <c r="P19" s="34" t="s">
        <v>1</v>
      </c>
      <c r="Q19" s="51" t="s">
        <v>1</v>
      </c>
      <c r="R19" s="33" t="s">
        <v>1</v>
      </c>
      <c r="S19" s="51" t="s">
        <v>1</v>
      </c>
      <c r="T19" s="33" t="s">
        <v>1</v>
      </c>
      <c r="U19" s="51" t="s">
        <v>1</v>
      </c>
      <c r="V19" s="33" t="s">
        <v>1</v>
      </c>
      <c r="W19" s="51" t="s">
        <v>1</v>
      </c>
      <c r="X19" s="33" t="s">
        <v>1</v>
      </c>
      <c r="Y19" s="35" t="s">
        <v>1</v>
      </c>
      <c r="Z19" s="64" t="s">
        <v>237</v>
      </c>
      <c r="AA19" s="65" t="s">
        <v>238</v>
      </c>
      <c r="AB19" s="64" t="s">
        <v>239</v>
      </c>
      <c r="AC19" s="65" t="s">
        <v>256</v>
      </c>
      <c r="AD19" s="67" t="str">
        <f t="shared" si="0"/>
        <v>método.revit</v>
      </c>
      <c r="AE19" s="68" t="s">
        <v>258</v>
      </c>
      <c r="AF19" s="45" t="s">
        <v>1</v>
      </c>
      <c r="AG19" s="70" t="s">
        <v>1</v>
      </c>
      <c r="AH19" s="45" t="s">
        <v>1</v>
      </c>
      <c r="AI19" s="70" t="s">
        <v>1</v>
      </c>
      <c r="AJ19" s="45" t="s">
        <v>1</v>
      </c>
      <c r="AK19" s="70" t="s">
        <v>1</v>
      </c>
      <c r="AL19" s="45" t="s">
        <v>1</v>
      </c>
      <c r="AM19" s="70" t="s">
        <v>1</v>
      </c>
      <c r="AN19" s="45" t="s">
        <v>1</v>
      </c>
      <c r="AO19" s="70" t="s">
        <v>1</v>
      </c>
    </row>
  </sheetData>
  <phoneticPr fontId="1" type="noConversion"/>
  <conditionalFormatting sqref="A1:B2 B3:B14 H1:I14 A3:A19">
    <cfRule type="cellIs" dxfId="9" priority="17" operator="equal">
      <formula>"null"</formula>
    </cfRule>
  </conditionalFormatting>
  <conditionalFormatting sqref="B1:B14">
    <cfRule type="duplicateValues" dxfId="8" priority="16"/>
  </conditionalFormatting>
  <conditionalFormatting sqref="B15:B19">
    <cfRule type="duplicateValues" dxfId="7" priority="8"/>
    <cfRule type="duplicateValues" dxfId="6" priority="9"/>
  </conditionalFormatting>
  <conditionalFormatting sqref="AF2:AO19">
    <cfRule type="cellIs" dxfId="5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6A46-58D1-419D-AFD2-969B66B932B3}">
  <sheetPr codeName="Planilha6"/>
  <dimension ref="A1:B15"/>
  <sheetViews>
    <sheetView topLeftCell="A5" zoomScale="205" zoomScaleNormal="205" workbookViewId="0">
      <selection activeCell="B18" sqref="B18"/>
    </sheetView>
  </sheetViews>
  <sheetFormatPr defaultColWidth="11.42578125" defaultRowHeight="8.25" x14ac:dyDescent="0.15"/>
  <cols>
    <col min="1" max="1" width="2.42578125" style="7" bestFit="1" customWidth="1"/>
    <col min="2" max="2" width="61.5703125" style="6" customWidth="1"/>
    <col min="3" max="16384" width="11.42578125" style="6"/>
  </cols>
  <sheetData>
    <row r="1" spans="1:2" ht="18" customHeight="1" x14ac:dyDescent="0.15">
      <c r="A1" s="8">
        <v>1</v>
      </c>
      <c r="B1" s="9" t="s">
        <v>29</v>
      </c>
    </row>
    <row r="2" spans="1:2" ht="33" x14ac:dyDescent="0.15">
      <c r="A2" s="8">
        <v>2</v>
      </c>
      <c r="B2" s="10" t="s">
        <v>24</v>
      </c>
    </row>
    <row r="3" spans="1:2" ht="33" x14ac:dyDescent="0.15">
      <c r="A3" s="8">
        <v>3</v>
      </c>
      <c r="B3" s="10" t="s">
        <v>25</v>
      </c>
    </row>
    <row r="4" spans="1:2" ht="41.25" x14ac:dyDescent="0.15">
      <c r="A4" s="8">
        <v>4</v>
      </c>
      <c r="B4" s="10" t="s">
        <v>26</v>
      </c>
    </row>
    <row r="5" spans="1:2" ht="86.45" customHeight="1" x14ac:dyDescent="0.15">
      <c r="A5" s="8">
        <v>5</v>
      </c>
      <c r="B5" s="10" t="s">
        <v>27</v>
      </c>
    </row>
    <row r="6" spans="1:2" ht="11.25" customHeight="1" x14ac:dyDescent="0.15">
      <c r="A6" s="8">
        <v>6</v>
      </c>
      <c r="B6" s="9" t="s">
        <v>23</v>
      </c>
    </row>
    <row r="7" spans="1:2" ht="11.25" customHeight="1" x14ac:dyDescent="0.15">
      <c r="A7" s="8">
        <v>7</v>
      </c>
      <c r="B7" s="11" t="s">
        <v>28</v>
      </c>
    </row>
    <row r="8" spans="1:2" ht="11.25" customHeight="1" x14ac:dyDescent="0.15">
      <c r="A8" s="8">
        <v>8</v>
      </c>
      <c r="B8" s="10" t="s">
        <v>37</v>
      </c>
    </row>
    <row r="9" spans="1:2" ht="11.25" customHeight="1" x14ac:dyDescent="0.15">
      <c r="A9" s="8">
        <v>9</v>
      </c>
      <c r="B9" s="10" t="s">
        <v>36</v>
      </c>
    </row>
    <row r="10" spans="1:2" ht="11.25" customHeight="1" x14ac:dyDescent="0.15">
      <c r="A10" s="8">
        <v>10</v>
      </c>
      <c r="B10" s="11" t="s">
        <v>35</v>
      </c>
    </row>
    <row r="11" spans="1:2" ht="11.25" customHeight="1" x14ac:dyDescent="0.15">
      <c r="A11" s="8">
        <v>11</v>
      </c>
      <c r="B11" s="11" t="s">
        <v>34</v>
      </c>
    </row>
    <row r="12" spans="1:2" ht="11.25" customHeight="1" x14ac:dyDescent="0.15">
      <c r="A12" s="8">
        <v>12</v>
      </c>
      <c r="B12" s="11" t="s">
        <v>33</v>
      </c>
    </row>
    <row r="13" spans="1:2" ht="11.25" customHeight="1" x14ac:dyDescent="0.15">
      <c r="A13" s="8">
        <v>13</v>
      </c>
      <c r="B13" s="11" t="s">
        <v>32</v>
      </c>
    </row>
    <row r="14" spans="1:2" ht="11.25" customHeight="1" x14ac:dyDescent="0.15">
      <c r="A14" s="8">
        <v>14</v>
      </c>
      <c r="B14" s="11" t="s">
        <v>31</v>
      </c>
    </row>
    <row r="15" spans="1:2" ht="11.25" customHeight="1" x14ac:dyDescent="0.15">
      <c r="A15" s="8">
        <v>15</v>
      </c>
      <c r="B15" s="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Classes</vt:lpstr>
      <vt:lpstr>Disjunt</vt:lpstr>
      <vt:lpstr>Interop</vt:lpstr>
      <vt:lpstr>FatosIn</vt:lpstr>
      <vt:lpstr>ExemplosDL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2026-09-09T12:06:35Z</dcterms:modified>
</cp:coreProperties>
</file>