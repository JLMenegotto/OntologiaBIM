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onstrutor_Onto\PRO\"/>
    </mc:Choice>
  </mc:AlternateContent>
  <xr:revisionPtr revIDLastSave="0" documentId="13_ncr:1_{3041F4EF-866C-4F65-BB50-841073AE8C69}" xr6:coauthVersionLast="47" xr6:coauthVersionMax="47" xr10:uidLastSave="{00000000-0000-0000-0000-000000000000}"/>
  <bookViews>
    <workbookView xWindow="-120" yWindow="-120" windowWidth="24240" windowHeight="13290" activeTab="4" xr2:uid="{6AA21774-678E-47D1-B8DD-6444A2CEB00E}"/>
  </bookViews>
  <sheets>
    <sheet name="Projeto" sheetId="26" r:id="rId1"/>
    <sheet name="Classes" sheetId="31" r:id="rId2"/>
    <sheet name="Disjunt" sheetId="3" r:id="rId3"/>
    <sheet name="Interop" sheetId="27" r:id="rId4"/>
    <sheet name="FatosIn" sheetId="30" r:id="rId5"/>
    <sheet name="ExemplosDL" sheetId="2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1" i="31" l="1"/>
  <c r="X22" i="31"/>
  <c r="X23" i="31"/>
  <c r="X24" i="31"/>
  <c r="X25" i="31"/>
  <c r="V25" i="31"/>
  <c r="U25" i="31"/>
  <c r="T25" i="31"/>
  <c r="O25" i="31"/>
  <c r="N25" i="31"/>
  <c r="M25" i="31"/>
  <c r="L25" i="31"/>
  <c r="V24" i="31"/>
  <c r="U24" i="31"/>
  <c r="T24" i="31"/>
  <c r="O24" i="31"/>
  <c r="N24" i="31"/>
  <c r="M24" i="31"/>
  <c r="L24" i="31"/>
  <c r="V23" i="31"/>
  <c r="U23" i="31"/>
  <c r="T23" i="31"/>
  <c r="O23" i="31"/>
  <c r="N23" i="31"/>
  <c r="M23" i="31"/>
  <c r="L23" i="31"/>
  <c r="V22" i="31"/>
  <c r="U22" i="31"/>
  <c r="T22" i="31"/>
  <c r="O22" i="31"/>
  <c r="N22" i="31"/>
  <c r="M22" i="31"/>
  <c r="L22" i="31"/>
  <c r="V21" i="31"/>
  <c r="U21" i="31"/>
  <c r="T21" i="31"/>
  <c r="O21" i="31"/>
  <c r="N21" i="31"/>
  <c r="M21" i="31"/>
  <c r="L21" i="31"/>
  <c r="L20" i="31"/>
  <c r="M20" i="31"/>
  <c r="N20" i="31"/>
  <c r="O20" i="31"/>
  <c r="T20" i="31"/>
  <c r="U20" i="31"/>
  <c r="V20" i="31"/>
  <c r="X20" i="31"/>
  <c r="AJ67" i="30" l="1"/>
  <c r="AJ66" i="30"/>
  <c r="AJ65" i="30"/>
  <c r="AJ64" i="30"/>
  <c r="AJ63" i="30"/>
  <c r="X2" i="31" l="1"/>
  <c r="X3" i="31"/>
  <c r="X4" i="31"/>
  <c r="X5" i="31"/>
  <c r="X6" i="31"/>
  <c r="X7" i="31"/>
  <c r="X8" i="31"/>
  <c r="X9" i="31"/>
  <c r="X10" i="31"/>
  <c r="X11" i="31"/>
  <c r="X12" i="31"/>
  <c r="X13" i="31"/>
  <c r="X14" i="31"/>
  <c r="X15" i="31"/>
  <c r="X16" i="31"/>
  <c r="X17" i="31"/>
  <c r="X18" i="31"/>
  <c r="X19" i="31"/>
  <c r="Y6" i="30" l="1"/>
  <c r="Y7" i="30"/>
  <c r="Y8" i="30"/>
  <c r="Y9" i="30"/>
  <c r="Y10" i="30"/>
  <c r="Y23" i="30"/>
  <c r="Y24" i="30"/>
  <c r="Y22" i="30"/>
  <c r="Y11" i="30"/>
  <c r="Y13" i="30"/>
  <c r="Y14" i="30"/>
  <c r="Y15" i="30"/>
  <c r="Y12" i="30"/>
  <c r="Y21" i="30"/>
  <c r="Y20" i="30"/>
  <c r="Y19" i="30"/>
  <c r="Y18" i="30"/>
  <c r="B21" i="26"/>
  <c r="B20" i="26"/>
  <c r="V19" i="31" l="1"/>
  <c r="U19" i="31"/>
  <c r="T19" i="31"/>
  <c r="O19" i="31"/>
  <c r="N19" i="31"/>
  <c r="M19" i="31"/>
  <c r="L19" i="31"/>
  <c r="V18" i="31"/>
  <c r="U18" i="31"/>
  <c r="T18" i="31"/>
  <c r="O18" i="31"/>
  <c r="N18" i="31"/>
  <c r="M18" i="31"/>
  <c r="L18" i="31"/>
  <c r="V17" i="31"/>
  <c r="U17" i="31"/>
  <c r="T17" i="31"/>
  <c r="O17" i="31"/>
  <c r="N17" i="31"/>
  <c r="M17" i="31"/>
  <c r="L17" i="31"/>
  <c r="V16" i="31"/>
  <c r="U16" i="31"/>
  <c r="T16" i="31"/>
  <c r="O16" i="31"/>
  <c r="N16" i="31"/>
  <c r="M16" i="31"/>
  <c r="L16" i="31"/>
  <c r="V15" i="31"/>
  <c r="U15" i="31"/>
  <c r="T15" i="31"/>
  <c r="O15" i="31"/>
  <c r="N15" i="31"/>
  <c r="M15" i="31"/>
  <c r="L15" i="31"/>
  <c r="V14" i="31"/>
  <c r="U14" i="31"/>
  <c r="T14" i="31"/>
  <c r="O14" i="31"/>
  <c r="N14" i="31"/>
  <c r="M14" i="31"/>
  <c r="L14" i="31"/>
  <c r="V13" i="31"/>
  <c r="U13" i="31"/>
  <c r="T13" i="31"/>
  <c r="O13" i="31"/>
  <c r="N13" i="31"/>
  <c r="M13" i="31"/>
  <c r="L13" i="31"/>
  <c r="V12" i="31"/>
  <c r="U12" i="31"/>
  <c r="T12" i="31"/>
  <c r="O12" i="31"/>
  <c r="N12" i="31"/>
  <c r="M12" i="31"/>
  <c r="L12" i="31"/>
  <c r="V11" i="31"/>
  <c r="U11" i="31"/>
  <c r="T11" i="31"/>
  <c r="O11" i="31"/>
  <c r="N11" i="31"/>
  <c r="M11" i="31"/>
  <c r="L11" i="31"/>
  <c r="V10" i="31"/>
  <c r="U10" i="31"/>
  <c r="T10" i="31"/>
  <c r="O10" i="31"/>
  <c r="N10" i="31"/>
  <c r="M10" i="31"/>
  <c r="L10" i="31"/>
  <c r="V9" i="31"/>
  <c r="U9" i="31"/>
  <c r="T9" i="31"/>
  <c r="O9" i="31"/>
  <c r="N9" i="31"/>
  <c r="M9" i="31"/>
  <c r="L9" i="31"/>
  <c r="V8" i="31"/>
  <c r="U8" i="31"/>
  <c r="T8" i="31"/>
  <c r="O8" i="31"/>
  <c r="N8" i="31"/>
  <c r="M8" i="31"/>
  <c r="L8" i="31"/>
  <c r="V7" i="31"/>
  <c r="U7" i="31"/>
  <c r="T7" i="31"/>
  <c r="O7" i="31"/>
  <c r="N7" i="31"/>
  <c r="M7" i="31"/>
  <c r="L7" i="31"/>
  <c r="V6" i="31"/>
  <c r="U6" i="31"/>
  <c r="T6" i="31"/>
  <c r="O6" i="31"/>
  <c r="N6" i="31"/>
  <c r="M6" i="31"/>
  <c r="L6" i="31"/>
  <c r="V5" i="31"/>
  <c r="U5" i="31"/>
  <c r="T5" i="31"/>
  <c r="O5" i="31"/>
  <c r="N5" i="31"/>
  <c r="M5" i="31"/>
  <c r="L5" i="31"/>
  <c r="V4" i="31"/>
  <c r="U4" i="31"/>
  <c r="T4" i="31"/>
  <c r="O4" i="31"/>
  <c r="N4" i="31"/>
  <c r="M4" i="31"/>
  <c r="L4" i="31"/>
  <c r="V3" i="31"/>
  <c r="U3" i="31"/>
  <c r="T3" i="31"/>
  <c r="O3" i="31"/>
  <c r="N3" i="31"/>
  <c r="M3" i="31"/>
  <c r="L3" i="31"/>
  <c r="V2" i="31"/>
  <c r="U2" i="31"/>
  <c r="T2" i="31"/>
  <c r="O2" i="31"/>
  <c r="N2" i="31"/>
  <c r="M2" i="31"/>
  <c r="L2" i="31"/>
  <c r="B26" i="26"/>
  <c r="Y3" i="30" l="1"/>
  <c r="Y4" i="30"/>
  <c r="Y5" i="30"/>
  <c r="Y16" i="30"/>
  <c r="Y17" i="30"/>
  <c r="Y2" i="30"/>
  <c r="B18" i="26" l="1"/>
  <c r="B6" i="26" l="1"/>
  <c r="B5" i="26"/>
</calcChain>
</file>

<file path=xl/sharedStrings.xml><?xml version="1.0" encoding="utf-8"?>
<sst xmlns="http://schemas.openxmlformats.org/spreadsheetml/2006/main" count="3702" uniqueCount="443">
  <si>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</si>
  <si>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</si>
  <si>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</si>
  <si>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</si>
  <si>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</si>
  <si>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</si>
  <si>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</si>
  <si>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</si>
  <si>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</si>
  <si>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</si>
  <si>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</si>
  <si>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</si>
  <si>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</si>
  <si>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</si>
  <si>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</si>
  <si>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</si>
  <si>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</si>
  <si>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</si>
  <si>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</si>
  <si>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</si>
  <si>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</si>
  <si>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</si>
  <si>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</si>
  <si>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 xml:space="preserve">Exemplos de DL Queries </t>
  </si>
  <si>
    <r>
      <t xml:space="preserve">Class: </t>
    </r>
    <r>
      <rPr>
        <b/>
        <sz val="6"/>
        <color rgb="FFFFC000"/>
        <rFont val="Arial Nova Cond"/>
        <family val="2"/>
      </rPr>
      <t>Classe</t>
    </r>
    <r>
      <rPr>
        <sz val="6"/>
        <color theme="1"/>
        <rFont val="Arial Nova Cond"/>
        <family val="2"/>
      </rPr>
      <t xml:space="preserve">
    Annotations:  rdfs:comment  "Texto explicativo do Conceito em Português (@pt) "@pt</t>
    </r>
    <r>
      <rPr>
        <b/>
        <sz val="6"/>
        <color theme="1"/>
        <rFont val="Arial Nova Cond"/>
        <family val="2"/>
      </rPr>
      <t>,</t>
    </r>
    <r>
      <rPr>
        <sz val="6"/>
        <color theme="1"/>
        <rFont val="Arial Nova Cond"/>
        <family val="2"/>
      </rPr>
      <t xml:space="preserve">
                        rdfs:label         "Etiquetagem"@pt
    EquivalentTo:</t>
    </r>
    <r>
      <rPr>
        <b/>
        <sz val="6"/>
        <color rgb="FFFFC000"/>
        <rFont val="Arial Nova Cond"/>
        <family val="2"/>
      </rPr>
      <t xml:space="preserve"> ClasseDominio</t>
    </r>
    <r>
      <rPr>
        <sz val="6"/>
        <color theme="1"/>
        <rFont val="Arial Nova Cond"/>
        <family val="2"/>
      </rPr>
      <t xml:space="preserve"> </t>
    </r>
    <r>
      <rPr>
        <sz val="6"/>
        <color theme="8"/>
        <rFont val="Arial Nova Cond"/>
        <family val="2"/>
      </rPr>
      <t>and</t>
    </r>
    <r>
      <rPr>
        <sz val="6"/>
        <color theme="1"/>
        <rFont val="Arial Nova Cond"/>
        <family val="2"/>
      </rPr>
      <t xml:space="preserve"> ( { </t>
    </r>
    <r>
      <rPr>
        <b/>
        <sz val="6"/>
        <color rgb="FFFF99FF"/>
        <rFont val="Arial Nova Cond"/>
        <family val="2"/>
      </rPr>
      <t>Individuo1</t>
    </r>
    <r>
      <rPr>
        <sz val="6"/>
        <color theme="1"/>
        <rFont val="Arial Nova Cond"/>
        <family val="2"/>
      </rPr>
      <t xml:space="preserve"> ,  </t>
    </r>
    <r>
      <rPr>
        <b/>
        <sz val="6"/>
        <color rgb="FFFF99FF"/>
        <rFont val="Arial Nova Cond"/>
        <family val="2"/>
      </rPr>
      <t>Individuo2</t>
    </r>
    <r>
      <rPr>
        <sz val="6"/>
        <color theme="1"/>
        <rFont val="Arial Nova Cond"/>
        <family val="2"/>
      </rPr>
      <t xml:space="preserve"> ,  </t>
    </r>
    <r>
      <rPr>
        <b/>
        <sz val="6"/>
        <color rgb="FFFF99FF"/>
        <rFont val="Arial Nova Cond"/>
        <family val="2"/>
      </rPr>
      <t>Individuo3</t>
    </r>
    <r>
      <rPr>
        <sz val="6"/>
        <color theme="1"/>
        <rFont val="Arial Nova Cond"/>
        <family val="2"/>
      </rPr>
      <t xml:space="preserve"> , </t>
    </r>
    <r>
      <rPr>
        <b/>
        <sz val="6"/>
        <color rgb="FFFF99FF"/>
        <rFont val="Arial Nova Cond"/>
        <family val="2"/>
      </rPr>
      <t>Individuo4</t>
    </r>
    <r>
      <rPr>
        <sz val="6"/>
        <color theme="1"/>
        <rFont val="Arial Nova Cond"/>
        <family val="2"/>
      </rPr>
      <t xml:space="preserve"> } )</t>
    </r>
  </si>
  <si>
    <r>
      <t xml:space="preserve">Class: </t>
    </r>
    <r>
      <rPr>
        <b/>
        <sz val="6"/>
        <color rgb="FFFFC000"/>
        <rFont val="Arial Nova Cond"/>
        <family val="2"/>
      </rPr>
      <t>Classe.B</t>
    </r>
    <r>
      <rPr>
        <sz val="6"/>
        <color theme="1"/>
        <rFont val="Arial Nova Cond"/>
        <family val="2"/>
      </rPr>
      <t xml:space="preserve">
    Annotations:  rdfs:label "Explicação da classe"@pt
    SubClassOf:  </t>
    </r>
    <r>
      <rPr>
        <b/>
        <sz val="6"/>
        <color rgb="FFFFC000"/>
        <rFont val="Arial Nova Cond"/>
        <family val="2"/>
      </rPr>
      <t>Classe.A</t>
    </r>
    <r>
      <rPr>
        <sz val="6"/>
        <color theme="1"/>
        <rFont val="Arial Nova Cond"/>
        <family val="2"/>
      </rPr>
      <t xml:space="preserve">,
                       </t>
    </r>
    <r>
      <rPr>
        <b/>
        <sz val="6"/>
        <color theme="4"/>
        <rFont val="Arial Nova Cond"/>
        <family val="2"/>
      </rPr>
      <t>objprop01</t>
    </r>
    <r>
      <rPr>
        <sz val="6"/>
        <color theme="1"/>
        <rFont val="Arial Nova Cond"/>
        <family val="2"/>
      </rPr>
      <t xml:space="preserve"> </t>
    </r>
    <r>
      <rPr>
        <sz val="6"/>
        <color rgb="FF00B0F0"/>
        <rFont val="Arial Nova Cond"/>
        <family val="2"/>
      </rPr>
      <t>value</t>
    </r>
    <r>
      <rPr>
        <sz val="6"/>
        <color theme="1"/>
        <rFont val="Arial Nova Cond"/>
        <family val="2"/>
      </rPr>
      <t xml:space="preserve"> </t>
    </r>
    <r>
      <rPr>
        <b/>
        <sz val="6"/>
        <color rgb="FFFF99FF"/>
        <rFont val="Arial Nova Cond"/>
        <family val="2"/>
      </rPr>
      <t>Individuo</t>
    </r>
  </si>
  <si>
    <r>
      <t xml:space="preserve">Class: </t>
    </r>
    <r>
      <rPr>
        <b/>
        <sz val="6"/>
        <color rgb="FFFFC000"/>
        <rFont val="Arial Nova Cond"/>
        <family val="2"/>
      </rPr>
      <t>Classe.B</t>
    </r>
    <r>
      <rPr>
        <sz val="6"/>
        <color theme="1"/>
        <rFont val="Arial Nova Cond"/>
        <family val="2"/>
      </rPr>
      <t xml:space="preserve">
    Annotations:  rdfs:label "Explicação da Classe B"@pt
    SubClassOf:  </t>
    </r>
    <r>
      <rPr>
        <b/>
        <sz val="6"/>
        <color rgb="FFFFC000"/>
        <rFont val="Arial Nova Cond"/>
        <family val="2"/>
      </rPr>
      <t xml:space="preserve">Classe.A </t>
    </r>
    <r>
      <rPr>
        <sz val="6"/>
        <color theme="1"/>
        <rFont val="Arial Nova Cond"/>
        <family val="2"/>
      </rPr>
      <t xml:space="preserve">,
                       </t>
    </r>
    <r>
      <rPr>
        <b/>
        <sz val="6"/>
        <color theme="8" tint="-0.249977111117893"/>
        <rFont val="Arial Nova Cond"/>
        <family val="2"/>
      </rPr>
      <t>objprop01</t>
    </r>
    <r>
      <rPr>
        <sz val="6"/>
        <color theme="1"/>
        <rFont val="Arial Nova Cond"/>
        <family val="2"/>
      </rPr>
      <t xml:space="preserve"> </t>
    </r>
    <r>
      <rPr>
        <sz val="6"/>
        <color rgb="FF00B0F0"/>
        <rFont val="Arial Nova Cond"/>
        <family val="2"/>
      </rPr>
      <t>only</t>
    </r>
    <r>
      <rPr>
        <sz val="6"/>
        <color theme="1"/>
        <rFont val="Arial Nova Cond"/>
        <family val="2"/>
      </rPr>
      <t xml:space="preserve"> </t>
    </r>
    <r>
      <rPr>
        <sz val="6"/>
        <color rgb="FFFFC000"/>
        <rFont val="Arial Nova Cond"/>
        <family val="2"/>
      </rPr>
      <t>Classe.C</t>
    </r>
    <r>
      <rPr>
        <b/>
        <sz val="6"/>
        <color rgb="FFFFC000"/>
        <rFont val="Arial Nova Cond"/>
        <family val="2"/>
      </rPr>
      <t xml:space="preserve"> </t>
    </r>
    <r>
      <rPr>
        <b/>
        <sz val="6"/>
        <color theme="1"/>
        <rFont val="Arial Nova Cond"/>
        <family val="2"/>
      </rPr>
      <t>,</t>
    </r>
    <r>
      <rPr>
        <sz val="6"/>
        <color theme="1"/>
        <rFont val="Arial Nova Cond"/>
        <family val="2"/>
      </rPr>
      <t xml:space="preserve">
                       </t>
    </r>
    <r>
      <rPr>
        <b/>
        <sz val="6"/>
        <color theme="8" tint="-0.249977111117893"/>
        <rFont val="Arial Nova Cond"/>
        <family val="2"/>
      </rPr>
      <t>objprop02</t>
    </r>
    <r>
      <rPr>
        <sz val="6"/>
        <color theme="1"/>
        <rFont val="Arial Nova Cond"/>
        <family val="2"/>
      </rPr>
      <t xml:space="preserve"> </t>
    </r>
    <r>
      <rPr>
        <sz val="6"/>
        <color rgb="FF00B0F0"/>
        <rFont val="Arial Nova Cond"/>
        <family val="2"/>
      </rPr>
      <t>value</t>
    </r>
    <r>
      <rPr>
        <sz val="6"/>
        <color theme="1"/>
        <rFont val="Arial Nova Cond"/>
        <family val="2"/>
      </rPr>
      <t xml:space="preserve"> </t>
    </r>
    <r>
      <rPr>
        <b/>
        <sz val="6"/>
        <color rgb="FFFF99FF"/>
        <rFont val="Arial Nova Cond"/>
        <family val="2"/>
      </rPr>
      <t>Individuo</t>
    </r>
  </si>
  <si>
    <r>
      <t xml:space="preserve">Class: </t>
    </r>
    <r>
      <rPr>
        <b/>
        <sz val="6"/>
        <color rgb="FFFFC000"/>
        <rFont val="Arial Nova Cond"/>
        <family val="2"/>
      </rPr>
      <t>Classe.B</t>
    </r>
    <r>
      <rPr>
        <sz val="6"/>
        <color theme="1"/>
        <rFont val="Arial Nova Cond"/>
        <family val="2"/>
      </rPr>
      <t xml:space="preserve">
    Annotations:  rdfs:label "Explicação da classe"@pt
    SubClassOf:  </t>
    </r>
    <r>
      <rPr>
        <b/>
        <sz val="6"/>
        <color rgb="FFFFC000"/>
        <rFont val="Arial Nova Cond"/>
        <family val="2"/>
      </rPr>
      <t>Classe.A</t>
    </r>
    <r>
      <rPr>
        <sz val="6"/>
        <color theme="1"/>
        <rFont val="Arial Nova Cond"/>
        <family val="2"/>
      </rPr>
      <t xml:space="preserve">,
                       </t>
    </r>
    <r>
      <rPr>
        <b/>
        <sz val="6"/>
        <color theme="4"/>
        <rFont val="Arial Nova Cond"/>
        <family val="2"/>
      </rPr>
      <t>objprop01</t>
    </r>
    <r>
      <rPr>
        <sz val="6"/>
        <color theme="1"/>
        <rFont val="Arial Nova Cond"/>
        <family val="2"/>
      </rPr>
      <t xml:space="preserve"> </t>
    </r>
    <r>
      <rPr>
        <sz val="6"/>
        <color rgb="FF00B0F0"/>
        <rFont val="Arial Nova Cond"/>
        <family val="2"/>
      </rPr>
      <t>some</t>
    </r>
    <r>
      <rPr>
        <sz val="6"/>
        <color theme="1"/>
        <rFont val="Arial Nova Cond"/>
        <family val="2"/>
      </rPr>
      <t xml:space="preserve"> </t>
    </r>
    <r>
      <rPr>
        <sz val="6"/>
        <color rgb="FFFFC000"/>
        <rFont val="Arial Nova Cond"/>
        <family val="2"/>
      </rPr>
      <t xml:space="preserve">Classe.C </t>
    </r>
    <r>
      <rPr>
        <b/>
        <sz val="6"/>
        <color theme="1"/>
        <rFont val="Arial Nova Cond"/>
        <family val="2"/>
      </rPr>
      <t>,</t>
    </r>
    <r>
      <rPr>
        <sz val="6"/>
        <color theme="1"/>
        <rFont val="Arial Nova Cond"/>
        <family val="2"/>
      </rPr>
      <t xml:space="preserve">
                       </t>
    </r>
    <r>
      <rPr>
        <b/>
        <sz val="6"/>
        <color theme="4"/>
        <rFont val="Arial Nova Cond"/>
        <family val="2"/>
      </rPr>
      <t>objprop01</t>
    </r>
    <r>
      <rPr>
        <sz val="6"/>
        <color theme="1"/>
        <rFont val="Arial Nova Cond"/>
        <family val="2"/>
      </rPr>
      <t xml:space="preserve"> </t>
    </r>
    <r>
      <rPr>
        <sz val="6"/>
        <color rgb="FF00B0F0"/>
        <rFont val="Arial Nova Cond"/>
        <family val="2"/>
      </rPr>
      <t>some</t>
    </r>
    <r>
      <rPr>
        <sz val="6"/>
        <color theme="1"/>
        <rFont val="Arial Nova Cond"/>
        <family val="2"/>
      </rPr>
      <t xml:space="preserve"> </t>
    </r>
    <r>
      <rPr>
        <sz val="6"/>
        <color rgb="FFFFC000"/>
        <rFont val="Arial Nova Cond"/>
        <family val="2"/>
      </rPr>
      <t>Classe.D</t>
    </r>
    <r>
      <rPr>
        <b/>
        <sz val="6"/>
        <color rgb="FFFFC000"/>
        <rFont val="Arial Nova Cond"/>
        <family val="2"/>
      </rPr>
      <t xml:space="preserve"> </t>
    </r>
    <r>
      <rPr>
        <b/>
        <sz val="6"/>
        <color theme="1"/>
        <rFont val="Arial Nova Cond"/>
        <family val="2"/>
      </rPr>
      <t>,</t>
    </r>
    <r>
      <rPr>
        <sz val="6"/>
        <color theme="1"/>
        <rFont val="Arial Nova Cond"/>
        <family val="2"/>
      </rPr>
      <t xml:space="preserve">
                       </t>
    </r>
    <r>
      <rPr>
        <b/>
        <sz val="6"/>
        <color theme="4"/>
        <rFont val="Arial Nova Cond"/>
        <family val="2"/>
      </rPr>
      <t>objprop01</t>
    </r>
    <r>
      <rPr>
        <sz val="6"/>
        <color theme="1"/>
        <rFont val="Arial Nova Cond"/>
        <family val="2"/>
      </rPr>
      <t xml:space="preserve"> </t>
    </r>
    <r>
      <rPr>
        <sz val="6"/>
        <color rgb="FF00B0F0"/>
        <rFont val="Arial Nova Cond"/>
        <family val="2"/>
      </rPr>
      <t>only</t>
    </r>
    <r>
      <rPr>
        <sz val="6"/>
        <color theme="1"/>
        <rFont val="Arial Nova Cond"/>
        <family val="2"/>
      </rPr>
      <t xml:space="preserve"> ( </t>
    </r>
    <r>
      <rPr>
        <sz val="6"/>
        <color rgb="FFFFC000"/>
        <rFont val="Arial Nova Cond"/>
        <family val="2"/>
      </rPr>
      <t>Classe.C</t>
    </r>
    <r>
      <rPr>
        <sz val="6"/>
        <color theme="1"/>
        <rFont val="Arial Nova Cond"/>
        <family val="2"/>
      </rPr>
      <t xml:space="preserve"> </t>
    </r>
    <r>
      <rPr>
        <sz val="6"/>
        <color rgb="FF00B0F0"/>
        <rFont val="Arial Nova Cond"/>
        <family val="2"/>
      </rPr>
      <t>or</t>
    </r>
    <r>
      <rPr>
        <sz val="6"/>
        <color theme="1"/>
        <rFont val="Arial Nova Cond"/>
        <family val="2"/>
      </rPr>
      <t xml:space="preserve"> </t>
    </r>
    <r>
      <rPr>
        <sz val="6"/>
        <color rgb="FFFFC000"/>
        <rFont val="Arial Nova Cond"/>
        <family val="2"/>
      </rPr>
      <t>Classe.D</t>
    </r>
    <r>
      <rPr>
        <sz val="6"/>
        <color theme="1"/>
        <rFont val="Arial Nova Cond"/>
        <family val="2"/>
      </rPr>
      <t xml:space="preserve"> ) </t>
    </r>
    <r>
      <rPr>
        <b/>
        <sz val="6"/>
        <color theme="1"/>
        <rFont val="Arial Nova Cond"/>
        <family val="2"/>
      </rPr>
      <t>,</t>
    </r>
    <r>
      <rPr>
        <sz val="6"/>
        <color theme="1"/>
        <rFont val="Arial Nova Cond"/>
        <family val="2"/>
      </rPr>
      <t xml:space="preserve">
                       </t>
    </r>
    <r>
      <rPr>
        <b/>
        <sz val="6"/>
        <color theme="4"/>
        <rFont val="Arial Nova Cond"/>
        <family val="2"/>
      </rPr>
      <t>objprop02</t>
    </r>
    <r>
      <rPr>
        <sz val="6"/>
        <color theme="1"/>
        <rFont val="Arial Nova Cond"/>
        <family val="2"/>
      </rPr>
      <t xml:space="preserve"> </t>
    </r>
    <r>
      <rPr>
        <sz val="6"/>
        <color rgb="FF00B0F0"/>
        <rFont val="Arial Nova Cond"/>
        <family val="2"/>
      </rPr>
      <t>value</t>
    </r>
    <r>
      <rPr>
        <sz val="6"/>
        <color theme="1"/>
        <rFont val="Arial Nova Cond"/>
        <family val="2"/>
      </rPr>
      <t xml:space="preserve"> </t>
    </r>
    <r>
      <rPr>
        <b/>
        <sz val="6"/>
        <color rgb="FFFF99FF"/>
        <rFont val="Arial Nova Cond"/>
        <family val="2"/>
      </rPr>
      <t>Individuo</t>
    </r>
  </si>
  <si>
    <r>
      <rPr>
        <b/>
        <sz val="6"/>
        <color rgb="FFFFC000"/>
        <rFont val="Arial Nova Cond"/>
        <family val="2"/>
      </rPr>
      <t>Classe</t>
    </r>
    <r>
      <rPr>
        <sz val="6"/>
        <color theme="1"/>
        <rFont val="Arial Nova Cond"/>
        <family val="2"/>
      </rPr>
      <t xml:space="preserve"> </t>
    </r>
    <r>
      <rPr>
        <sz val="6"/>
        <color rgb="FF00B0F0"/>
        <rFont val="Arial Nova Cond"/>
        <family val="2"/>
      </rPr>
      <t>and</t>
    </r>
    <r>
      <rPr>
        <sz val="6"/>
        <color theme="1"/>
        <rFont val="Arial Nova Cond"/>
        <family val="2"/>
      </rPr>
      <t xml:space="preserve"> </t>
    </r>
    <r>
      <rPr>
        <b/>
        <sz val="6"/>
        <color theme="1"/>
        <rFont val="Arial Nova Cond"/>
        <family val="2"/>
      </rPr>
      <t>(</t>
    </r>
    <r>
      <rPr>
        <sz val="6"/>
        <color theme="1"/>
        <rFont val="Arial Nova Cond"/>
        <family val="2"/>
      </rPr>
      <t xml:space="preserve"> </t>
    </r>
    <r>
      <rPr>
        <b/>
        <sz val="6"/>
        <color theme="4" tint="-0.249977111117893"/>
        <rFont val="Arial Nova Cond"/>
        <family val="2"/>
      </rPr>
      <t>objprop</t>
    </r>
    <r>
      <rPr>
        <sz val="6"/>
        <color theme="1"/>
        <rFont val="Arial Nova Cond"/>
        <family val="2"/>
      </rPr>
      <t xml:space="preserve"> </t>
    </r>
    <r>
      <rPr>
        <sz val="6"/>
        <color rgb="FF00B0F0"/>
        <rFont val="Arial Nova Cond"/>
        <family val="2"/>
      </rPr>
      <t>value</t>
    </r>
    <r>
      <rPr>
        <sz val="6"/>
        <color theme="1"/>
        <rFont val="Arial Nova Cond"/>
        <family val="2"/>
      </rPr>
      <t xml:space="preserve"> </t>
    </r>
    <r>
      <rPr>
        <b/>
        <sz val="6"/>
        <color rgb="FFFF99FF"/>
        <rFont val="Arial Nova Cond"/>
        <family val="2"/>
      </rPr>
      <t xml:space="preserve">Indivíduo </t>
    </r>
    <r>
      <rPr>
        <b/>
        <sz val="6"/>
        <rFont val="Arial Nova Cond"/>
        <family val="2"/>
      </rPr>
      <t>)</t>
    </r>
  </si>
  <si>
    <t>Filtros DL possíveis</t>
  </si>
  <si>
    <r>
      <t xml:space="preserve">Norma.Nacional </t>
    </r>
    <r>
      <rPr>
        <b/>
        <sz val="6"/>
        <color rgb="FF00B0F0"/>
        <rFont val="Arial Nova Cond"/>
        <family val="2"/>
      </rPr>
      <t>and</t>
    </r>
    <r>
      <rPr>
        <sz val="6"/>
        <color theme="1"/>
        <rFont val="Arial Nova Cond"/>
        <family val="2"/>
      </rPr>
      <t xml:space="preserve"> </t>
    </r>
    <r>
      <rPr>
        <b/>
        <sz val="6"/>
        <color theme="8" tint="-0.249977111117893"/>
        <rFont val="Arial Nova Cond"/>
        <family val="2"/>
      </rPr>
      <t>tem.siscla.equiv</t>
    </r>
    <r>
      <rPr>
        <sz val="6"/>
        <color theme="1"/>
        <rFont val="Arial Nova Cond"/>
        <family val="2"/>
      </rPr>
      <t xml:space="preserve">  </t>
    </r>
    <r>
      <rPr>
        <b/>
        <sz val="6"/>
        <color rgb="FF00B0F0"/>
        <rFont val="Arial Nova Cond"/>
        <family val="2"/>
      </rPr>
      <t>value</t>
    </r>
    <r>
      <rPr>
        <sz val="6"/>
        <color theme="1"/>
        <rFont val="Arial Nova Cond"/>
        <family val="2"/>
      </rPr>
      <t xml:space="preserve"> </t>
    </r>
    <r>
      <rPr>
        <b/>
        <sz val="6"/>
        <color rgb="FFFF99FF"/>
        <rFont val="Arial Nova Cond"/>
        <family val="2"/>
      </rPr>
      <t>Omni.41</t>
    </r>
  </si>
  <si>
    <r>
      <t xml:space="preserve">(é.unidade.funcional.sus </t>
    </r>
    <r>
      <rPr>
        <sz val="6"/>
        <color rgb="FF00B0F0"/>
        <rFont val="Arial Nova Cond"/>
        <family val="2"/>
      </rPr>
      <t>value</t>
    </r>
    <r>
      <rPr>
        <sz val="6"/>
        <color theme="1"/>
        <rFont val="Arial Nova Cond"/>
        <family val="2"/>
      </rPr>
      <t xml:space="preserve"> UF.EME and Prédio) and</t>
    </r>
    <r>
      <rPr>
        <b/>
        <sz val="6"/>
        <color theme="8" tint="-0.249977111117893"/>
        <rFont val="Arial Nova Cond"/>
        <family val="2"/>
      </rPr>
      <t xml:space="preserve"> é.dentro.de</t>
    </r>
    <r>
      <rPr>
        <sz val="6"/>
        <color theme="1"/>
        <rFont val="Arial Nova Cond"/>
        <family val="2"/>
      </rPr>
      <t xml:space="preserve"> </t>
    </r>
    <r>
      <rPr>
        <sz val="6"/>
        <color rgb="FF00B0F0"/>
        <rFont val="Arial Nova Cond"/>
        <family val="2"/>
      </rPr>
      <t>value</t>
    </r>
    <r>
      <rPr>
        <sz val="6"/>
        <color theme="1"/>
        <rFont val="Arial Nova Cond"/>
        <family val="2"/>
      </rPr>
      <t xml:space="preserve"> Copacabana</t>
    </r>
  </si>
  <si>
    <r>
      <t xml:space="preserve">ObjetoBIM and é.tema </t>
    </r>
    <r>
      <rPr>
        <sz val="6"/>
        <color rgb="FF00B0F0"/>
        <rFont val="Arial Nova Cond"/>
        <family val="2"/>
      </rPr>
      <t>value</t>
    </r>
    <r>
      <rPr>
        <sz val="6"/>
        <color theme="1"/>
        <rFont val="Arial Nova Cond"/>
        <family val="2"/>
      </rPr>
      <t xml:space="preserve"> </t>
    </r>
    <r>
      <rPr>
        <b/>
        <sz val="6"/>
        <color rgb="FFFF99FF"/>
        <rFont val="Arial Nova Cond"/>
        <family val="2"/>
      </rPr>
      <t>Tema.Estrutura</t>
    </r>
  </si>
  <si>
    <r>
      <t xml:space="preserve">ObjetoBIM and é.tema </t>
    </r>
    <r>
      <rPr>
        <sz val="6"/>
        <color rgb="FF00B0F0"/>
        <rFont val="Arial Nova Cond"/>
        <family val="2"/>
      </rPr>
      <t>value</t>
    </r>
    <r>
      <rPr>
        <sz val="6"/>
        <color theme="1"/>
        <rFont val="Arial Nova Cond"/>
        <family val="2"/>
      </rPr>
      <t xml:space="preserve"> </t>
    </r>
    <r>
      <rPr>
        <b/>
        <sz val="6"/>
        <color rgb="FFFF99FF"/>
        <rFont val="Arial Nova Cond"/>
        <family val="2"/>
      </rPr>
      <t>Tema.Saúde</t>
    </r>
  </si>
  <si>
    <r>
      <t xml:space="preserve">Ambiente and é.localizado  </t>
    </r>
    <r>
      <rPr>
        <sz val="6"/>
        <color rgb="FF00B0F0"/>
        <rFont val="Arial Nova Cond"/>
        <family val="2"/>
      </rPr>
      <t>value</t>
    </r>
    <r>
      <rPr>
        <sz val="6"/>
        <color theme="1"/>
        <rFont val="Arial Nova Cond"/>
        <family val="2"/>
      </rPr>
      <t xml:space="preserve"> </t>
    </r>
    <r>
      <rPr>
        <b/>
        <sz val="6"/>
        <color rgb="FFFF99FF"/>
        <rFont val="Arial Nova Cond"/>
        <family val="2"/>
      </rPr>
      <t>Rio.de.Janeiro</t>
    </r>
  </si>
  <si>
    <r>
      <t xml:space="preserve">Prédio and é.localizado  </t>
    </r>
    <r>
      <rPr>
        <sz val="6"/>
        <color rgb="FF00B0F0"/>
        <rFont val="Arial Nova Cond"/>
        <family val="2"/>
      </rPr>
      <t>value</t>
    </r>
    <r>
      <rPr>
        <sz val="6"/>
        <color theme="1"/>
        <rFont val="Arial Nova Cond"/>
        <family val="2"/>
      </rPr>
      <t xml:space="preserve"> </t>
    </r>
    <r>
      <rPr>
        <b/>
        <sz val="6"/>
        <color rgb="FFFF99FF"/>
        <rFont val="Arial Nova Cond"/>
        <family val="2"/>
      </rPr>
      <t>Rio.de.Janeiro</t>
    </r>
  </si>
  <si>
    <r>
      <t xml:space="preserve">Bairro and ( é.localizado   </t>
    </r>
    <r>
      <rPr>
        <sz val="6"/>
        <color rgb="FF00B0F0"/>
        <rFont val="Arial Nova Cond"/>
        <family val="2"/>
      </rPr>
      <t>value</t>
    </r>
    <r>
      <rPr>
        <sz val="6"/>
        <color theme="1"/>
        <rFont val="Arial Nova Cond"/>
        <family val="2"/>
      </rPr>
      <t xml:space="preserve"> </t>
    </r>
    <r>
      <rPr>
        <b/>
        <sz val="6"/>
        <color rgb="FFFF99FF"/>
        <rFont val="Arial Nova Cond"/>
        <family val="2"/>
      </rPr>
      <t>AP.1</t>
    </r>
    <r>
      <rPr>
        <sz val="6"/>
        <color theme="1"/>
        <rFont val="Arial Nova Cond"/>
        <family val="2"/>
      </rPr>
      <t>)</t>
    </r>
  </si>
  <si>
    <r>
      <t xml:space="preserve">Bairro and ( é.localizado  </t>
    </r>
    <r>
      <rPr>
        <sz val="6"/>
        <color rgb="FF00B0F0"/>
        <rFont val="Arial Nova Cond"/>
        <family val="2"/>
      </rPr>
      <t>value</t>
    </r>
    <r>
      <rPr>
        <sz val="6"/>
        <color theme="1"/>
        <rFont val="Arial Nova Cond"/>
        <family val="2"/>
      </rPr>
      <t xml:space="preserve"> </t>
    </r>
    <r>
      <rPr>
        <b/>
        <sz val="6"/>
        <color rgb="FFFF99FF"/>
        <rFont val="Arial Nova Cond"/>
        <family val="2"/>
      </rPr>
      <t>RA.12</t>
    </r>
    <r>
      <rPr>
        <sz val="6"/>
        <color theme="1"/>
        <rFont val="Arial Nova Cond"/>
        <family val="2"/>
      </rPr>
      <t>)</t>
    </r>
  </si>
  <si>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</si>
  <si>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</si>
  <si>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</si>
  <si>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</si>
  <si>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</si>
  <si>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</si>
  <si>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</si>
  <si>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</si>
  <si>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</si>
  <si>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</si>
  <si>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</si>
  <si>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</si>
  <si>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</si>
  <si>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</si>
  <si>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</si>
  <si>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</si>
  <si>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</si>
  <si>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</si>
  <si>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</si>
  <si>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</si>
  <si>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</si>
  <si>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</si>
  <si>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</si>
  <si>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</si>
  <si>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</si>
  <si>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</si>
  <si>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</si>
  <si>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</si>
  <si>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</si>
  <si>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</si>
  <si>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</si>
  <si>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</si>
  <si>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</si>
  <si>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</si>
  <si>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</si>
  <si>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</si>
  <si>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</si>
  <si>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</si>
  <si>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</si>
  <si>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0</t>
  </si>
  <si>
    <t>Natureza</t>
  </si>
  <si>
    <t>Disciplina</t>
  </si>
  <si>
    <t>Tema</t>
  </si>
  <si>
    <t>00Raiz</t>
  </si>
  <si>
    <t>00Super
Class
2</t>
  </si>
  <si>
    <t>00Super
Class
3</t>
  </si>
  <si>
    <t>00Super
Class
4</t>
  </si>
  <si>
    <t>00 Super
Class
5</t>
  </si>
  <si>
    <t>000 Tradução Classe 5</t>
  </si>
  <si>
    <t>000 Traducción Classe 5</t>
  </si>
  <si>
    <t>Interop</t>
  </si>
  <si>
    <t>Especie</t>
  </si>
  <si>
    <t>Interdisciplinar</t>
  </si>
  <si>
    <t>N°</t>
  </si>
  <si>
    <t>Val</t>
  </si>
  <si>
    <t>Red</t>
  </si>
  <si>
    <t>Green</t>
  </si>
  <si>
    <t>Blue</t>
  </si>
  <si>
    <t>Alfa</t>
  </si>
  <si>
    <t>Cor.Digital</t>
  </si>
  <si>
    <t>Cromática</t>
  </si>
  <si>
    <t>Conceitos de elementos cromáticos</t>
  </si>
  <si>
    <t>Formalizar conceitos de elementos cromáticos</t>
  </si>
  <si>
    <t>Formalizar conceptos de elementos cromáticos</t>
  </si>
  <si>
    <t>Classe</t>
  </si>
  <si>
    <t>Equivalente a</t>
  </si>
  <si>
    <t>Cinza.Claro</t>
  </si>
  <si>
    <t>Cinza.Medio</t>
  </si>
  <si>
    <t>Cinza.Escuro</t>
  </si>
  <si>
    <t>Canal.R</t>
  </si>
  <si>
    <t>Canal.G</t>
  </si>
  <si>
    <t>Canal.B</t>
  </si>
  <si>
    <t>Canal.A</t>
  </si>
  <si>
    <t>Puro.R</t>
  </si>
  <si>
    <t>Puro.G</t>
  </si>
  <si>
    <t>Puro.B</t>
  </si>
  <si>
    <t>Pantone</t>
  </si>
  <si>
    <t xml:space="preserve">Cor.Pantone </t>
  </si>
  <si>
    <t>DNIT</t>
  </si>
  <si>
    <t xml:space="preserve">Cor.Dnit </t>
  </si>
  <si>
    <t>Pantone.116.C</t>
  </si>
  <si>
    <t>Catálogo</t>
  </si>
  <si>
    <t>Pantone.370.C</t>
  </si>
  <si>
    <t>Pantone.3425.C</t>
  </si>
  <si>
    <t>é.usado.por</t>
  </si>
  <si>
    <t>Magenta</t>
  </si>
  <si>
    <t>Cyan</t>
  </si>
  <si>
    <t>Yellow</t>
  </si>
  <si>
    <t>Black</t>
  </si>
  <si>
    <t>CMY</t>
  </si>
  <si>
    <t>CMYB</t>
  </si>
  <si>
    <t>RGB</t>
  </si>
  <si>
    <t>RGBA</t>
  </si>
  <si>
    <t>Paleta.DNIT</t>
  </si>
  <si>
    <t>Paleta.Pantone</t>
  </si>
  <si>
    <t>nome</t>
  </si>
  <si>
    <t>"Paleta Cromática DNIT"</t>
  </si>
  <si>
    <t>"Federal"</t>
  </si>
  <si>
    <t>esfera</t>
  </si>
  <si>
    <t>"Paleta Cromática Pantone"</t>
  </si>
  <si>
    <t>"https://pantonecolors.net"</t>
  </si>
  <si>
    <t>url</t>
  </si>
  <si>
    <t>descrição</t>
  </si>
  <si>
    <t>"Cores utilizadas pelo DNIT para as placas da rede viária"</t>
  </si>
  <si>
    <t>é.pertencente.a</t>
  </si>
  <si>
    <t>marca</t>
  </si>
  <si>
    <t>"Pantone"</t>
  </si>
  <si>
    <t>Cor.Sub.01</t>
  </si>
  <si>
    <t>Cor.Sub.02</t>
  </si>
  <si>
    <t>Cor.Adi.01</t>
  </si>
  <si>
    <t>Cor.Adi.02</t>
  </si>
  <si>
    <t>Munsell</t>
  </si>
  <si>
    <t>Matiz.RP</t>
  </si>
  <si>
    <t>Matiz.P</t>
  </si>
  <si>
    <t>Matiz.PB</t>
  </si>
  <si>
    <t>Matiz.B</t>
  </si>
  <si>
    <t>Matiz.BG</t>
  </si>
  <si>
    <t>Matiz.G</t>
  </si>
  <si>
    <t>Matiz.GY</t>
  </si>
  <si>
    <t>Matiz.Y</t>
  </si>
  <si>
    <t>Matiz.YR</t>
  </si>
  <si>
    <t>Matiz.R</t>
  </si>
  <si>
    <t>Sistema.Munsell</t>
  </si>
  <si>
    <t>"Sistema de cores Munsell"</t>
  </si>
  <si>
    <t>N10</t>
  </si>
  <si>
    <t>N00</t>
  </si>
  <si>
    <t>N01</t>
  </si>
  <si>
    <t>N02</t>
  </si>
  <si>
    <t>N03</t>
  </si>
  <si>
    <t>N04</t>
  </si>
  <si>
    <t>N05</t>
  </si>
  <si>
    <t>N06</t>
  </si>
  <si>
    <t>N07</t>
  </si>
  <si>
    <t>N08</t>
  </si>
  <si>
    <t>N09</t>
  </si>
  <si>
    <t>"Nível de luminosidade 10 superior de valor branco"</t>
  </si>
  <si>
    <t>Hue</t>
  </si>
  <si>
    <t>Luminosidade</t>
  </si>
  <si>
    <t>Croma</t>
  </si>
  <si>
    <t>C00</t>
  </si>
  <si>
    <t>C01</t>
  </si>
  <si>
    <t>C05</t>
  </si>
  <si>
    <t>C10</t>
  </si>
  <si>
    <t>C20</t>
  </si>
  <si>
    <t>valor</t>
  </si>
  <si>
    <t>"2.5YR6/14"</t>
  </si>
  <si>
    <t>"2.5YR2/4"</t>
  </si>
  <si>
    <t>"N3.5"</t>
  </si>
  <si>
    <t>"N9.5"</t>
  </si>
  <si>
    <t>"5Y8/12"</t>
  </si>
  <si>
    <t>"N6.5"</t>
  </si>
  <si>
    <t>"2.5PB4/10"</t>
  </si>
  <si>
    <t>"Neutra"</t>
  </si>
  <si>
    <t>"2.5G3/4"</t>
  </si>
  <si>
    <t>"5R4/14"</t>
  </si>
  <si>
    <t>"N1"</t>
  </si>
  <si>
    <t>YR.segurança</t>
  </si>
  <si>
    <t>Y.segurança</t>
  </si>
  <si>
    <t>B.segurança</t>
  </si>
  <si>
    <t>Branco</t>
  </si>
  <si>
    <t>Preto</t>
  </si>
  <si>
    <t>G.emblema</t>
  </si>
  <si>
    <t>R.segurança</t>
  </si>
  <si>
    <t xml:space="preserve">M.canalização </t>
  </si>
  <si>
    <t>C.claro</t>
  </si>
  <si>
    <t>C.escuro</t>
  </si>
  <si>
    <t>C.alumínio</t>
  </si>
  <si>
    <t>"Cor Branca"</t>
  </si>
  <si>
    <t>"Cor Cinza clara"</t>
  </si>
  <si>
    <t>"Cor Cinza escuro"</t>
  </si>
  <si>
    <t>"Cor Cinza alumínio"</t>
  </si>
  <si>
    <t>"Cor Marrom de canalização"</t>
  </si>
  <si>
    <t>"Cor Preta"</t>
  </si>
  <si>
    <t>"Cor Verde Emblema"</t>
  </si>
  <si>
    <t>"Cor Vermelho ou Red de segurança"</t>
  </si>
  <si>
    <t>usado.por</t>
  </si>
  <si>
    <t xml:space="preserve">"Usado em tubulações industrias de produtos químicos não gasosos"  </t>
  </si>
  <si>
    <t>"Usado em tubulações industrias de gases não liquefeitos"</t>
  </si>
  <si>
    <t xml:space="preserve">"Usado em tubulações industrias de ar comprimido" </t>
  </si>
  <si>
    <t>"Usado em tubulações industrias de vapor"</t>
  </si>
  <si>
    <t>"Usado em tubulações industrias de vácuo"</t>
  </si>
  <si>
    <t>"Usado em tubulações industrias de eletroduto"</t>
  </si>
  <si>
    <t>"Usado em tubulações industrias de gases liquefeitos, inflamáveis e combustíveis de baixa viscosidade como óleo diesel, gasolina, querosene, óleo lubrificante e solventes"</t>
  </si>
  <si>
    <t>"Usado em tubulações industrias de materiais fragmentados como minérios, petróleo bruto"</t>
  </si>
  <si>
    <t>"Usado em tubulações industrias de inflamáveis e combustíveis de alta viscosidade como óleo combustível, asfalto, alcatrão ou piche"</t>
  </si>
  <si>
    <t>"Usado em tubulações industrias de água, exceto a destinada a combater incêndio"</t>
  </si>
  <si>
    <t>"Usado em tubulações industrias de água e outras substâncias destinadas a combater incêndio"</t>
  </si>
  <si>
    <t>"NBR 6493"</t>
  </si>
  <si>
    <t>norma</t>
  </si>
  <si>
    <t>Cor.Munsell</t>
  </si>
  <si>
    <t>Cor específica do sistema Munsell.</t>
  </si>
  <si>
    <t>Cor específica do catálogo Pantone.</t>
  </si>
  <si>
    <t>Cor digital composta pelos canais RGBA. O canal A define transparência.</t>
  </si>
  <si>
    <t>Sistema de cor Munsell: Parâmetro Croma. É o grau de afastamento de uma cor em relação à cor neutra de mesmo valor. Um baixo croma enfraquece a cor. Um croma alto para cor saturada, forte ou vívida.</t>
  </si>
  <si>
    <t>Sistema de cor Munsell: Parâmetro Luminosidade.</t>
  </si>
  <si>
    <t>Sistema de cor Munsell: Parâmetro Matiz.</t>
  </si>
  <si>
    <t>Cor digital composta pelos canais RGB.</t>
  </si>
  <si>
    <t>Cor digital composta pelos canais CMYB.</t>
  </si>
  <si>
    <t>Cor digital composta pelos canais CMY.</t>
  </si>
  <si>
    <t>Quantidade de cor azul entre que pode variar 0 e 255.</t>
  </si>
  <si>
    <t>Quantidade de cor vermelho que pode variar entre 0 e 255.</t>
  </si>
  <si>
    <t>Quantidade de cor amarelo entre que pode variar 0 e 255.</t>
  </si>
  <si>
    <t>Quantidade de cor magenta que pode variar entre 0 e 255.</t>
  </si>
  <si>
    <t>Quantidade de cor ciano que pode variar entre 0 e 255.</t>
  </si>
  <si>
    <t>Quantidade de cor preto entre que pode variar 0 e 255.</t>
  </si>
  <si>
    <t>Quantidade de cor verde entre que pode variar 0 e 255.</t>
  </si>
  <si>
    <t>Quantidade de transparência que pode variar entre 0 e 255.</t>
  </si>
  <si>
    <t>Cores do catálogo Departamento Nacional de Infraestrutura de Transportes do Brasil.</t>
  </si>
  <si>
    <t>ABNT</t>
  </si>
  <si>
    <t>000 Translate Classe 5</t>
  </si>
  <si>
    <t>Explanation</t>
  </si>
  <si>
    <t>Prof. José Luis Menegotto - DEG/POLI/UFRJ</t>
  </si>
  <si>
    <t>Idioma</t>
  </si>
  <si>
    <t>pt</t>
  </si>
  <si>
    <t>es</t>
  </si>
  <si>
    <t>en</t>
  </si>
  <si>
    <t>Aviso</t>
  </si>
  <si>
    <t>Alert</t>
  </si>
  <si>
    <t>Advertência</t>
  </si>
  <si>
    <t xml:space="preserve">Traduções ao espanhol e ao inglês incorporadas - As traduções devem ser constantemente revisadas </t>
  </si>
  <si>
    <t>"Canal Vermelho ( R )"</t>
  </si>
  <si>
    <t>"Canal Verde ( G )"</t>
  </si>
  <si>
    <t>"Canal Azul ( B )"</t>
  </si>
  <si>
    <t>"Canal de transparência Alfa"</t>
  </si>
  <si>
    <t>"Cor Pantone utilizada no catálogo do DNIT"</t>
  </si>
  <si>
    <t>"Cores padronizadas do sistema Pantone Matching System"</t>
  </si>
  <si>
    <t>"É uma cor formada pelos canais RGB"</t>
  </si>
  <si>
    <t>"É a cor Cinza aditivo claro"</t>
  </si>
  <si>
    <t>"É a cor Cinza aditivo médio"</t>
  </si>
  <si>
    <t>"É a cor Cinza aditivo escuro"</t>
  </si>
  <si>
    <t>"É a cor Vermelha aditiva pura"</t>
  </si>
  <si>
    <t>"É a cor Verde aditiva pura"</t>
  </si>
  <si>
    <t>"É a cor Azul aditiva pura"</t>
  </si>
  <si>
    <t>"É componente de Sistema Munsell - Matiz (HUE) red-purple"</t>
  </si>
  <si>
    <t>"É componente de Sistema Munsell - Matiz (HUE) purple"</t>
  </si>
  <si>
    <t>"É componente de Sistema Munsell - Matiz (HUE) purple-blue"</t>
  </si>
  <si>
    <t>"É componente de Sistema Munsell - Matiz (HUE) blue"</t>
  </si>
  <si>
    <t>"É componente de Sistema Munsell - Matiz (HUE) blue-green"</t>
  </si>
  <si>
    <t>"É componente de Sistema Munsell - Matiz (HUE) green"</t>
  </si>
  <si>
    <t>"É componente de Sistema Munsell - Matiz (HUE) green-yellow"</t>
  </si>
  <si>
    <t>"É componente de Sistema Munsell - Matiz (HUE) yellow"</t>
  </si>
  <si>
    <t>"É componente de Sistema Munsell - Matiz (HUE) yellow-red"</t>
  </si>
  <si>
    <t>"É componente de Sistema Munsell - Matiz (HUE) red"</t>
  </si>
  <si>
    <t>"Nível de luminosidade de Sistema Munsell 9 intermédio superior claros"</t>
  </si>
  <si>
    <t>"Nível de luminosidade de Sistema Munsell 8 intermédio superior claros"</t>
  </si>
  <si>
    <t>"Nível de luminosidade de Sistema Munsell 7 intermédio superior claros"</t>
  </si>
  <si>
    <t>"Nível de luminosidade de Sistema Munsell 6 intermédio superior claros"</t>
  </si>
  <si>
    <t>"Nível de luminosidade de Sistema Munsell 5 intermédio central"</t>
  </si>
  <si>
    <t>"Nível de luminosidade de Sistema Munsell 4 intermédio inferior escuros"</t>
  </si>
  <si>
    <t>"Nível de luminosidade de Sistema Munsell 3 intermédio inferior escuros"</t>
  </si>
  <si>
    <t>"Nível de luminosidade de Sistema Munsell 2 intermédio inferior escuros"</t>
  </si>
  <si>
    <t>"Nível de luminosidade de Sistema Munsell 1 intermédio inferior escuros"</t>
  </si>
  <si>
    <t>"Nível de luminosidade de Sistema Munsell 0 inferior de valor negro"</t>
  </si>
  <si>
    <t>"Nível de cromaticidade de Sistema Munsell 0 é o cinza neutro"</t>
  </si>
  <si>
    <t>"Nível de cromaticidade de Sistema Munsell 1 é uma cor fraca"</t>
  </si>
  <si>
    <t>"Nível de cromaticidade de Sistema Munsell 5 é uma cor fraca"</t>
  </si>
  <si>
    <t>"Nível de cromaticidade de Sistema Munsell 10 é uma cor forte saturada"</t>
  </si>
  <si>
    <t>"Nível de cromaticidade de Sistema Munsell 20 é uma cor altamente saturada"</t>
  </si>
  <si>
    <t>"Cor Laranja ou Red Yellow de segurança"</t>
  </si>
  <si>
    <t>"Cor Amarelo ou Yellow de segurança"</t>
  </si>
  <si>
    <t>"Cor Azul ou Blue de segurança"</t>
  </si>
  <si>
    <t xml:space="preserve">é.cyan min 0   ,  é.cyan max 255  </t>
  </si>
  <si>
    <t xml:space="preserve">é.magenta min 0   ,  é.magenta max 255  </t>
  </si>
  <si>
    <t xml:space="preserve">é.yellow min 0   ,  é.yellow max 255  </t>
  </si>
  <si>
    <t xml:space="preserve">é.black min 0   ,  é.black max 255  </t>
  </si>
  <si>
    <t xml:space="preserve">é.red min 0   ,  é.red max 255  </t>
  </si>
  <si>
    <t xml:space="preserve">é.green min 0   ,  é.green max 255  </t>
  </si>
  <si>
    <t xml:space="preserve">é.blue min 0   ,  é.blue max 255  </t>
  </si>
  <si>
    <t xml:space="preserve">é.alfa min 0   ,  é.alfa max 255  </t>
  </si>
  <si>
    <t xml:space="preserve">cyan exactly 1  , magenta exactly 1  , yellow exactly 1 </t>
  </si>
  <si>
    <t xml:space="preserve">cyan exactly 1  , magenta exactly 1  , yellow exactly 1  , black exactly 1 </t>
  </si>
  <si>
    <t xml:space="preserve">red exactly 1  , green exactly 1  , blue exactly 1 </t>
  </si>
  <si>
    <t xml:space="preserve">red exactly 1  , green exactly 1  , blue exactly 1  , alfa exactly 1 </t>
  </si>
  <si>
    <t>Red and Green and  Blue</t>
  </si>
  <si>
    <t>Red and Green and  Blue and Alfa</t>
  </si>
  <si>
    <t xml:space="preserve">Cyan and Magenta and  Yellow </t>
  </si>
  <si>
    <t>Cyan and Magenta and  Yellow and Black</t>
  </si>
  <si>
    <t>Canal.de.Cor</t>
  </si>
  <si>
    <t>Cor.RGB</t>
  </si>
  <si>
    <t>Cor.CMY</t>
  </si>
  <si>
    <t>Cor.RGBA</t>
  </si>
  <si>
    <t>Cor.CMYB</t>
  </si>
  <si>
    <t>"É uma cor RGB"</t>
  </si>
  <si>
    <t>"É uma cor RGBA"</t>
  </si>
  <si>
    <t>"É uma cor CMY"</t>
  </si>
  <si>
    <t>"É uma cor CMYB"</t>
  </si>
  <si>
    <t>"É uma cor formada pelos canais CMY"</t>
  </si>
  <si>
    <t xml:space="preserve">canal.alfa min 0   ,  canal.alfa max 255  </t>
  </si>
  <si>
    <t xml:space="preserve">canal.green min 0   ,  canal.green max 255  </t>
  </si>
  <si>
    <t xml:space="preserve">canal.black min 0   ,  canal.black max 255  </t>
  </si>
  <si>
    <t xml:space="preserve">canal.red min 0  ,  canal.red max 255  </t>
  </si>
  <si>
    <t xml:space="preserve">canal.cyan min 0 , canal.cyan max 255  </t>
  </si>
  <si>
    <t xml:space="preserve">canal.magenta min 0   ,  canal.magenta max 255  </t>
  </si>
  <si>
    <t xml:space="preserve">canal.yellow min 0 ,  canal.yellow max 255  </t>
  </si>
  <si>
    <t xml:space="preserve">canal.blue min 0   ,  canal.blue max 255  </t>
  </si>
  <si>
    <t>canal.red</t>
  </si>
  <si>
    <t>canal.green</t>
  </si>
  <si>
    <t>canal.blue</t>
  </si>
  <si>
    <t>canal.alfa</t>
  </si>
  <si>
    <t>canal.cyan</t>
  </si>
  <si>
    <t>canal.magenta</t>
  </si>
  <si>
    <t>canal.yellow</t>
  </si>
  <si>
    <t>cor.rgb</t>
  </si>
  <si>
    <t>cor.cmy</t>
  </si>
  <si>
    <t>Conceitos</t>
  </si>
  <si>
    <t>Cromáticos</t>
  </si>
  <si>
    <t>Paletas</t>
  </si>
  <si>
    <t>Projeto</t>
  </si>
  <si>
    <t>Cor</t>
  </si>
  <si>
    <t>Cromático</t>
  </si>
  <si>
    <t>Cores</t>
  </si>
  <si>
    <t>Paletas.Usadas</t>
  </si>
  <si>
    <t>Cor utilizada no projeto.</t>
  </si>
  <si>
    <t>Amount of cyan color that can vary between 0 and 255.</t>
  </si>
  <si>
    <t>Amount of magenta color that can vary between 0 and 255.</t>
  </si>
  <si>
    <t>Amount of yellow color between which can vary from 0 to 255.</t>
  </si>
  <si>
    <t>Amount of black color between which can vary from 0 to 255.</t>
  </si>
  <si>
    <t>Amount of red color that can vary between 0 and 255.</t>
  </si>
  <si>
    <t>Amount of green color between that can vary from 0 to 255.</t>
  </si>
  <si>
    <t>Amount of blue color between that can vary from 0 to 255.</t>
  </si>
  <si>
    <t>Amount of transparency that can vary between 0 and 255.</t>
  </si>
  <si>
    <t>Digital color composed of CMY channels.</t>
  </si>
  <si>
    <t>Digital color composed of CMYB channels.</t>
  </si>
  <si>
    <t>Digital color composed of RGB channels.</t>
  </si>
  <si>
    <t>Digital color composed of RGBA channels. Channel A defines transparency.</t>
  </si>
  <si>
    <t>Munsell Color System: Hue Parameter.</t>
  </si>
  <si>
    <t>Munsell color system: Luminosity parameter.</t>
  </si>
  <si>
    <t>Munsell Color System: Croma Parameter. It is the degree of distance of a color from the neutral color of the same value. A low chroma weakens the color. A high chroma for saturated, strong, or vivid color.</t>
  </si>
  <si>
    <t>Munsell system-specific color.</t>
  </si>
  <si>
    <t>Specific color from the Pantone catalog.</t>
  </si>
  <si>
    <t>Colors from the catalog of the National Department of Transport Infrastructure of Brazil.</t>
  </si>
  <si>
    <t>Color used in the project.</t>
  </si>
  <si>
    <t>Cantidad de color cian que puede variar entre 0 y 255.</t>
  </si>
  <si>
    <t>Cantidad de color magenta que puede variar entre 0 y 255.</t>
  </si>
  <si>
    <t>La cantidad de color amarillo entre los cuales puede variar de 0 a 255.</t>
  </si>
  <si>
    <t>La cantidad de color negro entre ellos puede variar de 0 a 255.</t>
  </si>
  <si>
    <t>Cantidad de color rojo que puede variar entre 0 y 255.</t>
  </si>
  <si>
    <t>La cantidad de color verde entre eso puede variar de 0 a 255.</t>
  </si>
  <si>
    <t>La cantidad de color azul entre eso puede variar de 0 a 255.</t>
  </si>
  <si>
    <t>Cantidad de transparencia que puede variar entre 0 y 255.</t>
  </si>
  <si>
    <t>Color digital compuesto por canales CMY.</t>
  </si>
  <si>
    <t>Color digital compuesto por canales CMYB.</t>
  </si>
  <si>
    <t>Color digital compuesto por canales RGB.</t>
  </si>
  <si>
    <t>Color digital compuesto por canales RGBA. El Canal A define transparencia.</t>
  </si>
  <si>
    <t>Sistema de color Munsell: Parámetro de tono.</t>
  </si>
  <si>
    <t>Sistema de color Munsell: Parámetro de luminosidad.</t>
  </si>
  <si>
    <t>Sistema de color Munsell: Parámetro Croma. Es el grado de distancia de un color al color neutro del mismo valor. Un cromo bajo debilita el color. Un alto nivel de cromancia para colores saturados, intensos o vivos.</t>
  </si>
  <si>
    <t>Color específico del sistema Munsell.</t>
  </si>
  <si>
    <t>Color específico del catálogo de Pantone.</t>
  </si>
  <si>
    <t>Colores del catálogo del Departamento Nacional de Infraestructuras de Transporte de Brasil.</t>
  </si>
  <si>
    <t>Color usado en el proyecto.</t>
  </si>
  <si>
    <t>Atributo IFC</t>
  </si>
  <si>
    <t>Classe IFC</t>
  </si>
  <si>
    <t>Parâmetro Rvt</t>
  </si>
  <si>
    <t>Categoria Rvt</t>
  </si>
  <si>
    <t>API_Ambiente</t>
  </si>
  <si>
    <t>"Individuo indicador de método API para selecionar ambientes do projeto"</t>
  </si>
  <si>
    <t>tema</t>
  </si>
  <si>
    <t>"API"</t>
  </si>
  <si>
    <t>subtema</t>
  </si>
  <si>
    <t>"Elementos Ambientes"</t>
  </si>
  <si>
    <t>"[ Ambientes ]"</t>
  </si>
  <si>
    <t>API_Andar</t>
  </si>
  <si>
    <t>"Individuo indicador de método API para selecionar andares do projeto"</t>
  </si>
  <si>
    <t>"Elementos Andares"</t>
  </si>
  <si>
    <t>"[ Pavimentos ]"</t>
  </si>
  <si>
    <t>API_Instância</t>
  </si>
  <si>
    <t>"Individuo indicador de método API para selecionar instâncias do projeto"</t>
  </si>
  <si>
    <t>"Elementos Instanciados"</t>
  </si>
  <si>
    <t>"[ Elementos ]"</t>
  </si>
  <si>
    <t>API_Simbolo</t>
  </si>
  <si>
    <t>"Individuo indicador de método API para selecionar elementos tipificados do projeto"</t>
  </si>
  <si>
    <t>"Elementos Tipificados"</t>
  </si>
  <si>
    <t>"[ Tipos ]"</t>
  </si>
  <si>
    <t>API_Material</t>
  </si>
  <si>
    <t>"Individuo indicador de método API para selecionar materiais do projeto"</t>
  </si>
  <si>
    <t>"Elementos Materiais"</t>
  </si>
  <si>
    <t>"[ Materiais ]"</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</si>
  <si>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</si>
  <si>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</si>
  <si>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</si>
  <si>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</si>
  <si>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</si>
  <si>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</si>
  <si>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</si>
  <si>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</si>
  <si>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</si>
  <si>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</si>
  <si>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</si>
  <si>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</si>
  <si>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</si>
  <si>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</si>
  <si>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</si>
  <si>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</si>
  <si>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</si>
  <si>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</si>
  <si>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</si>
  <si>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</si>
  <si>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</si>
  <si>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API</t>
  </si>
  <si>
    <t>API.Plataforma</t>
  </si>
  <si>
    <t>API.Macros</t>
  </si>
  <si>
    <t>API.Método</t>
  </si>
  <si>
    <t>API.Macros.Visuais</t>
  </si>
  <si>
    <t>API.Método.Visual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</si>
</sst>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x14ac:knownFonts="1">
    <font>
      <sz val="11"/>
      <color theme="1"/>
      <name val="Calibri"/>
      <family val="2"/>
      <scheme val="minor"/>
    </font>
    <font>
      <sz val="8"/>
      <name val="Calibri"/>
      <family val="2"/>
      <scheme val="minor"/>
    </font>
    <font>
      <sz val="6"/>
      <name val="Arial Nova Cond"/>
      <family val="2"/>
    </font>
    <font>
      <sz val="6"/>
      <color theme="1"/>
      <name val="Arial Nova Cond"/>
      <family val="2"/>
    </font>
    <font>
      <b/>
      <sz val="6"/>
      <name val="Arial Nova Cond"/>
      <family val="2"/>
    </font>
    <font>
      <i/>
      <sz val="6"/>
      <name val="Arial Nova Cond"/>
      <family val="2"/>
    </font>
    <font>
      <b/>
      <sz val="6"/>
      <color theme="1"/>
      <name val="Arial Nova Cond"/>
      <family val="2"/>
    </font>
    <font>
      <b/>
      <sz val="6"/>
      <color rgb="FFFFC000"/>
      <name val="Arial Nova Cond"/>
      <family val="2"/>
    </font>
    <font>
      <sz val="6"/>
      <color theme="8"/>
      <name val="Arial Nova Cond"/>
      <family val="2"/>
    </font>
    <font>
      <b/>
      <sz val="6"/>
      <color rgb="FFFF99FF"/>
      <name val="Arial Nova Cond"/>
      <family val="2"/>
    </font>
    <font>
      <b/>
      <sz val="6"/>
      <color theme="4"/>
      <name val="Arial Nova Cond"/>
      <family val="2"/>
    </font>
    <font>
      <sz val="6"/>
      <color rgb="FF00B0F0"/>
      <name val="Arial Nova Cond"/>
      <family val="2"/>
    </font>
    <font>
      <b/>
      <sz val="6"/>
      <color theme="8" tint="-0.249977111117893"/>
      <name val="Arial Nova Cond"/>
      <family val="2"/>
    </font>
    <font>
      <sz val="6"/>
      <color rgb="FFFFC000"/>
      <name val="Arial Nova Cond"/>
      <family val="2"/>
    </font>
    <font>
      <b/>
      <sz val="6"/>
      <color theme="4" tint="-0.249977111117893"/>
      <name val="Arial Nova Cond"/>
      <family val="2"/>
    </font>
    <font>
      <b/>
      <sz val="6"/>
      <color rgb="FF00B0F0"/>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s>
  <fills count="29">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59999389629810485"/>
        <bgColor rgb="FFD9F2D0"/>
      </patternFill>
    </fill>
    <fill>
      <patternFill patternType="solid">
        <fgColor theme="5" tint="0.79998168889431442"/>
        <bgColor indexed="64"/>
      </patternFill>
    </fill>
    <fill>
      <patternFill patternType="solid">
        <fgColor theme="5" tint="0.79998168889431442"/>
        <bgColor rgb="FFFFC7CE"/>
      </patternFill>
    </fill>
    <fill>
      <patternFill patternType="solid">
        <fgColor theme="5" tint="0.79998168889431442"/>
        <bgColor rgb="FFD9F2D0"/>
      </patternFill>
    </fill>
    <fill>
      <patternFill patternType="solid">
        <fgColor theme="5" tint="0.79998168889431442"/>
        <bgColor rgb="FFFEF2CB"/>
      </patternFill>
    </fill>
    <fill>
      <patternFill patternType="solid">
        <fgColor theme="2"/>
        <bgColor indexed="64"/>
      </patternFill>
    </fill>
    <fill>
      <patternFill patternType="solid">
        <fgColor rgb="FFFF99FF"/>
        <bgColor rgb="FFFFFFCC"/>
      </patternFill>
    </fill>
    <fill>
      <patternFill patternType="solid">
        <fgColor theme="9" tint="0.59999389629810485"/>
        <bgColor rgb="FFFEF2CB"/>
      </patternFill>
    </fill>
    <fill>
      <patternFill patternType="solid">
        <fgColor theme="9" tint="0.59999389629810485"/>
        <bgColor rgb="FF000000"/>
      </patternFill>
    </fill>
    <fill>
      <patternFill patternType="solid">
        <fgColor theme="9" tint="0.79998168889431442"/>
        <bgColor rgb="FF000000"/>
      </patternFill>
    </fill>
    <fill>
      <patternFill patternType="solid">
        <fgColor rgb="FFFFE89F"/>
        <bgColor indexed="64"/>
      </patternFill>
    </fill>
    <fill>
      <patternFill patternType="solid">
        <fgColor rgb="FFFBE79D"/>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3" fillId="0" borderId="0" xfId="0" applyFont="1"/>
    <xf numFmtId="0" fontId="3" fillId="0" borderId="0" xfId="0" applyFont="1" applyAlignment="1">
      <alignment horizontal="center"/>
    </xf>
    <xf numFmtId="0" fontId="3" fillId="7" borderId="1" xfId="0" applyFont="1" applyFill="1" applyBorder="1" applyAlignment="1">
      <alignment horizontal="center" vertical="center"/>
    </xf>
    <xf numFmtId="0" fontId="6" fillId="7" borderId="1" xfId="0" applyFont="1" applyFill="1" applyBorder="1" applyAlignment="1">
      <alignment vertical="center"/>
    </xf>
    <xf numFmtId="0" fontId="3" fillId="0" borderId="1" xfId="0" applyFont="1" applyBorder="1" applyAlignment="1">
      <alignment vertical="center" wrapText="1"/>
    </xf>
    <xf numFmtId="0" fontId="3" fillId="0" borderId="1" xfId="0" applyFont="1" applyBorder="1" applyAlignment="1">
      <alignment vertical="center"/>
    </xf>
    <xf numFmtId="0" fontId="16" fillId="0" borderId="0" xfId="0" applyFont="1" applyAlignment="1">
      <alignment vertical="center"/>
    </xf>
    <xf numFmtId="0" fontId="17" fillId="13" borderId="1" xfId="0" applyFont="1" applyFill="1" applyBorder="1" applyAlignment="1">
      <alignment horizontal="left" vertical="center"/>
    </xf>
    <xf numFmtId="0" fontId="18" fillId="0" borderId="1" xfId="0" applyFont="1" applyBorder="1" applyAlignment="1">
      <alignment horizontal="left" vertical="center"/>
    </xf>
    <xf numFmtId="0" fontId="19" fillId="12" borderId="1" xfId="0" applyFont="1" applyFill="1" applyBorder="1" applyAlignment="1">
      <alignment vertical="center"/>
    </xf>
    <xf numFmtId="0" fontId="18" fillId="0" borderId="1" xfId="0" applyFont="1" applyBorder="1" applyAlignment="1">
      <alignment vertical="center"/>
    </xf>
    <xf numFmtId="22" fontId="18" fillId="0" borderId="1" xfId="0" applyNumberFormat="1" applyFont="1" applyBorder="1" applyAlignment="1">
      <alignment horizontal="left" vertical="center"/>
    </xf>
    <xf numFmtId="0" fontId="18" fillId="0" borderId="1" xfId="0" applyFont="1" applyBorder="1" applyAlignment="1">
      <alignment vertical="center" wrapText="1"/>
    </xf>
    <xf numFmtId="0" fontId="20" fillId="14" borderId="1" xfId="0" applyFont="1" applyFill="1" applyBorder="1" applyAlignment="1">
      <alignment horizontal="center" vertical="center" wrapText="1"/>
    </xf>
    <xf numFmtId="0" fontId="18" fillId="6" borderId="1" xfId="0" applyFont="1" applyFill="1" applyBorder="1" applyAlignment="1">
      <alignment vertical="center"/>
    </xf>
    <xf numFmtId="0" fontId="22" fillId="16" borderId="3" xfId="0" applyFont="1" applyFill="1" applyBorder="1" applyAlignment="1">
      <alignment horizontal="center" vertical="center" wrapText="1"/>
    </xf>
    <xf numFmtId="0" fontId="22" fillId="16" borderId="3" xfId="0" applyFont="1" applyFill="1" applyBorder="1" applyAlignment="1">
      <alignment horizontal="left" vertical="center" wrapText="1"/>
    </xf>
    <xf numFmtId="0" fontId="21" fillId="16" borderId="3" xfId="0" applyFont="1" applyFill="1" applyBorder="1" applyAlignment="1">
      <alignment horizontal="left" vertical="center" wrapText="1"/>
    </xf>
    <xf numFmtId="0" fontId="22" fillId="15" borderId="3" xfId="0" applyFont="1" applyFill="1" applyBorder="1" applyAlignment="1">
      <alignment horizontal="left" vertical="center" wrapText="1"/>
    </xf>
    <xf numFmtId="0" fontId="22" fillId="15" borderId="2" xfId="0" applyFont="1" applyFill="1" applyBorder="1" applyAlignment="1">
      <alignment horizontal="left" vertical="center" wrapText="1"/>
    </xf>
    <xf numFmtId="0" fontId="23" fillId="3" borderId="3" xfId="0" applyFont="1" applyFill="1" applyBorder="1" applyAlignment="1">
      <alignment horizontal="left" vertical="center"/>
    </xf>
    <xf numFmtId="0" fontId="23" fillId="5" borderId="1" xfId="0" applyFont="1" applyFill="1" applyBorder="1" applyAlignment="1">
      <alignment horizontal="left" vertical="center"/>
    </xf>
    <xf numFmtId="0" fontId="17" fillId="8" borderId="1" xfId="0" applyFont="1" applyFill="1" applyBorder="1" applyAlignment="1">
      <alignment horizontal="left" vertical="center"/>
    </xf>
    <xf numFmtId="0" fontId="23" fillId="10" borderId="1" xfId="0" applyFont="1" applyFill="1" applyBorder="1" applyAlignment="1">
      <alignment horizontal="left" vertical="center"/>
    </xf>
    <xf numFmtId="164" fontId="18" fillId="9" borderId="1" xfId="0" applyNumberFormat="1" applyFont="1" applyFill="1" applyBorder="1" applyAlignment="1">
      <alignment horizontal="left" vertical="center"/>
    </xf>
    <xf numFmtId="0" fontId="17" fillId="8" borderId="1" xfId="0" applyFont="1" applyFill="1" applyBorder="1" applyAlignment="1">
      <alignment vertical="center"/>
    </xf>
    <xf numFmtId="0" fontId="24" fillId="14" borderId="1" xfId="0" applyFont="1" applyFill="1" applyBorder="1" applyAlignment="1">
      <alignment horizontal="center" vertical="center" wrapText="1"/>
    </xf>
    <xf numFmtId="0" fontId="24" fillId="14" borderId="1" xfId="0" applyFont="1" applyFill="1" applyBorder="1" applyAlignment="1">
      <alignment horizontal="left" vertical="center" wrapText="1"/>
    </xf>
    <xf numFmtId="0" fontId="19" fillId="17"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left" vertical="center"/>
    </xf>
    <xf numFmtId="0" fontId="23" fillId="4" borderId="1" xfId="0" applyFont="1" applyFill="1" applyBorder="1" applyAlignment="1">
      <alignment horizontal="left" vertical="center"/>
    </xf>
    <xf numFmtId="0" fontId="23" fillId="4" borderId="1" xfId="0" applyFont="1" applyFill="1" applyBorder="1" applyAlignment="1">
      <alignment vertical="center"/>
    </xf>
    <xf numFmtId="0" fontId="0" fillId="0" borderId="0" xfId="0" applyAlignment="1">
      <alignment horizontal="center"/>
    </xf>
    <xf numFmtId="0" fontId="18" fillId="11" borderId="1" xfId="0" applyFont="1" applyFill="1" applyBorder="1" applyAlignment="1">
      <alignment horizontal="left" vertical="center"/>
    </xf>
    <xf numFmtId="164" fontId="18" fillId="10" borderId="1" xfId="0" applyNumberFormat="1" applyFont="1" applyFill="1" applyBorder="1" applyAlignment="1">
      <alignment horizontal="left" vertical="center"/>
    </xf>
    <xf numFmtId="0" fontId="17" fillId="13" borderId="1" xfId="0" applyFont="1" applyFill="1" applyBorder="1" applyAlignment="1">
      <alignment horizontal="center" vertical="center"/>
    </xf>
    <xf numFmtId="0" fontId="18" fillId="9" borderId="1" xfId="0" applyFont="1" applyFill="1" applyBorder="1" applyAlignment="1">
      <alignment horizontal="left" vertical="center"/>
    </xf>
    <xf numFmtId="0" fontId="18" fillId="10" borderId="1" xfId="0" applyFont="1" applyFill="1" applyBorder="1" applyAlignment="1">
      <alignment horizontal="left" vertical="center"/>
    </xf>
    <xf numFmtId="0" fontId="19" fillId="11" borderId="1" xfId="0" applyFont="1" applyFill="1" applyBorder="1" applyAlignment="1">
      <alignment horizontal="left" vertical="center"/>
    </xf>
    <xf numFmtId="0" fontId="19" fillId="4" borderId="1" xfId="0" applyFont="1" applyFill="1" applyBorder="1" applyAlignment="1">
      <alignment horizontal="left" vertical="center"/>
    </xf>
    <xf numFmtId="0" fontId="23" fillId="11" borderId="1" xfId="0" applyFont="1" applyFill="1" applyBorder="1" applyAlignment="1">
      <alignment horizontal="left" vertical="center"/>
    </xf>
    <xf numFmtId="0" fontId="17" fillId="8" borderId="1" xfId="0" applyFont="1" applyFill="1" applyBorder="1" applyAlignment="1">
      <alignment horizontal="center" vertical="center"/>
    </xf>
    <xf numFmtId="0" fontId="25" fillId="15" borderId="1" xfId="0" applyFont="1" applyFill="1" applyBorder="1" applyAlignment="1">
      <alignment horizontal="left" vertical="center" wrapText="1"/>
    </xf>
    <xf numFmtId="0" fontId="19" fillId="18" borderId="1" xfId="0" applyFont="1" applyFill="1" applyBorder="1" applyAlignment="1">
      <alignment horizontal="left" vertical="center"/>
    </xf>
    <xf numFmtId="0" fontId="18" fillId="0" borderId="1" xfId="0" applyFont="1" applyBorder="1" applyAlignment="1">
      <alignment horizontal="center" vertical="center"/>
    </xf>
    <xf numFmtId="0" fontId="26" fillId="0" borderId="0" xfId="0" applyFont="1" applyAlignment="1">
      <alignment vertical="center"/>
    </xf>
    <xf numFmtId="22" fontId="18" fillId="0" borderId="1" xfId="0" applyNumberFormat="1" applyFont="1" applyBorder="1" applyAlignment="1">
      <alignment vertical="center"/>
    </xf>
    <xf numFmtId="0" fontId="19" fillId="2" borderId="1" xfId="0" applyFont="1" applyFill="1" applyBorder="1" applyAlignment="1">
      <alignment horizontal="center" vertical="center"/>
    </xf>
    <xf numFmtId="0" fontId="19" fillId="19" borderId="1" xfId="0" applyFont="1" applyFill="1" applyBorder="1" applyAlignment="1">
      <alignment horizontal="left" vertical="center"/>
    </xf>
    <xf numFmtId="0" fontId="18" fillId="18" borderId="3" xfId="0" applyFont="1" applyFill="1" applyBorder="1" applyAlignment="1">
      <alignment vertical="center"/>
    </xf>
    <xf numFmtId="0" fontId="18" fillId="18" borderId="1" xfId="0" applyFont="1" applyFill="1" applyBorder="1" applyAlignment="1">
      <alignment vertical="center"/>
    </xf>
    <xf numFmtId="0" fontId="23" fillId="16" borderId="1" xfId="0" applyFont="1" applyFill="1" applyBorder="1" applyAlignment="1">
      <alignment horizontal="left" vertical="center"/>
    </xf>
    <xf numFmtId="0" fontId="18" fillId="3" borderId="1" xfId="0" applyFont="1" applyFill="1" applyBorder="1" applyAlignment="1">
      <alignment horizontal="left" vertical="center"/>
    </xf>
    <xf numFmtId="0" fontId="0" fillId="0" borderId="0" xfId="0" applyAlignment="1">
      <alignment horizontal="left"/>
    </xf>
    <xf numFmtId="0" fontId="21" fillId="16" borderId="3" xfId="0" applyFont="1" applyFill="1" applyBorder="1" applyAlignment="1">
      <alignment vertical="center" wrapText="1"/>
    </xf>
    <xf numFmtId="0" fontId="23" fillId="16" borderId="1" xfId="0" applyFont="1" applyFill="1" applyBorder="1" applyAlignment="1">
      <alignment vertical="center"/>
    </xf>
    <xf numFmtId="0" fontId="18" fillId="3" borderId="1" xfId="0" applyFont="1" applyFill="1" applyBorder="1" applyAlignment="1">
      <alignment vertical="center"/>
    </xf>
    <xf numFmtId="0" fontId="23" fillId="3" borderId="3" xfId="0" applyFont="1" applyFill="1" applyBorder="1" applyAlignment="1">
      <alignment vertical="center"/>
    </xf>
    <xf numFmtId="0" fontId="22" fillId="16" borderId="2" xfId="0" applyFont="1" applyFill="1" applyBorder="1" applyAlignment="1">
      <alignment horizontal="left" vertical="center" wrapText="1"/>
    </xf>
    <xf numFmtId="0" fontId="19" fillId="20" borderId="1" xfId="0" applyFont="1" applyFill="1" applyBorder="1" applyAlignment="1">
      <alignment horizontal="left" vertical="center"/>
    </xf>
    <xf numFmtId="0" fontId="19" fillId="18" borderId="1" xfId="0" applyFont="1" applyFill="1" applyBorder="1" applyAlignment="1">
      <alignment vertical="center"/>
    </xf>
    <xf numFmtId="0" fontId="23" fillId="21" borderId="1" xfId="0" applyFont="1" applyFill="1" applyBorder="1" applyAlignment="1">
      <alignment horizontal="left" vertical="center"/>
    </xf>
    <xf numFmtId="0" fontId="23" fillId="11" borderId="1" xfId="0" applyFont="1" applyFill="1" applyBorder="1" applyAlignment="1">
      <alignment vertical="center"/>
    </xf>
    <xf numFmtId="0" fontId="23" fillId="4" borderId="4" xfId="0" applyFont="1" applyFill="1" applyBorder="1" applyAlignment="1">
      <alignment horizontal="left" vertical="center"/>
    </xf>
    <xf numFmtId="0" fontId="18" fillId="22" borderId="1" xfId="0" applyFont="1" applyFill="1" applyBorder="1" applyAlignment="1">
      <alignment horizontal="center" vertical="center"/>
    </xf>
    <xf numFmtId="0" fontId="19" fillId="23" borderId="1" xfId="0" applyFont="1" applyFill="1" applyBorder="1" applyAlignment="1">
      <alignment vertical="center"/>
    </xf>
    <xf numFmtId="0" fontId="23" fillId="5" borderId="1" xfId="0" applyFont="1" applyFill="1" applyBorder="1" applyAlignment="1">
      <alignment vertical="center"/>
    </xf>
    <xf numFmtId="0" fontId="23" fillId="10" borderId="1" xfId="0" applyFont="1" applyFill="1" applyBorder="1" applyAlignment="1">
      <alignment horizontal="left" vertical="center" wrapText="1"/>
    </xf>
    <xf numFmtId="0" fontId="23" fillId="24" borderId="1" xfId="0" applyFont="1" applyFill="1" applyBorder="1" applyAlignment="1">
      <alignment horizontal="left" vertical="center"/>
    </xf>
    <xf numFmtId="0" fontId="18" fillId="4" borderId="1" xfId="0" applyFont="1" applyFill="1" applyBorder="1" applyAlignment="1">
      <alignment horizontal="left" vertical="center"/>
    </xf>
    <xf numFmtId="0" fontId="23" fillId="25" borderId="1" xfId="0" applyFont="1" applyFill="1" applyBorder="1" applyAlignment="1">
      <alignment horizontal="left" vertical="center"/>
    </xf>
    <xf numFmtId="0" fontId="23" fillId="26" borderId="1" xfId="0" applyFont="1" applyFill="1" applyBorder="1" applyAlignment="1">
      <alignment horizontal="left" vertical="center"/>
    </xf>
    <xf numFmtId="0" fontId="18" fillId="4" borderId="1" xfId="0" applyFont="1" applyFill="1" applyBorder="1" applyAlignment="1">
      <alignment vertical="center"/>
    </xf>
    <xf numFmtId="0" fontId="26" fillId="0" borderId="0" xfId="0" applyFont="1"/>
    <xf numFmtId="0" fontId="18" fillId="27" borderId="1" xfId="0" applyFont="1" applyFill="1" applyBorder="1" applyAlignment="1">
      <alignment horizontal="left" vertical="center"/>
    </xf>
    <xf numFmtId="0" fontId="19" fillId="18" borderId="1" xfId="0" applyFont="1" applyFill="1" applyBorder="1" applyAlignment="1">
      <alignment horizontal="center" vertical="center"/>
    </xf>
    <xf numFmtId="0" fontId="26" fillId="0" borderId="0" xfId="0" applyFont="1" applyAlignment="1">
      <alignment horizontal="left" vertical="center"/>
    </xf>
    <xf numFmtId="0" fontId="19" fillId="28" borderId="1" xfId="0" applyFont="1" applyFill="1" applyBorder="1" applyAlignment="1">
      <alignment horizontal="left" vertical="center"/>
    </xf>
    <xf numFmtId="0" fontId="23" fillId="28" borderId="3" xfId="0" applyFont="1" applyFill="1" applyBorder="1" applyAlignment="1">
      <alignment vertical="center"/>
    </xf>
    <xf numFmtId="0" fontId="23" fillId="28" borderId="3" xfId="0" applyFont="1" applyFill="1" applyBorder="1" applyAlignment="1">
      <alignment horizontal="left" vertical="center"/>
    </xf>
    <xf numFmtId="0" fontId="18" fillId="28" borderId="3" xfId="0" applyFont="1" applyFill="1" applyBorder="1" applyAlignment="1">
      <alignment vertical="center"/>
    </xf>
    <xf numFmtId="0" fontId="23" fillId="28" borderId="1" xfId="0" applyFont="1" applyFill="1" applyBorder="1" applyAlignment="1">
      <alignment horizontal="left" vertical="center"/>
    </xf>
    <xf numFmtId="0" fontId="18" fillId="28" borderId="1" xfId="0" applyFont="1" applyFill="1" applyBorder="1" applyAlignment="1">
      <alignment vertical="center"/>
    </xf>
    <xf numFmtId="0" fontId="23" fillId="28" borderId="1" xfId="0" applyFont="1" applyFill="1" applyBorder="1" applyAlignment="1">
      <alignment vertical="center"/>
    </xf>
    <xf numFmtId="0" fontId="18" fillId="28" borderId="1" xfId="0" applyFont="1" applyFill="1" applyBorder="1" applyAlignment="1">
      <alignment horizontal="left" vertical="center"/>
    </xf>
    <xf numFmtId="0" fontId="22" fillId="15" borderId="3" xfId="0" applyFont="1" applyFill="1" applyBorder="1" applyAlignment="1">
      <alignment horizontal="center" vertical="center" wrapText="1"/>
    </xf>
    <xf numFmtId="0" fontId="19" fillId="19" borderId="1" xfId="0" applyFont="1" applyFill="1" applyBorder="1" applyAlignment="1">
      <alignment horizontal="center" vertical="center"/>
    </xf>
  </cellXfs>
  <cellStyles count="1">
    <cellStyle name="Normal" xfId="0" builtinId="0"/>
  </cellStyles>
  <dxfs count="32">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b val="0"/>
        <i/>
        <strike val="0"/>
        <color theme="0"/>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s>
  <tableStyles count="0" defaultTableStyle="TableStyleMedium2" defaultPivotStyle="PivotStyleLight16"/>
  <colors>
    <mruColors>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26"/>
  <sheetViews>
    <sheetView zoomScale="190" zoomScaleNormal="190" workbookViewId="0">
      <pane ySplit="1" topLeftCell="A2" activePane="bottomLeft" state="frozen"/>
      <selection activeCell="C18" sqref="C18"/>
      <selection pane="bottomLeft" activeCell="F10" sqref="F10"/>
    </sheetView>
  </sheetViews>
  <sheetFormatPr defaultColWidth="3.28515625" defaultRowHeight="9.75" customHeight="1" x14ac:dyDescent="0.25"/>
  <cols>
    <col min="1" max="1" width="9.7109375" style="12" customWidth="1"/>
    <col min="2" max="2" width="51.7109375" style="12" customWidth="1"/>
    <col min="3" max="3" width="3.42578125" style="54" bestFit="1" customWidth="1"/>
    <col min="4" max="16384" width="3.28515625" style="12"/>
  </cols>
  <sheetData>
    <row r="1" spans="1:3" ht="27" customHeight="1" x14ac:dyDescent="0.25">
      <c r="A1" s="13" t="s">
        <v>51</v>
      </c>
      <c r="B1" s="13" t="s">
        <v>50</v>
      </c>
      <c r="C1" s="44" t="s">
        <v>250</v>
      </c>
    </row>
    <row r="2" spans="1:3" ht="6.95" customHeight="1" x14ac:dyDescent="0.25">
      <c r="A2" s="14" t="s">
        <v>60</v>
      </c>
      <c r="B2" s="14" t="s">
        <v>76</v>
      </c>
      <c r="C2" s="53" t="s">
        <v>251</v>
      </c>
    </row>
    <row r="3" spans="1:3" ht="6.95" customHeight="1" x14ac:dyDescent="0.25">
      <c r="A3" s="14" t="s">
        <v>61</v>
      </c>
      <c r="B3" s="15" t="s">
        <v>98</v>
      </c>
      <c r="C3" s="53" t="s">
        <v>251</v>
      </c>
    </row>
    <row r="4" spans="1:3" ht="6.95" customHeight="1" x14ac:dyDescent="0.25">
      <c r="A4" s="14" t="s">
        <v>52</v>
      </c>
      <c r="B4" s="14" t="s">
        <v>62</v>
      </c>
      <c r="C4" s="53" t="s">
        <v>251</v>
      </c>
    </row>
    <row r="5" spans="1:3" ht="6.95" customHeight="1" x14ac:dyDescent="0.25">
      <c r="A5" s="14" t="s">
        <v>53</v>
      </c>
      <c r="B5" s="14" t="str">
        <f>_xlfn.CONCAT(B4,"Prop")</f>
        <v>BIMProp</v>
      </c>
      <c r="C5" s="53" t="s">
        <v>251</v>
      </c>
    </row>
    <row r="6" spans="1:3" ht="6.95" customHeight="1" x14ac:dyDescent="0.25">
      <c r="A6" s="14" t="s">
        <v>54</v>
      </c>
      <c r="B6" s="14" t="str">
        <f>_xlfn.CONCAT(B4,"Data")</f>
        <v>BIMData</v>
      </c>
      <c r="C6" s="53" t="s">
        <v>251</v>
      </c>
    </row>
    <row r="7" spans="1:3" ht="6.95" customHeight="1" x14ac:dyDescent="0.25">
      <c r="A7" s="14" t="s">
        <v>55</v>
      </c>
      <c r="B7" s="14" t="s">
        <v>63</v>
      </c>
      <c r="C7" s="53" t="s">
        <v>251</v>
      </c>
    </row>
    <row r="8" spans="1:3" customFormat="1" ht="6.95" customHeight="1" x14ac:dyDescent="0.25">
      <c r="A8" s="16" t="s">
        <v>56</v>
      </c>
      <c r="B8" s="16" t="s">
        <v>249</v>
      </c>
      <c r="C8" s="53" t="s">
        <v>251</v>
      </c>
    </row>
    <row r="9" spans="1:3" ht="6.95" customHeight="1" x14ac:dyDescent="0.25">
      <c r="A9" s="14" t="s">
        <v>64</v>
      </c>
      <c r="B9" s="14" t="s">
        <v>65</v>
      </c>
      <c r="C9" s="53" t="s">
        <v>251</v>
      </c>
    </row>
    <row r="10" spans="1:3" ht="6.95" customHeight="1" x14ac:dyDescent="0.25">
      <c r="A10" s="14" t="s">
        <v>66</v>
      </c>
      <c r="B10" s="14" t="s">
        <v>38</v>
      </c>
      <c r="C10" s="53" t="s">
        <v>251</v>
      </c>
    </row>
    <row r="11" spans="1:3" ht="6.95" customHeight="1" x14ac:dyDescent="0.25">
      <c r="A11" s="14" t="s">
        <v>57</v>
      </c>
      <c r="B11" s="14" t="s">
        <v>38</v>
      </c>
      <c r="C11" s="53" t="s">
        <v>251</v>
      </c>
    </row>
    <row r="12" spans="1:3" ht="6.95" customHeight="1" x14ac:dyDescent="0.25">
      <c r="A12" s="14" t="s">
        <v>58</v>
      </c>
      <c r="B12" s="14" t="s">
        <v>38</v>
      </c>
      <c r="C12" s="53" t="s">
        <v>251</v>
      </c>
    </row>
    <row r="13" spans="1:3" ht="6.95" customHeight="1" x14ac:dyDescent="0.25">
      <c r="A13" s="14" t="s">
        <v>67</v>
      </c>
      <c r="B13" s="14" t="s">
        <v>38</v>
      </c>
      <c r="C13" s="53" t="s">
        <v>251</v>
      </c>
    </row>
    <row r="14" spans="1:3" ht="6.95" customHeight="1" x14ac:dyDescent="0.25">
      <c r="A14" s="14" t="s">
        <v>68</v>
      </c>
      <c r="B14" s="14" t="s">
        <v>38</v>
      </c>
      <c r="C14" s="53" t="s">
        <v>251</v>
      </c>
    </row>
    <row r="15" spans="1:3" ht="6.95" customHeight="1" x14ac:dyDescent="0.25">
      <c r="A15" s="14" t="s">
        <v>69</v>
      </c>
      <c r="B15" s="14" t="s">
        <v>38</v>
      </c>
      <c r="C15" s="53" t="s">
        <v>251</v>
      </c>
    </row>
    <row r="16" spans="1:3" ht="6.95" customHeight="1" x14ac:dyDescent="0.25">
      <c r="A16" s="14" t="s">
        <v>70</v>
      </c>
      <c r="B16" s="14" t="s">
        <v>38</v>
      </c>
      <c r="C16" s="53" t="s">
        <v>251</v>
      </c>
    </row>
    <row r="17" spans="1:3" ht="6.95" customHeight="1" x14ac:dyDescent="0.25">
      <c r="A17" s="14" t="s">
        <v>59</v>
      </c>
      <c r="B17" s="16" t="s">
        <v>99</v>
      </c>
      <c r="C17" s="53" t="s">
        <v>251</v>
      </c>
    </row>
    <row r="18" spans="1:3" ht="6.95" customHeight="1" x14ac:dyDescent="0.25">
      <c r="A18" s="14" t="s">
        <v>71</v>
      </c>
      <c r="B18" s="17">
        <f ca="1">NOW()</f>
        <v>46274.374587268518</v>
      </c>
      <c r="C18" s="53" t="s">
        <v>251</v>
      </c>
    </row>
    <row r="19" spans="1:3" s="37" customFormat="1" ht="6.95" customHeight="1" x14ac:dyDescent="0.25">
      <c r="A19" s="16" t="s">
        <v>256</v>
      </c>
      <c r="B19" s="55" t="s">
        <v>257</v>
      </c>
      <c r="C19" s="53" t="s">
        <v>251</v>
      </c>
    </row>
    <row r="20" spans="1:3" s="37" customFormat="1" ht="6.95" customHeight="1" x14ac:dyDescent="0.25">
      <c r="A20" s="16" t="s">
        <v>254</v>
      </c>
      <c r="B20" s="55" t="str">
        <f>_xlfn.TRANSLATE(B19,"pt","es")</f>
        <v>Traducciones integradas al español e inglés - Las traducciones deben revisarse constantemente</v>
      </c>
      <c r="C20" s="53" t="s">
        <v>252</v>
      </c>
    </row>
    <row r="21" spans="1:3" s="37" customFormat="1" ht="6.95" customHeight="1" x14ac:dyDescent="0.25">
      <c r="A21" s="16" t="s">
        <v>255</v>
      </c>
      <c r="B21" s="55" t="str">
        <f>_xlfn.TRANSLATE(B19,"pt","en")</f>
        <v>Built-in Spanish and English Translations - Translations must be constantly reviewed</v>
      </c>
      <c r="C21" s="53" t="s">
        <v>253</v>
      </c>
    </row>
    <row r="22" spans="1:3" ht="6.95" customHeight="1" x14ac:dyDescent="0.25">
      <c r="A22" s="14" t="s">
        <v>72</v>
      </c>
      <c r="B22" s="14" t="s">
        <v>38</v>
      </c>
      <c r="C22" s="53" t="s">
        <v>251</v>
      </c>
    </row>
    <row r="23" spans="1:3" ht="6.95" customHeight="1" x14ac:dyDescent="0.25">
      <c r="A23" s="14" t="s">
        <v>73</v>
      </c>
      <c r="B23" s="14" t="s">
        <v>38</v>
      </c>
      <c r="C23" s="53" t="s">
        <v>251</v>
      </c>
    </row>
    <row r="24" spans="1:3" ht="6.95" customHeight="1" x14ac:dyDescent="0.25">
      <c r="A24" s="16" t="s">
        <v>74</v>
      </c>
      <c r="B24" s="18" t="s">
        <v>100</v>
      </c>
      <c r="C24" s="53" t="s">
        <v>251</v>
      </c>
    </row>
    <row r="25" spans="1:3" ht="6.95" customHeight="1" x14ac:dyDescent="0.25">
      <c r="A25" s="16" t="s">
        <v>75</v>
      </c>
      <c r="B25" s="18" t="s">
        <v>101</v>
      </c>
      <c r="C25" s="53" t="s">
        <v>252</v>
      </c>
    </row>
    <row r="26" spans="1:3" customFormat="1" ht="6.95" customHeight="1" x14ac:dyDescent="0.25">
      <c r="A26" s="16" t="s">
        <v>248</v>
      </c>
      <c r="B26" s="18" t="str">
        <f>_xlfn.TRANSLATE(B24,"pt","en")</f>
        <v>Formalize concepts of chromatic elements</v>
      </c>
      <c r="C26" s="53" t="s">
        <v>253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D25"/>
  <sheetViews>
    <sheetView topLeftCell="R1" zoomScale="160" zoomScaleNormal="160" workbookViewId="0">
      <selection activeCell="U9" sqref="U9"/>
    </sheetView>
  </sheetViews>
  <sheetFormatPr defaultColWidth="9.140625" defaultRowHeight="15" x14ac:dyDescent="0.25"/>
  <cols>
    <col min="1" max="1" width="2.42578125" bestFit="1" customWidth="1"/>
    <col min="2" max="2" width="6.28515625" bestFit="1" customWidth="1"/>
    <col min="3" max="3" width="7" bestFit="1" customWidth="1"/>
    <col min="4" max="4" width="8.85546875" bestFit="1" customWidth="1"/>
    <col min="5" max="5" width="9.5703125" bestFit="1" customWidth="1"/>
    <col min="6" max="6" width="10" bestFit="1" customWidth="1"/>
    <col min="7" max="10" width="8.28515625" customWidth="1"/>
    <col min="11" max="11" width="21.42578125" customWidth="1"/>
    <col min="12" max="12" width="7" bestFit="1" customWidth="1"/>
    <col min="13" max="13" width="8.85546875" bestFit="1" customWidth="1"/>
    <col min="14" max="14" width="9.5703125" bestFit="1" customWidth="1"/>
    <col min="15" max="15" width="10" bestFit="1" customWidth="1"/>
    <col min="16" max="16" width="86.5703125" customWidth="1"/>
    <col min="17" max="17" width="90.42578125" customWidth="1"/>
    <col min="18" max="18" width="86.7109375" customWidth="1"/>
    <col min="19" max="19" width="5.28515625" style="41" customWidth="1"/>
    <col min="20" max="20" width="8.140625" style="62" customWidth="1"/>
    <col min="21" max="21" width="9.7109375" style="62" customWidth="1"/>
    <col min="22" max="22" width="9.5703125" style="62" bestFit="1" customWidth="1"/>
    <col min="23" max="23" width="7.85546875" style="62" customWidth="1"/>
    <col min="24" max="24" width="9.7109375" style="62" bestFit="1" customWidth="1"/>
    <col min="25" max="25" width="6" style="62" bestFit="1" customWidth="1"/>
    <col min="26" max="26" width="6.28515625" style="62" customWidth="1"/>
    <col min="27" max="27" width="4.85546875" style="62" bestFit="1" customWidth="1"/>
    <col min="28" max="28" width="4.28515625" style="62" bestFit="1" customWidth="1"/>
    <col min="29" max="30" width="3.28515625" style="62" bestFit="1" customWidth="1"/>
  </cols>
  <sheetData>
    <row r="1" spans="1:30" ht="39" customHeight="1" x14ac:dyDescent="0.25">
      <c r="A1" s="21" t="s">
        <v>77</v>
      </c>
      <c r="B1" s="22" t="s">
        <v>81</v>
      </c>
      <c r="C1" s="22" t="s">
        <v>82</v>
      </c>
      <c r="D1" s="22" t="s">
        <v>83</v>
      </c>
      <c r="E1" s="22" t="s">
        <v>84</v>
      </c>
      <c r="F1" s="22" t="s">
        <v>85</v>
      </c>
      <c r="G1" s="63" t="s">
        <v>39</v>
      </c>
      <c r="H1" s="63" t="s">
        <v>40</v>
      </c>
      <c r="I1" s="63" t="s">
        <v>41</v>
      </c>
      <c r="J1" s="63" t="s">
        <v>42</v>
      </c>
      <c r="K1" s="63" t="s">
        <v>43</v>
      </c>
      <c r="L1" s="24" t="s">
        <v>46</v>
      </c>
      <c r="M1" s="24" t="s">
        <v>47</v>
      </c>
      <c r="N1" s="24" t="s">
        <v>45</v>
      </c>
      <c r="O1" s="24" t="s">
        <v>44</v>
      </c>
      <c r="P1" s="24" t="s">
        <v>86</v>
      </c>
      <c r="Q1" s="24" t="s">
        <v>87</v>
      </c>
      <c r="R1" s="51" t="s">
        <v>247</v>
      </c>
      <c r="S1" s="94" t="s">
        <v>88</v>
      </c>
      <c r="T1" s="24" t="s">
        <v>78</v>
      </c>
      <c r="U1" s="24" t="s">
        <v>89</v>
      </c>
      <c r="V1" s="25" t="s">
        <v>80</v>
      </c>
      <c r="W1" s="24" t="s">
        <v>79</v>
      </c>
      <c r="X1" s="67" t="s">
        <v>0</v>
      </c>
      <c r="Y1" s="24" t="s">
        <v>392</v>
      </c>
      <c r="Z1" s="24" t="s">
        <v>391</v>
      </c>
      <c r="AA1" s="24" t="s">
        <v>390</v>
      </c>
      <c r="AB1" s="24" t="s">
        <v>389</v>
      </c>
      <c r="AC1" s="24" t="s">
        <v>246</v>
      </c>
      <c r="AD1" s="24" t="s">
        <v>436</v>
      </c>
    </row>
    <row r="2" spans="1:30" ht="6.6" customHeight="1" x14ac:dyDescent="0.25">
      <c r="A2" s="56">
        <v>2</v>
      </c>
      <c r="B2" s="86" t="s">
        <v>342</v>
      </c>
      <c r="C2" s="87" t="s">
        <v>343</v>
      </c>
      <c r="D2" s="88" t="s">
        <v>344</v>
      </c>
      <c r="E2" s="87" t="s">
        <v>315</v>
      </c>
      <c r="F2" s="89" t="s">
        <v>124</v>
      </c>
      <c r="G2" s="64" t="s">
        <v>1</v>
      </c>
      <c r="H2" s="64" t="s">
        <v>1</v>
      </c>
      <c r="I2" s="64" t="s">
        <v>1</v>
      </c>
      <c r="J2" s="64" t="s">
        <v>1</v>
      </c>
      <c r="K2" s="65" t="s">
        <v>329</v>
      </c>
      <c r="L2" s="58" t="str">
        <f>_xlfn.CONCAT(C2)</f>
        <v>Cromáticos</v>
      </c>
      <c r="M2" s="58" t="str">
        <f t="shared" ref="M2:O17" si="0">_xlfn.CONCAT("", D2)</f>
        <v>Paletas</v>
      </c>
      <c r="N2" s="58" t="str">
        <f t="shared" si="0"/>
        <v>Canal.de.Cor</v>
      </c>
      <c r="O2" s="58" t="str">
        <f t="shared" si="0"/>
        <v>Cyan</v>
      </c>
      <c r="P2" s="58" t="s">
        <v>241</v>
      </c>
      <c r="Q2" s="58" t="s">
        <v>370</v>
      </c>
      <c r="R2" s="52" t="s">
        <v>351</v>
      </c>
      <c r="S2" s="95" t="s">
        <v>1</v>
      </c>
      <c r="T2" s="52" t="str">
        <f t="shared" ref="T2:V17" si="1">SUBSTITUTE(C2, "_", " ")</f>
        <v>Cromáticos</v>
      </c>
      <c r="U2" s="52" t="str">
        <f t="shared" si="1"/>
        <v>Paletas</v>
      </c>
      <c r="V2" s="57" t="str">
        <f t="shared" si="1"/>
        <v>Canal.de.Cor</v>
      </c>
      <c r="W2" s="52" t="s">
        <v>90</v>
      </c>
      <c r="X2" s="68" t="str">
        <f t="shared" ref="X2:X19" si="2">CONCATENATE("Key-CROMA-",A2)</f>
        <v>Key-CROMA-2</v>
      </c>
      <c r="Y2" s="70" t="s">
        <v>1</v>
      </c>
      <c r="Z2" s="70" t="s">
        <v>1</v>
      </c>
      <c r="AA2" s="70" t="s">
        <v>1</v>
      </c>
      <c r="AB2" s="70" t="s">
        <v>1</v>
      </c>
      <c r="AC2" s="70" t="s">
        <v>1</v>
      </c>
      <c r="AD2" s="70" t="s">
        <v>1</v>
      </c>
    </row>
    <row r="3" spans="1:30" ht="6.6" customHeight="1" x14ac:dyDescent="0.25">
      <c r="A3" s="56">
        <v>3</v>
      </c>
      <c r="B3" s="86" t="s">
        <v>342</v>
      </c>
      <c r="C3" s="87" t="s">
        <v>343</v>
      </c>
      <c r="D3" s="88" t="s">
        <v>344</v>
      </c>
      <c r="E3" s="87" t="s">
        <v>315</v>
      </c>
      <c r="F3" s="89" t="s">
        <v>123</v>
      </c>
      <c r="G3" s="64" t="s">
        <v>1</v>
      </c>
      <c r="H3" s="64" t="s">
        <v>1</v>
      </c>
      <c r="I3" s="64" t="s">
        <v>1</v>
      </c>
      <c r="J3" s="64" t="s">
        <v>1</v>
      </c>
      <c r="K3" s="65" t="s">
        <v>330</v>
      </c>
      <c r="L3" s="58" t="str">
        <f>_xlfn.CONCAT(C3)</f>
        <v>Cromáticos</v>
      </c>
      <c r="M3" s="58" t="str">
        <f t="shared" si="0"/>
        <v>Paletas</v>
      </c>
      <c r="N3" s="58" t="str">
        <f t="shared" si="0"/>
        <v>Canal.de.Cor</v>
      </c>
      <c r="O3" s="58" t="str">
        <f t="shared" si="0"/>
        <v>Magenta</v>
      </c>
      <c r="P3" s="58" t="s">
        <v>240</v>
      </c>
      <c r="Q3" s="58" t="s">
        <v>371</v>
      </c>
      <c r="R3" s="52" t="s">
        <v>352</v>
      </c>
      <c r="S3" s="95" t="s">
        <v>1</v>
      </c>
      <c r="T3" s="52" t="str">
        <f t="shared" si="1"/>
        <v>Cromáticos</v>
      </c>
      <c r="U3" s="52" t="str">
        <f t="shared" si="1"/>
        <v>Paletas</v>
      </c>
      <c r="V3" s="57" t="str">
        <f t="shared" si="1"/>
        <v>Canal.de.Cor</v>
      </c>
      <c r="W3" s="52" t="s">
        <v>90</v>
      </c>
      <c r="X3" s="68" t="str">
        <f t="shared" si="2"/>
        <v>Key-CROMA-3</v>
      </c>
      <c r="Y3" s="70" t="s">
        <v>1</v>
      </c>
      <c r="Z3" s="70" t="s">
        <v>1</v>
      </c>
      <c r="AA3" s="70" t="s">
        <v>1</v>
      </c>
      <c r="AB3" s="70" t="s">
        <v>1</v>
      </c>
      <c r="AC3" s="70" t="s">
        <v>1</v>
      </c>
      <c r="AD3" s="70" t="s">
        <v>1</v>
      </c>
    </row>
    <row r="4" spans="1:30" ht="6.6" customHeight="1" x14ac:dyDescent="0.25">
      <c r="A4" s="56">
        <v>4</v>
      </c>
      <c r="B4" s="86" t="s">
        <v>342</v>
      </c>
      <c r="C4" s="87" t="s">
        <v>343</v>
      </c>
      <c r="D4" s="88" t="s">
        <v>344</v>
      </c>
      <c r="E4" s="87" t="s">
        <v>315</v>
      </c>
      <c r="F4" s="89" t="s">
        <v>125</v>
      </c>
      <c r="G4" s="64" t="s">
        <v>1</v>
      </c>
      <c r="H4" s="64" t="s">
        <v>1</v>
      </c>
      <c r="I4" s="64" t="s">
        <v>1</v>
      </c>
      <c r="J4" s="64" t="s">
        <v>1</v>
      </c>
      <c r="K4" s="65" t="s">
        <v>331</v>
      </c>
      <c r="L4" s="58" t="str">
        <f>_xlfn.CONCAT(C4)</f>
        <v>Cromáticos</v>
      </c>
      <c r="M4" s="58" t="str">
        <f t="shared" si="0"/>
        <v>Paletas</v>
      </c>
      <c r="N4" s="58" t="str">
        <f t="shared" si="0"/>
        <v>Canal.de.Cor</v>
      </c>
      <c r="O4" s="58" t="str">
        <f t="shared" si="0"/>
        <v>Yellow</v>
      </c>
      <c r="P4" s="58" t="s">
        <v>239</v>
      </c>
      <c r="Q4" s="58" t="s">
        <v>372</v>
      </c>
      <c r="R4" s="52" t="s">
        <v>353</v>
      </c>
      <c r="S4" s="95" t="s">
        <v>1</v>
      </c>
      <c r="T4" s="52" t="str">
        <f t="shared" si="1"/>
        <v>Cromáticos</v>
      </c>
      <c r="U4" s="52" t="str">
        <f t="shared" si="1"/>
        <v>Paletas</v>
      </c>
      <c r="V4" s="57" t="str">
        <f t="shared" si="1"/>
        <v>Canal.de.Cor</v>
      </c>
      <c r="W4" s="52" t="s">
        <v>90</v>
      </c>
      <c r="X4" s="68" t="str">
        <f t="shared" si="2"/>
        <v>Key-CROMA-4</v>
      </c>
      <c r="Y4" s="70" t="s">
        <v>1</v>
      </c>
      <c r="Z4" s="70" t="s">
        <v>1</v>
      </c>
      <c r="AA4" s="70" t="s">
        <v>1</v>
      </c>
      <c r="AB4" s="70" t="s">
        <v>1</v>
      </c>
      <c r="AC4" s="70" t="s">
        <v>1</v>
      </c>
      <c r="AD4" s="70" t="s">
        <v>1</v>
      </c>
    </row>
    <row r="5" spans="1:30" ht="6.6" customHeight="1" x14ac:dyDescent="0.25">
      <c r="A5" s="56">
        <v>5</v>
      </c>
      <c r="B5" s="86" t="s">
        <v>342</v>
      </c>
      <c r="C5" s="87" t="s">
        <v>343</v>
      </c>
      <c r="D5" s="88" t="s">
        <v>344</v>
      </c>
      <c r="E5" s="87" t="s">
        <v>315</v>
      </c>
      <c r="F5" s="89" t="s">
        <v>126</v>
      </c>
      <c r="G5" s="64" t="s">
        <v>1</v>
      </c>
      <c r="H5" s="64" t="s">
        <v>1</v>
      </c>
      <c r="I5" s="64" t="s">
        <v>1</v>
      </c>
      <c r="J5" s="64" t="s">
        <v>1</v>
      </c>
      <c r="K5" s="65" t="s">
        <v>327</v>
      </c>
      <c r="L5" s="58" t="str">
        <f t="shared" ref="L5:L20" si="3">_xlfn.CONCAT(C5)</f>
        <v>Cromáticos</v>
      </c>
      <c r="M5" s="58" t="str">
        <f t="shared" si="0"/>
        <v>Paletas</v>
      </c>
      <c r="N5" s="58" t="str">
        <f t="shared" si="0"/>
        <v>Canal.de.Cor</v>
      </c>
      <c r="O5" s="58" t="str">
        <f t="shared" si="0"/>
        <v>Black</v>
      </c>
      <c r="P5" s="58" t="s">
        <v>242</v>
      </c>
      <c r="Q5" s="58" t="s">
        <v>373</v>
      </c>
      <c r="R5" s="52" t="s">
        <v>354</v>
      </c>
      <c r="S5" s="95" t="s">
        <v>1</v>
      </c>
      <c r="T5" s="52" t="str">
        <f t="shared" si="1"/>
        <v>Cromáticos</v>
      </c>
      <c r="U5" s="52" t="str">
        <f t="shared" si="1"/>
        <v>Paletas</v>
      </c>
      <c r="V5" s="57" t="str">
        <f t="shared" si="1"/>
        <v>Canal.de.Cor</v>
      </c>
      <c r="W5" s="52" t="s">
        <v>90</v>
      </c>
      <c r="X5" s="68" t="str">
        <f t="shared" si="2"/>
        <v>Key-CROMA-5</v>
      </c>
      <c r="Y5" s="70" t="s">
        <v>1</v>
      </c>
      <c r="Z5" s="70" t="s">
        <v>1</v>
      </c>
      <c r="AA5" s="70" t="s">
        <v>1</v>
      </c>
      <c r="AB5" s="70" t="s">
        <v>1</v>
      </c>
      <c r="AC5" s="70" t="s">
        <v>1</v>
      </c>
      <c r="AD5" s="70" t="s">
        <v>1</v>
      </c>
    </row>
    <row r="6" spans="1:30" ht="6.6" customHeight="1" x14ac:dyDescent="0.25">
      <c r="A6" s="56">
        <v>6</v>
      </c>
      <c r="B6" s="86" t="s">
        <v>342</v>
      </c>
      <c r="C6" s="87" t="s">
        <v>343</v>
      </c>
      <c r="D6" s="88" t="s">
        <v>344</v>
      </c>
      <c r="E6" s="87" t="s">
        <v>315</v>
      </c>
      <c r="F6" s="89" t="s">
        <v>93</v>
      </c>
      <c r="G6" s="64" t="s">
        <v>1</v>
      </c>
      <c r="H6" s="64" t="s">
        <v>1</v>
      </c>
      <c r="I6" s="64" t="s">
        <v>1</v>
      </c>
      <c r="J6" s="64" t="s">
        <v>1</v>
      </c>
      <c r="K6" s="65" t="s">
        <v>328</v>
      </c>
      <c r="L6" s="58" t="str">
        <f>_xlfn.CONCAT(C6)</f>
        <v>Cromáticos</v>
      </c>
      <c r="M6" s="58" t="str">
        <f t="shared" si="0"/>
        <v>Paletas</v>
      </c>
      <c r="N6" s="58" t="str">
        <f t="shared" si="0"/>
        <v>Canal.de.Cor</v>
      </c>
      <c r="O6" s="58" t="str">
        <f t="shared" si="0"/>
        <v>Red</v>
      </c>
      <c r="P6" s="58" t="s">
        <v>238</v>
      </c>
      <c r="Q6" s="58" t="s">
        <v>374</v>
      </c>
      <c r="R6" s="52" t="s">
        <v>355</v>
      </c>
      <c r="S6" s="95" t="s">
        <v>1</v>
      </c>
      <c r="T6" s="52" t="str">
        <f t="shared" si="1"/>
        <v>Cromáticos</v>
      </c>
      <c r="U6" s="52" t="str">
        <f t="shared" si="1"/>
        <v>Paletas</v>
      </c>
      <c r="V6" s="57" t="str">
        <f t="shared" si="1"/>
        <v>Canal.de.Cor</v>
      </c>
      <c r="W6" s="52" t="s">
        <v>90</v>
      </c>
      <c r="X6" s="68" t="str">
        <f t="shared" si="2"/>
        <v>Key-CROMA-6</v>
      </c>
      <c r="Y6" s="70" t="s">
        <v>1</v>
      </c>
      <c r="Z6" s="70" t="s">
        <v>1</v>
      </c>
      <c r="AA6" s="70" t="s">
        <v>1</v>
      </c>
      <c r="AB6" s="70" t="s">
        <v>1</v>
      </c>
      <c r="AC6" s="70" t="s">
        <v>1</v>
      </c>
      <c r="AD6" s="70" t="s">
        <v>1</v>
      </c>
    </row>
    <row r="7" spans="1:30" ht="6.6" customHeight="1" x14ac:dyDescent="0.25">
      <c r="A7" s="56">
        <v>7</v>
      </c>
      <c r="B7" s="86" t="s">
        <v>342</v>
      </c>
      <c r="C7" s="87" t="s">
        <v>343</v>
      </c>
      <c r="D7" s="88" t="s">
        <v>344</v>
      </c>
      <c r="E7" s="87" t="s">
        <v>315</v>
      </c>
      <c r="F7" s="89" t="s">
        <v>94</v>
      </c>
      <c r="G7" s="64" t="s">
        <v>1</v>
      </c>
      <c r="H7" s="64" t="s">
        <v>1</v>
      </c>
      <c r="I7" s="64" t="s">
        <v>1</v>
      </c>
      <c r="J7" s="64" t="s">
        <v>1</v>
      </c>
      <c r="K7" s="65" t="s">
        <v>326</v>
      </c>
      <c r="L7" s="58" t="str">
        <f>_xlfn.CONCAT(C7)</f>
        <v>Cromáticos</v>
      </c>
      <c r="M7" s="58" t="str">
        <f t="shared" si="0"/>
        <v>Paletas</v>
      </c>
      <c r="N7" s="58" t="str">
        <f t="shared" si="0"/>
        <v>Canal.de.Cor</v>
      </c>
      <c r="O7" s="58" t="str">
        <f t="shared" si="0"/>
        <v>Green</v>
      </c>
      <c r="P7" s="58" t="s">
        <v>243</v>
      </c>
      <c r="Q7" s="58" t="s">
        <v>375</v>
      </c>
      <c r="R7" s="52" t="s">
        <v>356</v>
      </c>
      <c r="S7" s="95" t="s">
        <v>1</v>
      </c>
      <c r="T7" s="52" t="str">
        <f t="shared" si="1"/>
        <v>Cromáticos</v>
      </c>
      <c r="U7" s="52" t="str">
        <f t="shared" si="1"/>
        <v>Paletas</v>
      </c>
      <c r="V7" s="57" t="str">
        <f t="shared" si="1"/>
        <v>Canal.de.Cor</v>
      </c>
      <c r="W7" s="52" t="s">
        <v>90</v>
      </c>
      <c r="X7" s="68" t="str">
        <f t="shared" si="2"/>
        <v>Key-CROMA-7</v>
      </c>
      <c r="Y7" s="70" t="s">
        <v>1</v>
      </c>
      <c r="Z7" s="70" t="s">
        <v>1</v>
      </c>
      <c r="AA7" s="70" t="s">
        <v>1</v>
      </c>
      <c r="AB7" s="70" t="s">
        <v>1</v>
      </c>
      <c r="AC7" s="70" t="s">
        <v>1</v>
      </c>
      <c r="AD7" s="70" t="s">
        <v>1</v>
      </c>
    </row>
    <row r="8" spans="1:30" ht="6.6" customHeight="1" x14ac:dyDescent="0.25">
      <c r="A8" s="56">
        <v>8</v>
      </c>
      <c r="B8" s="86" t="s">
        <v>342</v>
      </c>
      <c r="C8" s="87" t="s">
        <v>343</v>
      </c>
      <c r="D8" s="88" t="s">
        <v>344</v>
      </c>
      <c r="E8" s="87" t="s">
        <v>315</v>
      </c>
      <c r="F8" s="89" t="s">
        <v>95</v>
      </c>
      <c r="G8" s="64" t="s">
        <v>1</v>
      </c>
      <c r="H8" s="64" t="s">
        <v>1</v>
      </c>
      <c r="I8" s="64" t="s">
        <v>1</v>
      </c>
      <c r="J8" s="64" t="s">
        <v>1</v>
      </c>
      <c r="K8" s="65" t="s">
        <v>332</v>
      </c>
      <c r="L8" s="58" t="str">
        <f>_xlfn.CONCAT(C8)</f>
        <v>Cromáticos</v>
      </c>
      <c r="M8" s="58" t="str">
        <f t="shared" si="0"/>
        <v>Paletas</v>
      </c>
      <c r="N8" s="58" t="str">
        <f t="shared" si="0"/>
        <v>Canal.de.Cor</v>
      </c>
      <c r="O8" s="58" t="str">
        <f t="shared" si="0"/>
        <v>Blue</v>
      </c>
      <c r="P8" s="58" t="s">
        <v>237</v>
      </c>
      <c r="Q8" s="58" t="s">
        <v>376</v>
      </c>
      <c r="R8" s="52" t="s">
        <v>357</v>
      </c>
      <c r="S8" s="95" t="s">
        <v>1</v>
      </c>
      <c r="T8" s="52" t="str">
        <f t="shared" si="1"/>
        <v>Cromáticos</v>
      </c>
      <c r="U8" s="52" t="str">
        <f t="shared" si="1"/>
        <v>Paletas</v>
      </c>
      <c r="V8" s="57" t="str">
        <f t="shared" si="1"/>
        <v>Canal.de.Cor</v>
      </c>
      <c r="W8" s="52" t="s">
        <v>90</v>
      </c>
      <c r="X8" s="68" t="str">
        <f t="shared" si="2"/>
        <v>Key-CROMA-8</v>
      </c>
      <c r="Y8" s="70" t="s">
        <v>1</v>
      </c>
      <c r="Z8" s="70" t="s">
        <v>1</v>
      </c>
      <c r="AA8" s="70" t="s">
        <v>1</v>
      </c>
      <c r="AB8" s="70" t="s">
        <v>1</v>
      </c>
      <c r="AC8" s="70" t="s">
        <v>1</v>
      </c>
      <c r="AD8" s="70" t="s">
        <v>1</v>
      </c>
    </row>
    <row r="9" spans="1:30" ht="6.6" customHeight="1" x14ac:dyDescent="0.25">
      <c r="A9" s="56">
        <v>9</v>
      </c>
      <c r="B9" s="86" t="s">
        <v>342</v>
      </c>
      <c r="C9" s="87" t="s">
        <v>343</v>
      </c>
      <c r="D9" s="88" t="s">
        <v>344</v>
      </c>
      <c r="E9" s="87" t="s">
        <v>315</v>
      </c>
      <c r="F9" s="89" t="s">
        <v>96</v>
      </c>
      <c r="G9" s="64" t="s">
        <v>1</v>
      </c>
      <c r="H9" s="64" t="s">
        <v>1</v>
      </c>
      <c r="I9" s="64" t="s">
        <v>1</v>
      </c>
      <c r="J9" s="64" t="s">
        <v>1</v>
      </c>
      <c r="K9" s="65" t="s">
        <v>325</v>
      </c>
      <c r="L9" s="58" t="str">
        <f t="shared" ref="L9:L11" si="4">_xlfn.CONCAT(C9)</f>
        <v>Cromáticos</v>
      </c>
      <c r="M9" s="58" t="str">
        <f t="shared" si="0"/>
        <v>Paletas</v>
      </c>
      <c r="N9" s="58" t="str">
        <f t="shared" si="0"/>
        <v>Canal.de.Cor</v>
      </c>
      <c r="O9" s="58" t="str">
        <f t="shared" si="0"/>
        <v>Alfa</v>
      </c>
      <c r="P9" s="58" t="s">
        <v>244</v>
      </c>
      <c r="Q9" s="58" t="s">
        <v>377</v>
      </c>
      <c r="R9" s="52" t="s">
        <v>358</v>
      </c>
      <c r="S9" s="95" t="s">
        <v>1</v>
      </c>
      <c r="T9" s="52" t="str">
        <f t="shared" si="1"/>
        <v>Cromáticos</v>
      </c>
      <c r="U9" s="52" t="str">
        <f t="shared" si="1"/>
        <v>Paletas</v>
      </c>
      <c r="V9" s="57" t="str">
        <f t="shared" si="1"/>
        <v>Canal.de.Cor</v>
      </c>
      <c r="W9" s="52" t="s">
        <v>90</v>
      </c>
      <c r="X9" s="68" t="str">
        <f t="shared" si="2"/>
        <v>Key-CROMA-9</v>
      </c>
      <c r="Y9" s="70" t="s">
        <v>1</v>
      </c>
      <c r="Z9" s="70" t="s">
        <v>1</v>
      </c>
      <c r="AA9" s="70" t="s">
        <v>1</v>
      </c>
      <c r="AB9" s="70" t="s">
        <v>1</v>
      </c>
      <c r="AC9" s="70" t="s">
        <v>1</v>
      </c>
      <c r="AD9" s="70" t="s">
        <v>1</v>
      </c>
    </row>
    <row r="10" spans="1:30" ht="6.6" customHeight="1" x14ac:dyDescent="0.25">
      <c r="A10" s="56">
        <v>10</v>
      </c>
      <c r="B10" s="86" t="s">
        <v>342</v>
      </c>
      <c r="C10" s="87" t="s">
        <v>343</v>
      </c>
      <c r="D10" s="88" t="s">
        <v>344</v>
      </c>
      <c r="E10" s="90" t="s">
        <v>97</v>
      </c>
      <c r="F10" s="91" t="s">
        <v>127</v>
      </c>
      <c r="G10" s="64" t="s">
        <v>1</v>
      </c>
      <c r="H10" s="64" t="s">
        <v>1</v>
      </c>
      <c r="I10" s="64" t="s">
        <v>1</v>
      </c>
      <c r="J10" s="64" t="s">
        <v>1</v>
      </c>
      <c r="K10" s="66" t="s">
        <v>313</v>
      </c>
      <c r="L10" s="59" t="str">
        <f t="shared" si="4"/>
        <v>Cromáticos</v>
      </c>
      <c r="M10" s="59" t="str">
        <f t="shared" si="0"/>
        <v>Paletas</v>
      </c>
      <c r="N10" s="59" t="str">
        <f t="shared" si="0"/>
        <v>Cor.Digital</v>
      </c>
      <c r="O10" s="59" t="str">
        <f t="shared" si="0"/>
        <v>CMY</v>
      </c>
      <c r="P10" s="59" t="s">
        <v>236</v>
      </c>
      <c r="Q10" s="58" t="s">
        <v>378</v>
      </c>
      <c r="R10" s="52" t="s">
        <v>359</v>
      </c>
      <c r="S10" s="95" t="s">
        <v>1</v>
      </c>
      <c r="T10" s="52" t="str">
        <f t="shared" si="1"/>
        <v>Cromáticos</v>
      </c>
      <c r="U10" s="52" t="str">
        <f t="shared" si="1"/>
        <v>Paletas</v>
      </c>
      <c r="V10" s="57" t="str">
        <f t="shared" si="1"/>
        <v>Cor.Digital</v>
      </c>
      <c r="W10" s="52" t="s">
        <v>90</v>
      </c>
      <c r="X10" s="68" t="str">
        <f t="shared" si="2"/>
        <v>Key-CROMA-10</v>
      </c>
      <c r="Y10" s="70" t="s">
        <v>1</v>
      </c>
      <c r="Z10" s="70" t="s">
        <v>1</v>
      </c>
      <c r="AA10" s="70" t="s">
        <v>1</v>
      </c>
      <c r="AB10" s="70" t="s">
        <v>1</v>
      </c>
      <c r="AC10" s="70" t="s">
        <v>1</v>
      </c>
      <c r="AD10" s="70" t="s">
        <v>1</v>
      </c>
    </row>
    <row r="11" spans="1:30" ht="6.6" customHeight="1" x14ac:dyDescent="0.25">
      <c r="A11" s="56">
        <v>11</v>
      </c>
      <c r="B11" s="86" t="s">
        <v>342</v>
      </c>
      <c r="C11" s="87" t="s">
        <v>343</v>
      </c>
      <c r="D11" s="88" t="s">
        <v>344</v>
      </c>
      <c r="E11" s="90" t="s">
        <v>97</v>
      </c>
      <c r="F11" s="91" t="s">
        <v>128</v>
      </c>
      <c r="G11" s="64" t="s">
        <v>1</v>
      </c>
      <c r="H11" s="64" t="s">
        <v>1</v>
      </c>
      <c r="I11" s="64" t="s">
        <v>1</v>
      </c>
      <c r="J11" s="64" t="s">
        <v>1</v>
      </c>
      <c r="K11" s="66" t="s">
        <v>314</v>
      </c>
      <c r="L11" s="59" t="str">
        <f t="shared" si="4"/>
        <v>Cromáticos</v>
      </c>
      <c r="M11" s="59" t="str">
        <f t="shared" si="0"/>
        <v>Paletas</v>
      </c>
      <c r="N11" s="59" t="str">
        <f t="shared" si="0"/>
        <v>Cor.Digital</v>
      </c>
      <c r="O11" s="59" t="str">
        <f t="shared" si="0"/>
        <v>CMYB</v>
      </c>
      <c r="P11" s="59" t="s">
        <v>235</v>
      </c>
      <c r="Q11" s="58" t="s">
        <v>379</v>
      </c>
      <c r="R11" s="52" t="s">
        <v>360</v>
      </c>
      <c r="S11" s="95" t="s">
        <v>1</v>
      </c>
      <c r="T11" s="52" t="str">
        <f t="shared" si="1"/>
        <v>Cromáticos</v>
      </c>
      <c r="U11" s="52" t="str">
        <f t="shared" si="1"/>
        <v>Paletas</v>
      </c>
      <c r="V11" s="57" t="str">
        <f t="shared" si="1"/>
        <v>Cor.Digital</v>
      </c>
      <c r="W11" s="52" t="s">
        <v>90</v>
      </c>
      <c r="X11" s="68" t="str">
        <f t="shared" si="2"/>
        <v>Key-CROMA-11</v>
      </c>
      <c r="Y11" s="70" t="s">
        <v>1</v>
      </c>
      <c r="Z11" s="70" t="s">
        <v>1</v>
      </c>
      <c r="AA11" s="70" t="s">
        <v>1</v>
      </c>
      <c r="AB11" s="70" t="s">
        <v>1</v>
      </c>
      <c r="AC11" s="70" t="s">
        <v>1</v>
      </c>
      <c r="AD11" s="70" t="s">
        <v>1</v>
      </c>
    </row>
    <row r="12" spans="1:30" ht="6.6" customHeight="1" x14ac:dyDescent="0.25">
      <c r="A12" s="56">
        <v>12</v>
      </c>
      <c r="B12" s="86" t="s">
        <v>342</v>
      </c>
      <c r="C12" s="87" t="s">
        <v>343</v>
      </c>
      <c r="D12" s="88" t="s">
        <v>344</v>
      </c>
      <c r="E12" s="90" t="s">
        <v>97</v>
      </c>
      <c r="F12" s="91" t="s">
        <v>129</v>
      </c>
      <c r="G12" s="64" t="s">
        <v>1</v>
      </c>
      <c r="H12" s="64" t="s">
        <v>1</v>
      </c>
      <c r="I12" s="64" t="s">
        <v>1</v>
      </c>
      <c r="J12" s="64" t="s">
        <v>1</v>
      </c>
      <c r="K12" s="66" t="s">
        <v>311</v>
      </c>
      <c r="L12" s="59" t="str">
        <f t="shared" si="3"/>
        <v>Cromáticos</v>
      </c>
      <c r="M12" s="59" t="str">
        <f t="shared" si="0"/>
        <v>Paletas</v>
      </c>
      <c r="N12" s="59" t="str">
        <f t="shared" si="0"/>
        <v>Cor.Digital</v>
      </c>
      <c r="O12" s="59" t="str">
        <f t="shared" si="0"/>
        <v>RGB</v>
      </c>
      <c r="P12" s="59" t="s">
        <v>234</v>
      </c>
      <c r="Q12" s="58" t="s">
        <v>380</v>
      </c>
      <c r="R12" s="52" t="s">
        <v>361</v>
      </c>
      <c r="S12" s="95" t="s">
        <v>1</v>
      </c>
      <c r="T12" s="52" t="str">
        <f t="shared" si="1"/>
        <v>Cromáticos</v>
      </c>
      <c r="U12" s="52" t="str">
        <f t="shared" si="1"/>
        <v>Paletas</v>
      </c>
      <c r="V12" s="57" t="str">
        <f t="shared" si="1"/>
        <v>Cor.Digital</v>
      </c>
      <c r="W12" s="52" t="s">
        <v>90</v>
      </c>
      <c r="X12" s="68" t="str">
        <f t="shared" si="2"/>
        <v>Key-CROMA-12</v>
      </c>
      <c r="Y12" s="70" t="s">
        <v>1</v>
      </c>
      <c r="Z12" s="70" t="s">
        <v>1</v>
      </c>
      <c r="AA12" s="70" t="s">
        <v>1</v>
      </c>
      <c r="AB12" s="70" t="s">
        <v>1</v>
      </c>
      <c r="AC12" s="70" t="s">
        <v>1</v>
      </c>
      <c r="AD12" s="70" t="s">
        <v>1</v>
      </c>
    </row>
    <row r="13" spans="1:30" ht="6.6" customHeight="1" x14ac:dyDescent="0.25">
      <c r="A13" s="56">
        <v>13</v>
      </c>
      <c r="B13" s="86" t="s">
        <v>342</v>
      </c>
      <c r="C13" s="87" t="s">
        <v>343</v>
      </c>
      <c r="D13" s="88" t="s">
        <v>344</v>
      </c>
      <c r="E13" s="90" t="s">
        <v>97</v>
      </c>
      <c r="F13" s="91" t="s">
        <v>130</v>
      </c>
      <c r="G13" s="64" t="s">
        <v>1</v>
      </c>
      <c r="H13" s="64" t="s">
        <v>1</v>
      </c>
      <c r="I13" s="64" t="s">
        <v>1</v>
      </c>
      <c r="J13" s="64" t="s">
        <v>1</v>
      </c>
      <c r="K13" s="66" t="s">
        <v>312</v>
      </c>
      <c r="L13" s="59" t="str">
        <f t="shared" si="3"/>
        <v>Cromáticos</v>
      </c>
      <c r="M13" s="59" t="str">
        <f t="shared" si="0"/>
        <v>Paletas</v>
      </c>
      <c r="N13" s="59" t="str">
        <f t="shared" si="0"/>
        <v>Cor.Digital</v>
      </c>
      <c r="O13" s="59" t="str">
        <f t="shared" si="0"/>
        <v>RGBA</v>
      </c>
      <c r="P13" s="59" t="s">
        <v>230</v>
      </c>
      <c r="Q13" s="58" t="s">
        <v>381</v>
      </c>
      <c r="R13" s="52" t="s">
        <v>362</v>
      </c>
      <c r="S13" s="95" t="s">
        <v>1</v>
      </c>
      <c r="T13" s="52" t="str">
        <f t="shared" si="1"/>
        <v>Cromáticos</v>
      </c>
      <c r="U13" s="52" t="str">
        <f t="shared" si="1"/>
        <v>Paletas</v>
      </c>
      <c r="V13" s="57" t="str">
        <f t="shared" si="1"/>
        <v>Cor.Digital</v>
      </c>
      <c r="W13" s="52" t="s">
        <v>90</v>
      </c>
      <c r="X13" s="68" t="str">
        <f t="shared" si="2"/>
        <v>Key-CROMA-13</v>
      </c>
      <c r="Y13" s="70" t="s">
        <v>1</v>
      </c>
      <c r="Z13" s="70" t="s">
        <v>1</v>
      </c>
      <c r="AA13" s="70" t="s">
        <v>1</v>
      </c>
      <c r="AB13" s="70" t="s">
        <v>1</v>
      </c>
      <c r="AC13" s="70" t="s">
        <v>1</v>
      </c>
      <c r="AD13" s="70" t="s">
        <v>1</v>
      </c>
    </row>
    <row r="14" spans="1:30" ht="6.6" customHeight="1" x14ac:dyDescent="0.25">
      <c r="A14" s="56">
        <v>14</v>
      </c>
      <c r="B14" s="86" t="s">
        <v>342</v>
      </c>
      <c r="C14" s="87" t="s">
        <v>343</v>
      </c>
      <c r="D14" s="88" t="s">
        <v>344</v>
      </c>
      <c r="E14" s="90" t="s">
        <v>149</v>
      </c>
      <c r="F14" s="91" t="s">
        <v>174</v>
      </c>
      <c r="G14" s="64" t="s">
        <v>1</v>
      </c>
      <c r="H14" s="64" t="s">
        <v>1</v>
      </c>
      <c r="I14" s="64" t="s">
        <v>1</v>
      </c>
      <c r="J14" s="64" t="s">
        <v>1</v>
      </c>
      <c r="K14" s="64" t="s">
        <v>1</v>
      </c>
      <c r="L14" s="59" t="str">
        <f t="shared" si="3"/>
        <v>Cromáticos</v>
      </c>
      <c r="M14" s="59" t="str">
        <f t="shared" si="0"/>
        <v>Paletas</v>
      </c>
      <c r="N14" s="59" t="str">
        <f t="shared" si="0"/>
        <v>Munsell</v>
      </c>
      <c r="O14" s="59" t="str">
        <f t="shared" si="0"/>
        <v>Hue</v>
      </c>
      <c r="P14" s="59" t="s">
        <v>233</v>
      </c>
      <c r="Q14" s="58" t="s">
        <v>382</v>
      </c>
      <c r="R14" s="52" t="s">
        <v>363</v>
      </c>
      <c r="S14" s="95" t="s">
        <v>1</v>
      </c>
      <c r="T14" s="52" t="str">
        <f t="shared" si="1"/>
        <v>Cromáticos</v>
      </c>
      <c r="U14" s="52" t="str">
        <f t="shared" si="1"/>
        <v>Paletas</v>
      </c>
      <c r="V14" s="57" t="str">
        <f t="shared" si="1"/>
        <v>Munsell</v>
      </c>
      <c r="W14" s="52" t="s">
        <v>90</v>
      </c>
      <c r="X14" s="68" t="str">
        <f t="shared" si="2"/>
        <v>Key-CROMA-14</v>
      </c>
      <c r="Y14" s="70" t="s">
        <v>1</v>
      </c>
      <c r="Z14" s="70" t="s">
        <v>1</v>
      </c>
      <c r="AA14" s="70" t="s">
        <v>1</v>
      </c>
      <c r="AB14" s="70" t="s">
        <v>1</v>
      </c>
      <c r="AC14" s="70" t="s">
        <v>1</v>
      </c>
      <c r="AD14" s="70" t="s">
        <v>1</v>
      </c>
    </row>
    <row r="15" spans="1:30" ht="6.6" customHeight="1" x14ac:dyDescent="0.25">
      <c r="A15" s="56">
        <v>15</v>
      </c>
      <c r="B15" s="86" t="s">
        <v>342</v>
      </c>
      <c r="C15" s="87" t="s">
        <v>343</v>
      </c>
      <c r="D15" s="88" t="s">
        <v>344</v>
      </c>
      <c r="E15" s="90" t="s">
        <v>149</v>
      </c>
      <c r="F15" s="91" t="s">
        <v>175</v>
      </c>
      <c r="G15" s="64" t="s">
        <v>1</v>
      </c>
      <c r="H15" s="64" t="s">
        <v>1</v>
      </c>
      <c r="I15" s="64" t="s">
        <v>1</v>
      </c>
      <c r="J15" s="64" t="s">
        <v>1</v>
      </c>
      <c r="K15" s="64" t="s">
        <v>1</v>
      </c>
      <c r="L15" s="59" t="str">
        <f t="shared" si="3"/>
        <v>Cromáticos</v>
      </c>
      <c r="M15" s="59" t="str">
        <f t="shared" si="0"/>
        <v>Paletas</v>
      </c>
      <c r="N15" s="59" t="str">
        <f t="shared" si="0"/>
        <v>Munsell</v>
      </c>
      <c r="O15" s="59" t="str">
        <f t="shared" si="0"/>
        <v>Luminosidade</v>
      </c>
      <c r="P15" s="59" t="s">
        <v>232</v>
      </c>
      <c r="Q15" s="58" t="s">
        <v>383</v>
      </c>
      <c r="R15" s="52" t="s">
        <v>364</v>
      </c>
      <c r="S15" s="95" t="s">
        <v>1</v>
      </c>
      <c r="T15" s="52" t="str">
        <f t="shared" si="1"/>
        <v>Cromáticos</v>
      </c>
      <c r="U15" s="52" t="str">
        <f t="shared" si="1"/>
        <v>Paletas</v>
      </c>
      <c r="V15" s="57" t="str">
        <f t="shared" si="1"/>
        <v>Munsell</v>
      </c>
      <c r="W15" s="52" t="s">
        <v>90</v>
      </c>
      <c r="X15" s="68" t="str">
        <f t="shared" si="2"/>
        <v>Key-CROMA-15</v>
      </c>
      <c r="Y15" s="70" t="s">
        <v>1</v>
      </c>
      <c r="Z15" s="70" t="s">
        <v>1</v>
      </c>
      <c r="AA15" s="70" t="s">
        <v>1</v>
      </c>
      <c r="AB15" s="70" t="s">
        <v>1</v>
      </c>
      <c r="AC15" s="70" t="s">
        <v>1</v>
      </c>
      <c r="AD15" s="70" t="s">
        <v>1</v>
      </c>
    </row>
    <row r="16" spans="1:30" ht="6.6" customHeight="1" x14ac:dyDescent="0.25">
      <c r="A16" s="56">
        <v>16</v>
      </c>
      <c r="B16" s="86" t="s">
        <v>342</v>
      </c>
      <c r="C16" s="87" t="s">
        <v>343</v>
      </c>
      <c r="D16" s="88" t="s">
        <v>344</v>
      </c>
      <c r="E16" s="90" t="s">
        <v>149</v>
      </c>
      <c r="F16" s="91" t="s">
        <v>176</v>
      </c>
      <c r="G16" s="64" t="s">
        <v>1</v>
      </c>
      <c r="H16" s="64" t="s">
        <v>1</v>
      </c>
      <c r="I16" s="64" t="s">
        <v>1</v>
      </c>
      <c r="J16" s="64" t="s">
        <v>1</v>
      </c>
      <c r="K16" s="64" t="s">
        <v>1</v>
      </c>
      <c r="L16" s="59" t="str">
        <f t="shared" si="3"/>
        <v>Cromáticos</v>
      </c>
      <c r="M16" s="59" t="str">
        <f t="shared" si="0"/>
        <v>Paletas</v>
      </c>
      <c r="N16" s="59" t="str">
        <f t="shared" si="0"/>
        <v>Munsell</v>
      </c>
      <c r="O16" s="59" t="str">
        <f t="shared" si="0"/>
        <v>Croma</v>
      </c>
      <c r="P16" s="59" t="s">
        <v>231</v>
      </c>
      <c r="Q16" s="58" t="s">
        <v>384</v>
      </c>
      <c r="R16" s="52" t="s">
        <v>365</v>
      </c>
      <c r="S16" s="95" t="s">
        <v>1</v>
      </c>
      <c r="T16" s="52" t="str">
        <f t="shared" si="1"/>
        <v>Cromáticos</v>
      </c>
      <c r="U16" s="52" t="str">
        <f t="shared" si="1"/>
        <v>Paletas</v>
      </c>
      <c r="V16" s="57" t="str">
        <f t="shared" si="1"/>
        <v>Munsell</v>
      </c>
      <c r="W16" s="52" t="s">
        <v>90</v>
      </c>
      <c r="X16" s="68" t="str">
        <f t="shared" si="2"/>
        <v>Key-CROMA-16</v>
      </c>
      <c r="Y16" s="70" t="s">
        <v>1</v>
      </c>
      <c r="Z16" s="70" t="s">
        <v>1</v>
      </c>
      <c r="AA16" s="70" t="s">
        <v>1</v>
      </c>
      <c r="AB16" s="70" t="s">
        <v>1</v>
      </c>
      <c r="AC16" s="70" t="s">
        <v>1</v>
      </c>
      <c r="AD16" s="70" t="s">
        <v>1</v>
      </c>
    </row>
    <row r="17" spans="1:30" ht="6.6" customHeight="1" x14ac:dyDescent="0.25">
      <c r="A17" s="56">
        <v>17</v>
      </c>
      <c r="B17" s="86" t="s">
        <v>342</v>
      </c>
      <c r="C17" s="87" t="s">
        <v>343</v>
      </c>
      <c r="D17" s="88" t="s">
        <v>344</v>
      </c>
      <c r="E17" s="90" t="s">
        <v>149</v>
      </c>
      <c r="F17" s="91" t="s">
        <v>227</v>
      </c>
      <c r="G17" s="64" t="s">
        <v>1</v>
      </c>
      <c r="H17" s="64" t="s">
        <v>1</v>
      </c>
      <c r="I17" s="64" t="s">
        <v>1</v>
      </c>
      <c r="J17" s="64" t="s">
        <v>1</v>
      </c>
      <c r="K17" s="64" t="s">
        <v>1</v>
      </c>
      <c r="L17" s="59" t="str">
        <f t="shared" si="3"/>
        <v>Cromáticos</v>
      </c>
      <c r="M17" s="59" t="str">
        <f t="shared" si="0"/>
        <v>Paletas</v>
      </c>
      <c r="N17" s="59" t="str">
        <f t="shared" si="0"/>
        <v>Munsell</v>
      </c>
      <c r="O17" s="59" t="str">
        <f t="shared" si="0"/>
        <v>Cor.Munsell</v>
      </c>
      <c r="P17" s="59" t="s">
        <v>228</v>
      </c>
      <c r="Q17" s="58" t="s">
        <v>385</v>
      </c>
      <c r="R17" s="52" t="s">
        <v>366</v>
      </c>
      <c r="S17" s="95" t="s">
        <v>1</v>
      </c>
      <c r="T17" s="52" t="str">
        <f t="shared" si="1"/>
        <v>Cromáticos</v>
      </c>
      <c r="U17" s="52" t="str">
        <f t="shared" si="1"/>
        <v>Paletas</v>
      </c>
      <c r="V17" s="57" t="str">
        <f t="shared" si="1"/>
        <v>Munsell</v>
      </c>
      <c r="W17" s="52" t="s">
        <v>90</v>
      </c>
      <c r="X17" s="68" t="str">
        <f t="shared" si="2"/>
        <v>Key-CROMA-17</v>
      </c>
      <c r="Y17" s="70" t="s">
        <v>1</v>
      </c>
      <c r="Z17" s="70" t="s">
        <v>1</v>
      </c>
      <c r="AA17" s="70" t="s">
        <v>1</v>
      </c>
      <c r="AB17" s="70" t="s">
        <v>1</v>
      </c>
      <c r="AC17" s="70" t="s">
        <v>1</v>
      </c>
      <c r="AD17" s="70" t="s">
        <v>1</v>
      </c>
    </row>
    <row r="18" spans="1:30" ht="6.6" customHeight="1" x14ac:dyDescent="0.25">
      <c r="A18" s="56">
        <v>18</v>
      </c>
      <c r="B18" s="86" t="s">
        <v>342</v>
      </c>
      <c r="C18" s="87" t="s">
        <v>343</v>
      </c>
      <c r="D18" s="90" t="s">
        <v>119</v>
      </c>
      <c r="E18" s="90" t="s">
        <v>114</v>
      </c>
      <c r="F18" s="91" t="s">
        <v>115</v>
      </c>
      <c r="G18" s="64" t="s">
        <v>1</v>
      </c>
      <c r="H18" s="64" t="s">
        <v>1</v>
      </c>
      <c r="I18" s="64" t="s">
        <v>1</v>
      </c>
      <c r="J18" s="64" t="s">
        <v>1</v>
      </c>
      <c r="K18" s="64" t="s">
        <v>1</v>
      </c>
      <c r="L18" s="59" t="str">
        <f t="shared" si="3"/>
        <v>Cromáticos</v>
      </c>
      <c r="M18" s="59" t="str">
        <f t="shared" ref="M18:O20" si="5">_xlfn.CONCAT("", D18)</f>
        <v>Catálogo</v>
      </c>
      <c r="N18" s="59" t="str">
        <f t="shared" si="5"/>
        <v>Pantone</v>
      </c>
      <c r="O18" s="59" t="str">
        <f t="shared" si="5"/>
        <v xml:space="preserve">Cor.Pantone </v>
      </c>
      <c r="P18" s="59" t="s">
        <v>229</v>
      </c>
      <c r="Q18" s="58" t="s">
        <v>386</v>
      </c>
      <c r="R18" s="52" t="s">
        <v>367</v>
      </c>
      <c r="S18" s="95" t="s">
        <v>1</v>
      </c>
      <c r="T18" s="52" t="str">
        <f t="shared" ref="T18:V20" si="6">SUBSTITUTE(C18, "_", " ")</f>
        <v>Cromáticos</v>
      </c>
      <c r="U18" s="52" t="str">
        <f t="shared" si="6"/>
        <v>Catálogo</v>
      </c>
      <c r="V18" s="57" t="str">
        <f t="shared" si="6"/>
        <v>Pantone</v>
      </c>
      <c r="W18" s="52" t="s">
        <v>90</v>
      </c>
      <c r="X18" s="68" t="str">
        <f t="shared" si="2"/>
        <v>Key-CROMA-18</v>
      </c>
      <c r="Y18" s="70" t="s">
        <v>1</v>
      </c>
      <c r="Z18" s="70" t="s">
        <v>1</v>
      </c>
      <c r="AA18" s="70" t="s">
        <v>1</v>
      </c>
      <c r="AB18" s="70" t="s">
        <v>1</v>
      </c>
      <c r="AC18" s="70" t="s">
        <v>1</v>
      </c>
      <c r="AD18" s="70" t="s">
        <v>1</v>
      </c>
    </row>
    <row r="19" spans="1:30" ht="6.6" customHeight="1" x14ac:dyDescent="0.25">
      <c r="A19" s="56">
        <v>19</v>
      </c>
      <c r="B19" s="86" t="s">
        <v>342</v>
      </c>
      <c r="C19" s="87" t="s">
        <v>343</v>
      </c>
      <c r="D19" s="90" t="s">
        <v>119</v>
      </c>
      <c r="E19" s="90" t="s">
        <v>116</v>
      </c>
      <c r="F19" s="91" t="s">
        <v>117</v>
      </c>
      <c r="G19" s="64" t="s">
        <v>1</v>
      </c>
      <c r="H19" s="64" t="s">
        <v>1</v>
      </c>
      <c r="I19" s="64" t="s">
        <v>1</v>
      </c>
      <c r="J19" s="64" t="s">
        <v>1</v>
      </c>
      <c r="K19" s="64" t="s">
        <v>1</v>
      </c>
      <c r="L19" s="59" t="str">
        <f t="shared" si="3"/>
        <v>Cromáticos</v>
      </c>
      <c r="M19" s="59" t="str">
        <f t="shared" si="5"/>
        <v>Catálogo</v>
      </c>
      <c r="N19" s="59" t="str">
        <f t="shared" si="5"/>
        <v>DNIT</v>
      </c>
      <c r="O19" s="59" t="str">
        <f t="shared" si="5"/>
        <v xml:space="preserve">Cor.Dnit </v>
      </c>
      <c r="P19" s="59" t="s">
        <v>245</v>
      </c>
      <c r="Q19" s="58" t="s">
        <v>387</v>
      </c>
      <c r="R19" s="52" t="s">
        <v>368</v>
      </c>
      <c r="S19" s="95" t="s">
        <v>1</v>
      </c>
      <c r="T19" s="52" t="str">
        <f t="shared" si="6"/>
        <v>Cromáticos</v>
      </c>
      <c r="U19" s="52" t="str">
        <f t="shared" si="6"/>
        <v>Catálogo</v>
      </c>
      <c r="V19" s="57" t="str">
        <f t="shared" si="6"/>
        <v>DNIT</v>
      </c>
      <c r="W19" s="52" t="s">
        <v>90</v>
      </c>
      <c r="X19" s="68" t="str">
        <f t="shared" si="2"/>
        <v>Key-CROMA-19</v>
      </c>
      <c r="Y19" s="70" t="s">
        <v>1</v>
      </c>
      <c r="Z19" s="70" t="s">
        <v>1</v>
      </c>
      <c r="AA19" s="70" t="s">
        <v>1</v>
      </c>
      <c r="AB19" s="70" t="s">
        <v>1</v>
      </c>
      <c r="AC19" s="70" t="s">
        <v>1</v>
      </c>
      <c r="AD19" s="70" t="s">
        <v>1</v>
      </c>
    </row>
    <row r="20" spans="1:30" ht="6.75" customHeight="1" x14ac:dyDescent="0.25">
      <c r="A20" s="56">
        <v>20</v>
      </c>
      <c r="B20" s="86" t="s">
        <v>345</v>
      </c>
      <c r="C20" s="92" t="s">
        <v>347</v>
      </c>
      <c r="D20" s="88" t="s">
        <v>349</v>
      </c>
      <c r="E20" s="92" t="s">
        <v>348</v>
      </c>
      <c r="F20" s="90" t="s">
        <v>346</v>
      </c>
      <c r="G20" s="64" t="s">
        <v>1</v>
      </c>
      <c r="H20" s="64" t="s">
        <v>1</v>
      </c>
      <c r="I20" s="64" t="s">
        <v>1</v>
      </c>
      <c r="J20" s="64" t="s">
        <v>1</v>
      </c>
      <c r="K20" s="64" t="s">
        <v>1</v>
      </c>
      <c r="L20" s="59" t="str">
        <f t="shared" si="3"/>
        <v>Cromático</v>
      </c>
      <c r="M20" s="59" t="str">
        <f t="shared" si="5"/>
        <v>Paletas.Usadas</v>
      </c>
      <c r="N20" s="59" t="str">
        <f t="shared" si="5"/>
        <v>Cores</v>
      </c>
      <c r="O20" s="59" t="str">
        <f t="shared" si="5"/>
        <v>Cor</v>
      </c>
      <c r="P20" s="59" t="s">
        <v>350</v>
      </c>
      <c r="Q20" s="59" t="s">
        <v>388</v>
      </c>
      <c r="R20" s="58" t="s">
        <v>369</v>
      </c>
      <c r="S20" s="84" t="s">
        <v>1</v>
      </c>
      <c r="T20" s="52" t="str">
        <f t="shared" si="6"/>
        <v>Cromático</v>
      </c>
      <c r="U20" s="52" t="str">
        <f t="shared" si="6"/>
        <v>Paletas.Usadas</v>
      </c>
      <c r="V20" s="57" t="str">
        <f t="shared" si="6"/>
        <v>Cores</v>
      </c>
      <c r="W20" s="52" t="s">
        <v>90</v>
      </c>
      <c r="X20" s="68" t="str">
        <f t="shared" ref="X20:X25" si="7">CONCATENATE("Key-CROMA-",A20)</f>
        <v>Key-CROMA-20</v>
      </c>
      <c r="Y20" s="70" t="s">
        <v>1</v>
      </c>
      <c r="Z20" s="70" t="s">
        <v>1</v>
      </c>
      <c r="AA20" s="70" t="s">
        <v>1</v>
      </c>
      <c r="AB20" s="70" t="s">
        <v>1</v>
      </c>
      <c r="AC20" s="70" t="s">
        <v>1</v>
      </c>
      <c r="AD20" s="70" t="s">
        <v>1</v>
      </c>
    </row>
    <row r="21" spans="1:30" s="85" customFormat="1" ht="6.75" customHeight="1" x14ac:dyDescent="0.25">
      <c r="A21" s="56">
        <v>21</v>
      </c>
      <c r="B21" s="86" t="s">
        <v>437</v>
      </c>
      <c r="C21" s="93" t="s">
        <v>438</v>
      </c>
      <c r="D21" s="93" t="s">
        <v>439</v>
      </c>
      <c r="E21" s="93" t="s">
        <v>440</v>
      </c>
      <c r="F21" s="93" t="s">
        <v>416</v>
      </c>
      <c r="G21" s="60" t="s">
        <v>1</v>
      </c>
      <c r="H21" s="60" t="s">
        <v>1</v>
      </c>
      <c r="I21" s="60" t="s">
        <v>1</v>
      </c>
      <c r="J21" s="60" t="s">
        <v>1</v>
      </c>
      <c r="K21" s="60" t="s">
        <v>1</v>
      </c>
      <c r="L21" s="57" t="str">
        <f t="shared" ref="L21:M25" si="8">CONCATENATE("", C21)</f>
        <v>API.Plataforma</v>
      </c>
      <c r="M21" s="57" t="str">
        <f t="shared" si="8"/>
        <v>API.Macros</v>
      </c>
      <c r="N21" s="57" t="str">
        <f t="shared" ref="N21:O25" si="9">(SUBSTITUTE(SUBSTITUTE(CONCATENATE("",E21),"."," ")," De "," de "))</f>
        <v>API Método</v>
      </c>
      <c r="O21" s="57" t="str">
        <f t="shared" si="9"/>
        <v>Função Auxiliar</v>
      </c>
      <c r="P21" s="52" t="s">
        <v>417</v>
      </c>
      <c r="Q21" s="52" t="s">
        <v>418</v>
      </c>
      <c r="R21" s="52" t="s">
        <v>419</v>
      </c>
      <c r="S21" s="84" t="s">
        <v>1</v>
      </c>
      <c r="T21" s="52" t="str">
        <f t="shared" ref="T21:V25" si="10">SUBSTITUTE(C21, ".", " ")</f>
        <v>API Plataforma</v>
      </c>
      <c r="U21" s="52" t="str">
        <f t="shared" si="10"/>
        <v>API Macros</v>
      </c>
      <c r="V21" s="69" t="str">
        <f t="shared" si="10"/>
        <v>API Método</v>
      </c>
      <c r="W21" s="52" t="s">
        <v>90</v>
      </c>
      <c r="X21" s="68" t="str">
        <f t="shared" ref="X21:X25" si="11">CONCATENATE("Key-CROMA-",A21)</f>
        <v>Key-CROMA-21</v>
      </c>
      <c r="Y21" s="70" t="s">
        <v>1</v>
      </c>
      <c r="Z21" s="70" t="s">
        <v>1</v>
      </c>
      <c r="AA21" s="70" t="s">
        <v>1</v>
      </c>
      <c r="AB21" s="70" t="s">
        <v>1</v>
      </c>
      <c r="AC21" s="70" t="s">
        <v>1</v>
      </c>
      <c r="AD21" s="70" t="s">
        <v>1</v>
      </c>
    </row>
    <row r="22" spans="1:30" s="85" customFormat="1" ht="6.75" customHeight="1" x14ac:dyDescent="0.25">
      <c r="A22" s="56">
        <v>22</v>
      </c>
      <c r="B22" s="86" t="s">
        <v>437</v>
      </c>
      <c r="C22" s="93" t="s">
        <v>438</v>
      </c>
      <c r="D22" s="93" t="s">
        <v>439</v>
      </c>
      <c r="E22" s="93" t="s">
        <v>440</v>
      </c>
      <c r="F22" s="93" t="s">
        <v>420</v>
      </c>
      <c r="G22" s="60" t="s">
        <v>1</v>
      </c>
      <c r="H22" s="60" t="s">
        <v>1</v>
      </c>
      <c r="I22" s="60" t="s">
        <v>1</v>
      </c>
      <c r="J22" s="60" t="s">
        <v>1</v>
      </c>
      <c r="K22" s="60" t="s">
        <v>1</v>
      </c>
      <c r="L22" s="57" t="str">
        <f t="shared" si="8"/>
        <v>API.Plataforma</v>
      </c>
      <c r="M22" s="57" t="str">
        <f t="shared" si="8"/>
        <v>API.Macros</v>
      </c>
      <c r="N22" s="57" t="str">
        <f t="shared" si="9"/>
        <v>API Método</v>
      </c>
      <c r="O22" s="57" t="str">
        <f t="shared" si="9"/>
        <v>Função Global</v>
      </c>
      <c r="P22" s="52" t="s">
        <v>421</v>
      </c>
      <c r="Q22" s="52" t="s">
        <v>422</v>
      </c>
      <c r="R22" s="52" t="s">
        <v>423</v>
      </c>
      <c r="S22" s="84" t="s">
        <v>1</v>
      </c>
      <c r="T22" s="52" t="str">
        <f t="shared" si="10"/>
        <v>API Plataforma</v>
      </c>
      <c r="U22" s="52" t="str">
        <f t="shared" si="10"/>
        <v>API Macros</v>
      </c>
      <c r="V22" s="69" t="str">
        <f t="shared" si="10"/>
        <v>API Método</v>
      </c>
      <c r="W22" s="52" t="s">
        <v>90</v>
      </c>
      <c r="X22" s="68" t="str">
        <f t="shared" si="11"/>
        <v>Key-CROMA-22</v>
      </c>
      <c r="Y22" s="70" t="s">
        <v>1</v>
      </c>
      <c r="Z22" s="70" t="s">
        <v>1</v>
      </c>
      <c r="AA22" s="70" t="s">
        <v>1</v>
      </c>
      <c r="AB22" s="70" t="s">
        <v>1</v>
      </c>
      <c r="AC22" s="70" t="s">
        <v>1</v>
      </c>
      <c r="AD22" s="70" t="s">
        <v>1</v>
      </c>
    </row>
    <row r="23" spans="1:30" s="85" customFormat="1" ht="6.75" customHeight="1" x14ac:dyDescent="0.25">
      <c r="A23" s="56">
        <v>23</v>
      </c>
      <c r="B23" s="86" t="s">
        <v>437</v>
      </c>
      <c r="C23" s="93" t="s">
        <v>438</v>
      </c>
      <c r="D23" s="93" t="s">
        <v>439</v>
      </c>
      <c r="E23" s="93" t="s">
        <v>440</v>
      </c>
      <c r="F23" s="93" t="s">
        <v>424</v>
      </c>
      <c r="G23" s="60" t="s">
        <v>1</v>
      </c>
      <c r="H23" s="60" t="s">
        <v>1</v>
      </c>
      <c r="I23" s="60" t="s">
        <v>1</v>
      </c>
      <c r="J23" s="60" t="s">
        <v>1</v>
      </c>
      <c r="K23" s="60" t="s">
        <v>1</v>
      </c>
      <c r="L23" s="57" t="str">
        <f t="shared" si="8"/>
        <v>API.Plataforma</v>
      </c>
      <c r="M23" s="57" t="str">
        <f t="shared" si="8"/>
        <v>API.Macros</v>
      </c>
      <c r="N23" s="57" t="str">
        <f t="shared" si="9"/>
        <v>API Método</v>
      </c>
      <c r="O23" s="57" t="str">
        <f t="shared" si="9"/>
        <v>Função Local</v>
      </c>
      <c r="P23" s="52" t="s">
        <v>425</v>
      </c>
      <c r="Q23" s="52" t="s">
        <v>426</v>
      </c>
      <c r="R23" s="52" t="s">
        <v>427</v>
      </c>
      <c r="S23" s="84" t="s">
        <v>1</v>
      </c>
      <c r="T23" s="52" t="str">
        <f t="shared" si="10"/>
        <v>API Plataforma</v>
      </c>
      <c r="U23" s="52" t="str">
        <f t="shared" si="10"/>
        <v>API Macros</v>
      </c>
      <c r="V23" s="69" t="str">
        <f t="shared" si="10"/>
        <v>API Método</v>
      </c>
      <c r="W23" s="52" t="s">
        <v>90</v>
      </c>
      <c r="X23" s="68" t="str">
        <f t="shared" si="11"/>
        <v>Key-CROMA-23</v>
      </c>
      <c r="Y23" s="70" t="s">
        <v>1</v>
      </c>
      <c r="Z23" s="70" t="s">
        <v>1</v>
      </c>
      <c r="AA23" s="70" t="s">
        <v>1</v>
      </c>
      <c r="AB23" s="70" t="s">
        <v>1</v>
      </c>
      <c r="AC23" s="70" t="s">
        <v>1</v>
      </c>
      <c r="AD23" s="70" t="s">
        <v>1</v>
      </c>
    </row>
    <row r="24" spans="1:30" s="85" customFormat="1" ht="6.75" customHeight="1" x14ac:dyDescent="0.25">
      <c r="A24" s="56">
        <v>24</v>
      </c>
      <c r="B24" s="86" t="s">
        <v>437</v>
      </c>
      <c r="C24" s="93" t="s">
        <v>438</v>
      </c>
      <c r="D24" s="93" t="s">
        <v>439</v>
      </c>
      <c r="E24" s="93" t="s">
        <v>440</v>
      </c>
      <c r="F24" s="93" t="s">
        <v>428</v>
      </c>
      <c r="G24" s="60" t="s">
        <v>1</v>
      </c>
      <c r="H24" s="60" t="s">
        <v>1</v>
      </c>
      <c r="I24" s="60" t="s">
        <v>1</v>
      </c>
      <c r="J24" s="60" t="s">
        <v>1</v>
      </c>
      <c r="K24" s="60" t="s">
        <v>1</v>
      </c>
      <c r="L24" s="57" t="str">
        <f t="shared" si="8"/>
        <v>API.Plataforma</v>
      </c>
      <c r="M24" s="57" t="str">
        <f t="shared" si="8"/>
        <v>API.Macros</v>
      </c>
      <c r="N24" s="57" t="str">
        <f t="shared" si="9"/>
        <v>API Método</v>
      </c>
      <c r="O24" s="57" t="str">
        <f t="shared" si="9"/>
        <v>Função Filtro</v>
      </c>
      <c r="P24" s="52" t="s">
        <v>429</v>
      </c>
      <c r="Q24" s="52" t="s">
        <v>430</v>
      </c>
      <c r="R24" s="52" t="s">
        <v>431</v>
      </c>
      <c r="S24" s="84" t="s">
        <v>1</v>
      </c>
      <c r="T24" s="52" t="str">
        <f t="shared" si="10"/>
        <v>API Plataforma</v>
      </c>
      <c r="U24" s="52" t="str">
        <f t="shared" si="10"/>
        <v>API Macros</v>
      </c>
      <c r="V24" s="69" t="str">
        <f t="shared" si="10"/>
        <v>API Método</v>
      </c>
      <c r="W24" s="52" t="s">
        <v>90</v>
      </c>
      <c r="X24" s="68" t="str">
        <f t="shared" si="11"/>
        <v>Key-CROMA-24</v>
      </c>
      <c r="Y24" s="70" t="s">
        <v>1</v>
      </c>
      <c r="Z24" s="70" t="s">
        <v>1</v>
      </c>
      <c r="AA24" s="70" t="s">
        <v>1</v>
      </c>
      <c r="AB24" s="70" t="s">
        <v>1</v>
      </c>
      <c r="AC24" s="70" t="s">
        <v>1</v>
      </c>
      <c r="AD24" s="70" t="s">
        <v>1</v>
      </c>
    </row>
    <row r="25" spans="1:30" s="85" customFormat="1" ht="6.75" customHeight="1" x14ac:dyDescent="0.25">
      <c r="A25" s="56">
        <v>25</v>
      </c>
      <c r="B25" s="86" t="s">
        <v>437</v>
      </c>
      <c r="C25" s="93" t="s">
        <v>438</v>
      </c>
      <c r="D25" s="93" t="s">
        <v>441</v>
      </c>
      <c r="E25" s="93" t="s">
        <v>442</v>
      </c>
      <c r="F25" s="93" t="s">
        <v>432</v>
      </c>
      <c r="G25" s="60" t="s">
        <v>1</v>
      </c>
      <c r="H25" s="60" t="s">
        <v>1</v>
      </c>
      <c r="I25" s="60" t="s">
        <v>1</v>
      </c>
      <c r="J25" s="60" t="s">
        <v>1</v>
      </c>
      <c r="K25" s="60" t="s">
        <v>1</v>
      </c>
      <c r="L25" s="57" t="str">
        <f t="shared" si="8"/>
        <v>API.Plataforma</v>
      </c>
      <c r="M25" s="57" t="str">
        <f t="shared" si="8"/>
        <v>API.Macros.Visuais</v>
      </c>
      <c r="N25" s="57" t="str">
        <f t="shared" si="9"/>
        <v>API Método Visual</v>
      </c>
      <c r="O25" s="57" t="str">
        <f t="shared" si="9"/>
        <v>Bloco de Código</v>
      </c>
      <c r="P25" s="52" t="s">
        <v>433</v>
      </c>
      <c r="Q25" s="52" t="s">
        <v>434</v>
      </c>
      <c r="R25" s="52" t="s">
        <v>435</v>
      </c>
      <c r="S25" s="84" t="s">
        <v>1</v>
      </c>
      <c r="T25" s="52" t="str">
        <f t="shared" si="10"/>
        <v>API Plataforma</v>
      </c>
      <c r="U25" s="52" t="str">
        <f t="shared" si="10"/>
        <v>API Macros Visuais</v>
      </c>
      <c r="V25" s="69" t="str">
        <f t="shared" si="10"/>
        <v>API Método Visual</v>
      </c>
      <c r="W25" s="52" t="s">
        <v>90</v>
      </c>
      <c r="X25" s="68" t="str">
        <f t="shared" si="11"/>
        <v>Key-CROMA-25</v>
      </c>
      <c r="Y25" s="70" t="s">
        <v>1</v>
      </c>
      <c r="Z25" s="70" t="s">
        <v>1</v>
      </c>
      <c r="AA25" s="70" t="s">
        <v>1</v>
      </c>
      <c r="AB25" s="70" t="s">
        <v>1</v>
      </c>
      <c r="AC25" s="70" t="s">
        <v>1</v>
      </c>
      <c r="AD25" s="70" t="s">
        <v>1</v>
      </c>
    </row>
  </sheetData>
  <phoneticPr fontId="1" type="noConversion"/>
  <conditionalFormatting sqref="A2:B20 A21:A25">
    <cfRule type="cellIs" dxfId="0" priority="5" operator="equal">
      <formula>"null"</formula>
    </cfRule>
  </conditionalFormatting>
  <conditionalFormatting sqref="A1:J1 C2:F19 T1:AD1 L2:Q19 T2:W19 W20:W25">
    <cfRule type="cellIs" dxfId="31" priority="36" operator="equal">
      <formula>"null"</formula>
    </cfRule>
  </conditionalFormatting>
  <conditionalFormatting sqref="D20">
    <cfRule type="cellIs" dxfId="30" priority="12" operator="equal">
      <formula>"null"</formula>
    </cfRule>
  </conditionalFormatting>
  <conditionalFormatting sqref="F1:F19 F26:F1048576">
    <cfRule type="duplicateValues" dxfId="28" priority="35"/>
  </conditionalFormatting>
  <conditionalFormatting sqref="F20">
    <cfRule type="duplicateValues" dxfId="27" priority="14"/>
  </conditionalFormatting>
  <conditionalFormatting sqref="K1:Q1 K2:K13">
    <cfRule type="cellIs" dxfId="25" priority="21" operator="equal">
      <formula>"null"</formula>
    </cfRule>
  </conditionalFormatting>
  <conditionalFormatting sqref="R1:R19">
    <cfRule type="cellIs" dxfId="24" priority="11" operator="equal">
      <formula>"null"</formula>
    </cfRule>
  </conditionalFormatting>
  <conditionalFormatting sqref="F21:F25">
    <cfRule type="duplicateValues" dxfId="3" priority="1"/>
    <cfRule type="duplicateValues" dxfId="2" priority="2"/>
  </conditionalFormatting>
  <pageMargins left="0.511811024" right="0.511811024" top="0.78740157499999996" bottom="0.78740157499999996" header="0.31496062000000002" footer="0.31496062000000002"/>
  <pageSetup paperSize="9" orientation="portrait" r:id="rId1"/>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2"/>
  <sheetViews>
    <sheetView zoomScale="205" zoomScaleNormal="205" workbookViewId="0">
      <pane ySplit="1" topLeftCell="A2" activePane="bottomLeft" state="frozen"/>
      <selection activeCell="C18" sqref="C18"/>
      <selection pane="bottomLeft" activeCell="B12" sqref="B12"/>
    </sheetView>
  </sheetViews>
  <sheetFormatPr defaultColWidth="11.140625" defaultRowHeight="7.9" customHeight="1" x14ac:dyDescent="0.15"/>
  <cols>
    <col min="1" max="1" width="2.85546875" style="1" bestFit="1" customWidth="1"/>
    <col min="2" max="10" width="5.85546875" style="2" customWidth="1"/>
    <col min="11" max="21" width="5.85546875" style="5" customWidth="1"/>
    <col min="22" max="16384" width="11.140625" style="5"/>
  </cols>
  <sheetData>
    <row r="1" spans="1:21" s="3" customFormat="1" ht="49.5" customHeight="1" x14ac:dyDescent="0.15">
      <c r="A1" s="35" t="s">
        <v>22</v>
      </c>
      <c r="B1" s="36" t="s">
        <v>2</v>
      </c>
      <c r="C1" s="36" t="s">
        <v>3</v>
      </c>
      <c r="D1" s="36" t="s">
        <v>4</v>
      </c>
      <c r="E1" s="36" t="s">
        <v>5</v>
      </c>
      <c r="F1" s="36" t="s">
        <v>6</v>
      </c>
      <c r="G1" s="36" t="s">
        <v>7</v>
      </c>
      <c r="H1" s="36" t="s">
        <v>8</v>
      </c>
      <c r="I1" s="36" t="s">
        <v>9</v>
      </c>
      <c r="J1" s="36" t="s">
        <v>10</v>
      </c>
      <c r="K1" s="36" t="s">
        <v>11</v>
      </c>
      <c r="L1" s="36" t="s">
        <v>12</v>
      </c>
      <c r="M1" s="36" t="s">
        <v>13</v>
      </c>
      <c r="N1" s="36" t="s">
        <v>14</v>
      </c>
      <c r="O1" s="36" t="s">
        <v>15</v>
      </c>
      <c r="P1" s="36" t="s">
        <v>16</v>
      </c>
      <c r="Q1" s="36" t="s">
        <v>17</v>
      </c>
      <c r="R1" s="36" t="s">
        <v>18</v>
      </c>
      <c r="S1" s="36" t="s">
        <v>19</v>
      </c>
      <c r="T1" s="36" t="s">
        <v>20</v>
      </c>
      <c r="U1" s="36" t="s">
        <v>21</v>
      </c>
    </row>
    <row r="2" spans="1:21" ht="9" customHeight="1" x14ac:dyDescent="0.15">
      <c r="A2" s="35">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sheetData>
  <phoneticPr fontId="1" type="noConversion"/>
  <conditionalFormatting sqref="A1:XFD1048576">
    <cfRule type="cellIs" dxfId="23"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C2"/>
  <sheetViews>
    <sheetView zoomScale="175" zoomScaleNormal="175" workbookViewId="0">
      <pane ySplit="1" topLeftCell="A2" activePane="bottomLeft" state="frozen"/>
      <selection activeCell="C18" sqref="C18"/>
      <selection pane="bottomLeft" activeCell="B2" sqref="B2"/>
    </sheetView>
  </sheetViews>
  <sheetFormatPr defaultColWidth="9.140625" defaultRowHeight="15" x14ac:dyDescent="0.25"/>
  <cols>
    <col min="1" max="1" width="3.28515625" customWidth="1"/>
    <col min="2" max="2" width="10.28515625" customWidth="1"/>
    <col min="3" max="3" width="14.85546875" customWidth="1"/>
  </cols>
  <sheetData>
    <row r="1" spans="1:3" ht="27" customHeight="1" x14ac:dyDescent="0.25">
      <c r="A1" s="32">
        <v>1</v>
      </c>
      <c r="B1" s="33" t="s">
        <v>102</v>
      </c>
      <c r="C1" s="33" t="s">
        <v>103</v>
      </c>
    </row>
    <row r="2" spans="1:3" ht="14.45" customHeight="1" x14ac:dyDescent="0.25">
      <c r="A2" s="19">
        <v>2</v>
      </c>
      <c r="B2" s="34" t="s">
        <v>1</v>
      </c>
      <c r="C2" s="34" t="s">
        <v>1</v>
      </c>
    </row>
  </sheetData>
  <conditionalFormatting sqref="A1:A2">
    <cfRule type="cellIs" dxfId="22" priority="1"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033-0BF0-4BCC-B911-A6BC1CA10036}">
  <dimension ref="A1:AU67"/>
  <sheetViews>
    <sheetView tabSelected="1" zoomScale="175" zoomScaleNormal="175" workbookViewId="0">
      <pane ySplit="1" topLeftCell="A50" activePane="bottomLeft" state="frozen"/>
      <selection pane="bottomLeft" activeCell="E70" sqref="E70"/>
    </sheetView>
  </sheetViews>
  <sheetFormatPr defaultColWidth="9.140625" defaultRowHeight="6.75" customHeight="1" x14ac:dyDescent="0.25"/>
  <cols>
    <col min="1" max="1" width="2.5703125" bestFit="1" customWidth="1"/>
    <col min="2" max="2" width="9.28515625" bestFit="1" customWidth="1"/>
    <col min="3" max="3" width="8" bestFit="1" customWidth="1"/>
    <col min="4" max="4" width="8.7109375" bestFit="1" customWidth="1"/>
    <col min="5" max="5" width="9.28515625" bestFit="1" customWidth="1"/>
    <col min="6" max="7" width="7.140625" bestFit="1" customWidth="1"/>
    <col min="8" max="8" width="7.140625" style="62" bestFit="1" customWidth="1"/>
    <col min="9" max="9" width="6.7109375" style="62" bestFit="1" customWidth="1"/>
    <col min="10" max="10" width="6.28515625" style="41" bestFit="1" customWidth="1"/>
    <col min="11" max="11" width="91.42578125" style="41" bestFit="1" customWidth="1"/>
    <col min="12" max="12" width="4.28515625" style="41" bestFit="1" customWidth="1"/>
    <col min="13" max="13" width="15.42578125" style="41" bestFit="1" customWidth="1"/>
    <col min="14" max="14" width="6" bestFit="1" customWidth="1"/>
    <col min="15" max="15" width="46.42578125" bestFit="1" customWidth="1"/>
    <col min="16" max="16" width="6.7109375" style="38" bestFit="1" customWidth="1"/>
    <col min="17" max="17" width="3.85546875" style="38" bestFit="1" customWidth="1"/>
    <col min="18" max="18" width="8.140625" style="38" bestFit="1" customWidth="1"/>
    <col min="19" max="19" width="3.85546875" style="38" bestFit="1" customWidth="1"/>
    <col min="20" max="20" width="7.140625" style="38" bestFit="1" customWidth="1"/>
    <col min="21" max="21" width="3.85546875" style="38" bestFit="1" customWidth="1"/>
    <col min="22" max="22" width="4.28515625" style="38" bestFit="1" customWidth="1"/>
    <col min="23" max="23" width="3.85546875" style="38" bestFit="1" customWidth="1"/>
    <col min="24" max="24" width="5" style="38" bestFit="1" customWidth="1"/>
    <col min="25" max="25" width="9.140625" style="38" bestFit="1" customWidth="1"/>
    <col min="26" max="26" width="4.28515625" style="38" bestFit="1" customWidth="1"/>
    <col min="27" max="27" width="6.28515625" style="38" bestFit="1" customWidth="1"/>
    <col min="28" max="28" width="4.28515625" style="38" bestFit="1" customWidth="1"/>
    <col min="29" max="29" width="15.42578125" style="38" bestFit="1" customWidth="1"/>
    <col min="30" max="30" width="4.28515625" style="38" bestFit="1" customWidth="1"/>
    <col min="31" max="31" width="7.85546875" style="38" bestFit="1" customWidth="1"/>
    <col min="32" max="32" width="4.28515625" style="38" bestFit="1" customWidth="1"/>
    <col min="33" max="33" width="4" style="38" bestFit="1" customWidth="1"/>
    <col min="34" max="34" width="5.28515625" style="38" bestFit="1" customWidth="1"/>
    <col min="35" max="35" width="14.28515625" style="38" bestFit="1" customWidth="1"/>
    <col min="36" max="36" width="7.5703125" bestFit="1" customWidth="1"/>
    <col min="37" max="37" width="9.42578125" bestFit="1" customWidth="1"/>
    <col min="38" max="38" width="4.28515625" bestFit="1" customWidth="1"/>
    <col min="39" max="39" width="3.85546875" bestFit="1" customWidth="1"/>
    <col min="40" max="40" width="4.28515625" bestFit="1" customWidth="1"/>
    <col min="41" max="41" width="3.85546875" bestFit="1" customWidth="1"/>
    <col min="42" max="42" width="4.28515625" bestFit="1" customWidth="1"/>
    <col min="43" max="43" width="3.85546875" bestFit="1" customWidth="1"/>
    <col min="44" max="44" width="4.28515625" bestFit="1" customWidth="1"/>
    <col min="45" max="45" width="3.85546875" bestFit="1" customWidth="1"/>
    <col min="46" max="46" width="4.28515625" bestFit="1" customWidth="1"/>
    <col min="47" max="47" width="3.85546875" bestFit="1" customWidth="1"/>
  </cols>
  <sheetData>
    <row r="1" spans="1:47" ht="45.75" customHeight="1" x14ac:dyDescent="0.25">
      <c r="A1" s="44" t="s">
        <v>91</v>
      </c>
      <c r="B1" s="28" t="s">
        <v>49</v>
      </c>
      <c r="C1" s="31" t="s">
        <v>49</v>
      </c>
      <c r="D1" s="28" t="s">
        <v>48</v>
      </c>
      <c r="E1" s="28" t="s">
        <v>92</v>
      </c>
      <c r="F1" s="28" t="s">
        <v>48</v>
      </c>
      <c r="G1" s="28" t="s">
        <v>92</v>
      </c>
      <c r="H1" s="28" t="s">
        <v>48</v>
      </c>
      <c r="I1" s="28" t="s">
        <v>92</v>
      </c>
      <c r="J1" s="50" t="s">
        <v>48</v>
      </c>
      <c r="K1" s="50" t="s">
        <v>92</v>
      </c>
      <c r="L1" s="50" t="s">
        <v>48</v>
      </c>
      <c r="M1" s="50" t="s">
        <v>92</v>
      </c>
      <c r="N1" s="28" t="s">
        <v>48</v>
      </c>
      <c r="O1" s="28" t="s">
        <v>92</v>
      </c>
      <c r="P1" s="28" t="s">
        <v>48</v>
      </c>
      <c r="Q1" s="28" t="s">
        <v>92</v>
      </c>
      <c r="R1" s="28" t="s">
        <v>48</v>
      </c>
      <c r="S1" s="28" t="s">
        <v>92</v>
      </c>
      <c r="T1" s="28" t="s">
        <v>48</v>
      </c>
      <c r="U1" s="28" t="s">
        <v>92</v>
      </c>
      <c r="V1" s="28" t="s">
        <v>48</v>
      </c>
      <c r="W1" s="28" t="s">
        <v>92</v>
      </c>
      <c r="X1" s="28" t="s">
        <v>48</v>
      </c>
      <c r="Y1" s="28" t="s">
        <v>92</v>
      </c>
      <c r="Z1" s="28" t="s">
        <v>48</v>
      </c>
      <c r="AA1" s="28" t="s">
        <v>92</v>
      </c>
      <c r="AB1" s="28" t="s">
        <v>48</v>
      </c>
      <c r="AC1" s="28" t="s">
        <v>92</v>
      </c>
      <c r="AD1" s="28" t="s">
        <v>48</v>
      </c>
      <c r="AE1" s="28" t="s">
        <v>92</v>
      </c>
      <c r="AF1" s="28" t="s">
        <v>48</v>
      </c>
      <c r="AG1" s="28" t="s">
        <v>92</v>
      </c>
      <c r="AH1" s="28" t="s">
        <v>48</v>
      </c>
      <c r="AI1" s="28" t="s">
        <v>92</v>
      </c>
      <c r="AJ1" s="28" t="s">
        <v>48</v>
      </c>
      <c r="AK1" s="28" t="s">
        <v>92</v>
      </c>
      <c r="AL1" s="28" t="s">
        <v>48</v>
      </c>
      <c r="AM1" s="28" t="s">
        <v>92</v>
      </c>
      <c r="AN1" s="28" t="s">
        <v>48</v>
      </c>
      <c r="AO1" s="28" t="s">
        <v>92</v>
      </c>
      <c r="AP1" s="28" t="s">
        <v>48</v>
      </c>
      <c r="AQ1" s="28" t="s">
        <v>92</v>
      </c>
      <c r="AR1" s="28" t="s">
        <v>48</v>
      </c>
      <c r="AS1" s="28" t="s">
        <v>92</v>
      </c>
      <c r="AT1" s="28" t="s">
        <v>48</v>
      </c>
      <c r="AU1" s="28" t="s">
        <v>92</v>
      </c>
    </row>
    <row r="2" spans="1:47" s="37" customFormat="1" ht="6.75" customHeight="1" x14ac:dyDescent="0.25">
      <c r="A2" s="73">
        <v>2</v>
      </c>
      <c r="B2" s="30" t="s">
        <v>107</v>
      </c>
      <c r="C2" s="20" t="s">
        <v>93</v>
      </c>
      <c r="D2" s="27" t="s">
        <v>1</v>
      </c>
      <c r="E2" s="29" t="s">
        <v>1</v>
      </c>
      <c r="F2" s="27" t="s">
        <v>122</v>
      </c>
      <c r="G2" s="29" t="s">
        <v>316</v>
      </c>
      <c r="H2" s="27" t="s">
        <v>122</v>
      </c>
      <c r="I2" s="29" t="s">
        <v>318</v>
      </c>
      <c r="J2" s="40" t="s">
        <v>1</v>
      </c>
      <c r="K2" s="71" t="s">
        <v>1</v>
      </c>
      <c r="L2" s="40" t="s">
        <v>1</v>
      </c>
      <c r="M2" s="71" t="s">
        <v>1</v>
      </c>
      <c r="N2" s="39" t="s">
        <v>140</v>
      </c>
      <c r="O2" s="42" t="s">
        <v>258</v>
      </c>
      <c r="P2" s="39" t="s">
        <v>333</v>
      </c>
      <c r="Q2" s="42">
        <v>255</v>
      </c>
      <c r="R2" s="39" t="s">
        <v>1</v>
      </c>
      <c r="S2" s="42" t="s">
        <v>1</v>
      </c>
      <c r="T2" s="39" t="s">
        <v>1</v>
      </c>
      <c r="U2" s="42" t="s">
        <v>1</v>
      </c>
      <c r="V2" s="39" t="s">
        <v>1</v>
      </c>
      <c r="W2" s="42" t="s">
        <v>1</v>
      </c>
      <c r="X2" s="39" t="s">
        <v>1</v>
      </c>
      <c r="Y2" s="42" t="str">
        <f>IF(OR(X2="rgb",X2="cmy",X2="rgba",X2="cmyb"),  SUBSTITUTE(_xlfn.CONCAT("""",Q2,".",S2,".",U2,".",W2,""""), ".null",""), X2)</f>
        <v>null</v>
      </c>
      <c r="Z2" s="39" t="s">
        <v>1</v>
      </c>
      <c r="AA2" s="42" t="s">
        <v>1</v>
      </c>
      <c r="AB2" s="39" t="s">
        <v>1</v>
      </c>
      <c r="AC2" s="42" t="s">
        <v>1</v>
      </c>
      <c r="AD2" s="39" t="s">
        <v>1</v>
      </c>
      <c r="AE2" s="42" t="s">
        <v>1</v>
      </c>
      <c r="AF2" s="39" t="s">
        <v>1</v>
      </c>
      <c r="AG2" s="42" t="s">
        <v>1</v>
      </c>
      <c r="AH2" s="39" t="s">
        <v>1</v>
      </c>
      <c r="AI2" s="42" t="s">
        <v>1</v>
      </c>
      <c r="AJ2" s="39" t="s">
        <v>1</v>
      </c>
      <c r="AK2" s="42" t="s">
        <v>1</v>
      </c>
      <c r="AL2" s="27" t="s">
        <v>1</v>
      </c>
      <c r="AM2" s="29" t="s">
        <v>1</v>
      </c>
      <c r="AN2" s="27" t="s">
        <v>1</v>
      </c>
      <c r="AO2" s="29" t="s">
        <v>1</v>
      </c>
      <c r="AP2" s="27" t="s">
        <v>1</v>
      </c>
      <c r="AQ2" s="29" t="s">
        <v>1</v>
      </c>
      <c r="AR2" s="27" t="s">
        <v>1</v>
      </c>
      <c r="AS2" s="29" t="s">
        <v>1</v>
      </c>
      <c r="AT2" s="27" t="s">
        <v>1</v>
      </c>
      <c r="AU2" s="29" t="s">
        <v>1</v>
      </c>
    </row>
    <row r="3" spans="1:47" s="37" customFormat="1" ht="6.75" customHeight="1" x14ac:dyDescent="0.25">
      <c r="A3" s="73">
        <v>3</v>
      </c>
      <c r="B3" s="30" t="s">
        <v>108</v>
      </c>
      <c r="C3" s="20" t="s">
        <v>94</v>
      </c>
      <c r="D3" s="27" t="s">
        <v>1</v>
      </c>
      <c r="E3" s="29" t="s">
        <v>1</v>
      </c>
      <c r="F3" s="27" t="s">
        <v>122</v>
      </c>
      <c r="G3" s="29" t="s">
        <v>316</v>
      </c>
      <c r="H3" s="27" t="s">
        <v>122</v>
      </c>
      <c r="I3" s="29" t="s">
        <v>318</v>
      </c>
      <c r="J3" s="40" t="s">
        <v>1</v>
      </c>
      <c r="K3" s="71" t="s">
        <v>1</v>
      </c>
      <c r="L3" s="40" t="s">
        <v>1</v>
      </c>
      <c r="M3" s="71" t="s">
        <v>1</v>
      </c>
      <c r="N3" s="39" t="s">
        <v>140</v>
      </c>
      <c r="O3" s="42" t="s">
        <v>259</v>
      </c>
      <c r="P3" s="39" t="s">
        <v>334</v>
      </c>
      <c r="Q3" s="42">
        <v>255</v>
      </c>
      <c r="R3" s="39" t="s">
        <v>1</v>
      </c>
      <c r="S3" s="42" t="s">
        <v>1</v>
      </c>
      <c r="T3" s="39" t="s">
        <v>1</v>
      </c>
      <c r="U3" s="42" t="s">
        <v>1</v>
      </c>
      <c r="V3" s="39" t="s">
        <v>1</v>
      </c>
      <c r="W3" s="42" t="s">
        <v>1</v>
      </c>
      <c r="X3" s="39" t="s">
        <v>1</v>
      </c>
      <c r="Y3" s="42" t="str">
        <f>IF(OR(X3="rgb",X3="cmy",X3="rgba",X3="cmyb"),  SUBSTITUTE(_xlfn.CONCAT("""",Q3,".",S3,".",U3,".",W3,""""), ".null",""), X3)</f>
        <v>null</v>
      </c>
      <c r="Z3" s="39" t="s">
        <v>1</v>
      </c>
      <c r="AA3" s="42" t="s">
        <v>1</v>
      </c>
      <c r="AB3" s="39" t="s">
        <v>1</v>
      </c>
      <c r="AC3" s="42" t="s">
        <v>1</v>
      </c>
      <c r="AD3" s="39" t="s">
        <v>1</v>
      </c>
      <c r="AE3" s="42" t="s">
        <v>1</v>
      </c>
      <c r="AF3" s="39" t="s">
        <v>1</v>
      </c>
      <c r="AG3" s="42" t="s">
        <v>1</v>
      </c>
      <c r="AH3" s="39" t="s">
        <v>1</v>
      </c>
      <c r="AI3" s="42" t="s">
        <v>1</v>
      </c>
      <c r="AJ3" s="39" t="s">
        <v>1</v>
      </c>
      <c r="AK3" s="42" t="s">
        <v>1</v>
      </c>
      <c r="AL3" s="27" t="s">
        <v>1</v>
      </c>
      <c r="AM3" s="29" t="s">
        <v>1</v>
      </c>
      <c r="AN3" s="27" t="s">
        <v>1</v>
      </c>
      <c r="AO3" s="29" t="s">
        <v>1</v>
      </c>
      <c r="AP3" s="27" t="s">
        <v>1</v>
      </c>
      <c r="AQ3" s="29" t="s">
        <v>1</v>
      </c>
      <c r="AR3" s="27" t="s">
        <v>1</v>
      </c>
      <c r="AS3" s="29" t="s">
        <v>1</v>
      </c>
      <c r="AT3" s="27" t="s">
        <v>1</v>
      </c>
      <c r="AU3" s="29" t="s">
        <v>1</v>
      </c>
    </row>
    <row r="4" spans="1:47" s="37" customFormat="1" ht="6.75" customHeight="1" x14ac:dyDescent="0.25">
      <c r="A4" s="73">
        <v>4</v>
      </c>
      <c r="B4" s="30" t="s">
        <v>109</v>
      </c>
      <c r="C4" s="20" t="s">
        <v>95</v>
      </c>
      <c r="D4" s="27" t="s">
        <v>1</v>
      </c>
      <c r="E4" s="29" t="s">
        <v>1</v>
      </c>
      <c r="F4" s="27" t="s">
        <v>122</v>
      </c>
      <c r="G4" s="29" t="s">
        <v>316</v>
      </c>
      <c r="H4" s="27" t="s">
        <v>122</v>
      </c>
      <c r="I4" s="29" t="s">
        <v>318</v>
      </c>
      <c r="J4" s="40" t="s">
        <v>1</v>
      </c>
      <c r="K4" s="71" t="s">
        <v>1</v>
      </c>
      <c r="L4" s="40" t="s">
        <v>1</v>
      </c>
      <c r="M4" s="71" t="s">
        <v>1</v>
      </c>
      <c r="N4" s="39" t="s">
        <v>140</v>
      </c>
      <c r="O4" s="42" t="s">
        <v>260</v>
      </c>
      <c r="P4" s="39" t="s">
        <v>335</v>
      </c>
      <c r="Q4" s="42">
        <v>255</v>
      </c>
      <c r="R4" s="39" t="s">
        <v>1</v>
      </c>
      <c r="S4" s="42" t="s">
        <v>1</v>
      </c>
      <c r="T4" s="39" t="s">
        <v>1</v>
      </c>
      <c r="U4" s="42" t="s">
        <v>1</v>
      </c>
      <c r="V4" s="39" t="s">
        <v>1</v>
      </c>
      <c r="W4" s="42" t="s">
        <v>1</v>
      </c>
      <c r="X4" s="39" t="s">
        <v>1</v>
      </c>
      <c r="Y4" s="42" t="str">
        <f>IF(OR(X4="rgb",X4="cmy",X4="rgba",X4="cmyb"),  SUBSTITUTE(_xlfn.CONCAT("""",Q4,".",S4,".",U4,".",W4,""""), ".null",""), X4)</f>
        <v>null</v>
      </c>
      <c r="Z4" s="39" t="s">
        <v>1</v>
      </c>
      <c r="AA4" s="42" t="s">
        <v>1</v>
      </c>
      <c r="AB4" s="39" t="s">
        <v>1</v>
      </c>
      <c r="AC4" s="42" t="s">
        <v>1</v>
      </c>
      <c r="AD4" s="39" t="s">
        <v>1</v>
      </c>
      <c r="AE4" s="42" t="s">
        <v>1</v>
      </c>
      <c r="AF4" s="39" t="s">
        <v>1</v>
      </c>
      <c r="AG4" s="42" t="s">
        <v>1</v>
      </c>
      <c r="AH4" s="39" t="s">
        <v>1</v>
      </c>
      <c r="AI4" s="42" t="s">
        <v>1</v>
      </c>
      <c r="AJ4" s="39" t="s">
        <v>1</v>
      </c>
      <c r="AK4" s="42" t="s">
        <v>1</v>
      </c>
      <c r="AL4" s="27" t="s">
        <v>1</v>
      </c>
      <c r="AM4" s="29" t="s">
        <v>1</v>
      </c>
      <c r="AN4" s="27" t="s">
        <v>1</v>
      </c>
      <c r="AO4" s="29" t="s">
        <v>1</v>
      </c>
      <c r="AP4" s="27" t="s">
        <v>1</v>
      </c>
      <c r="AQ4" s="29" t="s">
        <v>1</v>
      </c>
      <c r="AR4" s="27" t="s">
        <v>1</v>
      </c>
      <c r="AS4" s="29" t="s">
        <v>1</v>
      </c>
      <c r="AT4" s="27" t="s">
        <v>1</v>
      </c>
      <c r="AU4" s="29" t="s">
        <v>1</v>
      </c>
    </row>
    <row r="5" spans="1:47" s="37" customFormat="1" ht="6.75" customHeight="1" x14ac:dyDescent="0.25">
      <c r="A5" s="73">
        <v>5</v>
      </c>
      <c r="B5" s="30" t="s">
        <v>110</v>
      </c>
      <c r="C5" s="20" t="s">
        <v>96</v>
      </c>
      <c r="D5" s="27" t="s">
        <v>1</v>
      </c>
      <c r="E5" s="29" t="s">
        <v>1</v>
      </c>
      <c r="F5" s="27" t="s">
        <v>1</v>
      </c>
      <c r="G5" s="29" t="s">
        <v>1</v>
      </c>
      <c r="H5" s="27" t="s">
        <v>122</v>
      </c>
      <c r="I5" s="29" t="s">
        <v>318</v>
      </c>
      <c r="J5" s="40" t="s">
        <v>1</v>
      </c>
      <c r="K5" s="71" t="s">
        <v>1</v>
      </c>
      <c r="L5" s="40" t="s">
        <v>1</v>
      </c>
      <c r="M5" s="71" t="s">
        <v>1</v>
      </c>
      <c r="N5" s="39" t="s">
        <v>140</v>
      </c>
      <c r="O5" s="42" t="s">
        <v>261</v>
      </c>
      <c r="P5" s="39" t="s">
        <v>336</v>
      </c>
      <c r="Q5" s="42">
        <v>255</v>
      </c>
      <c r="R5" s="39" t="s">
        <v>1</v>
      </c>
      <c r="S5" s="42" t="s">
        <v>1</v>
      </c>
      <c r="T5" s="39" t="s">
        <v>1</v>
      </c>
      <c r="U5" s="42" t="s">
        <v>1</v>
      </c>
      <c r="V5" s="39" t="s">
        <v>1</v>
      </c>
      <c r="W5" s="42" t="s">
        <v>1</v>
      </c>
      <c r="X5" s="39" t="s">
        <v>1</v>
      </c>
      <c r="Y5" s="42" t="str">
        <f>IF(OR(X5="rgb",X5="cmy",X5="rgba",X5="cmyb"),  SUBSTITUTE(_xlfn.CONCAT("""",Q5,".",S5,".",U5,".",W5,""""), ".null",""), X5)</f>
        <v>null</v>
      </c>
      <c r="Z5" s="39" t="s">
        <v>1</v>
      </c>
      <c r="AA5" s="42" t="s">
        <v>1</v>
      </c>
      <c r="AB5" s="39" t="s">
        <v>1</v>
      </c>
      <c r="AC5" s="42" t="s">
        <v>1</v>
      </c>
      <c r="AD5" s="39" t="s">
        <v>1</v>
      </c>
      <c r="AE5" s="42" t="s">
        <v>1</v>
      </c>
      <c r="AF5" s="39" t="s">
        <v>1</v>
      </c>
      <c r="AG5" s="42" t="s">
        <v>1</v>
      </c>
      <c r="AH5" s="39" t="s">
        <v>1</v>
      </c>
      <c r="AI5" s="42" t="s">
        <v>1</v>
      </c>
      <c r="AJ5" s="39" t="s">
        <v>1</v>
      </c>
      <c r="AK5" s="42" t="s">
        <v>1</v>
      </c>
      <c r="AL5" s="27" t="s">
        <v>1</v>
      </c>
      <c r="AM5" s="29" t="s">
        <v>1</v>
      </c>
      <c r="AN5" s="27" t="s">
        <v>1</v>
      </c>
      <c r="AO5" s="29" t="s">
        <v>1</v>
      </c>
      <c r="AP5" s="27" t="s">
        <v>1</v>
      </c>
      <c r="AQ5" s="29" t="s">
        <v>1</v>
      </c>
      <c r="AR5" s="27" t="s">
        <v>1</v>
      </c>
      <c r="AS5" s="29" t="s">
        <v>1</v>
      </c>
      <c r="AT5" s="27" t="s">
        <v>1</v>
      </c>
      <c r="AU5" s="29" t="s">
        <v>1</v>
      </c>
    </row>
    <row r="6" spans="1:47" s="37" customFormat="1" ht="6.75" customHeight="1" x14ac:dyDescent="0.25">
      <c r="A6" s="73">
        <v>6</v>
      </c>
      <c r="B6" s="30" t="s">
        <v>111</v>
      </c>
      <c r="C6" s="20" t="s">
        <v>129</v>
      </c>
      <c r="D6" s="27" t="s">
        <v>1</v>
      </c>
      <c r="E6" s="29" t="s">
        <v>1</v>
      </c>
      <c r="F6" s="27" t="s">
        <v>122</v>
      </c>
      <c r="G6" s="29" t="s">
        <v>316</v>
      </c>
      <c r="H6" s="27" t="s">
        <v>1</v>
      </c>
      <c r="I6" s="29" t="s">
        <v>1</v>
      </c>
      <c r="J6" s="40" t="s">
        <v>1</v>
      </c>
      <c r="K6" s="71" t="s">
        <v>1</v>
      </c>
      <c r="L6" s="40" t="s">
        <v>1</v>
      </c>
      <c r="M6" s="71" t="s">
        <v>1</v>
      </c>
      <c r="N6" s="39" t="s">
        <v>140</v>
      </c>
      <c r="O6" s="42" t="s">
        <v>268</v>
      </c>
      <c r="P6" s="39" t="s">
        <v>333</v>
      </c>
      <c r="Q6" s="42">
        <v>255</v>
      </c>
      <c r="R6" s="39" t="s">
        <v>334</v>
      </c>
      <c r="S6" s="42">
        <v>0</v>
      </c>
      <c r="T6" s="39" t="s">
        <v>335</v>
      </c>
      <c r="U6" s="42">
        <v>0</v>
      </c>
      <c r="V6" s="39" t="s">
        <v>1</v>
      </c>
      <c r="W6" s="42" t="s">
        <v>1</v>
      </c>
      <c r="X6" s="39" t="s">
        <v>340</v>
      </c>
      <c r="Y6" s="42" t="str">
        <f t="shared" ref="Y6:Y15" si="0">IF(OR(X6="cor.rgb",X6="cor.cmy",X6="cor.rgba",X6="cor.cmyb"),  SUBSTITUTE(_xlfn.CONCAT("""",Q6,".",S6,".",U6,".",W6,""""), ".null",""), X6)</f>
        <v>"255.0.0"</v>
      </c>
      <c r="Z6" s="39" t="s">
        <v>1</v>
      </c>
      <c r="AA6" s="42" t="s">
        <v>1</v>
      </c>
      <c r="AB6" s="39" t="s">
        <v>1</v>
      </c>
      <c r="AC6" s="42" t="s">
        <v>1</v>
      </c>
      <c r="AD6" s="39" t="s">
        <v>1</v>
      </c>
      <c r="AE6" s="42" t="s">
        <v>1</v>
      </c>
      <c r="AF6" s="39" t="s">
        <v>1</v>
      </c>
      <c r="AG6" s="42" t="s">
        <v>1</v>
      </c>
      <c r="AH6" s="39" t="s">
        <v>1</v>
      </c>
      <c r="AI6" s="42" t="s">
        <v>1</v>
      </c>
      <c r="AJ6" s="39" t="s">
        <v>1</v>
      </c>
      <c r="AK6" s="42" t="s">
        <v>1</v>
      </c>
      <c r="AL6" s="27" t="s">
        <v>1</v>
      </c>
      <c r="AM6" s="29" t="s">
        <v>1</v>
      </c>
      <c r="AN6" s="27" t="s">
        <v>1</v>
      </c>
      <c r="AO6" s="29" t="s">
        <v>1</v>
      </c>
      <c r="AP6" s="27" t="s">
        <v>1</v>
      </c>
      <c r="AQ6" s="29" t="s">
        <v>1</v>
      </c>
      <c r="AR6" s="27" t="s">
        <v>1</v>
      </c>
      <c r="AS6" s="29" t="s">
        <v>1</v>
      </c>
      <c r="AT6" s="27" t="s">
        <v>1</v>
      </c>
      <c r="AU6" s="29" t="s">
        <v>1</v>
      </c>
    </row>
    <row r="7" spans="1:47" s="37" customFormat="1" ht="6.75" customHeight="1" x14ac:dyDescent="0.25">
      <c r="A7" s="73">
        <v>7</v>
      </c>
      <c r="B7" s="30" t="s">
        <v>112</v>
      </c>
      <c r="C7" s="20" t="s">
        <v>129</v>
      </c>
      <c r="D7" s="27" t="s">
        <v>1</v>
      </c>
      <c r="E7" s="29" t="s">
        <v>1</v>
      </c>
      <c r="F7" s="27" t="s">
        <v>122</v>
      </c>
      <c r="G7" s="29" t="s">
        <v>316</v>
      </c>
      <c r="H7" s="27" t="s">
        <v>1</v>
      </c>
      <c r="I7" s="29" t="s">
        <v>1</v>
      </c>
      <c r="J7" s="40" t="s">
        <v>1</v>
      </c>
      <c r="K7" s="71" t="s">
        <v>1</v>
      </c>
      <c r="L7" s="40" t="s">
        <v>1</v>
      </c>
      <c r="M7" s="71" t="s">
        <v>1</v>
      </c>
      <c r="N7" s="39" t="s">
        <v>140</v>
      </c>
      <c r="O7" s="42" t="s">
        <v>269</v>
      </c>
      <c r="P7" s="39" t="s">
        <v>333</v>
      </c>
      <c r="Q7" s="42">
        <v>0</v>
      </c>
      <c r="R7" s="39" t="s">
        <v>334</v>
      </c>
      <c r="S7" s="42">
        <v>255</v>
      </c>
      <c r="T7" s="39" t="s">
        <v>335</v>
      </c>
      <c r="U7" s="42">
        <v>0</v>
      </c>
      <c r="V7" s="39" t="s">
        <v>1</v>
      </c>
      <c r="W7" s="42" t="s">
        <v>1</v>
      </c>
      <c r="X7" s="39" t="s">
        <v>340</v>
      </c>
      <c r="Y7" s="42" t="str">
        <f t="shared" si="0"/>
        <v>"0.255.0"</v>
      </c>
      <c r="Z7" s="39" t="s">
        <v>1</v>
      </c>
      <c r="AA7" s="42" t="s">
        <v>1</v>
      </c>
      <c r="AB7" s="39" t="s">
        <v>1</v>
      </c>
      <c r="AC7" s="42" t="s">
        <v>1</v>
      </c>
      <c r="AD7" s="39" t="s">
        <v>1</v>
      </c>
      <c r="AE7" s="42" t="s">
        <v>1</v>
      </c>
      <c r="AF7" s="39" t="s">
        <v>1</v>
      </c>
      <c r="AG7" s="42" t="s">
        <v>1</v>
      </c>
      <c r="AH7" s="39" t="s">
        <v>1</v>
      </c>
      <c r="AI7" s="42" t="s">
        <v>1</v>
      </c>
      <c r="AJ7" s="39" t="s">
        <v>1</v>
      </c>
      <c r="AK7" s="42" t="s">
        <v>1</v>
      </c>
      <c r="AL7" s="27" t="s">
        <v>1</v>
      </c>
      <c r="AM7" s="29" t="s">
        <v>1</v>
      </c>
      <c r="AN7" s="27" t="s">
        <v>1</v>
      </c>
      <c r="AO7" s="29" t="s">
        <v>1</v>
      </c>
      <c r="AP7" s="27" t="s">
        <v>1</v>
      </c>
      <c r="AQ7" s="29" t="s">
        <v>1</v>
      </c>
      <c r="AR7" s="27" t="s">
        <v>1</v>
      </c>
      <c r="AS7" s="29" t="s">
        <v>1</v>
      </c>
      <c r="AT7" s="27" t="s">
        <v>1</v>
      </c>
      <c r="AU7" s="29" t="s">
        <v>1</v>
      </c>
    </row>
    <row r="8" spans="1:47" s="37" customFormat="1" ht="6.75" customHeight="1" x14ac:dyDescent="0.25">
      <c r="A8" s="73">
        <v>8</v>
      </c>
      <c r="B8" s="30" t="s">
        <v>113</v>
      </c>
      <c r="C8" s="20" t="s">
        <v>129</v>
      </c>
      <c r="D8" s="27" t="s">
        <v>1</v>
      </c>
      <c r="E8" s="29" t="s">
        <v>1</v>
      </c>
      <c r="F8" s="27" t="s">
        <v>122</v>
      </c>
      <c r="G8" s="29" t="s">
        <v>316</v>
      </c>
      <c r="H8" s="27" t="s">
        <v>1</v>
      </c>
      <c r="I8" s="29" t="s">
        <v>1</v>
      </c>
      <c r="J8" s="40" t="s">
        <v>1</v>
      </c>
      <c r="K8" s="71" t="s">
        <v>1</v>
      </c>
      <c r="L8" s="40" t="s">
        <v>1</v>
      </c>
      <c r="M8" s="71" t="s">
        <v>1</v>
      </c>
      <c r="N8" s="39" t="s">
        <v>140</v>
      </c>
      <c r="O8" s="42" t="s">
        <v>270</v>
      </c>
      <c r="P8" s="39" t="s">
        <v>333</v>
      </c>
      <c r="Q8" s="42">
        <v>0</v>
      </c>
      <c r="R8" s="39" t="s">
        <v>334</v>
      </c>
      <c r="S8" s="42">
        <v>0</v>
      </c>
      <c r="T8" s="39" t="s">
        <v>335</v>
      </c>
      <c r="U8" s="42">
        <v>255</v>
      </c>
      <c r="V8" s="39" t="s">
        <v>1</v>
      </c>
      <c r="W8" s="42" t="s">
        <v>1</v>
      </c>
      <c r="X8" s="39" t="s">
        <v>340</v>
      </c>
      <c r="Y8" s="42" t="str">
        <f t="shared" si="0"/>
        <v>"0.0.255"</v>
      </c>
      <c r="Z8" s="39" t="s">
        <v>1</v>
      </c>
      <c r="AA8" s="42" t="s">
        <v>1</v>
      </c>
      <c r="AB8" s="39" t="s">
        <v>1</v>
      </c>
      <c r="AC8" s="42" t="s">
        <v>1</v>
      </c>
      <c r="AD8" s="39" t="s">
        <v>1</v>
      </c>
      <c r="AE8" s="42" t="s">
        <v>1</v>
      </c>
      <c r="AF8" s="39" t="s">
        <v>1</v>
      </c>
      <c r="AG8" s="42" t="s">
        <v>1</v>
      </c>
      <c r="AH8" s="39" t="s">
        <v>1</v>
      </c>
      <c r="AI8" s="42" t="s">
        <v>1</v>
      </c>
      <c r="AJ8" s="39" t="s">
        <v>1</v>
      </c>
      <c r="AK8" s="42" t="s">
        <v>1</v>
      </c>
      <c r="AL8" s="27" t="s">
        <v>1</v>
      </c>
      <c r="AM8" s="29" t="s">
        <v>1</v>
      </c>
      <c r="AN8" s="27" t="s">
        <v>1</v>
      </c>
      <c r="AO8" s="29" t="s">
        <v>1</v>
      </c>
      <c r="AP8" s="27" t="s">
        <v>1</v>
      </c>
      <c r="AQ8" s="29" t="s">
        <v>1</v>
      </c>
      <c r="AR8" s="27" t="s">
        <v>1</v>
      </c>
      <c r="AS8" s="29" t="s">
        <v>1</v>
      </c>
      <c r="AT8" s="27" t="s">
        <v>1</v>
      </c>
      <c r="AU8" s="29" t="s">
        <v>1</v>
      </c>
    </row>
    <row r="9" spans="1:47" s="37" customFormat="1" ht="6.75" customHeight="1" x14ac:dyDescent="0.25">
      <c r="A9" s="73">
        <v>9</v>
      </c>
      <c r="B9" s="30" t="s">
        <v>104</v>
      </c>
      <c r="C9" s="20" t="s">
        <v>129</v>
      </c>
      <c r="D9" s="27" t="s">
        <v>1</v>
      </c>
      <c r="E9" s="29" t="s">
        <v>1</v>
      </c>
      <c r="F9" s="27" t="s">
        <v>122</v>
      </c>
      <c r="G9" s="29" t="s">
        <v>316</v>
      </c>
      <c r="H9" s="27" t="s">
        <v>1</v>
      </c>
      <c r="I9" s="29" t="s">
        <v>1</v>
      </c>
      <c r="J9" s="40" t="s">
        <v>1</v>
      </c>
      <c r="K9" s="71" t="s">
        <v>1</v>
      </c>
      <c r="L9" s="40" t="s">
        <v>1</v>
      </c>
      <c r="M9" s="71" t="s">
        <v>1</v>
      </c>
      <c r="N9" s="39" t="s">
        <v>140</v>
      </c>
      <c r="O9" s="42" t="s">
        <v>265</v>
      </c>
      <c r="P9" s="39" t="s">
        <v>333</v>
      </c>
      <c r="Q9" s="42">
        <v>200</v>
      </c>
      <c r="R9" s="39" t="s">
        <v>334</v>
      </c>
      <c r="S9" s="42">
        <v>200</v>
      </c>
      <c r="T9" s="39" t="s">
        <v>335</v>
      </c>
      <c r="U9" s="42">
        <v>200</v>
      </c>
      <c r="V9" s="39" t="s">
        <v>1</v>
      </c>
      <c r="W9" s="42" t="s">
        <v>1</v>
      </c>
      <c r="X9" s="39" t="s">
        <v>340</v>
      </c>
      <c r="Y9" s="42" t="str">
        <f t="shared" si="0"/>
        <v>"200.200.200"</v>
      </c>
      <c r="Z9" s="39" t="s">
        <v>1</v>
      </c>
      <c r="AA9" s="42" t="s">
        <v>1</v>
      </c>
      <c r="AB9" s="39" t="s">
        <v>1</v>
      </c>
      <c r="AC9" s="42" t="s">
        <v>1</v>
      </c>
      <c r="AD9" s="39" t="s">
        <v>1</v>
      </c>
      <c r="AE9" s="42" t="s">
        <v>1</v>
      </c>
      <c r="AF9" s="39" t="s">
        <v>1</v>
      </c>
      <c r="AG9" s="42" t="s">
        <v>1</v>
      </c>
      <c r="AH9" s="39" t="s">
        <v>1</v>
      </c>
      <c r="AI9" s="42" t="s">
        <v>1</v>
      </c>
      <c r="AJ9" s="39" t="s">
        <v>1</v>
      </c>
      <c r="AK9" s="42" t="s">
        <v>1</v>
      </c>
      <c r="AL9" s="27" t="s">
        <v>1</v>
      </c>
      <c r="AM9" s="29" t="s">
        <v>1</v>
      </c>
      <c r="AN9" s="27" t="s">
        <v>1</v>
      </c>
      <c r="AO9" s="29" t="s">
        <v>1</v>
      </c>
      <c r="AP9" s="27" t="s">
        <v>1</v>
      </c>
      <c r="AQ9" s="29" t="s">
        <v>1</v>
      </c>
      <c r="AR9" s="27" t="s">
        <v>1</v>
      </c>
      <c r="AS9" s="29" t="s">
        <v>1</v>
      </c>
      <c r="AT9" s="27" t="s">
        <v>1</v>
      </c>
      <c r="AU9" s="29" t="s">
        <v>1</v>
      </c>
    </row>
    <row r="10" spans="1:47" s="37" customFormat="1" ht="6.75" customHeight="1" x14ac:dyDescent="0.25">
      <c r="A10" s="73">
        <v>10</v>
      </c>
      <c r="B10" s="30" t="s">
        <v>105</v>
      </c>
      <c r="C10" s="20" t="s">
        <v>129</v>
      </c>
      <c r="D10" s="27" t="s">
        <v>1</v>
      </c>
      <c r="E10" s="29" t="s">
        <v>1</v>
      </c>
      <c r="F10" s="27" t="s">
        <v>122</v>
      </c>
      <c r="G10" s="29" t="s">
        <v>316</v>
      </c>
      <c r="H10" s="27" t="s">
        <v>1</v>
      </c>
      <c r="I10" s="29" t="s">
        <v>1</v>
      </c>
      <c r="J10" s="40" t="s">
        <v>1</v>
      </c>
      <c r="K10" s="71" t="s">
        <v>1</v>
      </c>
      <c r="L10" s="40" t="s">
        <v>1</v>
      </c>
      <c r="M10" s="71" t="s">
        <v>1</v>
      </c>
      <c r="N10" s="39" t="s">
        <v>140</v>
      </c>
      <c r="O10" s="42" t="s">
        <v>266</v>
      </c>
      <c r="P10" s="39" t="s">
        <v>333</v>
      </c>
      <c r="Q10" s="42">
        <v>120</v>
      </c>
      <c r="R10" s="39" t="s">
        <v>334</v>
      </c>
      <c r="S10" s="42">
        <v>120</v>
      </c>
      <c r="T10" s="39" t="s">
        <v>335</v>
      </c>
      <c r="U10" s="42">
        <v>120</v>
      </c>
      <c r="V10" s="39" t="s">
        <v>1</v>
      </c>
      <c r="W10" s="42" t="s">
        <v>1</v>
      </c>
      <c r="X10" s="39" t="s">
        <v>340</v>
      </c>
      <c r="Y10" s="42" t="str">
        <f t="shared" si="0"/>
        <v>"120.120.120"</v>
      </c>
      <c r="Z10" s="39" t="s">
        <v>1</v>
      </c>
      <c r="AA10" s="42" t="s">
        <v>1</v>
      </c>
      <c r="AB10" s="39" t="s">
        <v>1</v>
      </c>
      <c r="AC10" s="42" t="s">
        <v>1</v>
      </c>
      <c r="AD10" s="39" t="s">
        <v>1</v>
      </c>
      <c r="AE10" s="42" t="s">
        <v>1</v>
      </c>
      <c r="AF10" s="39" t="s">
        <v>1</v>
      </c>
      <c r="AG10" s="42" t="s">
        <v>1</v>
      </c>
      <c r="AH10" s="39" t="s">
        <v>1</v>
      </c>
      <c r="AI10" s="42" t="s">
        <v>1</v>
      </c>
      <c r="AJ10" s="39" t="s">
        <v>1</v>
      </c>
      <c r="AK10" s="42" t="s">
        <v>1</v>
      </c>
      <c r="AL10" s="27" t="s">
        <v>1</v>
      </c>
      <c r="AM10" s="29" t="s">
        <v>1</v>
      </c>
      <c r="AN10" s="27" t="s">
        <v>1</v>
      </c>
      <c r="AO10" s="29" t="s">
        <v>1</v>
      </c>
      <c r="AP10" s="27" t="s">
        <v>1</v>
      </c>
      <c r="AQ10" s="29" t="s">
        <v>1</v>
      </c>
      <c r="AR10" s="27" t="s">
        <v>1</v>
      </c>
      <c r="AS10" s="29" t="s">
        <v>1</v>
      </c>
      <c r="AT10" s="27" t="s">
        <v>1</v>
      </c>
      <c r="AU10" s="29" t="s">
        <v>1</v>
      </c>
    </row>
    <row r="11" spans="1:47" s="37" customFormat="1" ht="6.75" customHeight="1" x14ac:dyDescent="0.25">
      <c r="A11" s="73">
        <v>11</v>
      </c>
      <c r="B11" s="30" t="s">
        <v>106</v>
      </c>
      <c r="C11" s="20" t="s">
        <v>129</v>
      </c>
      <c r="D11" s="27" t="s">
        <v>1</v>
      </c>
      <c r="E11" s="29" t="s">
        <v>1</v>
      </c>
      <c r="F11" s="27" t="s">
        <v>122</v>
      </c>
      <c r="G11" s="29" t="s">
        <v>316</v>
      </c>
      <c r="H11" s="27" t="s">
        <v>1</v>
      </c>
      <c r="I11" s="29" t="s">
        <v>1</v>
      </c>
      <c r="J11" s="40" t="s">
        <v>1</v>
      </c>
      <c r="K11" s="71" t="s">
        <v>1</v>
      </c>
      <c r="L11" s="40" t="s">
        <v>1</v>
      </c>
      <c r="M11" s="71" t="s">
        <v>1</v>
      </c>
      <c r="N11" s="39" t="s">
        <v>140</v>
      </c>
      <c r="O11" s="42" t="s">
        <v>267</v>
      </c>
      <c r="P11" s="39" t="s">
        <v>333</v>
      </c>
      <c r="Q11" s="42">
        <v>20</v>
      </c>
      <c r="R11" s="39" t="s">
        <v>334</v>
      </c>
      <c r="S11" s="42">
        <v>20</v>
      </c>
      <c r="T11" s="39" t="s">
        <v>335</v>
      </c>
      <c r="U11" s="42">
        <v>20</v>
      </c>
      <c r="V11" s="39" t="s">
        <v>1</v>
      </c>
      <c r="W11" s="42" t="s">
        <v>1</v>
      </c>
      <c r="X11" s="39" t="s">
        <v>340</v>
      </c>
      <c r="Y11" s="42" t="str">
        <f t="shared" si="0"/>
        <v>"20.20.20"</v>
      </c>
      <c r="Z11" s="39" t="s">
        <v>1</v>
      </c>
      <c r="AA11" s="42" t="s">
        <v>1</v>
      </c>
      <c r="AB11" s="39" t="s">
        <v>1</v>
      </c>
      <c r="AC11" s="42" t="s">
        <v>1</v>
      </c>
      <c r="AD11" s="39" t="s">
        <v>1</v>
      </c>
      <c r="AE11" s="42" t="s">
        <v>1</v>
      </c>
      <c r="AF11" s="39" t="s">
        <v>1</v>
      </c>
      <c r="AG11" s="42" t="s">
        <v>1</v>
      </c>
      <c r="AH11" s="39" t="s">
        <v>1</v>
      </c>
      <c r="AI11" s="42" t="s">
        <v>1</v>
      </c>
      <c r="AJ11" s="39" t="s">
        <v>1</v>
      </c>
      <c r="AK11" s="42" t="s">
        <v>1</v>
      </c>
      <c r="AL11" s="27" t="s">
        <v>1</v>
      </c>
      <c r="AM11" s="29" t="s">
        <v>1</v>
      </c>
      <c r="AN11" s="27" t="s">
        <v>1</v>
      </c>
      <c r="AO11" s="29" t="s">
        <v>1</v>
      </c>
      <c r="AP11" s="27" t="s">
        <v>1</v>
      </c>
      <c r="AQ11" s="29" t="s">
        <v>1</v>
      </c>
      <c r="AR11" s="27" t="s">
        <v>1</v>
      </c>
      <c r="AS11" s="29" t="s">
        <v>1</v>
      </c>
      <c r="AT11" s="27" t="s">
        <v>1</v>
      </c>
      <c r="AU11" s="29" t="s">
        <v>1</v>
      </c>
    </row>
    <row r="12" spans="1:47" s="37" customFormat="1" ht="6.75" customHeight="1" x14ac:dyDescent="0.25">
      <c r="A12" s="73">
        <v>12</v>
      </c>
      <c r="B12" s="30" t="s">
        <v>147</v>
      </c>
      <c r="C12" s="20" t="s">
        <v>129</v>
      </c>
      <c r="D12" s="27" t="s">
        <v>1</v>
      </c>
      <c r="E12" s="29" t="s">
        <v>1</v>
      </c>
      <c r="F12" s="27" t="s">
        <v>122</v>
      </c>
      <c r="G12" s="29" t="s">
        <v>316</v>
      </c>
      <c r="H12" s="27" t="s">
        <v>1</v>
      </c>
      <c r="I12" s="29" t="s">
        <v>1</v>
      </c>
      <c r="J12" s="40" t="s">
        <v>1</v>
      </c>
      <c r="K12" s="71" t="s">
        <v>1</v>
      </c>
      <c r="L12" s="40" t="s">
        <v>1</v>
      </c>
      <c r="M12" s="71" t="s">
        <v>1</v>
      </c>
      <c r="N12" s="39" t="s">
        <v>140</v>
      </c>
      <c r="O12" s="42" t="s">
        <v>264</v>
      </c>
      <c r="P12" s="39" t="s">
        <v>333</v>
      </c>
      <c r="Q12" s="42">
        <v>150</v>
      </c>
      <c r="R12" s="39" t="s">
        <v>334</v>
      </c>
      <c r="S12" s="42">
        <v>30</v>
      </c>
      <c r="T12" s="39" t="s">
        <v>335</v>
      </c>
      <c r="U12" s="42">
        <v>10</v>
      </c>
      <c r="V12" s="39" t="s">
        <v>1</v>
      </c>
      <c r="W12" s="42" t="s">
        <v>1</v>
      </c>
      <c r="X12" s="39" t="s">
        <v>340</v>
      </c>
      <c r="Y12" s="42" t="str">
        <f t="shared" si="0"/>
        <v>"150.30.10"</v>
      </c>
      <c r="Z12" s="39" t="s">
        <v>1</v>
      </c>
      <c r="AA12" s="42" t="s">
        <v>1</v>
      </c>
      <c r="AB12" s="39" t="s">
        <v>1</v>
      </c>
      <c r="AC12" s="42" t="s">
        <v>1</v>
      </c>
      <c r="AD12" s="39" t="s">
        <v>1</v>
      </c>
      <c r="AE12" s="42" t="s">
        <v>1</v>
      </c>
      <c r="AF12" s="39" t="s">
        <v>1</v>
      </c>
      <c r="AG12" s="42" t="s">
        <v>1</v>
      </c>
      <c r="AH12" s="39" t="s">
        <v>1</v>
      </c>
      <c r="AI12" s="42" t="s">
        <v>1</v>
      </c>
      <c r="AJ12" s="39" t="s">
        <v>1</v>
      </c>
      <c r="AK12" s="42" t="s">
        <v>1</v>
      </c>
      <c r="AL12" s="27" t="s">
        <v>1</v>
      </c>
      <c r="AM12" s="29" t="s">
        <v>1</v>
      </c>
      <c r="AN12" s="27" t="s">
        <v>1</v>
      </c>
      <c r="AO12" s="29" t="s">
        <v>1</v>
      </c>
      <c r="AP12" s="27" t="s">
        <v>1</v>
      </c>
      <c r="AQ12" s="29" t="s">
        <v>1</v>
      </c>
      <c r="AR12" s="27" t="s">
        <v>1</v>
      </c>
      <c r="AS12" s="29" t="s">
        <v>1</v>
      </c>
      <c r="AT12" s="27" t="s">
        <v>1</v>
      </c>
      <c r="AU12" s="29" t="s">
        <v>1</v>
      </c>
    </row>
    <row r="13" spans="1:47" s="37" customFormat="1" ht="6.75" customHeight="1" x14ac:dyDescent="0.25">
      <c r="A13" s="73">
        <v>13</v>
      </c>
      <c r="B13" s="30" t="s">
        <v>148</v>
      </c>
      <c r="C13" s="20" t="s">
        <v>129</v>
      </c>
      <c r="D13" s="27" t="s">
        <v>1</v>
      </c>
      <c r="E13" s="29" t="s">
        <v>1</v>
      </c>
      <c r="F13" s="27" t="s">
        <v>122</v>
      </c>
      <c r="G13" s="29" t="s">
        <v>316</v>
      </c>
      <c r="H13" s="27" t="s">
        <v>1</v>
      </c>
      <c r="I13" s="29" t="s">
        <v>1</v>
      </c>
      <c r="J13" s="40" t="s">
        <v>1</v>
      </c>
      <c r="K13" s="71" t="s">
        <v>1</v>
      </c>
      <c r="L13" s="40" t="s">
        <v>1</v>
      </c>
      <c r="M13" s="71" t="s">
        <v>1</v>
      </c>
      <c r="N13" s="39" t="s">
        <v>140</v>
      </c>
      <c r="O13" s="42" t="s">
        <v>264</v>
      </c>
      <c r="P13" s="39" t="s">
        <v>333</v>
      </c>
      <c r="Q13" s="42">
        <v>150</v>
      </c>
      <c r="R13" s="39" t="s">
        <v>334</v>
      </c>
      <c r="S13" s="42">
        <v>40</v>
      </c>
      <c r="T13" s="39" t="s">
        <v>335</v>
      </c>
      <c r="U13" s="42">
        <v>10</v>
      </c>
      <c r="V13" s="39" t="s">
        <v>1</v>
      </c>
      <c r="W13" s="42" t="s">
        <v>1</v>
      </c>
      <c r="X13" s="39" t="s">
        <v>340</v>
      </c>
      <c r="Y13" s="42" t="str">
        <f t="shared" si="0"/>
        <v>"150.40.10"</v>
      </c>
      <c r="Z13" s="39" t="s">
        <v>1</v>
      </c>
      <c r="AA13" s="42" t="s">
        <v>1</v>
      </c>
      <c r="AB13" s="39" t="s">
        <v>1</v>
      </c>
      <c r="AC13" s="42" t="s">
        <v>1</v>
      </c>
      <c r="AD13" s="39" t="s">
        <v>1</v>
      </c>
      <c r="AE13" s="42" t="s">
        <v>1</v>
      </c>
      <c r="AF13" s="39" t="s">
        <v>1</v>
      </c>
      <c r="AG13" s="42" t="s">
        <v>1</v>
      </c>
      <c r="AH13" s="39" t="s">
        <v>1</v>
      </c>
      <c r="AI13" s="42" t="s">
        <v>1</v>
      </c>
      <c r="AJ13" s="39" t="s">
        <v>1</v>
      </c>
      <c r="AK13" s="42" t="s">
        <v>1</v>
      </c>
      <c r="AL13" s="27" t="s">
        <v>1</v>
      </c>
      <c r="AM13" s="29" t="s">
        <v>1</v>
      </c>
      <c r="AN13" s="27" t="s">
        <v>1</v>
      </c>
      <c r="AO13" s="29" t="s">
        <v>1</v>
      </c>
      <c r="AP13" s="27" t="s">
        <v>1</v>
      </c>
      <c r="AQ13" s="29" t="s">
        <v>1</v>
      </c>
      <c r="AR13" s="27" t="s">
        <v>1</v>
      </c>
      <c r="AS13" s="29" t="s">
        <v>1</v>
      </c>
      <c r="AT13" s="27" t="s">
        <v>1</v>
      </c>
      <c r="AU13" s="29" t="s">
        <v>1</v>
      </c>
    </row>
    <row r="14" spans="1:47" s="37" customFormat="1" ht="6.75" customHeight="1" x14ac:dyDescent="0.25">
      <c r="A14" s="73">
        <v>14</v>
      </c>
      <c r="B14" s="30" t="s">
        <v>145</v>
      </c>
      <c r="C14" s="20" t="s">
        <v>127</v>
      </c>
      <c r="D14" s="27" t="s">
        <v>1</v>
      </c>
      <c r="E14" s="29" t="s">
        <v>1</v>
      </c>
      <c r="F14" s="27" t="s">
        <v>122</v>
      </c>
      <c r="G14" s="29" t="s">
        <v>317</v>
      </c>
      <c r="H14" s="27" t="s">
        <v>1</v>
      </c>
      <c r="I14" s="29" t="s">
        <v>1</v>
      </c>
      <c r="J14" s="40" t="s">
        <v>1</v>
      </c>
      <c r="K14" s="71" t="s">
        <v>1</v>
      </c>
      <c r="L14" s="40" t="s">
        <v>1</v>
      </c>
      <c r="M14" s="71" t="s">
        <v>1</v>
      </c>
      <c r="N14" s="39" t="s">
        <v>140</v>
      </c>
      <c r="O14" s="42" t="s">
        <v>324</v>
      </c>
      <c r="P14" s="39" t="s">
        <v>337</v>
      </c>
      <c r="Q14" s="42">
        <v>150</v>
      </c>
      <c r="R14" s="39" t="s">
        <v>338</v>
      </c>
      <c r="S14" s="42">
        <v>50</v>
      </c>
      <c r="T14" s="39" t="s">
        <v>339</v>
      </c>
      <c r="U14" s="42">
        <v>10</v>
      </c>
      <c r="V14" s="39" t="s">
        <v>1</v>
      </c>
      <c r="W14" s="42" t="s">
        <v>1</v>
      </c>
      <c r="X14" s="39" t="s">
        <v>341</v>
      </c>
      <c r="Y14" s="42" t="str">
        <f t="shared" si="0"/>
        <v>"150.50.10"</v>
      </c>
      <c r="Z14" s="39" t="s">
        <v>1</v>
      </c>
      <c r="AA14" s="42" t="s">
        <v>1</v>
      </c>
      <c r="AB14" s="39" t="s">
        <v>1</v>
      </c>
      <c r="AC14" s="42" t="s">
        <v>1</v>
      </c>
      <c r="AD14" s="39" t="s">
        <v>1</v>
      </c>
      <c r="AE14" s="42" t="s">
        <v>1</v>
      </c>
      <c r="AF14" s="39" t="s">
        <v>1</v>
      </c>
      <c r="AG14" s="42" t="s">
        <v>1</v>
      </c>
      <c r="AH14" s="39" t="s">
        <v>1</v>
      </c>
      <c r="AI14" s="42" t="s">
        <v>1</v>
      </c>
      <c r="AJ14" s="39" t="s">
        <v>1</v>
      </c>
      <c r="AK14" s="42" t="s">
        <v>1</v>
      </c>
      <c r="AL14" s="27" t="s">
        <v>1</v>
      </c>
      <c r="AM14" s="29" t="s">
        <v>1</v>
      </c>
      <c r="AN14" s="27" t="s">
        <v>1</v>
      </c>
      <c r="AO14" s="29" t="s">
        <v>1</v>
      </c>
      <c r="AP14" s="27" t="s">
        <v>1</v>
      </c>
      <c r="AQ14" s="29" t="s">
        <v>1</v>
      </c>
      <c r="AR14" s="27" t="s">
        <v>1</v>
      </c>
      <c r="AS14" s="29" t="s">
        <v>1</v>
      </c>
      <c r="AT14" s="27" t="s">
        <v>1</v>
      </c>
      <c r="AU14" s="29" t="s">
        <v>1</v>
      </c>
    </row>
    <row r="15" spans="1:47" s="37" customFormat="1" ht="6.75" customHeight="1" x14ac:dyDescent="0.25">
      <c r="A15" s="73">
        <v>15</v>
      </c>
      <c r="B15" s="30" t="s">
        <v>146</v>
      </c>
      <c r="C15" s="20" t="s">
        <v>127</v>
      </c>
      <c r="D15" s="27" t="s">
        <v>1</v>
      </c>
      <c r="E15" s="29" t="s">
        <v>1</v>
      </c>
      <c r="F15" s="27" t="s">
        <v>122</v>
      </c>
      <c r="G15" s="29" t="s">
        <v>317</v>
      </c>
      <c r="H15" s="27" t="s">
        <v>1</v>
      </c>
      <c r="I15" s="29" t="s">
        <v>1</v>
      </c>
      <c r="J15" s="40" t="s">
        <v>1</v>
      </c>
      <c r="K15" s="71" t="s">
        <v>1</v>
      </c>
      <c r="L15" s="40" t="s">
        <v>1</v>
      </c>
      <c r="M15" s="71" t="s">
        <v>1</v>
      </c>
      <c r="N15" s="39" t="s">
        <v>140</v>
      </c>
      <c r="O15" s="42" t="s">
        <v>324</v>
      </c>
      <c r="P15" s="39" t="s">
        <v>337</v>
      </c>
      <c r="Q15" s="42">
        <v>150</v>
      </c>
      <c r="R15" s="39" t="s">
        <v>338</v>
      </c>
      <c r="S15" s="42">
        <v>60</v>
      </c>
      <c r="T15" s="39" t="s">
        <v>339</v>
      </c>
      <c r="U15" s="42">
        <v>10</v>
      </c>
      <c r="V15" s="39" t="s">
        <v>1</v>
      </c>
      <c r="W15" s="42" t="s">
        <v>1</v>
      </c>
      <c r="X15" s="39" t="s">
        <v>341</v>
      </c>
      <c r="Y15" s="42" t="str">
        <f t="shared" si="0"/>
        <v>"150.60.10"</v>
      </c>
      <c r="Z15" s="39" t="s">
        <v>1</v>
      </c>
      <c r="AA15" s="42" t="s">
        <v>1</v>
      </c>
      <c r="AB15" s="39" t="s">
        <v>1</v>
      </c>
      <c r="AC15" s="42" t="s">
        <v>1</v>
      </c>
      <c r="AD15" s="39" t="s">
        <v>1</v>
      </c>
      <c r="AE15" s="42" t="s">
        <v>1</v>
      </c>
      <c r="AF15" s="39" t="s">
        <v>1</v>
      </c>
      <c r="AG15" s="42" t="s">
        <v>1</v>
      </c>
      <c r="AH15" s="39" t="s">
        <v>1</v>
      </c>
      <c r="AI15" s="42" t="s">
        <v>1</v>
      </c>
      <c r="AJ15" s="39" t="s">
        <v>1</v>
      </c>
      <c r="AK15" s="42" t="s">
        <v>1</v>
      </c>
      <c r="AL15" s="27" t="s">
        <v>1</v>
      </c>
      <c r="AM15" s="29" t="s">
        <v>1</v>
      </c>
      <c r="AN15" s="27" t="s">
        <v>1</v>
      </c>
      <c r="AO15" s="29" t="s">
        <v>1</v>
      </c>
      <c r="AP15" s="27" t="s">
        <v>1</v>
      </c>
      <c r="AQ15" s="29" t="s">
        <v>1</v>
      </c>
      <c r="AR15" s="27" t="s">
        <v>1</v>
      </c>
      <c r="AS15" s="29" t="s">
        <v>1</v>
      </c>
      <c r="AT15" s="27" t="s">
        <v>1</v>
      </c>
      <c r="AU15" s="29" t="s">
        <v>1</v>
      </c>
    </row>
    <row r="16" spans="1:47" s="37" customFormat="1" ht="6.75" customHeight="1" x14ac:dyDescent="0.25">
      <c r="A16" s="73">
        <v>16</v>
      </c>
      <c r="B16" s="30" t="s">
        <v>131</v>
      </c>
      <c r="C16" s="20" t="s">
        <v>119</v>
      </c>
      <c r="D16" s="27" t="s">
        <v>1</v>
      </c>
      <c r="E16" s="29" t="s">
        <v>1</v>
      </c>
      <c r="F16" s="27" t="s">
        <v>1</v>
      </c>
      <c r="G16" s="29" t="s">
        <v>1</v>
      </c>
      <c r="H16" s="27" t="s">
        <v>1</v>
      </c>
      <c r="I16" s="29" t="s">
        <v>1</v>
      </c>
      <c r="J16" s="40" t="s">
        <v>1</v>
      </c>
      <c r="K16" s="71" t="s">
        <v>1</v>
      </c>
      <c r="L16" s="39" t="s">
        <v>133</v>
      </c>
      <c r="M16" s="42" t="s">
        <v>134</v>
      </c>
      <c r="N16" s="39" t="s">
        <v>140</v>
      </c>
      <c r="O16" s="42" t="s">
        <v>141</v>
      </c>
      <c r="P16" s="72" t="s">
        <v>1</v>
      </c>
      <c r="Q16" s="42" t="s">
        <v>1</v>
      </c>
      <c r="R16" s="39" t="s">
        <v>1</v>
      </c>
      <c r="S16" s="42" t="s">
        <v>1</v>
      </c>
      <c r="T16" s="39" t="s">
        <v>1</v>
      </c>
      <c r="U16" s="42" t="s">
        <v>1</v>
      </c>
      <c r="V16" s="39" t="s">
        <v>1</v>
      </c>
      <c r="W16" s="42" t="s">
        <v>1</v>
      </c>
      <c r="X16" s="39" t="s">
        <v>1</v>
      </c>
      <c r="Y16" s="42" t="str">
        <f t="shared" ref="Y16:Y21" si="1">IF(OR(X16="rgb",X16="cmy",X16="rgba",X16="cmyb"),  SUBSTITUTE(_xlfn.CONCAT("""",Q16,".",S16,".",U16,".",W16,""""), ".null",""), X16)</f>
        <v>null</v>
      </c>
      <c r="Z16" s="39" t="s">
        <v>143</v>
      </c>
      <c r="AA16" s="42" t="s">
        <v>144</v>
      </c>
      <c r="AB16" s="39" t="s">
        <v>136</v>
      </c>
      <c r="AC16" s="42" t="s">
        <v>135</v>
      </c>
      <c r="AD16" s="39" t="s">
        <v>1</v>
      </c>
      <c r="AE16" s="42" t="s">
        <v>1</v>
      </c>
      <c r="AF16" s="39" t="s">
        <v>1</v>
      </c>
      <c r="AG16" s="42" t="s">
        <v>1</v>
      </c>
      <c r="AH16" s="39" t="s">
        <v>1</v>
      </c>
      <c r="AI16" s="42" t="s">
        <v>1</v>
      </c>
      <c r="AJ16" s="39" t="s">
        <v>1</v>
      </c>
      <c r="AK16" s="42" t="s">
        <v>1</v>
      </c>
      <c r="AL16" s="27" t="s">
        <v>1</v>
      </c>
      <c r="AM16" s="29" t="s">
        <v>1</v>
      </c>
      <c r="AN16" s="27" t="s">
        <v>1</v>
      </c>
      <c r="AO16" s="29" t="s">
        <v>1</v>
      </c>
      <c r="AP16" s="27" t="s">
        <v>1</v>
      </c>
      <c r="AQ16" s="29" t="s">
        <v>1</v>
      </c>
      <c r="AR16" s="27" t="s">
        <v>1</v>
      </c>
      <c r="AS16" s="29" t="s">
        <v>1</v>
      </c>
      <c r="AT16" s="27" t="s">
        <v>1</v>
      </c>
      <c r="AU16" s="29" t="s">
        <v>1</v>
      </c>
    </row>
    <row r="17" spans="1:47" s="37" customFormat="1" ht="6.75" customHeight="1" x14ac:dyDescent="0.25">
      <c r="A17" s="73">
        <v>17</v>
      </c>
      <c r="B17" s="30" t="s">
        <v>132</v>
      </c>
      <c r="C17" s="20" t="s">
        <v>119</v>
      </c>
      <c r="D17" s="27" t="s">
        <v>1</v>
      </c>
      <c r="E17" s="29" t="s">
        <v>1</v>
      </c>
      <c r="F17" s="27" t="s">
        <v>1</v>
      </c>
      <c r="G17" s="29" t="s">
        <v>1</v>
      </c>
      <c r="H17" s="27" t="s">
        <v>1</v>
      </c>
      <c r="I17" s="29" t="s">
        <v>1</v>
      </c>
      <c r="J17" s="40" t="s">
        <v>1</v>
      </c>
      <c r="K17" s="71" t="s">
        <v>1</v>
      </c>
      <c r="L17" s="39" t="s">
        <v>133</v>
      </c>
      <c r="M17" s="42" t="s">
        <v>137</v>
      </c>
      <c r="N17" s="39" t="s">
        <v>140</v>
      </c>
      <c r="O17" s="42" t="s">
        <v>263</v>
      </c>
      <c r="P17" s="72" t="s">
        <v>1</v>
      </c>
      <c r="Q17" s="42" t="s">
        <v>1</v>
      </c>
      <c r="R17" s="39" t="s">
        <v>1</v>
      </c>
      <c r="S17" s="42" t="s">
        <v>1</v>
      </c>
      <c r="T17" s="39" t="s">
        <v>1</v>
      </c>
      <c r="U17" s="42" t="s">
        <v>1</v>
      </c>
      <c r="V17" s="39" t="s">
        <v>1</v>
      </c>
      <c r="W17" s="42" t="s">
        <v>1</v>
      </c>
      <c r="X17" s="39" t="s">
        <v>1</v>
      </c>
      <c r="Y17" s="42" t="str">
        <f t="shared" si="1"/>
        <v>null</v>
      </c>
      <c r="Z17" s="39" t="s">
        <v>143</v>
      </c>
      <c r="AA17" s="42" t="s">
        <v>144</v>
      </c>
      <c r="AB17" s="39" t="s">
        <v>139</v>
      </c>
      <c r="AC17" s="42" t="s">
        <v>138</v>
      </c>
      <c r="AD17" s="39" t="s">
        <v>1</v>
      </c>
      <c r="AE17" s="42" t="s">
        <v>1</v>
      </c>
      <c r="AF17" s="39" t="s">
        <v>1</v>
      </c>
      <c r="AG17" s="42" t="s">
        <v>1</v>
      </c>
      <c r="AH17" s="39" t="s">
        <v>1</v>
      </c>
      <c r="AI17" s="42" t="s">
        <v>1</v>
      </c>
      <c r="AJ17" s="39" t="s">
        <v>1</v>
      </c>
      <c r="AK17" s="42" t="s">
        <v>1</v>
      </c>
      <c r="AL17" s="27" t="s">
        <v>1</v>
      </c>
      <c r="AM17" s="29" t="s">
        <v>1</v>
      </c>
      <c r="AN17" s="27" t="s">
        <v>1</v>
      </c>
      <c r="AO17" s="29" t="s">
        <v>1</v>
      </c>
      <c r="AP17" s="27" t="s">
        <v>1</v>
      </c>
      <c r="AQ17" s="29" t="s">
        <v>1</v>
      </c>
      <c r="AR17" s="27" t="s">
        <v>1</v>
      </c>
      <c r="AS17" s="29" t="s">
        <v>1</v>
      </c>
      <c r="AT17" s="27" t="s">
        <v>1</v>
      </c>
      <c r="AU17" s="29" t="s">
        <v>1</v>
      </c>
    </row>
    <row r="18" spans="1:47" s="37" customFormat="1" ht="6.75" customHeight="1" x14ac:dyDescent="0.25">
      <c r="A18" s="73">
        <v>18</v>
      </c>
      <c r="B18" s="30" t="s">
        <v>318</v>
      </c>
      <c r="C18" s="20" t="s">
        <v>130</v>
      </c>
      <c r="D18" s="27" t="s">
        <v>1</v>
      </c>
      <c r="E18" s="29" t="s">
        <v>1</v>
      </c>
      <c r="F18" s="27" t="s">
        <v>1</v>
      </c>
      <c r="G18" s="29" t="s">
        <v>1</v>
      </c>
      <c r="H18" s="27" t="s">
        <v>1</v>
      </c>
      <c r="I18" s="29" t="s">
        <v>1</v>
      </c>
      <c r="J18" s="40" t="s">
        <v>1</v>
      </c>
      <c r="K18" s="71" t="s">
        <v>1</v>
      </c>
      <c r="L18" s="40" t="s">
        <v>1</v>
      </c>
      <c r="M18" s="71" t="s">
        <v>1</v>
      </c>
      <c r="N18" s="39" t="s">
        <v>140</v>
      </c>
      <c r="O18" s="42" t="s">
        <v>320</v>
      </c>
      <c r="P18" s="72" t="s">
        <v>1</v>
      </c>
      <c r="Q18" s="42" t="s">
        <v>1</v>
      </c>
      <c r="R18" s="39" t="s">
        <v>1</v>
      </c>
      <c r="S18" s="42" t="s">
        <v>1</v>
      </c>
      <c r="T18" s="39" t="s">
        <v>1</v>
      </c>
      <c r="U18" s="42" t="s">
        <v>1</v>
      </c>
      <c r="V18" s="39" t="s">
        <v>1</v>
      </c>
      <c r="W18" s="42" t="s">
        <v>1</v>
      </c>
      <c r="X18" s="39" t="s">
        <v>1</v>
      </c>
      <c r="Y18" s="42" t="str">
        <f t="shared" si="1"/>
        <v>null</v>
      </c>
      <c r="Z18" s="39" t="s">
        <v>1</v>
      </c>
      <c r="AA18" s="42" t="s">
        <v>1</v>
      </c>
      <c r="AB18" s="39" t="s">
        <v>1</v>
      </c>
      <c r="AC18" s="42" t="s">
        <v>1</v>
      </c>
      <c r="AD18" s="39" t="s">
        <v>1</v>
      </c>
      <c r="AE18" s="42" t="s">
        <v>1</v>
      </c>
      <c r="AF18" s="39" t="s">
        <v>1</v>
      </c>
      <c r="AG18" s="42" t="s">
        <v>1</v>
      </c>
      <c r="AH18" s="39" t="s">
        <v>1</v>
      </c>
      <c r="AI18" s="42" t="s">
        <v>1</v>
      </c>
      <c r="AJ18" s="39" t="s">
        <v>1</v>
      </c>
      <c r="AK18" s="42" t="s">
        <v>1</v>
      </c>
      <c r="AL18" s="27" t="s">
        <v>1</v>
      </c>
      <c r="AM18" s="29" t="s">
        <v>1</v>
      </c>
      <c r="AN18" s="27" t="s">
        <v>1</v>
      </c>
      <c r="AO18" s="29" t="s">
        <v>1</v>
      </c>
      <c r="AP18" s="27" t="s">
        <v>1</v>
      </c>
      <c r="AQ18" s="29" t="s">
        <v>1</v>
      </c>
      <c r="AR18" s="27" t="s">
        <v>1</v>
      </c>
      <c r="AS18" s="29" t="s">
        <v>1</v>
      </c>
      <c r="AT18" s="27" t="s">
        <v>1</v>
      </c>
      <c r="AU18" s="29" t="s">
        <v>1</v>
      </c>
    </row>
    <row r="19" spans="1:47" s="37" customFormat="1" ht="6.75" customHeight="1" x14ac:dyDescent="0.25">
      <c r="A19" s="73">
        <v>19</v>
      </c>
      <c r="B19" s="30" t="s">
        <v>319</v>
      </c>
      <c r="C19" s="20" t="s">
        <v>128</v>
      </c>
      <c r="D19" s="27" t="s">
        <v>1</v>
      </c>
      <c r="E19" s="29" t="s">
        <v>1</v>
      </c>
      <c r="F19" s="27" t="s">
        <v>1</v>
      </c>
      <c r="G19" s="29" t="s">
        <v>1</v>
      </c>
      <c r="H19" s="27" t="s">
        <v>1</v>
      </c>
      <c r="I19" s="29" t="s">
        <v>1</v>
      </c>
      <c r="J19" s="40" t="s">
        <v>1</v>
      </c>
      <c r="K19" s="71" t="s">
        <v>1</v>
      </c>
      <c r="L19" s="40" t="s">
        <v>1</v>
      </c>
      <c r="M19" s="71" t="s">
        <v>1</v>
      </c>
      <c r="N19" s="39" t="s">
        <v>140</v>
      </c>
      <c r="O19" s="42" t="s">
        <v>321</v>
      </c>
      <c r="P19" s="72" t="s">
        <v>1</v>
      </c>
      <c r="Q19" s="42" t="s">
        <v>1</v>
      </c>
      <c r="R19" s="39" t="s">
        <v>1</v>
      </c>
      <c r="S19" s="42" t="s">
        <v>1</v>
      </c>
      <c r="T19" s="39" t="s">
        <v>1</v>
      </c>
      <c r="U19" s="42" t="s">
        <v>1</v>
      </c>
      <c r="V19" s="39" t="s">
        <v>1</v>
      </c>
      <c r="W19" s="42" t="s">
        <v>1</v>
      </c>
      <c r="X19" s="39" t="s">
        <v>1</v>
      </c>
      <c r="Y19" s="42" t="str">
        <f t="shared" si="1"/>
        <v>null</v>
      </c>
      <c r="Z19" s="39" t="s">
        <v>1</v>
      </c>
      <c r="AA19" s="42" t="s">
        <v>1</v>
      </c>
      <c r="AB19" s="39" t="s">
        <v>1</v>
      </c>
      <c r="AC19" s="42" t="s">
        <v>1</v>
      </c>
      <c r="AD19" s="39" t="s">
        <v>1</v>
      </c>
      <c r="AE19" s="42" t="s">
        <v>1</v>
      </c>
      <c r="AF19" s="39" t="s">
        <v>1</v>
      </c>
      <c r="AG19" s="42" t="s">
        <v>1</v>
      </c>
      <c r="AH19" s="39" t="s">
        <v>1</v>
      </c>
      <c r="AI19" s="42" t="s">
        <v>1</v>
      </c>
      <c r="AJ19" s="39" t="s">
        <v>1</v>
      </c>
      <c r="AK19" s="42" t="s">
        <v>1</v>
      </c>
      <c r="AL19" s="27" t="s">
        <v>1</v>
      </c>
      <c r="AM19" s="29" t="s">
        <v>1</v>
      </c>
      <c r="AN19" s="27" t="s">
        <v>1</v>
      </c>
      <c r="AO19" s="29" t="s">
        <v>1</v>
      </c>
      <c r="AP19" s="27" t="s">
        <v>1</v>
      </c>
      <c r="AQ19" s="29" t="s">
        <v>1</v>
      </c>
      <c r="AR19" s="27" t="s">
        <v>1</v>
      </c>
      <c r="AS19" s="29" t="s">
        <v>1</v>
      </c>
      <c r="AT19" s="27" t="s">
        <v>1</v>
      </c>
      <c r="AU19" s="29" t="s">
        <v>1</v>
      </c>
    </row>
    <row r="20" spans="1:47" s="37" customFormat="1" ht="6.75" customHeight="1" x14ac:dyDescent="0.25">
      <c r="A20" s="73">
        <v>20</v>
      </c>
      <c r="B20" s="30" t="s">
        <v>316</v>
      </c>
      <c r="C20" s="20" t="s">
        <v>129</v>
      </c>
      <c r="D20" s="27" t="s">
        <v>1</v>
      </c>
      <c r="E20" s="29" t="s">
        <v>1</v>
      </c>
      <c r="F20" s="27" t="s">
        <v>1</v>
      </c>
      <c r="G20" s="29" t="s">
        <v>1</v>
      </c>
      <c r="H20" s="27" t="s">
        <v>1</v>
      </c>
      <c r="I20" s="29" t="s">
        <v>1</v>
      </c>
      <c r="J20" s="40" t="s">
        <v>1</v>
      </c>
      <c r="K20" s="71" t="s">
        <v>1</v>
      </c>
      <c r="L20" s="40" t="s">
        <v>1</v>
      </c>
      <c r="M20" s="71" t="s">
        <v>1</v>
      </c>
      <c r="N20" s="39" t="s">
        <v>140</v>
      </c>
      <c r="O20" s="42" t="s">
        <v>322</v>
      </c>
      <c r="P20" s="72" t="s">
        <v>1</v>
      </c>
      <c r="Q20" s="42" t="s">
        <v>1</v>
      </c>
      <c r="R20" s="39" t="s">
        <v>1</v>
      </c>
      <c r="S20" s="42" t="s">
        <v>1</v>
      </c>
      <c r="T20" s="39" t="s">
        <v>1</v>
      </c>
      <c r="U20" s="42" t="s">
        <v>1</v>
      </c>
      <c r="V20" s="39" t="s">
        <v>1</v>
      </c>
      <c r="W20" s="42" t="s">
        <v>1</v>
      </c>
      <c r="X20" s="39" t="s">
        <v>1</v>
      </c>
      <c r="Y20" s="42" t="str">
        <f t="shared" si="1"/>
        <v>null</v>
      </c>
      <c r="Z20" s="39" t="s">
        <v>1</v>
      </c>
      <c r="AA20" s="42" t="s">
        <v>1</v>
      </c>
      <c r="AB20" s="39" t="s">
        <v>1</v>
      </c>
      <c r="AC20" s="42" t="s">
        <v>1</v>
      </c>
      <c r="AD20" s="39" t="s">
        <v>1</v>
      </c>
      <c r="AE20" s="42" t="s">
        <v>1</v>
      </c>
      <c r="AF20" s="39" t="s">
        <v>1</v>
      </c>
      <c r="AG20" s="42" t="s">
        <v>1</v>
      </c>
      <c r="AH20" s="39" t="s">
        <v>1</v>
      </c>
      <c r="AI20" s="42" t="s">
        <v>1</v>
      </c>
      <c r="AJ20" s="39" t="s">
        <v>1</v>
      </c>
      <c r="AK20" s="42" t="s">
        <v>1</v>
      </c>
      <c r="AL20" s="27" t="s">
        <v>1</v>
      </c>
      <c r="AM20" s="29" t="s">
        <v>1</v>
      </c>
      <c r="AN20" s="27" t="s">
        <v>1</v>
      </c>
      <c r="AO20" s="29" t="s">
        <v>1</v>
      </c>
      <c r="AP20" s="27" t="s">
        <v>1</v>
      </c>
      <c r="AQ20" s="29" t="s">
        <v>1</v>
      </c>
      <c r="AR20" s="27" t="s">
        <v>1</v>
      </c>
      <c r="AS20" s="29" t="s">
        <v>1</v>
      </c>
      <c r="AT20" s="27" t="s">
        <v>1</v>
      </c>
      <c r="AU20" s="29" t="s">
        <v>1</v>
      </c>
    </row>
    <row r="21" spans="1:47" s="37" customFormat="1" ht="6.75" customHeight="1" x14ac:dyDescent="0.25">
      <c r="A21" s="73">
        <v>21</v>
      </c>
      <c r="B21" s="30" t="s">
        <v>317</v>
      </c>
      <c r="C21" s="20" t="s">
        <v>127</v>
      </c>
      <c r="D21" s="27" t="s">
        <v>1</v>
      </c>
      <c r="E21" s="29" t="s">
        <v>1</v>
      </c>
      <c r="F21" s="27" t="s">
        <v>1</v>
      </c>
      <c r="G21" s="29" t="s">
        <v>1</v>
      </c>
      <c r="H21" s="27" t="s">
        <v>1</v>
      </c>
      <c r="I21" s="29" t="s">
        <v>1</v>
      </c>
      <c r="J21" s="40" t="s">
        <v>1</v>
      </c>
      <c r="K21" s="71" t="s">
        <v>1</v>
      </c>
      <c r="L21" s="40" t="s">
        <v>1</v>
      </c>
      <c r="M21" s="71" t="s">
        <v>1</v>
      </c>
      <c r="N21" s="39" t="s">
        <v>140</v>
      </c>
      <c r="O21" s="42" t="s">
        <v>323</v>
      </c>
      <c r="P21" s="72" t="s">
        <v>1</v>
      </c>
      <c r="Q21" s="42" t="s">
        <v>1</v>
      </c>
      <c r="R21" s="39" t="s">
        <v>1</v>
      </c>
      <c r="S21" s="42" t="s">
        <v>1</v>
      </c>
      <c r="T21" s="39" t="s">
        <v>1</v>
      </c>
      <c r="U21" s="42" t="s">
        <v>1</v>
      </c>
      <c r="V21" s="39" t="s">
        <v>1</v>
      </c>
      <c r="W21" s="42" t="s">
        <v>1</v>
      </c>
      <c r="X21" s="39" t="s">
        <v>1</v>
      </c>
      <c r="Y21" s="42" t="str">
        <f t="shared" si="1"/>
        <v>null</v>
      </c>
      <c r="Z21" s="39" t="s">
        <v>1</v>
      </c>
      <c r="AA21" s="42" t="s">
        <v>1</v>
      </c>
      <c r="AB21" s="39" t="s">
        <v>1</v>
      </c>
      <c r="AC21" s="42" t="s">
        <v>1</v>
      </c>
      <c r="AD21" s="39" t="s">
        <v>1</v>
      </c>
      <c r="AE21" s="42" t="s">
        <v>1</v>
      </c>
      <c r="AF21" s="39" t="s">
        <v>1</v>
      </c>
      <c r="AG21" s="42" t="s">
        <v>1</v>
      </c>
      <c r="AH21" s="39" t="s">
        <v>1</v>
      </c>
      <c r="AI21" s="42" t="s">
        <v>1</v>
      </c>
      <c r="AJ21" s="39" t="s">
        <v>1</v>
      </c>
      <c r="AK21" s="42" t="s">
        <v>1</v>
      </c>
      <c r="AL21" s="27" t="s">
        <v>1</v>
      </c>
      <c r="AM21" s="29" t="s">
        <v>1</v>
      </c>
      <c r="AN21" s="27" t="s">
        <v>1</v>
      </c>
      <c r="AO21" s="29" t="s">
        <v>1</v>
      </c>
      <c r="AP21" s="27" t="s">
        <v>1</v>
      </c>
      <c r="AQ21" s="29" t="s">
        <v>1</v>
      </c>
      <c r="AR21" s="27" t="s">
        <v>1</v>
      </c>
      <c r="AS21" s="29" t="s">
        <v>1</v>
      </c>
      <c r="AT21" s="27" t="s">
        <v>1</v>
      </c>
      <c r="AU21" s="29" t="s">
        <v>1</v>
      </c>
    </row>
    <row r="22" spans="1:47" s="37" customFormat="1" ht="6.75" customHeight="1" x14ac:dyDescent="0.25">
      <c r="A22" s="73">
        <v>22</v>
      </c>
      <c r="B22" s="30" t="s">
        <v>118</v>
      </c>
      <c r="C22" s="20" t="s">
        <v>115</v>
      </c>
      <c r="D22" s="27" t="s">
        <v>142</v>
      </c>
      <c r="E22" s="43" t="s">
        <v>132</v>
      </c>
      <c r="F22" s="27" t="s">
        <v>122</v>
      </c>
      <c r="G22" s="43" t="s">
        <v>131</v>
      </c>
      <c r="H22" s="27" t="s">
        <v>1</v>
      </c>
      <c r="I22" s="29" t="s">
        <v>1</v>
      </c>
      <c r="J22" s="40" t="s">
        <v>1</v>
      </c>
      <c r="K22" s="71" t="s">
        <v>1</v>
      </c>
      <c r="L22" s="40" t="s">
        <v>1</v>
      </c>
      <c r="M22" s="71" t="s">
        <v>1</v>
      </c>
      <c r="N22" s="39" t="s">
        <v>140</v>
      </c>
      <c r="O22" s="42" t="s">
        <v>262</v>
      </c>
      <c r="P22" s="39" t="s">
        <v>337</v>
      </c>
      <c r="Q22" s="42">
        <v>0</v>
      </c>
      <c r="R22" s="39" t="s">
        <v>338</v>
      </c>
      <c r="S22" s="42">
        <v>0</v>
      </c>
      <c r="T22" s="39" t="s">
        <v>339</v>
      </c>
      <c r="U22" s="42">
        <v>100</v>
      </c>
      <c r="V22" s="39" t="s">
        <v>1</v>
      </c>
      <c r="W22" s="42" t="s">
        <v>1</v>
      </c>
      <c r="X22" s="39" t="s">
        <v>341</v>
      </c>
      <c r="Y22" s="42" t="str">
        <f>IF(OR(X22="cor.rgb",X22="cor.cmy",X22="cor.rgba",X22="cor.cmyb"),  SUBSTITUTE(_xlfn.CONCAT("""",Q22,".",S22,".",U22,".",W22,""""), ".null",""), X22)</f>
        <v>"0.0.100"</v>
      </c>
      <c r="Z22" s="39" t="s">
        <v>1</v>
      </c>
      <c r="AA22" s="42" t="s">
        <v>1</v>
      </c>
      <c r="AB22" s="39" t="s">
        <v>1</v>
      </c>
      <c r="AC22" s="42" t="s">
        <v>1</v>
      </c>
      <c r="AD22" s="39" t="s">
        <v>1</v>
      </c>
      <c r="AE22" s="42" t="s">
        <v>1</v>
      </c>
      <c r="AF22" s="39" t="s">
        <v>1</v>
      </c>
      <c r="AG22" s="42" t="s">
        <v>1</v>
      </c>
      <c r="AH22" s="39" t="s">
        <v>1</v>
      </c>
      <c r="AI22" s="42" t="s">
        <v>1</v>
      </c>
      <c r="AJ22" s="39" t="s">
        <v>1</v>
      </c>
      <c r="AK22" s="42" t="s">
        <v>1</v>
      </c>
      <c r="AL22" s="27" t="s">
        <v>1</v>
      </c>
      <c r="AM22" s="29" t="s">
        <v>1</v>
      </c>
      <c r="AN22" s="27" t="s">
        <v>1</v>
      </c>
      <c r="AO22" s="29" t="s">
        <v>1</v>
      </c>
      <c r="AP22" s="27" t="s">
        <v>1</v>
      </c>
      <c r="AQ22" s="29" t="s">
        <v>1</v>
      </c>
      <c r="AR22" s="27" t="s">
        <v>1</v>
      </c>
      <c r="AS22" s="29" t="s">
        <v>1</v>
      </c>
      <c r="AT22" s="27" t="s">
        <v>1</v>
      </c>
      <c r="AU22" s="29" t="s">
        <v>1</v>
      </c>
    </row>
    <row r="23" spans="1:47" ht="6.75" customHeight="1" x14ac:dyDescent="0.25">
      <c r="A23" s="73">
        <v>23</v>
      </c>
      <c r="B23" s="30" t="s">
        <v>120</v>
      </c>
      <c r="C23" s="20" t="s">
        <v>115</v>
      </c>
      <c r="D23" s="27" t="s">
        <v>142</v>
      </c>
      <c r="E23" s="43" t="s">
        <v>132</v>
      </c>
      <c r="F23" s="27" t="s">
        <v>122</v>
      </c>
      <c r="G23" s="43" t="s">
        <v>131</v>
      </c>
      <c r="H23" s="27" t="s">
        <v>1</v>
      </c>
      <c r="I23" s="29" t="s">
        <v>1</v>
      </c>
      <c r="J23" s="40" t="s">
        <v>1</v>
      </c>
      <c r="K23" s="71" t="s">
        <v>1</v>
      </c>
      <c r="L23" s="40" t="s">
        <v>1</v>
      </c>
      <c r="M23" s="71" t="s">
        <v>1</v>
      </c>
      <c r="N23" s="39" t="s">
        <v>140</v>
      </c>
      <c r="O23" s="42" t="s">
        <v>262</v>
      </c>
      <c r="P23" s="39" t="s">
        <v>337</v>
      </c>
      <c r="Q23" s="42">
        <v>63</v>
      </c>
      <c r="R23" s="39" t="s">
        <v>338</v>
      </c>
      <c r="S23" s="42">
        <v>23</v>
      </c>
      <c r="T23" s="39" t="s">
        <v>339</v>
      </c>
      <c r="U23" s="42">
        <v>100</v>
      </c>
      <c r="V23" s="39" t="s">
        <v>1</v>
      </c>
      <c r="W23" s="42" t="s">
        <v>1</v>
      </c>
      <c r="X23" s="39" t="s">
        <v>341</v>
      </c>
      <c r="Y23" s="42" t="str">
        <f>IF(OR(X23="cor.rgb",X23="cor.cmy",X23="cor.rgba",X23="cor.cmyb"),  SUBSTITUTE(_xlfn.CONCAT("""",Q23,".",S23,".",U23,".",W23,""""), ".null",""), X23)</f>
        <v>"63.23.100"</v>
      </c>
      <c r="Z23" s="39" t="s">
        <v>1</v>
      </c>
      <c r="AA23" s="42" t="s">
        <v>1</v>
      </c>
      <c r="AB23" s="39" t="s">
        <v>1</v>
      </c>
      <c r="AC23" s="42" t="s">
        <v>1</v>
      </c>
      <c r="AD23" s="39" t="s">
        <v>1</v>
      </c>
      <c r="AE23" s="42" t="s">
        <v>1</v>
      </c>
      <c r="AF23" s="39" t="s">
        <v>1</v>
      </c>
      <c r="AG23" s="42" t="s">
        <v>1</v>
      </c>
      <c r="AH23" s="39" t="s">
        <v>1</v>
      </c>
      <c r="AI23" s="42" t="s">
        <v>1</v>
      </c>
      <c r="AJ23" s="39" t="s">
        <v>1</v>
      </c>
      <c r="AK23" s="42" t="s">
        <v>1</v>
      </c>
      <c r="AL23" s="27" t="s">
        <v>1</v>
      </c>
      <c r="AM23" s="29" t="s">
        <v>1</v>
      </c>
      <c r="AN23" s="27" t="s">
        <v>1</v>
      </c>
      <c r="AO23" s="29" t="s">
        <v>1</v>
      </c>
      <c r="AP23" s="27" t="s">
        <v>1</v>
      </c>
      <c r="AQ23" s="29" t="s">
        <v>1</v>
      </c>
      <c r="AR23" s="27" t="s">
        <v>1</v>
      </c>
      <c r="AS23" s="29" t="s">
        <v>1</v>
      </c>
      <c r="AT23" s="27" t="s">
        <v>1</v>
      </c>
      <c r="AU23" s="29" t="s">
        <v>1</v>
      </c>
    </row>
    <row r="24" spans="1:47" ht="6.75" customHeight="1" x14ac:dyDescent="0.25">
      <c r="A24" s="73">
        <v>24</v>
      </c>
      <c r="B24" s="30" t="s">
        <v>121</v>
      </c>
      <c r="C24" s="20" t="s">
        <v>115</v>
      </c>
      <c r="D24" s="27" t="s">
        <v>142</v>
      </c>
      <c r="E24" s="43" t="s">
        <v>132</v>
      </c>
      <c r="F24" s="27" t="s">
        <v>122</v>
      </c>
      <c r="G24" s="43" t="s">
        <v>131</v>
      </c>
      <c r="H24" s="27" t="s">
        <v>1</v>
      </c>
      <c r="I24" s="29" t="s">
        <v>1</v>
      </c>
      <c r="J24" s="40" t="s">
        <v>1</v>
      </c>
      <c r="K24" s="71" t="s">
        <v>1</v>
      </c>
      <c r="L24" s="40" t="s">
        <v>1</v>
      </c>
      <c r="M24" s="71" t="s">
        <v>1</v>
      </c>
      <c r="N24" s="39" t="s">
        <v>140</v>
      </c>
      <c r="O24" s="42" t="s">
        <v>262</v>
      </c>
      <c r="P24" s="39" t="s">
        <v>337</v>
      </c>
      <c r="Q24" s="42">
        <v>100</v>
      </c>
      <c r="R24" s="39" t="s">
        <v>338</v>
      </c>
      <c r="S24" s="42">
        <v>0</v>
      </c>
      <c r="T24" s="39" t="s">
        <v>339</v>
      </c>
      <c r="U24" s="42">
        <v>100</v>
      </c>
      <c r="V24" s="39" t="s">
        <v>1</v>
      </c>
      <c r="W24" s="42" t="s">
        <v>1</v>
      </c>
      <c r="X24" s="39" t="s">
        <v>341</v>
      </c>
      <c r="Y24" s="42" t="str">
        <f>IF(OR(X24="cor.rgb",X24="cor.cmy",X24="cor.rgba",X24="cor.cmyb"),  SUBSTITUTE(_xlfn.CONCAT("""",Q24,".",S24,".",U24,".",W24,""""), ".null",""), X24)</f>
        <v>"100.0.100"</v>
      </c>
      <c r="Z24" s="39" t="s">
        <v>1</v>
      </c>
      <c r="AA24" s="42" t="s">
        <v>1</v>
      </c>
      <c r="AB24" s="39" t="s">
        <v>1</v>
      </c>
      <c r="AC24" s="42" t="s">
        <v>1</v>
      </c>
      <c r="AD24" s="39" t="s">
        <v>1</v>
      </c>
      <c r="AE24" s="42" t="s">
        <v>1</v>
      </c>
      <c r="AF24" s="39" t="s">
        <v>1</v>
      </c>
      <c r="AG24" s="42" t="s">
        <v>1</v>
      </c>
      <c r="AH24" s="39" t="s">
        <v>1</v>
      </c>
      <c r="AI24" s="42" t="s">
        <v>1</v>
      </c>
      <c r="AJ24" s="39" t="s">
        <v>1</v>
      </c>
      <c r="AK24" s="42" t="s">
        <v>1</v>
      </c>
      <c r="AL24" s="27" t="s">
        <v>1</v>
      </c>
      <c r="AM24" s="29" t="s">
        <v>1</v>
      </c>
      <c r="AN24" s="27" t="s">
        <v>1</v>
      </c>
      <c r="AO24" s="29" t="s">
        <v>1</v>
      </c>
      <c r="AP24" s="27" t="s">
        <v>1</v>
      </c>
      <c r="AQ24" s="29" t="s">
        <v>1</v>
      </c>
      <c r="AR24" s="27" t="s">
        <v>1</v>
      </c>
      <c r="AS24" s="29" t="s">
        <v>1</v>
      </c>
      <c r="AT24" s="27" t="s">
        <v>1</v>
      </c>
      <c r="AU24" s="29" t="s">
        <v>1</v>
      </c>
    </row>
    <row r="25" spans="1:47" ht="6.75" customHeight="1" x14ac:dyDescent="0.25">
      <c r="A25" s="73">
        <v>25</v>
      </c>
      <c r="B25" s="45" t="s">
        <v>160</v>
      </c>
      <c r="C25" s="20" t="s">
        <v>149</v>
      </c>
      <c r="D25" s="27" t="s">
        <v>1</v>
      </c>
      <c r="E25" s="29" t="s">
        <v>1</v>
      </c>
      <c r="F25" s="27" t="s">
        <v>1</v>
      </c>
      <c r="G25" s="29" t="s">
        <v>1</v>
      </c>
      <c r="H25" s="27" t="s">
        <v>1</v>
      </c>
      <c r="I25" s="29" t="s">
        <v>1</v>
      </c>
      <c r="J25" s="40" t="s">
        <v>1</v>
      </c>
      <c r="K25" s="71" t="s">
        <v>1</v>
      </c>
      <c r="L25" s="40" t="s">
        <v>1</v>
      </c>
      <c r="M25" s="71" t="s">
        <v>1</v>
      </c>
      <c r="N25" s="39" t="s">
        <v>140</v>
      </c>
      <c r="O25" s="42" t="s">
        <v>161</v>
      </c>
      <c r="P25" s="72" t="s">
        <v>1</v>
      </c>
      <c r="Q25" s="42" t="s">
        <v>1</v>
      </c>
      <c r="R25" s="39" t="s">
        <v>1</v>
      </c>
      <c r="S25" s="42" t="s">
        <v>1</v>
      </c>
      <c r="T25" s="39" t="s">
        <v>1</v>
      </c>
      <c r="U25" s="42" t="s">
        <v>1</v>
      </c>
      <c r="V25" s="40" t="s">
        <v>1</v>
      </c>
      <c r="W25" s="42" t="s">
        <v>1</v>
      </c>
      <c r="X25" s="40" t="s">
        <v>1</v>
      </c>
      <c r="Y25" s="42" t="s">
        <v>1</v>
      </c>
      <c r="Z25" s="40" t="s">
        <v>1</v>
      </c>
      <c r="AA25" s="42" t="s">
        <v>1</v>
      </c>
      <c r="AB25" s="39" t="s">
        <v>1</v>
      </c>
      <c r="AC25" s="42" t="s">
        <v>1</v>
      </c>
      <c r="AD25" s="39" t="s">
        <v>1</v>
      </c>
      <c r="AE25" s="42" t="s">
        <v>1</v>
      </c>
      <c r="AF25" s="39" t="s">
        <v>1</v>
      </c>
      <c r="AG25" s="42" t="s">
        <v>1</v>
      </c>
      <c r="AH25" s="39" t="s">
        <v>1</v>
      </c>
      <c r="AI25" s="42" t="s">
        <v>1</v>
      </c>
      <c r="AJ25" s="39" t="s">
        <v>1</v>
      </c>
      <c r="AK25" s="42" t="s">
        <v>1</v>
      </c>
      <c r="AL25" s="27" t="s">
        <v>1</v>
      </c>
      <c r="AM25" s="29" t="s">
        <v>1</v>
      </c>
      <c r="AN25" s="27" t="s">
        <v>1</v>
      </c>
      <c r="AO25" s="29" t="s">
        <v>1</v>
      </c>
      <c r="AP25" s="27" t="s">
        <v>1</v>
      </c>
      <c r="AQ25" s="29" t="s">
        <v>1</v>
      </c>
      <c r="AR25" s="27" t="s">
        <v>1</v>
      </c>
      <c r="AS25" s="29" t="s">
        <v>1</v>
      </c>
      <c r="AT25" s="27" t="s">
        <v>1</v>
      </c>
      <c r="AU25" s="29" t="s">
        <v>1</v>
      </c>
    </row>
    <row r="26" spans="1:47" ht="6.75" customHeight="1" x14ac:dyDescent="0.25">
      <c r="A26" s="73">
        <v>26</v>
      </c>
      <c r="B26" s="45" t="s">
        <v>150</v>
      </c>
      <c r="C26" s="20" t="s">
        <v>174</v>
      </c>
      <c r="D26" s="27" t="s">
        <v>142</v>
      </c>
      <c r="E26" s="46" t="s">
        <v>160</v>
      </c>
      <c r="F26" s="27" t="s">
        <v>1</v>
      </c>
      <c r="G26" s="29" t="s">
        <v>1</v>
      </c>
      <c r="H26" s="27" t="s">
        <v>1</v>
      </c>
      <c r="I26" s="29" t="s">
        <v>1</v>
      </c>
      <c r="J26" s="40" t="s">
        <v>1</v>
      </c>
      <c r="K26" s="71" t="s">
        <v>1</v>
      </c>
      <c r="L26" s="40" t="s">
        <v>1</v>
      </c>
      <c r="M26" s="71" t="s">
        <v>1</v>
      </c>
      <c r="N26" s="39" t="s">
        <v>140</v>
      </c>
      <c r="O26" s="42" t="s">
        <v>271</v>
      </c>
      <c r="P26" s="72" t="s">
        <v>1</v>
      </c>
      <c r="Q26" s="42" t="s">
        <v>1</v>
      </c>
      <c r="R26" s="39" t="s">
        <v>1</v>
      </c>
      <c r="S26" s="42" t="s">
        <v>1</v>
      </c>
      <c r="T26" s="39" t="s">
        <v>1</v>
      </c>
      <c r="U26" s="42" t="s">
        <v>1</v>
      </c>
      <c r="V26" s="40" t="s">
        <v>1</v>
      </c>
      <c r="W26" s="42" t="s">
        <v>1</v>
      </c>
      <c r="X26" s="40" t="s">
        <v>1</v>
      </c>
      <c r="Y26" s="42" t="s">
        <v>1</v>
      </c>
      <c r="Z26" s="40" t="s">
        <v>1</v>
      </c>
      <c r="AA26" s="42" t="s">
        <v>1</v>
      </c>
      <c r="AB26" s="39" t="s">
        <v>1</v>
      </c>
      <c r="AC26" s="42" t="s">
        <v>1</v>
      </c>
      <c r="AD26" s="39" t="s">
        <v>1</v>
      </c>
      <c r="AE26" s="42" t="s">
        <v>1</v>
      </c>
      <c r="AF26" s="39" t="s">
        <v>1</v>
      </c>
      <c r="AG26" s="42" t="s">
        <v>1</v>
      </c>
      <c r="AH26" s="39" t="s">
        <v>1</v>
      </c>
      <c r="AI26" s="42" t="s">
        <v>1</v>
      </c>
      <c r="AJ26" s="39" t="s">
        <v>1</v>
      </c>
      <c r="AK26" s="42" t="s">
        <v>1</v>
      </c>
      <c r="AL26" s="27" t="s">
        <v>1</v>
      </c>
      <c r="AM26" s="29" t="s">
        <v>1</v>
      </c>
      <c r="AN26" s="27" t="s">
        <v>1</v>
      </c>
      <c r="AO26" s="29" t="s">
        <v>1</v>
      </c>
      <c r="AP26" s="27" t="s">
        <v>1</v>
      </c>
      <c r="AQ26" s="29" t="s">
        <v>1</v>
      </c>
      <c r="AR26" s="27" t="s">
        <v>1</v>
      </c>
      <c r="AS26" s="29" t="s">
        <v>1</v>
      </c>
      <c r="AT26" s="27" t="s">
        <v>1</v>
      </c>
      <c r="AU26" s="29" t="s">
        <v>1</v>
      </c>
    </row>
    <row r="27" spans="1:47" ht="6.75" customHeight="1" x14ac:dyDescent="0.25">
      <c r="A27" s="73">
        <v>27</v>
      </c>
      <c r="B27" s="45" t="s">
        <v>151</v>
      </c>
      <c r="C27" s="20" t="s">
        <v>174</v>
      </c>
      <c r="D27" s="27" t="s">
        <v>142</v>
      </c>
      <c r="E27" s="46" t="s">
        <v>160</v>
      </c>
      <c r="F27" s="27" t="s">
        <v>1</v>
      </c>
      <c r="G27" s="29" t="s">
        <v>1</v>
      </c>
      <c r="H27" s="27" t="s">
        <v>1</v>
      </c>
      <c r="I27" s="29" t="s">
        <v>1</v>
      </c>
      <c r="J27" s="40" t="s">
        <v>1</v>
      </c>
      <c r="K27" s="71" t="s">
        <v>1</v>
      </c>
      <c r="L27" s="40" t="s">
        <v>1</v>
      </c>
      <c r="M27" s="71" t="s">
        <v>1</v>
      </c>
      <c r="N27" s="39" t="s">
        <v>140</v>
      </c>
      <c r="O27" s="42" t="s">
        <v>272</v>
      </c>
      <c r="P27" s="72" t="s">
        <v>1</v>
      </c>
      <c r="Q27" s="42" t="s">
        <v>1</v>
      </c>
      <c r="R27" s="39" t="s">
        <v>1</v>
      </c>
      <c r="S27" s="42" t="s">
        <v>1</v>
      </c>
      <c r="T27" s="39" t="s">
        <v>1</v>
      </c>
      <c r="U27" s="42" t="s">
        <v>1</v>
      </c>
      <c r="V27" s="40" t="s">
        <v>1</v>
      </c>
      <c r="W27" s="42" t="s">
        <v>1</v>
      </c>
      <c r="X27" s="40" t="s">
        <v>1</v>
      </c>
      <c r="Y27" s="42" t="s">
        <v>1</v>
      </c>
      <c r="Z27" s="40" t="s">
        <v>1</v>
      </c>
      <c r="AA27" s="42" t="s">
        <v>1</v>
      </c>
      <c r="AB27" s="39" t="s">
        <v>1</v>
      </c>
      <c r="AC27" s="42" t="s">
        <v>1</v>
      </c>
      <c r="AD27" s="39" t="s">
        <v>1</v>
      </c>
      <c r="AE27" s="42" t="s">
        <v>1</v>
      </c>
      <c r="AF27" s="39" t="s">
        <v>1</v>
      </c>
      <c r="AG27" s="42" t="s">
        <v>1</v>
      </c>
      <c r="AH27" s="39" t="s">
        <v>1</v>
      </c>
      <c r="AI27" s="42" t="s">
        <v>1</v>
      </c>
      <c r="AJ27" s="39" t="s">
        <v>1</v>
      </c>
      <c r="AK27" s="42" t="s">
        <v>1</v>
      </c>
      <c r="AL27" s="27" t="s">
        <v>1</v>
      </c>
      <c r="AM27" s="29" t="s">
        <v>1</v>
      </c>
      <c r="AN27" s="27" t="s">
        <v>1</v>
      </c>
      <c r="AO27" s="29" t="s">
        <v>1</v>
      </c>
      <c r="AP27" s="27" t="s">
        <v>1</v>
      </c>
      <c r="AQ27" s="29" t="s">
        <v>1</v>
      </c>
      <c r="AR27" s="27" t="s">
        <v>1</v>
      </c>
      <c r="AS27" s="29" t="s">
        <v>1</v>
      </c>
      <c r="AT27" s="27" t="s">
        <v>1</v>
      </c>
      <c r="AU27" s="29" t="s">
        <v>1</v>
      </c>
    </row>
    <row r="28" spans="1:47" ht="6.75" customHeight="1" x14ac:dyDescent="0.25">
      <c r="A28" s="73">
        <v>28</v>
      </c>
      <c r="B28" s="45" t="s">
        <v>152</v>
      </c>
      <c r="C28" s="20" t="s">
        <v>174</v>
      </c>
      <c r="D28" s="27" t="s">
        <v>142</v>
      </c>
      <c r="E28" s="46" t="s">
        <v>160</v>
      </c>
      <c r="F28" s="27" t="s">
        <v>1</v>
      </c>
      <c r="G28" s="29" t="s">
        <v>1</v>
      </c>
      <c r="H28" s="27" t="s">
        <v>1</v>
      </c>
      <c r="I28" s="29" t="s">
        <v>1</v>
      </c>
      <c r="J28" s="40" t="s">
        <v>1</v>
      </c>
      <c r="K28" s="71" t="s">
        <v>1</v>
      </c>
      <c r="L28" s="40" t="s">
        <v>1</v>
      </c>
      <c r="M28" s="71" t="s">
        <v>1</v>
      </c>
      <c r="N28" s="39" t="s">
        <v>140</v>
      </c>
      <c r="O28" s="42" t="s">
        <v>273</v>
      </c>
      <c r="P28" s="72" t="s">
        <v>1</v>
      </c>
      <c r="Q28" s="42" t="s">
        <v>1</v>
      </c>
      <c r="R28" s="39" t="s">
        <v>1</v>
      </c>
      <c r="S28" s="42" t="s">
        <v>1</v>
      </c>
      <c r="T28" s="39" t="s">
        <v>1</v>
      </c>
      <c r="U28" s="42" t="s">
        <v>1</v>
      </c>
      <c r="V28" s="40" t="s">
        <v>1</v>
      </c>
      <c r="W28" s="42" t="s">
        <v>1</v>
      </c>
      <c r="X28" s="40" t="s">
        <v>1</v>
      </c>
      <c r="Y28" s="42" t="s">
        <v>1</v>
      </c>
      <c r="Z28" s="40" t="s">
        <v>1</v>
      </c>
      <c r="AA28" s="42" t="s">
        <v>1</v>
      </c>
      <c r="AB28" s="39" t="s">
        <v>1</v>
      </c>
      <c r="AC28" s="42" t="s">
        <v>1</v>
      </c>
      <c r="AD28" s="39" t="s">
        <v>1</v>
      </c>
      <c r="AE28" s="42" t="s">
        <v>1</v>
      </c>
      <c r="AF28" s="39" t="s">
        <v>1</v>
      </c>
      <c r="AG28" s="42" t="s">
        <v>1</v>
      </c>
      <c r="AH28" s="39" t="s">
        <v>1</v>
      </c>
      <c r="AI28" s="42" t="s">
        <v>1</v>
      </c>
      <c r="AJ28" s="39" t="s">
        <v>1</v>
      </c>
      <c r="AK28" s="42" t="s">
        <v>1</v>
      </c>
      <c r="AL28" s="27" t="s">
        <v>1</v>
      </c>
      <c r="AM28" s="29" t="s">
        <v>1</v>
      </c>
      <c r="AN28" s="27" t="s">
        <v>1</v>
      </c>
      <c r="AO28" s="29" t="s">
        <v>1</v>
      </c>
      <c r="AP28" s="27" t="s">
        <v>1</v>
      </c>
      <c r="AQ28" s="29" t="s">
        <v>1</v>
      </c>
      <c r="AR28" s="27" t="s">
        <v>1</v>
      </c>
      <c r="AS28" s="29" t="s">
        <v>1</v>
      </c>
      <c r="AT28" s="27" t="s">
        <v>1</v>
      </c>
      <c r="AU28" s="29" t="s">
        <v>1</v>
      </c>
    </row>
    <row r="29" spans="1:47" ht="6.75" customHeight="1" x14ac:dyDescent="0.25">
      <c r="A29" s="73">
        <v>29</v>
      </c>
      <c r="B29" s="45" t="s">
        <v>153</v>
      </c>
      <c r="C29" s="20" t="s">
        <v>174</v>
      </c>
      <c r="D29" s="27" t="s">
        <v>142</v>
      </c>
      <c r="E29" s="46" t="s">
        <v>160</v>
      </c>
      <c r="F29" s="27" t="s">
        <v>1</v>
      </c>
      <c r="G29" s="29" t="s">
        <v>1</v>
      </c>
      <c r="H29" s="27" t="s">
        <v>1</v>
      </c>
      <c r="I29" s="29" t="s">
        <v>1</v>
      </c>
      <c r="J29" s="40" t="s">
        <v>1</v>
      </c>
      <c r="K29" s="71" t="s">
        <v>1</v>
      </c>
      <c r="L29" s="40" t="s">
        <v>1</v>
      </c>
      <c r="M29" s="71" t="s">
        <v>1</v>
      </c>
      <c r="N29" s="39" t="s">
        <v>140</v>
      </c>
      <c r="O29" s="42" t="s">
        <v>274</v>
      </c>
      <c r="P29" s="72" t="s">
        <v>1</v>
      </c>
      <c r="Q29" s="42" t="s">
        <v>1</v>
      </c>
      <c r="R29" s="39" t="s">
        <v>1</v>
      </c>
      <c r="S29" s="42" t="s">
        <v>1</v>
      </c>
      <c r="T29" s="39" t="s">
        <v>1</v>
      </c>
      <c r="U29" s="42" t="s">
        <v>1</v>
      </c>
      <c r="V29" s="40" t="s">
        <v>1</v>
      </c>
      <c r="W29" s="42" t="s">
        <v>1</v>
      </c>
      <c r="X29" s="40" t="s">
        <v>1</v>
      </c>
      <c r="Y29" s="42" t="s">
        <v>1</v>
      </c>
      <c r="Z29" s="40" t="s">
        <v>1</v>
      </c>
      <c r="AA29" s="42" t="s">
        <v>1</v>
      </c>
      <c r="AB29" s="39" t="s">
        <v>1</v>
      </c>
      <c r="AC29" s="42" t="s">
        <v>1</v>
      </c>
      <c r="AD29" s="39" t="s">
        <v>1</v>
      </c>
      <c r="AE29" s="42" t="s">
        <v>1</v>
      </c>
      <c r="AF29" s="39" t="s">
        <v>1</v>
      </c>
      <c r="AG29" s="42" t="s">
        <v>1</v>
      </c>
      <c r="AH29" s="39" t="s">
        <v>1</v>
      </c>
      <c r="AI29" s="42" t="s">
        <v>1</v>
      </c>
      <c r="AJ29" s="39" t="s">
        <v>1</v>
      </c>
      <c r="AK29" s="42" t="s">
        <v>1</v>
      </c>
      <c r="AL29" s="27" t="s">
        <v>1</v>
      </c>
      <c r="AM29" s="29" t="s">
        <v>1</v>
      </c>
      <c r="AN29" s="27" t="s">
        <v>1</v>
      </c>
      <c r="AO29" s="29" t="s">
        <v>1</v>
      </c>
      <c r="AP29" s="27" t="s">
        <v>1</v>
      </c>
      <c r="AQ29" s="29" t="s">
        <v>1</v>
      </c>
      <c r="AR29" s="27" t="s">
        <v>1</v>
      </c>
      <c r="AS29" s="29" t="s">
        <v>1</v>
      </c>
      <c r="AT29" s="27" t="s">
        <v>1</v>
      </c>
      <c r="AU29" s="29" t="s">
        <v>1</v>
      </c>
    </row>
    <row r="30" spans="1:47" ht="6.75" customHeight="1" x14ac:dyDescent="0.25">
      <c r="A30" s="73">
        <v>30</v>
      </c>
      <c r="B30" s="45" t="s">
        <v>154</v>
      </c>
      <c r="C30" s="20" t="s">
        <v>174</v>
      </c>
      <c r="D30" s="27" t="s">
        <v>142</v>
      </c>
      <c r="E30" s="46" t="s">
        <v>160</v>
      </c>
      <c r="F30" s="27" t="s">
        <v>1</v>
      </c>
      <c r="G30" s="29" t="s">
        <v>1</v>
      </c>
      <c r="H30" s="27" t="s">
        <v>1</v>
      </c>
      <c r="I30" s="29" t="s">
        <v>1</v>
      </c>
      <c r="J30" s="40" t="s">
        <v>1</v>
      </c>
      <c r="K30" s="71" t="s">
        <v>1</v>
      </c>
      <c r="L30" s="40" t="s">
        <v>1</v>
      </c>
      <c r="M30" s="71" t="s">
        <v>1</v>
      </c>
      <c r="N30" s="39" t="s">
        <v>140</v>
      </c>
      <c r="O30" s="42" t="s">
        <v>275</v>
      </c>
      <c r="P30" s="72" t="s">
        <v>1</v>
      </c>
      <c r="Q30" s="42" t="s">
        <v>1</v>
      </c>
      <c r="R30" s="39" t="s">
        <v>1</v>
      </c>
      <c r="S30" s="42" t="s">
        <v>1</v>
      </c>
      <c r="T30" s="39" t="s">
        <v>1</v>
      </c>
      <c r="U30" s="42" t="s">
        <v>1</v>
      </c>
      <c r="V30" s="40" t="s">
        <v>1</v>
      </c>
      <c r="W30" s="42" t="s">
        <v>1</v>
      </c>
      <c r="X30" s="40" t="s">
        <v>1</v>
      </c>
      <c r="Y30" s="42" t="s">
        <v>1</v>
      </c>
      <c r="Z30" s="40" t="s">
        <v>1</v>
      </c>
      <c r="AA30" s="42" t="s">
        <v>1</v>
      </c>
      <c r="AB30" s="39" t="s">
        <v>1</v>
      </c>
      <c r="AC30" s="42" t="s">
        <v>1</v>
      </c>
      <c r="AD30" s="39" t="s">
        <v>1</v>
      </c>
      <c r="AE30" s="42" t="s">
        <v>1</v>
      </c>
      <c r="AF30" s="39" t="s">
        <v>1</v>
      </c>
      <c r="AG30" s="42" t="s">
        <v>1</v>
      </c>
      <c r="AH30" s="39" t="s">
        <v>1</v>
      </c>
      <c r="AI30" s="42" t="s">
        <v>1</v>
      </c>
      <c r="AJ30" s="39" t="s">
        <v>1</v>
      </c>
      <c r="AK30" s="42" t="s">
        <v>1</v>
      </c>
      <c r="AL30" s="27" t="s">
        <v>1</v>
      </c>
      <c r="AM30" s="29" t="s">
        <v>1</v>
      </c>
      <c r="AN30" s="27" t="s">
        <v>1</v>
      </c>
      <c r="AO30" s="29" t="s">
        <v>1</v>
      </c>
      <c r="AP30" s="27" t="s">
        <v>1</v>
      </c>
      <c r="AQ30" s="29" t="s">
        <v>1</v>
      </c>
      <c r="AR30" s="27" t="s">
        <v>1</v>
      </c>
      <c r="AS30" s="29" t="s">
        <v>1</v>
      </c>
      <c r="AT30" s="27" t="s">
        <v>1</v>
      </c>
      <c r="AU30" s="29" t="s">
        <v>1</v>
      </c>
    </row>
    <row r="31" spans="1:47" ht="6.75" customHeight="1" x14ac:dyDescent="0.25">
      <c r="A31" s="73">
        <v>31</v>
      </c>
      <c r="B31" s="45" t="s">
        <v>155</v>
      </c>
      <c r="C31" s="20" t="s">
        <v>174</v>
      </c>
      <c r="D31" s="27" t="s">
        <v>142</v>
      </c>
      <c r="E31" s="46" t="s">
        <v>160</v>
      </c>
      <c r="F31" s="27" t="s">
        <v>1</v>
      </c>
      <c r="G31" s="29" t="s">
        <v>1</v>
      </c>
      <c r="H31" s="27" t="s">
        <v>1</v>
      </c>
      <c r="I31" s="29" t="s">
        <v>1</v>
      </c>
      <c r="J31" s="40" t="s">
        <v>1</v>
      </c>
      <c r="K31" s="71" t="s">
        <v>1</v>
      </c>
      <c r="L31" s="40" t="s">
        <v>1</v>
      </c>
      <c r="M31" s="71" t="s">
        <v>1</v>
      </c>
      <c r="N31" s="39" t="s">
        <v>140</v>
      </c>
      <c r="O31" s="42" t="s">
        <v>276</v>
      </c>
      <c r="P31" s="72" t="s">
        <v>1</v>
      </c>
      <c r="Q31" s="42" t="s">
        <v>1</v>
      </c>
      <c r="R31" s="39" t="s">
        <v>1</v>
      </c>
      <c r="S31" s="42" t="s">
        <v>1</v>
      </c>
      <c r="T31" s="39" t="s">
        <v>1</v>
      </c>
      <c r="U31" s="42" t="s">
        <v>1</v>
      </c>
      <c r="V31" s="40" t="s">
        <v>1</v>
      </c>
      <c r="W31" s="42" t="s">
        <v>1</v>
      </c>
      <c r="X31" s="40" t="s">
        <v>1</v>
      </c>
      <c r="Y31" s="42" t="s">
        <v>1</v>
      </c>
      <c r="Z31" s="40" t="s">
        <v>1</v>
      </c>
      <c r="AA31" s="42" t="s">
        <v>1</v>
      </c>
      <c r="AB31" s="39" t="s">
        <v>1</v>
      </c>
      <c r="AC31" s="42" t="s">
        <v>1</v>
      </c>
      <c r="AD31" s="39" t="s">
        <v>1</v>
      </c>
      <c r="AE31" s="42" t="s">
        <v>1</v>
      </c>
      <c r="AF31" s="39" t="s">
        <v>1</v>
      </c>
      <c r="AG31" s="42" t="s">
        <v>1</v>
      </c>
      <c r="AH31" s="39" t="s">
        <v>1</v>
      </c>
      <c r="AI31" s="42" t="s">
        <v>1</v>
      </c>
      <c r="AJ31" s="39" t="s">
        <v>1</v>
      </c>
      <c r="AK31" s="42" t="s">
        <v>1</v>
      </c>
      <c r="AL31" s="27" t="s">
        <v>1</v>
      </c>
      <c r="AM31" s="29" t="s">
        <v>1</v>
      </c>
      <c r="AN31" s="27" t="s">
        <v>1</v>
      </c>
      <c r="AO31" s="29" t="s">
        <v>1</v>
      </c>
      <c r="AP31" s="27" t="s">
        <v>1</v>
      </c>
      <c r="AQ31" s="29" t="s">
        <v>1</v>
      </c>
      <c r="AR31" s="27" t="s">
        <v>1</v>
      </c>
      <c r="AS31" s="29" t="s">
        <v>1</v>
      </c>
      <c r="AT31" s="27" t="s">
        <v>1</v>
      </c>
      <c r="AU31" s="29" t="s">
        <v>1</v>
      </c>
    </row>
    <row r="32" spans="1:47" ht="6.75" customHeight="1" x14ac:dyDescent="0.25">
      <c r="A32" s="73">
        <v>32</v>
      </c>
      <c r="B32" s="45" t="s">
        <v>156</v>
      </c>
      <c r="C32" s="20" t="s">
        <v>174</v>
      </c>
      <c r="D32" s="27" t="s">
        <v>142</v>
      </c>
      <c r="E32" s="46" t="s">
        <v>160</v>
      </c>
      <c r="F32" s="27" t="s">
        <v>1</v>
      </c>
      <c r="G32" s="29" t="s">
        <v>1</v>
      </c>
      <c r="H32" s="27" t="s">
        <v>1</v>
      </c>
      <c r="I32" s="29" t="s">
        <v>1</v>
      </c>
      <c r="J32" s="40" t="s">
        <v>1</v>
      </c>
      <c r="K32" s="71" t="s">
        <v>1</v>
      </c>
      <c r="L32" s="40" t="s">
        <v>1</v>
      </c>
      <c r="M32" s="71" t="s">
        <v>1</v>
      </c>
      <c r="N32" s="39" t="s">
        <v>140</v>
      </c>
      <c r="O32" s="42" t="s">
        <v>277</v>
      </c>
      <c r="P32" s="72" t="s">
        <v>1</v>
      </c>
      <c r="Q32" s="42" t="s">
        <v>1</v>
      </c>
      <c r="R32" s="39" t="s">
        <v>1</v>
      </c>
      <c r="S32" s="42" t="s">
        <v>1</v>
      </c>
      <c r="T32" s="39" t="s">
        <v>1</v>
      </c>
      <c r="U32" s="42" t="s">
        <v>1</v>
      </c>
      <c r="V32" s="40" t="s">
        <v>1</v>
      </c>
      <c r="W32" s="42" t="s">
        <v>1</v>
      </c>
      <c r="X32" s="40" t="s">
        <v>1</v>
      </c>
      <c r="Y32" s="42" t="s">
        <v>1</v>
      </c>
      <c r="Z32" s="40" t="s">
        <v>1</v>
      </c>
      <c r="AA32" s="42" t="s">
        <v>1</v>
      </c>
      <c r="AB32" s="39" t="s">
        <v>1</v>
      </c>
      <c r="AC32" s="42" t="s">
        <v>1</v>
      </c>
      <c r="AD32" s="39" t="s">
        <v>1</v>
      </c>
      <c r="AE32" s="42" t="s">
        <v>1</v>
      </c>
      <c r="AF32" s="39" t="s">
        <v>1</v>
      </c>
      <c r="AG32" s="42" t="s">
        <v>1</v>
      </c>
      <c r="AH32" s="39" t="s">
        <v>1</v>
      </c>
      <c r="AI32" s="42" t="s">
        <v>1</v>
      </c>
      <c r="AJ32" s="39" t="s">
        <v>1</v>
      </c>
      <c r="AK32" s="42" t="s">
        <v>1</v>
      </c>
      <c r="AL32" s="27" t="s">
        <v>1</v>
      </c>
      <c r="AM32" s="29" t="s">
        <v>1</v>
      </c>
      <c r="AN32" s="27" t="s">
        <v>1</v>
      </c>
      <c r="AO32" s="29" t="s">
        <v>1</v>
      </c>
      <c r="AP32" s="27" t="s">
        <v>1</v>
      </c>
      <c r="AQ32" s="29" t="s">
        <v>1</v>
      </c>
      <c r="AR32" s="27" t="s">
        <v>1</v>
      </c>
      <c r="AS32" s="29" t="s">
        <v>1</v>
      </c>
      <c r="AT32" s="27" t="s">
        <v>1</v>
      </c>
      <c r="AU32" s="29" t="s">
        <v>1</v>
      </c>
    </row>
    <row r="33" spans="1:47" ht="6.75" customHeight="1" x14ac:dyDescent="0.25">
      <c r="A33" s="73">
        <v>33</v>
      </c>
      <c r="B33" s="45" t="s">
        <v>157</v>
      </c>
      <c r="C33" s="20" t="s">
        <v>174</v>
      </c>
      <c r="D33" s="27" t="s">
        <v>142</v>
      </c>
      <c r="E33" s="46" t="s">
        <v>160</v>
      </c>
      <c r="F33" s="27" t="s">
        <v>1</v>
      </c>
      <c r="G33" s="29" t="s">
        <v>1</v>
      </c>
      <c r="H33" s="27" t="s">
        <v>1</v>
      </c>
      <c r="I33" s="29" t="s">
        <v>1</v>
      </c>
      <c r="J33" s="40" t="s">
        <v>1</v>
      </c>
      <c r="K33" s="71" t="s">
        <v>1</v>
      </c>
      <c r="L33" s="40" t="s">
        <v>1</v>
      </c>
      <c r="M33" s="71" t="s">
        <v>1</v>
      </c>
      <c r="N33" s="39" t="s">
        <v>140</v>
      </c>
      <c r="O33" s="42" t="s">
        <v>278</v>
      </c>
      <c r="P33" s="72" t="s">
        <v>1</v>
      </c>
      <c r="Q33" s="42" t="s">
        <v>1</v>
      </c>
      <c r="R33" s="39" t="s">
        <v>1</v>
      </c>
      <c r="S33" s="42" t="s">
        <v>1</v>
      </c>
      <c r="T33" s="39" t="s">
        <v>1</v>
      </c>
      <c r="U33" s="42" t="s">
        <v>1</v>
      </c>
      <c r="V33" s="40" t="s">
        <v>1</v>
      </c>
      <c r="W33" s="42" t="s">
        <v>1</v>
      </c>
      <c r="X33" s="40" t="s">
        <v>1</v>
      </c>
      <c r="Y33" s="42" t="s">
        <v>1</v>
      </c>
      <c r="Z33" s="40" t="s">
        <v>1</v>
      </c>
      <c r="AA33" s="42" t="s">
        <v>1</v>
      </c>
      <c r="AB33" s="39" t="s">
        <v>1</v>
      </c>
      <c r="AC33" s="42" t="s">
        <v>1</v>
      </c>
      <c r="AD33" s="39" t="s">
        <v>1</v>
      </c>
      <c r="AE33" s="42" t="s">
        <v>1</v>
      </c>
      <c r="AF33" s="39" t="s">
        <v>1</v>
      </c>
      <c r="AG33" s="42" t="s">
        <v>1</v>
      </c>
      <c r="AH33" s="39" t="s">
        <v>1</v>
      </c>
      <c r="AI33" s="42" t="s">
        <v>1</v>
      </c>
      <c r="AJ33" s="39" t="s">
        <v>1</v>
      </c>
      <c r="AK33" s="42" t="s">
        <v>1</v>
      </c>
      <c r="AL33" s="27" t="s">
        <v>1</v>
      </c>
      <c r="AM33" s="29" t="s">
        <v>1</v>
      </c>
      <c r="AN33" s="27" t="s">
        <v>1</v>
      </c>
      <c r="AO33" s="29" t="s">
        <v>1</v>
      </c>
      <c r="AP33" s="27" t="s">
        <v>1</v>
      </c>
      <c r="AQ33" s="29" t="s">
        <v>1</v>
      </c>
      <c r="AR33" s="27" t="s">
        <v>1</v>
      </c>
      <c r="AS33" s="29" t="s">
        <v>1</v>
      </c>
      <c r="AT33" s="27" t="s">
        <v>1</v>
      </c>
      <c r="AU33" s="29" t="s">
        <v>1</v>
      </c>
    </row>
    <row r="34" spans="1:47" ht="6.75" customHeight="1" x14ac:dyDescent="0.25">
      <c r="A34" s="73">
        <v>34</v>
      </c>
      <c r="B34" s="45" t="s">
        <v>158</v>
      </c>
      <c r="C34" s="20" t="s">
        <v>174</v>
      </c>
      <c r="D34" s="27" t="s">
        <v>142</v>
      </c>
      <c r="E34" s="46" t="s">
        <v>160</v>
      </c>
      <c r="F34" s="27" t="s">
        <v>1</v>
      </c>
      <c r="G34" s="29" t="s">
        <v>1</v>
      </c>
      <c r="H34" s="27" t="s">
        <v>1</v>
      </c>
      <c r="I34" s="29" t="s">
        <v>1</v>
      </c>
      <c r="J34" s="40" t="s">
        <v>1</v>
      </c>
      <c r="K34" s="71" t="s">
        <v>1</v>
      </c>
      <c r="L34" s="40" t="s">
        <v>1</v>
      </c>
      <c r="M34" s="71" t="s">
        <v>1</v>
      </c>
      <c r="N34" s="39" t="s">
        <v>140</v>
      </c>
      <c r="O34" s="42" t="s">
        <v>279</v>
      </c>
      <c r="P34" s="72" t="s">
        <v>1</v>
      </c>
      <c r="Q34" s="42" t="s">
        <v>1</v>
      </c>
      <c r="R34" s="39" t="s">
        <v>1</v>
      </c>
      <c r="S34" s="42" t="s">
        <v>1</v>
      </c>
      <c r="T34" s="39" t="s">
        <v>1</v>
      </c>
      <c r="U34" s="42" t="s">
        <v>1</v>
      </c>
      <c r="V34" s="40" t="s">
        <v>1</v>
      </c>
      <c r="W34" s="42" t="s">
        <v>1</v>
      </c>
      <c r="X34" s="40" t="s">
        <v>1</v>
      </c>
      <c r="Y34" s="42" t="s">
        <v>1</v>
      </c>
      <c r="Z34" s="40" t="s">
        <v>1</v>
      </c>
      <c r="AA34" s="42" t="s">
        <v>1</v>
      </c>
      <c r="AB34" s="39" t="s">
        <v>1</v>
      </c>
      <c r="AC34" s="42" t="s">
        <v>1</v>
      </c>
      <c r="AD34" s="39" t="s">
        <v>1</v>
      </c>
      <c r="AE34" s="42" t="s">
        <v>1</v>
      </c>
      <c r="AF34" s="39" t="s">
        <v>1</v>
      </c>
      <c r="AG34" s="42" t="s">
        <v>1</v>
      </c>
      <c r="AH34" s="39" t="s">
        <v>1</v>
      </c>
      <c r="AI34" s="42" t="s">
        <v>1</v>
      </c>
      <c r="AJ34" s="39" t="s">
        <v>1</v>
      </c>
      <c r="AK34" s="42" t="s">
        <v>1</v>
      </c>
      <c r="AL34" s="27" t="s">
        <v>1</v>
      </c>
      <c r="AM34" s="29" t="s">
        <v>1</v>
      </c>
      <c r="AN34" s="27" t="s">
        <v>1</v>
      </c>
      <c r="AO34" s="29" t="s">
        <v>1</v>
      </c>
      <c r="AP34" s="27" t="s">
        <v>1</v>
      </c>
      <c r="AQ34" s="29" t="s">
        <v>1</v>
      </c>
      <c r="AR34" s="27" t="s">
        <v>1</v>
      </c>
      <c r="AS34" s="29" t="s">
        <v>1</v>
      </c>
      <c r="AT34" s="27" t="s">
        <v>1</v>
      </c>
      <c r="AU34" s="29" t="s">
        <v>1</v>
      </c>
    </row>
    <row r="35" spans="1:47" ht="6.75" customHeight="1" x14ac:dyDescent="0.25">
      <c r="A35" s="73">
        <v>35</v>
      </c>
      <c r="B35" s="45" t="s">
        <v>159</v>
      </c>
      <c r="C35" s="20" t="s">
        <v>174</v>
      </c>
      <c r="D35" s="27" t="s">
        <v>142</v>
      </c>
      <c r="E35" s="46" t="s">
        <v>160</v>
      </c>
      <c r="F35" s="27" t="s">
        <v>1</v>
      </c>
      <c r="G35" s="29" t="s">
        <v>1</v>
      </c>
      <c r="H35" s="27" t="s">
        <v>1</v>
      </c>
      <c r="I35" s="29" t="s">
        <v>1</v>
      </c>
      <c r="J35" s="40" t="s">
        <v>1</v>
      </c>
      <c r="K35" s="71" t="s">
        <v>1</v>
      </c>
      <c r="L35" s="40" t="s">
        <v>1</v>
      </c>
      <c r="M35" s="71" t="s">
        <v>1</v>
      </c>
      <c r="N35" s="39" t="s">
        <v>140</v>
      </c>
      <c r="O35" s="42" t="s">
        <v>280</v>
      </c>
      <c r="P35" s="72" t="s">
        <v>1</v>
      </c>
      <c r="Q35" s="42" t="s">
        <v>1</v>
      </c>
      <c r="R35" s="39" t="s">
        <v>1</v>
      </c>
      <c r="S35" s="42" t="s">
        <v>1</v>
      </c>
      <c r="T35" s="39" t="s">
        <v>1</v>
      </c>
      <c r="U35" s="42" t="s">
        <v>1</v>
      </c>
      <c r="V35" s="40" t="s">
        <v>1</v>
      </c>
      <c r="W35" s="42" t="s">
        <v>1</v>
      </c>
      <c r="X35" s="40" t="s">
        <v>1</v>
      </c>
      <c r="Y35" s="42" t="s">
        <v>1</v>
      </c>
      <c r="Z35" s="40" t="s">
        <v>1</v>
      </c>
      <c r="AA35" s="42" t="s">
        <v>1</v>
      </c>
      <c r="AB35" s="39" t="s">
        <v>1</v>
      </c>
      <c r="AC35" s="42" t="s">
        <v>1</v>
      </c>
      <c r="AD35" s="39" t="s">
        <v>1</v>
      </c>
      <c r="AE35" s="42" t="s">
        <v>1</v>
      </c>
      <c r="AF35" s="39" t="s">
        <v>1</v>
      </c>
      <c r="AG35" s="42" t="s">
        <v>1</v>
      </c>
      <c r="AH35" s="39" t="s">
        <v>1</v>
      </c>
      <c r="AI35" s="42" t="s">
        <v>1</v>
      </c>
      <c r="AJ35" s="39" t="s">
        <v>1</v>
      </c>
      <c r="AK35" s="42" t="s">
        <v>1</v>
      </c>
      <c r="AL35" s="27" t="s">
        <v>1</v>
      </c>
      <c r="AM35" s="29" t="s">
        <v>1</v>
      </c>
      <c r="AN35" s="27" t="s">
        <v>1</v>
      </c>
      <c r="AO35" s="29" t="s">
        <v>1</v>
      </c>
      <c r="AP35" s="27" t="s">
        <v>1</v>
      </c>
      <c r="AQ35" s="29" t="s">
        <v>1</v>
      </c>
      <c r="AR35" s="27" t="s">
        <v>1</v>
      </c>
      <c r="AS35" s="29" t="s">
        <v>1</v>
      </c>
      <c r="AT35" s="27" t="s">
        <v>1</v>
      </c>
      <c r="AU35" s="29" t="s">
        <v>1</v>
      </c>
    </row>
    <row r="36" spans="1:47" ht="6.75" customHeight="1" x14ac:dyDescent="0.25">
      <c r="A36" s="73">
        <v>36</v>
      </c>
      <c r="B36" s="45" t="s">
        <v>162</v>
      </c>
      <c r="C36" s="20" t="s">
        <v>175</v>
      </c>
      <c r="D36" s="27" t="s">
        <v>142</v>
      </c>
      <c r="E36" s="46" t="s">
        <v>160</v>
      </c>
      <c r="F36" s="27" t="s">
        <v>1</v>
      </c>
      <c r="G36" s="29" t="s">
        <v>1</v>
      </c>
      <c r="H36" s="27" t="s">
        <v>1</v>
      </c>
      <c r="I36" s="29" t="s">
        <v>1</v>
      </c>
      <c r="J36" s="40" t="s">
        <v>1</v>
      </c>
      <c r="K36" s="71" t="s">
        <v>1</v>
      </c>
      <c r="L36" s="40" t="s">
        <v>1</v>
      </c>
      <c r="M36" s="71" t="s">
        <v>1</v>
      </c>
      <c r="N36" s="39" t="s">
        <v>140</v>
      </c>
      <c r="O36" s="42" t="s">
        <v>173</v>
      </c>
      <c r="P36" s="72" t="s">
        <v>1</v>
      </c>
      <c r="Q36" s="42" t="s">
        <v>1</v>
      </c>
      <c r="R36" s="39" t="s">
        <v>1</v>
      </c>
      <c r="S36" s="42" t="s">
        <v>1</v>
      </c>
      <c r="T36" s="39" t="s">
        <v>1</v>
      </c>
      <c r="U36" s="42" t="s">
        <v>1</v>
      </c>
      <c r="V36" s="40" t="s">
        <v>1</v>
      </c>
      <c r="W36" s="42" t="s">
        <v>1</v>
      </c>
      <c r="X36" s="40" t="s">
        <v>1</v>
      </c>
      <c r="Y36" s="42" t="s">
        <v>1</v>
      </c>
      <c r="Z36" s="40" t="s">
        <v>1</v>
      </c>
      <c r="AA36" s="42" t="s">
        <v>1</v>
      </c>
      <c r="AB36" s="39" t="s">
        <v>1</v>
      </c>
      <c r="AC36" s="42" t="s">
        <v>1</v>
      </c>
      <c r="AD36" s="39" t="s">
        <v>1</v>
      </c>
      <c r="AE36" s="42" t="s">
        <v>1</v>
      </c>
      <c r="AF36" s="39" t="s">
        <v>1</v>
      </c>
      <c r="AG36" s="42" t="s">
        <v>1</v>
      </c>
      <c r="AH36" s="39" t="s">
        <v>1</v>
      </c>
      <c r="AI36" s="42" t="s">
        <v>1</v>
      </c>
      <c r="AJ36" s="39" t="s">
        <v>1</v>
      </c>
      <c r="AK36" s="42" t="s">
        <v>1</v>
      </c>
      <c r="AL36" s="27" t="s">
        <v>1</v>
      </c>
      <c r="AM36" s="29" t="s">
        <v>1</v>
      </c>
      <c r="AN36" s="27" t="s">
        <v>1</v>
      </c>
      <c r="AO36" s="29" t="s">
        <v>1</v>
      </c>
      <c r="AP36" s="27" t="s">
        <v>1</v>
      </c>
      <c r="AQ36" s="29" t="s">
        <v>1</v>
      </c>
      <c r="AR36" s="27" t="s">
        <v>1</v>
      </c>
      <c r="AS36" s="29" t="s">
        <v>1</v>
      </c>
      <c r="AT36" s="27" t="s">
        <v>1</v>
      </c>
      <c r="AU36" s="29" t="s">
        <v>1</v>
      </c>
    </row>
    <row r="37" spans="1:47" ht="6.75" customHeight="1" x14ac:dyDescent="0.25">
      <c r="A37" s="73">
        <v>37</v>
      </c>
      <c r="B37" s="45" t="s">
        <v>172</v>
      </c>
      <c r="C37" s="20" t="s">
        <v>175</v>
      </c>
      <c r="D37" s="27" t="s">
        <v>142</v>
      </c>
      <c r="E37" s="46" t="s">
        <v>160</v>
      </c>
      <c r="F37" s="27" t="s">
        <v>1</v>
      </c>
      <c r="G37" s="29" t="s">
        <v>1</v>
      </c>
      <c r="H37" s="27" t="s">
        <v>1</v>
      </c>
      <c r="I37" s="29" t="s">
        <v>1</v>
      </c>
      <c r="J37" s="40" t="s">
        <v>1</v>
      </c>
      <c r="K37" s="71" t="s">
        <v>1</v>
      </c>
      <c r="L37" s="40" t="s">
        <v>1</v>
      </c>
      <c r="M37" s="71" t="s">
        <v>1</v>
      </c>
      <c r="N37" s="39" t="s">
        <v>140</v>
      </c>
      <c r="O37" s="42" t="s">
        <v>281</v>
      </c>
      <c r="P37" s="72" t="s">
        <v>1</v>
      </c>
      <c r="Q37" s="42" t="s">
        <v>1</v>
      </c>
      <c r="R37" s="39" t="s">
        <v>1</v>
      </c>
      <c r="S37" s="42" t="s">
        <v>1</v>
      </c>
      <c r="T37" s="39" t="s">
        <v>1</v>
      </c>
      <c r="U37" s="42" t="s">
        <v>1</v>
      </c>
      <c r="V37" s="40" t="s">
        <v>1</v>
      </c>
      <c r="W37" s="42" t="s">
        <v>1</v>
      </c>
      <c r="X37" s="40" t="s">
        <v>1</v>
      </c>
      <c r="Y37" s="42" t="s">
        <v>1</v>
      </c>
      <c r="Z37" s="40" t="s">
        <v>1</v>
      </c>
      <c r="AA37" s="42" t="s">
        <v>1</v>
      </c>
      <c r="AB37" s="39" t="s">
        <v>1</v>
      </c>
      <c r="AC37" s="42" t="s">
        <v>1</v>
      </c>
      <c r="AD37" s="39" t="s">
        <v>1</v>
      </c>
      <c r="AE37" s="42" t="s">
        <v>1</v>
      </c>
      <c r="AF37" s="39" t="s">
        <v>1</v>
      </c>
      <c r="AG37" s="42" t="s">
        <v>1</v>
      </c>
      <c r="AH37" s="39" t="s">
        <v>1</v>
      </c>
      <c r="AI37" s="42" t="s">
        <v>1</v>
      </c>
      <c r="AJ37" s="39" t="s">
        <v>1</v>
      </c>
      <c r="AK37" s="42" t="s">
        <v>1</v>
      </c>
      <c r="AL37" s="27" t="s">
        <v>1</v>
      </c>
      <c r="AM37" s="29" t="s">
        <v>1</v>
      </c>
      <c r="AN37" s="27" t="s">
        <v>1</v>
      </c>
      <c r="AO37" s="29" t="s">
        <v>1</v>
      </c>
      <c r="AP37" s="27" t="s">
        <v>1</v>
      </c>
      <c r="AQ37" s="29" t="s">
        <v>1</v>
      </c>
      <c r="AR37" s="27" t="s">
        <v>1</v>
      </c>
      <c r="AS37" s="29" t="s">
        <v>1</v>
      </c>
      <c r="AT37" s="27" t="s">
        <v>1</v>
      </c>
      <c r="AU37" s="29" t="s">
        <v>1</v>
      </c>
    </row>
    <row r="38" spans="1:47" ht="6.75" customHeight="1" x14ac:dyDescent="0.25">
      <c r="A38" s="73">
        <v>38</v>
      </c>
      <c r="B38" s="45" t="s">
        <v>171</v>
      </c>
      <c r="C38" s="20" t="s">
        <v>175</v>
      </c>
      <c r="D38" s="27" t="s">
        <v>142</v>
      </c>
      <c r="E38" s="46" t="s">
        <v>160</v>
      </c>
      <c r="F38" s="27" t="s">
        <v>1</v>
      </c>
      <c r="G38" s="29" t="s">
        <v>1</v>
      </c>
      <c r="H38" s="27" t="s">
        <v>1</v>
      </c>
      <c r="I38" s="29" t="s">
        <v>1</v>
      </c>
      <c r="J38" s="40" t="s">
        <v>1</v>
      </c>
      <c r="K38" s="71" t="s">
        <v>1</v>
      </c>
      <c r="L38" s="40" t="s">
        <v>1</v>
      </c>
      <c r="M38" s="71" t="s">
        <v>1</v>
      </c>
      <c r="N38" s="39" t="s">
        <v>140</v>
      </c>
      <c r="O38" s="42" t="s">
        <v>282</v>
      </c>
      <c r="P38" s="72" t="s">
        <v>1</v>
      </c>
      <c r="Q38" s="42" t="s">
        <v>1</v>
      </c>
      <c r="R38" s="39" t="s">
        <v>1</v>
      </c>
      <c r="S38" s="42" t="s">
        <v>1</v>
      </c>
      <c r="T38" s="39" t="s">
        <v>1</v>
      </c>
      <c r="U38" s="42" t="s">
        <v>1</v>
      </c>
      <c r="V38" s="40" t="s">
        <v>1</v>
      </c>
      <c r="W38" s="42" t="s">
        <v>1</v>
      </c>
      <c r="X38" s="40" t="s">
        <v>1</v>
      </c>
      <c r="Y38" s="42" t="s">
        <v>1</v>
      </c>
      <c r="Z38" s="40" t="s">
        <v>1</v>
      </c>
      <c r="AA38" s="42" t="s">
        <v>1</v>
      </c>
      <c r="AB38" s="39" t="s">
        <v>1</v>
      </c>
      <c r="AC38" s="42" t="s">
        <v>1</v>
      </c>
      <c r="AD38" s="39" t="s">
        <v>1</v>
      </c>
      <c r="AE38" s="42" t="s">
        <v>1</v>
      </c>
      <c r="AF38" s="39" t="s">
        <v>1</v>
      </c>
      <c r="AG38" s="42" t="s">
        <v>1</v>
      </c>
      <c r="AH38" s="39" t="s">
        <v>1</v>
      </c>
      <c r="AI38" s="42" t="s">
        <v>1</v>
      </c>
      <c r="AJ38" s="39" t="s">
        <v>1</v>
      </c>
      <c r="AK38" s="42" t="s">
        <v>1</v>
      </c>
      <c r="AL38" s="27" t="s">
        <v>1</v>
      </c>
      <c r="AM38" s="29" t="s">
        <v>1</v>
      </c>
      <c r="AN38" s="27" t="s">
        <v>1</v>
      </c>
      <c r="AO38" s="29" t="s">
        <v>1</v>
      </c>
      <c r="AP38" s="27" t="s">
        <v>1</v>
      </c>
      <c r="AQ38" s="29" t="s">
        <v>1</v>
      </c>
      <c r="AR38" s="27" t="s">
        <v>1</v>
      </c>
      <c r="AS38" s="29" t="s">
        <v>1</v>
      </c>
      <c r="AT38" s="27" t="s">
        <v>1</v>
      </c>
      <c r="AU38" s="29" t="s">
        <v>1</v>
      </c>
    </row>
    <row r="39" spans="1:47" ht="6.75" customHeight="1" x14ac:dyDescent="0.25">
      <c r="A39" s="73">
        <v>39</v>
      </c>
      <c r="B39" s="45" t="s">
        <v>170</v>
      </c>
      <c r="C39" s="20" t="s">
        <v>175</v>
      </c>
      <c r="D39" s="27" t="s">
        <v>142</v>
      </c>
      <c r="E39" s="46" t="s">
        <v>160</v>
      </c>
      <c r="F39" s="27" t="s">
        <v>1</v>
      </c>
      <c r="G39" s="29" t="s">
        <v>1</v>
      </c>
      <c r="H39" s="27" t="s">
        <v>1</v>
      </c>
      <c r="I39" s="29" t="s">
        <v>1</v>
      </c>
      <c r="J39" s="40" t="s">
        <v>1</v>
      </c>
      <c r="K39" s="71" t="s">
        <v>1</v>
      </c>
      <c r="L39" s="40" t="s">
        <v>1</v>
      </c>
      <c r="M39" s="71" t="s">
        <v>1</v>
      </c>
      <c r="N39" s="39" t="s">
        <v>140</v>
      </c>
      <c r="O39" s="42" t="s">
        <v>283</v>
      </c>
      <c r="P39" s="72" t="s">
        <v>1</v>
      </c>
      <c r="Q39" s="42" t="s">
        <v>1</v>
      </c>
      <c r="R39" s="39" t="s">
        <v>1</v>
      </c>
      <c r="S39" s="42" t="s">
        <v>1</v>
      </c>
      <c r="T39" s="39" t="s">
        <v>1</v>
      </c>
      <c r="U39" s="42" t="s">
        <v>1</v>
      </c>
      <c r="V39" s="40" t="s">
        <v>1</v>
      </c>
      <c r="W39" s="42" t="s">
        <v>1</v>
      </c>
      <c r="X39" s="40" t="s">
        <v>1</v>
      </c>
      <c r="Y39" s="42" t="s">
        <v>1</v>
      </c>
      <c r="Z39" s="40" t="s">
        <v>1</v>
      </c>
      <c r="AA39" s="42" t="s">
        <v>1</v>
      </c>
      <c r="AB39" s="39" t="s">
        <v>1</v>
      </c>
      <c r="AC39" s="42" t="s">
        <v>1</v>
      </c>
      <c r="AD39" s="39" t="s">
        <v>1</v>
      </c>
      <c r="AE39" s="42" t="s">
        <v>1</v>
      </c>
      <c r="AF39" s="39" t="s">
        <v>1</v>
      </c>
      <c r="AG39" s="42" t="s">
        <v>1</v>
      </c>
      <c r="AH39" s="39" t="s">
        <v>1</v>
      </c>
      <c r="AI39" s="42" t="s">
        <v>1</v>
      </c>
      <c r="AJ39" s="39" t="s">
        <v>1</v>
      </c>
      <c r="AK39" s="42" t="s">
        <v>1</v>
      </c>
      <c r="AL39" s="27" t="s">
        <v>1</v>
      </c>
      <c r="AM39" s="29" t="s">
        <v>1</v>
      </c>
      <c r="AN39" s="27" t="s">
        <v>1</v>
      </c>
      <c r="AO39" s="29" t="s">
        <v>1</v>
      </c>
      <c r="AP39" s="27" t="s">
        <v>1</v>
      </c>
      <c r="AQ39" s="29" t="s">
        <v>1</v>
      </c>
      <c r="AR39" s="27" t="s">
        <v>1</v>
      </c>
      <c r="AS39" s="29" t="s">
        <v>1</v>
      </c>
      <c r="AT39" s="27" t="s">
        <v>1</v>
      </c>
      <c r="AU39" s="29" t="s">
        <v>1</v>
      </c>
    </row>
    <row r="40" spans="1:47" ht="6.75" customHeight="1" x14ac:dyDescent="0.25">
      <c r="A40" s="73">
        <v>40</v>
      </c>
      <c r="B40" s="45" t="s">
        <v>169</v>
      </c>
      <c r="C40" s="20" t="s">
        <v>175</v>
      </c>
      <c r="D40" s="27" t="s">
        <v>142</v>
      </c>
      <c r="E40" s="46" t="s">
        <v>160</v>
      </c>
      <c r="F40" s="27" t="s">
        <v>1</v>
      </c>
      <c r="G40" s="29" t="s">
        <v>1</v>
      </c>
      <c r="H40" s="27" t="s">
        <v>1</v>
      </c>
      <c r="I40" s="29" t="s">
        <v>1</v>
      </c>
      <c r="J40" s="40" t="s">
        <v>1</v>
      </c>
      <c r="K40" s="71" t="s">
        <v>1</v>
      </c>
      <c r="L40" s="40" t="s">
        <v>1</v>
      </c>
      <c r="M40" s="71" t="s">
        <v>1</v>
      </c>
      <c r="N40" s="39" t="s">
        <v>140</v>
      </c>
      <c r="O40" s="42" t="s">
        <v>284</v>
      </c>
      <c r="P40" s="72" t="s">
        <v>1</v>
      </c>
      <c r="Q40" s="42" t="s">
        <v>1</v>
      </c>
      <c r="R40" s="39" t="s">
        <v>1</v>
      </c>
      <c r="S40" s="42" t="s">
        <v>1</v>
      </c>
      <c r="T40" s="39" t="s">
        <v>1</v>
      </c>
      <c r="U40" s="42" t="s">
        <v>1</v>
      </c>
      <c r="V40" s="40" t="s">
        <v>1</v>
      </c>
      <c r="W40" s="42" t="s">
        <v>1</v>
      </c>
      <c r="X40" s="40" t="s">
        <v>1</v>
      </c>
      <c r="Y40" s="42" t="s">
        <v>1</v>
      </c>
      <c r="Z40" s="40" t="s">
        <v>1</v>
      </c>
      <c r="AA40" s="42" t="s">
        <v>1</v>
      </c>
      <c r="AB40" s="39" t="s">
        <v>1</v>
      </c>
      <c r="AC40" s="42" t="s">
        <v>1</v>
      </c>
      <c r="AD40" s="39" t="s">
        <v>1</v>
      </c>
      <c r="AE40" s="42" t="s">
        <v>1</v>
      </c>
      <c r="AF40" s="39" t="s">
        <v>1</v>
      </c>
      <c r="AG40" s="42" t="s">
        <v>1</v>
      </c>
      <c r="AH40" s="39" t="s">
        <v>1</v>
      </c>
      <c r="AI40" s="42" t="s">
        <v>1</v>
      </c>
      <c r="AJ40" s="39" t="s">
        <v>1</v>
      </c>
      <c r="AK40" s="42" t="s">
        <v>1</v>
      </c>
      <c r="AL40" s="27" t="s">
        <v>1</v>
      </c>
      <c r="AM40" s="29" t="s">
        <v>1</v>
      </c>
      <c r="AN40" s="27" t="s">
        <v>1</v>
      </c>
      <c r="AO40" s="29" t="s">
        <v>1</v>
      </c>
      <c r="AP40" s="27" t="s">
        <v>1</v>
      </c>
      <c r="AQ40" s="29" t="s">
        <v>1</v>
      </c>
      <c r="AR40" s="27" t="s">
        <v>1</v>
      </c>
      <c r="AS40" s="29" t="s">
        <v>1</v>
      </c>
      <c r="AT40" s="27" t="s">
        <v>1</v>
      </c>
      <c r="AU40" s="29" t="s">
        <v>1</v>
      </c>
    </row>
    <row r="41" spans="1:47" ht="6.75" customHeight="1" x14ac:dyDescent="0.25">
      <c r="A41" s="73">
        <v>41</v>
      </c>
      <c r="B41" s="45" t="s">
        <v>168</v>
      </c>
      <c r="C41" s="20" t="s">
        <v>175</v>
      </c>
      <c r="D41" s="27" t="s">
        <v>142</v>
      </c>
      <c r="E41" s="46" t="s">
        <v>160</v>
      </c>
      <c r="F41" s="27" t="s">
        <v>1</v>
      </c>
      <c r="G41" s="29" t="s">
        <v>1</v>
      </c>
      <c r="H41" s="27" t="s">
        <v>1</v>
      </c>
      <c r="I41" s="29" t="s">
        <v>1</v>
      </c>
      <c r="J41" s="40" t="s">
        <v>1</v>
      </c>
      <c r="K41" s="71" t="s">
        <v>1</v>
      </c>
      <c r="L41" s="40" t="s">
        <v>1</v>
      </c>
      <c r="M41" s="71" t="s">
        <v>1</v>
      </c>
      <c r="N41" s="39" t="s">
        <v>140</v>
      </c>
      <c r="O41" s="42" t="s">
        <v>285</v>
      </c>
      <c r="P41" s="72" t="s">
        <v>1</v>
      </c>
      <c r="Q41" s="42" t="s">
        <v>1</v>
      </c>
      <c r="R41" s="39" t="s">
        <v>1</v>
      </c>
      <c r="S41" s="42" t="s">
        <v>1</v>
      </c>
      <c r="T41" s="39" t="s">
        <v>1</v>
      </c>
      <c r="U41" s="42" t="s">
        <v>1</v>
      </c>
      <c r="V41" s="40" t="s">
        <v>1</v>
      </c>
      <c r="W41" s="42" t="s">
        <v>1</v>
      </c>
      <c r="X41" s="40" t="s">
        <v>1</v>
      </c>
      <c r="Y41" s="42" t="s">
        <v>1</v>
      </c>
      <c r="Z41" s="40" t="s">
        <v>1</v>
      </c>
      <c r="AA41" s="42" t="s">
        <v>1</v>
      </c>
      <c r="AB41" s="39" t="s">
        <v>1</v>
      </c>
      <c r="AC41" s="42" t="s">
        <v>1</v>
      </c>
      <c r="AD41" s="39" t="s">
        <v>1</v>
      </c>
      <c r="AE41" s="42" t="s">
        <v>1</v>
      </c>
      <c r="AF41" s="39" t="s">
        <v>1</v>
      </c>
      <c r="AG41" s="42" t="s">
        <v>1</v>
      </c>
      <c r="AH41" s="39" t="s">
        <v>1</v>
      </c>
      <c r="AI41" s="42" t="s">
        <v>1</v>
      </c>
      <c r="AJ41" s="39" t="s">
        <v>1</v>
      </c>
      <c r="AK41" s="42" t="s">
        <v>1</v>
      </c>
      <c r="AL41" s="27" t="s">
        <v>1</v>
      </c>
      <c r="AM41" s="29" t="s">
        <v>1</v>
      </c>
      <c r="AN41" s="27" t="s">
        <v>1</v>
      </c>
      <c r="AO41" s="29" t="s">
        <v>1</v>
      </c>
      <c r="AP41" s="27" t="s">
        <v>1</v>
      </c>
      <c r="AQ41" s="29" t="s">
        <v>1</v>
      </c>
      <c r="AR41" s="27" t="s">
        <v>1</v>
      </c>
      <c r="AS41" s="29" t="s">
        <v>1</v>
      </c>
      <c r="AT41" s="27" t="s">
        <v>1</v>
      </c>
      <c r="AU41" s="29" t="s">
        <v>1</v>
      </c>
    </row>
    <row r="42" spans="1:47" ht="6.75" customHeight="1" x14ac:dyDescent="0.25">
      <c r="A42" s="73">
        <v>42</v>
      </c>
      <c r="B42" s="45" t="s">
        <v>167</v>
      </c>
      <c r="C42" s="20" t="s">
        <v>175</v>
      </c>
      <c r="D42" s="27" t="s">
        <v>142</v>
      </c>
      <c r="E42" s="46" t="s">
        <v>160</v>
      </c>
      <c r="F42" s="27" t="s">
        <v>1</v>
      </c>
      <c r="G42" s="29" t="s">
        <v>1</v>
      </c>
      <c r="H42" s="27" t="s">
        <v>1</v>
      </c>
      <c r="I42" s="29" t="s">
        <v>1</v>
      </c>
      <c r="J42" s="40" t="s">
        <v>1</v>
      </c>
      <c r="K42" s="71" t="s">
        <v>1</v>
      </c>
      <c r="L42" s="40" t="s">
        <v>1</v>
      </c>
      <c r="M42" s="71" t="s">
        <v>1</v>
      </c>
      <c r="N42" s="39" t="s">
        <v>140</v>
      </c>
      <c r="O42" s="42" t="s">
        <v>286</v>
      </c>
      <c r="P42" s="72" t="s">
        <v>1</v>
      </c>
      <c r="Q42" s="42" t="s">
        <v>1</v>
      </c>
      <c r="R42" s="39" t="s">
        <v>1</v>
      </c>
      <c r="S42" s="42" t="s">
        <v>1</v>
      </c>
      <c r="T42" s="39" t="s">
        <v>1</v>
      </c>
      <c r="U42" s="42" t="s">
        <v>1</v>
      </c>
      <c r="V42" s="40" t="s">
        <v>1</v>
      </c>
      <c r="W42" s="42" t="s">
        <v>1</v>
      </c>
      <c r="X42" s="40" t="s">
        <v>1</v>
      </c>
      <c r="Y42" s="42" t="s">
        <v>1</v>
      </c>
      <c r="Z42" s="40" t="s">
        <v>1</v>
      </c>
      <c r="AA42" s="42" t="s">
        <v>1</v>
      </c>
      <c r="AB42" s="39" t="s">
        <v>1</v>
      </c>
      <c r="AC42" s="42" t="s">
        <v>1</v>
      </c>
      <c r="AD42" s="39" t="s">
        <v>1</v>
      </c>
      <c r="AE42" s="42" t="s">
        <v>1</v>
      </c>
      <c r="AF42" s="39" t="s">
        <v>1</v>
      </c>
      <c r="AG42" s="42" t="s">
        <v>1</v>
      </c>
      <c r="AH42" s="39" t="s">
        <v>1</v>
      </c>
      <c r="AI42" s="42" t="s">
        <v>1</v>
      </c>
      <c r="AJ42" s="39" t="s">
        <v>1</v>
      </c>
      <c r="AK42" s="42" t="s">
        <v>1</v>
      </c>
      <c r="AL42" s="27" t="s">
        <v>1</v>
      </c>
      <c r="AM42" s="29" t="s">
        <v>1</v>
      </c>
      <c r="AN42" s="27" t="s">
        <v>1</v>
      </c>
      <c r="AO42" s="29" t="s">
        <v>1</v>
      </c>
      <c r="AP42" s="27" t="s">
        <v>1</v>
      </c>
      <c r="AQ42" s="29" t="s">
        <v>1</v>
      </c>
      <c r="AR42" s="27" t="s">
        <v>1</v>
      </c>
      <c r="AS42" s="29" t="s">
        <v>1</v>
      </c>
      <c r="AT42" s="27" t="s">
        <v>1</v>
      </c>
      <c r="AU42" s="29" t="s">
        <v>1</v>
      </c>
    </row>
    <row r="43" spans="1:47" ht="6.75" customHeight="1" x14ac:dyDescent="0.25">
      <c r="A43" s="73">
        <v>43</v>
      </c>
      <c r="B43" s="45" t="s">
        <v>166</v>
      </c>
      <c r="C43" s="20" t="s">
        <v>175</v>
      </c>
      <c r="D43" s="27" t="s">
        <v>142</v>
      </c>
      <c r="E43" s="46" t="s">
        <v>160</v>
      </c>
      <c r="F43" s="27" t="s">
        <v>1</v>
      </c>
      <c r="G43" s="29" t="s">
        <v>1</v>
      </c>
      <c r="H43" s="27" t="s">
        <v>1</v>
      </c>
      <c r="I43" s="29" t="s">
        <v>1</v>
      </c>
      <c r="J43" s="40" t="s">
        <v>1</v>
      </c>
      <c r="K43" s="71" t="s">
        <v>1</v>
      </c>
      <c r="L43" s="40" t="s">
        <v>1</v>
      </c>
      <c r="M43" s="71" t="s">
        <v>1</v>
      </c>
      <c r="N43" s="39" t="s">
        <v>140</v>
      </c>
      <c r="O43" s="42" t="s">
        <v>287</v>
      </c>
      <c r="P43" s="72" t="s">
        <v>1</v>
      </c>
      <c r="Q43" s="42" t="s">
        <v>1</v>
      </c>
      <c r="R43" s="39" t="s">
        <v>1</v>
      </c>
      <c r="S43" s="42" t="s">
        <v>1</v>
      </c>
      <c r="T43" s="39" t="s">
        <v>1</v>
      </c>
      <c r="U43" s="42" t="s">
        <v>1</v>
      </c>
      <c r="V43" s="40" t="s">
        <v>1</v>
      </c>
      <c r="W43" s="42" t="s">
        <v>1</v>
      </c>
      <c r="X43" s="40" t="s">
        <v>1</v>
      </c>
      <c r="Y43" s="42" t="s">
        <v>1</v>
      </c>
      <c r="Z43" s="40" t="s">
        <v>1</v>
      </c>
      <c r="AA43" s="42" t="s">
        <v>1</v>
      </c>
      <c r="AB43" s="39" t="s">
        <v>1</v>
      </c>
      <c r="AC43" s="42" t="s">
        <v>1</v>
      </c>
      <c r="AD43" s="39" t="s">
        <v>1</v>
      </c>
      <c r="AE43" s="42" t="s">
        <v>1</v>
      </c>
      <c r="AF43" s="39" t="s">
        <v>1</v>
      </c>
      <c r="AG43" s="42" t="s">
        <v>1</v>
      </c>
      <c r="AH43" s="39" t="s">
        <v>1</v>
      </c>
      <c r="AI43" s="42" t="s">
        <v>1</v>
      </c>
      <c r="AJ43" s="39" t="s">
        <v>1</v>
      </c>
      <c r="AK43" s="42" t="s">
        <v>1</v>
      </c>
      <c r="AL43" s="27" t="s">
        <v>1</v>
      </c>
      <c r="AM43" s="29" t="s">
        <v>1</v>
      </c>
      <c r="AN43" s="27" t="s">
        <v>1</v>
      </c>
      <c r="AO43" s="29" t="s">
        <v>1</v>
      </c>
      <c r="AP43" s="27" t="s">
        <v>1</v>
      </c>
      <c r="AQ43" s="29" t="s">
        <v>1</v>
      </c>
      <c r="AR43" s="27" t="s">
        <v>1</v>
      </c>
      <c r="AS43" s="29" t="s">
        <v>1</v>
      </c>
      <c r="AT43" s="27" t="s">
        <v>1</v>
      </c>
      <c r="AU43" s="29" t="s">
        <v>1</v>
      </c>
    </row>
    <row r="44" spans="1:47" ht="6.75" customHeight="1" x14ac:dyDescent="0.25">
      <c r="A44" s="73">
        <v>44</v>
      </c>
      <c r="B44" s="45" t="s">
        <v>165</v>
      </c>
      <c r="C44" s="20" t="s">
        <v>175</v>
      </c>
      <c r="D44" s="27" t="s">
        <v>142</v>
      </c>
      <c r="E44" s="46" t="s">
        <v>160</v>
      </c>
      <c r="F44" s="27" t="s">
        <v>1</v>
      </c>
      <c r="G44" s="29" t="s">
        <v>1</v>
      </c>
      <c r="H44" s="27" t="s">
        <v>1</v>
      </c>
      <c r="I44" s="29" t="s">
        <v>1</v>
      </c>
      <c r="J44" s="40" t="s">
        <v>1</v>
      </c>
      <c r="K44" s="71" t="s">
        <v>1</v>
      </c>
      <c r="L44" s="40" t="s">
        <v>1</v>
      </c>
      <c r="M44" s="71" t="s">
        <v>1</v>
      </c>
      <c r="N44" s="39" t="s">
        <v>140</v>
      </c>
      <c r="O44" s="42" t="s">
        <v>288</v>
      </c>
      <c r="P44" s="72" t="s">
        <v>1</v>
      </c>
      <c r="Q44" s="42" t="s">
        <v>1</v>
      </c>
      <c r="R44" s="39" t="s">
        <v>1</v>
      </c>
      <c r="S44" s="42" t="s">
        <v>1</v>
      </c>
      <c r="T44" s="39" t="s">
        <v>1</v>
      </c>
      <c r="U44" s="42" t="s">
        <v>1</v>
      </c>
      <c r="V44" s="40" t="s">
        <v>1</v>
      </c>
      <c r="W44" s="42" t="s">
        <v>1</v>
      </c>
      <c r="X44" s="40" t="s">
        <v>1</v>
      </c>
      <c r="Y44" s="42" t="s">
        <v>1</v>
      </c>
      <c r="Z44" s="40" t="s">
        <v>1</v>
      </c>
      <c r="AA44" s="42" t="s">
        <v>1</v>
      </c>
      <c r="AB44" s="39" t="s">
        <v>1</v>
      </c>
      <c r="AC44" s="42" t="s">
        <v>1</v>
      </c>
      <c r="AD44" s="39" t="s">
        <v>1</v>
      </c>
      <c r="AE44" s="42" t="s">
        <v>1</v>
      </c>
      <c r="AF44" s="39" t="s">
        <v>1</v>
      </c>
      <c r="AG44" s="42" t="s">
        <v>1</v>
      </c>
      <c r="AH44" s="39" t="s">
        <v>1</v>
      </c>
      <c r="AI44" s="42" t="s">
        <v>1</v>
      </c>
      <c r="AJ44" s="39" t="s">
        <v>1</v>
      </c>
      <c r="AK44" s="42" t="s">
        <v>1</v>
      </c>
      <c r="AL44" s="27" t="s">
        <v>1</v>
      </c>
      <c r="AM44" s="29" t="s">
        <v>1</v>
      </c>
      <c r="AN44" s="27" t="s">
        <v>1</v>
      </c>
      <c r="AO44" s="29" t="s">
        <v>1</v>
      </c>
      <c r="AP44" s="27" t="s">
        <v>1</v>
      </c>
      <c r="AQ44" s="29" t="s">
        <v>1</v>
      </c>
      <c r="AR44" s="27" t="s">
        <v>1</v>
      </c>
      <c r="AS44" s="29" t="s">
        <v>1</v>
      </c>
      <c r="AT44" s="27" t="s">
        <v>1</v>
      </c>
      <c r="AU44" s="29" t="s">
        <v>1</v>
      </c>
    </row>
    <row r="45" spans="1:47" ht="6.75" customHeight="1" x14ac:dyDescent="0.25">
      <c r="A45" s="73">
        <v>45</v>
      </c>
      <c r="B45" s="45" t="s">
        <v>164</v>
      </c>
      <c r="C45" s="20" t="s">
        <v>175</v>
      </c>
      <c r="D45" s="27" t="s">
        <v>142</v>
      </c>
      <c r="E45" s="46" t="s">
        <v>160</v>
      </c>
      <c r="F45" s="27" t="s">
        <v>1</v>
      </c>
      <c r="G45" s="29" t="s">
        <v>1</v>
      </c>
      <c r="H45" s="27" t="s">
        <v>1</v>
      </c>
      <c r="I45" s="29" t="s">
        <v>1</v>
      </c>
      <c r="J45" s="40" t="s">
        <v>1</v>
      </c>
      <c r="K45" s="71" t="s">
        <v>1</v>
      </c>
      <c r="L45" s="40" t="s">
        <v>1</v>
      </c>
      <c r="M45" s="71" t="s">
        <v>1</v>
      </c>
      <c r="N45" s="39" t="s">
        <v>140</v>
      </c>
      <c r="O45" s="42" t="s">
        <v>289</v>
      </c>
      <c r="P45" s="72" t="s">
        <v>1</v>
      </c>
      <c r="Q45" s="42" t="s">
        <v>1</v>
      </c>
      <c r="R45" s="39" t="s">
        <v>1</v>
      </c>
      <c r="S45" s="42" t="s">
        <v>1</v>
      </c>
      <c r="T45" s="39" t="s">
        <v>1</v>
      </c>
      <c r="U45" s="42" t="s">
        <v>1</v>
      </c>
      <c r="V45" s="40" t="s">
        <v>1</v>
      </c>
      <c r="W45" s="42" t="s">
        <v>1</v>
      </c>
      <c r="X45" s="40" t="s">
        <v>1</v>
      </c>
      <c r="Y45" s="42" t="s">
        <v>1</v>
      </c>
      <c r="Z45" s="40" t="s">
        <v>1</v>
      </c>
      <c r="AA45" s="42" t="s">
        <v>1</v>
      </c>
      <c r="AB45" s="39" t="s">
        <v>1</v>
      </c>
      <c r="AC45" s="42" t="s">
        <v>1</v>
      </c>
      <c r="AD45" s="39" t="s">
        <v>1</v>
      </c>
      <c r="AE45" s="42" t="s">
        <v>1</v>
      </c>
      <c r="AF45" s="39" t="s">
        <v>1</v>
      </c>
      <c r="AG45" s="42" t="s">
        <v>1</v>
      </c>
      <c r="AH45" s="39" t="s">
        <v>1</v>
      </c>
      <c r="AI45" s="42" t="s">
        <v>1</v>
      </c>
      <c r="AJ45" s="39" t="s">
        <v>1</v>
      </c>
      <c r="AK45" s="42" t="s">
        <v>1</v>
      </c>
      <c r="AL45" s="27" t="s">
        <v>1</v>
      </c>
      <c r="AM45" s="29" t="s">
        <v>1</v>
      </c>
      <c r="AN45" s="27" t="s">
        <v>1</v>
      </c>
      <c r="AO45" s="29" t="s">
        <v>1</v>
      </c>
      <c r="AP45" s="27" t="s">
        <v>1</v>
      </c>
      <c r="AQ45" s="29" t="s">
        <v>1</v>
      </c>
      <c r="AR45" s="27" t="s">
        <v>1</v>
      </c>
      <c r="AS45" s="29" t="s">
        <v>1</v>
      </c>
      <c r="AT45" s="27" t="s">
        <v>1</v>
      </c>
      <c r="AU45" s="29" t="s">
        <v>1</v>
      </c>
    </row>
    <row r="46" spans="1:47" ht="6.75" customHeight="1" x14ac:dyDescent="0.25">
      <c r="A46" s="73">
        <v>46</v>
      </c>
      <c r="B46" s="45" t="s">
        <v>163</v>
      </c>
      <c r="C46" s="20" t="s">
        <v>175</v>
      </c>
      <c r="D46" s="27" t="s">
        <v>142</v>
      </c>
      <c r="E46" s="46" t="s">
        <v>160</v>
      </c>
      <c r="F46" s="27" t="s">
        <v>1</v>
      </c>
      <c r="G46" s="29" t="s">
        <v>1</v>
      </c>
      <c r="H46" s="27" t="s">
        <v>1</v>
      </c>
      <c r="I46" s="29" t="s">
        <v>1</v>
      </c>
      <c r="J46" s="40" t="s">
        <v>1</v>
      </c>
      <c r="K46" s="71" t="s">
        <v>1</v>
      </c>
      <c r="L46" s="40" t="s">
        <v>1</v>
      </c>
      <c r="M46" s="71" t="s">
        <v>1</v>
      </c>
      <c r="N46" s="39" t="s">
        <v>140</v>
      </c>
      <c r="O46" s="42" t="s">
        <v>290</v>
      </c>
      <c r="P46" s="72" t="s">
        <v>1</v>
      </c>
      <c r="Q46" s="42" t="s">
        <v>1</v>
      </c>
      <c r="R46" s="39" t="s">
        <v>1</v>
      </c>
      <c r="S46" s="42" t="s">
        <v>1</v>
      </c>
      <c r="T46" s="39" t="s">
        <v>1</v>
      </c>
      <c r="U46" s="42" t="s">
        <v>1</v>
      </c>
      <c r="V46" s="40" t="s">
        <v>1</v>
      </c>
      <c r="W46" s="42" t="s">
        <v>1</v>
      </c>
      <c r="X46" s="40" t="s">
        <v>1</v>
      </c>
      <c r="Y46" s="42" t="s">
        <v>1</v>
      </c>
      <c r="Z46" s="40" t="s">
        <v>1</v>
      </c>
      <c r="AA46" s="42" t="s">
        <v>1</v>
      </c>
      <c r="AB46" s="39" t="s">
        <v>1</v>
      </c>
      <c r="AC46" s="42" t="s">
        <v>1</v>
      </c>
      <c r="AD46" s="39" t="s">
        <v>1</v>
      </c>
      <c r="AE46" s="42" t="s">
        <v>1</v>
      </c>
      <c r="AF46" s="39" t="s">
        <v>1</v>
      </c>
      <c r="AG46" s="42" t="s">
        <v>1</v>
      </c>
      <c r="AH46" s="39" t="s">
        <v>1</v>
      </c>
      <c r="AI46" s="42" t="s">
        <v>1</v>
      </c>
      <c r="AJ46" s="39" t="s">
        <v>1</v>
      </c>
      <c r="AK46" s="42" t="s">
        <v>1</v>
      </c>
      <c r="AL46" s="27" t="s">
        <v>1</v>
      </c>
      <c r="AM46" s="29" t="s">
        <v>1</v>
      </c>
      <c r="AN46" s="27" t="s">
        <v>1</v>
      </c>
      <c r="AO46" s="29" t="s">
        <v>1</v>
      </c>
      <c r="AP46" s="27" t="s">
        <v>1</v>
      </c>
      <c r="AQ46" s="29" t="s">
        <v>1</v>
      </c>
      <c r="AR46" s="27" t="s">
        <v>1</v>
      </c>
      <c r="AS46" s="29" t="s">
        <v>1</v>
      </c>
      <c r="AT46" s="27" t="s">
        <v>1</v>
      </c>
      <c r="AU46" s="29" t="s">
        <v>1</v>
      </c>
    </row>
    <row r="47" spans="1:47" ht="6.75" customHeight="1" x14ac:dyDescent="0.25">
      <c r="A47" s="73">
        <v>47</v>
      </c>
      <c r="B47" s="45" t="s">
        <v>177</v>
      </c>
      <c r="C47" s="20" t="s">
        <v>176</v>
      </c>
      <c r="D47" s="27" t="s">
        <v>142</v>
      </c>
      <c r="E47" s="46" t="s">
        <v>160</v>
      </c>
      <c r="F47" s="27" t="s">
        <v>1</v>
      </c>
      <c r="G47" s="29" t="s">
        <v>1</v>
      </c>
      <c r="H47" s="27" t="s">
        <v>1</v>
      </c>
      <c r="I47" s="29" t="s">
        <v>1</v>
      </c>
      <c r="J47" s="40" t="s">
        <v>1</v>
      </c>
      <c r="K47" s="71" t="s">
        <v>1</v>
      </c>
      <c r="L47" s="40" t="s">
        <v>1</v>
      </c>
      <c r="M47" s="71" t="s">
        <v>1</v>
      </c>
      <c r="N47" s="39" t="s">
        <v>140</v>
      </c>
      <c r="O47" s="42" t="s">
        <v>291</v>
      </c>
      <c r="P47" s="72" t="s">
        <v>1</v>
      </c>
      <c r="Q47" s="42" t="s">
        <v>1</v>
      </c>
      <c r="R47" s="39" t="s">
        <v>1</v>
      </c>
      <c r="S47" s="42" t="s">
        <v>1</v>
      </c>
      <c r="T47" s="39" t="s">
        <v>1</v>
      </c>
      <c r="U47" s="42" t="s">
        <v>1</v>
      </c>
      <c r="V47" s="40" t="s">
        <v>1</v>
      </c>
      <c r="W47" s="42" t="s">
        <v>1</v>
      </c>
      <c r="X47" s="40" t="s">
        <v>1</v>
      </c>
      <c r="Y47" s="42" t="s">
        <v>1</v>
      </c>
      <c r="Z47" s="40" t="s">
        <v>1</v>
      </c>
      <c r="AA47" s="42" t="s">
        <v>1</v>
      </c>
      <c r="AB47" s="39" t="s">
        <v>1</v>
      </c>
      <c r="AC47" s="42" t="s">
        <v>1</v>
      </c>
      <c r="AD47" s="39" t="s">
        <v>1</v>
      </c>
      <c r="AE47" s="42" t="s">
        <v>1</v>
      </c>
      <c r="AF47" s="39" t="s">
        <v>1</v>
      </c>
      <c r="AG47" s="42" t="s">
        <v>1</v>
      </c>
      <c r="AH47" s="39" t="s">
        <v>1</v>
      </c>
      <c r="AI47" s="42" t="s">
        <v>1</v>
      </c>
      <c r="AJ47" s="39" t="s">
        <v>1</v>
      </c>
      <c r="AK47" s="42" t="s">
        <v>1</v>
      </c>
      <c r="AL47" s="27" t="s">
        <v>1</v>
      </c>
      <c r="AM47" s="29" t="s">
        <v>1</v>
      </c>
      <c r="AN47" s="27" t="s">
        <v>1</v>
      </c>
      <c r="AO47" s="29" t="s">
        <v>1</v>
      </c>
      <c r="AP47" s="27" t="s">
        <v>1</v>
      </c>
      <c r="AQ47" s="29" t="s">
        <v>1</v>
      </c>
      <c r="AR47" s="27" t="s">
        <v>1</v>
      </c>
      <c r="AS47" s="29" t="s">
        <v>1</v>
      </c>
      <c r="AT47" s="27" t="s">
        <v>1</v>
      </c>
      <c r="AU47" s="29" t="s">
        <v>1</v>
      </c>
    </row>
    <row r="48" spans="1:47" ht="6.75" customHeight="1" x14ac:dyDescent="0.25">
      <c r="A48" s="73">
        <v>48</v>
      </c>
      <c r="B48" s="45" t="s">
        <v>178</v>
      </c>
      <c r="C48" s="20" t="s">
        <v>176</v>
      </c>
      <c r="D48" s="27" t="s">
        <v>142</v>
      </c>
      <c r="E48" s="46" t="s">
        <v>160</v>
      </c>
      <c r="F48" s="27" t="s">
        <v>1</v>
      </c>
      <c r="G48" s="29" t="s">
        <v>1</v>
      </c>
      <c r="H48" s="27" t="s">
        <v>1</v>
      </c>
      <c r="I48" s="29" t="s">
        <v>1</v>
      </c>
      <c r="J48" s="40" t="s">
        <v>1</v>
      </c>
      <c r="K48" s="71" t="s">
        <v>1</v>
      </c>
      <c r="L48" s="40" t="s">
        <v>1</v>
      </c>
      <c r="M48" s="71" t="s">
        <v>1</v>
      </c>
      <c r="N48" s="39" t="s">
        <v>140</v>
      </c>
      <c r="O48" s="42" t="s">
        <v>292</v>
      </c>
      <c r="P48" s="72" t="s">
        <v>1</v>
      </c>
      <c r="Q48" s="42" t="s">
        <v>1</v>
      </c>
      <c r="R48" s="39" t="s">
        <v>1</v>
      </c>
      <c r="S48" s="42" t="s">
        <v>1</v>
      </c>
      <c r="T48" s="39" t="s">
        <v>1</v>
      </c>
      <c r="U48" s="42" t="s">
        <v>1</v>
      </c>
      <c r="V48" s="40" t="s">
        <v>1</v>
      </c>
      <c r="W48" s="42" t="s">
        <v>1</v>
      </c>
      <c r="X48" s="40" t="s">
        <v>1</v>
      </c>
      <c r="Y48" s="42" t="s">
        <v>1</v>
      </c>
      <c r="Z48" s="40" t="s">
        <v>1</v>
      </c>
      <c r="AA48" s="42" t="s">
        <v>1</v>
      </c>
      <c r="AB48" s="39" t="s">
        <v>1</v>
      </c>
      <c r="AC48" s="42" t="s">
        <v>1</v>
      </c>
      <c r="AD48" s="39" t="s">
        <v>1</v>
      </c>
      <c r="AE48" s="42" t="s">
        <v>1</v>
      </c>
      <c r="AF48" s="39" t="s">
        <v>1</v>
      </c>
      <c r="AG48" s="42" t="s">
        <v>1</v>
      </c>
      <c r="AH48" s="39" t="s">
        <v>1</v>
      </c>
      <c r="AI48" s="42" t="s">
        <v>1</v>
      </c>
      <c r="AJ48" s="39" t="s">
        <v>1</v>
      </c>
      <c r="AK48" s="42" t="s">
        <v>1</v>
      </c>
      <c r="AL48" s="27" t="s">
        <v>1</v>
      </c>
      <c r="AM48" s="29" t="s">
        <v>1</v>
      </c>
      <c r="AN48" s="27" t="s">
        <v>1</v>
      </c>
      <c r="AO48" s="29" t="s">
        <v>1</v>
      </c>
      <c r="AP48" s="27" t="s">
        <v>1</v>
      </c>
      <c r="AQ48" s="29" t="s">
        <v>1</v>
      </c>
      <c r="AR48" s="27" t="s">
        <v>1</v>
      </c>
      <c r="AS48" s="29" t="s">
        <v>1</v>
      </c>
      <c r="AT48" s="27" t="s">
        <v>1</v>
      </c>
      <c r="AU48" s="29" t="s">
        <v>1</v>
      </c>
    </row>
    <row r="49" spans="1:47" ht="6.75" customHeight="1" x14ac:dyDescent="0.25">
      <c r="A49" s="73">
        <v>49</v>
      </c>
      <c r="B49" s="45" t="s">
        <v>179</v>
      </c>
      <c r="C49" s="20" t="s">
        <v>176</v>
      </c>
      <c r="D49" s="27" t="s">
        <v>142</v>
      </c>
      <c r="E49" s="46" t="s">
        <v>160</v>
      </c>
      <c r="F49" s="27" t="s">
        <v>1</v>
      </c>
      <c r="G49" s="29" t="s">
        <v>1</v>
      </c>
      <c r="H49" s="27" t="s">
        <v>1</v>
      </c>
      <c r="I49" s="29" t="s">
        <v>1</v>
      </c>
      <c r="J49" s="40" t="s">
        <v>1</v>
      </c>
      <c r="K49" s="71" t="s">
        <v>1</v>
      </c>
      <c r="L49" s="40" t="s">
        <v>1</v>
      </c>
      <c r="M49" s="71" t="s">
        <v>1</v>
      </c>
      <c r="N49" s="39" t="s">
        <v>140</v>
      </c>
      <c r="O49" s="42" t="s">
        <v>293</v>
      </c>
      <c r="P49" s="72" t="s">
        <v>1</v>
      </c>
      <c r="Q49" s="42" t="s">
        <v>1</v>
      </c>
      <c r="R49" s="39" t="s">
        <v>1</v>
      </c>
      <c r="S49" s="42" t="s">
        <v>1</v>
      </c>
      <c r="T49" s="39" t="s">
        <v>1</v>
      </c>
      <c r="U49" s="42" t="s">
        <v>1</v>
      </c>
      <c r="V49" s="40" t="s">
        <v>1</v>
      </c>
      <c r="W49" s="42" t="s">
        <v>1</v>
      </c>
      <c r="X49" s="40" t="s">
        <v>1</v>
      </c>
      <c r="Y49" s="42" t="s">
        <v>1</v>
      </c>
      <c r="Z49" s="40" t="s">
        <v>1</v>
      </c>
      <c r="AA49" s="42" t="s">
        <v>1</v>
      </c>
      <c r="AB49" s="39" t="s">
        <v>1</v>
      </c>
      <c r="AC49" s="42" t="s">
        <v>1</v>
      </c>
      <c r="AD49" s="39" t="s">
        <v>1</v>
      </c>
      <c r="AE49" s="42" t="s">
        <v>1</v>
      </c>
      <c r="AF49" s="39" t="s">
        <v>1</v>
      </c>
      <c r="AG49" s="42" t="s">
        <v>1</v>
      </c>
      <c r="AH49" s="39" t="s">
        <v>1</v>
      </c>
      <c r="AI49" s="42" t="s">
        <v>1</v>
      </c>
      <c r="AJ49" s="39" t="s">
        <v>1</v>
      </c>
      <c r="AK49" s="42" t="s">
        <v>1</v>
      </c>
      <c r="AL49" s="27" t="s">
        <v>1</v>
      </c>
      <c r="AM49" s="29" t="s">
        <v>1</v>
      </c>
      <c r="AN49" s="27" t="s">
        <v>1</v>
      </c>
      <c r="AO49" s="29" t="s">
        <v>1</v>
      </c>
      <c r="AP49" s="27" t="s">
        <v>1</v>
      </c>
      <c r="AQ49" s="29" t="s">
        <v>1</v>
      </c>
      <c r="AR49" s="27" t="s">
        <v>1</v>
      </c>
      <c r="AS49" s="29" t="s">
        <v>1</v>
      </c>
      <c r="AT49" s="27" t="s">
        <v>1</v>
      </c>
      <c r="AU49" s="29" t="s">
        <v>1</v>
      </c>
    </row>
    <row r="50" spans="1:47" ht="6.75" customHeight="1" x14ac:dyDescent="0.25">
      <c r="A50" s="73">
        <v>50</v>
      </c>
      <c r="B50" s="45" t="s">
        <v>180</v>
      </c>
      <c r="C50" s="20" t="s">
        <v>176</v>
      </c>
      <c r="D50" s="27" t="s">
        <v>142</v>
      </c>
      <c r="E50" s="46" t="s">
        <v>160</v>
      </c>
      <c r="F50" s="27" t="s">
        <v>1</v>
      </c>
      <c r="G50" s="29" t="s">
        <v>1</v>
      </c>
      <c r="H50" s="27" t="s">
        <v>1</v>
      </c>
      <c r="I50" s="29" t="s">
        <v>1</v>
      </c>
      <c r="J50" s="40" t="s">
        <v>1</v>
      </c>
      <c r="K50" s="71" t="s">
        <v>1</v>
      </c>
      <c r="L50" s="40" t="s">
        <v>1</v>
      </c>
      <c r="M50" s="71" t="s">
        <v>1</v>
      </c>
      <c r="N50" s="39" t="s">
        <v>140</v>
      </c>
      <c r="O50" s="42" t="s">
        <v>294</v>
      </c>
      <c r="P50" s="72" t="s">
        <v>1</v>
      </c>
      <c r="Q50" s="42" t="s">
        <v>1</v>
      </c>
      <c r="R50" s="39" t="s">
        <v>1</v>
      </c>
      <c r="S50" s="42" t="s">
        <v>1</v>
      </c>
      <c r="T50" s="39" t="s">
        <v>1</v>
      </c>
      <c r="U50" s="42" t="s">
        <v>1</v>
      </c>
      <c r="V50" s="40" t="s">
        <v>1</v>
      </c>
      <c r="W50" s="42" t="s">
        <v>1</v>
      </c>
      <c r="X50" s="40" t="s">
        <v>1</v>
      </c>
      <c r="Y50" s="42" t="s">
        <v>1</v>
      </c>
      <c r="Z50" s="40" t="s">
        <v>1</v>
      </c>
      <c r="AA50" s="42" t="s">
        <v>1</v>
      </c>
      <c r="AB50" s="39" t="s">
        <v>1</v>
      </c>
      <c r="AC50" s="42" t="s">
        <v>1</v>
      </c>
      <c r="AD50" s="39" t="s">
        <v>1</v>
      </c>
      <c r="AE50" s="42" t="s">
        <v>1</v>
      </c>
      <c r="AF50" s="39" t="s">
        <v>1</v>
      </c>
      <c r="AG50" s="42" t="s">
        <v>1</v>
      </c>
      <c r="AH50" s="39" t="s">
        <v>1</v>
      </c>
      <c r="AI50" s="42" t="s">
        <v>1</v>
      </c>
      <c r="AJ50" s="39" t="s">
        <v>1</v>
      </c>
      <c r="AK50" s="42" t="s">
        <v>1</v>
      </c>
      <c r="AL50" s="27" t="s">
        <v>1</v>
      </c>
      <c r="AM50" s="29" t="s">
        <v>1</v>
      </c>
      <c r="AN50" s="27" t="s">
        <v>1</v>
      </c>
      <c r="AO50" s="29" t="s">
        <v>1</v>
      </c>
      <c r="AP50" s="27" t="s">
        <v>1</v>
      </c>
      <c r="AQ50" s="29" t="s">
        <v>1</v>
      </c>
      <c r="AR50" s="27" t="s">
        <v>1</v>
      </c>
      <c r="AS50" s="29" t="s">
        <v>1</v>
      </c>
      <c r="AT50" s="27" t="s">
        <v>1</v>
      </c>
      <c r="AU50" s="29" t="s">
        <v>1</v>
      </c>
    </row>
    <row r="51" spans="1:47" ht="6.75" customHeight="1" x14ac:dyDescent="0.25">
      <c r="A51" s="73">
        <v>51</v>
      </c>
      <c r="B51" s="45" t="s">
        <v>181</v>
      </c>
      <c r="C51" s="20" t="s">
        <v>176</v>
      </c>
      <c r="D51" s="27" t="s">
        <v>142</v>
      </c>
      <c r="E51" s="46" t="s">
        <v>160</v>
      </c>
      <c r="F51" s="27" t="s">
        <v>1</v>
      </c>
      <c r="G51" s="29" t="s">
        <v>1</v>
      </c>
      <c r="H51" s="27" t="s">
        <v>1</v>
      </c>
      <c r="I51" s="29" t="s">
        <v>1</v>
      </c>
      <c r="J51" s="40" t="s">
        <v>1</v>
      </c>
      <c r="K51" s="71" t="s">
        <v>1</v>
      </c>
      <c r="L51" s="40" t="s">
        <v>1</v>
      </c>
      <c r="M51" s="71" t="s">
        <v>1</v>
      </c>
      <c r="N51" s="39" t="s">
        <v>140</v>
      </c>
      <c r="O51" s="42" t="s">
        <v>295</v>
      </c>
      <c r="P51" s="72" t="s">
        <v>1</v>
      </c>
      <c r="Q51" s="42" t="s">
        <v>1</v>
      </c>
      <c r="R51" s="39" t="s">
        <v>1</v>
      </c>
      <c r="S51" s="42" t="s">
        <v>1</v>
      </c>
      <c r="T51" s="39" t="s">
        <v>1</v>
      </c>
      <c r="U51" s="42" t="s">
        <v>1</v>
      </c>
      <c r="V51" s="40" t="s">
        <v>1</v>
      </c>
      <c r="W51" s="42" t="s">
        <v>1</v>
      </c>
      <c r="X51" s="40" t="s">
        <v>1</v>
      </c>
      <c r="Y51" s="42" t="s">
        <v>1</v>
      </c>
      <c r="Z51" s="40" t="s">
        <v>1</v>
      </c>
      <c r="AA51" s="42" t="s">
        <v>1</v>
      </c>
      <c r="AB51" s="39" t="s">
        <v>1</v>
      </c>
      <c r="AC51" s="42" t="s">
        <v>1</v>
      </c>
      <c r="AD51" s="39" t="s">
        <v>1</v>
      </c>
      <c r="AE51" s="42" t="s">
        <v>1</v>
      </c>
      <c r="AF51" s="39" t="s">
        <v>1</v>
      </c>
      <c r="AG51" s="42" t="s">
        <v>1</v>
      </c>
      <c r="AH51" s="39" t="s">
        <v>1</v>
      </c>
      <c r="AI51" s="42" t="s">
        <v>1</v>
      </c>
      <c r="AJ51" s="39" t="s">
        <v>1</v>
      </c>
      <c r="AK51" s="42" t="s">
        <v>1</v>
      </c>
      <c r="AL51" s="27" t="s">
        <v>1</v>
      </c>
      <c r="AM51" s="29" t="s">
        <v>1</v>
      </c>
      <c r="AN51" s="27" t="s">
        <v>1</v>
      </c>
      <c r="AO51" s="29" t="s">
        <v>1</v>
      </c>
      <c r="AP51" s="27" t="s">
        <v>1</v>
      </c>
      <c r="AQ51" s="29" t="s">
        <v>1</v>
      </c>
      <c r="AR51" s="27" t="s">
        <v>1</v>
      </c>
      <c r="AS51" s="29" t="s">
        <v>1</v>
      </c>
      <c r="AT51" s="27" t="s">
        <v>1</v>
      </c>
      <c r="AU51" s="29" t="s">
        <v>1</v>
      </c>
    </row>
    <row r="52" spans="1:47" ht="6.75" customHeight="1" x14ac:dyDescent="0.25">
      <c r="A52" s="73">
        <v>52</v>
      </c>
      <c r="B52" s="45" t="s">
        <v>194</v>
      </c>
      <c r="C52" s="20" t="s">
        <v>227</v>
      </c>
      <c r="D52" s="27" t="s">
        <v>142</v>
      </c>
      <c r="E52" s="46" t="s">
        <v>160</v>
      </c>
      <c r="F52" s="27" t="s">
        <v>1</v>
      </c>
      <c r="G52" s="29" t="s">
        <v>1</v>
      </c>
      <c r="H52" s="27" t="s">
        <v>1</v>
      </c>
      <c r="I52" s="29" t="s">
        <v>1</v>
      </c>
      <c r="J52" s="39" t="s">
        <v>213</v>
      </c>
      <c r="K52" s="47" t="s">
        <v>214</v>
      </c>
      <c r="L52" s="48" t="s">
        <v>182</v>
      </c>
      <c r="M52" s="47" t="s">
        <v>183</v>
      </c>
      <c r="N52" s="39" t="s">
        <v>140</v>
      </c>
      <c r="O52" s="49" t="s">
        <v>296</v>
      </c>
      <c r="P52" s="72" t="s">
        <v>1</v>
      </c>
      <c r="Q52" s="42" t="s">
        <v>1</v>
      </c>
      <c r="R52" s="39" t="s">
        <v>1</v>
      </c>
      <c r="S52" s="42" t="s">
        <v>1</v>
      </c>
      <c r="T52" s="39" t="s">
        <v>1</v>
      </c>
      <c r="U52" s="42" t="s">
        <v>1</v>
      </c>
      <c r="V52" s="40" t="s">
        <v>1</v>
      </c>
      <c r="W52" s="42" t="s">
        <v>1</v>
      </c>
      <c r="X52" s="40" t="s">
        <v>1</v>
      </c>
      <c r="Y52" s="42" t="s">
        <v>1</v>
      </c>
      <c r="Z52" s="40" t="s">
        <v>1</v>
      </c>
      <c r="AA52" s="42" t="s">
        <v>1</v>
      </c>
      <c r="AB52" s="39" t="s">
        <v>1</v>
      </c>
      <c r="AC52" s="42" t="s">
        <v>1</v>
      </c>
      <c r="AD52" s="39" t="s">
        <v>226</v>
      </c>
      <c r="AE52" s="42" t="s">
        <v>225</v>
      </c>
      <c r="AF52" s="39" t="s">
        <v>1</v>
      </c>
      <c r="AG52" s="42" t="s">
        <v>1</v>
      </c>
      <c r="AH52" s="39" t="s">
        <v>1</v>
      </c>
      <c r="AI52" s="42" t="s">
        <v>1</v>
      </c>
      <c r="AJ52" s="39" t="s">
        <v>1</v>
      </c>
      <c r="AK52" s="42" t="s">
        <v>1</v>
      </c>
      <c r="AL52" s="27" t="s">
        <v>1</v>
      </c>
      <c r="AM52" s="29" t="s">
        <v>1</v>
      </c>
      <c r="AN52" s="27" t="s">
        <v>1</v>
      </c>
      <c r="AO52" s="29" t="s">
        <v>1</v>
      </c>
      <c r="AP52" s="27" t="s">
        <v>1</v>
      </c>
      <c r="AQ52" s="29" t="s">
        <v>1</v>
      </c>
      <c r="AR52" s="27" t="s">
        <v>1</v>
      </c>
      <c r="AS52" s="29" t="s">
        <v>1</v>
      </c>
      <c r="AT52" s="27" t="s">
        <v>1</v>
      </c>
      <c r="AU52" s="29" t="s">
        <v>1</v>
      </c>
    </row>
    <row r="53" spans="1:47" ht="6.75" customHeight="1" x14ac:dyDescent="0.25">
      <c r="A53" s="73">
        <v>53</v>
      </c>
      <c r="B53" s="45" t="s">
        <v>195</v>
      </c>
      <c r="C53" s="20" t="s">
        <v>227</v>
      </c>
      <c r="D53" s="27" t="s">
        <v>142</v>
      </c>
      <c r="E53" s="46" t="s">
        <v>160</v>
      </c>
      <c r="F53" s="27" t="s">
        <v>1</v>
      </c>
      <c r="G53" s="29" t="s">
        <v>1</v>
      </c>
      <c r="H53" s="27" t="s">
        <v>1</v>
      </c>
      <c r="I53" s="29" t="s">
        <v>1</v>
      </c>
      <c r="J53" s="39" t="s">
        <v>213</v>
      </c>
      <c r="K53" s="47" t="s">
        <v>215</v>
      </c>
      <c r="L53" s="48" t="s">
        <v>182</v>
      </c>
      <c r="M53" s="42" t="s">
        <v>187</v>
      </c>
      <c r="N53" s="39" t="s">
        <v>140</v>
      </c>
      <c r="O53" s="49" t="s">
        <v>297</v>
      </c>
      <c r="P53" s="72" t="s">
        <v>1</v>
      </c>
      <c r="Q53" s="42" t="s">
        <v>1</v>
      </c>
      <c r="R53" s="39" t="s">
        <v>1</v>
      </c>
      <c r="S53" s="42" t="s">
        <v>1</v>
      </c>
      <c r="T53" s="39" t="s">
        <v>1</v>
      </c>
      <c r="U53" s="42" t="s">
        <v>1</v>
      </c>
      <c r="V53" s="40" t="s">
        <v>1</v>
      </c>
      <c r="W53" s="42" t="s">
        <v>1</v>
      </c>
      <c r="X53" s="40" t="s">
        <v>1</v>
      </c>
      <c r="Y53" s="42" t="s">
        <v>1</v>
      </c>
      <c r="Z53" s="40" t="s">
        <v>1</v>
      </c>
      <c r="AA53" s="42" t="s">
        <v>1</v>
      </c>
      <c r="AB53" s="39" t="s">
        <v>1</v>
      </c>
      <c r="AC53" s="42" t="s">
        <v>1</v>
      </c>
      <c r="AD53" s="39" t="s">
        <v>226</v>
      </c>
      <c r="AE53" s="42" t="s">
        <v>225</v>
      </c>
      <c r="AF53" s="39" t="s">
        <v>1</v>
      </c>
      <c r="AG53" s="42" t="s">
        <v>1</v>
      </c>
      <c r="AH53" s="39" t="s">
        <v>1</v>
      </c>
      <c r="AI53" s="42" t="s">
        <v>1</v>
      </c>
      <c r="AJ53" s="39" t="s">
        <v>1</v>
      </c>
      <c r="AK53" s="42" t="s">
        <v>1</v>
      </c>
      <c r="AL53" s="27" t="s">
        <v>1</v>
      </c>
      <c r="AM53" s="29" t="s">
        <v>1</v>
      </c>
      <c r="AN53" s="27" t="s">
        <v>1</v>
      </c>
      <c r="AO53" s="29" t="s">
        <v>1</v>
      </c>
      <c r="AP53" s="27" t="s">
        <v>1</v>
      </c>
      <c r="AQ53" s="29" t="s">
        <v>1</v>
      </c>
      <c r="AR53" s="27" t="s">
        <v>1</v>
      </c>
      <c r="AS53" s="29" t="s">
        <v>1</v>
      </c>
      <c r="AT53" s="27" t="s">
        <v>1</v>
      </c>
      <c r="AU53" s="29" t="s">
        <v>1</v>
      </c>
    </row>
    <row r="54" spans="1:47" ht="6.75" customHeight="1" x14ac:dyDescent="0.25">
      <c r="A54" s="73">
        <v>54</v>
      </c>
      <c r="B54" s="45" t="s">
        <v>196</v>
      </c>
      <c r="C54" s="20" t="s">
        <v>227</v>
      </c>
      <c r="D54" s="27" t="s">
        <v>142</v>
      </c>
      <c r="E54" s="46" t="s">
        <v>160</v>
      </c>
      <c r="F54" s="27" t="s">
        <v>1</v>
      </c>
      <c r="G54" s="29" t="s">
        <v>1</v>
      </c>
      <c r="H54" s="27" t="s">
        <v>1</v>
      </c>
      <c r="I54" s="29" t="s">
        <v>1</v>
      </c>
      <c r="J54" s="39" t="s">
        <v>213</v>
      </c>
      <c r="K54" s="47" t="s">
        <v>216</v>
      </c>
      <c r="L54" s="48" t="s">
        <v>182</v>
      </c>
      <c r="M54" s="47" t="s">
        <v>189</v>
      </c>
      <c r="N54" s="39" t="s">
        <v>140</v>
      </c>
      <c r="O54" s="49" t="s">
        <v>298</v>
      </c>
      <c r="P54" s="72" t="s">
        <v>1</v>
      </c>
      <c r="Q54" s="42" t="s">
        <v>1</v>
      </c>
      <c r="R54" s="39" t="s">
        <v>1</v>
      </c>
      <c r="S54" s="42" t="s">
        <v>1</v>
      </c>
      <c r="T54" s="39" t="s">
        <v>1</v>
      </c>
      <c r="U54" s="42" t="s">
        <v>1</v>
      </c>
      <c r="V54" s="40" t="s">
        <v>1</v>
      </c>
      <c r="W54" s="42" t="s">
        <v>1</v>
      </c>
      <c r="X54" s="40" t="s">
        <v>1</v>
      </c>
      <c r="Y54" s="42" t="s">
        <v>1</v>
      </c>
      <c r="Z54" s="40" t="s">
        <v>1</v>
      </c>
      <c r="AA54" s="42" t="s">
        <v>1</v>
      </c>
      <c r="AB54" s="39" t="s">
        <v>1</v>
      </c>
      <c r="AC54" s="42" t="s">
        <v>1</v>
      </c>
      <c r="AD54" s="39" t="s">
        <v>226</v>
      </c>
      <c r="AE54" s="42" t="s">
        <v>225</v>
      </c>
      <c r="AF54" s="39" t="s">
        <v>1</v>
      </c>
      <c r="AG54" s="42" t="s">
        <v>1</v>
      </c>
      <c r="AH54" s="39" t="s">
        <v>1</v>
      </c>
      <c r="AI54" s="42" t="s">
        <v>1</v>
      </c>
      <c r="AJ54" s="39" t="s">
        <v>1</v>
      </c>
      <c r="AK54" s="42" t="s">
        <v>1</v>
      </c>
      <c r="AL54" s="27" t="s">
        <v>1</v>
      </c>
      <c r="AM54" s="29" t="s">
        <v>1</v>
      </c>
      <c r="AN54" s="27" t="s">
        <v>1</v>
      </c>
      <c r="AO54" s="29" t="s">
        <v>1</v>
      </c>
      <c r="AP54" s="27" t="s">
        <v>1</v>
      </c>
      <c r="AQ54" s="29" t="s">
        <v>1</v>
      </c>
      <c r="AR54" s="27" t="s">
        <v>1</v>
      </c>
      <c r="AS54" s="29" t="s">
        <v>1</v>
      </c>
      <c r="AT54" s="27" t="s">
        <v>1</v>
      </c>
      <c r="AU54" s="29" t="s">
        <v>1</v>
      </c>
    </row>
    <row r="55" spans="1:47" ht="6.75" customHeight="1" x14ac:dyDescent="0.25">
      <c r="A55" s="73">
        <v>55</v>
      </c>
      <c r="B55" s="45" t="s">
        <v>197</v>
      </c>
      <c r="C55" s="20" t="s">
        <v>227</v>
      </c>
      <c r="D55" s="27" t="s">
        <v>142</v>
      </c>
      <c r="E55" s="46" t="s">
        <v>160</v>
      </c>
      <c r="F55" s="27" t="s">
        <v>1</v>
      </c>
      <c r="G55" s="29" t="s">
        <v>1</v>
      </c>
      <c r="H55" s="27" t="s">
        <v>1</v>
      </c>
      <c r="I55" s="29" t="s">
        <v>1</v>
      </c>
      <c r="J55" s="39" t="s">
        <v>213</v>
      </c>
      <c r="K55" s="47" t="s">
        <v>217</v>
      </c>
      <c r="L55" s="48" t="s">
        <v>182</v>
      </c>
      <c r="M55" s="47" t="s">
        <v>186</v>
      </c>
      <c r="N55" s="39" t="s">
        <v>140</v>
      </c>
      <c r="O55" s="49" t="s">
        <v>205</v>
      </c>
      <c r="P55" s="72" t="s">
        <v>1</v>
      </c>
      <c r="Q55" s="42" t="s">
        <v>1</v>
      </c>
      <c r="R55" s="39" t="s">
        <v>1</v>
      </c>
      <c r="S55" s="42" t="s">
        <v>1</v>
      </c>
      <c r="T55" s="39" t="s">
        <v>1</v>
      </c>
      <c r="U55" s="42" t="s">
        <v>1</v>
      </c>
      <c r="V55" s="40" t="s">
        <v>1</v>
      </c>
      <c r="W55" s="42" t="s">
        <v>1</v>
      </c>
      <c r="X55" s="40" t="s">
        <v>1</v>
      </c>
      <c r="Y55" s="42" t="s">
        <v>1</v>
      </c>
      <c r="Z55" s="40" t="s">
        <v>1</v>
      </c>
      <c r="AA55" s="42" t="s">
        <v>1</v>
      </c>
      <c r="AB55" s="39" t="s">
        <v>1</v>
      </c>
      <c r="AC55" s="42" t="s">
        <v>1</v>
      </c>
      <c r="AD55" s="39" t="s">
        <v>226</v>
      </c>
      <c r="AE55" s="42" t="s">
        <v>225</v>
      </c>
      <c r="AF55" s="39" t="s">
        <v>1</v>
      </c>
      <c r="AG55" s="42" t="s">
        <v>1</v>
      </c>
      <c r="AH55" s="39" t="s">
        <v>1</v>
      </c>
      <c r="AI55" s="42" t="s">
        <v>1</v>
      </c>
      <c r="AJ55" s="39" t="s">
        <v>1</v>
      </c>
      <c r="AK55" s="42" t="s">
        <v>1</v>
      </c>
      <c r="AL55" s="27" t="s">
        <v>1</v>
      </c>
      <c r="AM55" s="29" t="s">
        <v>1</v>
      </c>
      <c r="AN55" s="27" t="s">
        <v>1</v>
      </c>
      <c r="AO55" s="29" t="s">
        <v>1</v>
      </c>
      <c r="AP55" s="27" t="s">
        <v>1</v>
      </c>
      <c r="AQ55" s="29" t="s">
        <v>1</v>
      </c>
      <c r="AR55" s="27" t="s">
        <v>1</v>
      </c>
      <c r="AS55" s="29" t="s">
        <v>1</v>
      </c>
      <c r="AT55" s="27" t="s">
        <v>1</v>
      </c>
      <c r="AU55" s="29" t="s">
        <v>1</v>
      </c>
    </row>
    <row r="56" spans="1:47" ht="6.75" customHeight="1" x14ac:dyDescent="0.25">
      <c r="A56" s="73">
        <v>56</v>
      </c>
      <c r="B56" s="45" t="s">
        <v>202</v>
      </c>
      <c r="C56" s="20" t="s">
        <v>227</v>
      </c>
      <c r="D56" s="27" t="s">
        <v>142</v>
      </c>
      <c r="E56" s="46" t="s">
        <v>160</v>
      </c>
      <c r="F56" s="27" t="s">
        <v>1</v>
      </c>
      <c r="G56" s="29" t="s">
        <v>1</v>
      </c>
      <c r="H56" s="27" t="s">
        <v>1</v>
      </c>
      <c r="I56" s="29" t="s">
        <v>1</v>
      </c>
      <c r="J56" s="39" t="s">
        <v>213</v>
      </c>
      <c r="K56" s="47" t="s">
        <v>218</v>
      </c>
      <c r="L56" s="48" t="s">
        <v>182</v>
      </c>
      <c r="M56" s="47" t="s">
        <v>188</v>
      </c>
      <c r="N56" s="39" t="s">
        <v>140</v>
      </c>
      <c r="O56" s="49" t="s">
        <v>206</v>
      </c>
      <c r="P56" s="72" t="s">
        <v>1</v>
      </c>
      <c r="Q56" s="42" t="s">
        <v>1</v>
      </c>
      <c r="R56" s="39" t="s">
        <v>1</v>
      </c>
      <c r="S56" s="42" t="s">
        <v>1</v>
      </c>
      <c r="T56" s="39" t="s">
        <v>1</v>
      </c>
      <c r="U56" s="42" t="s">
        <v>1</v>
      </c>
      <c r="V56" s="40" t="s">
        <v>1</v>
      </c>
      <c r="W56" s="42" t="s">
        <v>1</v>
      </c>
      <c r="X56" s="40" t="s">
        <v>1</v>
      </c>
      <c r="Y56" s="42" t="s">
        <v>1</v>
      </c>
      <c r="Z56" s="40" t="s">
        <v>1</v>
      </c>
      <c r="AA56" s="42" t="s">
        <v>1</v>
      </c>
      <c r="AB56" s="39" t="s">
        <v>1</v>
      </c>
      <c r="AC56" s="42" t="s">
        <v>1</v>
      </c>
      <c r="AD56" s="39" t="s">
        <v>226</v>
      </c>
      <c r="AE56" s="42" t="s">
        <v>225</v>
      </c>
      <c r="AF56" s="39" t="s">
        <v>1</v>
      </c>
      <c r="AG56" s="42" t="s">
        <v>1</v>
      </c>
      <c r="AH56" s="39" t="s">
        <v>1</v>
      </c>
      <c r="AI56" s="42" t="s">
        <v>1</v>
      </c>
      <c r="AJ56" s="39" t="s">
        <v>1</v>
      </c>
      <c r="AK56" s="42" t="s">
        <v>1</v>
      </c>
      <c r="AL56" s="27" t="s">
        <v>1</v>
      </c>
      <c r="AM56" s="29" t="s">
        <v>1</v>
      </c>
      <c r="AN56" s="27" t="s">
        <v>1</v>
      </c>
      <c r="AO56" s="29" t="s">
        <v>1</v>
      </c>
      <c r="AP56" s="27" t="s">
        <v>1</v>
      </c>
      <c r="AQ56" s="29" t="s">
        <v>1</v>
      </c>
      <c r="AR56" s="27" t="s">
        <v>1</v>
      </c>
      <c r="AS56" s="29" t="s">
        <v>1</v>
      </c>
      <c r="AT56" s="27" t="s">
        <v>1</v>
      </c>
      <c r="AU56" s="29" t="s">
        <v>1</v>
      </c>
    </row>
    <row r="57" spans="1:47" ht="6.75" customHeight="1" x14ac:dyDescent="0.25">
      <c r="A57" s="73">
        <v>57</v>
      </c>
      <c r="B57" s="45" t="s">
        <v>203</v>
      </c>
      <c r="C57" s="20" t="s">
        <v>227</v>
      </c>
      <c r="D57" s="27" t="s">
        <v>142</v>
      </c>
      <c r="E57" s="46" t="s">
        <v>160</v>
      </c>
      <c r="F57" s="27" t="s">
        <v>1</v>
      </c>
      <c r="G57" s="29" t="s">
        <v>1</v>
      </c>
      <c r="H57" s="27" t="s">
        <v>1</v>
      </c>
      <c r="I57" s="29" t="s">
        <v>1</v>
      </c>
      <c r="J57" s="39" t="s">
        <v>213</v>
      </c>
      <c r="K57" s="47" t="s">
        <v>219</v>
      </c>
      <c r="L57" s="48" t="s">
        <v>182</v>
      </c>
      <c r="M57" s="47" t="s">
        <v>185</v>
      </c>
      <c r="N57" s="39" t="s">
        <v>140</v>
      </c>
      <c r="O57" s="49" t="s">
        <v>207</v>
      </c>
      <c r="P57" s="72" t="s">
        <v>1</v>
      </c>
      <c r="Q57" s="42" t="s">
        <v>1</v>
      </c>
      <c r="R57" s="39" t="s">
        <v>1</v>
      </c>
      <c r="S57" s="42" t="s">
        <v>1</v>
      </c>
      <c r="T57" s="39" t="s">
        <v>1</v>
      </c>
      <c r="U57" s="42" t="s">
        <v>1</v>
      </c>
      <c r="V57" s="40" t="s">
        <v>1</v>
      </c>
      <c r="W57" s="42" t="s">
        <v>1</v>
      </c>
      <c r="X57" s="40" t="s">
        <v>1</v>
      </c>
      <c r="Y57" s="42" t="s">
        <v>1</v>
      </c>
      <c r="Z57" s="40" t="s">
        <v>1</v>
      </c>
      <c r="AA57" s="42" t="s">
        <v>1</v>
      </c>
      <c r="AB57" s="39" t="s">
        <v>1</v>
      </c>
      <c r="AC57" s="42" t="s">
        <v>1</v>
      </c>
      <c r="AD57" s="39" t="s">
        <v>226</v>
      </c>
      <c r="AE57" s="42" t="s">
        <v>225</v>
      </c>
      <c r="AF57" s="39" t="s">
        <v>1</v>
      </c>
      <c r="AG57" s="42" t="s">
        <v>1</v>
      </c>
      <c r="AH57" s="39" t="s">
        <v>1</v>
      </c>
      <c r="AI57" s="42" t="s">
        <v>1</v>
      </c>
      <c r="AJ57" s="39" t="s">
        <v>1</v>
      </c>
      <c r="AK57" s="42" t="s">
        <v>1</v>
      </c>
      <c r="AL57" s="27" t="s">
        <v>1</v>
      </c>
      <c r="AM57" s="29" t="s">
        <v>1</v>
      </c>
      <c r="AN57" s="27" t="s">
        <v>1</v>
      </c>
      <c r="AO57" s="29" t="s">
        <v>1</v>
      </c>
      <c r="AP57" s="27" t="s">
        <v>1</v>
      </c>
      <c r="AQ57" s="29" t="s">
        <v>1</v>
      </c>
      <c r="AR57" s="27" t="s">
        <v>1</v>
      </c>
      <c r="AS57" s="29" t="s">
        <v>1</v>
      </c>
      <c r="AT57" s="27" t="s">
        <v>1</v>
      </c>
      <c r="AU57" s="29" t="s">
        <v>1</v>
      </c>
    </row>
    <row r="58" spans="1:47" ht="6.75" customHeight="1" x14ac:dyDescent="0.25">
      <c r="A58" s="73">
        <v>58</v>
      </c>
      <c r="B58" s="45" t="s">
        <v>204</v>
      </c>
      <c r="C58" s="20" t="s">
        <v>227</v>
      </c>
      <c r="D58" s="27" t="s">
        <v>142</v>
      </c>
      <c r="E58" s="46" t="s">
        <v>160</v>
      </c>
      <c r="F58" s="27" t="s">
        <v>1</v>
      </c>
      <c r="G58" s="29" t="s">
        <v>1</v>
      </c>
      <c r="H58" s="27" t="s">
        <v>1</v>
      </c>
      <c r="I58" s="29" t="s">
        <v>1</v>
      </c>
      <c r="J58" s="39" t="s">
        <v>213</v>
      </c>
      <c r="K58" s="47" t="s">
        <v>220</v>
      </c>
      <c r="L58" s="48" t="s">
        <v>182</v>
      </c>
      <c r="M58" s="47" t="s">
        <v>190</v>
      </c>
      <c r="N58" s="39" t="s">
        <v>140</v>
      </c>
      <c r="O58" s="49" t="s">
        <v>208</v>
      </c>
      <c r="P58" s="72" t="s">
        <v>1</v>
      </c>
      <c r="Q58" s="42" t="s">
        <v>1</v>
      </c>
      <c r="R58" s="39" t="s">
        <v>1</v>
      </c>
      <c r="S58" s="42" t="s">
        <v>1</v>
      </c>
      <c r="T58" s="39" t="s">
        <v>1</v>
      </c>
      <c r="U58" s="42" t="s">
        <v>1</v>
      </c>
      <c r="V58" s="40" t="s">
        <v>1</v>
      </c>
      <c r="W58" s="42" t="s">
        <v>1</v>
      </c>
      <c r="X58" s="40" t="s">
        <v>1</v>
      </c>
      <c r="Y58" s="42" t="s">
        <v>1</v>
      </c>
      <c r="Z58" s="40" t="s">
        <v>1</v>
      </c>
      <c r="AA58" s="42" t="s">
        <v>1</v>
      </c>
      <c r="AB58" s="39" t="s">
        <v>1</v>
      </c>
      <c r="AC58" s="42" t="s">
        <v>1</v>
      </c>
      <c r="AD58" s="39" t="s">
        <v>226</v>
      </c>
      <c r="AE58" s="42" t="s">
        <v>225</v>
      </c>
      <c r="AF58" s="39" t="s">
        <v>1</v>
      </c>
      <c r="AG58" s="42" t="s">
        <v>1</v>
      </c>
      <c r="AH58" s="39" t="s">
        <v>1</v>
      </c>
      <c r="AI58" s="42" t="s">
        <v>1</v>
      </c>
      <c r="AJ58" s="39" t="s">
        <v>1</v>
      </c>
      <c r="AK58" s="42" t="s">
        <v>1</v>
      </c>
      <c r="AL58" s="27" t="s">
        <v>1</v>
      </c>
      <c r="AM58" s="29" t="s">
        <v>1</v>
      </c>
      <c r="AN58" s="27" t="s">
        <v>1</v>
      </c>
      <c r="AO58" s="29" t="s">
        <v>1</v>
      </c>
      <c r="AP58" s="27" t="s">
        <v>1</v>
      </c>
      <c r="AQ58" s="29" t="s">
        <v>1</v>
      </c>
      <c r="AR58" s="27" t="s">
        <v>1</v>
      </c>
      <c r="AS58" s="29" t="s">
        <v>1</v>
      </c>
      <c r="AT58" s="27" t="s">
        <v>1</v>
      </c>
      <c r="AU58" s="29" t="s">
        <v>1</v>
      </c>
    </row>
    <row r="59" spans="1:47" ht="6.75" customHeight="1" x14ac:dyDescent="0.25">
      <c r="A59" s="73">
        <v>59</v>
      </c>
      <c r="B59" s="45" t="s">
        <v>201</v>
      </c>
      <c r="C59" s="20" t="s">
        <v>227</v>
      </c>
      <c r="D59" s="27" t="s">
        <v>142</v>
      </c>
      <c r="E59" s="46" t="s">
        <v>160</v>
      </c>
      <c r="F59" s="27" t="s">
        <v>1</v>
      </c>
      <c r="G59" s="29" t="s">
        <v>1</v>
      </c>
      <c r="H59" s="27" t="s">
        <v>1</v>
      </c>
      <c r="I59" s="29" t="s">
        <v>1</v>
      </c>
      <c r="J59" s="39" t="s">
        <v>213</v>
      </c>
      <c r="K59" s="47" t="s">
        <v>221</v>
      </c>
      <c r="L59" s="48" t="s">
        <v>182</v>
      </c>
      <c r="M59" s="47" t="s">
        <v>184</v>
      </c>
      <c r="N59" s="39" t="s">
        <v>140</v>
      </c>
      <c r="O59" s="49" t="s">
        <v>209</v>
      </c>
      <c r="P59" s="72" t="s">
        <v>1</v>
      </c>
      <c r="Q59" s="42" t="s">
        <v>1</v>
      </c>
      <c r="R59" s="39" t="s">
        <v>1</v>
      </c>
      <c r="S59" s="42" t="s">
        <v>1</v>
      </c>
      <c r="T59" s="39" t="s">
        <v>1</v>
      </c>
      <c r="U59" s="42" t="s">
        <v>1</v>
      </c>
      <c r="V59" s="40" t="s">
        <v>1</v>
      </c>
      <c r="W59" s="42" t="s">
        <v>1</v>
      </c>
      <c r="X59" s="40" t="s">
        <v>1</v>
      </c>
      <c r="Y59" s="42" t="s">
        <v>1</v>
      </c>
      <c r="Z59" s="40" t="s">
        <v>1</v>
      </c>
      <c r="AA59" s="42" t="s">
        <v>1</v>
      </c>
      <c r="AB59" s="39" t="s">
        <v>1</v>
      </c>
      <c r="AC59" s="42" t="s">
        <v>1</v>
      </c>
      <c r="AD59" s="39" t="s">
        <v>226</v>
      </c>
      <c r="AE59" s="42" t="s">
        <v>225</v>
      </c>
      <c r="AF59" s="39" t="s">
        <v>1</v>
      </c>
      <c r="AG59" s="42" t="s">
        <v>1</v>
      </c>
      <c r="AH59" s="39" t="s">
        <v>1</v>
      </c>
      <c r="AI59" s="42" t="s">
        <v>1</v>
      </c>
      <c r="AJ59" s="39" t="s">
        <v>1</v>
      </c>
      <c r="AK59" s="42" t="s">
        <v>1</v>
      </c>
      <c r="AL59" s="27" t="s">
        <v>1</v>
      </c>
      <c r="AM59" s="29" t="s">
        <v>1</v>
      </c>
      <c r="AN59" s="27" t="s">
        <v>1</v>
      </c>
      <c r="AO59" s="29" t="s">
        <v>1</v>
      </c>
      <c r="AP59" s="27" t="s">
        <v>1</v>
      </c>
      <c r="AQ59" s="29" t="s">
        <v>1</v>
      </c>
      <c r="AR59" s="27" t="s">
        <v>1</v>
      </c>
      <c r="AS59" s="29" t="s">
        <v>1</v>
      </c>
      <c r="AT59" s="27" t="s">
        <v>1</v>
      </c>
      <c r="AU59" s="29" t="s">
        <v>1</v>
      </c>
    </row>
    <row r="60" spans="1:47" ht="6.75" customHeight="1" x14ac:dyDescent="0.25">
      <c r="A60" s="73">
        <v>60</v>
      </c>
      <c r="B60" s="45" t="s">
        <v>198</v>
      </c>
      <c r="C60" s="20" t="s">
        <v>227</v>
      </c>
      <c r="D60" s="27" t="s">
        <v>142</v>
      </c>
      <c r="E60" s="46" t="s">
        <v>160</v>
      </c>
      <c r="F60" s="27" t="s">
        <v>1</v>
      </c>
      <c r="G60" s="29" t="s">
        <v>1</v>
      </c>
      <c r="H60" s="27" t="s">
        <v>1</v>
      </c>
      <c r="I60" s="29" t="s">
        <v>1</v>
      </c>
      <c r="J60" s="39" t="s">
        <v>213</v>
      </c>
      <c r="K60" s="47" t="s">
        <v>222</v>
      </c>
      <c r="L60" s="48" t="s">
        <v>182</v>
      </c>
      <c r="M60" s="47" t="s">
        <v>193</v>
      </c>
      <c r="N60" s="39" t="s">
        <v>140</v>
      </c>
      <c r="O60" s="49" t="s">
        <v>210</v>
      </c>
      <c r="P60" s="72" t="s">
        <v>1</v>
      </c>
      <c r="Q60" s="42" t="s">
        <v>1</v>
      </c>
      <c r="R60" s="39" t="s">
        <v>1</v>
      </c>
      <c r="S60" s="42" t="s">
        <v>1</v>
      </c>
      <c r="T60" s="39" t="s">
        <v>1</v>
      </c>
      <c r="U60" s="42" t="s">
        <v>1</v>
      </c>
      <c r="V60" s="40" t="s">
        <v>1</v>
      </c>
      <c r="W60" s="42" t="s">
        <v>1</v>
      </c>
      <c r="X60" s="40" t="s">
        <v>1</v>
      </c>
      <c r="Y60" s="42" t="s">
        <v>1</v>
      </c>
      <c r="Z60" s="40" t="s">
        <v>1</v>
      </c>
      <c r="AA60" s="42" t="s">
        <v>1</v>
      </c>
      <c r="AB60" s="39" t="s">
        <v>1</v>
      </c>
      <c r="AC60" s="42" t="s">
        <v>1</v>
      </c>
      <c r="AD60" s="39" t="s">
        <v>226</v>
      </c>
      <c r="AE60" s="42" t="s">
        <v>225</v>
      </c>
      <c r="AF60" s="39" t="s">
        <v>1</v>
      </c>
      <c r="AG60" s="42" t="s">
        <v>1</v>
      </c>
      <c r="AH60" s="39" t="s">
        <v>1</v>
      </c>
      <c r="AI60" s="42" t="s">
        <v>1</v>
      </c>
      <c r="AJ60" s="39" t="s">
        <v>1</v>
      </c>
      <c r="AK60" s="42" t="s">
        <v>1</v>
      </c>
      <c r="AL60" s="27" t="s">
        <v>1</v>
      </c>
      <c r="AM60" s="29" t="s">
        <v>1</v>
      </c>
      <c r="AN60" s="27" t="s">
        <v>1</v>
      </c>
      <c r="AO60" s="29" t="s">
        <v>1</v>
      </c>
      <c r="AP60" s="27" t="s">
        <v>1</v>
      </c>
      <c r="AQ60" s="29" t="s">
        <v>1</v>
      </c>
      <c r="AR60" s="27" t="s">
        <v>1</v>
      </c>
      <c r="AS60" s="29" t="s">
        <v>1</v>
      </c>
      <c r="AT60" s="27" t="s">
        <v>1</v>
      </c>
      <c r="AU60" s="29" t="s">
        <v>1</v>
      </c>
    </row>
    <row r="61" spans="1:47" ht="6.75" customHeight="1" x14ac:dyDescent="0.25">
      <c r="A61" s="73">
        <v>61</v>
      </c>
      <c r="B61" s="45" t="s">
        <v>199</v>
      </c>
      <c r="C61" s="20" t="s">
        <v>227</v>
      </c>
      <c r="D61" s="27" t="s">
        <v>142</v>
      </c>
      <c r="E61" s="46" t="s">
        <v>160</v>
      </c>
      <c r="F61" s="27" t="s">
        <v>1</v>
      </c>
      <c r="G61" s="29" t="s">
        <v>1</v>
      </c>
      <c r="H61" s="27" t="s">
        <v>1</v>
      </c>
      <c r="I61" s="29" t="s">
        <v>1</v>
      </c>
      <c r="J61" s="39" t="s">
        <v>213</v>
      </c>
      <c r="K61" s="47" t="s">
        <v>223</v>
      </c>
      <c r="L61" s="48" t="s">
        <v>182</v>
      </c>
      <c r="M61" s="47" t="s">
        <v>191</v>
      </c>
      <c r="N61" s="39" t="s">
        <v>140</v>
      </c>
      <c r="O61" s="49" t="s">
        <v>211</v>
      </c>
      <c r="P61" s="72" t="s">
        <v>1</v>
      </c>
      <c r="Q61" s="42" t="s">
        <v>1</v>
      </c>
      <c r="R61" s="39" t="s">
        <v>1</v>
      </c>
      <c r="S61" s="42" t="s">
        <v>1</v>
      </c>
      <c r="T61" s="39" t="s">
        <v>1</v>
      </c>
      <c r="U61" s="42" t="s">
        <v>1</v>
      </c>
      <c r="V61" s="40" t="s">
        <v>1</v>
      </c>
      <c r="W61" s="42" t="s">
        <v>1</v>
      </c>
      <c r="X61" s="40" t="s">
        <v>1</v>
      </c>
      <c r="Y61" s="42" t="s">
        <v>1</v>
      </c>
      <c r="Z61" s="40" t="s">
        <v>1</v>
      </c>
      <c r="AA61" s="42" t="s">
        <v>1</v>
      </c>
      <c r="AB61" s="39" t="s">
        <v>1</v>
      </c>
      <c r="AC61" s="42" t="s">
        <v>1</v>
      </c>
      <c r="AD61" s="39" t="s">
        <v>226</v>
      </c>
      <c r="AE61" s="42" t="s">
        <v>225</v>
      </c>
      <c r="AF61" s="39" t="s">
        <v>1</v>
      </c>
      <c r="AG61" s="42" t="s">
        <v>1</v>
      </c>
      <c r="AH61" s="39" t="s">
        <v>1</v>
      </c>
      <c r="AI61" s="42" t="s">
        <v>1</v>
      </c>
      <c r="AJ61" s="39" t="s">
        <v>1</v>
      </c>
      <c r="AK61" s="42" t="s">
        <v>1</v>
      </c>
      <c r="AL61" s="27" t="s">
        <v>1</v>
      </c>
      <c r="AM61" s="29" t="s">
        <v>1</v>
      </c>
      <c r="AN61" s="27" t="s">
        <v>1</v>
      </c>
      <c r="AO61" s="29" t="s">
        <v>1</v>
      </c>
      <c r="AP61" s="27" t="s">
        <v>1</v>
      </c>
      <c r="AQ61" s="29" t="s">
        <v>1</v>
      </c>
      <c r="AR61" s="27" t="s">
        <v>1</v>
      </c>
      <c r="AS61" s="29" t="s">
        <v>1</v>
      </c>
      <c r="AT61" s="27" t="s">
        <v>1</v>
      </c>
      <c r="AU61" s="29" t="s">
        <v>1</v>
      </c>
    </row>
    <row r="62" spans="1:47" ht="6.75" customHeight="1" x14ac:dyDescent="0.25">
      <c r="A62" s="73">
        <v>62</v>
      </c>
      <c r="B62" s="45" t="s">
        <v>200</v>
      </c>
      <c r="C62" s="20" t="s">
        <v>227</v>
      </c>
      <c r="D62" s="27" t="s">
        <v>142</v>
      </c>
      <c r="E62" s="46" t="s">
        <v>160</v>
      </c>
      <c r="F62" s="27" t="s">
        <v>1</v>
      </c>
      <c r="G62" s="29" t="s">
        <v>1</v>
      </c>
      <c r="H62" s="27" t="s">
        <v>1</v>
      </c>
      <c r="I62" s="29" t="s">
        <v>1</v>
      </c>
      <c r="J62" s="39" t="s">
        <v>213</v>
      </c>
      <c r="K62" s="47" t="s">
        <v>224</v>
      </c>
      <c r="L62" s="48" t="s">
        <v>182</v>
      </c>
      <c r="M62" s="47" t="s">
        <v>192</v>
      </c>
      <c r="N62" s="39" t="s">
        <v>140</v>
      </c>
      <c r="O62" s="49" t="s">
        <v>212</v>
      </c>
      <c r="P62" s="72" t="s">
        <v>1</v>
      </c>
      <c r="Q62" s="42" t="s">
        <v>1</v>
      </c>
      <c r="R62" s="39" t="s">
        <v>1</v>
      </c>
      <c r="S62" s="42" t="s">
        <v>1</v>
      </c>
      <c r="T62" s="39" t="s">
        <v>1</v>
      </c>
      <c r="U62" s="42" t="s">
        <v>1</v>
      </c>
      <c r="V62" s="40" t="s">
        <v>1</v>
      </c>
      <c r="W62" s="42" t="s">
        <v>1</v>
      </c>
      <c r="X62" s="40" t="s">
        <v>1</v>
      </c>
      <c r="Y62" s="42" t="s">
        <v>1</v>
      </c>
      <c r="Z62" s="40" t="s">
        <v>1</v>
      </c>
      <c r="AA62" s="42" t="s">
        <v>1</v>
      </c>
      <c r="AB62" s="39" t="s">
        <v>1</v>
      </c>
      <c r="AC62" s="42" t="s">
        <v>1</v>
      </c>
      <c r="AD62" s="39" t="s">
        <v>226</v>
      </c>
      <c r="AE62" s="42" t="s">
        <v>225</v>
      </c>
      <c r="AF62" s="39" t="s">
        <v>1</v>
      </c>
      <c r="AG62" s="42" t="s">
        <v>1</v>
      </c>
      <c r="AH62" s="39" t="s">
        <v>1</v>
      </c>
      <c r="AI62" s="42" t="s">
        <v>1</v>
      </c>
      <c r="AJ62" s="39" t="s">
        <v>1</v>
      </c>
      <c r="AK62" s="42" t="s">
        <v>1</v>
      </c>
      <c r="AL62" s="27" t="s">
        <v>1</v>
      </c>
      <c r="AM62" s="29" t="s">
        <v>1</v>
      </c>
      <c r="AN62" s="27" t="s">
        <v>1</v>
      </c>
      <c r="AO62" s="29" t="s">
        <v>1</v>
      </c>
      <c r="AP62" s="27" t="s">
        <v>1</v>
      </c>
      <c r="AQ62" s="29" t="s">
        <v>1</v>
      </c>
      <c r="AR62" s="27" t="s">
        <v>1</v>
      </c>
      <c r="AS62" s="29" t="s">
        <v>1</v>
      </c>
      <c r="AT62" s="27" t="s">
        <v>1</v>
      </c>
      <c r="AU62" s="29" t="s">
        <v>1</v>
      </c>
    </row>
    <row r="63" spans="1:47" s="82" customFormat="1" ht="6.75" customHeight="1" x14ac:dyDescent="0.2">
      <c r="A63" s="73">
        <v>63</v>
      </c>
      <c r="B63" s="74" t="s">
        <v>393</v>
      </c>
      <c r="C63" s="83" t="s">
        <v>428</v>
      </c>
      <c r="D63" s="75" t="s">
        <v>1</v>
      </c>
      <c r="E63" s="76" t="s">
        <v>1</v>
      </c>
      <c r="F63" s="75" t="s">
        <v>1</v>
      </c>
      <c r="G63" s="76" t="s">
        <v>1</v>
      </c>
      <c r="H63" s="27" t="s">
        <v>1</v>
      </c>
      <c r="I63" s="29" t="s">
        <v>1</v>
      </c>
      <c r="J63" s="40" t="s">
        <v>1</v>
      </c>
      <c r="K63" s="71" t="s">
        <v>1</v>
      </c>
      <c r="L63" s="40" t="s">
        <v>1</v>
      </c>
      <c r="M63" s="71" t="s">
        <v>1</v>
      </c>
      <c r="N63" s="77" t="s">
        <v>140</v>
      </c>
      <c r="O63" s="49" t="s">
        <v>394</v>
      </c>
      <c r="P63" s="72" t="s">
        <v>1</v>
      </c>
      <c r="Q63" s="42" t="s">
        <v>1</v>
      </c>
      <c r="R63" s="40" t="s">
        <v>1</v>
      </c>
      <c r="S63" s="49" t="s">
        <v>1</v>
      </c>
      <c r="T63" s="78" t="s">
        <v>1</v>
      </c>
      <c r="U63" s="49" t="s">
        <v>1</v>
      </c>
      <c r="V63" s="81" t="s">
        <v>1</v>
      </c>
      <c r="W63" s="49" t="s">
        <v>1</v>
      </c>
      <c r="X63" s="40" t="s">
        <v>1</v>
      </c>
      <c r="Y63" s="42" t="s">
        <v>1</v>
      </c>
      <c r="Z63" s="40" t="s">
        <v>1</v>
      </c>
      <c r="AA63" s="42" t="s">
        <v>1</v>
      </c>
      <c r="AB63" s="39" t="s">
        <v>1</v>
      </c>
      <c r="AC63" s="42" t="s">
        <v>1</v>
      </c>
      <c r="AD63" s="39" t="s">
        <v>1</v>
      </c>
      <c r="AE63" s="42" t="s">
        <v>1</v>
      </c>
      <c r="AF63" s="78" t="s">
        <v>395</v>
      </c>
      <c r="AG63" s="49" t="s">
        <v>396</v>
      </c>
      <c r="AH63" s="78" t="s">
        <v>397</v>
      </c>
      <c r="AI63" s="49" t="s">
        <v>398</v>
      </c>
      <c r="AJ63" s="79" t="str">
        <f t="shared" ref="AJ63:AJ67" si="2">IF(AK63="null", "null", "método.revit")</f>
        <v>método.revit</v>
      </c>
      <c r="AK63" s="80" t="s">
        <v>399</v>
      </c>
      <c r="AL63" s="27" t="s">
        <v>1</v>
      </c>
      <c r="AM63" s="29" t="s">
        <v>1</v>
      </c>
      <c r="AN63" s="27" t="s">
        <v>1</v>
      </c>
      <c r="AO63" s="29" t="s">
        <v>1</v>
      </c>
      <c r="AP63" s="27" t="s">
        <v>1</v>
      </c>
      <c r="AQ63" s="29" t="s">
        <v>1</v>
      </c>
      <c r="AR63" s="27" t="s">
        <v>1</v>
      </c>
      <c r="AS63" s="29" t="s">
        <v>1</v>
      </c>
      <c r="AT63" s="27" t="s">
        <v>1</v>
      </c>
      <c r="AU63" s="29" t="s">
        <v>1</v>
      </c>
    </row>
    <row r="64" spans="1:47" s="82" customFormat="1" ht="6.75" customHeight="1" x14ac:dyDescent="0.2">
      <c r="A64" s="73">
        <v>64</v>
      </c>
      <c r="B64" s="74" t="s">
        <v>400</v>
      </c>
      <c r="C64" s="83" t="s">
        <v>428</v>
      </c>
      <c r="D64" s="75" t="s">
        <v>1</v>
      </c>
      <c r="E64" s="76" t="s">
        <v>1</v>
      </c>
      <c r="F64" s="75" t="s">
        <v>1</v>
      </c>
      <c r="G64" s="76" t="s">
        <v>1</v>
      </c>
      <c r="H64" s="27" t="s">
        <v>1</v>
      </c>
      <c r="I64" s="29" t="s">
        <v>1</v>
      </c>
      <c r="J64" s="40" t="s">
        <v>1</v>
      </c>
      <c r="K64" s="71" t="s">
        <v>1</v>
      </c>
      <c r="L64" s="40" t="s">
        <v>1</v>
      </c>
      <c r="M64" s="71" t="s">
        <v>1</v>
      </c>
      <c r="N64" s="77" t="s">
        <v>140</v>
      </c>
      <c r="O64" s="49" t="s">
        <v>401</v>
      </c>
      <c r="P64" s="72" t="s">
        <v>1</v>
      </c>
      <c r="Q64" s="42" t="s">
        <v>1</v>
      </c>
      <c r="R64" s="40" t="s">
        <v>1</v>
      </c>
      <c r="S64" s="49" t="s">
        <v>1</v>
      </c>
      <c r="T64" s="78" t="s">
        <v>1</v>
      </c>
      <c r="U64" s="49" t="s">
        <v>1</v>
      </c>
      <c r="V64" s="81" t="s">
        <v>1</v>
      </c>
      <c r="W64" s="49" t="s">
        <v>1</v>
      </c>
      <c r="X64" s="40" t="s">
        <v>1</v>
      </c>
      <c r="Y64" s="42" t="s">
        <v>1</v>
      </c>
      <c r="Z64" s="40" t="s">
        <v>1</v>
      </c>
      <c r="AA64" s="42" t="s">
        <v>1</v>
      </c>
      <c r="AB64" s="39" t="s">
        <v>1</v>
      </c>
      <c r="AC64" s="42" t="s">
        <v>1</v>
      </c>
      <c r="AD64" s="39" t="s">
        <v>1</v>
      </c>
      <c r="AE64" s="42" t="s">
        <v>1</v>
      </c>
      <c r="AF64" s="78" t="s">
        <v>395</v>
      </c>
      <c r="AG64" s="49" t="s">
        <v>396</v>
      </c>
      <c r="AH64" s="78" t="s">
        <v>397</v>
      </c>
      <c r="AI64" s="49" t="s">
        <v>402</v>
      </c>
      <c r="AJ64" s="79" t="str">
        <f t="shared" si="2"/>
        <v>método.revit</v>
      </c>
      <c r="AK64" s="80" t="s">
        <v>403</v>
      </c>
      <c r="AL64" s="27" t="s">
        <v>1</v>
      </c>
      <c r="AM64" s="29" t="s">
        <v>1</v>
      </c>
      <c r="AN64" s="27" t="s">
        <v>1</v>
      </c>
      <c r="AO64" s="29" t="s">
        <v>1</v>
      </c>
      <c r="AP64" s="27" t="s">
        <v>1</v>
      </c>
      <c r="AQ64" s="29" t="s">
        <v>1</v>
      </c>
      <c r="AR64" s="27" t="s">
        <v>1</v>
      </c>
      <c r="AS64" s="29" t="s">
        <v>1</v>
      </c>
      <c r="AT64" s="27" t="s">
        <v>1</v>
      </c>
      <c r="AU64" s="29" t="s">
        <v>1</v>
      </c>
    </row>
    <row r="65" spans="1:47" s="82" customFormat="1" ht="6.75" customHeight="1" x14ac:dyDescent="0.2">
      <c r="A65" s="73">
        <v>65</v>
      </c>
      <c r="B65" s="74" t="s">
        <v>404</v>
      </c>
      <c r="C65" s="83" t="s">
        <v>428</v>
      </c>
      <c r="D65" s="75" t="s">
        <v>1</v>
      </c>
      <c r="E65" s="76" t="s">
        <v>1</v>
      </c>
      <c r="F65" s="75" t="s">
        <v>1</v>
      </c>
      <c r="G65" s="76" t="s">
        <v>1</v>
      </c>
      <c r="H65" s="27" t="s">
        <v>1</v>
      </c>
      <c r="I65" s="29" t="s">
        <v>1</v>
      </c>
      <c r="J65" s="40" t="s">
        <v>1</v>
      </c>
      <c r="K65" s="71" t="s">
        <v>1</v>
      </c>
      <c r="L65" s="40" t="s">
        <v>1</v>
      </c>
      <c r="M65" s="71" t="s">
        <v>1</v>
      </c>
      <c r="N65" s="77" t="s">
        <v>140</v>
      </c>
      <c r="O65" s="49" t="s">
        <v>405</v>
      </c>
      <c r="P65" s="72" t="s">
        <v>1</v>
      </c>
      <c r="Q65" s="42" t="s">
        <v>1</v>
      </c>
      <c r="R65" s="40" t="s">
        <v>1</v>
      </c>
      <c r="S65" s="49" t="s">
        <v>1</v>
      </c>
      <c r="T65" s="78" t="s">
        <v>1</v>
      </c>
      <c r="U65" s="49" t="s">
        <v>1</v>
      </c>
      <c r="V65" s="81" t="s">
        <v>1</v>
      </c>
      <c r="W65" s="49" t="s">
        <v>1</v>
      </c>
      <c r="X65" s="40" t="s">
        <v>1</v>
      </c>
      <c r="Y65" s="42" t="s">
        <v>1</v>
      </c>
      <c r="Z65" s="40" t="s">
        <v>1</v>
      </c>
      <c r="AA65" s="42" t="s">
        <v>1</v>
      </c>
      <c r="AB65" s="39" t="s">
        <v>1</v>
      </c>
      <c r="AC65" s="42" t="s">
        <v>1</v>
      </c>
      <c r="AD65" s="39" t="s">
        <v>1</v>
      </c>
      <c r="AE65" s="42" t="s">
        <v>1</v>
      </c>
      <c r="AF65" s="78" t="s">
        <v>395</v>
      </c>
      <c r="AG65" s="49" t="s">
        <v>396</v>
      </c>
      <c r="AH65" s="78" t="s">
        <v>397</v>
      </c>
      <c r="AI65" s="49" t="s">
        <v>406</v>
      </c>
      <c r="AJ65" s="79" t="str">
        <f t="shared" si="2"/>
        <v>método.revit</v>
      </c>
      <c r="AK65" s="80" t="s">
        <v>407</v>
      </c>
      <c r="AL65" s="27" t="s">
        <v>1</v>
      </c>
      <c r="AM65" s="29" t="s">
        <v>1</v>
      </c>
      <c r="AN65" s="27" t="s">
        <v>1</v>
      </c>
      <c r="AO65" s="29" t="s">
        <v>1</v>
      </c>
      <c r="AP65" s="27" t="s">
        <v>1</v>
      </c>
      <c r="AQ65" s="29" t="s">
        <v>1</v>
      </c>
      <c r="AR65" s="27" t="s">
        <v>1</v>
      </c>
      <c r="AS65" s="29" t="s">
        <v>1</v>
      </c>
      <c r="AT65" s="27" t="s">
        <v>1</v>
      </c>
      <c r="AU65" s="29" t="s">
        <v>1</v>
      </c>
    </row>
    <row r="66" spans="1:47" s="82" customFormat="1" ht="6.75" customHeight="1" x14ac:dyDescent="0.2">
      <c r="A66" s="73">
        <v>66</v>
      </c>
      <c r="B66" s="74" t="s">
        <v>408</v>
      </c>
      <c r="C66" s="83" t="s">
        <v>428</v>
      </c>
      <c r="D66" s="75" t="s">
        <v>1</v>
      </c>
      <c r="E66" s="76" t="s">
        <v>1</v>
      </c>
      <c r="F66" s="75" t="s">
        <v>1</v>
      </c>
      <c r="G66" s="76" t="s">
        <v>1</v>
      </c>
      <c r="H66" s="27" t="s">
        <v>1</v>
      </c>
      <c r="I66" s="29" t="s">
        <v>1</v>
      </c>
      <c r="J66" s="40" t="s">
        <v>1</v>
      </c>
      <c r="K66" s="71" t="s">
        <v>1</v>
      </c>
      <c r="L66" s="40" t="s">
        <v>1</v>
      </c>
      <c r="M66" s="71" t="s">
        <v>1</v>
      </c>
      <c r="N66" s="77" t="s">
        <v>140</v>
      </c>
      <c r="O66" s="49" t="s">
        <v>409</v>
      </c>
      <c r="P66" s="72" t="s">
        <v>1</v>
      </c>
      <c r="Q66" s="42" t="s">
        <v>1</v>
      </c>
      <c r="R66" s="40" t="s">
        <v>1</v>
      </c>
      <c r="S66" s="49" t="s">
        <v>1</v>
      </c>
      <c r="T66" s="78" t="s">
        <v>1</v>
      </c>
      <c r="U66" s="49" t="s">
        <v>1</v>
      </c>
      <c r="V66" s="81" t="s">
        <v>1</v>
      </c>
      <c r="W66" s="49" t="s">
        <v>1</v>
      </c>
      <c r="X66" s="40" t="s">
        <v>1</v>
      </c>
      <c r="Y66" s="42" t="s">
        <v>1</v>
      </c>
      <c r="Z66" s="40" t="s">
        <v>1</v>
      </c>
      <c r="AA66" s="42" t="s">
        <v>1</v>
      </c>
      <c r="AB66" s="39" t="s">
        <v>1</v>
      </c>
      <c r="AC66" s="42" t="s">
        <v>1</v>
      </c>
      <c r="AD66" s="39" t="s">
        <v>1</v>
      </c>
      <c r="AE66" s="42" t="s">
        <v>1</v>
      </c>
      <c r="AF66" s="78" t="s">
        <v>395</v>
      </c>
      <c r="AG66" s="49" t="s">
        <v>396</v>
      </c>
      <c r="AH66" s="78" t="s">
        <v>397</v>
      </c>
      <c r="AI66" s="49" t="s">
        <v>410</v>
      </c>
      <c r="AJ66" s="79" t="str">
        <f t="shared" si="2"/>
        <v>método.revit</v>
      </c>
      <c r="AK66" s="80" t="s">
        <v>411</v>
      </c>
      <c r="AL66" s="27" t="s">
        <v>1</v>
      </c>
      <c r="AM66" s="29" t="s">
        <v>1</v>
      </c>
      <c r="AN66" s="27" t="s">
        <v>1</v>
      </c>
      <c r="AO66" s="29" t="s">
        <v>1</v>
      </c>
      <c r="AP66" s="27" t="s">
        <v>1</v>
      </c>
      <c r="AQ66" s="29" t="s">
        <v>1</v>
      </c>
      <c r="AR66" s="27" t="s">
        <v>1</v>
      </c>
      <c r="AS66" s="29" t="s">
        <v>1</v>
      </c>
      <c r="AT66" s="27" t="s">
        <v>1</v>
      </c>
      <c r="AU66" s="29" t="s">
        <v>1</v>
      </c>
    </row>
    <row r="67" spans="1:47" s="82" customFormat="1" ht="6.75" customHeight="1" x14ac:dyDescent="0.2">
      <c r="A67" s="73">
        <v>67</v>
      </c>
      <c r="B67" s="74" t="s">
        <v>412</v>
      </c>
      <c r="C67" s="83" t="s">
        <v>428</v>
      </c>
      <c r="D67" s="75" t="s">
        <v>1</v>
      </c>
      <c r="E67" s="76" t="s">
        <v>1</v>
      </c>
      <c r="F67" s="75" t="s">
        <v>1</v>
      </c>
      <c r="G67" s="76" t="s">
        <v>1</v>
      </c>
      <c r="H67" s="27" t="s">
        <v>1</v>
      </c>
      <c r="I67" s="29" t="s">
        <v>1</v>
      </c>
      <c r="J67" s="40" t="s">
        <v>1</v>
      </c>
      <c r="K67" s="71" t="s">
        <v>1</v>
      </c>
      <c r="L67" s="40" t="s">
        <v>1</v>
      </c>
      <c r="M67" s="71" t="s">
        <v>1</v>
      </c>
      <c r="N67" s="77" t="s">
        <v>140</v>
      </c>
      <c r="O67" s="49" t="s">
        <v>413</v>
      </c>
      <c r="P67" s="72" t="s">
        <v>1</v>
      </c>
      <c r="Q67" s="42" t="s">
        <v>1</v>
      </c>
      <c r="R67" s="40" t="s">
        <v>1</v>
      </c>
      <c r="S67" s="49" t="s">
        <v>1</v>
      </c>
      <c r="T67" s="78" t="s">
        <v>1</v>
      </c>
      <c r="U67" s="49" t="s">
        <v>1</v>
      </c>
      <c r="V67" s="81" t="s">
        <v>1</v>
      </c>
      <c r="W67" s="49" t="s">
        <v>1</v>
      </c>
      <c r="X67" s="40" t="s">
        <v>1</v>
      </c>
      <c r="Y67" s="42" t="s">
        <v>1</v>
      </c>
      <c r="Z67" s="40" t="s">
        <v>1</v>
      </c>
      <c r="AA67" s="42" t="s">
        <v>1</v>
      </c>
      <c r="AB67" s="39" t="s">
        <v>1</v>
      </c>
      <c r="AC67" s="42" t="s">
        <v>1</v>
      </c>
      <c r="AD67" s="39" t="s">
        <v>1</v>
      </c>
      <c r="AE67" s="42" t="s">
        <v>1</v>
      </c>
      <c r="AF67" s="78" t="s">
        <v>395</v>
      </c>
      <c r="AG67" s="49" t="s">
        <v>396</v>
      </c>
      <c r="AH67" s="78" t="s">
        <v>397</v>
      </c>
      <c r="AI67" s="49" t="s">
        <v>414</v>
      </c>
      <c r="AJ67" s="79" t="str">
        <f t="shared" si="2"/>
        <v>método.revit</v>
      </c>
      <c r="AK67" s="80" t="s">
        <v>415</v>
      </c>
      <c r="AL67" s="27" t="s">
        <v>1</v>
      </c>
      <c r="AM67" s="29" t="s">
        <v>1</v>
      </c>
      <c r="AN67" s="27" t="s">
        <v>1</v>
      </c>
      <c r="AO67" s="29" t="s">
        <v>1</v>
      </c>
      <c r="AP67" s="27" t="s">
        <v>1</v>
      </c>
      <c r="AQ67" s="29" t="s">
        <v>1</v>
      </c>
      <c r="AR67" s="27" t="s">
        <v>1</v>
      </c>
      <c r="AS67" s="29" t="s">
        <v>1</v>
      </c>
      <c r="AT67" s="27" t="s">
        <v>1</v>
      </c>
      <c r="AU67" s="29" t="s">
        <v>1</v>
      </c>
    </row>
  </sheetData>
  <sortState xmlns:xlrd2="http://schemas.microsoft.com/office/spreadsheetml/2017/richdata2" ref="A2:W2">
    <sortCondition ref="C1:C2"/>
  </sortState>
  <phoneticPr fontId="1" type="noConversion"/>
  <conditionalFormatting sqref="A1:I2 B3:I17 B18 B19:I19 B20:B21 B22:I62 A68:AS1048576 L1:Y15 Z1:AA17 AB1:AS62 AT1:AU1048576 A3:A67 T16:Y17 R16:S18 N22:Y31 Z22:AA62 L32:Y62 AL63:AS67 AV68:XFD1048576">
    <cfRule type="cellIs" dxfId="21" priority="21" operator="equal">
      <formula>"null"</formula>
    </cfRule>
  </conditionalFormatting>
  <conditionalFormatting sqref="B1:B62 B68:B1048576">
    <cfRule type="duplicateValues" dxfId="20" priority="20"/>
  </conditionalFormatting>
  <conditionalFormatting sqref="B63:B67">
    <cfRule type="duplicateValues" dxfId="19" priority="13"/>
    <cfRule type="duplicateValues" dxfId="18" priority="14"/>
  </conditionalFormatting>
  <conditionalFormatting sqref="C18">
    <cfRule type="duplicateValues" dxfId="17" priority="16"/>
  </conditionalFormatting>
  <conditionalFormatting sqref="C20:C21">
    <cfRule type="duplicateValues" dxfId="16" priority="18"/>
  </conditionalFormatting>
  <conditionalFormatting sqref="C18:I18 AV1:XFD62 L16:Q17 N18:Q18 T18:AA18">
    <cfRule type="cellIs" dxfId="15" priority="17" operator="equal">
      <formula>"null"</formula>
    </cfRule>
  </conditionalFormatting>
  <conditionalFormatting sqref="C20:I21 N19:AA21">
    <cfRule type="cellIs" dxfId="14" priority="19" operator="equal">
      <formula>"null"</formula>
    </cfRule>
  </conditionalFormatting>
  <conditionalFormatting sqref="D63:I67">
    <cfRule type="cellIs" dxfId="13" priority="8" operator="equal">
      <formula>"null"</formula>
    </cfRule>
  </conditionalFormatting>
  <conditionalFormatting sqref="J1:K67">
    <cfRule type="cellIs" dxfId="12" priority="2" operator="equal">
      <formula>"null"</formula>
    </cfRule>
  </conditionalFormatting>
  <conditionalFormatting sqref="L18:M67">
    <cfRule type="cellIs" dxfId="11" priority="6" operator="equal">
      <formula>"null"</formula>
    </cfRule>
  </conditionalFormatting>
  <conditionalFormatting sqref="P63:AE67">
    <cfRule type="cellIs" dxfId="10" priority="7" operator="equal">
      <formula>"null"</formula>
    </cfRule>
  </conditionalFormatting>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56A46-58D1-419D-AFD2-969B66B932B3}">
  <dimension ref="A1:C24"/>
  <sheetViews>
    <sheetView zoomScale="205" zoomScaleNormal="205" workbookViewId="0">
      <selection activeCell="C1" sqref="C1:C1048576"/>
    </sheetView>
  </sheetViews>
  <sheetFormatPr defaultColWidth="11.42578125" defaultRowHeight="15" x14ac:dyDescent="0.25"/>
  <cols>
    <col min="1" max="1" width="2.42578125" style="7" bestFit="1" customWidth="1"/>
    <col min="2" max="2" width="61.5703125" style="6" customWidth="1"/>
    <col min="3" max="3" width="47.28515625" customWidth="1"/>
    <col min="4" max="16384" width="11.42578125" style="6"/>
  </cols>
  <sheetData>
    <row r="1" spans="1:3" ht="18" customHeight="1" x14ac:dyDescent="0.15">
      <c r="A1" s="8">
        <v>1</v>
      </c>
      <c r="B1" s="9" t="s">
        <v>29</v>
      </c>
      <c r="C1" s="23" t="s">
        <v>43</v>
      </c>
    </row>
    <row r="2" spans="1:3" ht="33" x14ac:dyDescent="0.15">
      <c r="A2" s="8">
        <v>2</v>
      </c>
      <c r="B2" s="10" t="s">
        <v>24</v>
      </c>
      <c r="C2" s="60" t="s">
        <v>1</v>
      </c>
    </row>
    <row r="3" spans="1:3" ht="33" x14ac:dyDescent="0.15">
      <c r="A3" s="8">
        <v>3</v>
      </c>
      <c r="B3" s="10" t="s">
        <v>25</v>
      </c>
      <c r="C3" s="60" t="s">
        <v>1</v>
      </c>
    </row>
    <row r="4" spans="1:3" ht="41.25" x14ac:dyDescent="0.15">
      <c r="A4" s="8">
        <v>4</v>
      </c>
      <c r="B4" s="10" t="s">
        <v>26</v>
      </c>
      <c r="C4" s="60" t="s">
        <v>1</v>
      </c>
    </row>
    <row r="5" spans="1:3" ht="86.45" customHeight="1" x14ac:dyDescent="0.15">
      <c r="A5" s="8">
        <v>5</v>
      </c>
      <c r="B5" s="10" t="s">
        <v>27</v>
      </c>
      <c r="C5" s="60" t="s">
        <v>1</v>
      </c>
    </row>
    <row r="6" spans="1:3" ht="11.25" customHeight="1" x14ac:dyDescent="0.15">
      <c r="A6" s="8">
        <v>6</v>
      </c>
      <c r="B6" s="9" t="s">
        <v>23</v>
      </c>
      <c r="C6" s="60" t="s">
        <v>1</v>
      </c>
    </row>
    <row r="7" spans="1:3" ht="11.25" customHeight="1" x14ac:dyDescent="0.15">
      <c r="A7" s="8">
        <v>7</v>
      </c>
      <c r="B7" s="11" t="s">
        <v>28</v>
      </c>
      <c r="C7" s="61" t="s">
        <v>299</v>
      </c>
    </row>
    <row r="8" spans="1:3" ht="11.25" customHeight="1" x14ac:dyDescent="0.15">
      <c r="A8" s="8">
        <v>8</v>
      </c>
      <c r="B8" s="10" t="s">
        <v>37</v>
      </c>
      <c r="C8" s="61" t="s">
        <v>300</v>
      </c>
    </row>
    <row r="9" spans="1:3" ht="11.25" customHeight="1" x14ac:dyDescent="0.15">
      <c r="A9" s="8">
        <v>9</v>
      </c>
      <c r="B9" s="10" t="s">
        <v>36</v>
      </c>
      <c r="C9" s="61" t="s">
        <v>301</v>
      </c>
    </row>
    <row r="10" spans="1:3" ht="11.25" customHeight="1" x14ac:dyDescent="0.15">
      <c r="A10" s="8">
        <v>10</v>
      </c>
      <c r="B10" s="11" t="s">
        <v>35</v>
      </c>
      <c r="C10" s="61" t="s">
        <v>302</v>
      </c>
    </row>
    <row r="11" spans="1:3" ht="11.25" customHeight="1" x14ac:dyDescent="0.15">
      <c r="A11" s="8">
        <v>11</v>
      </c>
      <c r="B11" s="11" t="s">
        <v>34</v>
      </c>
      <c r="C11" s="61" t="s">
        <v>303</v>
      </c>
    </row>
    <row r="12" spans="1:3" ht="11.25" customHeight="1" x14ac:dyDescent="0.15">
      <c r="A12" s="8">
        <v>12</v>
      </c>
      <c r="B12" s="11" t="s">
        <v>33</v>
      </c>
      <c r="C12" s="61" t="s">
        <v>304</v>
      </c>
    </row>
    <row r="13" spans="1:3" ht="11.25" customHeight="1" x14ac:dyDescent="0.15">
      <c r="A13" s="8">
        <v>13</v>
      </c>
      <c r="B13" s="11" t="s">
        <v>32</v>
      </c>
      <c r="C13" s="61" t="s">
        <v>305</v>
      </c>
    </row>
    <row r="14" spans="1:3" ht="11.25" customHeight="1" x14ac:dyDescent="0.15">
      <c r="A14" s="8">
        <v>14</v>
      </c>
      <c r="B14" s="11" t="s">
        <v>31</v>
      </c>
      <c r="C14" s="61" t="s">
        <v>306</v>
      </c>
    </row>
    <row r="15" spans="1:3" ht="11.25" customHeight="1" x14ac:dyDescent="0.15">
      <c r="A15" s="8">
        <v>15</v>
      </c>
      <c r="B15" s="11" t="s">
        <v>30</v>
      </c>
      <c r="C15" s="26" t="s">
        <v>307</v>
      </c>
    </row>
    <row r="16" spans="1:3" ht="8.25" x14ac:dyDescent="0.15">
      <c r="C16" s="26" t="s">
        <v>308</v>
      </c>
    </row>
    <row r="17" spans="3:3" ht="8.25" x14ac:dyDescent="0.15">
      <c r="C17" s="26" t="s">
        <v>309</v>
      </c>
    </row>
    <row r="18" spans="3:3" ht="8.25" x14ac:dyDescent="0.15">
      <c r="C18" s="26" t="s">
        <v>310</v>
      </c>
    </row>
    <row r="19" spans="3:3" ht="8.25" x14ac:dyDescent="0.15">
      <c r="C19" s="60" t="s">
        <v>1</v>
      </c>
    </row>
    <row r="20" spans="3:3" ht="8.25" x14ac:dyDescent="0.15">
      <c r="C20" s="60" t="s">
        <v>1</v>
      </c>
    </row>
    <row r="21" spans="3:3" ht="8.25" x14ac:dyDescent="0.15">
      <c r="C21" s="60" t="s">
        <v>1</v>
      </c>
    </row>
    <row r="22" spans="3:3" ht="8.25" x14ac:dyDescent="0.15">
      <c r="C22" s="60" t="s">
        <v>1</v>
      </c>
    </row>
    <row r="23" spans="3:3" ht="8.25" x14ac:dyDescent="0.15">
      <c r="C23" s="60" t="s">
        <v>1</v>
      </c>
    </row>
    <row r="24" spans="3:3" ht="8.25" x14ac:dyDescent="0.15">
      <c r="C24" s="60" t="s">
        <v>1</v>
      </c>
    </row>
  </sheetData>
  <conditionalFormatting sqref="C1 C7:C18">
    <cfRule type="cellIs" dxfId="9" priority="1" operator="equal">
      <formula>"null"</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Projeto</vt:lpstr>
      <vt:lpstr>Classes</vt:lpstr>
      <vt:lpstr>Disjunt</vt:lpstr>
      <vt:lpstr>Interop</vt:lpstr>
      <vt:lpstr>FatosIn</vt:lpstr>
      <vt:lpstr>ExemplosDL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cp:lastPrinted>2026-09-03T18:48:07Z</cp:lastPrinted>
  <dcterms:created xsi:type="dcterms:W3CDTF">2023-10-05T15:04:02Z</dcterms:created>
  <dcterms:modified xsi:type="dcterms:W3CDTF">2026-09-09T11:59:55Z</dcterms:modified>
</cp:coreProperties>
</file>