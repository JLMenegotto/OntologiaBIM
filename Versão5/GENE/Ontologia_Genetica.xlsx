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BFFDBE71-8676-44F2-8270-BB7655332AAA}" xr6:coauthVersionLast="47" xr6:coauthVersionMax="47" xr10:uidLastSave="{00000000-0000-0000-0000-000000000000}"/>
  <bookViews>
    <workbookView xWindow="-120" yWindow="-120" windowWidth="24240" windowHeight="1329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1" l="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8" i="31" l="1"/>
  <c r="W9" i="31"/>
  <c r="W10" i="31"/>
  <c r="W11" i="31"/>
  <c r="W12" i="31"/>
  <c r="W13" i="31"/>
  <c r="W14" i="31"/>
  <c r="W15" i="31"/>
  <c r="W16" i="31"/>
  <c r="W17" i="31"/>
  <c r="W18" i="31"/>
  <c r="W19" i="31"/>
  <c r="W20" i="31"/>
  <c r="O8" i="31"/>
  <c r="O9" i="31"/>
  <c r="O10" i="31"/>
  <c r="O11" i="31"/>
  <c r="O12" i="31"/>
  <c r="O13" i="31"/>
  <c r="O14" i="31"/>
  <c r="O15" i="31"/>
  <c r="O16" i="31"/>
  <c r="O17" i="31"/>
  <c r="O18" i="31"/>
  <c r="O19" i="31"/>
  <c r="O20" i="31"/>
  <c r="U13" i="31"/>
  <c r="T13" i="31"/>
  <c r="S13" i="31"/>
  <c r="N13" i="31"/>
  <c r="M13" i="31"/>
  <c r="L13" i="31"/>
  <c r="U14" i="31"/>
  <c r="T14" i="31"/>
  <c r="S14" i="31"/>
  <c r="N14" i="31"/>
  <c r="M14" i="31"/>
  <c r="L14" i="31"/>
  <c r="Q14" i="31"/>
  <c r="Q13" i="31"/>
  <c r="W7" i="31" l="1"/>
  <c r="U11" i="31"/>
  <c r="T11" i="31"/>
  <c r="S11" i="31"/>
  <c r="N11" i="31"/>
  <c r="M11" i="31"/>
  <c r="L11" i="31"/>
  <c r="U16" i="31"/>
  <c r="T16" i="31"/>
  <c r="S16" i="31"/>
  <c r="N16" i="31"/>
  <c r="M16" i="31"/>
  <c r="L16" i="31"/>
  <c r="U15" i="31"/>
  <c r="T15" i="31"/>
  <c r="S15" i="31"/>
  <c r="N15" i="31"/>
  <c r="M15" i="31"/>
  <c r="L15" i="31"/>
  <c r="U20" i="31"/>
  <c r="T20" i="31"/>
  <c r="S20" i="31"/>
  <c r="N20" i="31"/>
  <c r="M20" i="31"/>
  <c r="L20" i="31"/>
  <c r="U19" i="31"/>
  <c r="T19" i="31"/>
  <c r="S19" i="31"/>
  <c r="N19" i="31"/>
  <c r="M19" i="31"/>
  <c r="L19" i="31"/>
  <c r="U18" i="31"/>
  <c r="T18" i="31"/>
  <c r="S18" i="31"/>
  <c r="N18" i="31"/>
  <c r="M18" i="31"/>
  <c r="L18" i="31"/>
  <c r="U17" i="31"/>
  <c r="T17" i="31"/>
  <c r="S17" i="31"/>
  <c r="N17" i="31"/>
  <c r="M17" i="31"/>
  <c r="L17" i="31"/>
  <c r="U7" i="31"/>
  <c r="T7" i="31"/>
  <c r="S7" i="31"/>
  <c r="O7" i="31"/>
  <c r="N7" i="31"/>
  <c r="M7" i="31"/>
  <c r="L7" i="31"/>
  <c r="U8" i="31"/>
  <c r="T8" i="31"/>
  <c r="S8" i="31"/>
  <c r="N8" i="31"/>
  <c r="M8" i="31"/>
  <c r="L8" i="31"/>
  <c r="U12" i="31"/>
  <c r="T12" i="31"/>
  <c r="S12" i="31"/>
  <c r="N12" i="31"/>
  <c r="M12" i="31"/>
  <c r="L12" i="31"/>
  <c r="U10" i="31"/>
  <c r="T10" i="31"/>
  <c r="S10" i="31"/>
  <c r="N10" i="31"/>
  <c r="M10" i="31"/>
  <c r="L10" i="31"/>
  <c r="U9" i="31"/>
  <c r="T9" i="31"/>
  <c r="S9" i="31"/>
  <c r="N9" i="31"/>
  <c r="M9" i="31"/>
  <c r="L9" i="31"/>
  <c r="B21" i="26"/>
  <c r="B20" i="26"/>
  <c r="B26" i="26"/>
  <c r="Q10" i="31"/>
  <c r="Q15" i="31"/>
  <c r="Q11" i="31"/>
  <c r="Q9" i="31"/>
  <c r="Q12" i="31"/>
  <c r="Q7" i="31"/>
  <c r="Q8" i="31"/>
  <c r="B18" i="26" l="1"/>
  <c r="B6" i="26" l="1"/>
  <c r="B5" i="26"/>
</calcChain>
</file>

<file path=xl/sharedStrings.xml><?xml version="1.0" encoding="utf-8"?>
<sst xmlns="http://schemas.openxmlformats.org/spreadsheetml/2006/main" count="816" uniqueCount="223">
  <si>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</si>
  <si>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</si>
  <si>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</si>
  <si>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</si>
  <si>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</si>
  <si>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</si>
  <si>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</si>
  <si>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</si>
  <si>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</si>
  <si>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</si>
  <si>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</si>
  <si>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</si>
  <si>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</si>
  <si>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</si>
  <si>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</si>
  <si>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</si>
  <si>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</si>
  <si>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</si>
  <si>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</si>
  <si>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</si>
  <si>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</si>
  <si>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</si>
  <si>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</si>
  <si>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</si>
  <si>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</si>
  <si>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</si>
  <si>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</si>
  <si>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</si>
  <si>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</si>
  <si>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</si>
  <si>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</si>
  <si>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</si>
  <si>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</si>
  <si>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</si>
  <si>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</si>
  <si>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</si>
  <si>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</si>
  <si>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</si>
  <si>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</si>
  <si>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</si>
  <si>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</si>
  <si>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</si>
  <si>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</si>
  <si>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</si>
  <si>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</si>
  <si>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</si>
  <si>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</si>
  <si>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</si>
  <si>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</si>
  <si>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</si>
  <si>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</si>
  <si>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</si>
  <si>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</si>
  <si>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</si>
  <si>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</si>
  <si>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</si>
  <si>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</si>
  <si>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</si>
  <si>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</si>
  <si>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</si>
  <si>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</si>
  <si>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</si>
  <si>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</si>
  <si>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</si>
  <si>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</si>
  <si>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</si>
  <si>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</si>
  <si>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</si>
  <si>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</si>
  <si>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</si>
  <si>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</si>
  <si>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</si>
  <si>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</si>
  <si>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</si>
  <si>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</si>
  <si>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</si>
  <si>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</si>
  <si>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</si>
  <si>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</si>
  <si>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</si>
  <si>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</si>
  <si>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</si>
  <si>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</si>
  <si>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</si>
  <si>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</si>
  <si>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</si>
  <si>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</si>
  <si>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</si>
  <si>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</si>
  <si>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</si>
  <si>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</si>
  <si>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</si>
  <si>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</si>
  <si>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</si>
  <si>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</si>
  <si>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</si>
  <si>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</si>
  <si>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</si>
  <si>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</si>
  <si>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</si>
  <si>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</si>
  <si>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</si>
  <si>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</si>
  <si>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</si>
  <si>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</si>
  <si>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</si>
  <si>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</si>
  <si>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</si>
  <si>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</si>
  <si>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</si>
  <si>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</si>
  <si>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</si>
  <si>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</si>
  <si>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</si>
  <si>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</si>
  <si>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</si>
  <si>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</si>
  <si>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Movimento.Geométrico</t>
  </si>
  <si>
    <t>Translação</t>
  </si>
  <si>
    <t>Giro</t>
  </si>
  <si>
    <t>Escalar</t>
  </si>
  <si>
    <t>Reflexão</t>
  </si>
  <si>
    <t>Parâmetro.Geométrico</t>
  </si>
  <si>
    <t>Ponto.Base</t>
  </si>
  <si>
    <t>Ponto.Destino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</si>
  <si>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</si>
  <si>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</si>
  <si>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</si>
  <si>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</si>
  <si>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</si>
  <si>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</si>
  <si>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</si>
  <si>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</si>
  <si>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</si>
  <si>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</si>
  <si>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</si>
  <si>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</si>
  <si>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</si>
  <si>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</si>
  <si>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</si>
  <si>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</si>
  <si>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</si>
  <si>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</si>
  <si>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</si>
  <si>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Valor.Deslocar</t>
  </si>
  <si>
    <t xml:space="preserve">( Valor.Deslocar and Valor.Angular ) or ( Valor.X and Valor.Y and Valor.Z ) </t>
  </si>
  <si>
    <t>PB1</t>
  </si>
  <si>
    <t>Vd1</t>
  </si>
  <si>
    <t>Va1</t>
  </si>
  <si>
    <t>Va2</t>
  </si>
  <si>
    <t>"Um valor do deslocamento"</t>
  </si>
  <si>
    <t>é.ponto.base</t>
  </si>
  <si>
    <t>PBP</t>
  </si>
  <si>
    <t>"O Ponto Base do Projeto"</t>
  </si>
  <si>
    <t>"A Translação principal dos módulos estruturais horizontais"</t>
  </si>
  <si>
    <t>TRA_Hor</t>
  </si>
  <si>
    <t>TRA_Ver</t>
  </si>
  <si>
    <t>"A Translação principal dos módulos estruturais verticais"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</si>
  <si>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</si>
  <si>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</si>
  <si>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</si>
  <si>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</si>
  <si>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</si>
  <si>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</si>
  <si>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</si>
  <si>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</si>
  <si>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</si>
  <si>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</si>
  <si>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</si>
  <si>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</si>
  <si>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</si>
  <si>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</si>
  <si>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</si>
  <si>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</si>
  <si>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</si>
  <si>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</si>
  <si>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</si>
  <si>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</si>
  <si>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Translação. A transformação que transforma o ponto por um deslocamento linear. Precisa Ponto Base e Ponto Destino.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</si>
  <si>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</si>
  <si>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</si>
  <si>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</si>
  <si>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</si>
  <si>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</si>
  <si>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</si>
  <si>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</si>
  <si>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</si>
  <si>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</si>
  <si>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</si>
  <si>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</si>
  <si>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</si>
  <si>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</si>
  <si>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</si>
  <si>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</si>
  <si>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</si>
  <si>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</si>
  <si>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</si>
  <si>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</si>
  <si>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</si>
  <si>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</si>
  <si>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La transformación que modifica la posición de un punto mediante un desplazamiento lineal. Necesita punto base y punto objetivo.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</si>
  <si>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</si>
  <si>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</si>
  <si>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</si>
  <si>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</si>
  <si>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</si>
  <si>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</si>
  <si>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</si>
  <si>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</si>
  <si>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</si>
  <si>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</si>
  <si>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</si>
  <si>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</si>
  <si>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</si>
  <si>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</si>
  <si>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</si>
  <si>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</si>
  <si>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</si>
  <si>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</si>
  <si>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linear displacement. You need base point and target point.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</si>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</sst>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0" fillId="0" borderId="0" xfId="0" applyAlignment="1"/>
    <xf numFmtId="0" fontId="22" fillId="15" borderId="3" xfId="0" applyFont="1" applyFill="1" applyBorder="1" applyAlignment="1">
      <alignment vertical="center" wrapText="1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tabSelected="1" zoomScale="190" zoomScaleNormal="190" workbookViewId="0">
      <pane ySplit="1" topLeftCell="A2" activePane="bottomLeft" state="frozen"/>
      <selection activeCell="C18" sqref="C18"/>
      <selection pane="bottomLeft" activeCell="B26" sqref="B26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9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2" t="s">
        <v>103</v>
      </c>
    </row>
    <row r="2" spans="1:3" ht="6.95" customHeight="1" x14ac:dyDescent="0.25">
      <c r="A2" s="14" t="s">
        <v>60</v>
      </c>
      <c r="B2" s="14" t="s">
        <v>76</v>
      </c>
      <c r="C2" s="48" t="s">
        <v>104</v>
      </c>
    </row>
    <row r="3" spans="1:3" ht="6.95" customHeight="1" x14ac:dyDescent="0.25">
      <c r="A3" s="14" t="s">
        <v>61</v>
      </c>
      <c r="B3" s="15" t="s">
        <v>111</v>
      </c>
      <c r="C3" s="48" t="s">
        <v>104</v>
      </c>
    </row>
    <row r="4" spans="1:3" ht="6.95" customHeight="1" x14ac:dyDescent="0.25">
      <c r="A4" s="14" t="s">
        <v>52</v>
      </c>
      <c r="B4" s="14" t="s">
        <v>62</v>
      </c>
      <c r="C4" s="48" t="s">
        <v>104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8" t="s">
        <v>104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8" t="s">
        <v>104</v>
      </c>
    </row>
    <row r="7" spans="1:3" ht="6.95" customHeight="1" x14ac:dyDescent="0.25">
      <c r="A7" s="14" t="s">
        <v>55</v>
      </c>
      <c r="B7" s="14" t="s">
        <v>63</v>
      </c>
      <c r="C7" s="48" t="s">
        <v>104</v>
      </c>
    </row>
    <row r="8" spans="1:3" customFormat="1" ht="6.95" customHeight="1" x14ac:dyDescent="0.25">
      <c r="A8" s="16" t="s">
        <v>56</v>
      </c>
      <c r="B8" s="16" t="s">
        <v>102</v>
      </c>
      <c r="C8" s="48" t="s">
        <v>104</v>
      </c>
    </row>
    <row r="9" spans="1:3" ht="6.95" customHeight="1" x14ac:dyDescent="0.25">
      <c r="A9" s="14" t="s">
        <v>64</v>
      </c>
      <c r="B9" s="14" t="s">
        <v>65</v>
      </c>
      <c r="C9" s="48" t="s">
        <v>104</v>
      </c>
    </row>
    <row r="10" spans="1:3" ht="6.95" customHeight="1" x14ac:dyDescent="0.25">
      <c r="A10" s="14" t="s">
        <v>66</v>
      </c>
      <c r="B10" s="14" t="s">
        <v>38</v>
      </c>
      <c r="C10" s="48" t="s">
        <v>104</v>
      </c>
    </row>
    <row r="11" spans="1:3" ht="6.95" customHeight="1" x14ac:dyDescent="0.25">
      <c r="A11" s="14" t="s">
        <v>57</v>
      </c>
      <c r="B11" s="14" t="s">
        <v>38</v>
      </c>
      <c r="C11" s="48" t="s">
        <v>104</v>
      </c>
    </row>
    <row r="12" spans="1:3" ht="6.95" customHeight="1" x14ac:dyDescent="0.25">
      <c r="A12" s="14" t="s">
        <v>58</v>
      </c>
      <c r="B12" s="14" t="s">
        <v>38</v>
      </c>
      <c r="C12" s="48" t="s">
        <v>104</v>
      </c>
    </row>
    <row r="13" spans="1:3" ht="6.95" customHeight="1" x14ac:dyDescent="0.25">
      <c r="A13" s="14" t="s">
        <v>67</v>
      </c>
      <c r="B13" s="14" t="s">
        <v>38</v>
      </c>
      <c r="C13" s="48" t="s">
        <v>104</v>
      </c>
    </row>
    <row r="14" spans="1:3" ht="6.95" customHeight="1" x14ac:dyDescent="0.25">
      <c r="A14" s="14" t="s">
        <v>68</v>
      </c>
      <c r="B14" s="14" t="s">
        <v>38</v>
      </c>
      <c r="C14" s="48" t="s">
        <v>104</v>
      </c>
    </row>
    <row r="15" spans="1:3" ht="6.95" customHeight="1" x14ac:dyDescent="0.25">
      <c r="A15" s="14" t="s">
        <v>69</v>
      </c>
      <c r="B15" s="14" t="s">
        <v>38</v>
      </c>
      <c r="C15" s="48" t="s">
        <v>104</v>
      </c>
    </row>
    <row r="16" spans="1:3" ht="6.95" customHeight="1" x14ac:dyDescent="0.25">
      <c r="A16" s="14" t="s">
        <v>70</v>
      </c>
      <c r="B16" s="14" t="s">
        <v>38</v>
      </c>
      <c r="C16" s="48" t="s">
        <v>104</v>
      </c>
    </row>
    <row r="17" spans="1:3" ht="6.95" customHeight="1" x14ac:dyDescent="0.25">
      <c r="A17" s="14" t="s">
        <v>59</v>
      </c>
      <c r="B17" s="16" t="s">
        <v>112</v>
      </c>
      <c r="C17" s="48" t="s">
        <v>104</v>
      </c>
    </row>
    <row r="18" spans="1:3" ht="6.95" customHeight="1" x14ac:dyDescent="0.25">
      <c r="A18" s="14" t="s">
        <v>71</v>
      </c>
      <c r="B18" s="17">
        <f ca="1">NOW()</f>
        <v>46142.684945023146</v>
      </c>
      <c r="C18" s="48" t="s">
        <v>104</v>
      </c>
    </row>
    <row r="19" spans="1:3" s="37" customFormat="1" ht="6.95" customHeight="1" x14ac:dyDescent="0.25">
      <c r="A19" s="16" t="s">
        <v>109</v>
      </c>
      <c r="B19" s="50" t="s">
        <v>110</v>
      </c>
      <c r="C19" s="48" t="s">
        <v>104</v>
      </c>
    </row>
    <row r="20" spans="1:3" s="37" customFormat="1" ht="6.95" customHeight="1" x14ac:dyDescent="0.25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6.95" customHeight="1" x14ac:dyDescent="0.25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6.95" customHeight="1" x14ac:dyDescent="0.25">
      <c r="A22" s="14" t="s">
        <v>72</v>
      </c>
      <c r="B22" s="14" t="s">
        <v>38</v>
      </c>
      <c r="C22" s="48" t="s">
        <v>104</v>
      </c>
    </row>
    <row r="23" spans="1:3" ht="6.95" customHeight="1" x14ac:dyDescent="0.25">
      <c r="A23" s="14" t="s">
        <v>73</v>
      </c>
      <c r="B23" s="14" t="s">
        <v>38</v>
      </c>
      <c r="C23" s="48" t="s">
        <v>104</v>
      </c>
    </row>
    <row r="24" spans="1:3" ht="6.95" customHeight="1" x14ac:dyDescent="0.25">
      <c r="A24" s="16" t="s">
        <v>74</v>
      </c>
      <c r="B24" s="18" t="s">
        <v>113</v>
      </c>
      <c r="C24" s="48" t="s">
        <v>104</v>
      </c>
    </row>
    <row r="25" spans="1:3" ht="6.95" customHeight="1" x14ac:dyDescent="0.25">
      <c r="A25" s="16" t="s">
        <v>75</v>
      </c>
      <c r="B25" s="18" t="s">
        <v>114</v>
      </c>
      <c r="C25" s="48" t="s">
        <v>105</v>
      </c>
    </row>
    <row r="26" spans="1:3" customFormat="1" ht="6.95" customHeight="1" x14ac:dyDescent="0.25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0"/>
  <sheetViews>
    <sheetView zoomScale="205" zoomScaleNormal="205" workbookViewId="0">
      <selection activeCell="A2" sqref="A2:A20"/>
    </sheetView>
  </sheetViews>
  <sheetFormatPr defaultColWidth="9.140625" defaultRowHeight="15" x14ac:dyDescent="0.25"/>
  <cols>
    <col min="1" max="1" width="2.5703125" customWidth="1"/>
    <col min="2" max="2" width="4.5703125" customWidth="1"/>
    <col min="3" max="3" width="6.7109375" bestFit="1" customWidth="1"/>
    <col min="4" max="4" width="7.85546875" customWidth="1"/>
    <col min="5" max="5" width="11.140625" customWidth="1"/>
    <col min="6" max="6" width="10.85546875" customWidth="1"/>
    <col min="7" max="10" width="7.42578125" style="68" customWidth="1"/>
    <col min="11" max="11" width="31.28515625" style="68" customWidth="1"/>
    <col min="12" max="12" width="8" bestFit="1" customWidth="1"/>
    <col min="13" max="13" width="9" bestFit="1" customWidth="1"/>
    <col min="14" max="14" width="10.7109375" customWidth="1"/>
    <col min="15" max="15" width="11.85546875" customWidth="1"/>
    <col min="16" max="16" width="50.5703125" customWidth="1"/>
    <col min="17" max="17" width="55" customWidth="1"/>
    <col min="18" max="18" width="5.28515625" bestFit="1" customWidth="1"/>
    <col min="19" max="19" width="7" bestFit="1" customWidth="1"/>
    <col min="20" max="20" width="9" bestFit="1" customWidth="1"/>
    <col min="21" max="21" width="13.28515625" bestFit="1" customWidth="1"/>
    <col min="22" max="22" width="8.5703125" bestFit="1" customWidth="1"/>
    <col min="23" max="23" width="7" customWidth="1"/>
    <col min="24" max="25" width="6.42578125" customWidth="1"/>
    <col min="26" max="26" width="5.140625" style="68" bestFit="1" customWidth="1"/>
    <col min="27" max="27" width="53.140625" customWidth="1"/>
  </cols>
  <sheetData>
    <row r="1" spans="1:27" ht="55.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9" t="s">
        <v>99</v>
      </c>
      <c r="AA1" s="46" t="s">
        <v>100</v>
      </c>
    </row>
    <row r="2" spans="1:27" ht="6.95" customHeight="1" x14ac:dyDescent="0.25">
      <c r="A2" s="61">
        <v>2</v>
      </c>
      <c r="B2" s="63" t="s">
        <v>181</v>
      </c>
      <c r="C2" s="64" t="s">
        <v>182</v>
      </c>
      <c r="D2" s="63" t="s">
        <v>183</v>
      </c>
      <c r="E2" s="63" t="s">
        <v>184</v>
      </c>
      <c r="F2" s="64" t="s">
        <v>185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186</v>
      </c>
      <c r="Q2" s="47" t="s">
        <v>187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204</v>
      </c>
    </row>
    <row r="3" spans="1:27" ht="6.6" customHeight="1" x14ac:dyDescent="0.25">
      <c r="A3" s="61">
        <v>3</v>
      </c>
      <c r="B3" s="63" t="s">
        <v>181</v>
      </c>
      <c r="C3" s="64" t="s">
        <v>182</v>
      </c>
      <c r="D3" s="63" t="s">
        <v>183</v>
      </c>
      <c r="E3" s="63" t="s">
        <v>188</v>
      </c>
      <c r="F3" s="64" t="s">
        <v>189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190</v>
      </c>
      <c r="Q3" s="47" t="s">
        <v>187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205</v>
      </c>
    </row>
    <row r="4" spans="1:27" ht="6.6" customHeight="1" x14ac:dyDescent="0.25">
      <c r="A4" s="61">
        <v>4</v>
      </c>
      <c r="B4" s="63" t="s">
        <v>181</v>
      </c>
      <c r="C4" s="64" t="s">
        <v>182</v>
      </c>
      <c r="D4" s="63" t="s">
        <v>183</v>
      </c>
      <c r="E4" s="63" t="s">
        <v>188</v>
      </c>
      <c r="F4" s="64" t="s">
        <v>191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192</v>
      </c>
      <c r="Q4" s="47" t="s">
        <v>187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206</v>
      </c>
    </row>
    <row r="5" spans="1:27" ht="6.6" customHeight="1" x14ac:dyDescent="0.25">
      <c r="A5" s="61">
        <v>5</v>
      </c>
      <c r="B5" s="63" t="s">
        <v>181</v>
      </c>
      <c r="C5" s="64" t="s">
        <v>182</v>
      </c>
      <c r="D5" s="63" t="s">
        <v>183</v>
      </c>
      <c r="E5" s="63" t="s">
        <v>188</v>
      </c>
      <c r="F5" s="64" t="s">
        <v>193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194</v>
      </c>
      <c r="Q5" s="47" t="s">
        <v>187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207</v>
      </c>
    </row>
    <row r="6" spans="1:27" ht="6.6" customHeight="1" x14ac:dyDescent="0.25">
      <c r="A6" s="61">
        <v>6</v>
      </c>
      <c r="B6" s="63" t="s">
        <v>181</v>
      </c>
      <c r="C6" s="64" t="s">
        <v>182</v>
      </c>
      <c r="D6" s="63" t="s">
        <v>183</v>
      </c>
      <c r="E6" s="63" t="s">
        <v>188</v>
      </c>
      <c r="F6" s="64" t="s">
        <v>195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196</v>
      </c>
      <c r="Q6" s="47" t="s">
        <v>187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208</v>
      </c>
    </row>
    <row r="7" spans="1:27" ht="6.6" customHeight="1" x14ac:dyDescent="0.25">
      <c r="A7" s="61">
        <v>7</v>
      </c>
      <c r="B7" s="25" t="s">
        <v>93</v>
      </c>
      <c r="C7" s="26" t="s">
        <v>197</v>
      </c>
      <c r="D7" s="27" t="s">
        <v>198</v>
      </c>
      <c r="E7" s="27" t="s">
        <v>122</v>
      </c>
      <c r="F7" s="51" t="s">
        <v>140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19" si="4">_xlfn.CONCAT(C7)</f>
        <v>Formal</v>
      </c>
      <c r="M7" s="56" t="str">
        <f t="shared" ref="M7" si="5">_xlfn.CONCAT("", D7)</f>
        <v>Elementos.TGB</v>
      </c>
      <c r="N7" s="56" t="str">
        <f t="shared" ref="N7" si="6">_xlfn.CONCAT("", E7)</f>
        <v>Parâmetro.Geométrico</v>
      </c>
      <c r="O7" s="56" t="str">
        <f t="shared" ref="O7:O20" si="7">_xlfn.CONCAT("", F7)</f>
        <v>Valor.X</v>
      </c>
      <c r="P7" s="56" t="s">
        <v>174</v>
      </c>
      <c r="Q7" s="56" t="str">
        <f t="shared" ref="Q7:Q20" si="8">_xlfn.TRANSLATE(P7,"pt","es")</f>
        <v>Valor de X. Coordenada X.</v>
      </c>
      <c r="R7" s="62" t="s">
        <v>1</v>
      </c>
      <c r="S7" s="57" t="str">
        <f t="shared" ref="S7" si="9">SUBSTITUTE(C7, "_", " ")</f>
        <v>Formal</v>
      </c>
      <c r="T7" s="57" t="str">
        <f t="shared" ref="T7" si="10">SUBSTITUTE(D7, "_", " ")</f>
        <v>Elementos.TGB</v>
      </c>
      <c r="U7" s="58" t="str">
        <f t="shared" ref="U7" si="11">SUBSTITUTE(E7, "_", " ")</f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209</v>
      </c>
    </row>
    <row r="8" spans="1:27" ht="6.6" customHeight="1" x14ac:dyDescent="0.25">
      <c r="A8" s="61">
        <v>8</v>
      </c>
      <c r="B8" s="25" t="s">
        <v>93</v>
      </c>
      <c r="C8" s="26" t="s">
        <v>197</v>
      </c>
      <c r="D8" s="27" t="s">
        <v>198</v>
      </c>
      <c r="E8" s="27" t="s">
        <v>122</v>
      </c>
      <c r="F8" s="51" t="s">
        <v>141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ref="M8:N8" si="12">_xlfn.CONCAT("", D8)</f>
        <v>Elementos.TGB</v>
      </c>
      <c r="N8" s="56" t="str">
        <f t="shared" si="12"/>
        <v>Parâmetro.Geométrico</v>
      </c>
      <c r="O8" s="56" t="str">
        <f t="shared" si="7"/>
        <v>Valor.Y</v>
      </c>
      <c r="P8" s="56" t="s">
        <v>173</v>
      </c>
      <c r="Q8" s="56" t="str">
        <f t="shared" si="8"/>
        <v>Valor de Y. Coordenada Y.</v>
      </c>
      <c r="R8" s="62" t="s">
        <v>1</v>
      </c>
      <c r="S8" s="57" t="str">
        <f t="shared" ref="S8:U8" si="13">SUBSTITUTE(C8, "_", " ")</f>
        <v>Formal</v>
      </c>
      <c r="T8" s="57" t="str">
        <f t="shared" si="13"/>
        <v>Elementos.TGB</v>
      </c>
      <c r="U8" s="58" t="str">
        <f t="shared" si="13"/>
        <v>Parâmetro.Geométrico</v>
      </c>
      <c r="V8" s="47" t="s">
        <v>90</v>
      </c>
      <c r="W8" s="59" t="str">
        <f t="shared" ref="W8:W20" si="14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210</v>
      </c>
    </row>
    <row r="9" spans="1:27" ht="6.6" customHeight="1" x14ac:dyDescent="0.25">
      <c r="A9" s="61">
        <v>9</v>
      </c>
      <c r="B9" s="25" t="s">
        <v>93</v>
      </c>
      <c r="C9" s="26" t="s">
        <v>197</v>
      </c>
      <c r="D9" s="27" t="s">
        <v>198</v>
      </c>
      <c r="E9" s="27" t="s">
        <v>122</v>
      </c>
      <c r="F9" s="51" t="s">
        <v>142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ref="M9:M16" si="15">_xlfn.CONCAT("", D9)</f>
        <v>Elementos.TGB</v>
      </c>
      <c r="N9" s="56" t="str">
        <f t="shared" ref="N9:N16" si="16">_xlfn.CONCAT("", E9)</f>
        <v>Parâmetro.Geométrico</v>
      </c>
      <c r="O9" s="56" t="str">
        <f t="shared" si="7"/>
        <v>Valor.Z</v>
      </c>
      <c r="P9" s="56" t="s">
        <v>175</v>
      </c>
      <c r="Q9" s="56" t="str">
        <f t="shared" si="8"/>
        <v>Valor Z. Coordenada Z.</v>
      </c>
      <c r="R9" s="62" t="s">
        <v>1</v>
      </c>
      <c r="S9" s="57" t="str">
        <f t="shared" ref="S9:S16" si="17">SUBSTITUTE(C9, "_", " ")</f>
        <v>Formal</v>
      </c>
      <c r="T9" s="57" t="str">
        <f t="shared" ref="T9:T16" si="18">SUBSTITUTE(D9, "_", " ")</f>
        <v>Elementos.TGB</v>
      </c>
      <c r="U9" s="58" t="str">
        <f t="shared" ref="U9:U16" si="19">SUBSTITUTE(E9, "_", " ")</f>
        <v>Parâmetro.Geométrico</v>
      </c>
      <c r="V9" s="47" t="s">
        <v>90</v>
      </c>
      <c r="W9" s="59" t="str">
        <f t="shared" si="14"/>
        <v>Key.EGC.9</v>
      </c>
      <c r="X9" s="47" t="s">
        <v>1</v>
      </c>
      <c r="Y9" s="47" t="s">
        <v>1</v>
      </c>
      <c r="Z9" s="57" t="s">
        <v>1</v>
      </c>
      <c r="AA9" s="47" t="s">
        <v>211</v>
      </c>
    </row>
    <row r="10" spans="1:27" ht="6.6" customHeight="1" x14ac:dyDescent="0.25">
      <c r="A10" s="61">
        <v>10</v>
      </c>
      <c r="B10" s="25" t="s">
        <v>93</v>
      </c>
      <c r="C10" s="26" t="s">
        <v>197</v>
      </c>
      <c r="D10" s="27" t="s">
        <v>198</v>
      </c>
      <c r="E10" s="27" t="s">
        <v>122</v>
      </c>
      <c r="F10" s="51" t="s">
        <v>144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15"/>
        <v>Elementos.TGB</v>
      </c>
      <c r="N10" s="56" t="str">
        <f t="shared" si="16"/>
        <v>Parâmetro.Geométrico</v>
      </c>
      <c r="O10" s="56" t="str">
        <f t="shared" si="7"/>
        <v>Valor.Deslocar</v>
      </c>
      <c r="P10" s="56" t="s">
        <v>172</v>
      </c>
      <c r="Q10" s="56" t="str">
        <f t="shared" si="8"/>
        <v>Valor desplazado. Valor de distancia de una traslación</v>
      </c>
      <c r="R10" s="62" t="s">
        <v>1</v>
      </c>
      <c r="S10" s="57" t="str">
        <f t="shared" si="17"/>
        <v>Formal</v>
      </c>
      <c r="T10" s="57" t="str">
        <f t="shared" si="18"/>
        <v>Elementos.TGB</v>
      </c>
      <c r="U10" s="58" t="str">
        <f t="shared" si="19"/>
        <v>Parâmetro.Geométrico</v>
      </c>
      <c r="V10" s="47" t="s">
        <v>90</v>
      </c>
      <c r="W10" s="59" t="str">
        <f t="shared" si="14"/>
        <v>Key.EGC.10</v>
      </c>
      <c r="X10" s="47" t="s">
        <v>1</v>
      </c>
      <c r="Y10" s="47" t="s">
        <v>1</v>
      </c>
      <c r="Z10" s="57" t="s">
        <v>1</v>
      </c>
      <c r="AA10" s="47" t="s">
        <v>212</v>
      </c>
    </row>
    <row r="11" spans="1:27" ht="6.6" customHeight="1" x14ac:dyDescent="0.25">
      <c r="A11" s="61">
        <v>11</v>
      </c>
      <c r="B11" s="25" t="s">
        <v>93</v>
      </c>
      <c r="C11" s="26" t="s">
        <v>197</v>
      </c>
      <c r="D11" s="27" t="s">
        <v>198</v>
      </c>
      <c r="E11" s="27" t="s">
        <v>122</v>
      </c>
      <c r="F11" s="51" t="s">
        <v>139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ref="M11" si="20">_xlfn.CONCAT("", D11)</f>
        <v>Elementos.TGB</v>
      </c>
      <c r="N11" s="56" t="str">
        <f t="shared" ref="N11" si="21">_xlfn.CONCAT("", E11)</f>
        <v>Parâmetro.Geométrico</v>
      </c>
      <c r="O11" s="56" t="str">
        <f t="shared" si="7"/>
        <v>Valor.Angular</v>
      </c>
      <c r="P11" s="56" t="s">
        <v>171</v>
      </c>
      <c r="Q11" s="56" t="str">
        <f t="shared" si="8"/>
        <v>Valor angular de una transformada de espín o rotación</v>
      </c>
      <c r="R11" s="62" t="s">
        <v>1</v>
      </c>
      <c r="S11" s="57" t="str">
        <f t="shared" ref="S11" si="22">SUBSTITUTE(C11, "_", " ")</f>
        <v>Formal</v>
      </c>
      <c r="T11" s="57" t="str">
        <f t="shared" ref="T11" si="23">SUBSTITUTE(D11, "_", " ")</f>
        <v>Elementos.TGB</v>
      </c>
      <c r="U11" s="58" t="str">
        <f t="shared" ref="U11" si="24">SUBSTITUTE(E11, "_", " ")</f>
        <v>Parâmetro.Geométrico</v>
      </c>
      <c r="V11" s="47" t="s">
        <v>90</v>
      </c>
      <c r="W11" s="59" t="str">
        <f t="shared" si="14"/>
        <v>Key.EGC.11</v>
      </c>
      <c r="X11" s="47" t="s">
        <v>1</v>
      </c>
      <c r="Y11" s="47" t="s">
        <v>1</v>
      </c>
      <c r="Z11" s="57" t="s">
        <v>1</v>
      </c>
      <c r="AA11" s="47" t="s">
        <v>213</v>
      </c>
    </row>
    <row r="12" spans="1:27" ht="6.6" customHeight="1" x14ac:dyDescent="0.25">
      <c r="A12" s="61">
        <v>12</v>
      </c>
      <c r="B12" s="25" t="s">
        <v>93</v>
      </c>
      <c r="C12" s="26" t="s">
        <v>197</v>
      </c>
      <c r="D12" s="27" t="s">
        <v>198</v>
      </c>
      <c r="E12" s="27" t="s">
        <v>122</v>
      </c>
      <c r="F12" s="51" t="s">
        <v>143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15"/>
        <v>Elementos.TGB</v>
      </c>
      <c r="N12" s="56" t="str">
        <f t="shared" si="16"/>
        <v>Parâmetro.Geométrico</v>
      </c>
      <c r="O12" s="56" t="str">
        <f t="shared" si="7"/>
        <v>Valor.Escalar</v>
      </c>
      <c r="P12" s="56" t="s">
        <v>170</v>
      </c>
      <c r="Q12" s="56" t="str">
        <f t="shared" si="8"/>
        <v>Valor escalar de una transformación que cambia la escala</v>
      </c>
      <c r="R12" s="62" t="s">
        <v>1</v>
      </c>
      <c r="S12" s="57" t="str">
        <f t="shared" si="17"/>
        <v>Formal</v>
      </c>
      <c r="T12" s="57" t="str">
        <f t="shared" si="18"/>
        <v>Elementos.TGB</v>
      </c>
      <c r="U12" s="58" t="str">
        <f t="shared" si="19"/>
        <v>Parâmetro.Geométrico</v>
      </c>
      <c r="V12" s="47" t="s">
        <v>90</v>
      </c>
      <c r="W12" s="59" t="str">
        <f t="shared" si="14"/>
        <v>Key.EGC.12</v>
      </c>
      <c r="X12" s="47" t="s">
        <v>1</v>
      </c>
      <c r="Y12" s="47" t="s">
        <v>1</v>
      </c>
      <c r="Z12" s="57" t="s">
        <v>1</v>
      </c>
      <c r="AA12" s="47" t="s">
        <v>214</v>
      </c>
    </row>
    <row r="13" spans="1:27" ht="6.6" customHeight="1" x14ac:dyDescent="0.25">
      <c r="A13" s="61">
        <v>13</v>
      </c>
      <c r="B13" s="25" t="s">
        <v>93</v>
      </c>
      <c r="C13" s="26" t="s">
        <v>197</v>
      </c>
      <c r="D13" s="27" t="s">
        <v>198</v>
      </c>
      <c r="E13" s="27" t="s">
        <v>180</v>
      </c>
      <c r="F13" s="51" t="s">
        <v>164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15"/>
        <v>Elementos.TGB</v>
      </c>
      <c r="N13" s="56" t="str">
        <f t="shared" si="16"/>
        <v>Bases.Geométricas</v>
      </c>
      <c r="O13" s="56" t="str">
        <f t="shared" si="7"/>
        <v>Ponto.Eixo1</v>
      </c>
      <c r="P13" s="56" t="s">
        <v>166</v>
      </c>
      <c r="Q13" s="56" t="str">
        <f t="shared" si="8"/>
        <v>Punto 1 que define un eje de simetría</v>
      </c>
      <c r="R13" s="62" t="s">
        <v>1</v>
      </c>
      <c r="S13" s="57" t="str">
        <f t="shared" si="17"/>
        <v>Formal</v>
      </c>
      <c r="T13" s="57" t="str">
        <f t="shared" si="18"/>
        <v>Elementos.TGB</v>
      </c>
      <c r="U13" s="58" t="str">
        <f t="shared" si="19"/>
        <v>Bases.Geométricas</v>
      </c>
      <c r="V13" s="47" t="s">
        <v>90</v>
      </c>
      <c r="W13" s="59" t="str">
        <f t="shared" si="14"/>
        <v>Key.EGC.13</v>
      </c>
      <c r="X13" s="47" t="s">
        <v>1</v>
      </c>
      <c r="Y13" s="47" t="s">
        <v>1</v>
      </c>
      <c r="Z13" s="57" t="s">
        <v>1</v>
      </c>
      <c r="AA13" s="47" t="s">
        <v>215</v>
      </c>
    </row>
    <row r="14" spans="1:27" ht="6.6" customHeight="1" x14ac:dyDescent="0.25">
      <c r="A14" s="61">
        <v>14</v>
      </c>
      <c r="B14" s="25" t="s">
        <v>93</v>
      </c>
      <c r="C14" s="26" t="s">
        <v>197</v>
      </c>
      <c r="D14" s="27" t="s">
        <v>198</v>
      </c>
      <c r="E14" s="27" t="s">
        <v>180</v>
      </c>
      <c r="F14" s="51" t="s">
        <v>165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ref="L14" si="25">_xlfn.CONCAT(C14)</f>
        <v>Formal</v>
      </c>
      <c r="M14" s="56" t="str">
        <f t="shared" ref="M14" si="26">_xlfn.CONCAT("", D14)</f>
        <v>Elementos.TGB</v>
      </c>
      <c r="N14" s="56" t="str">
        <f t="shared" ref="N14" si="27">_xlfn.CONCAT("", E14)</f>
        <v>Bases.Geométricas</v>
      </c>
      <c r="O14" s="56" t="str">
        <f t="shared" si="7"/>
        <v>Ponto.Eixo2</v>
      </c>
      <c r="P14" s="56" t="s">
        <v>167</v>
      </c>
      <c r="Q14" s="56" t="str">
        <f t="shared" ref="Q14" si="28">_xlfn.TRANSLATE(P14,"pt","es")</f>
        <v>Punto 2 que define un eje de simetría</v>
      </c>
      <c r="R14" s="62" t="s">
        <v>1</v>
      </c>
      <c r="S14" s="57" t="str">
        <f t="shared" ref="S14" si="29">SUBSTITUTE(C14, "_", " ")</f>
        <v>Formal</v>
      </c>
      <c r="T14" s="57" t="str">
        <f t="shared" ref="T14" si="30">SUBSTITUTE(D14, "_", " ")</f>
        <v>Elementos.TGB</v>
      </c>
      <c r="U14" s="58" t="str">
        <f t="shared" ref="U14" si="31">SUBSTITUTE(E14, "_", " ")</f>
        <v>Bases.Geométricas</v>
      </c>
      <c r="V14" s="47" t="s">
        <v>90</v>
      </c>
      <c r="W14" s="59" t="str">
        <f t="shared" si="14"/>
        <v>Key.EGC.14</v>
      </c>
      <c r="X14" s="47" t="s">
        <v>1</v>
      </c>
      <c r="Y14" s="47" t="s">
        <v>1</v>
      </c>
      <c r="Z14" s="57" t="s">
        <v>1</v>
      </c>
      <c r="AA14" s="47" t="s">
        <v>216</v>
      </c>
    </row>
    <row r="15" spans="1:27" ht="6.6" customHeight="1" x14ac:dyDescent="0.25">
      <c r="A15" s="61">
        <v>15</v>
      </c>
      <c r="B15" s="25" t="s">
        <v>93</v>
      </c>
      <c r="C15" s="26" t="s">
        <v>197</v>
      </c>
      <c r="D15" s="27" t="s">
        <v>198</v>
      </c>
      <c r="E15" s="27" t="s">
        <v>180</v>
      </c>
      <c r="F15" s="51" t="s">
        <v>123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15"/>
        <v>Elementos.TGB</v>
      </c>
      <c r="N15" s="56" t="str">
        <f t="shared" si="16"/>
        <v>Bases.Geométricas</v>
      </c>
      <c r="O15" s="56" t="str">
        <f t="shared" si="7"/>
        <v>Ponto.Base</v>
      </c>
      <c r="P15" s="56" t="s">
        <v>168</v>
      </c>
      <c r="Q15" s="56" t="str">
        <f t="shared" si="8"/>
        <v>Punto base que puede servir como primer punto base de un vector de traslación o para referenciar un proyecto</v>
      </c>
      <c r="R15" s="62" t="s">
        <v>1</v>
      </c>
      <c r="S15" s="57" t="str">
        <f t="shared" si="17"/>
        <v>Formal</v>
      </c>
      <c r="T15" s="57" t="str">
        <f t="shared" si="18"/>
        <v>Elementos.TGB</v>
      </c>
      <c r="U15" s="58" t="str">
        <f t="shared" si="19"/>
        <v>Bases.Geométricas</v>
      </c>
      <c r="V15" s="47" t="s">
        <v>90</v>
      </c>
      <c r="W15" s="59" t="str">
        <f t="shared" si="14"/>
        <v>Key.EGC.15</v>
      </c>
      <c r="X15" s="47" t="s">
        <v>1</v>
      </c>
      <c r="Y15" s="47" t="s">
        <v>1</v>
      </c>
      <c r="Z15" s="57" t="s">
        <v>1</v>
      </c>
      <c r="AA15" s="47" t="s">
        <v>217</v>
      </c>
    </row>
    <row r="16" spans="1:27" ht="6.6" customHeight="1" x14ac:dyDescent="0.25">
      <c r="A16" s="61">
        <v>16</v>
      </c>
      <c r="B16" s="25" t="s">
        <v>93</v>
      </c>
      <c r="C16" s="26" t="s">
        <v>197</v>
      </c>
      <c r="D16" s="27" t="s">
        <v>198</v>
      </c>
      <c r="E16" s="27" t="s">
        <v>180</v>
      </c>
      <c r="F16" s="51" t="s">
        <v>124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15"/>
        <v>Elementos.TGB</v>
      </c>
      <c r="N16" s="56" t="str">
        <f t="shared" si="16"/>
        <v>Bases.Geométricas</v>
      </c>
      <c r="O16" s="56" t="str">
        <f t="shared" si="7"/>
        <v>Ponto.Destino</v>
      </c>
      <c r="P16" s="56" t="s">
        <v>169</v>
      </c>
      <c r="Q16" s="56" t="s">
        <v>199</v>
      </c>
      <c r="R16" s="62" t="s">
        <v>1</v>
      </c>
      <c r="S16" s="57" t="str">
        <f t="shared" si="17"/>
        <v>Formal</v>
      </c>
      <c r="T16" s="57" t="str">
        <f t="shared" si="18"/>
        <v>Elementos.TGB</v>
      </c>
      <c r="U16" s="58" t="str">
        <f t="shared" si="19"/>
        <v>Bases.Geométricas</v>
      </c>
      <c r="V16" s="47" t="s">
        <v>90</v>
      </c>
      <c r="W16" s="59" t="str">
        <f t="shared" si="14"/>
        <v>Key.EGC.16</v>
      </c>
      <c r="X16" s="47" t="s">
        <v>1</v>
      </c>
      <c r="Y16" s="47" t="s">
        <v>1</v>
      </c>
      <c r="Z16" s="57" t="s">
        <v>1</v>
      </c>
      <c r="AA16" s="47" t="s">
        <v>218</v>
      </c>
    </row>
    <row r="17" spans="1:27" ht="6.6" customHeight="1" x14ac:dyDescent="0.25">
      <c r="A17" s="61">
        <v>17</v>
      </c>
      <c r="B17" s="25" t="s">
        <v>93</v>
      </c>
      <c r="C17" s="26" t="s">
        <v>197</v>
      </c>
      <c r="D17" s="27" t="s">
        <v>198</v>
      </c>
      <c r="E17" s="27" t="s">
        <v>117</v>
      </c>
      <c r="F17" s="51" t="s">
        <v>118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145</v>
      </c>
      <c r="L17" s="56" t="str">
        <f t="shared" si="4"/>
        <v>Formal</v>
      </c>
      <c r="M17" s="56" t="str">
        <f t="shared" ref="M17:M20" si="32">_xlfn.CONCAT("", D17)</f>
        <v>Elementos.TGB</v>
      </c>
      <c r="N17" s="56" t="str">
        <f t="shared" ref="N17:N20" si="33">_xlfn.CONCAT("", E17)</f>
        <v>Movimento.Geométrico</v>
      </c>
      <c r="O17" s="56" t="str">
        <f t="shared" si="7"/>
        <v>Translação</v>
      </c>
      <c r="P17" s="56" t="s">
        <v>178</v>
      </c>
      <c r="Q17" s="56" t="s">
        <v>200</v>
      </c>
      <c r="R17" s="62" t="s">
        <v>1</v>
      </c>
      <c r="S17" s="57" t="str">
        <f t="shared" ref="S17:S20" si="34">SUBSTITUTE(C17, "_", " ")</f>
        <v>Formal</v>
      </c>
      <c r="T17" s="57" t="str">
        <f t="shared" ref="T17:T20" si="35">SUBSTITUTE(D17, "_", " ")</f>
        <v>Elementos.TGB</v>
      </c>
      <c r="U17" s="58" t="str">
        <f t="shared" ref="U17:U20" si="36">SUBSTITUTE(E17, "_", " ")</f>
        <v>Movimento.Geométrico</v>
      </c>
      <c r="V17" s="47" t="s">
        <v>90</v>
      </c>
      <c r="W17" s="59" t="str">
        <f t="shared" si="14"/>
        <v>Key.EGC.17</v>
      </c>
      <c r="X17" s="47" t="s">
        <v>1</v>
      </c>
      <c r="Y17" s="47" t="s">
        <v>1</v>
      </c>
      <c r="Z17" s="57" t="s">
        <v>1</v>
      </c>
      <c r="AA17" s="47" t="s">
        <v>219</v>
      </c>
    </row>
    <row r="18" spans="1:27" ht="6.6" customHeight="1" x14ac:dyDescent="0.25">
      <c r="A18" s="61">
        <v>18</v>
      </c>
      <c r="B18" s="25" t="s">
        <v>93</v>
      </c>
      <c r="C18" s="26" t="s">
        <v>197</v>
      </c>
      <c r="D18" s="27" t="s">
        <v>198</v>
      </c>
      <c r="E18" s="27" t="s">
        <v>117</v>
      </c>
      <c r="F18" s="51" t="s">
        <v>119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138</v>
      </c>
      <c r="L18" s="56" t="str">
        <f t="shared" si="4"/>
        <v>Formal</v>
      </c>
      <c r="M18" s="56" t="str">
        <f t="shared" si="32"/>
        <v>Elementos.TGB</v>
      </c>
      <c r="N18" s="56" t="str">
        <f t="shared" si="33"/>
        <v>Movimento.Geométrico</v>
      </c>
      <c r="O18" s="56" t="str">
        <f t="shared" si="7"/>
        <v>Giro</v>
      </c>
      <c r="P18" s="56" t="s">
        <v>176</v>
      </c>
      <c r="Q18" s="56" t="s">
        <v>203</v>
      </c>
      <c r="R18" s="62" t="s">
        <v>1</v>
      </c>
      <c r="S18" s="57" t="str">
        <f t="shared" si="34"/>
        <v>Formal</v>
      </c>
      <c r="T18" s="57" t="str">
        <f t="shared" si="35"/>
        <v>Elementos.TGB</v>
      </c>
      <c r="U18" s="58" t="str">
        <f t="shared" si="36"/>
        <v>Movimento.Geométrico</v>
      </c>
      <c r="V18" s="47" t="s">
        <v>90</v>
      </c>
      <c r="W18" s="59" t="str">
        <f t="shared" si="14"/>
        <v>Key.EGC.18</v>
      </c>
      <c r="X18" s="47" t="s">
        <v>1</v>
      </c>
      <c r="Y18" s="47" t="s">
        <v>1</v>
      </c>
      <c r="Z18" s="57" t="s">
        <v>1</v>
      </c>
      <c r="AA18" s="47" t="s">
        <v>220</v>
      </c>
    </row>
    <row r="19" spans="1:27" ht="6.6" customHeight="1" x14ac:dyDescent="0.25">
      <c r="A19" s="61">
        <v>19</v>
      </c>
      <c r="B19" s="25" t="s">
        <v>93</v>
      </c>
      <c r="C19" s="26" t="s">
        <v>197</v>
      </c>
      <c r="D19" s="27" t="s">
        <v>198</v>
      </c>
      <c r="E19" s="27" t="s">
        <v>117</v>
      </c>
      <c r="F19" s="51" t="s">
        <v>120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137</v>
      </c>
      <c r="L19" s="56" t="str">
        <f t="shared" si="4"/>
        <v>Formal</v>
      </c>
      <c r="M19" s="56" t="str">
        <f t="shared" si="32"/>
        <v>Elementos.TGB</v>
      </c>
      <c r="N19" s="56" t="str">
        <f t="shared" si="33"/>
        <v>Movimento.Geométrico</v>
      </c>
      <c r="O19" s="56" t="str">
        <f t="shared" si="7"/>
        <v>Escalar</v>
      </c>
      <c r="P19" s="56" t="s">
        <v>177</v>
      </c>
      <c r="Q19" s="56" t="s">
        <v>202</v>
      </c>
      <c r="R19" s="62" t="s">
        <v>1</v>
      </c>
      <c r="S19" s="57" t="str">
        <f t="shared" si="34"/>
        <v>Formal</v>
      </c>
      <c r="T19" s="57" t="str">
        <f t="shared" si="35"/>
        <v>Elementos.TGB</v>
      </c>
      <c r="U19" s="58" t="str">
        <f t="shared" si="36"/>
        <v>Movimento.Geométrico</v>
      </c>
      <c r="V19" s="47" t="s">
        <v>90</v>
      </c>
      <c r="W19" s="59" t="str">
        <f t="shared" si="14"/>
        <v>Key.EGC.19</v>
      </c>
      <c r="X19" s="47" t="s">
        <v>1</v>
      </c>
      <c r="Y19" s="47" t="s">
        <v>1</v>
      </c>
      <c r="Z19" s="57" t="s">
        <v>1</v>
      </c>
      <c r="AA19" s="47" t="s">
        <v>221</v>
      </c>
    </row>
    <row r="20" spans="1:27" ht="6.6" customHeight="1" x14ac:dyDescent="0.25">
      <c r="A20" s="61">
        <v>20</v>
      </c>
      <c r="B20" s="25" t="s">
        <v>93</v>
      </c>
      <c r="C20" s="26" t="s">
        <v>197</v>
      </c>
      <c r="D20" s="27" t="s">
        <v>198</v>
      </c>
      <c r="E20" s="27" t="s">
        <v>117</v>
      </c>
      <c r="F20" s="51" t="s">
        <v>121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163</v>
      </c>
      <c r="L20" s="56" t="str">
        <f t="shared" ref="L20" si="37">_xlfn.CONCAT(C20)</f>
        <v>Formal</v>
      </c>
      <c r="M20" s="56" t="str">
        <f t="shared" si="32"/>
        <v>Elementos.TGB</v>
      </c>
      <c r="N20" s="56" t="str">
        <f t="shared" si="33"/>
        <v>Movimento.Geométrico</v>
      </c>
      <c r="O20" s="56" t="str">
        <f t="shared" si="7"/>
        <v>Reflexão</v>
      </c>
      <c r="P20" s="56" t="s">
        <v>179</v>
      </c>
      <c r="Q20" s="56" t="s">
        <v>201</v>
      </c>
      <c r="R20" s="62" t="s">
        <v>1</v>
      </c>
      <c r="S20" s="57" t="str">
        <f t="shared" si="34"/>
        <v>Formal</v>
      </c>
      <c r="T20" s="57" t="str">
        <f t="shared" si="35"/>
        <v>Elementos.TGB</v>
      </c>
      <c r="U20" s="58" t="str">
        <f t="shared" si="36"/>
        <v>Movimento.Geométrico</v>
      </c>
      <c r="V20" s="47" t="s">
        <v>90</v>
      </c>
      <c r="W20" s="59" t="str">
        <f t="shared" si="14"/>
        <v>Key.EGC.20</v>
      </c>
      <c r="X20" s="47" t="s">
        <v>1</v>
      </c>
      <c r="Y20" s="47" t="s">
        <v>1</v>
      </c>
      <c r="Z20" s="57" t="s">
        <v>1</v>
      </c>
      <c r="AA20" s="47" t="s">
        <v>222</v>
      </c>
    </row>
  </sheetData>
  <phoneticPr fontId="1" type="noConversion"/>
  <conditionalFormatting sqref="F1 F7:F1048576">
    <cfRule type="duplicateValues" dxfId="11" priority="8"/>
  </conditionalFormatting>
  <conditionalFormatting sqref="A2:A20">
    <cfRule type="cellIs" dxfId="0" priority="2" operator="equal">
      <formula>"null"</formula>
    </cfRule>
  </conditionalFormatting>
  <conditionalFormatting sqref="F2:F6">
    <cfRule type="duplicateValues" dxfId="6" priority="1"/>
    <cfRule type="duplicateValues" dxfId="5" priority="3"/>
    <cfRule type="duplicateValues" dxfId="4" priority="4"/>
    <cfRule type="duplicateValues" dxfId="3" priority="5"/>
  </conditionalFormatting>
  <conditionalFormatting sqref="AA2:AA6">
    <cfRule type="cellIs" dxfId="1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15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2">
        <v>1</v>
      </c>
      <c r="B1" s="33" t="s">
        <v>94</v>
      </c>
      <c r="C1" s="33" t="s">
        <v>95</v>
      </c>
    </row>
    <row r="2" spans="1:3" ht="14.45" customHeight="1" x14ac:dyDescent="0.25">
      <c r="A2" s="19">
        <v>2</v>
      </c>
      <c r="B2" s="34" t="s">
        <v>1</v>
      </c>
      <c r="C2" s="34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dimension ref="A1:AA12"/>
  <sheetViews>
    <sheetView zoomScale="220" zoomScaleNormal="220" workbookViewId="0">
      <selection activeCell="E16" sqref="E16"/>
    </sheetView>
  </sheetViews>
  <sheetFormatPr defaultRowHeight="9" customHeight="1" x14ac:dyDescent="0.25"/>
  <cols>
    <col min="1" max="1" width="2.5703125" bestFit="1" customWidth="1"/>
    <col min="2" max="2" width="7.28515625" bestFit="1" customWidth="1"/>
    <col min="3" max="3" width="8.7109375" bestFit="1" customWidth="1"/>
    <col min="4" max="4" width="4.28515625" bestFit="1" customWidth="1"/>
    <col min="5" max="5" width="3.85546875" bestFit="1" customWidth="1"/>
    <col min="6" max="6" width="4.28515625" bestFit="1" customWidth="1"/>
    <col min="7" max="7" width="3.85546875" bestFit="1" customWidth="1"/>
    <col min="8" max="8" width="4.28515625" bestFit="1" customWidth="1"/>
    <col min="9" max="9" width="3.85546875" bestFit="1" customWidth="1"/>
    <col min="10" max="10" width="4.28515625" bestFit="1" customWidth="1"/>
    <col min="11" max="11" width="3.85546875" bestFit="1" customWidth="1"/>
    <col min="12" max="12" width="6" bestFit="1" customWidth="1"/>
    <col min="13" max="13" width="33" bestFit="1" customWidth="1"/>
    <col min="14" max="14" width="8" bestFit="1" customWidth="1"/>
    <col min="15" max="15" width="3.85546875" bestFit="1" customWidth="1"/>
    <col min="16" max="16" width="8" bestFit="1" customWidth="1"/>
    <col min="17" max="17" width="3.85546875" bestFit="1" customWidth="1"/>
    <col min="18" max="18" width="8" bestFit="1" customWidth="1"/>
    <col min="19" max="19" width="3.85546875" bestFit="1" customWidth="1"/>
    <col min="20" max="20" width="4.28515625" bestFit="1" customWidth="1"/>
    <col min="21" max="21" width="3.42578125" bestFit="1" customWidth="1"/>
    <col min="22" max="22" width="11.85546875" bestFit="1" customWidth="1"/>
    <col min="23" max="23" width="3.42578125" bestFit="1" customWidth="1"/>
    <col min="24" max="24" width="7.7109375" bestFit="1" customWidth="1"/>
    <col min="25" max="25" width="3.42578125" bestFit="1" customWidth="1"/>
    <col min="26" max="26" width="15.42578125" bestFit="1" customWidth="1"/>
    <col min="27" max="27" width="3.42578125" bestFit="1" customWidth="1"/>
  </cols>
  <sheetData>
    <row r="1" spans="1:27" ht="16.5" customHeight="1" x14ac:dyDescent="0.25">
      <c r="A1" s="42" t="s">
        <v>91</v>
      </c>
      <c r="B1" s="29" t="s">
        <v>49</v>
      </c>
      <c r="C1" s="31" t="s">
        <v>49</v>
      </c>
      <c r="D1" s="43" t="s">
        <v>48</v>
      </c>
      <c r="E1" s="43" t="s">
        <v>92</v>
      </c>
      <c r="F1" s="43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29" t="s">
        <v>92</v>
      </c>
      <c r="P1" s="29" t="s">
        <v>48</v>
      </c>
      <c r="Q1" s="29" t="s">
        <v>92</v>
      </c>
      <c r="R1" s="29" t="s">
        <v>48</v>
      </c>
      <c r="S1" s="29" t="s">
        <v>92</v>
      </c>
      <c r="T1" s="29" t="s">
        <v>48</v>
      </c>
      <c r="U1" s="43" t="s">
        <v>92</v>
      </c>
      <c r="V1" s="31" t="s">
        <v>48</v>
      </c>
      <c r="W1" s="43" t="s">
        <v>92</v>
      </c>
      <c r="X1" s="29" t="s">
        <v>48</v>
      </c>
      <c r="Y1" s="43" t="s">
        <v>92</v>
      </c>
      <c r="Z1" s="29" t="s">
        <v>48</v>
      </c>
      <c r="AA1" s="43" t="s">
        <v>92</v>
      </c>
    </row>
    <row r="2" spans="1:27" ht="9" customHeight="1" x14ac:dyDescent="0.25">
      <c r="A2" s="28">
        <v>2</v>
      </c>
      <c r="B2" s="30" t="s">
        <v>158</v>
      </c>
      <c r="C2" s="51" t="s">
        <v>118</v>
      </c>
      <c r="D2" s="44" t="s">
        <v>1</v>
      </c>
      <c r="E2" s="45" t="s">
        <v>1</v>
      </c>
      <c r="F2" s="44" t="s">
        <v>1</v>
      </c>
      <c r="G2" s="45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115</v>
      </c>
      <c r="N2" s="39" t="s">
        <v>133</v>
      </c>
      <c r="O2" s="52">
        <v>1.05</v>
      </c>
      <c r="P2" s="39" t="s">
        <v>134</v>
      </c>
      <c r="Q2" s="52">
        <v>1.05</v>
      </c>
      <c r="R2" s="39" t="s">
        <v>135</v>
      </c>
      <c r="S2" s="52">
        <v>1.05</v>
      </c>
      <c r="T2" s="39" t="s">
        <v>1</v>
      </c>
      <c r="U2" s="52" t="s">
        <v>1</v>
      </c>
      <c r="V2" s="39" t="s">
        <v>127</v>
      </c>
      <c r="W2" s="52" t="s">
        <v>128</v>
      </c>
      <c r="X2" s="53" t="s">
        <v>151</v>
      </c>
      <c r="Y2" s="55" t="s">
        <v>146</v>
      </c>
      <c r="Z2" s="54" t="s">
        <v>1</v>
      </c>
      <c r="AA2" s="60" t="s">
        <v>1</v>
      </c>
    </row>
    <row r="3" spans="1:27" ht="9" customHeight="1" x14ac:dyDescent="0.25">
      <c r="A3" s="28">
        <v>3</v>
      </c>
      <c r="B3" s="30" t="s">
        <v>159</v>
      </c>
      <c r="C3" s="51" t="s">
        <v>119</v>
      </c>
      <c r="D3" s="44" t="s">
        <v>1</v>
      </c>
      <c r="E3" s="45" t="s">
        <v>1</v>
      </c>
      <c r="F3" s="44" t="s">
        <v>1</v>
      </c>
      <c r="G3" s="45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116</v>
      </c>
      <c r="N3" s="39" t="s">
        <v>133</v>
      </c>
      <c r="O3" s="52">
        <v>2.0499999999999998</v>
      </c>
      <c r="P3" s="39" t="s">
        <v>134</v>
      </c>
      <c r="Q3" s="52">
        <v>2.0499999999999998</v>
      </c>
      <c r="R3" s="39" t="s">
        <v>135</v>
      </c>
      <c r="S3" s="52">
        <v>2.0499999999999998</v>
      </c>
      <c r="T3" s="39" t="s">
        <v>1</v>
      </c>
      <c r="U3" s="52" t="s">
        <v>1</v>
      </c>
      <c r="V3" s="39" t="s">
        <v>127</v>
      </c>
      <c r="W3" s="52" t="s">
        <v>129</v>
      </c>
      <c r="X3" s="53" t="s">
        <v>151</v>
      </c>
      <c r="Y3" s="55" t="s">
        <v>146</v>
      </c>
      <c r="Z3" s="54" t="s">
        <v>1</v>
      </c>
      <c r="AA3" s="60" t="s">
        <v>1</v>
      </c>
    </row>
    <row r="4" spans="1:27" ht="9" customHeight="1" x14ac:dyDescent="0.25">
      <c r="A4" s="28">
        <v>4</v>
      </c>
      <c r="B4" s="30" t="s">
        <v>160</v>
      </c>
      <c r="C4" s="51" t="s">
        <v>120</v>
      </c>
      <c r="D4" s="44" t="s">
        <v>1</v>
      </c>
      <c r="E4" s="45" t="s">
        <v>1</v>
      </c>
      <c r="F4" s="44" t="s">
        <v>1</v>
      </c>
      <c r="G4" s="45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125</v>
      </c>
      <c r="N4" s="39" t="s">
        <v>133</v>
      </c>
      <c r="O4" s="52">
        <v>3.05</v>
      </c>
      <c r="P4" s="39" t="s">
        <v>134</v>
      </c>
      <c r="Q4" s="52">
        <v>3.05</v>
      </c>
      <c r="R4" s="39" t="s">
        <v>135</v>
      </c>
      <c r="S4" s="52">
        <v>3.05</v>
      </c>
      <c r="T4" s="39" t="s">
        <v>1</v>
      </c>
      <c r="U4" s="52" t="s">
        <v>1</v>
      </c>
      <c r="V4" s="39" t="s">
        <v>127</v>
      </c>
      <c r="W4" s="52" t="s">
        <v>130</v>
      </c>
      <c r="X4" s="53" t="s">
        <v>151</v>
      </c>
      <c r="Y4" s="55" t="s">
        <v>146</v>
      </c>
      <c r="Z4" s="54" t="s">
        <v>1</v>
      </c>
      <c r="AA4" s="60" t="s">
        <v>1</v>
      </c>
    </row>
    <row r="5" spans="1:27" ht="9" customHeight="1" x14ac:dyDescent="0.25">
      <c r="A5" s="28">
        <v>5</v>
      </c>
      <c r="B5" s="30" t="s">
        <v>161</v>
      </c>
      <c r="C5" s="51" t="s">
        <v>121</v>
      </c>
      <c r="D5" s="44" t="s">
        <v>1</v>
      </c>
      <c r="E5" s="45" t="s">
        <v>1</v>
      </c>
      <c r="F5" s="44" t="s">
        <v>1</v>
      </c>
      <c r="G5" s="45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126</v>
      </c>
      <c r="N5" s="39" t="s">
        <v>1</v>
      </c>
      <c r="O5" s="41" t="s">
        <v>1</v>
      </c>
      <c r="P5" s="39" t="s">
        <v>1</v>
      </c>
      <c r="Q5" s="41" t="s">
        <v>1</v>
      </c>
      <c r="R5" s="39" t="s">
        <v>1</v>
      </c>
      <c r="S5" s="41" t="s">
        <v>1</v>
      </c>
      <c r="T5" s="39" t="s">
        <v>1</v>
      </c>
      <c r="U5" s="52" t="s">
        <v>1</v>
      </c>
      <c r="V5" s="39" t="s">
        <v>127</v>
      </c>
      <c r="W5" s="52" t="s">
        <v>131</v>
      </c>
      <c r="X5" s="54" t="s">
        <v>1</v>
      </c>
      <c r="Y5" s="60" t="s">
        <v>1</v>
      </c>
      <c r="Z5" s="54" t="s">
        <v>1</v>
      </c>
      <c r="AA5" s="60" t="s">
        <v>1</v>
      </c>
    </row>
    <row r="6" spans="1:27" ht="9" customHeight="1" x14ac:dyDescent="0.25">
      <c r="A6" s="28">
        <v>6</v>
      </c>
      <c r="B6" s="30" t="s">
        <v>146</v>
      </c>
      <c r="C6" s="51" t="s">
        <v>123</v>
      </c>
      <c r="D6" s="44" t="s">
        <v>1</v>
      </c>
      <c r="E6" s="45" t="s">
        <v>1</v>
      </c>
      <c r="F6" s="44" t="s">
        <v>1</v>
      </c>
      <c r="G6" s="45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132</v>
      </c>
      <c r="N6" s="39" t="s">
        <v>1</v>
      </c>
      <c r="O6" s="41" t="s">
        <v>1</v>
      </c>
      <c r="P6" s="39" t="s">
        <v>1</v>
      </c>
      <c r="Q6" s="41" t="s">
        <v>1</v>
      </c>
      <c r="R6" s="39" t="s">
        <v>1</v>
      </c>
      <c r="S6" s="41" t="s">
        <v>1</v>
      </c>
      <c r="T6" s="39" t="s">
        <v>1</v>
      </c>
      <c r="U6" s="52" t="s">
        <v>1</v>
      </c>
      <c r="V6" s="39" t="s">
        <v>1</v>
      </c>
      <c r="W6" s="52" t="s">
        <v>1</v>
      </c>
      <c r="X6" s="54" t="s">
        <v>1</v>
      </c>
      <c r="Y6" s="60" t="s">
        <v>1</v>
      </c>
      <c r="Z6" s="54" t="s">
        <v>1</v>
      </c>
      <c r="AA6" s="60" t="s">
        <v>1</v>
      </c>
    </row>
    <row r="7" spans="1:27" ht="9" customHeight="1" x14ac:dyDescent="0.25">
      <c r="A7" s="28">
        <v>7</v>
      </c>
      <c r="B7" s="30" t="s">
        <v>152</v>
      </c>
      <c r="C7" s="51" t="s">
        <v>123</v>
      </c>
      <c r="D7" s="44" t="s">
        <v>1</v>
      </c>
      <c r="E7" s="45" t="s">
        <v>1</v>
      </c>
      <c r="F7" s="44" t="s">
        <v>1</v>
      </c>
      <c r="G7" s="45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153</v>
      </c>
      <c r="N7" s="39" t="s">
        <v>1</v>
      </c>
      <c r="O7" s="41" t="s">
        <v>1</v>
      </c>
      <c r="P7" s="39" t="s">
        <v>1</v>
      </c>
      <c r="Q7" s="41" t="s">
        <v>1</v>
      </c>
      <c r="R7" s="39" t="s">
        <v>1</v>
      </c>
      <c r="S7" s="41" t="s">
        <v>1</v>
      </c>
      <c r="T7" s="39" t="s">
        <v>1</v>
      </c>
      <c r="U7" s="52" t="s">
        <v>1</v>
      </c>
      <c r="V7" s="39" t="s">
        <v>1</v>
      </c>
      <c r="W7" s="52" t="s">
        <v>1</v>
      </c>
      <c r="X7" s="54" t="s">
        <v>1</v>
      </c>
      <c r="Y7" s="60" t="s">
        <v>1</v>
      </c>
      <c r="Z7" s="54" t="s">
        <v>1</v>
      </c>
      <c r="AA7" s="60" t="s">
        <v>1</v>
      </c>
    </row>
    <row r="8" spans="1:27" ht="9" customHeight="1" x14ac:dyDescent="0.25">
      <c r="A8" s="28">
        <v>8</v>
      </c>
      <c r="B8" s="30" t="s">
        <v>155</v>
      </c>
      <c r="C8" s="51" t="s">
        <v>118</v>
      </c>
      <c r="D8" s="44" t="s">
        <v>1</v>
      </c>
      <c r="E8" s="45" t="s">
        <v>1</v>
      </c>
      <c r="F8" s="44" t="s">
        <v>1</v>
      </c>
      <c r="G8" s="45" t="s">
        <v>1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154</v>
      </c>
      <c r="N8" s="39" t="s">
        <v>1</v>
      </c>
      <c r="O8" s="41" t="s">
        <v>1</v>
      </c>
      <c r="P8" s="39" t="s">
        <v>1</v>
      </c>
      <c r="Q8" s="41" t="s">
        <v>1</v>
      </c>
      <c r="R8" s="39" t="s">
        <v>1</v>
      </c>
      <c r="S8" s="41" t="s">
        <v>1</v>
      </c>
      <c r="T8" s="39" t="s">
        <v>1</v>
      </c>
      <c r="U8" s="52" t="s">
        <v>1</v>
      </c>
      <c r="V8" s="39" t="s">
        <v>1</v>
      </c>
      <c r="W8" s="52" t="s">
        <v>1</v>
      </c>
      <c r="X8" s="53" t="s">
        <v>151</v>
      </c>
      <c r="Y8" s="55" t="s">
        <v>152</v>
      </c>
      <c r="Z8" s="53" t="s">
        <v>162</v>
      </c>
      <c r="AA8" s="55" t="s">
        <v>158</v>
      </c>
    </row>
    <row r="9" spans="1:27" ht="9" customHeight="1" x14ac:dyDescent="0.25">
      <c r="A9" s="28">
        <v>9</v>
      </c>
      <c r="B9" s="30" t="s">
        <v>156</v>
      </c>
      <c r="C9" s="51" t="s">
        <v>118</v>
      </c>
      <c r="D9" s="44" t="s">
        <v>1</v>
      </c>
      <c r="E9" s="45" t="s">
        <v>1</v>
      </c>
      <c r="F9" s="44" t="s">
        <v>1</v>
      </c>
      <c r="G9" s="45" t="s">
        <v>1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157</v>
      </c>
      <c r="N9" s="39" t="s">
        <v>1</v>
      </c>
      <c r="O9" s="41" t="s">
        <v>1</v>
      </c>
      <c r="P9" s="39" t="s">
        <v>1</v>
      </c>
      <c r="Q9" s="41" t="s">
        <v>1</v>
      </c>
      <c r="R9" s="39" t="s">
        <v>1</v>
      </c>
      <c r="S9" s="41" t="s">
        <v>1</v>
      </c>
      <c r="T9" s="39" t="s">
        <v>1</v>
      </c>
      <c r="U9" s="52" t="s">
        <v>1</v>
      </c>
      <c r="V9" s="39" t="s">
        <v>1</v>
      </c>
      <c r="W9" s="52" t="s">
        <v>1</v>
      </c>
      <c r="X9" s="53" t="s">
        <v>151</v>
      </c>
      <c r="Y9" s="55" t="s">
        <v>152</v>
      </c>
      <c r="Z9" s="53" t="s">
        <v>162</v>
      </c>
      <c r="AA9" s="55" t="s">
        <v>158</v>
      </c>
    </row>
    <row r="10" spans="1:27" ht="9" customHeight="1" x14ac:dyDescent="0.25">
      <c r="A10" s="28">
        <v>10</v>
      </c>
      <c r="B10" s="30" t="s">
        <v>147</v>
      </c>
      <c r="C10" s="51" t="s">
        <v>144</v>
      </c>
      <c r="D10" s="44" t="s">
        <v>1</v>
      </c>
      <c r="E10" s="45" t="s">
        <v>1</v>
      </c>
      <c r="F10" s="44" t="s">
        <v>1</v>
      </c>
      <c r="G10" s="45" t="s">
        <v>1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150</v>
      </c>
      <c r="N10" s="39" t="s">
        <v>1</v>
      </c>
      <c r="O10" s="41" t="s">
        <v>1</v>
      </c>
      <c r="P10" s="39" t="s">
        <v>1</v>
      </c>
      <c r="Q10" s="41" t="s">
        <v>1</v>
      </c>
      <c r="R10" s="39" t="s">
        <v>1</v>
      </c>
      <c r="S10" s="41" t="s">
        <v>1</v>
      </c>
      <c r="T10" s="39" t="s">
        <v>1</v>
      </c>
      <c r="U10" s="52" t="s">
        <v>1</v>
      </c>
      <c r="V10" s="39" t="s">
        <v>1</v>
      </c>
      <c r="W10" s="52" t="s">
        <v>1</v>
      </c>
      <c r="X10" s="54" t="s">
        <v>1</v>
      </c>
      <c r="Y10" s="60" t="s">
        <v>1</v>
      </c>
      <c r="Z10" s="54" t="s">
        <v>1</v>
      </c>
      <c r="AA10" s="60" t="s">
        <v>1</v>
      </c>
    </row>
    <row r="11" spans="1:27" ht="9" customHeight="1" x14ac:dyDescent="0.25">
      <c r="A11" s="28">
        <v>11</v>
      </c>
      <c r="B11" s="30" t="s">
        <v>148</v>
      </c>
      <c r="C11" s="51" t="s">
        <v>139</v>
      </c>
      <c r="D11" s="44" t="s">
        <v>1</v>
      </c>
      <c r="E11" s="45" t="s">
        <v>1</v>
      </c>
      <c r="F11" s="44" t="s">
        <v>1</v>
      </c>
      <c r="G11" s="45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136</v>
      </c>
      <c r="N11" s="39" t="s">
        <v>1</v>
      </c>
      <c r="O11" s="41" t="s">
        <v>1</v>
      </c>
      <c r="P11" s="39" t="s">
        <v>1</v>
      </c>
      <c r="Q11" s="41" t="s">
        <v>1</v>
      </c>
      <c r="R11" s="39" t="s">
        <v>1</v>
      </c>
      <c r="S11" s="41" t="s">
        <v>1</v>
      </c>
      <c r="T11" s="39" t="s">
        <v>1</v>
      </c>
      <c r="U11" s="52" t="s">
        <v>1</v>
      </c>
      <c r="V11" s="39" t="s">
        <v>1</v>
      </c>
      <c r="W11" s="52" t="s">
        <v>1</v>
      </c>
      <c r="X11" s="54" t="s">
        <v>1</v>
      </c>
      <c r="Y11" s="60" t="s">
        <v>1</v>
      </c>
      <c r="Z11" s="54" t="s">
        <v>1</v>
      </c>
      <c r="AA11" s="60" t="s">
        <v>1</v>
      </c>
    </row>
    <row r="12" spans="1:27" ht="9" customHeight="1" x14ac:dyDescent="0.25">
      <c r="A12" s="28">
        <v>12</v>
      </c>
      <c r="B12" s="30" t="s">
        <v>149</v>
      </c>
      <c r="C12" s="51" t="s">
        <v>139</v>
      </c>
      <c r="D12" s="44" t="s">
        <v>1</v>
      </c>
      <c r="E12" s="45" t="s">
        <v>1</v>
      </c>
      <c r="F12" s="44" t="s">
        <v>1</v>
      </c>
      <c r="G12" s="45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136</v>
      </c>
      <c r="N12" s="39" t="s">
        <v>1</v>
      </c>
      <c r="O12" s="41" t="s">
        <v>1</v>
      </c>
      <c r="P12" s="39" t="s">
        <v>1</v>
      </c>
      <c r="Q12" s="41" t="s">
        <v>1</v>
      </c>
      <c r="R12" s="39" t="s">
        <v>1</v>
      </c>
      <c r="S12" s="41" t="s">
        <v>1</v>
      </c>
      <c r="T12" s="39" t="s">
        <v>1</v>
      </c>
      <c r="U12" s="52" t="s">
        <v>1</v>
      </c>
      <c r="V12" s="39" t="s">
        <v>1</v>
      </c>
      <c r="W12" s="52" t="s">
        <v>1</v>
      </c>
      <c r="X12" s="54" t="s">
        <v>1</v>
      </c>
      <c r="Y12" s="60" t="s">
        <v>1</v>
      </c>
      <c r="Z12" s="54" t="s">
        <v>1</v>
      </c>
      <c r="AA12" s="60" t="s">
        <v>1</v>
      </c>
    </row>
  </sheetData>
  <conditionalFormatting sqref="D1:M12 A1:B12">
    <cfRule type="cellIs" dxfId="8" priority="2" operator="equal">
      <formula>"null"</formula>
    </cfRule>
  </conditionalFormatting>
  <conditionalFormatting sqref="B1:B12">
    <cfRule type="duplicateValues" dxfId="7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2026-04-30T19:26:26Z</dcterms:modified>
</cp:coreProperties>
</file>