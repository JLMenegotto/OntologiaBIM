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3BBB5D20-9872-4527-9FD2-131DB9D6C49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V18" i="17"/>
  <c r="U18" i="17"/>
  <c r="T18" i="17"/>
  <c r="S18" i="17"/>
  <c r="O18" i="17"/>
  <c r="N18" i="17"/>
  <c r="M18" i="17"/>
  <c r="L18" i="17"/>
  <c r="V17" i="17"/>
  <c r="U17" i="17"/>
  <c r="T17" i="17"/>
  <c r="S17" i="17"/>
  <c r="O17" i="17"/>
  <c r="N17" i="17"/>
  <c r="M17" i="17"/>
  <c r="L17" i="17"/>
  <c r="V19" i="17"/>
  <c r="U19" i="17"/>
  <c r="T19" i="17"/>
  <c r="S19" i="17"/>
  <c r="O19" i="17"/>
  <c r="N19" i="17"/>
  <c r="M19" i="17"/>
  <c r="L19" i="17"/>
  <c r="V16" i="17"/>
  <c r="U16" i="17"/>
  <c r="T16" i="17"/>
  <c r="S16" i="17"/>
  <c r="O16" i="17"/>
  <c r="N16" i="17"/>
  <c r="M16" i="17"/>
  <c r="L16" i="17"/>
  <c r="V15" i="17"/>
  <c r="U15" i="17"/>
  <c r="T15" i="17"/>
  <c r="S15" i="17"/>
  <c r="O15" i="17"/>
  <c r="N15" i="17"/>
  <c r="M15" i="17"/>
  <c r="L15" i="17"/>
  <c r="V14" i="17"/>
  <c r="U14" i="17"/>
  <c r="T14" i="17"/>
  <c r="S14" i="17"/>
  <c r="O14" i="17"/>
  <c r="N14" i="17"/>
  <c r="M14" i="17"/>
  <c r="L14" i="17"/>
  <c r="V8" i="17"/>
  <c r="V9" i="17"/>
  <c r="V10" i="17"/>
  <c r="V11" i="17"/>
  <c r="V12" i="17"/>
  <c r="V13" i="17"/>
  <c r="V20" i="17"/>
  <c r="U8" i="17"/>
  <c r="U9" i="17"/>
  <c r="U10" i="17"/>
  <c r="U11" i="17"/>
  <c r="U12" i="17"/>
  <c r="U13" i="17"/>
  <c r="U20" i="17"/>
  <c r="T8" i="17"/>
  <c r="T9" i="17"/>
  <c r="T10" i="17"/>
  <c r="T11" i="17"/>
  <c r="T12" i="17"/>
  <c r="T13" i="17"/>
  <c r="T20" i="17"/>
  <c r="S8" i="17"/>
  <c r="S9" i="17"/>
  <c r="S10" i="17"/>
  <c r="S11" i="17"/>
  <c r="S12" i="17"/>
  <c r="S13" i="17"/>
  <c r="S20" i="17"/>
  <c r="O8" i="17"/>
  <c r="O9" i="17"/>
  <c r="O10" i="17"/>
  <c r="O11" i="17"/>
  <c r="O12" i="17"/>
  <c r="O13" i="17"/>
  <c r="O20" i="17"/>
  <c r="O7" i="17"/>
  <c r="N13" i="17"/>
  <c r="M13" i="17"/>
  <c r="L13" i="17"/>
  <c r="N12" i="17"/>
  <c r="M12" i="17"/>
  <c r="L12" i="17"/>
  <c r="N11" i="17"/>
  <c r="M11" i="17"/>
  <c r="L11" i="17"/>
  <c r="N8" i="17"/>
  <c r="M8" i="17"/>
  <c r="L8" i="17"/>
  <c r="N10" i="17"/>
  <c r="M10" i="17"/>
  <c r="L10" i="17"/>
  <c r="N9" i="17"/>
  <c r="M9" i="17"/>
  <c r="L9" i="17"/>
  <c r="U7" i="17"/>
  <c r="T7" i="17"/>
  <c r="S7" i="17"/>
  <c r="N7" i="17"/>
  <c r="M7" i="17"/>
  <c r="L7" i="17"/>
  <c r="AA6" i="17"/>
  <c r="AA17" i="17"/>
  <c r="AA14" i="17"/>
  <c r="AA13" i="17"/>
  <c r="AA7" i="17"/>
  <c r="AA15" i="17"/>
  <c r="AA12" i="17"/>
  <c r="AA9" i="17"/>
  <c r="AA3" i="17"/>
  <c r="AA19" i="17"/>
  <c r="AA18" i="17"/>
  <c r="AA16" i="17"/>
  <c r="AA11" i="17"/>
  <c r="AA2" i="17"/>
  <c r="AA8" i="17"/>
  <c r="AA10" i="17"/>
  <c r="AA5" i="17"/>
  <c r="AA4" i="17"/>
  <c r="N20" i="17" l="1"/>
  <c r="M20" i="17"/>
  <c r="L20" i="17"/>
  <c r="AA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<sst xmlns="http://schemas.openxmlformats.org/spreadsheetml/2006/main" count="659" uniqueCount="198">
  <si>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</si>
  <si>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</si>
  <si>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</si>
  <si>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</si>
  <si>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</si>
  <si>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</si>
  <si>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</si>
  <si>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</si>
  <si>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</si>
  <si>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</si>
  <si>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</si>
  <si>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</si>
  <si>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</si>
  <si>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</si>
  <si>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</si>
  <si>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</si>
  <si>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</si>
  <si>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</si>
  <si>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</si>
  <si>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</si>
  <si>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</si>
  <si>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</si>
  <si>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</si>
  <si>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</si>
  <si>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</si>
  <si>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</si>
  <si>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</si>
  <si>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</si>
  <si>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</si>
  <si>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</si>
  <si>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</si>
  <si>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</si>
  <si>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</si>
  <si>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</si>
  <si>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</si>
  <si>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</si>
  <si>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</si>
  <si>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</si>
  <si>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</si>
  <si>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</si>
  <si>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</si>
  <si>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</si>
  <si>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</si>
  <si>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</si>
  <si>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</si>
  <si>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</si>
  <si>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</si>
  <si>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</si>
  <si>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</si>
  <si>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</si>
  <si>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</si>
  <si>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</si>
  <si>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</si>
  <si>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</si>
  <si>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</si>
  <si>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</si>
  <si>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</si>
  <si>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</si>
  <si>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</si>
  <si>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</si>
  <si>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</si>
  <si>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</si>
  <si>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</si>
  <si>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</si>
  <si>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</si>
  <si>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</si>
  <si>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</si>
  <si>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</si>
  <si>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</si>
  <si>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</si>
  <si>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</si>
  <si>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</si>
  <si>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</si>
  <si>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</si>
  <si>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</si>
  <si>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</si>
  <si>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</si>
  <si>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</si>
  <si>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</si>
  <si>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</si>
  <si>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</si>
  <si>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</si>
  <si>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</si>
  <si>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</si>
  <si>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</si>
  <si>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</si>
  <si>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</si>
  <si>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</si>
  <si>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</si>
  <si>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</si>
  <si>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</si>
  <si>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</si>
  <si>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</si>
  <si>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</si>
  <si>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</si>
  <si>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</si>
  <si>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</si>
  <si>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</si>
  <si>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</si>
  <si>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</si>
  <si>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fabricante</t>
  </si>
  <si>
    <t>"Conteiner Superior que representa Informações contidas no Projeto Específico 01"</t>
  </si>
  <si>
    <t>código.abnt</t>
  </si>
  <si>
    <t>classe.ifc</t>
  </si>
  <si>
    <t>categoria.revit</t>
  </si>
  <si>
    <t>é.pertencente.a</t>
  </si>
  <si>
    <t>modelo</t>
  </si>
  <si>
    <t>[ IfcDiscreteAccessory ]</t>
  </si>
  <si>
    <t>"Nome do fabricante"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</si>
  <si>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</si>
  <si>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</si>
  <si>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</si>
  <si>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</si>
  <si>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</si>
  <si>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</si>
  <si>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</si>
  <si>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</si>
  <si>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</si>
  <si>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</si>
  <si>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</si>
  <si>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</si>
  <si>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</si>
  <si>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</si>
  <si>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</si>
  <si>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</si>
  <si>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</si>
  <si>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</si>
  <si>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</si>
  <si>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</si>
  <si>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</si>
  <si>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</si>
  <si>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</si>
  <si>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</si>
  <si>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</si>
  <si>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</si>
  <si>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</si>
  <si>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</si>
  <si>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</si>
  <si>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</si>
  <si>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</si>
  <si>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</si>
  <si>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</si>
  <si>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</si>
  <si>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</si>
  <si>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</si>
  <si>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</si>
  <si>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</si>
  <si>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</si>
  <si>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</si>
  <si>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"Instância de Equipamento Mecânico Motriz Identificado"</t>
  </si>
  <si>
    <t>"Modelo"</t>
  </si>
  <si>
    <t>"OST_MechanicalEquipment"</t>
  </si>
  <si>
    <t>"IfcEngine"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</si>
  <si>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</si>
  <si>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</si>
  <si>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</si>
  <si>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</si>
  <si>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Elementos.de.Força.Motriz</t>
  </si>
  <si>
    <t>Acessório.Maquinária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</si>
  <si>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</si>
  <si>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</si>
  <si>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</si>
  <si>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</si>
  <si>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</si>
  <si>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</si>
  <si>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</si>
  <si>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Maquinária</t>
  </si>
  <si>
    <t>Acessórios.Maquinária</t>
  </si>
  <si>
    <t>Maquinária.de.Elevação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</si>
  <si>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</si>
  <si>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</si>
  <si>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</si>
  <si>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</si>
  <si>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</si>
  <si>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</si>
  <si>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</si>
  <si>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</si>
  <si>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</si>
  <si>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</si>
  <si>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</si>
  <si>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</si>
  <si>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</si>
  <si>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MechanicalEquipment , OST_VerticalCirculation ]</t>
  </si>
  <si>
    <t>[ 3E.08.06.06 ]</t>
  </si>
  <si>
    <t>[ 3E.08.06.10.02 ]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</si>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</sst>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4609375" style="47" bestFit="1" customWidth="1"/>
  </cols>
  <sheetData>
    <row r="1" spans="1:3" ht="20.25" customHeight="1" x14ac:dyDescent="0.4">
      <c r="A1" s="12" t="s">
        <v>45</v>
      </c>
      <c r="B1" s="12" t="s">
        <v>46</v>
      </c>
      <c r="C1" s="45" t="s">
        <v>92</v>
      </c>
    </row>
    <row r="2" spans="1:3" ht="9" customHeight="1" x14ac:dyDescent="0.4">
      <c r="A2" s="13" t="s">
        <v>47</v>
      </c>
      <c r="B2" s="13" t="s">
        <v>48</v>
      </c>
      <c r="C2" s="46" t="s">
        <v>93</v>
      </c>
    </row>
    <row r="3" spans="1:3" ht="9" customHeight="1" x14ac:dyDescent="0.4">
      <c r="A3" s="13" t="s">
        <v>49</v>
      </c>
      <c r="B3" s="13" t="s">
        <v>156</v>
      </c>
      <c r="C3" s="46" t="s">
        <v>93</v>
      </c>
    </row>
    <row r="4" spans="1:3" ht="9" customHeight="1" x14ac:dyDescent="0.4">
      <c r="A4" s="14" t="s">
        <v>50</v>
      </c>
      <c r="B4" s="14" t="s">
        <v>32</v>
      </c>
      <c r="C4" s="46" t="s">
        <v>93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53</v>
      </c>
      <c r="B7" s="15" t="s">
        <v>54</v>
      </c>
      <c r="C7" s="46" t="s">
        <v>93</v>
      </c>
    </row>
    <row r="8" spans="1:3" s="44" customFormat="1" ht="9" customHeight="1" x14ac:dyDescent="0.4">
      <c r="A8" s="43" t="s">
        <v>55</v>
      </c>
      <c r="B8" s="43" t="s">
        <v>90</v>
      </c>
      <c r="C8" s="46" t="s">
        <v>93</v>
      </c>
    </row>
    <row r="9" spans="1:3" ht="9" customHeight="1" x14ac:dyDescent="0.4">
      <c r="A9" s="14" t="s">
        <v>56</v>
      </c>
      <c r="B9" s="14" t="s">
        <v>57</v>
      </c>
      <c r="C9" s="46" t="s">
        <v>93</v>
      </c>
    </row>
    <row r="10" spans="1:3" ht="9" customHeight="1" x14ac:dyDescent="0.4">
      <c r="A10" s="14" t="s">
        <v>58</v>
      </c>
      <c r="B10" s="14" t="s">
        <v>59</v>
      </c>
      <c r="C10" s="46" t="s">
        <v>93</v>
      </c>
    </row>
    <row r="11" spans="1:3" ht="9" customHeight="1" x14ac:dyDescent="0.4">
      <c r="A11" s="14" t="s">
        <v>60</v>
      </c>
      <c r="B11" s="14" t="s">
        <v>59</v>
      </c>
      <c r="C11" s="46" t="s">
        <v>93</v>
      </c>
    </row>
    <row r="12" spans="1:3" ht="9" customHeight="1" x14ac:dyDescent="0.4">
      <c r="A12" s="14" t="s">
        <v>61</v>
      </c>
      <c r="B12" s="14" t="s">
        <v>59</v>
      </c>
      <c r="C12" s="46" t="s">
        <v>93</v>
      </c>
    </row>
    <row r="13" spans="1:3" ht="9" customHeight="1" x14ac:dyDescent="0.4">
      <c r="A13" s="14" t="s">
        <v>62</v>
      </c>
      <c r="B13" s="14" t="s">
        <v>59</v>
      </c>
      <c r="C13" s="46" t="s">
        <v>93</v>
      </c>
    </row>
    <row r="14" spans="1:3" ht="9" customHeight="1" x14ac:dyDescent="0.4">
      <c r="A14" s="14" t="s">
        <v>63</v>
      </c>
      <c r="B14" s="14" t="s">
        <v>59</v>
      </c>
      <c r="C14" s="46" t="s">
        <v>93</v>
      </c>
    </row>
    <row r="15" spans="1:3" ht="9" customHeight="1" x14ac:dyDescent="0.4">
      <c r="A15" s="14" t="s">
        <v>64</v>
      </c>
      <c r="B15" s="14" t="s">
        <v>59</v>
      </c>
      <c r="C15" s="46" t="s">
        <v>93</v>
      </c>
    </row>
    <row r="16" spans="1:3" ht="9" customHeight="1" x14ac:dyDescent="0.4">
      <c r="A16" s="14" t="s">
        <v>65</v>
      </c>
      <c r="B16" s="14" t="s">
        <v>59</v>
      </c>
      <c r="C16" s="46" t="s">
        <v>93</v>
      </c>
    </row>
    <row r="17" spans="1:3" ht="9" customHeight="1" x14ac:dyDescent="0.4">
      <c r="A17" s="14" t="s">
        <v>66</v>
      </c>
      <c r="B17" s="14" t="s">
        <v>153</v>
      </c>
      <c r="C17" s="46" t="s">
        <v>93</v>
      </c>
    </row>
    <row r="18" spans="1:3" ht="9" customHeight="1" x14ac:dyDescent="0.4">
      <c r="A18" s="14" t="s">
        <v>67</v>
      </c>
      <c r="B18" s="16">
        <f ca="1">NOW()</f>
        <v>46139.506402662038</v>
      </c>
      <c r="C18" s="46" t="s">
        <v>93</v>
      </c>
    </row>
    <row r="19" spans="1:3" ht="9" customHeight="1" x14ac:dyDescent="0.4">
      <c r="A19" s="14" t="s">
        <v>68</v>
      </c>
      <c r="B19" s="16" t="s">
        <v>69</v>
      </c>
      <c r="C19" s="46" t="s">
        <v>93</v>
      </c>
    </row>
    <row r="20" spans="1:3" ht="9" customHeight="1" x14ac:dyDescent="0.4">
      <c r="A20" s="14" t="s">
        <v>70</v>
      </c>
      <c r="B20" s="14" t="s">
        <v>59</v>
      </c>
      <c r="C20" s="46" t="s">
        <v>93</v>
      </c>
    </row>
    <row r="21" spans="1:3" ht="9" customHeight="1" x14ac:dyDescent="0.4">
      <c r="A21" s="14" t="s">
        <v>71</v>
      </c>
      <c r="B21" s="14" t="s">
        <v>59</v>
      </c>
      <c r="C21" s="46" t="s">
        <v>93</v>
      </c>
    </row>
    <row r="22" spans="1:3" ht="9" customHeight="1" x14ac:dyDescent="0.4">
      <c r="A22" s="14" t="s">
        <v>72</v>
      </c>
      <c r="B22" s="17" t="s">
        <v>154</v>
      </c>
      <c r="C22" s="46" t="s">
        <v>93</v>
      </c>
    </row>
    <row r="23" spans="1:3" ht="9" customHeight="1" x14ac:dyDescent="0.4">
      <c r="A23" s="14" t="s">
        <v>73</v>
      </c>
      <c r="B23" s="17" t="s">
        <v>155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objects of Mechanical Driving Systems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A2" sqref="A2:A20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6.3828125" customWidth="1"/>
    <col min="4" max="4" width="11.3828125" customWidth="1"/>
    <col min="5" max="5" width="9.921875" customWidth="1"/>
    <col min="6" max="6" width="14" style="48" customWidth="1"/>
    <col min="7" max="7" width="6.4609375" style="38" bestFit="1" customWidth="1"/>
    <col min="8" max="11" width="6.3046875" style="38" customWidth="1"/>
    <col min="12" max="12" width="6.15234375" customWidth="1"/>
    <col min="13" max="13" width="11.4609375" customWidth="1"/>
    <col min="14" max="14" width="10.61328125" customWidth="1"/>
    <col min="15" max="15" width="13.765625" customWidth="1"/>
    <col min="16" max="17" width="34.765625" customWidth="1"/>
    <col min="18" max="18" width="3.84375" bestFit="1" customWidth="1"/>
    <col min="19" max="19" width="6.921875" customWidth="1"/>
    <col min="20" max="20" width="11.921875" customWidth="1"/>
    <col min="21" max="21" width="10.23046875" customWidth="1"/>
    <col min="22" max="22" width="5.69140625" customWidth="1"/>
    <col min="23" max="23" width="7.3828125" customWidth="1"/>
    <col min="24" max="24" width="20" bestFit="1" customWidth="1"/>
    <col min="25" max="25" width="15.53515625" style="57" customWidth="1"/>
    <col min="26" max="26" width="7.921875" style="38" customWidth="1"/>
    <col min="27" max="27" width="40.15234375" bestFit="1" customWidth="1"/>
  </cols>
  <sheetData>
    <row r="1" spans="1:27" ht="55.5" customHeight="1" x14ac:dyDescent="0.4">
      <c r="A1" s="52" t="s">
        <v>96</v>
      </c>
      <c r="B1" s="53" t="s">
        <v>42</v>
      </c>
      <c r="C1" s="53" t="s">
        <v>40</v>
      </c>
      <c r="D1" s="53" t="s">
        <v>41</v>
      </c>
      <c r="E1" s="53" t="s">
        <v>39</v>
      </c>
      <c r="F1" s="65" t="s">
        <v>36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37</v>
      </c>
      <c r="Q1" s="41" t="s">
        <v>43</v>
      </c>
      <c r="R1" s="55" t="s">
        <v>98</v>
      </c>
      <c r="S1" s="41" t="s">
        <v>33</v>
      </c>
      <c r="T1" s="41" t="s">
        <v>38</v>
      </c>
      <c r="U1" s="56" t="s">
        <v>35</v>
      </c>
      <c r="V1" s="41" t="s">
        <v>34</v>
      </c>
      <c r="W1" s="66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189</v>
      </c>
      <c r="C2" s="64" t="s">
        <v>83</v>
      </c>
      <c r="D2" s="1" t="s">
        <v>84</v>
      </c>
      <c r="E2" s="1" t="s">
        <v>185</v>
      </c>
      <c r="F2" s="64" t="s">
        <v>188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186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116</v>
      </c>
      <c r="W2" s="68" t="str">
        <f t="shared" ref="W2:W6" si="3">CONCATENATE("Key-MOT-",A2)</f>
        <v>Key-MOT-2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189</v>
      </c>
      <c r="C3" s="64" t="s">
        <v>83</v>
      </c>
      <c r="D3" s="1" t="s">
        <v>84</v>
      </c>
      <c r="E3" s="1" t="s">
        <v>187</v>
      </c>
      <c r="F3" s="64" t="s">
        <v>190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191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116</v>
      </c>
      <c r="W3" s="68" t="str">
        <f t="shared" si="3"/>
        <v>Key-MOT-3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189</v>
      </c>
      <c r="C4" s="64" t="s">
        <v>83</v>
      </c>
      <c r="D4" s="1" t="s">
        <v>84</v>
      </c>
      <c r="E4" s="1" t="s">
        <v>187</v>
      </c>
      <c r="F4" s="64" t="s">
        <v>192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193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116</v>
      </c>
      <c r="W4" s="68" t="str">
        <f t="shared" si="3"/>
        <v>Key-MOT-4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189</v>
      </c>
      <c r="C5" s="64" t="s">
        <v>83</v>
      </c>
      <c r="D5" s="1" t="s">
        <v>84</v>
      </c>
      <c r="E5" s="1" t="s">
        <v>187</v>
      </c>
      <c r="F5" s="64" t="s">
        <v>194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195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116</v>
      </c>
      <c r="W5" s="68" t="str">
        <f t="shared" si="3"/>
        <v>Key-MOT-5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189</v>
      </c>
      <c r="C6" s="64" t="s">
        <v>83</v>
      </c>
      <c r="D6" s="1" t="s">
        <v>84</v>
      </c>
      <c r="E6" s="1" t="s">
        <v>187</v>
      </c>
      <c r="F6" s="64" t="s">
        <v>196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197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116</v>
      </c>
      <c r="W6" s="68" t="str">
        <f t="shared" si="3"/>
        <v>Key-MOT-6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44</v>
      </c>
      <c r="C7" s="34" t="s">
        <v>116</v>
      </c>
      <c r="D7" s="1" t="s">
        <v>157</v>
      </c>
      <c r="E7" s="1" t="s">
        <v>166</v>
      </c>
      <c r="F7" s="64" t="s">
        <v>117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9" si="5">CONCATENATE("", C7)</f>
        <v>Motricidade</v>
      </c>
      <c r="M7" s="35" t="str">
        <f t="shared" ref="M7:M9" si="6">CONCATENATE("", D7)</f>
        <v>Elementos.de.Força.Motriz</v>
      </c>
      <c r="N7" s="35" t="str">
        <f t="shared" ref="N7:N9" si="7">(SUBSTITUTE(SUBSTITUTE(CONCATENATE("",E7),"."," ")," De "," de "))</f>
        <v>Maquinária</v>
      </c>
      <c r="O7" s="31" t="str">
        <f>IF(ISNUMBER(FIND("Ifc",F7)),CONCATENATE("Classe IFC:   ",F7),F7)</f>
        <v>Motor.de.Combustão</v>
      </c>
      <c r="P7" s="31" t="s">
        <v>130</v>
      </c>
      <c r="Q7" s="31" t="s">
        <v>132</v>
      </c>
      <c r="R7" s="36" t="s">
        <v>9</v>
      </c>
      <c r="S7" s="37" t="str">
        <f t="shared" ref="S7:S20" si="8">SUBSTITUTE(C7, "_", " ")</f>
        <v>Motricidade</v>
      </c>
      <c r="T7" s="37" t="str">
        <f t="shared" ref="T7:T20" si="9">SUBSTITUTE(D7, "_", " ")</f>
        <v>Elementos.de.Força.Motriz</v>
      </c>
      <c r="U7" s="37" t="str">
        <f t="shared" ref="U7:U20" si="10">SUBSTITUTE(E7, "_", " ")</f>
        <v>Maquinária</v>
      </c>
      <c r="V7" s="37" t="s">
        <v>116</v>
      </c>
      <c r="W7" s="68" t="str">
        <f t="shared" ref="W7:W20" si="11">CONCATENATE("Key-MOT-",A7)</f>
        <v>Key-MOT-7</v>
      </c>
      <c r="X7" s="31" t="s">
        <v>140</v>
      </c>
      <c r="Y7" s="30" t="s">
        <v>109</v>
      </c>
      <c r="Z7" s="36" t="s">
        <v>159</v>
      </c>
      <c r="AA7" s="31" t="str">
        <f t="shared" ref="AA7:AA9" si="12">_xlfn.TRANSLATE(P7,"pt","en")</f>
        <v>Combustion engine</v>
      </c>
    </row>
    <row r="8" spans="1:27" ht="6.65" customHeight="1" x14ac:dyDescent="0.4">
      <c r="A8" s="33">
        <v>8</v>
      </c>
      <c r="B8" s="1" t="s">
        <v>44</v>
      </c>
      <c r="C8" s="34" t="s">
        <v>116</v>
      </c>
      <c r="D8" s="1" t="s">
        <v>157</v>
      </c>
      <c r="E8" s="1" t="s">
        <v>166</v>
      </c>
      <c r="F8" s="64" t="s">
        <v>113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ref="L8" si="13">CONCATENATE("", C8)</f>
        <v>Motricidade</v>
      </c>
      <c r="M8" s="35" t="str">
        <f t="shared" ref="M8" si="14">CONCATENATE("", D8)</f>
        <v>Elementos.de.Força.Motriz</v>
      </c>
      <c r="N8" s="35" t="str">
        <f t="shared" ref="N8" si="15">(SUBSTITUTE(SUBSTITUTE(CONCATENATE("",E8),"."," ")," De "," de "))</f>
        <v>Maquinária</v>
      </c>
      <c r="O8" s="31" t="str">
        <f t="shared" ref="O8:O20" si="16">IF(ISNUMBER(FIND("Ifc",F8)),CONCATENATE("Classe IFC:   ",F8),F8)</f>
        <v>Motor.de.Acoplamento</v>
      </c>
      <c r="P8" s="31" t="s">
        <v>129</v>
      </c>
      <c r="Q8" s="31" t="s">
        <v>133</v>
      </c>
      <c r="R8" s="36" t="s">
        <v>9</v>
      </c>
      <c r="S8" s="37" t="str">
        <f t="shared" si="8"/>
        <v>Motricidade</v>
      </c>
      <c r="T8" s="37" t="str">
        <f t="shared" si="9"/>
        <v>Elementos.de.Força.Motriz</v>
      </c>
      <c r="U8" s="37" t="str">
        <f t="shared" si="10"/>
        <v>Maquinária</v>
      </c>
      <c r="V8" s="37" t="str">
        <f t="shared" ref="V8:V20" si="17">SUBSTITUTE(C8, "_", " ")</f>
        <v>Motricidade</v>
      </c>
      <c r="W8" s="68" t="str">
        <f t="shared" si="11"/>
        <v>Key-MOT-8</v>
      </c>
      <c r="X8" s="31" t="s">
        <v>140</v>
      </c>
      <c r="Y8" s="30" t="s">
        <v>110</v>
      </c>
      <c r="Z8" s="36" t="s">
        <v>159</v>
      </c>
      <c r="AA8" s="31" t="str">
        <f t="shared" ref="AA8" si="18">_xlfn.TRANSLATE(P8,"pt","en")</f>
        <v>Coupling motor</v>
      </c>
    </row>
    <row r="9" spans="1:27" ht="6.65" customHeight="1" x14ac:dyDescent="0.4">
      <c r="A9" s="33">
        <v>9</v>
      </c>
      <c r="B9" s="1" t="s">
        <v>44</v>
      </c>
      <c r="C9" s="34" t="s">
        <v>116</v>
      </c>
      <c r="D9" s="1" t="s">
        <v>157</v>
      </c>
      <c r="E9" s="1" t="s">
        <v>166</v>
      </c>
      <c r="F9" s="64" t="s">
        <v>115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Motricidade</v>
      </c>
      <c r="M9" s="35" t="str">
        <f t="shared" si="6"/>
        <v>Elementos.de.Força.Motriz</v>
      </c>
      <c r="N9" s="35" t="str">
        <f t="shared" si="7"/>
        <v>Maquinária</v>
      </c>
      <c r="O9" s="31" t="str">
        <f t="shared" si="16"/>
        <v>Motor.de.Acionamento.Correia</v>
      </c>
      <c r="P9" s="31" t="s">
        <v>127</v>
      </c>
      <c r="Q9" s="31" t="s">
        <v>134</v>
      </c>
      <c r="R9" s="36" t="s">
        <v>9</v>
      </c>
      <c r="S9" s="37" t="str">
        <f t="shared" si="8"/>
        <v>Motricidade</v>
      </c>
      <c r="T9" s="37" t="str">
        <f t="shared" si="9"/>
        <v>Elementos.de.Força.Motriz</v>
      </c>
      <c r="U9" s="37" t="str">
        <f t="shared" si="10"/>
        <v>Maquinária</v>
      </c>
      <c r="V9" s="37" t="str">
        <f t="shared" si="17"/>
        <v>Motricidade</v>
      </c>
      <c r="W9" s="68" t="str">
        <f t="shared" si="11"/>
        <v>Key-MOT-9</v>
      </c>
      <c r="X9" s="31" t="s">
        <v>140</v>
      </c>
      <c r="Y9" s="30" t="s">
        <v>111</v>
      </c>
      <c r="Z9" s="36" t="s">
        <v>159</v>
      </c>
      <c r="AA9" s="31" t="str">
        <f t="shared" si="12"/>
        <v>Belt drive motor</v>
      </c>
    </row>
    <row r="10" spans="1:27" ht="6.65" customHeight="1" x14ac:dyDescent="0.4">
      <c r="A10" s="33">
        <v>10</v>
      </c>
      <c r="B10" s="1" t="s">
        <v>44</v>
      </c>
      <c r="C10" s="34" t="s">
        <v>116</v>
      </c>
      <c r="D10" s="1" t="s">
        <v>157</v>
      </c>
      <c r="E10" s="1" t="s">
        <v>166</v>
      </c>
      <c r="F10" s="64" t="s">
        <v>114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ref="L10" si="19">CONCATENATE("", C10)</f>
        <v>Motricidade</v>
      </c>
      <c r="M10" s="35" t="str">
        <f t="shared" ref="M10" si="20">CONCATENATE("", D10)</f>
        <v>Elementos.de.Força.Motriz</v>
      </c>
      <c r="N10" s="35" t="str">
        <f t="shared" ref="N10" si="21">(SUBSTITUTE(SUBSTITUTE(CONCATENATE("",E10),"."," ")," De "," de "))</f>
        <v>Maquinária</v>
      </c>
      <c r="O10" s="31" t="str">
        <f t="shared" si="16"/>
        <v>Motor.de.Acionamento.Direto</v>
      </c>
      <c r="P10" s="31" t="s">
        <v>128</v>
      </c>
      <c r="Q10" s="31" t="s">
        <v>135</v>
      </c>
      <c r="R10" s="36" t="s">
        <v>9</v>
      </c>
      <c r="S10" s="37" t="str">
        <f t="shared" si="8"/>
        <v>Motricidade</v>
      </c>
      <c r="T10" s="37" t="str">
        <f t="shared" si="9"/>
        <v>Elementos.de.Força.Motriz</v>
      </c>
      <c r="U10" s="37" t="str">
        <f t="shared" si="10"/>
        <v>Maquinária</v>
      </c>
      <c r="V10" s="37" t="str">
        <f t="shared" si="17"/>
        <v>Motricidade</v>
      </c>
      <c r="W10" s="68" t="str">
        <f t="shared" si="11"/>
        <v>Key-MOT-10</v>
      </c>
      <c r="X10" s="31" t="s">
        <v>140</v>
      </c>
      <c r="Y10" s="30" t="s">
        <v>112</v>
      </c>
      <c r="Z10" s="36" t="s">
        <v>159</v>
      </c>
      <c r="AA10" s="31" t="str">
        <f t="shared" ref="AA10" si="22">_xlfn.TRANSLATE(P10,"pt","en")</f>
        <v>Direct drive motor</v>
      </c>
    </row>
    <row r="11" spans="1:27" ht="6.65" customHeight="1" x14ac:dyDescent="0.4">
      <c r="A11" s="33">
        <v>11</v>
      </c>
      <c r="B11" s="1" t="s">
        <v>44</v>
      </c>
      <c r="C11" s="34" t="s">
        <v>116</v>
      </c>
      <c r="D11" s="1" t="s">
        <v>157</v>
      </c>
      <c r="E11" s="1" t="s">
        <v>166</v>
      </c>
      <c r="F11" s="64" t="s">
        <v>123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ref="L11:M18" si="23">CONCATENATE("", C11)</f>
        <v>Motricidade</v>
      </c>
      <c r="M11" s="35" t="str">
        <f t="shared" si="23"/>
        <v>Elementos.de.Força.Motriz</v>
      </c>
      <c r="N11" s="35" t="str">
        <f>(SUBSTITUTE(SUBSTITUTE(CONCATENATE("",E11),"."," ")," De "," de "))</f>
        <v>Maquinária</v>
      </c>
      <c r="O11" s="31" t="str">
        <f t="shared" si="16"/>
        <v>Máquina.Motriz</v>
      </c>
      <c r="P11" s="31" t="s">
        <v>126</v>
      </c>
      <c r="Q11" s="31" t="s">
        <v>136</v>
      </c>
      <c r="R11" s="36" t="s">
        <v>9</v>
      </c>
      <c r="S11" s="37" t="str">
        <f t="shared" si="8"/>
        <v>Motricidade</v>
      </c>
      <c r="T11" s="37" t="str">
        <f t="shared" si="9"/>
        <v>Elementos.de.Força.Motriz</v>
      </c>
      <c r="U11" s="37" t="str">
        <f t="shared" si="10"/>
        <v>Maquinária</v>
      </c>
      <c r="V11" s="37" t="str">
        <f t="shared" si="17"/>
        <v>Motricidade</v>
      </c>
      <c r="W11" s="68" t="str">
        <f t="shared" si="11"/>
        <v>Key-MOT-11</v>
      </c>
      <c r="X11" s="31" t="s">
        <v>140</v>
      </c>
      <c r="Y11" s="30" t="s">
        <v>118</v>
      </c>
      <c r="Z11" s="36" t="s">
        <v>159</v>
      </c>
      <c r="AA11" s="31" t="str">
        <f>_xlfn.TRANSLATE(P11,"pt","en")</f>
        <v>Engine that converts fuel into mechanical energy through combustion</v>
      </c>
    </row>
    <row r="12" spans="1:27" ht="6.65" customHeight="1" x14ac:dyDescent="0.4">
      <c r="A12" s="33">
        <v>12</v>
      </c>
      <c r="B12" s="1" t="s">
        <v>44</v>
      </c>
      <c r="C12" s="34" t="s">
        <v>116</v>
      </c>
      <c r="D12" s="1" t="s">
        <v>157</v>
      </c>
      <c r="E12" s="1" t="s">
        <v>166</v>
      </c>
      <c r="F12" s="64" t="s">
        <v>121</v>
      </c>
      <c r="G12" s="39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23"/>
        <v>Motricidade</v>
      </c>
      <c r="M12" s="35" t="str">
        <f t="shared" si="23"/>
        <v>Elementos.de.Força.Motriz</v>
      </c>
      <c r="N12" s="35" t="str">
        <f>(SUBSTITUTE(SUBSTITUTE(CONCATENATE("",E12),"."," ")," De "," de "))</f>
        <v>Maquinária</v>
      </c>
      <c r="O12" s="31" t="str">
        <f t="shared" si="16"/>
        <v>Máquina.de.Combustão.Externa</v>
      </c>
      <c r="P12" s="31" t="s">
        <v>124</v>
      </c>
      <c r="Q12" s="31" t="s">
        <v>137</v>
      </c>
      <c r="R12" s="36" t="s">
        <v>9</v>
      </c>
      <c r="S12" s="37" t="str">
        <f t="shared" si="8"/>
        <v>Motricidade</v>
      </c>
      <c r="T12" s="37" t="str">
        <f t="shared" si="9"/>
        <v>Elementos.de.Força.Motriz</v>
      </c>
      <c r="U12" s="37" t="str">
        <f t="shared" si="10"/>
        <v>Maquinária</v>
      </c>
      <c r="V12" s="37" t="str">
        <f t="shared" si="17"/>
        <v>Motricidade</v>
      </c>
      <c r="W12" s="68" t="str">
        <f t="shared" si="11"/>
        <v>Key-MOT-12</v>
      </c>
      <c r="X12" s="31" t="s">
        <v>140</v>
      </c>
      <c r="Y12" s="30" t="s">
        <v>120</v>
      </c>
      <c r="Z12" s="36" t="s">
        <v>159</v>
      </c>
      <c r="AA12" s="31" t="str">
        <f>_xlfn.TRANSLATE(P12,"pt","en")</f>
        <v>Engine that converts fuel into mechanical energy through external combustion</v>
      </c>
    </row>
    <row r="13" spans="1:27" ht="6.65" customHeight="1" x14ac:dyDescent="0.4">
      <c r="A13" s="33">
        <v>13</v>
      </c>
      <c r="B13" s="1" t="s">
        <v>44</v>
      </c>
      <c r="C13" s="34" t="s">
        <v>116</v>
      </c>
      <c r="D13" s="1" t="s">
        <v>157</v>
      </c>
      <c r="E13" s="1" t="s">
        <v>166</v>
      </c>
      <c r="F13" s="64" t="s">
        <v>122</v>
      </c>
      <c r="G13" s="39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23"/>
        <v>Motricidade</v>
      </c>
      <c r="M13" s="35" t="str">
        <f t="shared" si="23"/>
        <v>Elementos.de.Força.Motriz</v>
      </c>
      <c r="N13" s="35" t="str">
        <f>(SUBSTITUTE(SUBSTITUTE(CONCATENATE("",E13),"."," ")," De "," de "))</f>
        <v>Maquinária</v>
      </c>
      <c r="O13" s="31" t="str">
        <f t="shared" si="16"/>
        <v>Máquina.de.Combustão.Interna</v>
      </c>
      <c r="P13" s="31" t="s">
        <v>125</v>
      </c>
      <c r="Q13" s="31" t="s">
        <v>138</v>
      </c>
      <c r="R13" s="36" t="s">
        <v>9</v>
      </c>
      <c r="S13" s="37" t="str">
        <f t="shared" si="8"/>
        <v>Motricidade</v>
      </c>
      <c r="T13" s="37" t="str">
        <f t="shared" si="9"/>
        <v>Elementos.de.Força.Motriz</v>
      </c>
      <c r="U13" s="37" t="str">
        <f t="shared" si="10"/>
        <v>Maquinária</v>
      </c>
      <c r="V13" s="37" t="str">
        <f t="shared" si="17"/>
        <v>Motricidade</v>
      </c>
      <c r="W13" s="68" t="str">
        <f t="shared" si="11"/>
        <v>Key-MOT-13</v>
      </c>
      <c r="X13" s="31" t="s">
        <v>140</v>
      </c>
      <c r="Y13" s="30" t="s">
        <v>119</v>
      </c>
      <c r="Z13" s="36" t="s">
        <v>159</v>
      </c>
      <c r="AA13" s="31" t="str">
        <f>_xlfn.TRANSLATE(P13,"pt","en")</f>
        <v>Engine that converts fuel into mechanical energy through internal combustion</v>
      </c>
    </row>
    <row r="14" spans="1:27" ht="6.65" customHeight="1" x14ac:dyDescent="0.4">
      <c r="A14" s="33">
        <v>14</v>
      </c>
      <c r="B14" s="1" t="s">
        <v>44</v>
      </c>
      <c r="C14" s="34" t="s">
        <v>116</v>
      </c>
      <c r="D14" s="1" t="s">
        <v>157</v>
      </c>
      <c r="E14" s="1" t="s">
        <v>168</v>
      </c>
      <c r="F14" s="64" t="s">
        <v>165</v>
      </c>
      <c r="G14" s="39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23"/>
        <v>Motricidade</v>
      </c>
      <c r="M14" s="35" t="str">
        <f t="shared" si="23"/>
        <v>Elementos.de.Força.Motriz</v>
      </c>
      <c r="N14" s="35" t="str">
        <f t="shared" ref="N14:N16" si="24">(SUBSTITUTE(SUBSTITUTE(CONCATENATE("",E14),"."," ")," De "," de "))</f>
        <v>Maquinária de Elevação</v>
      </c>
      <c r="O14" s="31" t="str">
        <f>IF(ISNUMBER(FIND("Ifc",F14)),CONCATENATE("Classe IFC:   ",F14),F14)</f>
        <v>Elevador.Hidráulico</v>
      </c>
      <c r="P14" s="31" t="s">
        <v>169</v>
      </c>
      <c r="Q14" s="31" t="s">
        <v>173</v>
      </c>
      <c r="R14" s="36" t="s">
        <v>9</v>
      </c>
      <c r="S14" s="37" t="str">
        <f t="shared" ref="S14:S19" si="25">SUBSTITUTE(C14, "_", " ")</f>
        <v>Motricidade</v>
      </c>
      <c r="T14" s="37" t="str">
        <f t="shared" ref="T14:T19" si="26">SUBSTITUTE(D14, "_", " ")</f>
        <v>Elementos.de.Força.Motriz</v>
      </c>
      <c r="U14" s="37" t="str">
        <f t="shared" ref="U14:U19" si="27">SUBSTITUTE(E14, "_", " ")</f>
        <v>Maquinária.de.Elevação</v>
      </c>
      <c r="V14" s="37" t="str">
        <f t="shared" ref="V14:V19" si="28">SUBSTITUTE(C14, "_", " ")</f>
        <v>Motricidade</v>
      </c>
      <c r="W14" s="68" t="str">
        <f t="shared" si="11"/>
        <v>Key-MOT-14</v>
      </c>
      <c r="X14" s="31" t="s">
        <v>182</v>
      </c>
      <c r="Y14" s="30" t="s">
        <v>181</v>
      </c>
      <c r="Z14" s="36" t="s">
        <v>183</v>
      </c>
      <c r="AA14" s="31" t="str">
        <f t="shared" ref="AA14:AA16" si="29">_xlfn.TRANSLATE(P14,"pt","en")</f>
        <v>Elevator to a few floors without carrying heavy loads</v>
      </c>
    </row>
    <row r="15" spans="1:27" ht="6.65" customHeight="1" x14ac:dyDescent="0.4">
      <c r="A15" s="33">
        <v>15</v>
      </c>
      <c r="B15" s="1" t="s">
        <v>44</v>
      </c>
      <c r="C15" s="34" t="s">
        <v>116</v>
      </c>
      <c r="D15" s="1" t="s">
        <v>157</v>
      </c>
      <c r="E15" s="1" t="s">
        <v>168</v>
      </c>
      <c r="F15" s="64" t="s">
        <v>162</v>
      </c>
      <c r="G15" s="39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23"/>
        <v>Motricidade</v>
      </c>
      <c r="M15" s="35" t="str">
        <f t="shared" si="23"/>
        <v>Elementos.de.Força.Motriz</v>
      </c>
      <c r="N15" s="35" t="str">
        <f t="shared" si="24"/>
        <v>Maquinária de Elevação</v>
      </c>
      <c r="O15" s="31" t="str">
        <f t="shared" ref="O15:O19" si="30">IF(ISNUMBER(FIND("Ifc",F15)),CONCATENATE("Classe IFC:   ",F15),F15)</f>
        <v>Elevador.MR</v>
      </c>
      <c r="P15" s="31" t="s">
        <v>163</v>
      </c>
      <c r="Q15" s="31" t="s">
        <v>175</v>
      </c>
      <c r="R15" s="36" t="s">
        <v>9</v>
      </c>
      <c r="S15" s="37" t="str">
        <f t="shared" si="25"/>
        <v>Motricidade</v>
      </c>
      <c r="T15" s="37" t="str">
        <f t="shared" si="26"/>
        <v>Elementos.de.Força.Motriz</v>
      </c>
      <c r="U15" s="37" t="str">
        <f t="shared" si="27"/>
        <v>Maquinária.de.Elevação</v>
      </c>
      <c r="V15" s="37" t="str">
        <f t="shared" si="28"/>
        <v>Motricidade</v>
      </c>
      <c r="W15" s="68" t="str">
        <f t="shared" si="11"/>
        <v>Key-MOT-15</v>
      </c>
      <c r="X15" s="31" t="s">
        <v>182</v>
      </c>
      <c r="Y15" s="30" t="s">
        <v>181</v>
      </c>
      <c r="Z15" s="36" t="s">
        <v>183</v>
      </c>
      <c r="AA15" s="31" t="str">
        <f t="shared" si="29"/>
        <v>Traction Elevator with Machine Room</v>
      </c>
    </row>
    <row r="16" spans="1:27" ht="6.65" customHeight="1" x14ac:dyDescent="0.4">
      <c r="A16" s="33">
        <v>16</v>
      </c>
      <c r="B16" s="1" t="s">
        <v>44</v>
      </c>
      <c r="C16" s="34" t="s">
        <v>116</v>
      </c>
      <c r="D16" s="1" t="s">
        <v>157</v>
      </c>
      <c r="E16" s="1" t="s">
        <v>168</v>
      </c>
      <c r="F16" s="64" t="s">
        <v>161</v>
      </c>
      <c r="G16" s="39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23"/>
        <v>Motricidade</v>
      </c>
      <c r="M16" s="35" t="str">
        <f t="shared" si="23"/>
        <v>Elementos.de.Força.Motriz</v>
      </c>
      <c r="N16" s="35" t="str">
        <f t="shared" si="24"/>
        <v>Maquinária de Elevação</v>
      </c>
      <c r="O16" s="31" t="str">
        <f t="shared" si="30"/>
        <v>Elevador.MRL</v>
      </c>
      <c r="P16" s="31" t="s">
        <v>164</v>
      </c>
      <c r="Q16" s="31" t="s">
        <v>174</v>
      </c>
      <c r="R16" s="36" t="s">
        <v>9</v>
      </c>
      <c r="S16" s="37" t="str">
        <f t="shared" si="25"/>
        <v>Motricidade</v>
      </c>
      <c r="T16" s="37" t="str">
        <f t="shared" si="26"/>
        <v>Elementos.de.Força.Motriz</v>
      </c>
      <c r="U16" s="37" t="str">
        <f t="shared" si="27"/>
        <v>Maquinária.de.Elevação</v>
      </c>
      <c r="V16" s="37" t="str">
        <f t="shared" si="28"/>
        <v>Motricidade</v>
      </c>
      <c r="W16" s="68" t="str">
        <f t="shared" si="11"/>
        <v>Key-MOT-16</v>
      </c>
      <c r="X16" s="31" t="s">
        <v>182</v>
      </c>
      <c r="Y16" s="30" t="s">
        <v>181</v>
      </c>
      <c r="Z16" s="36" t="s">
        <v>183</v>
      </c>
      <c r="AA16" s="31" t="str">
        <f t="shared" si="29"/>
        <v>Elevator with hoisting pulley without machine room</v>
      </c>
    </row>
    <row r="17" spans="1:27" ht="6.65" customHeight="1" x14ac:dyDescent="0.4">
      <c r="A17" s="33">
        <v>17</v>
      </c>
      <c r="B17" s="1" t="s">
        <v>44</v>
      </c>
      <c r="C17" s="34" t="s">
        <v>116</v>
      </c>
      <c r="D17" s="1" t="s">
        <v>157</v>
      </c>
      <c r="E17" s="1" t="s">
        <v>168</v>
      </c>
      <c r="F17" s="64" t="s">
        <v>170</v>
      </c>
      <c r="G17" s="39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23"/>
        <v>Motricidade</v>
      </c>
      <c r="M17" s="35" t="str">
        <f t="shared" si="23"/>
        <v>Elementos.de.Força.Motriz</v>
      </c>
      <c r="N17" s="35" t="str">
        <f>(SUBSTITUTE(SUBSTITUTE(CONCATENATE("",E17),"."," ")," De "," de "))</f>
        <v>Maquinária de Elevação</v>
      </c>
      <c r="O17" s="31" t="str">
        <f t="shared" ref="O17:O18" si="31">IF(ISNUMBER(FIND("Ifc",F17)),CONCATENATE("Classe IFC:   ",F17),F17)</f>
        <v>Plataforma</v>
      </c>
      <c r="P17" s="31" t="s">
        <v>178</v>
      </c>
      <c r="Q17" s="31" t="s">
        <v>170</v>
      </c>
      <c r="R17" s="36" t="s">
        <v>9</v>
      </c>
      <c r="S17" s="37" t="str">
        <f t="shared" ref="S17:S18" si="32">SUBSTITUTE(C17, "_", " ")</f>
        <v>Motricidade</v>
      </c>
      <c r="T17" s="37" t="str">
        <f t="shared" ref="T17:T18" si="33">SUBSTITUTE(D17, "_", " ")</f>
        <v>Elementos.de.Força.Motriz</v>
      </c>
      <c r="U17" s="37" t="str">
        <f t="shared" ref="U17:U18" si="34">SUBSTITUTE(E17, "_", " ")</f>
        <v>Maquinária.de.Elevação</v>
      </c>
      <c r="V17" s="37" t="str">
        <f t="shared" ref="V17:V18" si="35">SUBSTITUTE(C17, "_", " ")</f>
        <v>Motricidade</v>
      </c>
      <c r="W17" s="68" t="str">
        <f t="shared" si="11"/>
        <v>Key-MOT-17</v>
      </c>
      <c r="X17" s="31" t="s">
        <v>182</v>
      </c>
      <c r="Y17" s="30" t="s">
        <v>181</v>
      </c>
      <c r="Z17" s="36" t="s">
        <v>184</v>
      </c>
      <c r="AA17" s="31" t="str">
        <f>_xlfn.TRANSLATE(P17,"pt","en")</f>
        <v>Lifting Platform</v>
      </c>
    </row>
    <row r="18" spans="1:27" ht="6.65" customHeight="1" x14ac:dyDescent="0.4">
      <c r="A18" s="33">
        <v>18</v>
      </c>
      <c r="B18" s="1" t="s">
        <v>44</v>
      </c>
      <c r="C18" s="34" t="s">
        <v>116</v>
      </c>
      <c r="D18" s="1" t="s">
        <v>157</v>
      </c>
      <c r="E18" s="1" t="s">
        <v>168</v>
      </c>
      <c r="F18" s="64" t="s">
        <v>171</v>
      </c>
      <c r="G18" s="39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23"/>
        <v>Motricidade</v>
      </c>
      <c r="M18" s="35" t="str">
        <f t="shared" si="23"/>
        <v>Elementos.de.Força.Motriz</v>
      </c>
      <c r="N18" s="35" t="str">
        <f>(SUBSTITUTE(SUBSTITUTE(CONCATENATE("",E18),"."," ")," De "," de "))</f>
        <v>Maquinária de Elevação</v>
      </c>
      <c r="O18" s="31" t="str">
        <f t="shared" si="31"/>
        <v>Plataforma.Articulada</v>
      </c>
      <c r="P18" s="31" t="s">
        <v>179</v>
      </c>
      <c r="Q18" s="31" t="s">
        <v>177</v>
      </c>
      <c r="R18" s="36" t="s">
        <v>9</v>
      </c>
      <c r="S18" s="37" t="str">
        <f t="shared" si="32"/>
        <v>Motricidade</v>
      </c>
      <c r="T18" s="37" t="str">
        <f t="shared" si="33"/>
        <v>Elementos.de.Força.Motriz</v>
      </c>
      <c r="U18" s="37" t="str">
        <f t="shared" si="34"/>
        <v>Maquinária.de.Elevação</v>
      </c>
      <c r="V18" s="37" t="str">
        <f t="shared" si="35"/>
        <v>Motricidade</v>
      </c>
      <c r="W18" s="68" t="str">
        <f t="shared" si="11"/>
        <v>Key-MOT-18</v>
      </c>
      <c r="X18" s="31" t="s">
        <v>182</v>
      </c>
      <c r="Y18" s="30" t="s">
        <v>181</v>
      </c>
      <c r="Z18" s="36" t="s">
        <v>184</v>
      </c>
      <c r="AA18" s="31" t="str">
        <f>_xlfn.TRANSLATE(P18,"pt","en")</f>
        <v>Articulated lifting platform</v>
      </c>
    </row>
    <row r="19" spans="1:27" ht="6.65" customHeight="1" x14ac:dyDescent="0.4">
      <c r="A19" s="33">
        <v>19</v>
      </c>
      <c r="B19" s="1" t="s">
        <v>44</v>
      </c>
      <c r="C19" s="34" t="s">
        <v>116</v>
      </c>
      <c r="D19" s="1" t="s">
        <v>157</v>
      </c>
      <c r="E19" s="1" t="s">
        <v>168</v>
      </c>
      <c r="F19" s="64" t="s">
        <v>172</v>
      </c>
      <c r="G19" s="39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ref="L19" si="36">CONCATENATE("", C19)</f>
        <v>Motricidade</v>
      </c>
      <c r="M19" s="35" t="str">
        <f t="shared" ref="M19" si="37">CONCATENATE("", D19)</f>
        <v>Elementos.de.Força.Motriz</v>
      </c>
      <c r="N19" s="35" t="str">
        <f>(SUBSTITUTE(SUBSTITUTE(CONCATENATE("",E19),"."," ")," De "," de "))</f>
        <v>Maquinária de Elevação</v>
      </c>
      <c r="O19" s="31" t="str">
        <f t="shared" si="30"/>
        <v>Plataforma.Cesto</v>
      </c>
      <c r="P19" s="31" t="s">
        <v>180</v>
      </c>
      <c r="Q19" s="31" t="s">
        <v>176</v>
      </c>
      <c r="R19" s="36" t="s">
        <v>9</v>
      </c>
      <c r="S19" s="37" t="str">
        <f t="shared" si="25"/>
        <v>Motricidade</v>
      </c>
      <c r="T19" s="37" t="str">
        <f t="shared" si="26"/>
        <v>Elementos.de.Força.Motriz</v>
      </c>
      <c r="U19" s="37" t="str">
        <f t="shared" si="27"/>
        <v>Maquinária.de.Elevação</v>
      </c>
      <c r="V19" s="37" t="str">
        <f t="shared" si="28"/>
        <v>Motricidade</v>
      </c>
      <c r="W19" s="68" t="str">
        <f t="shared" si="11"/>
        <v>Key-MOT-19</v>
      </c>
      <c r="X19" s="31" t="s">
        <v>182</v>
      </c>
      <c r="Y19" s="30" t="s">
        <v>181</v>
      </c>
      <c r="Z19" s="36" t="s">
        <v>184</v>
      </c>
      <c r="AA19" s="31" t="str">
        <f>_xlfn.TRANSLATE(P19,"pt","en")</f>
        <v>Basket lifting platform</v>
      </c>
    </row>
    <row r="20" spans="1:27" ht="6.65" customHeight="1" x14ac:dyDescent="0.4">
      <c r="A20" s="33">
        <v>20</v>
      </c>
      <c r="B20" s="1" t="s">
        <v>44</v>
      </c>
      <c r="C20" s="34" t="s">
        <v>116</v>
      </c>
      <c r="D20" s="1" t="s">
        <v>157</v>
      </c>
      <c r="E20" s="49" t="s">
        <v>167</v>
      </c>
      <c r="F20" s="51" t="s">
        <v>158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ref="L20:M20" si="38">CONCATENATE("", C20)</f>
        <v>Motricidade</v>
      </c>
      <c r="M20" s="35" t="str">
        <f t="shared" si="38"/>
        <v>Elementos.de.Força.Motriz</v>
      </c>
      <c r="N20" s="35" t="str">
        <f t="shared" ref="N20" si="39">(SUBSTITUTE(SUBSTITUTE(CONCATENATE("",E20),"."," ")," De "," de "))</f>
        <v>Acessórios Maquinária</v>
      </c>
      <c r="O20" s="31" t="str">
        <f t="shared" si="16"/>
        <v>Acessório.Maquinária</v>
      </c>
      <c r="P20" s="31" t="s">
        <v>131</v>
      </c>
      <c r="Q20" s="31" t="s">
        <v>139</v>
      </c>
      <c r="R20" s="36" t="s">
        <v>9</v>
      </c>
      <c r="S20" s="37" t="str">
        <f t="shared" si="8"/>
        <v>Motricidade</v>
      </c>
      <c r="T20" s="37" t="str">
        <f t="shared" si="9"/>
        <v>Elementos.de.Força.Motriz</v>
      </c>
      <c r="U20" s="37" t="str">
        <f t="shared" si="10"/>
        <v>Acessórios.Maquinária</v>
      </c>
      <c r="V20" s="37" t="str">
        <f t="shared" si="17"/>
        <v>Motricidade</v>
      </c>
      <c r="W20" s="68" t="str">
        <f t="shared" si="11"/>
        <v>Key-MOT-20</v>
      </c>
      <c r="X20" s="31" t="s">
        <v>140</v>
      </c>
      <c r="Y20" s="30" t="s">
        <v>107</v>
      </c>
      <c r="Z20" s="36" t="s">
        <v>159</v>
      </c>
      <c r="AA20" s="31" t="str">
        <f t="shared" ref="AA20" si="40">_xlfn.TRANSLATE(P20,"pt","en")</f>
        <v>Mechanical Accessory</v>
      </c>
    </row>
  </sheetData>
  <sortState xmlns:xlrd2="http://schemas.microsoft.com/office/spreadsheetml/2017/richdata2" ref="A7:AA745">
    <sortCondition ref="F7:F745"/>
  </sortState>
  <phoneticPr fontId="1" type="noConversion"/>
  <conditionalFormatting sqref="AA7:AA19">
    <cfRule type="cellIs" dxfId="31" priority="8" operator="equal">
      <formula>"null"</formula>
    </cfRule>
  </conditionalFormatting>
  <conditionalFormatting sqref="A1:O1 R1:X1 Z1">
    <cfRule type="cellIs" dxfId="30" priority="223" operator="equal">
      <formula>"null"</formula>
    </cfRule>
  </conditionalFormatting>
  <conditionalFormatting sqref="F1">
    <cfRule type="duplicateValues" dxfId="29" priority="1659"/>
  </conditionalFormatting>
  <conditionalFormatting sqref="F7:F10">
    <cfRule type="duplicateValues" dxfId="28" priority="2057"/>
  </conditionalFormatting>
  <conditionalFormatting sqref="F11:F13">
    <cfRule type="duplicateValues" dxfId="27" priority="23"/>
    <cfRule type="duplicateValues" dxfId="26" priority="24"/>
    <cfRule type="duplicateValues" dxfId="25" priority="25"/>
    <cfRule type="duplicateValues" dxfId="24" priority="26"/>
    <cfRule type="duplicateValues" dxfId="23" priority="27"/>
    <cfRule type="duplicateValues" dxfId="22" priority="28"/>
  </conditionalFormatting>
  <conditionalFormatting sqref="F14:F19">
    <cfRule type="duplicateValues" dxfId="21" priority="2094"/>
  </conditionalFormatting>
  <conditionalFormatting sqref="F20">
    <cfRule type="duplicateValues" dxfId="20" priority="131"/>
  </conditionalFormatting>
  <conditionalFormatting sqref="F20:F1048576 F1">
    <cfRule type="duplicateValues" dxfId="19" priority="2002"/>
  </conditionalFormatting>
  <conditionalFormatting sqref="F20:F1048576">
    <cfRule type="duplicateValues" dxfId="18" priority="2012"/>
    <cfRule type="duplicateValues" dxfId="17" priority="2018"/>
    <cfRule type="duplicateValues" dxfId="16" priority="2019"/>
    <cfRule type="duplicateValues" dxfId="15" priority="2020"/>
    <cfRule type="duplicateValues" dxfId="14" priority="2062"/>
  </conditionalFormatting>
  <conditionalFormatting sqref="X7:X20">
    <cfRule type="containsText" dxfId="13" priority="50" operator="containsText" text="null">
      <formula>NOT(ISERROR(SEARCH("null",X7)))</formula>
    </cfRule>
  </conditionalFormatting>
  <conditionalFormatting sqref="AA2:AA6">
    <cfRule type="cellIs" dxfId="12" priority="6" operator="equal">
      <formula>"null"</formula>
    </cfRule>
  </conditionalFormatting>
  <conditionalFormatting sqref="A2:A20">
    <cfRule type="cellIs" dxfId="0" priority="2" operator="equal">
      <formula>"null"</formula>
    </cfRule>
  </conditionalFormatting>
  <conditionalFormatting sqref="F2:F6">
    <cfRule type="duplicateValues" dxfId="11" priority="1"/>
  </conditionalFormatting>
  <conditionalFormatting sqref="F2:F6">
    <cfRule type="duplicateValues" dxfId="10" priority="3"/>
    <cfRule type="duplicateValues" dxfId="9" priority="4"/>
    <cfRule type="duplicateValues" dxfId="8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C3" sqref="C3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7.3046875" customWidth="1"/>
    <col min="4" max="4" width="7.4609375" customWidth="1"/>
    <col min="5" max="5" width="8.15234375" customWidth="1"/>
    <col min="6" max="6" width="5.23046875" customWidth="1"/>
    <col min="7" max="7" width="32.61328125" bestFit="1" customWidth="1"/>
    <col min="8" max="8" width="5.3046875" customWidth="1"/>
    <col min="9" max="9" width="9.3828125" customWidth="1"/>
    <col min="10" max="10" width="4.4609375" customWidth="1"/>
    <col min="11" max="11" width="5.69140625" customWidth="1"/>
    <col min="12" max="12" width="3.61328125" customWidth="1"/>
    <col min="13" max="13" width="1.921875" bestFit="1" customWidth="1"/>
    <col min="14" max="14" width="6.4609375" customWidth="1"/>
    <col min="15" max="15" width="6.3046875" style="38" customWidth="1"/>
    <col min="16" max="16" width="4.69140625" customWidth="1"/>
    <col min="17" max="17" width="5.765625" customWidth="1"/>
    <col min="18" max="18" width="6.765625" customWidth="1"/>
    <col min="19" max="19" width="11.61328125" customWidth="1"/>
  </cols>
  <sheetData>
    <row r="1" spans="1:19" ht="17.25" customHeight="1" x14ac:dyDescent="0.4">
      <c r="A1" s="18" t="s">
        <v>10</v>
      </c>
      <c r="B1" s="19" t="s">
        <v>74</v>
      </c>
      <c r="C1" s="19" t="s">
        <v>75</v>
      </c>
      <c r="D1" s="20" t="s">
        <v>76</v>
      </c>
      <c r="E1" s="20" t="s">
        <v>79</v>
      </c>
      <c r="F1" s="20" t="s">
        <v>76</v>
      </c>
      <c r="G1" s="20" t="s">
        <v>79</v>
      </c>
      <c r="H1" s="59" t="s">
        <v>77</v>
      </c>
      <c r="I1" s="20" t="s">
        <v>79</v>
      </c>
      <c r="J1" s="20" t="s">
        <v>76</v>
      </c>
      <c r="K1" s="20" t="s">
        <v>79</v>
      </c>
      <c r="L1" s="20" t="s">
        <v>76</v>
      </c>
      <c r="M1" s="20" t="s">
        <v>79</v>
      </c>
      <c r="N1" s="20" t="s">
        <v>76</v>
      </c>
      <c r="O1" s="18" t="s">
        <v>79</v>
      </c>
      <c r="P1" s="20" t="s">
        <v>76</v>
      </c>
      <c r="Q1" s="20" t="s">
        <v>79</v>
      </c>
      <c r="R1" s="20" t="s">
        <v>76</v>
      </c>
      <c r="S1" s="20" t="s">
        <v>79</v>
      </c>
    </row>
    <row r="2" spans="1:19" ht="7.5" customHeight="1" x14ac:dyDescent="0.4">
      <c r="A2" s="21">
        <v>1</v>
      </c>
      <c r="B2" s="22" t="s">
        <v>99</v>
      </c>
      <c r="C2" s="63" t="s">
        <v>188</v>
      </c>
      <c r="D2" s="61" t="s">
        <v>9</v>
      </c>
      <c r="E2" s="62" t="s">
        <v>9</v>
      </c>
      <c r="F2" s="23" t="s">
        <v>78</v>
      </c>
      <c r="G2" s="24" t="s">
        <v>101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67" t="s">
        <v>9</v>
      </c>
      <c r="P2" s="60" t="s">
        <v>9</v>
      </c>
      <c r="Q2" s="25" t="s">
        <v>9</v>
      </c>
      <c r="R2" s="60" t="s">
        <v>9</v>
      </c>
      <c r="S2" s="25" t="s">
        <v>9</v>
      </c>
    </row>
    <row r="3" spans="1:19" ht="7.5" customHeight="1" x14ac:dyDescent="0.4">
      <c r="A3" s="21">
        <v>3</v>
      </c>
      <c r="B3" s="58" t="s">
        <v>141</v>
      </c>
      <c r="C3" s="64" t="s">
        <v>123</v>
      </c>
      <c r="D3" s="61" t="s">
        <v>105</v>
      </c>
      <c r="E3" s="40" t="s">
        <v>99</v>
      </c>
      <c r="F3" s="23" t="s">
        <v>78</v>
      </c>
      <c r="G3" s="24" t="s">
        <v>149</v>
      </c>
      <c r="H3" s="60" t="s">
        <v>100</v>
      </c>
      <c r="I3" s="25" t="s">
        <v>108</v>
      </c>
      <c r="J3" s="60" t="s">
        <v>106</v>
      </c>
      <c r="K3" s="25" t="s">
        <v>150</v>
      </c>
      <c r="L3" s="60" t="s">
        <v>9</v>
      </c>
      <c r="M3" s="25" t="s">
        <v>9</v>
      </c>
      <c r="N3" s="60" t="s">
        <v>102</v>
      </c>
      <c r="O3" s="67" t="s">
        <v>160</v>
      </c>
      <c r="P3" s="60" t="s">
        <v>103</v>
      </c>
      <c r="Q3" s="25" t="s">
        <v>152</v>
      </c>
      <c r="R3" s="60" t="s">
        <v>104</v>
      </c>
      <c r="S3" s="25" t="s">
        <v>151</v>
      </c>
    </row>
    <row r="4" spans="1:19" ht="7.5" customHeight="1" x14ac:dyDescent="0.4">
      <c r="A4" s="21">
        <v>4</v>
      </c>
      <c r="B4" s="58" t="s">
        <v>142</v>
      </c>
      <c r="C4" s="64" t="s">
        <v>123</v>
      </c>
      <c r="D4" s="61" t="s">
        <v>105</v>
      </c>
      <c r="E4" s="40" t="s">
        <v>99</v>
      </c>
      <c r="F4" s="23" t="s">
        <v>78</v>
      </c>
      <c r="G4" s="24" t="s">
        <v>149</v>
      </c>
      <c r="H4" s="60" t="s">
        <v>100</v>
      </c>
      <c r="I4" s="25" t="s">
        <v>108</v>
      </c>
      <c r="J4" s="60" t="s">
        <v>106</v>
      </c>
      <c r="K4" s="25" t="s">
        <v>150</v>
      </c>
      <c r="L4" s="60" t="s">
        <v>9</v>
      </c>
      <c r="M4" s="25" t="s">
        <v>9</v>
      </c>
      <c r="N4" s="60" t="s">
        <v>102</v>
      </c>
      <c r="O4" s="67" t="s">
        <v>160</v>
      </c>
      <c r="P4" s="60" t="s">
        <v>103</v>
      </c>
      <c r="Q4" s="25" t="s">
        <v>152</v>
      </c>
      <c r="R4" s="60" t="s">
        <v>104</v>
      </c>
      <c r="S4" s="25" t="s">
        <v>151</v>
      </c>
    </row>
    <row r="5" spans="1:19" ht="7.5" customHeight="1" x14ac:dyDescent="0.4">
      <c r="A5" s="21">
        <v>5</v>
      </c>
      <c r="B5" s="58" t="s">
        <v>143</v>
      </c>
      <c r="C5" s="64" t="s">
        <v>123</v>
      </c>
      <c r="D5" s="61" t="s">
        <v>105</v>
      </c>
      <c r="E5" s="40" t="s">
        <v>99</v>
      </c>
      <c r="F5" s="23" t="s">
        <v>78</v>
      </c>
      <c r="G5" s="24" t="s">
        <v>149</v>
      </c>
      <c r="H5" s="60" t="s">
        <v>100</v>
      </c>
      <c r="I5" s="25" t="s">
        <v>108</v>
      </c>
      <c r="J5" s="60" t="s">
        <v>106</v>
      </c>
      <c r="K5" s="25" t="s">
        <v>150</v>
      </c>
      <c r="L5" s="60" t="s">
        <v>9</v>
      </c>
      <c r="M5" s="25" t="s">
        <v>9</v>
      </c>
      <c r="N5" s="60" t="s">
        <v>102</v>
      </c>
      <c r="O5" s="67" t="s">
        <v>160</v>
      </c>
      <c r="P5" s="60" t="s">
        <v>103</v>
      </c>
      <c r="Q5" s="25" t="s">
        <v>152</v>
      </c>
      <c r="R5" s="60" t="s">
        <v>104</v>
      </c>
      <c r="S5" s="25" t="s">
        <v>151</v>
      </c>
    </row>
    <row r="6" spans="1:19" ht="7.5" customHeight="1" x14ac:dyDescent="0.4">
      <c r="A6" s="21">
        <v>6</v>
      </c>
      <c r="B6" s="58" t="s">
        <v>144</v>
      </c>
      <c r="C6" s="64" t="s">
        <v>123</v>
      </c>
      <c r="D6" s="61" t="s">
        <v>105</v>
      </c>
      <c r="E6" s="40" t="s">
        <v>99</v>
      </c>
      <c r="F6" s="23" t="s">
        <v>78</v>
      </c>
      <c r="G6" s="24" t="s">
        <v>149</v>
      </c>
      <c r="H6" s="60" t="s">
        <v>100</v>
      </c>
      <c r="I6" s="25" t="s">
        <v>108</v>
      </c>
      <c r="J6" s="60" t="s">
        <v>106</v>
      </c>
      <c r="K6" s="25" t="s">
        <v>150</v>
      </c>
      <c r="L6" s="60" t="s">
        <v>9</v>
      </c>
      <c r="M6" s="25" t="s">
        <v>9</v>
      </c>
      <c r="N6" s="60" t="s">
        <v>102</v>
      </c>
      <c r="O6" s="67" t="s">
        <v>160</v>
      </c>
      <c r="P6" s="60" t="s">
        <v>103</v>
      </c>
      <c r="Q6" s="25" t="s">
        <v>152</v>
      </c>
      <c r="R6" s="60" t="s">
        <v>104</v>
      </c>
      <c r="S6" s="25" t="s">
        <v>151</v>
      </c>
    </row>
    <row r="7" spans="1:19" ht="7.5" customHeight="1" x14ac:dyDescent="0.4">
      <c r="A7" s="21">
        <v>7</v>
      </c>
      <c r="B7" s="58" t="s">
        <v>145</v>
      </c>
      <c r="C7" s="64" t="s">
        <v>123</v>
      </c>
      <c r="D7" s="61" t="s">
        <v>105</v>
      </c>
      <c r="E7" s="40" t="s">
        <v>99</v>
      </c>
      <c r="F7" s="23" t="s">
        <v>78</v>
      </c>
      <c r="G7" s="24" t="s">
        <v>149</v>
      </c>
      <c r="H7" s="60" t="s">
        <v>100</v>
      </c>
      <c r="I7" s="25" t="s">
        <v>108</v>
      </c>
      <c r="J7" s="60" t="s">
        <v>106</v>
      </c>
      <c r="K7" s="25" t="s">
        <v>150</v>
      </c>
      <c r="L7" s="60" t="s">
        <v>9</v>
      </c>
      <c r="M7" s="25" t="s">
        <v>9</v>
      </c>
      <c r="N7" s="60" t="s">
        <v>102</v>
      </c>
      <c r="O7" s="67" t="s">
        <v>160</v>
      </c>
      <c r="P7" s="60" t="s">
        <v>103</v>
      </c>
      <c r="Q7" s="25" t="s">
        <v>152</v>
      </c>
      <c r="R7" s="60" t="s">
        <v>104</v>
      </c>
      <c r="S7" s="25" t="s">
        <v>151</v>
      </c>
    </row>
    <row r="8" spans="1:19" ht="7.5" customHeight="1" x14ac:dyDescent="0.4">
      <c r="A8" s="21">
        <v>8</v>
      </c>
      <c r="B8" s="58" t="s">
        <v>146</v>
      </c>
      <c r="C8" s="64" t="s">
        <v>123</v>
      </c>
      <c r="D8" s="61" t="s">
        <v>105</v>
      </c>
      <c r="E8" s="40" t="s">
        <v>99</v>
      </c>
      <c r="F8" s="23" t="s">
        <v>78</v>
      </c>
      <c r="G8" s="24" t="s">
        <v>149</v>
      </c>
      <c r="H8" s="60" t="s">
        <v>100</v>
      </c>
      <c r="I8" s="25" t="s">
        <v>108</v>
      </c>
      <c r="J8" s="60" t="s">
        <v>106</v>
      </c>
      <c r="K8" s="25" t="s">
        <v>150</v>
      </c>
      <c r="L8" s="60" t="s">
        <v>9</v>
      </c>
      <c r="M8" s="25" t="s">
        <v>9</v>
      </c>
      <c r="N8" s="60" t="s">
        <v>102</v>
      </c>
      <c r="O8" s="67" t="s">
        <v>160</v>
      </c>
      <c r="P8" s="60" t="s">
        <v>103</v>
      </c>
      <c r="Q8" s="25" t="s">
        <v>152</v>
      </c>
      <c r="R8" s="60" t="s">
        <v>104</v>
      </c>
      <c r="S8" s="25" t="s">
        <v>151</v>
      </c>
    </row>
    <row r="9" spans="1:19" ht="7.5" customHeight="1" x14ac:dyDescent="0.4">
      <c r="A9" s="21">
        <v>9</v>
      </c>
      <c r="B9" s="58" t="s">
        <v>147</v>
      </c>
      <c r="C9" s="64" t="s">
        <v>123</v>
      </c>
      <c r="D9" s="61" t="s">
        <v>105</v>
      </c>
      <c r="E9" s="40" t="s">
        <v>99</v>
      </c>
      <c r="F9" s="23" t="s">
        <v>78</v>
      </c>
      <c r="G9" s="24" t="s">
        <v>149</v>
      </c>
      <c r="H9" s="60" t="s">
        <v>100</v>
      </c>
      <c r="I9" s="25" t="s">
        <v>108</v>
      </c>
      <c r="J9" s="60" t="s">
        <v>106</v>
      </c>
      <c r="K9" s="25" t="s">
        <v>150</v>
      </c>
      <c r="L9" s="60" t="s">
        <v>9</v>
      </c>
      <c r="M9" s="25" t="s">
        <v>9</v>
      </c>
      <c r="N9" s="60" t="s">
        <v>102</v>
      </c>
      <c r="O9" s="67" t="s">
        <v>160</v>
      </c>
      <c r="P9" s="60" t="s">
        <v>103</v>
      </c>
      <c r="Q9" s="25" t="s">
        <v>152</v>
      </c>
      <c r="R9" s="60" t="s">
        <v>104</v>
      </c>
      <c r="S9" s="25" t="s">
        <v>151</v>
      </c>
    </row>
    <row r="10" spans="1:19" ht="7.5" customHeight="1" x14ac:dyDescent="0.4">
      <c r="A10" s="21">
        <v>10</v>
      </c>
      <c r="B10" s="58" t="s">
        <v>148</v>
      </c>
      <c r="C10" s="64" t="s">
        <v>123</v>
      </c>
      <c r="D10" s="61" t="s">
        <v>105</v>
      </c>
      <c r="E10" s="40" t="s">
        <v>99</v>
      </c>
      <c r="F10" s="23" t="s">
        <v>78</v>
      </c>
      <c r="G10" s="24" t="s">
        <v>149</v>
      </c>
      <c r="H10" s="60" t="s">
        <v>100</v>
      </c>
      <c r="I10" s="25" t="s">
        <v>108</v>
      </c>
      <c r="J10" s="60" t="s">
        <v>106</v>
      </c>
      <c r="K10" s="25" t="s">
        <v>150</v>
      </c>
      <c r="L10" s="60" t="s">
        <v>9</v>
      </c>
      <c r="M10" s="25" t="s">
        <v>9</v>
      </c>
      <c r="N10" s="60" t="s">
        <v>102</v>
      </c>
      <c r="O10" s="67" t="s">
        <v>160</v>
      </c>
      <c r="P10" s="60" t="s">
        <v>103</v>
      </c>
      <c r="Q10" s="25" t="s">
        <v>152</v>
      </c>
      <c r="R10" s="60" t="s">
        <v>104</v>
      </c>
      <c r="S10" s="25" t="s">
        <v>151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80</v>
      </c>
      <c r="C1" s="29" t="s">
        <v>81</v>
      </c>
      <c r="D1" s="29" t="s">
        <v>82</v>
      </c>
      <c r="E1" s="29" t="s">
        <v>82</v>
      </c>
      <c r="F1" s="29" t="s">
        <v>82</v>
      </c>
      <c r="G1" s="29" t="s">
        <v>82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2026-04-27T15:09:21Z</dcterms:modified>
  <dc:language>pt-BR</dc:language>
</cp:coreProperties>
</file>