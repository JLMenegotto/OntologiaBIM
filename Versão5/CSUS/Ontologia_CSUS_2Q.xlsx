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FD98B637-F174-4E1A-9474-331C16E988AD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<sst xmlns="http://schemas.openxmlformats.org/spreadsheetml/2006/main" count="11322" uniqueCount="1606">
  <si>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</si>
  <si>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</si>
  <si>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</si>
  <si>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</si>
  <si>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</si>
  <si>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</si>
  <si>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</si>
  <si>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</si>
  <si>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</si>
  <si>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</si>
  <si>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</si>
  <si>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</si>
  <si>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</si>
  <si>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</si>
  <si>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</si>
  <si>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</si>
  <si>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</si>
  <si>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</si>
  <si>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</si>
  <si>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</si>
  <si>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</si>
  <si>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</si>
  <si>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</si>
  <si>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</si>
  <si>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</si>
  <si>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</si>
  <si>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</si>
  <si>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</si>
  <si>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</si>
  <si>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</si>
  <si>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</si>
  <si>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</si>
  <si>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</si>
  <si>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</si>
  <si>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</si>
  <si>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</si>
  <si>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</si>
  <si>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</si>
  <si>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</si>
  <si>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</si>
  <si>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</si>
  <si>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</si>
  <si>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</si>
  <si>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</si>
  <si>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</si>
  <si>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</si>
  <si>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</si>
  <si>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</si>
  <si>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</si>
  <si>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</si>
  <si>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</si>
  <si>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</si>
  <si>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</si>
  <si>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</si>
  <si>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</si>
  <si>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</si>
  <si>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</si>
  <si>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</si>
  <si>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</si>
  <si>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</si>
  <si>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</si>
  <si>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</si>
  <si>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</si>
  <si>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</si>
  <si>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</si>
  <si>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</si>
  <si>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</si>
  <si>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</si>
  <si>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</si>
  <si>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</si>
  <si>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</si>
  <si>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</si>
  <si>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</si>
  <si>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</si>
  <si>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</si>
  <si>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</si>
  <si>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</si>
  <si>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</si>
  <si>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</si>
  <si>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</si>
  <si>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</si>
  <si>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</si>
  <si>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</si>
  <si>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</si>
  <si>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</si>
  <si>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</si>
  <si>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</si>
  <si>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</si>
  <si>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</si>
  <si>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</si>
  <si>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</si>
  <si>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</si>
  <si>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</si>
  <si>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</si>
  <si>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</si>
  <si>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</si>
  <si>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</si>
  <si>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</si>
  <si>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</si>
  <si>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</si>
  <si>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</si>
  <si>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</si>
  <si>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</si>
  <si>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</si>
  <si>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</si>
  <si>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</si>
  <si>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</si>
  <si>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</si>
  <si>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</si>
  <si>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</si>
  <si>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</si>
  <si>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</si>
  <si>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</si>
  <si>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</si>
  <si>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</si>
  <si>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</si>
  <si>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</si>
  <si>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</si>
  <si>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</si>
  <si>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</si>
  <si>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</si>
  <si>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</si>
  <si>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</si>
  <si>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</si>
  <si>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</si>
  <si>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</si>
  <si>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</si>
  <si>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</si>
  <si>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</si>
  <si>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</si>
  <si>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</si>
  <si>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</si>
  <si>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</si>
  <si>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</si>
  <si>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</si>
  <si>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</si>
  <si>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</si>
  <si>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</si>
  <si>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</si>
  <si>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</si>
  <si>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</si>
  <si>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</si>
  <si>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</si>
  <si>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</si>
  <si>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</si>
  <si>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</si>
  <si>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</si>
  <si>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</si>
  <si>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</si>
  <si>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</si>
  <si>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</si>
  <si>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</si>
  <si>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</si>
  <si>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</si>
  <si>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</si>
  <si>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</si>
  <si>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</si>
  <si>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</si>
  <si>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</si>
  <si>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</si>
  <si>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</si>
  <si>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</si>
  <si>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</si>
  <si>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</si>
  <si>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</si>
  <si>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</si>
  <si>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</si>
  <si>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</si>
  <si>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</si>
  <si>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</si>
  <si>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</si>
  <si>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</si>
  <si>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</si>
  <si>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</si>
  <si>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</si>
  <si>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</si>
  <si>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</si>
  <si>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</si>
  <si>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</si>
  <si>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</si>
  <si>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</si>
  <si>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</si>
  <si>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</si>
  <si>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</si>
  <si>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</si>
  <si>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</si>
  <si>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</si>
  <si>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</si>
  <si>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</si>
  <si>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</si>
  <si>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</si>
  <si>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</si>
  <si>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</si>
  <si>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</si>
  <si>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</si>
  <si>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</si>
  <si>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</si>
  <si>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</si>
  <si>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</si>
  <si>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</si>
  <si>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</si>
  <si>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</si>
  <si>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</si>
  <si>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</si>
  <si>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</si>
  <si>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</si>
  <si>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</si>
  <si>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</si>
  <si>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</si>
  <si>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</si>
  <si>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</si>
  <si>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</si>
  <si>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</si>
  <si>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</si>
  <si>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</si>
  <si>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</si>
  <si>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</si>
  <si>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</si>
  <si>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</si>
  <si>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</si>
  <si>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</si>
  <si>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</si>
  <si>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</si>
  <si>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</si>
  <si>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</si>
  <si>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</si>
  <si>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</si>
  <si>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</si>
  <si>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</si>
  <si>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</si>
  <si>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</si>
  <si>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</si>
  <si>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</si>
  <si>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</si>
  <si>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</si>
  <si>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</si>
  <si>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</si>
  <si>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</si>
  <si>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</si>
  <si>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</si>
  <si>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</si>
  <si>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</si>
  <si>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</si>
  <si>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</si>
  <si>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</si>
  <si>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</si>
  <si>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</si>
  <si>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</si>
  <si>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</si>
  <si>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</si>
  <si>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</si>
  <si>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</si>
  <si>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</si>
  <si>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</si>
  <si>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</si>
  <si>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</si>
  <si>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</si>
  <si>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</si>
  <si>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</si>
  <si>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</si>
  <si>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</si>
  <si>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</si>
  <si>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</si>
  <si>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</si>
  <si>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</si>
  <si>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</si>
  <si>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</si>
  <si>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</si>
  <si>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</si>
  <si>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</si>
  <si>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</si>
  <si>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</si>
  <si>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</si>
  <si>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</si>
  <si>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</si>
  <si>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</si>
  <si>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</si>
  <si>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</si>
  <si>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</si>
  <si>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</si>
  <si>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</si>
  <si>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</si>
  <si>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</si>
  <si>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</si>
  <si>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</si>
  <si>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</si>
  <si>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</si>
  <si>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</si>
  <si>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</si>
  <si>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</si>
  <si>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</si>
  <si>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</si>
  <si>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</si>
  <si>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</si>
  <si>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</si>
  <si>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</si>
  <si>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</si>
  <si>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</si>
  <si>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</si>
  <si>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</si>
  <si>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</si>
  <si>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</si>
  <si>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</si>
  <si>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</si>
  <si>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</si>
  <si>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</si>
  <si>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</si>
  <si>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</si>
  <si>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</si>
  <si>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</si>
  <si>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</si>
  <si>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</si>
  <si>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</si>
  <si>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</si>
  <si>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</si>
  <si>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</si>
  <si>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</si>
  <si>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</si>
  <si>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</si>
  <si>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</si>
  <si>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</si>
  <si>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</si>
  <si>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</si>
  <si>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</si>
  <si>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</si>
  <si>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</si>
  <si>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</si>
  <si>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</si>
  <si>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</si>
  <si>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</si>
  <si>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</si>
  <si>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</si>
  <si>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</si>
  <si>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</si>
  <si>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</si>
  <si>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</si>
  <si>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</si>
  <si>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</si>
  <si>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</si>
  <si>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</si>
  <si>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</si>
  <si>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</si>
  <si>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</si>
  <si>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</si>
  <si>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</si>
  <si>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</si>
  <si>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</si>
  <si>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</si>
  <si>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</si>
  <si>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</si>
  <si>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</si>
  <si>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</si>
  <si>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</si>
  <si>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</si>
  <si>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</si>
  <si>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</si>
  <si>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</si>
  <si>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</si>
  <si>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</si>
  <si>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</si>
  <si>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</si>
  <si>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</si>
  <si>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</si>
  <si>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</si>
  <si>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</si>
  <si>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</si>
  <si>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</si>
  <si>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</si>
  <si>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</si>
  <si>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</si>
  <si>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</si>
  <si>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</si>
  <si>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</si>
  <si>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</si>
  <si>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</si>
  <si>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</si>
  <si>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</si>
  <si>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</si>
  <si>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</si>
  <si>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</si>
  <si>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</si>
  <si>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</si>
  <si>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</si>
  <si>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</si>
  <si>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</si>
  <si>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</si>
  <si>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</si>
  <si>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</si>
  <si>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</si>
  <si>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</si>
  <si>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</si>
  <si>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</si>
  <si>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</si>
  <si>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</si>
  <si>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</si>
  <si>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</si>
  <si>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</si>
  <si>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</si>
  <si>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</si>
  <si>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</si>
  <si>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</si>
  <si>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</si>
  <si>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</si>
  <si>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</si>
  <si>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</si>
  <si>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</si>
  <si>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</si>
  <si>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</si>
  <si>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</si>
  <si>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</si>
  <si>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</si>
  <si>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</si>
  <si>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</si>
  <si>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</si>
  <si>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</si>
  <si>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</si>
  <si>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</si>
  <si>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</si>
  <si>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</si>
  <si>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</si>
  <si>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</si>
  <si>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</si>
  <si>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</si>
  <si>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</si>
  <si>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</si>
  <si>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</si>
  <si>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</si>
  <si>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</si>
  <si>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</si>
  <si>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</si>
  <si>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</si>
  <si>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</si>
  <si>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</si>
  <si>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</si>
  <si>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</si>
  <si>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</si>
  <si>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</si>
  <si>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</si>
  <si>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</si>
  <si>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</si>
  <si>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</si>
  <si>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</si>
  <si>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</si>
  <si>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</si>
  <si>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</si>
  <si>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</si>
  <si>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</si>
  <si>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</si>
  <si>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</si>
  <si>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</si>
  <si>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</si>
  <si>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</si>
  <si>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</si>
  <si>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</si>
  <si>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</si>
  <si>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</si>
  <si>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</si>
  <si>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</si>
  <si>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</si>
  <si>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</si>
  <si>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</si>
  <si>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</si>
  <si>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</si>
  <si>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</si>
  <si>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</si>
  <si>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</si>
  <si>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</si>
  <si>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</si>
  <si>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</si>
  <si>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</si>
  <si>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</si>
  <si>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</si>
  <si>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</si>
  <si>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</si>
  <si>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</si>
  <si>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</si>
  <si>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</si>
  <si>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</si>
  <si>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</si>
  <si>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</si>
  <si>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</si>
  <si>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</si>
  <si>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</si>
  <si>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</si>
  <si>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</si>
  <si>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</si>
  <si>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</si>
  <si>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</si>
  <si>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</si>
  <si>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</si>
  <si>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</si>
  <si>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</si>
  <si>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</si>
  <si>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</si>
  <si>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</si>
  <si>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</si>
  <si>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</si>
  <si>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</si>
  <si>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</si>
  <si>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</si>
  <si>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</si>
  <si>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</si>
  <si>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</si>
  <si>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</si>
  <si>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</si>
  <si>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</si>
  <si>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</si>
  <si>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</si>
  <si>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</si>
  <si>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</si>
  <si>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</si>
  <si>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</si>
  <si>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</si>
  <si>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</si>
  <si>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</si>
  <si>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</si>
  <si>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</si>
  <si>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</si>
  <si>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</si>
  <si>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</si>
  <si>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</si>
  <si>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</si>
  <si>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</si>
  <si>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</si>
  <si>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</si>
  <si>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</si>
  <si>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</si>
  <si>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</si>
  <si>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</si>
  <si>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</si>
  <si>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</si>
  <si>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</si>
  <si>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</si>
  <si>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</si>
  <si>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</si>
  <si>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</si>
  <si>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</si>
  <si>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</si>
  <si>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</si>
  <si>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</si>
  <si>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</si>
  <si>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</si>
  <si>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</si>
  <si>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</si>
  <si>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</si>
  <si>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</si>
  <si>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</si>
  <si>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</si>
  <si>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</si>
  <si>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</si>
  <si>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</si>
  <si>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</si>
  <si>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</si>
  <si>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</si>
  <si>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</si>
  <si>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</si>
  <si>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</si>
  <si>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</si>
  <si>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</si>
  <si>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</si>
  <si>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</si>
  <si>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</si>
  <si>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</si>
  <si>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</si>
  <si>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</si>
  <si>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</si>
  <si>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</si>
  <si>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</si>
  <si>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</si>
  <si>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</si>
  <si>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</si>
  <si>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</si>
  <si>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</si>
  <si>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</si>
  <si>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</si>
  <si>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</si>
  <si>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</si>
  <si>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</si>
  <si>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</si>
  <si>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</si>
  <si>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</si>
  <si>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</si>
  <si>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</si>
  <si>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</si>
  <si>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</si>
  <si>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</si>
  <si>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</si>
  <si>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</si>
  <si>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</si>
  <si>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</si>
  <si>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</si>
  <si>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</si>
  <si>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</si>
  <si>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</si>
  <si>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</si>
  <si>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</si>
  <si>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</si>
  <si>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</si>
  <si>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</si>
  <si>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</si>
  <si>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</si>
  <si>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</si>
  <si>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</si>
  <si>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</si>
  <si>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</si>
  <si>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</si>
  <si>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</si>
  <si>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</si>
  <si>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</si>
  <si>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</si>
  <si>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</si>
  <si>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</si>
  <si>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</si>
  <si>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</si>
  <si>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</si>
  <si>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</si>
  <si>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</si>
  <si>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</si>
  <si>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</si>
  <si>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</si>
  <si>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</si>
  <si>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</si>
  <si>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</si>
  <si>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</si>
  <si>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</si>
  <si>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</si>
  <si>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</si>
  <si>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</si>
  <si>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</si>
  <si>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</si>
  <si>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</si>
  <si>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</si>
  <si>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</si>
  <si>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</si>
  <si>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</si>
  <si>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</si>
  <si>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</si>
  <si>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</si>
  <si>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</si>
  <si>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</si>
  <si>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</si>
  <si>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</si>
  <si>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</si>
  <si>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</si>
  <si>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</si>
  <si>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</si>
  <si>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</si>
  <si>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</si>
  <si>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</si>
  <si>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</si>
  <si>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</si>
  <si>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</si>
  <si>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</si>
  <si>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</si>
  <si>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</si>
  <si>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</si>
  <si>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</si>
  <si>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</si>
  <si>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</si>
  <si>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</si>
  <si>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</si>
  <si>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</si>
  <si>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</si>
  <si>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</si>
  <si>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</si>
  <si>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</si>
  <si>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</si>
  <si>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</si>
  <si>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</si>
  <si>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</si>
  <si>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</si>
  <si>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</si>
  <si>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</si>
  <si>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</si>
  <si>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</si>
  <si>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</si>
  <si>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</si>
  <si>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</si>
  <si>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</si>
  <si>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</si>
  <si>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</si>
  <si>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</si>
  <si>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</si>
  <si>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</si>
  <si>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</si>
  <si>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</si>
  <si>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</si>
  <si>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</si>
  <si>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</si>
  <si>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</si>
  <si>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</si>
  <si>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</si>
  <si>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</si>
  <si>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</si>
  <si>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</si>
  <si>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</si>
  <si>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</si>
  <si>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</si>
  <si>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</si>
  <si>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</si>
  <si>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</si>
  <si>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</si>
  <si>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</si>
  <si>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</si>
  <si>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</si>
  <si>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</si>
  <si>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</si>
  <si>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</si>
  <si>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</si>
  <si>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</si>
  <si>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</si>
  <si>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</si>
  <si>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</si>
  <si>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</si>
  <si>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</si>
  <si>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</si>
  <si>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</si>
  <si>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</si>
  <si>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</si>
  <si>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</si>
  <si>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</si>
  <si>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</si>
  <si>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</si>
  <si>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</si>
  <si>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</si>
  <si>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</si>
  <si>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</si>
  <si>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</si>
  <si>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</si>
  <si>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</si>
  <si>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</si>
  <si>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</si>
  <si>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</si>
  <si>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</si>
  <si>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</si>
  <si>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</si>
  <si>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</si>
  <si>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</si>
  <si>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</si>
  <si>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</si>
  <si>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</si>
  <si>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</si>
  <si>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</si>
  <si>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</si>
  <si>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</si>
  <si>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</si>
  <si>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</si>
  <si>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</si>
  <si>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</si>
  <si>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</si>
  <si>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</si>
  <si>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</si>
  <si>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</si>
  <si>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</si>
  <si>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</si>
  <si>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</si>
  <si>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</si>
  <si>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</si>
  <si>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</si>
  <si>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</si>
  <si>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</si>
  <si>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</si>
  <si>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</si>
  <si>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</si>
  <si>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</si>
  <si>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</si>
  <si>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</si>
  <si>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</si>
  <si>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</si>
  <si>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</si>
  <si>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</si>
  <si>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</si>
  <si>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</si>
  <si>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</si>
  <si>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</si>
  <si>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</si>
  <si>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</si>
  <si>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</si>
  <si>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</si>
  <si>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</si>
  <si>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</si>
  <si>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</si>
  <si>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</si>
  <si>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</si>
  <si>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</si>
  <si>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</si>
  <si>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</si>
  <si>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</si>
  <si>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</si>
  <si>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</si>
  <si>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</si>
  <si>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</si>
  <si>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</si>
  <si>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</si>
  <si>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</si>
  <si>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</si>
  <si>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</si>
  <si>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</si>
  <si>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</si>
  <si>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</si>
  <si>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</si>
  <si>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</si>
  <si>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</si>
  <si>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</si>
  <si>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</si>
  <si>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</si>
  <si>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</si>
  <si>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</si>
  <si>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</si>
  <si>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</si>
  <si>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</si>
  <si>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</si>
  <si>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</si>
  <si>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</si>
  <si>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</si>
  <si>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</si>
  <si>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</si>
  <si>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</si>
  <si>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</si>
  <si>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</si>
  <si>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</si>
  <si>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</si>
  <si>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</si>
  <si>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</si>
  <si>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</si>
  <si>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</si>
  <si>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</si>
  <si>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</si>
  <si>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</si>
  <si>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</si>
  <si>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</si>
  <si>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</si>
  <si>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</si>
  <si>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</si>
  <si>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</si>
  <si>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</si>
  <si>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</si>
  <si>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</si>
  <si>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</si>
  <si>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</si>
  <si>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</si>
  <si>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</si>
  <si>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</si>
  <si>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</si>
  <si>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</si>
  <si>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</si>
  <si>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</si>
  <si>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</si>
  <si>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</si>
  <si>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</si>
  <si>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</si>
  <si>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</si>
  <si>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</si>
  <si>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</si>
  <si>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</si>
  <si>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</si>
  <si>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</si>
  <si>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</si>
  <si>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</si>
  <si>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</si>
  <si>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</si>
  <si>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</si>
  <si>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</si>
  <si>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</si>
  <si>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</si>
  <si>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</si>
  <si>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</si>
  <si>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</si>
  <si>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</si>
  <si>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</si>
  <si>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</si>
  <si>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</si>
  <si>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</si>
  <si>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</si>
  <si>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</si>
  <si>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</si>
  <si>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</si>
  <si>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</si>
  <si>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</si>
  <si>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</si>
  <si>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</si>
  <si>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</si>
  <si>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</si>
  <si>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</si>
  <si>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</si>
  <si>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</si>
  <si>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</si>
  <si>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</si>
  <si>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</si>
  <si>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</si>
  <si>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</si>
  <si>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</si>
  <si>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</si>
  <si>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</si>
  <si>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</si>
  <si>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</si>
  <si>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</si>
  <si>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</si>
  <si>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</si>
  <si>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</si>
  <si>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</si>
  <si>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</si>
  <si>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</si>
  <si>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</si>
  <si>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</si>
  <si>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</si>
  <si>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</si>
  <si>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</si>
  <si>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</si>
  <si>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</si>
  <si>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</si>
  <si>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</si>
  <si>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</si>
  <si>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</si>
  <si>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</si>
  <si>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</si>
  <si>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</si>
  <si>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</si>
  <si>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</si>
  <si>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</si>
  <si>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</si>
  <si>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</si>
  <si>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</si>
  <si>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</si>
  <si>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</si>
  <si>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</si>
  <si>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</si>
  <si>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</si>
  <si>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</si>
  <si>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</si>
  <si>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</si>
  <si>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</si>
  <si>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</si>
  <si>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</si>
  <si>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</si>
  <si>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</si>
  <si>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</si>
  <si>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</si>
  <si>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</si>
  <si>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</si>
  <si>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</si>
  <si>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</si>
  <si>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</si>
  <si>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</si>
  <si>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</si>
  <si>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</si>
  <si>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</si>
  <si>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</si>
  <si>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</si>
  <si>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</si>
  <si>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</si>
  <si>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</si>
  <si>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</si>
  <si>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</si>
  <si>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</si>
  <si>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</si>
  <si>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</si>
  <si>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</si>
  <si>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</si>
  <si>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</si>
  <si>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</si>
  <si>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</si>
  <si>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</si>
  <si>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</si>
  <si>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</si>
  <si>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</si>
  <si>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</si>
  <si>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</si>
  <si>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</si>
  <si>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</si>
  <si>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</si>
  <si>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</si>
  <si>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</si>
  <si>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</si>
  <si>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</si>
  <si>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</si>
  <si>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</si>
  <si>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</si>
  <si>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</si>
  <si>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</si>
  <si>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</si>
  <si>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</si>
  <si>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</si>
  <si>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</si>
  <si>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</si>
  <si>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</si>
  <si>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</si>
  <si>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</si>
  <si>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</si>
  <si>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</si>
  <si>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</si>
  <si>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</si>
  <si>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</si>
  <si>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</si>
  <si>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</si>
  <si>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</si>
  <si>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</si>
  <si>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</si>
  <si>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</si>
  <si>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</si>
  <si>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</si>
  <si>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</si>
  <si>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</si>
  <si>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</si>
  <si>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</si>
  <si>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</si>
  <si>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</si>
  <si>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</si>
  <si>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</si>
  <si>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</si>
  <si>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</si>
  <si>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</si>
  <si>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</si>
  <si>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</si>
  <si>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</si>
  <si>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</si>
  <si>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</si>
  <si>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</si>
  <si>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</si>
  <si>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</si>
  <si>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</si>
  <si>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</si>
  <si>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</si>
  <si>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</si>
  <si>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</si>
  <si>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</si>
  <si>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</si>
  <si>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</si>
  <si>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</si>
  <si>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</si>
  <si>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</si>
  <si>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</si>
  <si>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</si>
  <si>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</si>
  <si>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</si>
  <si>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</si>
  <si>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</si>
  <si>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</si>
  <si>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</si>
  <si>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</si>
  <si>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</si>
  <si>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</si>
  <si>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</si>
  <si>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</si>
  <si>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</si>
  <si>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</si>
  <si>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</si>
  <si>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</si>
  <si>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</si>
  <si>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</si>
  <si>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</si>
  <si>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</si>
  <si>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</si>
  <si>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</si>
  <si>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</si>
  <si>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</si>
  <si>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</si>
  <si>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</si>
  <si>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</si>
  <si>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</si>
  <si>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</si>
  <si>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</si>
  <si>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</si>
  <si>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</si>
  <si>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</si>
  <si>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</si>
  <si>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</si>
  <si>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</si>
  <si>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</si>
  <si>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</si>
  <si>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</si>
  <si>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</si>
  <si>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</si>
  <si>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</si>
  <si>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</si>
  <si>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</si>
  <si>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</si>
  <si>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</si>
  <si>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</si>
  <si>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</si>
  <si>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</si>
  <si>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</si>
  <si>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</si>
  <si>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</si>
  <si>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</si>
  <si>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</si>
  <si>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</si>
  <si>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</si>
  <si>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</si>
  <si>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</si>
  <si>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</si>
  <si>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</si>
  <si>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</si>
  <si>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</si>
  <si>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</si>
  <si>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</si>
  <si>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</si>
  <si>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</si>
  <si>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</si>
  <si>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</si>
  <si>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</si>
  <si>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</si>
  <si>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</si>
  <si>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</si>
  <si>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</si>
  <si>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</si>
  <si>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</si>
  <si>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</si>
  <si>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</si>
  <si>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</si>
  <si>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</si>
  <si>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</si>
  <si>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</si>
  <si>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</si>
  <si>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</si>
  <si>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</si>
  <si>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</si>
  <si>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</si>
  <si>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</si>
  <si>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</si>
  <si>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</si>
  <si>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</si>
  <si>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</si>
  <si>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</si>
  <si>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</si>
  <si>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</si>
  <si>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</si>
  <si>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</si>
  <si>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</si>
  <si>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</si>
  <si>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</si>
  <si>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</si>
  <si>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</si>
  <si>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</si>
  <si>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</si>
  <si>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</si>
  <si>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</si>
  <si>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</si>
  <si>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</si>
  <si>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</si>
  <si>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</si>
  <si>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</si>
  <si>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</si>
  <si>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</si>
  <si>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</si>
  <si>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</si>
  <si>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</si>
  <si>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</si>
  <si>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</si>
  <si>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</si>
  <si>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</si>
  <si>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</si>
  <si>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</si>
  <si>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</si>
  <si>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</si>
  <si>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</si>
  <si>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</si>
  <si>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</si>
  <si>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</si>
  <si>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</si>
  <si>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</si>
  <si>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</si>
  <si>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</si>
  <si>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</si>
  <si>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</si>
  <si>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</si>
  <si>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</si>
  <si>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</si>
  <si>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</si>
  <si>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</si>
  <si>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</si>
  <si>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</si>
  <si>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</si>
  <si>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</si>
  <si>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</si>
  <si>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</si>
  <si>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</si>
  <si>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</si>
  <si>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</si>
  <si>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</si>
  <si>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</si>
  <si>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</si>
  <si>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</si>
  <si>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</si>
  <si>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</si>
  <si>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</si>
  <si>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</si>
  <si>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</si>
  <si>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</si>
  <si>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</si>
  <si>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</si>
  <si>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</si>
  <si>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</si>
  <si>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</si>
  <si>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</si>
  <si>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</si>
  <si>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</si>
  <si>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</si>
  <si>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</si>
  <si>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</si>
  <si>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</si>
  <si>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</si>
  <si>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</si>
  <si>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</si>
  <si>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</si>
  <si>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</si>
  <si>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</si>
  <si>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</si>
  <si>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</si>
  <si>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</si>
  <si>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</si>
  <si>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</si>
  <si>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</si>
  <si>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</si>
  <si>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</si>
  <si>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</si>
  <si>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</si>
  <si>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</si>
  <si>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</si>
  <si>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</si>
  <si>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</si>
  <si>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</si>
  <si>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</si>
  <si>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</si>
  <si>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</si>
  <si>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</si>
  <si>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</si>
  <si>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</si>
  <si>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</si>
  <si>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</si>
  <si>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</si>
  <si>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</si>
  <si>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</si>
  <si>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</si>
  <si>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</si>
  <si>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</si>
  <si>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</si>
  <si>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</si>
  <si>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</si>
  <si>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</si>
  <si>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</si>
  <si>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</si>
  <si>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</si>
  <si>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</si>
  <si>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</si>
  <si>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</si>
  <si>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</si>
  <si>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</si>
  <si>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</si>
  <si>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</si>
  <si>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</si>
  <si>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</si>
  <si>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</si>
  <si>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</si>
  <si>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</si>
  <si>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</si>
  <si>
    <t>SUS.Roupa.de.Cama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</si>
  <si>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</si>
  <si>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</si>
  <si>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</si>
  <si>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</si>
  <si>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</si>
  <si>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</si>
  <si>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</si>
  <si>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</si>
  <si>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</si>
  <si>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</si>
  <si>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</si>
  <si>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</si>
  <si>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</si>
  <si>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</si>
  <si>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</si>
  <si>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</si>
  <si>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</si>
  <si>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</si>
  <si>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</si>
  <si>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</si>
  <si>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</si>
  <si>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</si>
  <si>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</si>
  <si>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</si>
  <si>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</si>
  <si>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</si>
  <si>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</si>
  <si>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</si>
  <si>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</si>
  <si>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</si>
  <si>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</si>
  <si>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</si>
  <si>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</si>
  <si>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</si>
  <si>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</si>
  <si>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</si>
  <si>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</si>
  <si>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</si>
  <si>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</si>
  <si>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</si>
  <si>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</si>
  <si>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</si>
  <si>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</si>
  <si>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</si>
  <si>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</si>
  <si>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</si>
  <si>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</si>
  <si>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</si>
  <si>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</si>
  <si>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</si>
  <si>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</si>
  <si>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</si>
  <si>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</si>
  <si>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</si>
  <si>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</si>
  <si>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</si>
  <si>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</si>
  <si>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</si>
  <si>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</si>
  <si>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</si>
  <si>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</si>
  <si>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</si>
  <si>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</si>
  <si>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</si>
  <si>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</si>
  <si>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</si>
  <si>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</si>
  <si>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</si>
  <si>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</si>
  <si>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</si>
  <si>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</si>
  <si>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</si>
  <si>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</si>
  <si>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</si>
  <si>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</si>
  <si>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</si>
  <si>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</si>
  <si>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</si>
  <si>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</si>
  <si>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</si>
  <si>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</si>
  <si>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"Códigos"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</si>
  <si>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</si>
  <si>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</si>
  <si>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</si>
  <si>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</si>
  <si>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</si>
  <si>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</si>
  <si>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</si>
  <si>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</si>
  <si>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</si>
  <si>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</si>
  <si>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</si>
  <si>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</si>
  <si>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</si>
  <si>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</si>
  <si>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</si>
  <si>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</si>
  <si>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</si>
  <si>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</si>
  <si>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</si>
  <si>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</si>
  <si>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</si>
  <si>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</si>
  <si>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</si>
  <si>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</si>
  <si>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</si>
  <si>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</si>
  <si>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</si>
  <si>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</si>
  <si>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</si>
  <si>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</si>
  <si>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</si>
  <si>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</si>
  <si>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</si>
  <si>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</si>
  <si>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</si>
  <si>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</si>
  <si>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</si>
  <si>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</si>
  <si>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</si>
  <si>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</si>
  <si>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</si>
  <si>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</si>
  <si>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</si>
  <si>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</si>
  <si>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</si>
  <si>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</si>
  <si>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</si>
  <si>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</si>
  <si>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</si>
  <si>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</si>
  <si>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</si>
  <si>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</si>
  <si>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</si>
  <si>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</si>
  <si>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</si>
  <si>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</si>
  <si>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</si>
  <si>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</si>
  <si>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</si>
  <si>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</si>
  <si>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</si>
  <si>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</si>
  <si>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</si>
  <si>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</si>
  <si>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</si>
  <si>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</si>
  <si>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</si>
  <si>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</si>
  <si>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</si>
  <si>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</si>
  <si>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</si>
  <si>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</si>
  <si>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</si>
  <si>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</si>
  <si>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</si>
  <si>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</si>
  <si>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</si>
  <si>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</si>
  <si>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</si>
  <si>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</si>
  <si>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</si>
  <si>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</si>
  <si>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</si>
  <si>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</si>
  <si>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</si>
  <si>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</si>
  <si>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</si>
  <si>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</si>
  <si>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</si>
  <si>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</si>
  <si>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</si>
  <si>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"Pentacames"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</si>
  <si>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</si>
  <si>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</si>
  <si>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</si>
  <si>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</si>
  <si>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</si>
  <si>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</si>
  <si>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</si>
  <si>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</si>
  <si>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</si>
  <si>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</si>
  <si>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</si>
  <si>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</si>
  <si>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</si>
  <si>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</si>
  <si>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</si>
  <si>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</si>
  <si>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</si>
  <si>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</si>
  <si>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</si>
  <si>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</si>
  <si>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</si>
  <si>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</si>
  <si>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</si>
  <si>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</si>
  <si>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</si>
  <si>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</si>
  <si>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</si>
  <si>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</si>
  <si>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</si>
  <si>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</si>
  <si>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</si>
  <si>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</si>
  <si>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</si>
  <si>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</si>
  <si>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</si>
  <si>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</si>
  <si>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</si>
  <si>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</si>
  <si>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</si>
  <si>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</si>
  <si>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</si>
  <si>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</si>
  <si>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</si>
  <si>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</si>
  <si>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</si>
  <si>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</si>
  <si>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</si>
  <si>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</si>
  <si>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</si>
  <si>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</si>
  <si>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</si>
  <si>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</si>
  <si>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</si>
  <si>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</si>
  <si>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</si>
  <si>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</si>
  <si>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</si>
  <si>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</si>
  <si>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</si>
  <si>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</si>
  <si>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</si>
  <si>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</si>
  <si>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</si>
  <si>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</si>
  <si>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</si>
  <si>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</si>
  <si>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</si>
  <si>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</si>
  <si>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</si>
  <si>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</si>
  <si>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</si>
  <si>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</si>
  <si>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</si>
  <si>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</si>
  <si>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</si>
  <si>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</si>
  <si>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</si>
  <si>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</si>
  <si>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</si>
  <si>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</si>
  <si>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</si>
  <si>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</si>
  <si>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</si>
  <si>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</si>
  <si>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</si>
  <si>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</si>
  <si>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</si>
  <si>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</si>
  <si>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</si>
  <si>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</si>
  <si>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</si>
  <si>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</si>
  <si>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</si>
  <si>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</si>
  <si>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</si>
  <si>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</si>
  <si>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</si>
  <si>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</si>
  <si>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</si>
  <si>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</si>
  <si>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</si>
  <si>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</si>
  <si>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</si>
  <si>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</si>
  <si>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</si>
  <si>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</si>
  <si>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"Laringos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</si>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</sst>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1096</v>
      </c>
    </row>
    <row r="3" spans="1:2" s="19" customFormat="1" ht="9.75" customHeight="1" x14ac:dyDescent="0.35">
      <c r="A3" s="20" t="s">
        <v>14</v>
      </c>
      <c r="B3" s="3" t="s">
        <v>598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594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599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595</v>
      </c>
    </row>
    <row r="18" spans="1:2" s="19" customFormat="1" ht="9.75" customHeight="1" x14ac:dyDescent="0.35">
      <c r="A18" s="20" t="s">
        <v>23</v>
      </c>
      <c r="B18" s="5">
        <f ca="1">NOW()</f>
        <v>45964.730753240743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596</v>
      </c>
    </row>
    <row r="23" spans="1:2" s="19" customFormat="1" ht="9.75" customHeight="1" x14ac:dyDescent="0.35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3"/>
  <sheetViews>
    <sheetView tabSelected="1" zoomScale="235" zoomScaleNormal="235" workbookViewId="0">
      <pane ySplit="1" topLeftCell="A2" activePane="bottomLeft" state="frozen"/>
      <selection pane="bottomLeft" activeCell="A2" sqref="A2:XFD23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3984375" style="19" bestFit="1" customWidth="1"/>
    <col min="12" max="12" width="6.5" style="29" bestFit="1" customWidth="1"/>
    <col min="13" max="13" width="11.69921875" style="29" customWidth="1"/>
    <col min="14" max="14" width="14.8984375" style="29" customWidth="1"/>
    <col min="15" max="15" width="14" style="29" customWidth="1"/>
    <col min="16" max="16" width="50.19921875" style="19" bestFit="1" customWidth="1"/>
    <col min="17" max="17" width="47.5" style="19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59765625" style="19" customWidth="1"/>
    <col min="22" max="22" width="13.19921875" style="19" customWidth="1"/>
    <col min="23" max="23" width="7.8984375" style="37" customWidth="1"/>
    <col min="24" max="24" width="27.3984375" style="19" customWidth="1"/>
    <col min="25" max="25" width="11" style="19" customWidth="1"/>
    <col min="26" max="26" width="8.8984375" style="19" customWidth="1"/>
    <col min="27" max="16384" width="11.5" style="19"/>
  </cols>
  <sheetData>
    <row r="1" spans="1:26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</row>
    <row r="2" spans="1:26" s="29" customFormat="1" ht="7.3" customHeight="1" x14ac:dyDescent="0.35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" customHeight="1" x14ac:dyDescent="0.35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</row>
    <row r="4" spans="1:26" ht="7.3" customHeight="1" x14ac:dyDescent="0.35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</row>
    <row r="5" spans="1:26" ht="7.3" customHeight="1" x14ac:dyDescent="0.35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</row>
    <row r="6" spans="1:26" ht="7.3" customHeight="1" x14ac:dyDescent="0.35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</row>
    <row r="7" spans="1:26" ht="7.3" customHeight="1" x14ac:dyDescent="0.35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</row>
    <row r="8" spans="1:26" ht="7.3" customHeight="1" x14ac:dyDescent="0.35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</row>
    <row r="9" spans="1:26" ht="7.3" customHeight="1" x14ac:dyDescent="0.35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</row>
    <row r="10" spans="1:26" ht="7.3" customHeight="1" x14ac:dyDescent="0.35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</row>
    <row r="11" spans="1:26" ht="7.3" customHeight="1" x14ac:dyDescent="0.35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</row>
    <row r="12" spans="1:26" ht="7.3" customHeight="1" x14ac:dyDescent="0.35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</row>
    <row r="13" spans="1:26" ht="7.3" customHeight="1" x14ac:dyDescent="0.35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</row>
    <row r="14" spans="1:26" ht="7.3" customHeight="1" x14ac:dyDescent="0.35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</row>
    <row r="15" spans="1:26" ht="7.3" customHeight="1" x14ac:dyDescent="0.35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</row>
    <row r="16" spans="1:26" ht="7.3" customHeight="1" x14ac:dyDescent="0.35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1597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6">CONCATENATE("", C16)</f>
        <v>SUS</v>
      </c>
      <c r="M16" s="25" t="str">
        <f t="shared" ref="M16" si="7">CONCATENATE("", D16)</f>
        <v>SUS.Assistência.Médica</v>
      </c>
      <c r="N16" s="25" t="str">
        <f t="shared" ref="N16" si="8">CONCATENATE("", E16)</f>
        <v>SUS.Equipamentos</v>
      </c>
      <c r="O16" s="25" t="str">
        <f t="shared" ref="O16" si="9">F16</f>
        <v>SUS.Robot</v>
      </c>
      <c r="P16" s="25" t="s">
        <v>1598</v>
      </c>
      <c r="Q16" s="25" t="s">
        <v>1600</v>
      </c>
      <c r="R16" s="38" t="s">
        <v>26</v>
      </c>
      <c r="S16" s="25" t="str">
        <f t="shared" ref="S16" si="10">SUBSTITUTE(D16, "_", " ")</f>
        <v>SUS.Assistência.Médica</v>
      </c>
      <c r="T16" s="25" t="str">
        <f t="shared" ref="T16" si="11">SUBSTITUTE(E16, "_", " ")</f>
        <v>SUS.Equipamentos</v>
      </c>
      <c r="U16" s="25" t="str">
        <f t="shared" ref="U16" si="12">SUBSTITUTE(F16, "_", " ")</f>
        <v>SUS.Robot</v>
      </c>
      <c r="V16" s="26" t="s">
        <v>1064</v>
      </c>
      <c r="W16" s="36" t="str">
        <f t="shared" ref="W16" si="13">CONCATENATE("Key.",LEFT(C16,3),".",A16)</f>
        <v>Key.SUS.16</v>
      </c>
      <c r="X16" s="26" t="s">
        <v>1160</v>
      </c>
      <c r="Y16" s="26" t="s">
        <v>1107</v>
      </c>
      <c r="Z16" s="26" t="s">
        <v>1108</v>
      </c>
    </row>
    <row r="17" spans="1:26" ht="7.3" customHeight="1" x14ac:dyDescent="0.35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1599</v>
      </c>
      <c r="Q17" s="25" t="s">
        <v>1601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</row>
    <row r="18" spans="1:26" ht="7.3" customHeight="1" x14ac:dyDescent="0.35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4">CONCATENATE("", C18)</f>
        <v>SUS</v>
      </c>
      <c r="M18" s="25" t="str">
        <f t="shared" ref="M18" si="15">CONCATENATE("", D18)</f>
        <v>SUS.Assistência.Médica</v>
      </c>
      <c r="N18" s="25" t="str">
        <f t="shared" ref="N18" si="16">CONCATENATE("", E18)</f>
        <v>SUS.Equipamentos</v>
      </c>
      <c r="O18" s="25" t="str">
        <f t="shared" ref="O18" si="17">F18</f>
        <v>SUS.Dispositivo</v>
      </c>
      <c r="P18" s="25" t="s">
        <v>1135</v>
      </c>
      <c r="Q18" s="25" t="s">
        <v>1602</v>
      </c>
      <c r="R18" s="38" t="s">
        <v>26</v>
      </c>
      <c r="S18" s="25" t="str">
        <f t="shared" ref="S18" si="18">SUBSTITUTE(D18, "_", " ")</f>
        <v>SUS.Assistência.Médica</v>
      </c>
      <c r="T18" s="25" t="str">
        <f t="shared" ref="T18" si="19">SUBSTITUTE(E18, "_", " ")</f>
        <v>SUS.Equipamentos</v>
      </c>
      <c r="U18" s="25" t="str">
        <f t="shared" ref="U18" si="20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</row>
    <row r="19" spans="1:26" ht="7.3" customHeight="1" x14ac:dyDescent="0.35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1603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</row>
    <row r="20" spans="1:26" customFormat="1" ht="7.3" customHeight="1" x14ac:dyDescent="0.3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1">CONCATENATE("Key.",LEFT(C20,3),".",A20)</f>
        <v>Key.SUS.20</v>
      </c>
      <c r="X20" s="26" t="s">
        <v>1159</v>
      </c>
      <c r="Y20" s="26" t="s">
        <v>1161</v>
      </c>
      <c r="Z20" s="26" t="s">
        <v>1108</v>
      </c>
    </row>
    <row r="21" spans="1:26" customFormat="1" ht="7.3" customHeight="1" x14ac:dyDescent="0.3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1596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2">CONCATENATE("", C21)</f>
        <v>SUS</v>
      </c>
      <c r="M21" s="25" t="str">
        <f t="shared" ref="M21" si="23">CONCATENATE("", D21)</f>
        <v>SUS.Assistência.Médica</v>
      </c>
      <c r="N21" s="25" t="str">
        <f t="shared" ref="N21" si="24">CONCATENATE("", E21)</f>
        <v>SUS.Hotelaria</v>
      </c>
      <c r="O21" s="25" t="str">
        <f t="shared" ref="O21" si="25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6">SUBSTITUTE(D21, "_", " ")</f>
        <v>SUS.Assistência.Médica</v>
      </c>
      <c r="T21" s="25" t="str">
        <f t="shared" ref="T21" si="27">SUBSTITUTE(E21, "_", " ")</f>
        <v>SUS.Hotelaria</v>
      </c>
      <c r="U21" s="25" t="str">
        <f t="shared" ref="U21" si="28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</row>
    <row r="22" spans="1:26" customFormat="1" ht="7.3" customHeight="1" x14ac:dyDescent="0.3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1596</v>
      </c>
      <c r="F22" s="24" t="s">
        <v>1256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SUS.Roupa.de.Cama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SUS.Roupa.de.Cama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</row>
    <row r="23" spans="1:26" customFormat="1" ht="7.3" customHeight="1" x14ac:dyDescent="0.3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1596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29">CONCATENATE("", C23)</f>
        <v>SUS</v>
      </c>
      <c r="M23" s="25" t="str">
        <f t="shared" ref="M23" si="30">CONCATENATE("", D23)</f>
        <v>SUS.Assistência.Médica</v>
      </c>
      <c r="N23" s="25" t="str">
        <f t="shared" ref="N23" si="31">CONCATENATE("", E23)</f>
        <v>SUS.Hotelaria</v>
      </c>
      <c r="O23" s="25" t="str">
        <f t="shared" ref="O23" si="32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3">SUBSTITUTE(D23, "_", " ")</f>
        <v>SUS.Assistência.Médica</v>
      </c>
      <c r="T23" s="25" t="str">
        <f t="shared" ref="T23" si="34">SUBSTITUTE(E23, "_", " ")</f>
        <v>SUS.Hotelaria</v>
      </c>
      <c r="U23" s="25" t="str">
        <f t="shared" ref="U23" si="35">SUBSTITUTE(F23, "_", " ")</f>
        <v>SUS.Alimentação</v>
      </c>
      <c r="V23" s="26" t="s">
        <v>1064</v>
      </c>
      <c r="W23" s="36" t="str">
        <f t="shared" ref="W23" si="36">CONCATENATE("Key.",LEFT(C23,3),".",A23)</f>
        <v>Key.SUS.23</v>
      </c>
      <c r="X23" s="26" t="s">
        <v>1159</v>
      </c>
      <c r="Y23" s="26" t="s">
        <v>1161</v>
      </c>
      <c r="Z23" s="26" t="s">
        <v>1108</v>
      </c>
    </row>
  </sheetData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9">
    <cfRule type="duplicateValues" dxfId="11" priority="11"/>
  </conditionalFormatting>
  <conditionalFormatting sqref="F20:F23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3">
    <cfRule type="cellIs" dxfId="4" priority="1" operator="equal">
      <formula>"null"</formula>
    </cfRule>
  </conditionalFormatting>
  <conditionalFormatting sqref="W20:W23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1093</v>
      </c>
      <c r="C1" s="17" t="s">
        <v>1094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Z557"/>
  <sheetViews>
    <sheetView zoomScale="205" zoomScaleNormal="205" workbookViewId="0">
      <pane ySplit="1" topLeftCell="A419" activePane="bottomLeft" state="frozen"/>
      <selection pane="bottomLeft" sqref="A1:A1048576"/>
    </sheetView>
  </sheetViews>
  <sheetFormatPr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09765625" style="46" customWidth="1"/>
    <col min="7" max="7" width="10.5" style="46" bestFit="1" customWidth="1"/>
    <col min="8" max="8" width="15.3984375" style="46" customWidth="1"/>
    <col min="9" max="9" width="10.69921875" style="46" customWidth="1"/>
    <col min="10" max="10" width="14.796875" style="46" customWidth="1"/>
    <col min="11" max="11" width="48.3984375" style="46" bestFit="1" customWidth="1"/>
    <col min="12" max="12" width="6.09765625" style="51" customWidth="1"/>
    <col min="13" max="13" width="8.69921875" style="51" customWidth="1"/>
    <col min="14" max="14" width="5.69921875" style="51" customWidth="1"/>
    <col min="15" max="15" width="11.8984375" style="58" bestFit="1" customWidth="1"/>
    <col min="16" max="16" width="7.59765625" style="51" customWidth="1"/>
    <col min="17" max="17" width="53.0976562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2" style="46" customWidth="1"/>
    <col min="25" max="25" width="5.59765625" style="48" customWidth="1"/>
    <col min="26" max="26" width="41.5" style="58" bestFit="1" customWidth="1"/>
    <col min="27" max="16384" width="8.796875" style="46"/>
  </cols>
  <sheetData>
    <row r="1" spans="1:26" ht="30.55" customHeight="1" x14ac:dyDescent="0.3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  <c r="Z1" s="58" t="s">
        <v>1164</v>
      </c>
    </row>
    <row r="2" spans="1:26" ht="6" customHeight="1" x14ac:dyDescent="0.3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58" t="s">
        <v>26</v>
      </c>
    </row>
    <row r="3" spans="1:26" ht="6" customHeight="1" x14ac:dyDescent="0.3">
      <c r="A3" s="47">
        <v>2</v>
      </c>
      <c r="B3" s="55" t="s">
        <v>1255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58" t="s">
        <v>26</v>
      </c>
    </row>
    <row r="4" spans="1:26" ht="6" customHeight="1" x14ac:dyDescent="0.3">
      <c r="A4" s="47">
        <v>3</v>
      </c>
      <c r="B4" s="55" t="s">
        <v>1246</v>
      </c>
      <c r="C4" s="24" t="s">
        <v>1256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58" t="s">
        <v>26</v>
      </c>
    </row>
    <row r="5" spans="1:26" ht="6" customHeight="1" x14ac:dyDescent="0.3">
      <c r="A5" s="47">
        <v>4</v>
      </c>
      <c r="B5" s="55" t="s">
        <v>1274</v>
      </c>
      <c r="C5" s="24" t="s">
        <v>1256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58" t="s">
        <v>26</v>
      </c>
    </row>
    <row r="6" spans="1:26" ht="6" customHeight="1" x14ac:dyDescent="0.3">
      <c r="A6" s="47">
        <v>5</v>
      </c>
      <c r="B6" s="55" t="s">
        <v>1252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58" t="s">
        <v>26</v>
      </c>
    </row>
    <row r="7" spans="1:26" ht="6" customHeight="1" x14ac:dyDescent="0.3">
      <c r="A7" s="47">
        <v>6</v>
      </c>
      <c r="B7" s="55" t="s">
        <v>1251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1253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58" t="s">
        <v>26</v>
      </c>
    </row>
    <row r="8" spans="1:26" ht="6" customHeight="1" x14ac:dyDescent="0.3">
      <c r="A8" s="47">
        <v>7</v>
      </c>
      <c r="B8" s="55" t="s">
        <v>1258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1592</v>
      </c>
      <c r="K8" s="52" t="s">
        <v>1259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58" t="s">
        <v>26</v>
      </c>
    </row>
    <row r="9" spans="1:26" ht="6" customHeight="1" x14ac:dyDescent="0.3">
      <c r="A9" s="47">
        <v>7</v>
      </c>
      <c r="B9" s="55" t="s">
        <v>1560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1593</v>
      </c>
      <c r="K9" s="52" t="s">
        <v>1561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58" t="s">
        <v>26</v>
      </c>
    </row>
    <row r="10" spans="1:26" ht="6" customHeight="1" x14ac:dyDescent="0.3">
      <c r="A10" s="47">
        <v>8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1594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58" t="s">
        <v>26</v>
      </c>
    </row>
    <row r="11" spans="1:26" ht="6" customHeight="1" x14ac:dyDescent="0.3">
      <c r="A11" s="47">
        <v>9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1595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58" t="s">
        <v>26</v>
      </c>
    </row>
    <row r="12" spans="1:26" ht="6" customHeight="1" x14ac:dyDescent="0.3">
      <c r="A12" s="47">
        <v>10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58" t="s">
        <v>26</v>
      </c>
    </row>
    <row r="13" spans="1:26" ht="6" customHeight="1" x14ac:dyDescent="0.3">
      <c r="A13" s="47">
        <v>11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58" t="s">
        <v>26</v>
      </c>
    </row>
    <row r="14" spans="1:26" ht="6" customHeight="1" x14ac:dyDescent="0.3">
      <c r="A14" s="47">
        <v>12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58" t="s">
        <v>26</v>
      </c>
    </row>
    <row r="15" spans="1:26" ht="6" customHeight="1" x14ac:dyDescent="0.3">
      <c r="A15" s="47">
        <v>13</v>
      </c>
      <c r="B15" s="55" t="s">
        <v>1282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1283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58" t="s">
        <v>26</v>
      </c>
    </row>
    <row r="16" spans="1:26" ht="6" customHeight="1" x14ac:dyDescent="0.3">
      <c r="A16" s="47">
        <v>14</v>
      </c>
      <c r="B16" s="55" t="s">
        <v>1276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1277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58" t="s">
        <v>26</v>
      </c>
    </row>
    <row r="17" spans="1:26" ht="6" customHeight="1" x14ac:dyDescent="0.3">
      <c r="A17" s="47">
        <v>15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58" t="s">
        <v>26</v>
      </c>
    </row>
    <row r="18" spans="1:26" ht="6" customHeight="1" x14ac:dyDescent="0.3">
      <c r="A18" s="47">
        <v>16</v>
      </c>
      <c r="B18" s="55" t="s">
        <v>1278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1279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58" t="s">
        <v>26</v>
      </c>
    </row>
    <row r="19" spans="1:26" ht="6" customHeight="1" x14ac:dyDescent="0.3">
      <c r="A19" s="47">
        <v>17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58" t="s">
        <v>26</v>
      </c>
    </row>
    <row r="20" spans="1:26" ht="6" customHeight="1" x14ac:dyDescent="0.3">
      <c r="A20" s="47">
        <v>18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58" t="s">
        <v>26</v>
      </c>
    </row>
    <row r="21" spans="1:26" ht="6" customHeight="1" x14ac:dyDescent="0.3">
      <c r="A21" s="47">
        <v>19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58" t="s">
        <v>26</v>
      </c>
    </row>
    <row r="22" spans="1:26" ht="6" customHeight="1" x14ac:dyDescent="0.3">
      <c r="A22" s="47">
        <v>20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58" t="s">
        <v>26</v>
      </c>
    </row>
    <row r="23" spans="1:26" ht="6" customHeight="1" x14ac:dyDescent="0.3">
      <c r="A23" s="47">
        <v>21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58" t="s">
        <v>26</v>
      </c>
    </row>
    <row r="24" spans="1:26" ht="6" customHeight="1" x14ac:dyDescent="0.3">
      <c r="A24" s="47">
        <v>22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58" t="s">
        <v>26</v>
      </c>
    </row>
    <row r="25" spans="1:26" ht="6" customHeight="1" x14ac:dyDescent="0.3">
      <c r="A25" s="47">
        <v>23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58" t="s">
        <v>26</v>
      </c>
    </row>
    <row r="26" spans="1:26" ht="6" customHeight="1" x14ac:dyDescent="0.3">
      <c r="A26" s="47">
        <v>24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58" t="s">
        <v>26</v>
      </c>
    </row>
    <row r="27" spans="1:26" ht="6" customHeight="1" x14ac:dyDescent="0.3">
      <c r="A27" s="47">
        <v>25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58" t="s">
        <v>26</v>
      </c>
    </row>
    <row r="28" spans="1:26" ht="6" customHeight="1" x14ac:dyDescent="0.3">
      <c r="A28" s="47">
        <v>26</v>
      </c>
      <c r="B28" s="55" t="s">
        <v>1557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1559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58" t="s">
        <v>26</v>
      </c>
    </row>
    <row r="29" spans="1:26" ht="6" customHeight="1" x14ac:dyDescent="0.3">
      <c r="A29" s="47">
        <v>27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1260</v>
      </c>
      <c r="K29" s="52" t="s">
        <v>1262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58" t="s">
        <v>26</v>
      </c>
    </row>
    <row r="30" spans="1:26" ht="6" customHeight="1" x14ac:dyDescent="0.3">
      <c r="A30" s="47">
        <v>28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1260</v>
      </c>
      <c r="K30" s="52" t="s">
        <v>1263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58" t="s">
        <v>26</v>
      </c>
    </row>
    <row r="31" spans="1:26" ht="6" customHeight="1" x14ac:dyDescent="0.3">
      <c r="A31" s="47">
        <v>29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1260</v>
      </c>
      <c r="K31" s="52" t="s">
        <v>1264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58" t="s">
        <v>26</v>
      </c>
    </row>
    <row r="32" spans="1:26" ht="6" customHeight="1" x14ac:dyDescent="0.3">
      <c r="A32" s="47">
        <v>30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1260</v>
      </c>
      <c r="K32" s="52" t="s">
        <v>1265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58" t="s">
        <v>26</v>
      </c>
    </row>
    <row r="33" spans="1:26" ht="6" customHeight="1" x14ac:dyDescent="0.3">
      <c r="A33" s="47">
        <v>31</v>
      </c>
      <c r="B33" s="55" t="s">
        <v>1273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1260</v>
      </c>
      <c r="K33" s="52" t="s">
        <v>1266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58" t="s">
        <v>26</v>
      </c>
    </row>
    <row r="34" spans="1:26" ht="6" customHeight="1" x14ac:dyDescent="0.3">
      <c r="A34" s="47">
        <v>32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1260</v>
      </c>
      <c r="K34" s="52" t="s">
        <v>1267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58" t="s">
        <v>26</v>
      </c>
    </row>
    <row r="35" spans="1:26" ht="6" customHeight="1" x14ac:dyDescent="0.3">
      <c r="A35" s="47">
        <v>33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1260</v>
      </c>
      <c r="K35" s="52" t="s">
        <v>1268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58" t="s">
        <v>26</v>
      </c>
    </row>
    <row r="36" spans="1:26" ht="6" customHeight="1" x14ac:dyDescent="0.3">
      <c r="A36" s="47">
        <v>34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1260</v>
      </c>
      <c r="K36" s="52" t="s">
        <v>1269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58" t="s">
        <v>26</v>
      </c>
    </row>
    <row r="37" spans="1:26" ht="6" customHeight="1" x14ac:dyDescent="0.3">
      <c r="A37" s="47">
        <v>35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1260</v>
      </c>
      <c r="K37" s="52" t="s">
        <v>1270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58" t="s">
        <v>26</v>
      </c>
    </row>
    <row r="38" spans="1:26" ht="6" customHeight="1" x14ac:dyDescent="0.3">
      <c r="A38" s="47">
        <v>36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1260</v>
      </c>
      <c r="K38" s="52" t="s">
        <v>1271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58" t="s">
        <v>26</v>
      </c>
    </row>
    <row r="39" spans="1:26" ht="6" customHeight="1" x14ac:dyDescent="0.3">
      <c r="A39" s="47">
        <v>37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 t="shared" ref="M39:M70" si="1">_xlfn.CONCAT("""",B39,"""")</f>
        <v>"EQU.001"</v>
      </c>
      <c r="N39" s="31" t="s">
        <v>1063</v>
      </c>
      <c r="O39" s="60" t="s">
        <v>1416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  <c r="Z39" s="58" t="s">
        <v>1416</v>
      </c>
    </row>
    <row r="40" spans="1:26" ht="6" customHeight="1" x14ac:dyDescent="0.3">
      <c r="A40" s="47">
        <v>38</v>
      </c>
      <c r="B40" s="55" t="s">
        <v>31</v>
      </c>
      <c r="C40" s="33" t="str">
        <f t="shared" si="0"/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 t="shared" si="1"/>
        <v>"EQU.002"</v>
      </c>
      <c r="N40" s="31" t="s">
        <v>1063</v>
      </c>
      <c r="O40" s="60" t="s">
        <v>1433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  <c r="Z40" s="58" t="s">
        <v>1433</v>
      </c>
    </row>
    <row r="41" spans="1:26" ht="6" customHeight="1" x14ac:dyDescent="0.3">
      <c r="A41" s="47">
        <v>39</v>
      </c>
      <c r="B41" s="55" t="s">
        <v>32</v>
      </c>
      <c r="C41" s="33" t="str">
        <f t="shared" si="0"/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 t="shared" si="1"/>
        <v>"EQU.003"</v>
      </c>
      <c r="N41" s="31" t="s">
        <v>1063</v>
      </c>
      <c r="O41" s="60" t="s">
        <v>1284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  <c r="Z41" s="58" t="s">
        <v>1284</v>
      </c>
    </row>
    <row r="42" spans="1:26" ht="6" customHeight="1" x14ac:dyDescent="0.3">
      <c r="A42" s="47">
        <v>40</v>
      </c>
      <c r="B42" s="55" t="s">
        <v>33</v>
      </c>
      <c r="C42" s="33" t="str">
        <f t="shared" si="0"/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 t="shared" si="1"/>
        <v>"EQU.004"</v>
      </c>
      <c r="N42" s="31" t="s">
        <v>1063</v>
      </c>
      <c r="O42" s="60" t="s">
        <v>1433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  <c r="Z42" s="58" t="s">
        <v>1433</v>
      </c>
    </row>
    <row r="43" spans="1:26" ht="6" customHeight="1" x14ac:dyDescent="0.3">
      <c r="A43" s="47">
        <v>41</v>
      </c>
      <c r="B43" s="55" t="s">
        <v>34</v>
      </c>
      <c r="C43" s="33" t="str">
        <f t="shared" si="0"/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 t="shared" si="1"/>
        <v>"EQU.005"</v>
      </c>
      <c r="N43" s="31" t="s">
        <v>1063</v>
      </c>
      <c r="O43" s="60" t="s">
        <v>1434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  <c r="Z43" s="58" t="s">
        <v>1434</v>
      </c>
    </row>
    <row r="44" spans="1:26" ht="6" customHeight="1" x14ac:dyDescent="0.3">
      <c r="A44" s="47">
        <v>42</v>
      </c>
      <c r="B44" s="55" t="s">
        <v>35</v>
      </c>
      <c r="C44" s="33" t="str">
        <f t="shared" si="0"/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 t="shared" si="1"/>
        <v>"EQU.006"</v>
      </c>
      <c r="N44" s="31" t="s">
        <v>1063</v>
      </c>
      <c r="O44" s="60" t="s">
        <v>1285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 t="shared" ref="U44:U49" si="2"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  <c r="Z44" s="58" t="s">
        <v>1285</v>
      </c>
    </row>
    <row r="45" spans="1:26" ht="6" customHeight="1" x14ac:dyDescent="0.3">
      <c r="A45" s="47">
        <v>43</v>
      </c>
      <c r="B45" s="55" t="s">
        <v>36</v>
      </c>
      <c r="C45" s="33" t="str">
        <f t="shared" si="0"/>
        <v>SUS.Dispositivo</v>
      </c>
      <c r="D45" s="53" t="s">
        <v>1185</v>
      </c>
      <c r="E45" s="54" t="s">
        <v>1186</v>
      </c>
      <c r="F45" s="53" t="s">
        <v>1196</v>
      </c>
      <c r="G45" s="54" t="s">
        <v>1258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 t="shared" si="1"/>
        <v>"EQU.007"</v>
      </c>
      <c r="N45" s="31" t="s">
        <v>1063</v>
      </c>
      <c r="O45" s="60" t="s">
        <v>1486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 t="shared" si="2"/>
        <v>1</v>
      </c>
      <c r="V45" s="31" t="s">
        <v>1077</v>
      </c>
      <c r="W45" s="7">
        <v>0</v>
      </c>
      <c r="X45" s="31" t="s">
        <v>26</v>
      </c>
      <c r="Y45" s="49">
        <v>0</v>
      </c>
      <c r="Z45" s="58" t="s">
        <v>1486</v>
      </c>
    </row>
    <row r="46" spans="1:26" ht="6" customHeight="1" x14ac:dyDescent="0.3">
      <c r="A46" s="47">
        <v>44</v>
      </c>
      <c r="B46" s="55" t="s">
        <v>37</v>
      </c>
      <c r="C46" s="33" t="str">
        <f t="shared" si="0"/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 t="shared" si="1"/>
        <v>"EQU.008"</v>
      </c>
      <c r="N46" s="31" t="s">
        <v>1063</v>
      </c>
      <c r="O46" s="60" t="s">
        <v>1286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 t="shared" si="2"/>
        <v>0</v>
      </c>
      <c r="V46" s="31" t="s">
        <v>1077</v>
      </c>
      <c r="W46" s="7">
        <v>0</v>
      </c>
      <c r="X46" s="31" t="s">
        <v>26</v>
      </c>
      <c r="Y46" s="49">
        <v>0</v>
      </c>
      <c r="Z46" s="58" t="s">
        <v>1286</v>
      </c>
    </row>
    <row r="47" spans="1:26" ht="6" customHeight="1" x14ac:dyDescent="0.3">
      <c r="A47" s="47">
        <v>45</v>
      </c>
      <c r="B47" s="55" t="s">
        <v>38</v>
      </c>
      <c r="C47" s="33" t="str">
        <f t="shared" si="0"/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 t="shared" si="1"/>
        <v>"EQU.009"</v>
      </c>
      <c r="N47" s="31" t="s">
        <v>1063</v>
      </c>
      <c r="O47" s="60" t="s">
        <v>1286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 t="shared" si="2"/>
        <v>0</v>
      </c>
      <c r="V47" s="31" t="s">
        <v>1077</v>
      </c>
      <c r="W47" s="7">
        <v>0</v>
      </c>
      <c r="X47" s="31" t="s">
        <v>26</v>
      </c>
      <c r="Y47" s="49">
        <v>0</v>
      </c>
      <c r="Z47" s="58" t="s">
        <v>1286</v>
      </c>
    </row>
    <row r="48" spans="1:26" ht="6" customHeight="1" x14ac:dyDescent="0.3">
      <c r="A48" s="47">
        <v>46</v>
      </c>
      <c r="B48" s="55" t="s">
        <v>39</v>
      </c>
      <c r="C48" s="33" t="str">
        <f t="shared" si="0"/>
        <v>SUS.Mobília.de.Saúde</v>
      </c>
      <c r="D48" s="53" t="s">
        <v>1185</v>
      </c>
      <c r="E48" s="54" t="s">
        <v>1186</v>
      </c>
      <c r="F48" s="53" t="s">
        <v>1272</v>
      </c>
      <c r="G48" s="54" t="s">
        <v>1199</v>
      </c>
      <c r="H48" s="53" t="s">
        <v>26</v>
      </c>
      <c r="I48" s="54" t="s">
        <v>26</v>
      </c>
      <c r="J48" s="31" t="s">
        <v>1260</v>
      </c>
      <c r="K48" s="52" t="s">
        <v>1213</v>
      </c>
      <c r="L48" s="31" t="s">
        <v>1074</v>
      </c>
      <c r="M48" s="52" t="str">
        <f t="shared" si="1"/>
        <v>"EQU.010"</v>
      </c>
      <c r="N48" s="31" t="s">
        <v>1063</v>
      </c>
      <c r="O48" s="60" t="s">
        <v>1287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 t="shared" si="2"/>
        <v>0</v>
      </c>
      <c r="V48" s="31" t="s">
        <v>1077</v>
      </c>
      <c r="W48" s="7">
        <v>1</v>
      </c>
      <c r="X48" s="31" t="s">
        <v>26</v>
      </c>
      <c r="Y48" s="49">
        <v>0</v>
      </c>
      <c r="Z48" s="58" t="s">
        <v>1287</v>
      </c>
    </row>
    <row r="49" spans="1:26" ht="6" customHeight="1" x14ac:dyDescent="0.3">
      <c r="A49" s="47">
        <v>47</v>
      </c>
      <c r="B49" s="55" t="s">
        <v>40</v>
      </c>
      <c r="C49" s="33" t="str">
        <f t="shared" si="0"/>
        <v>SUS.Mobília.de.Saúde</v>
      </c>
      <c r="D49" s="53" t="s">
        <v>1185</v>
      </c>
      <c r="E49" s="54" t="s">
        <v>1186</v>
      </c>
      <c r="F49" s="53" t="s">
        <v>1272</v>
      </c>
      <c r="G49" s="54" t="s">
        <v>1199</v>
      </c>
      <c r="H49" s="53" t="s">
        <v>1196</v>
      </c>
      <c r="I49" s="54" t="s">
        <v>1174</v>
      </c>
      <c r="J49" s="31" t="s">
        <v>1260</v>
      </c>
      <c r="K49" s="52" t="s">
        <v>1213</v>
      </c>
      <c r="L49" s="31" t="s">
        <v>1074</v>
      </c>
      <c r="M49" s="52" t="str">
        <f t="shared" si="1"/>
        <v>"EQU.011"</v>
      </c>
      <c r="N49" s="31" t="s">
        <v>1063</v>
      </c>
      <c r="O49" s="60" t="s">
        <v>1287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 t="shared" si="2"/>
        <v>0</v>
      </c>
      <c r="V49" s="31" t="s">
        <v>1077</v>
      </c>
      <c r="W49" s="7">
        <v>1</v>
      </c>
      <c r="X49" s="31" t="s">
        <v>26</v>
      </c>
      <c r="Y49" s="49">
        <v>0</v>
      </c>
      <c r="Z49" s="58" t="s">
        <v>1287</v>
      </c>
    </row>
    <row r="50" spans="1:26" ht="6" customHeight="1" x14ac:dyDescent="0.3">
      <c r="A50" s="47">
        <v>48</v>
      </c>
      <c r="B50" s="55" t="s">
        <v>41</v>
      </c>
      <c r="C50" s="33" t="str">
        <f t="shared" si="0"/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 t="shared" si="1"/>
        <v>"EQU.012"</v>
      </c>
      <c r="N50" s="31" t="s">
        <v>1063</v>
      </c>
      <c r="O50" s="60" t="s">
        <v>1288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  <c r="Z50" s="58" t="s">
        <v>1288</v>
      </c>
    </row>
    <row r="51" spans="1:26" ht="6" customHeight="1" x14ac:dyDescent="0.3">
      <c r="A51" s="47">
        <v>49</v>
      </c>
      <c r="B51" s="55" t="s">
        <v>42</v>
      </c>
      <c r="C51" s="33" t="str">
        <f t="shared" si="0"/>
        <v>SUS.Mobília.de.Saúde</v>
      </c>
      <c r="D51" s="53" t="s">
        <v>1185</v>
      </c>
      <c r="E51" s="54" t="s">
        <v>1186</v>
      </c>
      <c r="F51" s="53" t="s">
        <v>1272</v>
      </c>
      <c r="G51" s="54" t="s">
        <v>1215</v>
      </c>
      <c r="H51" s="53" t="s">
        <v>26</v>
      </c>
      <c r="I51" s="54" t="s">
        <v>26</v>
      </c>
      <c r="J51" s="31" t="s">
        <v>1260</v>
      </c>
      <c r="K51" s="52" t="s">
        <v>1213</v>
      </c>
      <c r="L51" s="31" t="s">
        <v>1074</v>
      </c>
      <c r="M51" s="52" t="str">
        <f t="shared" si="1"/>
        <v>"EQU.013"</v>
      </c>
      <c r="N51" s="31" t="s">
        <v>1063</v>
      </c>
      <c r="O51" s="60" t="s">
        <v>1289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 t="shared" ref="U51:U57" si="3"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  <c r="Z51" s="58" t="s">
        <v>1289</v>
      </c>
    </row>
    <row r="52" spans="1:26" ht="6" customHeight="1" x14ac:dyDescent="0.3">
      <c r="A52" s="47">
        <v>50</v>
      </c>
      <c r="B52" s="55" t="s">
        <v>43</v>
      </c>
      <c r="C52" s="33" t="str">
        <f t="shared" si="0"/>
        <v>SUS.Mobília.de.Saúde</v>
      </c>
      <c r="D52" s="53" t="s">
        <v>1185</v>
      </c>
      <c r="E52" s="54" t="s">
        <v>1186</v>
      </c>
      <c r="F52" s="53" t="s">
        <v>1272</v>
      </c>
      <c r="G52" s="54" t="s">
        <v>1201</v>
      </c>
      <c r="H52" s="53" t="s">
        <v>26</v>
      </c>
      <c r="I52" s="54" t="s">
        <v>26</v>
      </c>
      <c r="J52" s="31" t="s">
        <v>1260</v>
      </c>
      <c r="K52" s="52" t="s">
        <v>1179</v>
      </c>
      <c r="L52" s="31" t="s">
        <v>1074</v>
      </c>
      <c r="M52" s="52" t="str">
        <f t="shared" si="1"/>
        <v>"EQU.014"</v>
      </c>
      <c r="N52" s="31" t="s">
        <v>1063</v>
      </c>
      <c r="O52" s="60" t="s">
        <v>1289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 t="shared" si="3"/>
        <v>0</v>
      </c>
      <c r="V52" s="31" t="s">
        <v>1077</v>
      </c>
      <c r="W52" s="7">
        <v>1</v>
      </c>
      <c r="X52" s="31" t="s">
        <v>26</v>
      </c>
      <c r="Y52" s="49">
        <v>0</v>
      </c>
      <c r="Z52" s="58" t="s">
        <v>1289</v>
      </c>
    </row>
    <row r="53" spans="1:26" ht="6" customHeight="1" x14ac:dyDescent="0.3">
      <c r="A53" s="47">
        <v>51</v>
      </c>
      <c r="B53" s="55" t="s">
        <v>44</v>
      </c>
      <c r="C53" s="33" t="str">
        <f t="shared" si="0"/>
        <v>SUS.Mobília.de.Saúde</v>
      </c>
      <c r="D53" s="53" t="s">
        <v>1185</v>
      </c>
      <c r="E53" s="54" t="s">
        <v>1186</v>
      </c>
      <c r="F53" s="53" t="s">
        <v>1272</v>
      </c>
      <c r="G53" s="54" t="s">
        <v>1201</v>
      </c>
      <c r="H53" s="53" t="s">
        <v>26</v>
      </c>
      <c r="I53" s="54" t="s">
        <v>26</v>
      </c>
      <c r="J53" s="31" t="s">
        <v>1260</v>
      </c>
      <c r="K53" s="52" t="s">
        <v>1179</v>
      </c>
      <c r="L53" s="31" t="s">
        <v>1074</v>
      </c>
      <c r="M53" s="52" t="str">
        <f t="shared" si="1"/>
        <v>"EQU.015"</v>
      </c>
      <c r="N53" s="31" t="s">
        <v>1063</v>
      </c>
      <c r="O53" s="60" t="s">
        <v>1289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 t="shared" si="3"/>
        <v>0</v>
      </c>
      <c r="V53" s="31" t="s">
        <v>1077</v>
      </c>
      <c r="W53" s="7">
        <v>1</v>
      </c>
      <c r="X53" s="31" t="s">
        <v>26</v>
      </c>
      <c r="Y53" s="49">
        <v>0</v>
      </c>
      <c r="Z53" s="58" t="s">
        <v>1289</v>
      </c>
    </row>
    <row r="54" spans="1:26" ht="6" customHeight="1" x14ac:dyDescent="0.3">
      <c r="A54" s="47">
        <v>52</v>
      </c>
      <c r="B54" s="55" t="s">
        <v>45</v>
      </c>
      <c r="C54" s="33" t="str">
        <f t="shared" si="0"/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 t="shared" si="1"/>
        <v>"EQU.016"</v>
      </c>
      <c r="N54" s="31" t="s">
        <v>1063</v>
      </c>
      <c r="O54" s="60" t="s">
        <v>1396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 t="shared" si="3"/>
        <v>0</v>
      </c>
      <c r="V54" s="31" t="s">
        <v>1077</v>
      </c>
      <c r="W54" s="7">
        <v>0</v>
      </c>
      <c r="X54" s="31" t="s">
        <v>26</v>
      </c>
      <c r="Y54" s="49">
        <v>0</v>
      </c>
      <c r="Z54" s="58" t="s">
        <v>1396</v>
      </c>
    </row>
    <row r="55" spans="1:26" ht="6" customHeight="1" x14ac:dyDescent="0.3">
      <c r="A55" s="47">
        <v>53</v>
      </c>
      <c r="B55" s="55" t="s">
        <v>46</v>
      </c>
      <c r="C55" s="33" t="str">
        <f t="shared" si="0"/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 t="shared" si="1"/>
        <v>"EQU.017"</v>
      </c>
      <c r="N55" s="31" t="s">
        <v>1063</v>
      </c>
      <c r="O55" s="60" t="s">
        <v>1290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 t="shared" si="3"/>
        <v>1</v>
      </c>
      <c r="V55" s="31" t="s">
        <v>1077</v>
      </c>
      <c r="W55" s="7">
        <v>0</v>
      </c>
      <c r="X55" s="31" t="s">
        <v>26</v>
      </c>
      <c r="Y55" s="49">
        <v>0</v>
      </c>
      <c r="Z55" s="58" t="s">
        <v>1290</v>
      </c>
    </row>
    <row r="56" spans="1:26" ht="6" customHeight="1" x14ac:dyDescent="0.3">
      <c r="A56" s="47">
        <v>54</v>
      </c>
      <c r="B56" s="55" t="s">
        <v>47</v>
      </c>
      <c r="C56" s="33" t="str">
        <f t="shared" si="0"/>
        <v>SUS.Mobília.de.Saúde</v>
      </c>
      <c r="D56" s="53" t="s">
        <v>1185</v>
      </c>
      <c r="E56" s="54" t="s">
        <v>1186</v>
      </c>
      <c r="F56" s="53" t="s">
        <v>1272</v>
      </c>
      <c r="G56" s="54" t="s">
        <v>1215</v>
      </c>
      <c r="H56" s="53" t="s">
        <v>26</v>
      </c>
      <c r="I56" s="54" t="s">
        <v>26</v>
      </c>
      <c r="J56" s="31" t="s">
        <v>1260</v>
      </c>
      <c r="K56" s="52" t="s">
        <v>1213</v>
      </c>
      <c r="L56" s="31" t="s">
        <v>1074</v>
      </c>
      <c r="M56" s="52" t="str">
        <f t="shared" si="1"/>
        <v>"EQU.018"</v>
      </c>
      <c r="N56" s="31" t="s">
        <v>1063</v>
      </c>
      <c r="O56" s="60" t="s">
        <v>1291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 t="shared" si="3"/>
        <v>0</v>
      </c>
      <c r="V56" s="31" t="s">
        <v>1077</v>
      </c>
      <c r="W56" s="7">
        <v>1</v>
      </c>
      <c r="X56" s="31" t="s">
        <v>26</v>
      </c>
      <c r="Y56" s="49">
        <v>0</v>
      </c>
      <c r="Z56" s="58" t="s">
        <v>1291</v>
      </c>
    </row>
    <row r="57" spans="1:26" ht="6" customHeight="1" x14ac:dyDescent="0.3">
      <c r="A57" s="47">
        <v>55</v>
      </c>
      <c r="B57" s="55" t="s">
        <v>48</v>
      </c>
      <c r="C57" s="33" t="str">
        <f t="shared" si="0"/>
        <v>SUS.Mobília.de.Saúde</v>
      </c>
      <c r="D57" s="53" t="s">
        <v>1185</v>
      </c>
      <c r="E57" s="54" t="s">
        <v>1186</v>
      </c>
      <c r="F57" s="53" t="s">
        <v>1272</v>
      </c>
      <c r="G57" s="54" t="s">
        <v>1273</v>
      </c>
      <c r="H57" s="53" t="s">
        <v>26</v>
      </c>
      <c r="I57" s="54" t="s">
        <v>26</v>
      </c>
      <c r="J57" s="31" t="s">
        <v>1260</v>
      </c>
      <c r="K57" s="52" t="s">
        <v>1555</v>
      </c>
      <c r="L57" s="31" t="s">
        <v>1074</v>
      </c>
      <c r="M57" s="52" t="str">
        <f t="shared" si="1"/>
        <v>"EQU.019"</v>
      </c>
      <c r="N57" s="31" t="s">
        <v>1063</v>
      </c>
      <c r="O57" s="60" t="s">
        <v>1292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 t="shared" si="3"/>
        <v>0</v>
      </c>
      <c r="V57" s="31" t="s">
        <v>1077</v>
      </c>
      <c r="W57" s="7">
        <v>1</v>
      </c>
      <c r="X57" s="31" t="s">
        <v>26</v>
      </c>
      <c r="Y57" s="49">
        <v>0</v>
      </c>
      <c r="Z57" s="58" t="s">
        <v>1292</v>
      </c>
    </row>
    <row r="58" spans="1:26" ht="6" customHeight="1" x14ac:dyDescent="0.3">
      <c r="A58" s="47">
        <v>56</v>
      </c>
      <c r="B58" s="55" t="s">
        <v>49</v>
      </c>
      <c r="C58" s="33" t="str">
        <f t="shared" si="0"/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 t="shared" si="1"/>
        <v>"EQU.020"</v>
      </c>
      <c r="N58" s="31" t="s">
        <v>1063</v>
      </c>
      <c r="O58" s="60" t="s">
        <v>1503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  <c r="Z58" s="58" t="s">
        <v>1503</v>
      </c>
    </row>
    <row r="59" spans="1:26" ht="6" customHeight="1" x14ac:dyDescent="0.3">
      <c r="A59" s="47">
        <v>57</v>
      </c>
      <c r="B59" s="55" t="s">
        <v>50</v>
      </c>
      <c r="C59" s="33" t="str">
        <f t="shared" si="0"/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 t="shared" si="1"/>
        <v>"EQU.021"</v>
      </c>
      <c r="N59" s="31" t="s">
        <v>1063</v>
      </c>
      <c r="O59" s="60" t="s">
        <v>1293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  <c r="Z59" s="58" t="s">
        <v>1293</v>
      </c>
    </row>
    <row r="60" spans="1:26" ht="6" customHeight="1" x14ac:dyDescent="0.3">
      <c r="A60" s="47">
        <v>58</v>
      </c>
      <c r="B60" s="55" t="s">
        <v>51</v>
      </c>
      <c r="C60" s="33" t="str">
        <f t="shared" si="0"/>
        <v>SUS.Equipamento</v>
      </c>
      <c r="D60" s="53" t="s">
        <v>1185</v>
      </c>
      <c r="E60" s="54" t="s">
        <v>1186</v>
      </c>
      <c r="F60" s="53" t="s">
        <v>1196</v>
      </c>
      <c r="G60" s="54" t="s">
        <v>1276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 t="shared" si="1"/>
        <v>"EQU.022"</v>
      </c>
      <c r="N60" s="31" t="s">
        <v>1063</v>
      </c>
      <c r="O60" s="60" t="s">
        <v>1294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  <c r="Z60" s="58" t="s">
        <v>1294</v>
      </c>
    </row>
    <row r="61" spans="1:26" ht="6" customHeight="1" x14ac:dyDescent="0.3">
      <c r="A61" s="47">
        <v>59</v>
      </c>
      <c r="B61" s="55" t="s">
        <v>52</v>
      </c>
      <c r="C61" s="33" t="str">
        <f t="shared" si="0"/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 t="shared" si="1"/>
        <v>"EQU.023"</v>
      </c>
      <c r="N61" s="31" t="s">
        <v>1063</v>
      </c>
      <c r="O61" s="60" t="s">
        <v>1294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  <c r="Z61" s="58" t="s">
        <v>1294</v>
      </c>
    </row>
    <row r="62" spans="1:26" ht="6" customHeight="1" x14ac:dyDescent="0.3">
      <c r="A62" s="47">
        <v>60</v>
      </c>
      <c r="B62" s="55" t="s">
        <v>53</v>
      </c>
      <c r="C62" s="33" t="str">
        <f t="shared" si="0"/>
        <v>SUS.Dispositivo</v>
      </c>
      <c r="D62" s="53" t="s">
        <v>1185</v>
      </c>
      <c r="E62" s="54" t="s">
        <v>1186</v>
      </c>
      <c r="F62" s="53" t="s">
        <v>1176</v>
      </c>
      <c r="G62" s="54" t="s">
        <v>1258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 t="shared" si="1"/>
        <v>"EQU.024"</v>
      </c>
      <c r="N62" s="31" t="s">
        <v>1063</v>
      </c>
      <c r="O62" s="60" t="s">
        <v>1525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  <c r="Z62" s="58" t="s">
        <v>1525</v>
      </c>
    </row>
    <row r="63" spans="1:26" ht="6" customHeight="1" x14ac:dyDescent="0.3">
      <c r="A63" s="47">
        <v>61</v>
      </c>
      <c r="B63" s="55" t="s">
        <v>54</v>
      </c>
      <c r="C63" s="33" t="str">
        <f t="shared" si="0"/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 t="shared" si="1"/>
        <v>"EQU.025"</v>
      </c>
      <c r="N63" s="31" t="s">
        <v>1063</v>
      </c>
      <c r="O63" s="60" t="s">
        <v>1488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  <c r="Z63" s="58" t="s">
        <v>1488</v>
      </c>
    </row>
    <row r="64" spans="1:26" ht="6" customHeight="1" x14ac:dyDescent="0.3">
      <c r="A64" s="47">
        <v>62</v>
      </c>
      <c r="B64" s="55" t="s">
        <v>55</v>
      </c>
      <c r="C64" s="33" t="str">
        <f t="shared" si="0"/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 t="shared" si="1"/>
        <v>"EQU.026"</v>
      </c>
      <c r="N64" s="31" t="s">
        <v>1063</v>
      </c>
      <c r="O64" s="60" t="s">
        <v>1521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  <c r="Z64" s="58" t="s">
        <v>1521</v>
      </c>
    </row>
    <row r="65" spans="1:26" ht="6" customHeight="1" x14ac:dyDescent="0.3">
      <c r="A65" s="47">
        <v>63</v>
      </c>
      <c r="B65" s="55" t="s">
        <v>56</v>
      </c>
      <c r="C65" s="33" t="str">
        <f t="shared" si="0"/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 t="shared" si="1"/>
        <v>"EQU.027"</v>
      </c>
      <c r="N65" s="31" t="s">
        <v>1063</v>
      </c>
      <c r="O65" s="60" t="s">
        <v>1507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  <c r="Z65" s="58" t="s">
        <v>1507</v>
      </c>
    </row>
    <row r="66" spans="1:26" ht="6" customHeight="1" x14ac:dyDescent="0.3">
      <c r="A66" s="47">
        <v>64</v>
      </c>
      <c r="B66" s="55" t="s">
        <v>57</v>
      </c>
      <c r="C66" s="33" t="str">
        <f t="shared" si="0"/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 t="shared" si="1"/>
        <v>"EQU.028"</v>
      </c>
      <c r="N66" s="31" t="s">
        <v>1063</v>
      </c>
      <c r="O66" s="60" t="s">
        <v>1295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  <c r="Z66" s="58" t="s">
        <v>1295</v>
      </c>
    </row>
    <row r="67" spans="1:26" ht="6" customHeight="1" x14ac:dyDescent="0.3">
      <c r="A67" s="47">
        <v>65</v>
      </c>
      <c r="B67" s="55" t="s">
        <v>58</v>
      </c>
      <c r="C67" s="33" t="str">
        <f t="shared" si="0"/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1276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 t="shared" si="1"/>
        <v>"EQU.029"</v>
      </c>
      <c r="N67" s="31" t="s">
        <v>1063</v>
      </c>
      <c r="O67" s="60" t="s">
        <v>1435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  <c r="Z67" s="58" t="s">
        <v>1435</v>
      </c>
    </row>
    <row r="68" spans="1:26" ht="6" customHeight="1" x14ac:dyDescent="0.3">
      <c r="A68" s="47">
        <v>66</v>
      </c>
      <c r="B68" s="55" t="s">
        <v>59</v>
      </c>
      <c r="C68" s="33" t="str">
        <f t="shared" si="0"/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 t="shared" si="1"/>
        <v>"EQU.030"</v>
      </c>
      <c r="N68" s="31" t="s">
        <v>1063</v>
      </c>
      <c r="O68" s="60" t="s">
        <v>1296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  <c r="Z68" s="58" t="s">
        <v>1296</v>
      </c>
    </row>
    <row r="69" spans="1:26" ht="6" customHeight="1" x14ac:dyDescent="0.3">
      <c r="A69" s="47">
        <v>67</v>
      </c>
      <c r="B69" s="55" t="s">
        <v>60</v>
      </c>
      <c r="C69" s="33" t="str">
        <f t="shared" si="0"/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 t="shared" si="1"/>
        <v>"EQU.031"</v>
      </c>
      <c r="N69" s="31" t="s">
        <v>1063</v>
      </c>
      <c r="O69" s="60" t="s">
        <v>1508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  <c r="Z69" s="58" t="s">
        <v>1508</v>
      </c>
    </row>
    <row r="70" spans="1:26" ht="6" customHeight="1" x14ac:dyDescent="0.3">
      <c r="A70" s="47">
        <v>68</v>
      </c>
      <c r="B70" s="55" t="s">
        <v>61</v>
      </c>
      <c r="C70" s="33" t="str">
        <f t="shared" si="0"/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 t="shared" si="1"/>
        <v>"EQU.032"</v>
      </c>
      <c r="N70" s="31" t="s">
        <v>1063</v>
      </c>
      <c r="O70" s="60" t="s">
        <v>1297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  <c r="Z70" s="58" t="s">
        <v>1297</v>
      </c>
    </row>
    <row r="71" spans="1:26" ht="6" customHeight="1" x14ac:dyDescent="0.3">
      <c r="A71" s="47">
        <v>69</v>
      </c>
      <c r="B71" s="55" t="s">
        <v>62</v>
      </c>
      <c r="C71" s="33" t="str">
        <f t="shared" si="0"/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 t="shared" ref="M71:M102" si="4">_xlfn.CONCAT("""",B71,"""")</f>
        <v>"EQU.033"</v>
      </c>
      <c r="N71" s="31" t="s">
        <v>1063</v>
      </c>
      <c r="O71" s="60" t="s">
        <v>1298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  <c r="Z71" s="58" t="s">
        <v>1298</v>
      </c>
    </row>
    <row r="72" spans="1:26" ht="6" customHeight="1" x14ac:dyDescent="0.3">
      <c r="A72" s="47">
        <v>70</v>
      </c>
      <c r="B72" s="55" t="s">
        <v>63</v>
      </c>
      <c r="C72" s="33" t="str">
        <f t="shared" si="0"/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 t="shared" si="4"/>
        <v>"EQU.034"</v>
      </c>
      <c r="N72" s="31" t="s">
        <v>1063</v>
      </c>
      <c r="O72" s="60" t="s">
        <v>1299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  <c r="Z72" s="58" t="s">
        <v>1299</v>
      </c>
    </row>
    <row r="73" spans="1:26" ht="6" customHeight="1" x14ac:dyDescent="0.3">
      <c r="A73" s="47">
        <v>71</v>
      </c>
      <c r="B73" s="55" t="s">
        <v>64</v>
      </c>
      <c r="C73" s="33" t="str">
        <f t="shared" si="0"/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 t="shared" si="4"/>
        <v>"EQU.035"</v>
      </c>
      <c r="N73" s="31" t="s">
        <v>1063</v>
      </c>
      <c r="O73" s="60" t="s">
        <v>1286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  <c r="Z73" s="58" t="s">
        <v>1286</v>
      </c>
    </row>
    <row r="74" spans="1:26" ht="6" customHeight="1" x14ac:dyDescent="0.3">
      <c r="A74" s="47">
        <v>72</v>
      </c>
      <c r="B74" s="55" t="s">
        <v>65</v>
      </c>
      <c r="C74" s="33" t="str">
        <f t="shared" si="0"/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 t="shared" si="4"/>
        <v>"EQU.036"</v>
      </c>
      <c r="N74" s="31" t="s">
        <v>1063</v>
      </c>
      <c r="O74" s="60" t="s">
        <v>1321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  <c r="Z74" s="58" t="s">
        <v>1321</v>
      </c>
    </row>
    <row r="75" spans="1:26" ht="6" customHeight="1" x14ac:dyDescent="0.3">
      <c r="A75" s="47">
        <v>73</v>
      </c>
      <c r="B75" s="55" t="s">
        <v>66</v>
      </c>
      <c r="C75" s="33" t="str">
        <f t="shared" si="0"/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 t="shared" si="4"/>
        <v>"EQU.037"</v>
      </c>
      <c r="N75" s="31" t="s">
        <v>1063</v>
      </c>
      <c r="O75" s="60" t="s">
        <v>1499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  <c r="Z75" s="58" t="s">
        <v>1499</v>
      </c>
    </row>
    <row r="76" spans="1:26" ht="6" customHeight="1" x14ac:dyDescent="0.3">
      <c r="A76" s="47">
        <v>74</v>
      </c>
      <c r="B76" s="55" t="s">
        <v>67</v>
      </c>
      <c r="C76" s="33" t="str">
        <f t="shared" si="0"/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 t="shared" si="4"/>
        <v>"EQU.038"</v>
      </c>
      <c r="N76" s="31" t="s">
        <v>1063</v>
      </c>
      <c r="O76" s="60" t="s">
        <v>1300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  <c r="Z76" s="58" t="s">
        <v>1300</v>
      </c>
    </row>
    <row r="77" spans="1:26" ht="6" customHeight="1" x14ac:dyDescent="0.3">
      <c r="A77" s="47">
        <v>75</v>
      </c>
      <c r="B77" s="55" t="s">
        <v>68</v>
      </c>
      <c r="C77" s="33" t="str">
        <f t="shared" si="0"/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 t="shared" si="4"/>
        <v>"EQU.039"</v>
      </c>
      <c r="N77" s="31" t="s">
        <v>1063</v>
      </c>
      <c r="O77" s="60" t="s">
        <v>1436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  <c r="Z77" s="58" t="s">
        <v>1436</v>
      </c>
    </row>
    <row r="78" spans="1:26" ht="6" customHeight="1" x14ac:dyDescent="0.3">
      <c r="A78" s="47">
        <v>76</v>
      </c>
      <c r="B78" s="55" t="s">
        <v>69</v>
      </c>
      <c r="C78" s="33" t="str">
        <f t="shared" si="0"/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 t="shared" si="4"/>
        <v>"EQU.040"</v>
      </c>
      <c r="N78" s="31" t="s">
        <v>1063</v>
      </c>
      <c r="O78" s="60" t="s">
        <v>1500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  <c r="Z78" s="58" t="s">
        <v>1500</v>
      </c>
    </row>
    <row r="79" spans="1:26" ht="6" customHeight="1" x14ac:dyDescent="0.3">
      <c r="A79" s="47">
        <v>77</v>
      </c>
      <c r="B79" s="55" t="s">
        <v>70</v>
      </c>
      <c r="C79" s="33" t="str">
        <f t="shared" si="0"/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 t="shared" si="4"/>
        <v>"EQU.041"</v>
      </c>
      <c r="N79" s="31" t="s">
        <v>1063</v>
      </c>
      <c r="O79" s="60" t="s">
        <v>1512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  <c r="Z79" s="58" t="s">
        <v>1512</v>
      </c>
    </row>
    <row r="80" spans="1:26" ht="6" customHeight="1" x14ac:dyDescent="0.3">
      <c r="A80" s="47">
        <v>78</v>
      </c>
      <c r="B80" s="55" t="s">
        <v>71</v>
      </c>
      <c r="C80" s="33" t="str">
        <f t="shared" si="0"/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 t="shared" si="4"/>
        <v>"EQU.042"</v>
      </c>
      <c r="N80" s="31" t="s">
        <v>1063</v>
      </c>
      <c r="O80" s="60" t="s">
        <v>1301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  <c r="Z80" s="58" t="s">
        <v>1301</v>
      </c>
    </row>
    <row r="81" spans="1:26" ht="6" customHeight="1" x14ac:dyDescent="0.3">
      <c r="A81" s="47">
        <v>79</v>
      </c>
      <c r="B81" s="55" t="s">
        <v>72</v>
      </c>
      <c r="C81" s="33" t="str">
        <f t="shared" si="0"/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 t="shared" si="4"/>
        <v>"EQU.043"</v>
      </c>
      <c r="N81" s="31" t="s">
        <v>1063</v>
      </c>
      <c r="O81" s="60" t="s">
        <v>1400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  <c r="Z81" s="58" t="s">
        <v>1400</v>
      </c>
    </row>
    <row r="82" spans="1:26" ht="6" customHeight="1" x14ac:dyDescent="0.3">
      <c r="A82" s="47">
        <v>80</v>
      </c>
      <c r="B82" s="55" t="s">
        <v>73</v>
      </c>
      <c r="C82" s="33" t="str">
        <f t="shared" si="0"/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 t="shared" si="4"/>
        <v>"EQU.044"</v>
      </c>
      <c r="N82" s="31" t="s">
        <v>1063</v>
      </c>
      <c r="O82" s="60" t="s">
        <v>1302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  <c r="Z82" s="58" t="s">
        <v>1302</v>
      </c>
    </row>
    <row r="83" spans="1:26" ht="6" customHeight="1" x14ac:dyDescent="0.3">
      <c r="A83" s="47">
        <v>81</v>
      </c>
      <c r="B83" s="55" t="s">
        <v>74</v>
      </c>
      <c r="C83" s="33" t="str">
        <f t="shared" si="0"/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 t="shared" si="4"/>
        <v>"EQU.045"</v>
      </c>
      <c r="N83" s="31" t="s">
        <v>1063</v>
      </c>
      <c r="O83" s="60" t="s">
        <v>1303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  <c r="Z83" s="58" t="s">
        <v>1303</v>
      </c>
    </row>
    <row r="84" spans="1:26" ht="6" customHeight="1" x14ac:dyDescent="0.3">
      <c r="A84" s="47">
        <v>82</v>
      </c>
      <c r="B84" s="55" t="s">
        <v>75</v>
      </c>
      <c r="C84" s="33" t="str">
        <f t="shared" si="0"/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 t="shared" si="4"/>
        <v>"EQU.046"</v>
      </c>
      <c r="N84" s="31" t="s">
        <v>1063</v>
      </c>
      <c r="O84" s="60" t="s">
        <v>1304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  <c r="Z84" s="58" t="s">
        <v>1304</v>
      </c>
    </row>
    <row r="85" spans="1:26" ht="6" customHeight="1" x14ac:dyDescent="0.3">
      <c r="A85" s="47">
        <v>83</v>
      </c>
      <c r="B85" s="55" t="s">
        <v>76</v>
      </c>
      <c r="C85" s="33" t="str">
        <f t="shared" si="0"/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 t="shared" si="4"/>
        <v>"EQU.047"</v>
      </c>
      <c r="N85" s="31" t="s">
        <v>1063</v>
      </c>
      <c r="O85" s="60" t="s">
        <v>1514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  <c r="Z85" s="58" t="s">
        <v>1514</v>
      </c>
    </row>
    <row r="86" spans="1:26" ht="6" customHeight="1" x14ac:dyDescent="0.3">
      <c r="A86" s="47">
        <v>84</v>
      </c>
      <c r="B86" s="55" t="s">
        <v>77</v>
      </c>
      <c r="C86" s="33" t="str">
        <f t="shared" si="0"/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 t="shared" si="4"/>
        <v>"EQU.048"</v>
      </c>
      <c r="N86" s="31" t="s">
        <v>1063</v>
      </c>
      <c r="O86" s="60" t="s">
        <v>1305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  <c r="Z86" s="58" t="s">
        <v>1305</v>
      </c>
    </row>
    <row r="87" spans="1:26" ht="6" customHeight="1" x14ac:dyDescent="0.3">
      <c r="A87" s="47">
        <v>85</v>
      </c>
      <c r="B87" s="55" t="s">
        <v>78</v>
      </c>
      <c r="C87" s="33" t="str">
        <f t="shared" si="0"/>
        <v>SUS.Mobília.de.Saúde</v>
      </c>
      <c r="D87" s="53" t="s">
        <v>1185</v>
      </c>
      <c r="E87" s="54" t="s">
        <v>1186</v>
      </c>
      <c r="F87" s="53" t="s">
        <v>1272</v>
      </c>
      <c r="G87" s="54" t="s">
        <v>1202</v>
      </c>
      <c r="H87" s="53" t="s">
        <v>26</v>
      </c>
      <c r="I87" s="54" t="s">
        <v>26</v>
      </c>
      <c r="J87" s="31" t="s">
        <v>1260</v>
      </c>
      <c r="K87" s="52" t="s">
        <v>1553</v>
      </c>
      <c r="L87" s="31" t="s">
        <v>1074</v>
      </c>
      <c r="M87" s="52" t="str">
        <f t="shared" si="4"/>
        <v>"EQU.049"</v>
      </c>
      <c r="N87" s="31" t="s">
        <v>1063</v>
      </c>
      <c r="O87" s="60" t="s">
        <v>1306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  <c r="Z87" s="58" t="s">
        <v>1306</v>
      </c>
    </row>
    <row r="88" spans="1:26" ht="6" customHeight="1" x14ac:dyDescent="0.3">
      <c r="A88" s="47">
        <v>86</v>
      </c>
      <c r="B88" s="55" t="s">
        <v>79</v>
      </c>
      <c r="C88" s="33" t="str">
        <f t="shared" si="0"/>
        <v>SUS.Mobília.de.Saúde</v>
      </c>
      <c r="D88" s="53" t="s">
        <v>1185</v>
      </c>
      <c r="E88" s="54" t="s">
        <v>1186</v>
      </c>
      <c r="F88" s="53" t="s">
        <v>1272</v>
      </c>
      <c r="G88" s="54" t="s">
        <v>1204</v>
      </c>
      <c r="H88" s="53" t="s">
        <v>26</v>
      </c>
      <c r="I88" s="54" t="s">
        <v>26</v>
      </c>
      <c r="J88" s="31" t="s">
        <v>1260</v>
      </c>
      <c r="K88" s="52" t="s">
        <v>1214</v>
      </c>
      <c r="L88" s="31" t="s">
        <v>1074</v>
      </c>
      <c r="M88" s="52" t="str">
        <f t="shared" si="4"/>
        <v>"EQU.050"</v>
      </c>
      <c r="N88" s="31" t="s">
        <v>1063</v>
      </c>
      <c r="O88" s="60" t="s">
        <v>1307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  <c r="Z88" s="58" t="s">
        <v>1307</v>
      </c>
    </row>
    <row r="89" spans="1:26" ht="6" customHeight="1" x14ac:dyDescent="0.3">
      <c r="A89" s="47">
        <v>87</v>
      </c>
      <c r="B89" s="55" t="s">
        <v>80</v>
      </c>
      <c r="C89" s="33" t="str">
        <f t="shared" si="0"/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 t="shared" si="4"/>
        <v>"EQU.051"</v>
      </c>
      <c r="N89" s="31" t="s">
        <v>1063</v>
      </c>
      <c r="O89" s="60" t="s">
        <v>1308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  <c r="Z89" s="58" t="s">
        <v>1308</v>
      </c>
    </row>
    <row r="90" spans="1:26" ht="6" customHeight="1" x14ac:dyDescent="0.3">
      <c r="A90" s="47">
        <v>88</v>
      </c>
      <c r="B90" s="55" t="s">
        <v>81</v>
      </c>
      <c r="C90" s="33" t="str">
        <f t="shared" si="0"/>
        <v>SUS.Mobília.de.Saúde</v>
      </c>
      <c r="D90" s="53" t="s">
        <v>1185</v>
      </c>
      <c r="E90" s="54" t="s">
        <v>1186</v>
      </c>
      <c r="F90" s="53" t="s">
        <v>1272</v>
      </c>
      <c r="G90" s="54" t="s">
        <v>1201</v>
      </c>
      <c r="H90" s="53" t="s">
        <v>26</v>
      </c>
      <c r="I90" s="54" t="s">
        <v>26</v>
      </c>
      <c r="J90" s="31" t="s">
        <v>1260</v>
      </c>
      <c r="K90" s="52" t="s">
        <v>1179</v>
      </c>
      <c r="L90" s="31" t="s">
        <v>1074</v>
      </c>
      <c r="M90" s="52" t="str">
        <f t="shared" si="4"/>
        <v>"EQU.052"</v>
      </c>
      <c r="N90" s="31" t="s">
        <v>1063</v>
      </c>
      <c r="O90" s="60" t="s">
        <v>1309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  <c r="Z90" s="58" t="s">
        <v>1309</v>
      </c>
    </row>
    <row r="91" spans="1:26" ht="6" customHeight="1" x14ac:dyDescent="0.3">
      <c r="A91" s="47">
        <v>89</v>
      </c>
      <c r="B91" s="55" t="s">
        <v>82</v>
      </c>
      <c r="C91" s="33" t="str">
        <f t="shared" si="0"/>
        <v>SUS.Mobília.de.Saúde</v>
      </c>
      <c r="D91" s="53" t="s">
        <v>1185</v>
      </c>
      <c r="E91" s="54" t="s">
        <v>1186</v>
      </c>
      <c r="F91" s="53" t="s">
        <v>1272</v>
      </c>
      <c r="G91" s="54" t="s">
        <v>1211</v>
      </c>
      <c r="H91" s="53" t="s">
        <v>26</v>
      </c>
      <c r="I91" s="54" t="s">
        <v>26</v>
      </c>
      <c r="J91" s="31" t="s">
        <v>1260</v>
      </c>
      <c r="K91" s="52" t="s">
        <v>1181</v>
      </c>
      <c r="L91" s="31" t="s">
        <v>1074</v>
      </c>
      <c r="M91" s="52" t="str">
        <f t="shared" si="4"/>
        <v>"EQU.053"</v>
      </c>
      <c r="N91" s="31" t="s">
        <v>1063</v>
      </c>
      <c r="O91" s="60" t="s">
        <v>1309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  <c r="Z91" s="58" t="s">
        <v>1309</v>
      </c>
    </row>
    <row r="92" spans="1:26" ht="6" customHeight="1" x14ac:dyDescent="0.3">
      <c r="A92" s="47">
        <v>90</v>
      </c>
      <c r="B92" s="55" t="s">
        <v>83</v>
      </c>
      <c r="C92" s="33" t="str">
        <f t="shared" si="0"/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 t="shared" si="4"/>
        <v>"EQU.054"</v>
      </c>
      <c r="N92" s="31" t="s">
        <v>1063</v>
      </c>
      <c r="O92" s="60" t="s">
        <v>1417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  <c r="Z92" s="58" t="s">
        <v>1417</v>
      </c>
    </row>
    <row r="93" spans="1:26" ht="6" customHeight="1" x14ac:dyDescent="0.3">
      <c r="A93" s="47">
        <v>91</v>
      </c>
      <c r="B93" s="55" t="s">
        <v>84</v>
      </c>
      <c r="C93" s="33" t="str">
        <f t="shared" si="0"/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 t="shared" si="4"/>
        <v>"EQU.055"</v>
      </c>
      <c r="N93" s="31" t="s">
        <v>1063</v>
      </c>
      <c r="O93" s="60" t="s">
        <v>1310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  <c r="Z93" s="58" t="s">
        <v>1310</v>
      </c>
    </row>
    <row r="94" spans="1:26" ht="6" customHeight="1" x14ac:dyDescent="0.3">
      <c r="A94" s="47">
        <v>92</v>
      </c>
      <c r="B94" s="55" t="s">
        <v>85</v>
      </c>
      <c r="C94" s="33" t="str">
        <f t="shared" si="0"/>
        <v>SUS.Mobília.de.Saúde</v>
      </c>
      <c r="D94" s="53" t="s">
        <v>1185</v>
      </c>
      <c r="E94" s="54" t="s">
        <v>1186</v>
      </c>
      <c r="F94" s="53" t="s">
        <v>1272</v>
      </c>
      <c r="G94" s="54" t="s">
        <v>1204</v>
      </c>
      <c r="H94" s="53" t="s">
        <v>26</v>
      </c>
      <c r="I94" s="54" t="s">
        <v>26</v>
      </c>
      <c r="J94" s="31" t="s">
        <v>1260</v>
      </c>
      <c r="K94" s="52" t="s">
        <v>1214</v>
      </c>
      <c r="L94" s="31" t="s">
        <v>1074</v>
      </c>
      <c r="M94" s="52" t="str">
        <f t="shared" si="4"/>
        <v>"EQU.056"</v>
      </c>
      <c r="N94" s="31" t="s">
        <v>1063</v>
      </c>
      <c r="O94" s="60" t="s">
        <v>1307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  <c r="Z94" s="58" t="s">
        <v>1307</v>
      </c>
    </row>
    <row r="95" spans="1:26" ht="6" customHeight="1" x14ac:dyDescent="0.3">
      <c r="A95" s="47">
        <v>93</v>
      </c>
      <c r="B95" s="55" t="s">
        <v>86</v>
      </c>
      <c r="C95" s="33" t="str">
        <f t="shared" si="0"/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 t="shared" si="4"/>
        <v>"EQU.057"</v>
      </c>
      <c r="N95" s="31" t="s">
        <v>1063</v>
      </c>
      <c r="O95" s="60" t="s">
        <v>1538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  <c r="Z95" s="58" t="s">
        <v>1538</v>
      </c>
    </row>
    <row r="96" spans="1:26" ht="6" customHeight="1" x14ac:dyDescent="0.3">
      <c r="A96" s="47">
        <v>94</v>
      </c>
      <c r="B96" s="55" t="s">
        <v>87</v>
      </c>
      <c r="C96" s="33" t="str">
        <f t="shared" si="0"/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 t="shared" si="4"/>
        <v>"EQU.058"</v>
      </c>
      <c r="N96" s="31" t="s">
        <v>1063</v>
      </c>
      <c r="O96" s="60" t="s">
        <v>1311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  <c r="Z96" s="58" t="s">
        <v>1311</v>
      </c>
    </row>
    <row r="97" spans="1:26" ht="6" customHeight="1" x14ac:dyDescent="0.3">
      <c r="A97" s="47">
        <v>95</v>
      </c>
      <c r="B97" s="55" t="s">
        <v>88</v>
      </c>
      <c r="C97" s="33" t="str">
        <f t="shared" si="0"/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 t="shared" si="4"/>
        <v>"EQU.059"</v>
      </c>
      <c r="N97" s="31" t="s">
        <v>1063</v>
      </c>
      <c r="O97" s="60" t="s">
        <v>1311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  <c r="Z97" s="58" t="s">
        <v>1311</v>
      </c>
    </row>
    <row r="98" spans="1:26" ht="6" customHeight="1" x14ac:dyDescent="0.3">
      <c r="A98" s="47">
        <v>96</v>
      </c>
      <c r="B98" s="55" t="s">
        <v>89</v>
      </c>
      <c r="C98" s="33" t="str">
        <f t="shared" si="0"/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 t="shared" si="4"/>
        <v>"EQU.060"</v>
      </c>
      <c r="N98" s="31" t="s">
        <v>1063</v>
      </c>
      <c r="O98" s="60" t="s">
        <v>1295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  <c r="Z98" s="58" t="s">
        <v>1295</v>
      </c>
    </row>
    <row r="99" spans="1:26" ht="6" customHeight="1" x14ac:dyDescent="0.3">
      <c r="A99" s="47">
        <v>97</v>
      </c>
      <c r="B99" s="55" t="s">
        <v>90</v>
      </c>
      <c r="C99" s="33" t="str">
        <f t="shared" si="0"/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 t="shared" si="4"/>
        <v>"EQU.061"</v>
      </c>
      <c r="N99" s="31" t="s">
        <v>1063</v>
      </c>
      <c r="O99" s="60" t="s">
        <v>1540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  <c r="Z99" s="58" t="s">
        <v>1540</v>
      </c>
    </row>
    <row r="100" spans="1:26" ht="6" customHeight="1" x14ac:dyDescent="0.3">
      <c r="A100" s="47">
        <v>98</v>
      </c>
      <c r="B100" s="55" t="s">
        <v>91</v>
      </c>
      <c r="C100" s="33" t="str">
        <f t="shared" si="0"/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 t="shared" si="4"/>
        <v>"EQU.062"</v>
      </c>
      <c r="N100" s="31" t="s">
        <v>1063</v>
      </c>
      <c r="O100" s="60" t="s">
        <v>1312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  <c r="Z100" s="58" t="s">
        <v>1312</v>
      </c>
    </row>
    <row r="101" spans="1:26" ht="6" customHeight="1" x14ac:dyDescent="0.3">
      <c r="A101" s="47">
        <v>99</v>
      </c>
      <c r="B101" s="55" t="s">
        <v>92</v>
      </c>
      <c r="C101" s="33" t="str">
        <f t="shared" si="0"/>
        <v>SUS.Dispositivo</v>
      </c>
      <c r="D101" s="53" t="s">
        <v>1185</v>
      </c>
      <c r="E101" s="54" t="s">
        <v>1186</v>
      </c>
      <c r="F101" s="53" t="s">
        <v>1176</v>
      </c>
      <c r="G101" s="54" t="s">
        <v>1258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 t="shared" si="4"/>
        <v>"EQU.063"</v>
      </c>
      <c r="N101" s="31" t="s">
        <v>1063</v>
      </c>
      <c r="O101" s="60" t="s">
        <v>1544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  <c r="Z101" s="58" t="s">
        <v>1544</v>
      </c>
    </row>
    <row r="102" spans="1:26" ht="6" customHeight="1" x14ac:dyDescent="0.3">
      <c r="A102" s="47">
        <v>100</v>
      </c>
      <c r="B102" s="55" t="s">
        <v>93</v>
      </c>
      <c r="C102" s="33" t="str">
        <f t="shared" si="0"/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 t="shared" si="4"/>
        <v>"EQU.064"</v>
      </c>
      <c r="N102" s="31" t="s">
        <v>1063</v>
      </c>
      <c r="O102" s="60" t="s">
        <v>1437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  <c r="Z102" s="58" t="s">
        <v>1437</v>
      </c>
    </row>
    <row r="103" spans="1:26" ht="6" customHeight="1" x14ac:dyDescent="0.3">
      <c r="A103" s="47">
        <v>101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 t="shared" ref="M103:M134" si="6">_xlfn.CONCAT("""",B103,"""")</f>
        <v>"EQU.065"</v>
      </c>
      <c r="N103" s="31" t="s">
        <v>1063</v>
      </c>
      <c r="O103" s="60" t="s">
        <v>1437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  <c r="Z103" s="58" t="s">
        <v>1437</v>
      </c>
    </row>
    <row r="104" spans="1:26" ht="6" customHeight="1" x14ac:dyDescent="0.3">
      <c r="A104" s="47">
        <v>102</v>
      </c>
      <c r="B104" s="55" t="s">
        <v>95</v>
      </c>
      <c r="C104" s="33" t="str">
        <f t="shared" si="5"/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 t="shared" si="6"/>
        <v>"EQU.066"</v>
      </c>
      <c r="N104" s="31" t="s">
        <v>1063</v>
      </c>
      <c r="O104" s="60" t="s">
        <v>1313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  <c r="Z104" s="58" t="s">
        <v>1313</v>
      </c>
    </row>
    <row r="105" spans="1:26" ht="6" customHeight="1" x14ac:dyDescent="0.3">
      <c r="A105" s="47">
        <v>103</v>
      </c>
      <c r="B105" s="55" t="s">
        <v>96</v>
      </c>
      <c r="C105" s="33" t="str">
        <f t="shared" si="5"/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 t="shared" si="6"/>
        <v>"EQU.067"</v>
      </c>
      <c r="N105" s="31" t="s">
        <v>1063</v>
      </c>
      <c r="O105" s="60" t="s">
        <v>1284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  <c r="Z105" s="58" t="s">
        <v>1284</v>
      </c>
    </row>
    <row r="106" spans="1:26" ht="6" customHeight="1" x14ac:dyDescent="0.3">
      <c r="A106" s="47">
        <v>104</v>
      </c>
      <c r="B106" s="55" t="s">
        <v>97</v>
      </c>
      <c r="C106" s="33" t="str">
        <f t="shared" si="5"/>
        <v>SUS.Dispositivo</v>
      </c>
      <c r="D106" s="53" t="s">
        <v>1185</v>
      </c>
      <c r="E106" s="54" t="s">
        <v>1186</v>
      </c>
      <c r="F106" s="53" t="s">
        <v>1196</v>
      </c>
      <c r="G106" s="54" t="s">
        <v>1278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 t="shared" si="6"/>
        <v>"EQU.068"</v>
      </c>
      <c r="N106" s="31" t="s">
        <v>1063</v>
      </c>
      <c r="O106" s="60" t="s">
        <v>1438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  <c r="Z106" s="58" t="s">
        <v>1438</v>
      </c>
    </row>
    <row r="107" spans="1:26" ht="6" customHeight="1" x14ac:dyDescent="0.3">
      <c r="A107" s="47">
        <v>105</v>
      </c>
      <c r="B107" s="55" t="s">
        <v>98</v>
      </c>
      <c r="C107" s="33" t="str">
        <f t="shared" si="5"/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 t="shared" si="6"/>
        <v>"EQU.069"</v>
      </c>
      <c r="N107" s="31" t="s">
        <v>1063</v>
      </c>
      <c r="O107" s="60" t="s">
        <v>1439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  <c r="Z107" s="58" t="s">
        <v>1439</v>
      </c>
    </row>
    <row r="108" spans="1:26" ht="6" customHeight="1" x14ac:dyDescent="0.3">
      <c r="A108" s="47">
        <v>106</v>
      </c>
      <c r="B108" s="55" t="s">
        <v>99</v>
      </c>
      <c r="C108" s="33" t="str">
        <f t="shared" si="5"/>
        <v>SUS.Equipamento</v>
      </c>
      <c r="D108" s="53" t="s">
        <v>1185</v>
      </c>
      <c r="E108" s="54" t="s">
        <v>1186</v>
      </c>
      <c r="F108" s="53" t="s">
        <v>1196</v>
      </c>
      <c r="G108" s="54" t="s">
        <v>1282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 t="shared" si="6"/>
        <v>"EQU.070"</v>
      </c>
      <c r="N108" s="31" t="s">
        <v>1063</v>
      </c>
      <c r="O108" s="60" t="s">
        <v>1440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  <c r="Z108" s="58" t="s">
        <v>1440</v>
      </c>
    </row>
    <row r="109" spans="1:26" ht="6" customHeight="1" x14ac:dyDescent="0.3">
      <c r="A109" s="47">
        <v>107</v>
      </c>
      <c r="B109" s="55" t="s">
        <v>100</v>
      </c>
      <c r="C109" s="33" t="str">
        <f t="shared" si="5"/>
        <v>SUS.Equipamento</v>
      </c>
      <c r="D109" s="53" t="s">
        <v>1185</v>
      </c>
      <c r="E109" s="54" t="s">
        <v>1186</v>
      </c>
      <c r="F109" s="53" t="s">
        <v>1196</v>
      </c>
      <c r="G109" s="54" t="s">
        <v>1276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 t="shared" si="6"/>
        <v>"EQU.071"</v>
      </c>
      <c r="N109" s="31" t="s">
        <v>1063</v>
      </c>
      <c r="O109" s="60" t="s">
        <v>1314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  <c r="Z109" s="58" t="s">
        <v>1314</v>
      </c>
    </row>
    <row r="110" spans="1:26" ht="6" customHeight="1" x14ac:dyDescent="0.3">
      <c r="A110" s="47">
        <v>108</v>
      </c>
      <c r="B110" s="55" t="s">
        <v>101</v>
      </c>
      <c r="C110" s="33" t="str">
        <f t="shared" si="5"/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 t="shared" si="6"/>
        <v>"EQU.072"</v>
      </c>
      <c r="N110" s="31" t="s">
        <v>1063</v>
      </c>
      <c r="O110" s="60" t="s">
        <v>1315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  <c r="Z110" s="58" t="s">
        <v>1315</v>
      </c>
    </row>
    <row r="111" spans="1:26" ht="6" customHeight="1" x14ac:dyDescent="0.3">
      <c r="A111" s="47">
        <v>109</v>
      </c>
      <c r="B111" s="55" t="s">
        <v>102</v>
      </c>
      <c r="C111" s="33" t="str">
        <f t="shared" si="5"/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 t="shared" si="6"/>
        <v>"EQU.073"</v>
      </c>
      <c r="N111" s="31" t="s">
        <v>1063</v>
      </c>
      <c r="O111" s="60" t="s">
        <v>1542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  <c r="Z111" s="58" t="s">
        <v>1542</v>
      </c>
    </row>
    <row r="112" spans="1:26" ht="6" customHeight="1" x14ac:dyDescent="0.3">
      <c r="A112" s="47">
        <v>110</v>
      </c>
      <c r="B112" s="55" t="s">
        <v>103</v>
      </c>
      <c r="C112" s="33" t="str">
        <f t="shared" si="5"/>
        <v>SUS.Dispositivo</v>
      </c>
      <c r="D112" s="53" t="s">
        <v>1185</v>
      </c>
      <c r="E112" s="54" t="s">
        <v>1186</v>
      </c>
      <c r="F112" s="53" t="s">
        <v>1196</v>
      </c>
      <c r="G112" s="54" t="s">
        <v>1560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 t="shared" si="6"/>
        <v>"EQU.074"</v>
      </c>
      <c r="N112" s="31" t="s">
        <v>1063</v>
      </c>
      <c r="O112" s="60" t="s">
        <v>1418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  <c r="Z112" s="58" t="s">
        <v>1418</v>
      </c>
    </row>
    <row r="113" spans="1:26" ht="6" customHeight="1" x14ac:dyDescent="0.3">
      <c r="A113" s="47">
        <v>111</v>
      </c>
      <c r="B113" s="55" t="s">
        <v>104</v>
      </c>
      <c r="C113" s="33" t="str">
        <f t="shared" si="5"/>
        <v>SUS.Dispositivo</v>
      </c>
      <c r="D113" s="53" t="s">
        <v>1185</v>
      </c>
      <c r="E113" s="54" t="s">
        <v>1186</v>
      </c>
      <c r="F113" s="53" t="s">
        <v>1196</v>
      </c>
      <c r="G113" s="54" t="s">
        <v>1560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 t="shared" si="6"/>
        <v>"EQU.075"</v>
      </c>
      <c r="N113" s="31" t="s">
        <v>1063</v>
      </c>
      <c r="O113" s="60" t="s">
        <v>1316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  <c r="Z113" s="58" t="s">
        <v>1316</v>
      </c>
    </row>
    <row r="114" spans="1:26" ht="6" customHeight="1" x14ac:dyDescent="0.3">
      <c r="A114" s="47">
        <v>112</v>
      </c>
      <c r="B114" s="55" t="s">
        <v>105</v>
      </c>
      <c r="C114" s="33" t="str">
        <f t="shared" si="5"/>
        <v>SUS.Mobília.de.Saúde</v>
      </c>
      <c r="D114" s="53" t="s">
        <v>1185</v>
      </c>
      <c r="E114" s="54" t="s">
        <v>1186</v>
      </c>
      <c r="F114" s="53" t="s">
        <v>1272</v>
      </c>
      <c r="G114" s="54" t="s">
        <v>1215</v>
      </c>
      <c r="H114" s="53" t="s">
        <v>26</v>
      </c>
      <c r="I114" s="54" t="s">
        <v>26</v>
      </c>
      <c r="J114" s="31" t="s">
        <v>1260</v>
      </c>
      <c r="K114" s="52" t="s">
        <v>1213</v>
      </c>
      <c r="L114" s="31" t="s">
        <v>1074</v>
      </c>
      <c r="M114" s="52" t="str">
        <f t="shared" si="6"/>
        <v>"EQU.076"</v>
      </c>
      <c r="N114" s="31" t="s">
        <v>1063</v>
      </c>
      <c r="O114" s="60" t="s">
        <v>1316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  <c r="Z114" s="58" t="s">
        <v>1316</v>
      </c>
    </row>
    <row r="115" spans="1:26" ht="6" customHeight="1" x14ac:dyDescent="0.3">
      <c r="A115" s="47">
        <v>113</v>
      </c>
      <c r="B115" s="55" t="s">
        <v>106</v>
      </c>
      <c r="C115" s="33" t="str">
        <f t="shared" si="5"/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 t="shared" si="6"/>
        <v>"EQU.077"</v>
      </c>
      <c r="N115" s="31" t="s">
        <v>1063</v>
      </c>
      <c r="O115" s="60" t="s">
        <v>1317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  <c r="Z115" s="58" t="s">
        <v>1317</v>
      </c>
    </row>
    <row r="116" spans="1:26" ht="6" customHeight="1" x14ac:dyDescent="0.3">
      <c r="A116" s="47">
        <v>114</v>
      </c>
      <c r="B116" s="55" t="s">
        <v>107</v>
      </c>
      <c r="C116" s="33" t="str">
        <f t="shared" si="5"/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 t="shared" si="6"/>
        <v>"EQU.078"</v>
      </c>
      <c r="N116" s="31" t="s">
        <v>1063</v>
      </c>
      <c r="O116" s="60" t="s">
        <v>1419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  <c r="Z116" s="58" t="s">
        <v>1419</v>
      </c>
    </row>
    <row r="117" spans="1:26" ht="6" customHeight="1" x14ac:dyDescent="0.3">
      <c r="A117" s="47">
        <v>115</v>
      </c>
      <c r="B117" s="55" t="s">
        <v>108</v>
      </c>
      <c r="C117" s="33" t="str">
        <f t="shared" si="5"/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 t="shared" si="6"/>
        <v>"EQU.079"</v>
      </c>
      <c r="N117" s="31" t="s">
        <v>1063</v>
      </c>
      <c r="O117" s="60" t="s">
        <v>1318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  <c r="Z117" s="58" t="s">
        <v>1318</v>
      </c>
    </row>
    <row r="118" spans="1:26" ht="6" customHeight="1" x14ac:dyDescent="0.3">
      <c r="A118" s="47">
        <v>116</v>
      </c>
      <c r="B118" s="55" t="s">
        <v>109</v>
      </c>
      <c r="C118" s="33" t="str">
        <f t="shared" si="5"/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 t="shared" si="6"/>
        <v>"EQU.080"</v>
      </c>
      <c r="N118" s="31" t="s">
        <v>1063</v>
      </c>
      <c r="O118" s="60" t="s">
        <v>1520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  <c r="Z118" s="58" t="s">
        <v>1520</v>
      </c>
    </row>
    <row r="119" spans="1:26" ht="6" customHeight="1" x14ac:dyDescent="0.3">
      <c r="A119" s="47">
        <v>117</v>
      </c>
      <c r="B119" s="55" t="s">
        <v>110</v>
      </c>
      <c r="C119" s="33" t="str">
        <f t="shared" si="5"/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 t="shared" si="6"/>
        <v>"EQU.081"</v>
      </c>
      <c r="N119" s="31" t="s">
        <v>1063</v>
      </c>
      <c r="O119" s="60" t="s">
        <v>1551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 t="shared" ref="U119:U130" si="7"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  <c r="Z119" s="58" t="s">
        <v>1551</v>
      </c>
    </row>
    <row r="120" spans="1:26" ht="6" customHeight="1" x14ac:dyDescent="0.3">
      <c r="A120" s="47">
        <v>118</v>
      </c>
      <c r="B120" s="55" t="s">
        <v>111</v>
      </c>
      <c r="C120" s="33" t="str">
        <f t="shared" si="5"/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 t="shared" si="6"/>
        <v>"EQU.082"</v>
      </c>
      <c r="N120" s="31" t="s">
        <v>1063</v>
      </c>
      <c r="O120" s="60" t="s">
        <v>1319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 t="shared" si="7"/>
        <v>1</v>
      </c>
      <c r="V120" s="31" t="s">
        <v>1077</v>
      </c>
      <c r="W120" s="7">
        <v>0</v>
      </c>
      <c r="X120" s="31" t="s">
        <v>26</v>
      </c>
      <c r="Y120" s="49">
        <v>0</v>
      </c>
      <c r="Z120" s="58" t="s">
        <v>1319</v>
      </c>
    </row>
    <row r="121" spans="1:26" ht="6" customHeight="1" x14ac:dyDescent="0.3">
      <c r="A121" s="47">
        <v>119</v>
      </c>
      <c r="B121" s="55" t="s">
        <v>112</v>
      </c>
      <c r="C121" s="33" t="str">
        <f t="shared" si="5"/>
        <v>SUS.Mobília.de.Saúde</v>
      </c>
      <c r="D121" s="53" t="s">
        <v>1185</v>
      </c>
      <c r="E121" s="54" t="s">
        <v>1186</v>
      </c>
      <c r="F121" s="53" t="s">
        <v>1272</v>
      </c>
      <c r="G121" s="54" t="s">
        <v>1201</v>
      </c>
      <c r="H121" s="53" t="s">
        <v>26</v>
      </c>
      <c r="I121" s="54" t="s">
        <v>26</v>
      </c>
      <c r="J121" s="31" t="s">
        <v>1260</v>
      </c>
      <c r="K121" s="52" t="s">
        <v>1179</v>
      </c>
      <c r="L121" s="31" t="s">
        <v>1074</v>
      </c>
      <c r="M121" s="52" t="str">
        <f t="shared" si="6"/>
        <v>"EQU.083"</v>
      </c>
      <c r="N121" s="31" t="s">
        <v>1063</v>
      </c>
      <c r="O121" s="60" t="s">
        <v>1309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 t="shared" si="7"/>
        <v>0</v>
      </c>
      <c r="V121" s="31" t="s">
        <v>1077</v>
      </c>
      <c r="W121" s="7">
        <v>1</v>
      </c>
      <c r="X121" s="31" t="s">
        <v>26</v>
      </c>
      <c r="Y121" s="49">
        <v>0</v>
      </c>
      <c r="Z121" s="58" t="s">
        <v>1309</v>
      </c>
    </row>
    <row r="122" spans="1:26" ht="6" customHeight="1" x14ac:dyDescent="0.3">
      <c r="A122" s="47">
        <v>120</v>
      </c>
      <c r="B122" s="55" t="s">
        <v>113</v>
      </c>
      <c r="C122" s="33" t="str">
        <f t="shared" si="5"/>
        <v>SUS.Mobília.de.Saúde</v>
      </c>
      <c r="D122" s="53" t="s">
        <v>1185</v>
      </c>
      <c r="E122" s="54" t="s">
        <v>1186</v>
      </c>
      <c r="F122" s="53" t="s">
        <v>1272</v>
      </c>
      <c r="G122" s="54" t="s">
        <v>1204</v>
      </c>
      <c r="H122" s="53" t="s">
        <v>26</v>
      </c>
      <c r="I122" s="54" t="s">
        <v>26</v>
      </c>
      <c r="J122" s="31" t="s">
        <v>1260</v>
      </c>
      <c r="K122" s="52" t="s">
        <v>1214</v>
      </c>
      <c r="L122" s="31" t="s">
        <v>1074</v>
      </c>
      <c r="M122" s="52" t="str">
        <f t="shared" si="6"/>
        <v>"EQU.084"</v>
      </c>
      <c r="N122" s="31" t="s">
        <v>1063</v>
      </c>
      <c r="O122" s="60" t="s">
        <v>1291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 t="shared" si="7"/>
        <v>0</v>
      </c>
      <c r="V122" s="31" t="s">
        <v>1077</v>
      </c>
      <c r="W122" s="7">
        <v>1</v>
      </c>
      <c r="X122" s="31" t="s">
        <v>26</v>
      </c>
      <c r="Y122" s="49">
        <v>0</v>
      </c>
      <c r="Z122" s="58" t="s">
        <v>1291</v>
      </c>
    </row>
    <row r="123" spans="1:26" ht="6" customHeight="1" x14ac:dyDescent="0.3">
      <c r="A123" s="47">
        <v>121</v>
      </c>
      <c r="B123" s="55" t="s">
        <v>114</v>
      </c>
      <c r="C123" s="33" t="str">
        <f t="shared" si="5"/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 t="shared" si="6"/>
        <v>"EQU.085"</v>
      </c>
      <c r="N123" s="31" t="s">
        <v>1063</v>
      </c>
      <c r="O123" s="60" t="s">
        <v>1441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 t="shared" si="7"/>
        <v>1</v>
      </c>
      <c r="V123" s="31" t="s">
        <v>1077</v>
      </c>
      <c r="W123" s="7">
        <v>0</v>
      </c>
      <c r="X123" s="31" t="s">
        <v>26</v>
      </c>
      <c r="Y123" s="49">
        <v>0</v>
      </c>
      <c r="Z123" s="58" t="s">
        <v>1441</v>
      </c>
    </row>
    <row r="124" spans="1:26" ht="6" customHeight="1" x14ac:dyDescent="0.3">
      <c r="A124" s="47">
        <v>122</v>
      </c>
      <c r="B124" s="55" t="s">
        <v>115</v>
      </c>
      <c r="C124" s="33" t="str">
        <f t="shared" si="5"/>
        <v>SUS.Mobília.de.Saúde</v>
      </c>
      <c r="D124" s="53" t="s">
        <v>1185</v>
      </c>
      <c r="E124" s="54" t="s">
        <v>1186</v>
      </c>
      <c r="F124" s="53" t="s">
        <v>1272</v>
      </c>
      <c r="G124" s="54" t="s">
        <v>1273</v>
      </c>
      <c r="H124" s="53" t="s">
        <v>26</v>
      </c>
      <c r="I124" s="54" t="s">
        <v>26</v>
      </c>
      <c r="J124" s="31" t="s">
        <v>1260</v>
      </c>
      <c r="K124" s="52" t="s">
        <v>1556</v>
      </c>
      <c r="L124" s="31" t="s">
        <v>1074</v>
      </c>
      <c r="M124" s="52" t="str">
        <f t="shared" si="6"/>
        <v>"EQU.086"</v>
      </c>
      <c r="N124" s="31" t="s">
        <v>1063</v>
      </c>
      <c r="O124" s="60" t="s">
        <v>1292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 t="shared" si="7"/>
        <v>0</v>
      </c>
      <c r="V124" s="31" t="s">
        <v>1077</v>
      </c>
      <c r="W124" s="7">
        <v>1</v>
      </c>
      <c r="X124" s="31" t="s">
        <v>26</v>
      </c>
      <c r="Y124" s="49">
        <v>0</v>
      </c>
      <c r="Z124" s="58" t="s">
        <v>1292</v>
      </c>
    </row>
    <row r="125" spans="1:26" ht="6" customHeight="1" x14ac:dyDescent="0.3">
      <c r="A125" s="47">
        <v>123</v>
      </c>
      <c r="B125" s="55" t="s">
        <v>116</v>
      </c>
      <c r="C125" s="33" t="str">
        <f t="shared" si="5"/>
        <v>SUS.Mobília.de.Saúde</v>
      </c>
      <c r="D125" s="53" t="s">
        <v>1185</v>
      </c>
      <c r="E125" s="54" t="s">
        <v>1186</v>
      </c>
      <c r="F125" s="53" t="s">
        <v>1272</v>
      </c>
      <c r="G125" s="54" t="s">
        <v>1273</v>
      </c>
      <c r="H125" s="53" t="s">
        <v>26</v>
      </c>
      <c r="I125" s="54" t="s">
        <v>26</v>
      </c>
      <c r="J125" s="31" t="s">
        <v>1260</v>
      </c>
      <c r="K125" s="52" t="s">
        <v>1555</v>
      </c>
      <c r="L125" s="31" t="s">
        <v>1074</v>
      </c>
      <c r="M125" s="52" t="str">
        <f t="shared" si="6"/>
        <v>"EQU.087"</v>
      </c>
      <c r="N125" s="31" t="s">
        <v>1063</v>
      </c>
      <c r="O125" s="60" t="s">
        <v>1292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 t="shared" si="7"/>
        <v>0</v>
      </c>
      <c r="V125" s="31" t="s">
        <v>1077</v>
      </c>
      <c r="W125" s="7">
        <v>1</v>
      </c>
      <c r="X125" s="31" t="s">
        <v>26</v>
      </c>
      <c r="Y125" s="49">
        <v>0</v>
      </c>
      <c r="Z125" s="58" t="s">
        <v>1292</v>
      </c>
    </row>
    <row r="126" spans="1:26" ht="6" customHeight="1" x14ac:dyDescent="0.3">
      <c r="A126" s="47">
        <v>124</v>
      </c>
      <c r="B126" s="55" t="s">
        <v>117</v>
      </c>
      <c r="C126" s="33" t="str">
        <f t="shared" si="5"/>
        <v>SUS.Mobília.de.Saúde</v>
      </c>
      <c r="D126" s="53" t="s">
        <v>1185</v>
      </c>
      <c r="E126" s="54" t="s">
        <v>1186</v>
      </c>
      <c r="F126" s="53" t="s">
        <v>1272</v>
      </c>
      <c r="G126" s="54" t="s">
        <v>1273</v>
      </c>
      <c r="H126" s="53" t="s">
        <v>26</v>
      </c>
      <c r="I126" s="54" t="s">
        <v>26</v>
      </c>
      <c r="J126" s="31" t="s">
        <v>1260</v>
      </c>
      <c r="K126" s="52" t="s">
        <v>1555</v>
      </c>
      <c r="L126" s="31" t="s">
        <v>1074</v>
      </c>
      <c r="M126" s="52" t="str">
        <f t="shared" si="6"/>
        <v>"EQU.088"</v>
      </c>
      <c r="N126" s="31" t="s">
        <v>1063</v>
      </c>
      <c r="O126" s="60" t="s">
        <v>1292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 t="shared" si="7"/>
        <v>0</v>
      </c>
      <c r="V126" s="31" t="s">
        <v>1077</v>
      </c>
      <c r="W126" s="7">
        <v>1</v>
      </c>
      <c r="X126" s="31" t="s">
        <v>26</v>
      </c>
      <c r="Y126" s="49">
        <v>0</v>
      </c>
      <c r="Z126" s="58" t="s">
        <v>1292</v>
      </c>
    </row>
    <row r="127" spans="1:26" ht="6" customHeight="1" x14ac:dyDescent="0.3">
      <c r="A127" s="47">
        <v>125</v>
      </c>
      <c r="B127" s="55" t="s">
        <v>118</v>
      </c>
      <c r="C127" s="33" t="str">
        <f t="shared" si="5"/>
        <v>SUS.Mobília.de.Saúde</v>
      </c>
      <c r="D127" s="53" t="s">
        <v>1185</v>
      </c>
      <c r="E127" s="54" t="s">
        <v>1186</v>
      </c>
      <c r="F127" s="53" t="s">
        <v>1272</v>
      </c>
      <c r="G127" s="54" t="s">
        <v>1557</v>
      </c>
      <c r="H127" s="53" t="s">
        <v>26</v>
      </c>
      <c r="I127" s="54" t="s">
        <v>26</v>
      </c>
      <c r="J127" s="31" t="s">
        <v>1178</v>
      </c>
      <c r="K127" s="52" t="s">
        <v>1558</v>
      </c>
      <c r="L127" s="31" t="s">
        <v>1074</v>
      </c>
      <c r="M127" s="52" t="str">
        <f t="shared" si="6"/>
        <v>"EQU.089"</v>
      </c>
      <c r="N127" s="31" t="s">
        <v>1063</v>
      </c>
      <c r="O127" s="60" t="s">
        <v>1320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 t="shared" si="7"/>
        <v>0</v>
      </c>
      <c r="V127" s="31" t="s">
        <v>1077</v>
      </c>
      <c r="W127" s="7">
        <v>1</v>
      </c>
      <c r="X127" s="31" t="s">
        <v>26</v>
      </c>
      <c r="Y127" s="49">
        <v>0</v>
      </c>
      <c r="Z127" s="58" t="s">
        <v>1320</v>
      </c>
    </row>
    <row r="128" spans="1:26" ht="6" customHeight="1" x14ac:dyDescent="0.3">
      <c r="A128" s="47">
        <v>126</v>
      </c>
      <c r="B128" s="55" t="s">
        <v>119</v>
      </c>
      <c r="C128" s="33" t="str">
        <f t="shared" si="5"/>
        <v>SUS.Mobília.de.Saúde</v>
      </c>
      <c r="D128" s="53" t="s">
        <v>1185</v>
      </c>
      <c r="E128" s="54" t="s">
        <v>1186</v>
      </c>
      <c r="F128" s="53" t="s">
        <v>1272</v>
      </c>
      <c r="G128" s="54" t="s">
        <v>1557</v>
      </c>
      <c r="H128" s="53" t="s">
        <v>26</v>
      </c>
      <c r="I128" s="54" t="s">
        <v>26</v>
      </c>
      <c r="J128" s="31" t="s">
        <v>1178</v>
      </c>
      <c r="K128" s="52" t="s">
        <v>1558</v>
      </c>
      <c r="L128" s="31" t="s">
        <v>1074</v>
      </c>
      <c r="M128" s="52" t="str">
        <f t="shared" si="6"/>
        <v>"EQU.090"</v>
      </c>
      <c r="N128" s="31" t="s">
        <v>1063</v>
      </c>
      <c r="O128" s="60" t="s">
        <v>1499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 t="shared" si="7"/>
        <v>0</v>
      </c>
      <c r="V128" s="31" t="s">
        <v>1077</v>
      </c>
      <c r="W128" s="7">
        <v>1</v>
      </c>
      <c r="X128" s="31" t="s">
        <v>26</v>
      </c>
      <c r="Y128" s="49">
        <v>0</v>
      </c>
      <c r="Z128" s="58" t="s">
        <v>1499</v>
      </c>
    </row>
    <row r="129" spans="1:26" ht="6" customHeight="1" x14ac:dyDescent="0.3">
      <c r="A129" s="47">
        <v>127</v>
      </c>
      <c r="B129" s="55" t="s">
        <v>120</v>
      </c>
      <c r="C129" s="33" t="str">
        <f t="shared" si="5"/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 t="shared" si="6"/>
        <v>"EQU.091"</v>
      </c>
      <c r="N129" s="31" t="s">
        <v>1063</v>
      </c>
      <c r="O129" s="60" t="s">
        <v>1442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 t="shared" si="7"/>
        <v>1</v>
      </c>
      <c r="V129" s="31" t="s">
        <v>1077</v>
      </c>
      <c r="W129" s="7">
        <v>0</v>
      </c>
      <c r="X129" s="31" t="s">
        <v>26</v>
      </c>
      <c r="Y129" s="49">
        <v>0</v>
      </c>
      <c r="Z129" s="58" t="s">
        <v>1442</v>
      </c>
    </row>
    <row r="130" spans="1:26" ht="6" customHeight="1" x14ac:dyDescent="0.3">
      <c r="A130" s="47">
        <v>128</v>
      </c>
      <c r="B130" s="55" t="s">
        <v>121</v>
      </c>
      <c r="C130" s="33" t="str">
        <f t="shared" si="5"/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 t="shared" si="6"/>
        <v>"EQU.092"</v>
      </c>
      <c r="N130" s="31" t="s">
        <v>1063</v>
      </c>
      <c r="O130" s="60" t="s">
        <v>1420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 t="shared" si="7"/>
        <v>1</v>
      </c>
      <c r="V130" s="31" t="s">
        <v>1077</v>
      </c>
      <c r="W130" s="7">
        <v>0</v>
      </c>
      <c r="X130" s="31" t="s">
        <v>26</v>
      </c>
      <c r="Y130" s="49">
        <v>0</v>
      </c>
      <c r="Z130" s="58" t="s">
        <v>1420</v>
      </c>
    </row>
    <row r="131" spans="1:26" ht="6" customHeight="1" x14ac:dyDescent="0.3">
      <c r="A131" s="47">
        <v>129</v>
      </c>
      <c r="B131" s="55" t="s">
        <v>122</v>
      </c>
      <c r="C131" s="33" t="str">
        <f t="shared" si="5"/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 t="shared" si="6"/>
        <v>"EQU.093"</v>
      </c>
      <c r="N131" s="31" t="s">
        <v>1063</v>
      </c>
      <c r="O131" s="60" t="s">
        <v>1443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  <c r="Z131" s="58" t="s">
        <v>1443</v>
      </c>
    </row>
    <row r="132" spans="1:26" ht="6" customHeight="1" x14ac:dyDescent="0.3">
      <c r="A132" s="47">
        <v>130</v>
      </c>
      <c r="B132" s="55" t="s">
        <v>123</v>
      </c>
      <c r="C132" s="33" t="str">
        <f t="shared" si="5"/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 t="shared" si="6"/>
        <v>"EQU.094"</v>
      </c>
      <c r="N132" s="31" t="s">
        <v>1063</v>
      </c>
      <c r="O132" s="60" t="s">
        <v>1529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  <c r="Z132" s="58" t="s">
        <v>1529</v>
      </c>
    </row>
    <row r="133" spans="1:26" ht="6" customHeight="1" x14ac:dyDescent="0.3">
      <c r="A133" s="47">
        <v>131</v>
      </c>
      <c r="B133" s="55" t="s">
        <v>124</v>
      </c>
      <c r="C133" s="33" t="str">
        <f t="shared" si="5"/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1557</v>
      </c>
      <c r="H133" s="53" t="s">
        <v>26</v>
      </c>
      <c r="I133" s="54" t="s">
        <v>26</v>
      </c>
      <c r="J133" s="31" t="s">
        <v>1178</v>
      </c>
      <c r="K133" s="52" t="s">
        <v>1558</v>
      </c>
      <c r="L133" s="31" t="s">
        <v>1074</v>
      </c>
      <c r="M133" s="52" t="str">
        <f t="shared" si="6"/>
        <v>"EQU.095"</v>
      </c>
      <c r="N133" s="31" t="s">
        <v>1063</v>
      </c>
      <c r="O133" s="60" t="s">
        <v>1309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  <c r="Z133" s="58" t="s">
        <v>1309</v>
      </c>
    </row>
    <row r="134" spans="1:26" ht="6" customHeight="1" x14ac:dyDescent="0.3">
      <c r="A134" s="47">
        <v>132</v>
      </c>
      <c r="B134" s="55" t="s">
        <v>125</v>
      </c>
      <c r="C134" s="33" t="str">
        <f t="shared" si="5"/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 t="shared" si="6"/>
        <v>"EQU.096"</v>
      </c>
      <c r="N134" s="31" t="s">
        <v>1063</v>
      </c>
      <c r="O134" s="60" t="s">
        <v>1286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  <c r="Z134" s="58" t="s">
        <v>1286</v>
      </c>
    </row>
    <row r="135" spans="1:26" ht="6" customHeight="1" x14ac:dyDescent="0.3">
      <c r="A135" s="47">
        <v>133</v>
      </c>
      <c r="B135" s="55" t="s">
        <v>126</v>
      </c>
      <c r="C135" s="33" t="str">
        <f t="shared" si="5"/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 t="shared" ref="M135:M166" si="8">_xlfn.CONCAT("""",B135,"""")</f>
        <v>"EQU.097"</v>
      </c>
      <c r="N135" s="31" t="s">
        <v>1063</v>
      </c>
      <c r="O135" s="60" t="s">
        <v>1321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  <c r="Z135" s="58" t="s">
        <v>1321</v>
      </c>
    </row>
    <row r="136" spans="1:26" ht="6" customHeight="1" x14ac:dyDescent="0.3">
      <c r="A136" s="47">
        <v>134</v>
      </c>
      <c r="B136" s="55" t="s">
        <v>127</v>
      </c>
      <c r="C136" s="33" t="str">
        <f t="shared" si="5"/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1278</v>
      </c>
      <c r="J136" s="31" t="s">
        <v>1075</v>
      </c>
      <c r="K136" s="52" t="s">
        <v>1183</v>
      </c>
      <c r="L136" s="31" t="s">
        <v>1074</v>
      </c>
      <c r="M136" s="52" t="str">
        <f t="shared" si="8"/>
        <v>"EQU.098"</v>
      </c>
      <c r="N136" s="31" t="s">
        <v>1063</v>
      </c>
      <c r="O136" s="60" t="s">
        <v>1322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  <c r="Z136" s="58" t="s">
        <v>1322</v>
      </c>
    </row>
    <row r="137" spans="1:26" ht="6" customHeight="1" x14ac:dyDescent="0.3">
      <c r="A137" s="47">
        <v>135</v>
      </c>
      <c r="B137" s="55" t="s">
        <v>128</v>
      </c>
      <c r="C137" s="33" t="str">
        <f t="shared" si="5"/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1278</v>
      </c>
      <c r="J137" s="31" t="s">
        <v>1075</v>
      </c>
      <c r="K137" s="52" t="s">
        <v>1183</v>
      </c>
      <c r="L137" s="31" t="s">
        <v>1074</v>
      </c>
      <c r="M137" s="52" t="str">
        <f t="shared" si="8"/>
        <v>"EQU.099"</v>
      </c>
      <c r="N137" s="31" t="s">
        <v>1063</v>
      </c>
      <c r="O137" s="60" t="s">
        <v>1322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  <c r="Z137" s="58" t="s">
        <v>1322</v>
      </c>
    </row>
    <row r="138" spans="1:26" ht="6" customHeight="1" x14ac:dyDescent="0.3">
      <c r="A138" s="47">
        <v>136</v>
      </c>
      <c r="B138" s="55" t="s">
        <v>129</v>
      </c>
      <c r="C138" s="33" t="str">
        <f t="shared" si="5"/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 t="shared" si="8"/>
        <v>"EQU.100"</v>
      </c>
      <c r="N138" s="31" t="s">
        <v>1063</v>
      </c>
      <c r="O138" s="60" t="s">
        <v>1323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  <c r="Z138" s="58" t="s">
        <v>1323</v>
      </c>
    </row>
    <row r="139" spans="1:26" ht="6" customHeight="1" x14ac:dyDescent="0.3">
      <c r="A139" s="47">
        <v>137</v>
      </c>
      <c r="B139" s="55" t="s">
        <v>130</v>
      </c>
      <c r="C139" s="33" t="str">
        <f t="shared" si="5"/>
        <v>SUS.Mobília.de.Saúde</v>
      </c>
      <c r="D139" s="53" t="s">
        <v>1185</v>
      </c>
      <c r="E139" s="54" t="s">
        <v>1186</v>
      </c>
      <c r="F139" s="53" t="s">
        <v>1272</v>
      </c>
      <c r="G139" s="54" t="s">
        <v>1204</v>
      </c>
      <c r="H139" s="53" t="s">
        <v>26</v>
      </c>
      <c r="I139" s="54" t="s">
        <v>26</v>
      </c>
      <c r="J139" s="31" t="s">
        <v>1260</v>
      </c>
      <c r="K139" s="52" t="s">
        <v>1214</v>
      </c>
      <c r="L139" s="31" t="s">
        <v>1074</v>
      </c>
      <c r="M139" s="52" t="str">
        <f t="shared" si="8"/>
        <v>"EQU.101"</v>
      </c>
      <c r="N139" s="31" t="s">
        <v>1063</v>
      </c>
      <c r="O139" s="60" t="s">
        <v>1324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  <c r="Z139" s="58" t="s">
        <v>1324</v>
      </c>
    </row>
    <row r="140" spans="1:26" ht="6" customHeight="1" x14ac:dyDescent="0.3">
      <c r="A140" s="47">
        <v>138</v>
      </c>
      <c r="B140" s="55" t="s">
        <v>131</v>
      </c>
      <c r="C140" s="33" t="str">
        <f t="shared" si="5"/>
        <v>SUS.Mobília.de.Saúde</v>
      </c>
      <c r="D140" s="53" t="s">
        <v>1185</v>
      </c>
      <c r="E140" s="54" t="s">
        <v>1186</v>
      </c>
      <c r="F140" s="53" t="s">
        <v>1272</v>
      </c>
      <c r="G140" s="54" t="s">
        <v>1204</v>
      </c>
      <c r="H140" s="53" t="s">
        <v>26</v>
      </c>
      <c r="I140" s="54" t="s">
        <v>26</v>
      </c>
      <c r="J140" s="31" t="s">
        <v>1260</v>
      </c>
      <c r="K140" s="52" t="s">
        <v>1214</v>
      </c>
      <c r="L140" s="31" t="s">
        <v>1074</v>
      </c>
      <c r="M140" s="52" t="str">
        <f t="shared" si="8"/>
        <v>"EQU.102"</v>
      </c>
      <c r="N140" s="31" t="s">
        <v>1063</v>
      </c>
      <c r="O140" s="60" t="s">
        <v>1324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  <c r="Z140" s="58" t="s">
        <v>1324</v>
      </c>
    </row>
    <row r="141" spans="1:26" ht="6" customHeight="1" x14ac:dyDescent="0.3">
      <c r="A141" s="47">
        <v>139</v>
      </c>
      <c r="B141" s="55" t="s">
        <v>132</v>
      </c>
      <c r="C141" s="33" t="str">
        <f t="shared" si="5"/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 t="shared" si="8"/>
        <v>"EQU.103"</v>
      </c>
      <c r="N141" s="31" t="s">
        <v>1063</v>
      </c>
      <c r="O141" s="60" t="s">
        <v>1537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  <c r="Z141" s="58" t="s">
        <v>1537</v>
      </c>
    </row>
    <row r="142" spans="1:26" ht="6" customHeight="1" x14ac:dyDescent="0.3">
      <c r="A142" s="47">
        <v>140</v>
      </c>
      <c r="B142" s="55" t="s">
        <v>133</v>
      </c>
      <c r="C142" s="33" t="str">
        <f t="shared" si="5"/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 t="shared" si="8"/>
        <v>"EQU.104"</v>
      </c>
      <c r="N142" s="31" t="s">
        <v>1063</v>
      </c>
      <c r="O142" s="60" t="s">
        <v>1444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  <c r="Z142" s="58" t="s">
        <v>1444</v>
      </c>
    </row>
    <row r="143" spans="1:26" ht="6" customHeight="1" x14ac:dyDescent="0.3">
      <c r="A143" s="47">
        <v>141</v>
      </c>
      <c r="B143" s="55" t="s">
        <v>134</v>
      </c>
      <c r="C143" s="33" t="str">
        <f t="shared" si="5"/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 t="shared" si="8"/>
        <v>"EQU.105"</v>
      </c>
      <c r="N143" s="31" t="s">
        <v>1063</v>
      </c>
      <c r="O143" s="60" t="s">
        <v>1325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  <c r="Z143" s="58" t="s">
        <v>1325</v>
      </c>
    </row>
    <row r="144" spans="1:26" ht="6" customHeight="1" x14ac:dyDescent="0.3">
      <c r="A144" s="47">
        <v>142</v>
      </c>
      <c r="B144" s="55" t="s">
        <v>135</v>
      </c>
      <c r="C144" s="33" t="str">
        <f t="shared" si="5"/>
        <v>SUS.Mobília.de.Saúde</v>
      </c>
      <c r="D144" s="53" t="s">
        <v>1185</v>
      </c>
      <c r="E144" s="54" t="s">
        <v>1186</v>
      </c>
      <c r="F144" s="53" t="s">
        <v>1272</v>
      </c>
      <c r="G144" s="54" t="s">
        <v>1201</v>
      </c>
      <c r="H144" s="53" t="s">
        <v>26</v>
      </c>
      <c r="I144" s="54" t="s">
        <v>26</v>
      </c>
      <c r="J144" s="31" t="s">
        <v>1260</v>
      </c>
      <c r="K144" s="52" t="s">
        <v>1179</v>
      </c>
      <c r="L144" s="31" t="s">
        <v>1074</v>
      </c>
      <c r="M144" s="52" t="str">
        <f t="shared" si="8"/>
        <v>"EQU.106"</v>
      </c>
      <c r="N144" s="31" t="s">
        <v>1063</v>
      </c>
      <c r="O144" s="60" t="s">
        <v>1309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 t="shared" ref="U144:U154" si="9"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  <c r="Z144" s="58" t="s">
        <v>1309</v>
      </c>
    </row>
    <row r="145" spans="1:26" ht="6" customHeight="1" x14ac:dyDescent="0.3">
      <c r="A145" s="47">
        <v>143</v>
      </c>
      <c r="B145" s="55" t="s">
        <v>136</v>
      </c>
      <c r="C145" s="33" t="str">
        <f t="shared" si="5"/>
        <v>SUS.Mobília.de.Saúde</v>
      </c>
      <c r="D145" s="53" t="s">
        <v>1185</v>
      </c>
      <c r="E145" s="54" t="s">
        <v>1186</v>
      </c>
      <c r="F145" s="53" t="s">
        <v>1272</v>
      </c>
      <c r="G145" s="54" t="s">
        <v>1211</v>
      </c>
      <c r="H145" s="53" t="s">
        <v>26</v>
      </c>
      <c r="I145" s="54" t="s">
        <v>26</v>
      </c>
      <c r="J145" s="31" t="s">
        <v>1260</v>
      </c>
      <c r="K145" s="52" t="s">
        <v>1181</v>
      </c>
      <c r="L145" s="31" t="s">
        <v>1074</v>
      </c>
      <c r="M145" s="52" t="str">
        <f t="shared" si="8"/>
        <v>"EQU.107"</v>
      </c>
      <c r="N145" s="31" t="s">
        <v>1063</v>
      </c>
      <c r="O145" s="60" t="s">
        <v>1309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 t="shared" si="9"/>
        <v>0</v>
      </c>
      <c r="V145" s="31" t="s">
        <v>1077</v>
      </c>
      <c r="W145" s="7">
        <v>1</v>
      </c>
      <c r="X145" s="31" t="s">
        <v>26</v>
      </c>
      <c r="Y145" s="49">
        <v>0</v>
      </c>
      <c r="Z145" s="58" t="s">
        <v>1309</v>
      </c>
    </row>
    <row r="146" spans="1:26" ht="6" customHeight="1" x14ac:dyDescent="0.3">
      <c r="A146" s="47">
        <v>144</v>
      </c>
      <c r="B146" s="55" t="s">
        <v>137</v>
      </c>
      <c r="C146" s="33" t="str">
        <f t="shared" si="5"/>
        <v>SUS.Mobília.de.Saúde</v>
      </c>
      <c r="D146" s="53" t="s">
        <v>1185</v>
      </c>
      <c r="E146" s="54" t="s">
        <v>1186</v>
      </c>
      <c r="F146" s="53" t="s">
        <v>1272</v>
      </c>
      <c r="G146" s="54" t="s">
        <v>1211</v>
      </c>
      <c r="H146" s="53" t="s">
        <v>26</v>
      </c>
      <c r="I146" s="54" t="s">
        <v>26</v>
      </c>
      <c r="J146" s="31" t="s">
        <v>1260</v>
      </c>
      <c r="K146" s="52" t="s">
        <v>1181</v>
      </c>
      <c r="L146" s="31" t="s">
        <v>1074</v>
      </c>
      <c r="M146" s="52" t="str">
        <f t="shared" si="8"/>
        <v>"EQU.108"</v>
      </c>
      <c r="N146" s="31" t="s">
        <v>1063</v>
      </c>
      <c r="O146" s="60" t="s">
        <v>1309</v>
      </c>
      <c r="P146" s="31" t="s">
        <v>1020</v>
      </c>
      <c r="Q146" s="52" t="s">
        <v>1275</v>
      </c>
      <c r="R146" s="31" t="s">
        <v>1075</v>
      </c>
      <c r="S146" s="7">
        <v>0</v>
      </c>
      <c r="T146" s="31" t="s">
        <v>1076</v>
      </c>
      <c r="U146" s="7">
        <f t="shared" si="9"/>
        <v>0</v>
      </c>
      <c r="V146" s="31" t="s">
        <v>1077</v>
      </c>
      <c r="W146" s="7">
        <v>1</v>
      </c>
      <c r="X146" s="31" t="s">
        <v>26</v>
      </c>
      <c r="Y146" s="49">
        <v>0</v>
      </c>
      <c r="Z146" s="58" t="s">
        <v>1309</v>
      </c>
    </row>
    <row r="147" spans="1:26" ht="6" customHeight="1" x14ac:dyDescent="0.3">
      <c r="A147" s="47">
        <v>145</v>
      </c>
      <c r="B147" s="55" t="s">
        <v>138</v>
      </c>
      <c r="C147" s="33" t="str">
        <f t="shared" si="5"/>
        <v>SUS.Mobília.de.Saúde</v>
      </c>
      <c r="D147" s="53" t="s">
        <v>1185</v>
      </c>
      <c r="E147" s="54" t="s">
        <v>1186</v>
      </c>
      <c r="F147" s="53" t="s">
        <v>1272</v>
      </c>
      <c r="G147" s="54" t="s">
        <v>1201</v>
      </c>
      <c r="H147" s="53" t="s">
        <v>26</v>
      </c>
      <c r="I147" s="54" t="s">
        <v>26</v>
      </c>
      <c r="J147" s="31" t="s">
        <v>1260</v>
      </c>
      <c r="K147" s="52" t="s">
        <v>1179</v>
      </c>
      <c r="L147" s="31" t="s">
        <v>1074</v>
      </c>
      <c r="M147" s="52" t="str">
        <f t="shared" si="8"/>
        <v>"EQU.109"</v>
      </c>
      <c r="N147" s="31" t="s">
        <v>1063</v>
      </c>
      <c r="O147" s="60" t="s">
        <v>1309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 t="shared" si="9"/>
        <v>0</v>
      </c>
      <c r="V147" s="31" t="s">
        <v>1077</v>
      </c>
      <c r="W147" s="7">
        <v>1</v>
      </c>
      <c r="X147" s="31" t="s">
        <v>26</v>
      </c>
      <c r="Y147" s="49">
        <v>0</v>
      </c>
      <c r="Z147" s="58" t="s">
        <v>1309</v>
      </c>
    </row>
    <row r="148" spans="1:26" ht="6" customHeight="1" x14ac:dyDescent="0.3">
      <c r="A148" s="47">
        <v>146</v>
      </c>
      <c r="B148" s="55" t="s">
        <v>139</v>
      </c>
      <c r="C148" s="33" t="str">
        <f t="shared" si="5"/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 t="shared" si="8"/>
        <v>"EQU.110"</v>
      </c>
      <c r="N148" s="31" t="s">
        <v>1063</v>
      </c>
      <c r="O148" s="60" t="s">
        <v>1319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 t="shared" si="9"/>
        <v>1</v>
      </c>
      <c r="V148" s="31" t="s">
        <v>1077</v>
      </c>
      <c r="W148" s="7">
        <v>0</v>
      </c>
      <c r="X148" s="31" t="s">
        <v>26</v>
      </c>
      <c r="Y148" s="49">
        <v>0</v>
      </c>
      <c r="Z148" s="58" t="s">
        <v>1319</v>
      </c>
    </row>
    <row r="149" spans="1:26" ht="6" customHeight="1" x14ac:dyDescent="0.3">
      <c r="A149" s="47">
        <v>147</v>
      </c>
      <c r="B149" s="55" t="s">
        <v>140</v>
      </c>
      <c r="C149" s="33" t="str">
        <f t="shared" si="5"/>
        <v>SUS.Mobília.de.Saúde</v>
      </c>
      <c r="D149" s="53" t="s">
        <v>1185</v>
      </c>
      <c r="E149" s="54" t="s">
        <v>1186</v>
      </c>
      <c r="F149" s="53" t="s">
        <v>1272</v>
      </c>
      <c r="G149" s="54" t="s">
        <v>1201</v>
      </c>
      <c r="H149" s="53" t="s">
        <v>26</v>
      </c>
      <c r="I149" s="54" t="s">
        <v>26</v>
      </c>
      <c r="J149" s="31" t="s">
        <v>1260</v>
      </c>
      <c r="K149" s="52" t="s">
        <v>1179</v>
      </c>
      <c r="L149" s="31" t="s">
        <v>1074</v>
      </c>
      <c r="M149" s="52" t="str">
        <f t="shared" si="8"/>
        <v>"EQU.111"</v>
      </c>
      <c r="N149" s="31" t="s">
        <v>1063</v>
      </c>
      <c r="O149" s="60" t="s">
        <v>1289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 t="shared" si="9"/>
        <v>0</v>
      </c>
      <c r="V149" s="31" t="s">
        <v>1077</v>
      </c>
      <c r="W149" s="7">
        <v>1</v>
      </c>
      <c r="X149" s="31" t="s">
        <v>26</v>
      </c>
      <c r="Y149" s="49">
        <v>0</v>
      </c>
      <c r="Z149" s="58" t="s">
        <v>1289</v>
      </c>
    </row>
    <row r="150" spans="1:26" ht="6" customHeight="1" x14ac:dyDescent="0.3">
      <c r="A150" s="47">
        <v>148</v>
      </c>
      <c r="B150" s="55" t="s">
        <v>141</v>
      </c>
      <c r="C150" s="33" t="str">
        <f t="shared" si="5"/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 t="shared" si="8"/>
        <v>"EQU.112"</v>
      </c>
      <c r="N150" s="31" t="s">
        <v>1063</v>
      </c>
      <c r="O150" s="60" t="s">
        <v>1445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 t="shared" si="9"/>
        <v>0</v>
      </c>
      <c r="V150" s="31" t="s">
        <v>1077</v>
      </c>
      <c r="W150" s="7">
        <v>0</v>
      </c>
      <c r="X150" s="31" t="s">
        <v>26</v>
      </c>
      <c r="Y150" s="49">
        <v>0</v>
      </c>
      <c r="Z150" s="58" t="s">
        <v>1445</v>
      </c>
    </row>
    <row r="151" spans="1:26" ht="6" customHeight="1" x14ac:dyDescent="0.3">
      <c r="A151" s="47">
        <v>149</v>
      </c>
      <c r="B151" s="55" t="s">
        <v>142</v>
      </c>
      <c r="C151" s="33" t="str">
        <f t="shared" si="5"/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 t="shared" si="8"/>
        <v>"EQU.113"</v>
      </c>
      <c r="N151" s="31" t="s">
        <v>1063</v>
      </c>
      <c r="O151" s="60" t="s">
        <v>1445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 t="shared" si="9"/>
        <v>0</v>
      </c>
      <c r="V151" s="31" t="s">
        <v>1077</v>
      </c>
      <c r="W151" s="7">
        <v>0</v>
      </c>
      <c r="X151" s="31" t="s">
        <v>26</v>
      </c>
      <c r="Y151" s="49">
        <v>0</v>
      </c>
      <c r="Z151" s="58" t="s">
        <v>1445</v>
      </c>
    </row>
    <row r="152" spans="1:26" ht="6" customHeight="1" x14ac:dyDescent="0.3">
      <c r="A152" s="47">
        <v>150</v>
      </c>
      <c r="B152" s="55" t="s">
        <v>143</v>
      </c>
      <c r="C152" s="33" t="str">
        <f t="shared" si="5"/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 t="shared" si="8"/>
        <v>"EQU.114"</v>
      </c>
      <c r="N152" s="31" t="s">
        <v>1063</v>
      </c>
      <c r="O152" s="60" t="s">
        <v>1445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 t="shared" si="9"/>
        <v>0</v>
      </c>
      <c r="V152" s="31" t="s">
        <v>1077</v>
      </c>
      <c r="W152" s="7">
        <v>0</v>
      </c>
      <c r="X152" s="31" t="s">
        <v>26</v>
      </c>
      <c r="Y152" s="49">
        <v>0</v>
      </c>
      <c r="Z152" s="58" t="s">
        <v>1445</v>
      </c>
    </row>
    <row r="153" spans="1:26" ht="6" customHeight="1" x14ac:dyDescent="0.3">
      <c r="A153" s="47">
        <v>151</v>
      </c>
      <c r="B153" s="55" t="s">
        <v>144</v>
      </c>
      <c r="C153" s="33" t="str">
        <f t="shared" si="5"/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 t="shared" si="8"/>
        <v>"EQU.115"</v>
      </c>
      <c r="N153" s="31" t="s">
        <v>1063</v>
      </c>
      <c r="O153" s="60" t="s">
        <v>1445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 t="shared" si="9"/>
        <v>0</v>
      </c>
      <c r="V153" s="31" t="s">
        <v>1077</v>
      </c>
      <c r="W153" s="7">
        <v>0</v>
      </c>
      <c r="X153" s="31" t="s">
        <v>26</v>
      </c>
      <c r="Y153" s="49">
        <v>0</v>
      </c>
      <c r="Z153" s="58" t="s">
        <v>1445</v>
      </c>
    </row>
    <row r="154" spans="1:26" ht="6" customHeight="1" x14ac:dyDescent="0.3">
      <c r="A154" s="47">
        <v>152</v>
      </c>
      <c r="B154" s="55" t="s">
        <v>145</v>
      </c>
      <c r="C154" s="33" t="str">
        <f t="shared" si="5"/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 t="shared" si="8"/>
        <v>"EQU.116"</v>
      </c>
      <c r="N154" s="31" t="s">
        <v>1063</v>
      </c>
      <c r="O154" s="60" t="s">
        <v>1445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 t="shared" si="9"/>
        <v>0</v>
      </c>
      <c r="V154" s="31" t="s">
        <v>1077</v>
      </c>
      <c r="W154" s="7">
        <v>0</v>
      </c>
      <c r="X154" s="31" t="s">
        <v>26</v>
      </c>
      <c r="Y154" s="49">
        <v>0</v>
      </c>
      <c r="Z154" s="58" t="s">
        <v>1445</v>
      </c>
    </row>
    <row r="155" spans="1:26" ht="6" customHeight="1" x14ac:dyDescent="0.3">
      <c r="A155" s="47">
        <v>153</v>
      </c>
      <c r="B155" s="55" t="s">
        <v>146</v>
      </c>
      <c r="C155" s="33" t="str">
        <f t="shared" si="5"/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 t="shared" si="8"/>
        <v>"EQU.117"</v>
      </c>
      <c r="N155" s="31" t="s">
        <v>1063</v>
      </c>
      <c r="O155" s="60" t="s">
        <v>1326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  <c r="Z155" s="58" t="s">
        <v>1326</v>
      </c>
    </row>
    <row r="156" spans="1:26" ht="6" customHeight="1" x14ac:dyDescent="0.3">
      <c r="A156" s="47">
        <v>154</v>
      </c>
      <c r="B156" s="55" t="s">
        <v>147</v>
      </c>
      <c r="C156" s="33" t="str">
        <f t="shared" si="5"/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 t="shared" si="8"/>
        <v>"EQU.118"</v>
      </c>
      <c r="N156" s="31" t="s">
        <v>1063</v>
      </c>
      <c r="O156" s="60" t="s">
        <v>1533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  <c r="Z156" s="58" t="s">
        <v>1533</v>
      </c>
    </row>
    <row r="157" spans="1:26" ht="6" customHeight="1" x14ac:dyDescent="0.3">
      <c r="A157" s="47">
        <v>155</v>
      </c>
      <c r="B157" s="55" t="s">
        <v>148</v>
      </c>
      <c r="C157" s="33" t="str">
        <f t="shared" si="5"/>
        <v>SUS.Dispositivo</v>
      </c>
      <c r="D157" s="53" t="s">
        <v>1185</v>
      </c>
      <c r="E157" s="54" t="s">
        <v>1186</v>
      </c>
      <c r="F157" s="53" t="s">
        <v>1196</v>
      </c>
      <c r="G157" s="54" t="s">
        <v>1276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 t="shared" si="8"/>
        <v>"EQU.119"</v>
      </c>
      <c r="N157" s="31" t="s">
        <v>1063</v>
      </c>
      <c r="O157" s="60" t="s">
        <v>1446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  <c r="Z157" s="58" t="s">
        <v>1446</v>
      </c>
    </row>
    <row r="158" spans="1:26" ht="6" customHeight="1" x14ac:dyDescent="0.3">
      <c r="A158" s="47">
        <v>156</v>
      </c>
      <c r="B158" s="55" t="s">
        <v>149</v>
      </c>
      <c r="C158" s="33" t="str">
        <f t="shared" si="5"/>
        <v>SUS.Mobília.de.Saúde</v>
      </c>
      <c r="D158" s="53" t="s">
        <v>1185</v>
      </c>
      <c r="E158" s="54" t="s">
        <v>1186</v>
      </c>
      <c r="F158" s="53" t="s">
        <v>1272</v>
      </c>
      <c r="G158" s="54" t="s">
        <v>1202</v>
      </c>
      <c r="H158" s="53" t="s">
        <v>26</v>
      </c>
      <c r="I158" s="54" t="s">
        <v>26</v>
      </c>
      <c r="J158" s="31" t="s">
        <v>1260</v>
      </c>
      <c r="K158" s="52" t="s">
        <v>1553</v>
      </c>
      <c r="L158" s="31" t="s">
        <v>1074</v>
      </c>
      <c r="M158" s="52" t="str">
        <f t="shared" si="8"/>
        <v>"EQU.120"</v>
      </c>
      <c r="N158" s="31" t="s">
        <v>1063</v>
      </c>
      <c r="O158" s="60" t="s">
        <v>1306</v>
      </c>
      <c r="P158" s="31" t="s">
        <v>1020</v>
      </c>
      <c r="Q158" s="52" t="s">
        <v>1261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  <c r="Z158" s="58" t="s">
        <v>1306</v>
      </c>
    </row>
    <row r="159" spans="1:26" ht="6" customHeight="1" x14ac:dyDescent="0.3">
      <c r="A159" s="47">
        <v>157</v>
      </c>
      <c r="B159" s="55" t="s">
        <v>150</v>
      </c>
      <c r="C159" s="33" t="str">
        <f t="shared" si="5"/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 t="shared" si="8"/>
        <v>"EQU.121"</v>
      </c>
      <c r="N159" s="31" t="s">
        <v>1063</v>
      </c>
      <c r="O159" s="60" t="s">
        <v>1447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  <c r="Z159" s="58" t="s">
        <v>1447</v>
      </c>
    </row>
    <row r="160" spans="1:26" ht="6" customHeight="1" x14ac:dyDescent="0.3">
      <c r="A160" s="47">
        <v>158</v>
      </c>
      <c r="B160" s="55" t="s">
        <v>151</v>
      </c>
      <c r="C160" s="33" t="str">
        <f t="shared" si="5"/>
        <v>SUS.Dispositivo</v>
      </c>
      <c r="D160" s="53" t="s">
        <v>1185</v>
      </c>
      <c r="E160" s="54" t="s">
        <v>1186</v>
      </c>
      <c r="F160" s="53" t="s">
        <v>1176</v>
      </c>
      <c r="G160" s="54" t="s">
        <v>1258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 t="shared" si="8"/>
        <v>"EQU.122"</v>
      </c>
      <c r="N160" s="31" t="s">
        <v>1063</v>
      </c>
      <c r="O160" s="60" t="s">
        <v>1494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  <c r="Z160" s="58" t="s">
        <v>1494</v>
      </c>
    </row>
    <row r="161" spans="1:26" ht="6" customHeight="1" x14ac:dyDescent="0.3">
      <c r="A161" s="47">
        <v>159</v>
      </c>
      <c r="B161" s="55" t="s">
        <v>152</v>
      </c>
      <c r="C161" s="33" t="str">
        <f t="shared" si="5"/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 t="shared" si="8"/>
        <v>"EQU.123"</v>
      </c>
      <c r="N161" s="31" t="s">
        <v>1063</v>
      </c>
      <c r="O161" s="60" t="s">
        <v>1327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  <c r="Z161" s="58" t="s">
        <v>1327</v>
      </c>
    </row>
    <row r="162" spans="1:26" ht="6" customHeight="1" x14ac:dyDescent="0.3">
      <c r="A162" s="47">
        <v>160</v>
      </c>
      <c r="B162" s="55" t="s">
        <v>153</v>
      </c>
      <c r="C162" s="33" t="str">
        <f t="shared" si="5"/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 t="shared" si="8"/>
        <v>"EQU.124"</v>
      </c>
      <c r="N162" s="31" t="s">
        <v>1063</v>
      </c>
      <c r="O162" s="60" t="s">
        <v>1491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  <c r="Z162" s="58" t="s">
        <v>1491</v>
      </c>
    </row>
    <row r="163" spans="1:26" ht="6" customHeight="1" x14ac:dyDescent="0.3">
      <c r="A163" s="47">
        <v>161</v>
      </c>
      <c r="B163" s="55" t="s">
        <v>154</v>
      </c>
      <c r="C163" s="33" t="str">
        <f t="shared" si="5"/>
        <v>SUS.Mobília.de.Saúde</v>
      </c>
      <c r="D163" s="53" t="s">
        <v>1185</v>
      </c>
      <c r="E163" s="54" t="s">
        <v>1186</v>
      </c>
      <c r="F163" s="53" t="s">
        <v>1272</v>
      </c>
      <c r="G163" s="54" t="s">
        <v>1273</v>
      </c>
      <c r="H163" s="53" t="s">
        <v>26</v>
      </c>
      <c r="I163" s="54" t="s">
        <v>26</v>
      </c>
      <c r="J163" s="31" t="s">
        <v>1260</v>
      </c>
      <c r="K163" s="52" t="s">
        <v>1555</v>
      </c>
      <c r="L163" s="31" t="s">
        <v>1074</v>
      </c>
      <c r="M163" s="52" t="str">
        <f t="shared" si="8"/>
        <v>"EQU.125"</v>
      </c>
      <c r="N163" s="31" t="s">
        <v>1063</v>
      </c>
      <c r="O163" s="60" t="s">
        <v>1292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  <c r="Z163" s="58" t="s">
        <v>1292</v>
      </c>
    </row>
    <row r="164" spans="1:26" ht="6" customHeight="1" x14ac:dyDescent="0.3">
      <c r="A164" s="47">
        <v>162</v>
      </c>
      <c r="B164" s="55" t="s">
        <v>155</v>
      </c>
      <c r="C164" s="33" t="str">
        <f t="shared" si="5"/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 t="shared" si="8"/>
        <v>"EQU.126"</v>
      </c>
      <c r="N164" s="31" t="s">
        <v>1063</v>
      </c>
      <c r="O164" s="60" t="s">
        <v>1328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  <c r="Z164" s="58" t="s">
        <v>1328</v>
      </c>
    </row>
    <row r="165" spans="1:26" ht="6" customHeight="1" x14ac:dyDescent="0.3">
      <c r="A165" s="47">
        <v>163</v>
      </c>
      <c r="B165" s="55" t="s">
        <v>156</v>
      </c>
      <c r="C165" s="33" t="str">
        <f t="shared" si="5"/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 t="shared" si="8"/>
        <v>"EQU.127"</v>
      </c>
      <c r="N165" s="31" t="s">
        <v>1063</v>
      </c>
      <c r="O165" s="60" t="s">
        <v>1435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  <c r="Z165" s="58" t="s">
        <v>1435</v>
      </c>
    </row>
    <row r="166" spans="1:26" ht="6" customHeight="1" x14ac:dyDescent="0.3">
      <c r="A166" s="47">
        <v>164</v>
      </c>
      <c r="B166" s="55" t="s">
        <v>157</v>
      </c>
      <c r="C166" s="33" t="str">
        <f t="shared" si="5"/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 t="shared" si="8"/>
        <v>"EQU.128"</v>
      </c>
      <c r="N166" s="31" t="s">
        <v>1063</v>
      </c>
      <c r="O166" s="60" t="s">
        <v>1323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 t="shared" ref="U166:U182" si="10"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  <c r="Z166" s="58" t="s">
        <v>1323</v>
      </c>
    </row>
    <row r="167" spans="1:26" ht="6" customHeight="1" x14ac:dyDescent="0.3">
      <c r="A167" s="47">
        <v>165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1276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 t="shared" ref="M167:M200" si="12">_xlfn.CONCAT("""",B167,"""")</f>
        <v>"EQU.129"</v>
      </c>
      <c r="N167" s="31" t="s">
        <v>1063</v>
      </c>
      <c r="O167" s="60" t="s">
        <v>1448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 t="shared" si="10"/>
        <v>1</v>
      </c>
      <c r="V167" s="31" t="s">
        <v>1077</v>
      </c>
      <c r="W167" s="7">
        <v>0</v>
      </c>
      <c r="X167" s="31" t="s">
        <v>26</v>
      </c>
      <c r="Y167" s="49">
        <v>0</v>
      </c>
      <c r="Z167" s="58" t="s">
        <v>1448</v>
      </c>
    </row>
    <row r="168" spans="1:26" ht="6" customHeight="1" x14ac:dyDescent="0.3">
      <c r="A168" s="47">
        <v>166</v>
      </c>
      <c r="B168" s="55" t="s">
        <v>159</v>
      </c>
      <c r="C168" s="33" t="str">
        <f t="shared" si="11"/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 t="shared" si="12"/>
        <v>"EQU.130"</v>
      </c>
      <c r="N168" s="31" t="s">
        <v>1063</v>
      </c>
      <c r="O168" s="60" t="s">
        <v>1329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 t="shared" si="10"/>
        <v>0</v>
      </c>
      <c r="V168" s="31" t="s">
        <v>1077</v>
      </c>
      <c r="W168" s="7">
        <v>0</v>
      </c>
      <c r="X168" s="31" t="s">
        <v>26</v>
      </c>
      <c r="Y168" s="49">
        <v>0</v>
      </c>
      <c r="Z168" s="58" t="s">
        <v>1329</v>
      </c>
    </row>
    <row r="169" spans="1:26" ht="6" customHeight="1" x14ac:dyDescent="0.3">
      <c r="A169" s="47">
        <v>167</v>
      </c>
      <c r="B169" s="55" t="s">
        <v>160</v>
      </c>
      <c r="C169" s="33" t="str">
        <f t="shared" si="11"/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 t="shared" si="12"/>
        <v>"EQU.131"</v>
      </c>
      <c r="N169" s="31" t="s">
        <v>1063</v>
      </c>
      <c r="O169" s="60" t="s">
        <v>1330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 t="shared" si="10"/>
        <v>1</v>
      </c>
      <c r="V169" s="31" t="s">
        <v>1077</v>
      </c>
      <c r="W169" s="7">
        <v>0</v>
      </c>
      <c r="X169" s="31" t="s">
        <v>26</v>
      </c>
      <c r="Y169" s="49">
        <v>0</v>
      </c>
      <c r="Z169" s="58" t="s">
        <v>1330</v>
      </c>
    </row>
    <row r="170" spans="1:26" ht="6" customHeight="1" x14ac:dyDescent="0.3">
      <c r="A170" s="47">
        <v>168</v>
      </c>
      <c r="B170" s="55" t="s">
        <v>161</v>
      </c>
      <c r="C170" s="33" t="str">
        <f t="shared" si="11"/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 t="shared" si="12"/>
        <v>"EQU.132"</v>
      </c>
      <c r="N170" s="31" t="s">
        <v>1063</v>
      </c>
      <c r="O170" s="60" t="s">
        <v>1285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 t="shared" si="10"/>
        <v>1</v>
      </c>
      <c r="V170" s="31" t="s">
        <v>1077</v>
      </c>
      <c r="W170" s="7">
        <v>0</v>
      </c>
      <c r="X170" s="31" t="s">
        <v>26</v>
      </c>
      <c r="Y170" s="49">
        <v>0</v>
      </c>
      <c r="Z170" s="58" t="s">
        <v>1285</v>
      </c>
    </row>
    <row r="171" spans="1:26" ht="6" customHeight="1" x14ac:dyDescent="0.3">
      <c r="A171" s="47">
        <v>169</v>
      </c>
      <c r="B171" s="55" t="s">
        <v>162</v>
      </c>
      <c r="C171" s="33" t="str">
        <f t="shared" si="11"/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 t="shared" si="12"/>
        <v>"EQU.133"</v>
      </c>
      <c r="N171" s="31" t="s">
        <v>1063</v>
      </c>
      <c r="O171" s="60" t="s">
        <v>1331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 t="shared" si="10"/>
        <v>1</v>
      </c>
      <c r="V171" s="31" t="s">
        <v>1077</v>
      </c>
      <c r="W171" s="7">
        <v>0</v>
      </c>
      <c r="X171" s="31" t="s">
        <v>26</v>
      </c>
      <c r="Y171" s="49">
        <v>0</v>
      </c>
      <c r="Z171" s="58" t="s">
        <v>1331</v>
      </c>
    </row>
    <row r="172" spans="1:26" ht="6" customHeight="1" x14ac:dyDescent="0.3">
      <c r="A172" s="47">
        <v>170</v>
      </c>
      <c r="B172" s="55" t="s">
        <v>163</v>
      </c>
      <c r="C172" s="33" t="str">
        <f t="shared" si="11"/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 t="shared" si="12"/>
        <v>"EQU.134"</v>
      </c>
      <c r="N172" s="31" t="s">
        <v>1063</v>
      </c>
      <c r="O172" s="60" t="s">
        <v>1332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 t="shared" si="10"/>
        <v>1</v>
      </c>
      <c r="V172" s="31" t="s">
        <v>1077</v>
      </c>
      <c r="W172" s="7">
        <v>0</v>
      </c>
      <c r="X172" s="31" t="s">
        <v>26</v>
      </c>
      <c r="Y172" s="49">
        <v>0</v>
      </c>
      <c r="Z172" s="58" t="s">
        <v>1332</v>
      </c>
    </row>
    <row r="173" spans="1:26" ht="6" customHeight="1" x14ac:dyDescent="0.3">
      <c r="A173" s="47">
        <v>171</v>
      </c>
      <c r="B173" s="55" t="s">
        <v>164</v>
      </c>
      <c r="C173" s="33" t="str">
        <f t="shared" si="11"/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 t="shared" si="12"/>
        <v>"EQU.135"</v>
      </c>
      <c r="N173" s="31" t="s">
        <v>1063</v>
      </c>
      <c r="O173" s="60" t="s">
        <v>1332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 t="shared" si="10"/>
        <v>1</v>
      </c>
      <c r="V173" s="31" t="s">
        <v>1077</v>
      </c>
      <c r="W173" s="7">
        <v>0</v>
      </c>
      <c r="X173" s="31" t="s">
        <v>26</v>
      </c>
      <c r="Y173" s="49">
        <v>0</v>
      </c>
      <c r="Z173" s="58" t="s">
        <v>1332</v>
      </c>
    </row>
    <row r="174" spans="1:26" ht="6" customHeight="1" x14ac:dyDescent="0.3">
      <c r="A174" s="47">
        <v>172</v>
      </c>
      <c r="B174" s="55" t="s">
        <v>165</v>
      </c>
      <c r="C174" s="33" t="str">
        <f t="shared" si="11"/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 t="shared" si="12"/>
        <v>"EQU.136"</v>
      </c>
      <c r="N174" s="31" t="s">
        <v>1063</v>
      </c>
      <c r="O174" s="60" t="s">
        <v>1492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 t="shared" si="10"/>
        <v>1</v>
      </c>
      <c r="V174" s="31" t="s">
        <v>1077</v>
      </c>
      <c r="W174" s="7">
        <v>0</v>
      </c>
      <c r="X174" s="31" t="s">
        <v>26</v>
      </c>
      <c r="Y174" s="49">
        <v>0</v>
      </c>
      <c r="Z174" s="58" t="s">
        <v>1492</v>
      </c>
    </row>
    <row r="175" spans="1:26" ht="6" customHeight="1" x14ac:dyDescent="0.3">
      <c r="A175" s="47">
        <v>173</v>
      </c>
      <c r="B175" s="55" t="s">
        <v>166</v>
      </c>
      <c r="C175" s="33" t="str">
        <f t="shared" si="11"/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 t="shared" si="12"/>
        <v>"EQU.137"</v>
      </c>
      <c r="N175" s="31" t="s">
        <v>1063</v>
      </c>
      <c r="O175" s="60" t="s">
        <v>1445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 t="shared" si="10"/>
        <v>0</v>
      </c>
      <c r="V175" s="31" t="s">
        <v>1077</v>
      </c>
      <c r="W175" s="7">
        <v>0</v>
      </c>
      <c r="X175" s="31" t="s">
        <v>26</v>
      </c>
      <c r="Y175" s="49">
        <v>0</v>
      </c>
      <c r="Z175" s="58" t="s">
        <v>1445</v>
      </c>
    </row>
    <row r="176" spans="1:26" ht="6" customHeight="1" x14ac:dyDescent="0.3">
      <c r="A176" s="47">
        <v>174</v>
      </c>
      <c r="B176" s="55" t="s">
        <v>167</v>
      </c>
      <c r="C176" s="33" t="str">
        <f t="shared" si="11"/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 t="shared" si="12"/>
        <v>"EQU.138"</v>
      </c>
      <c r="N176" s="31" t="s">
        <v>1063</v>
      </c>
      <c r="O176" s="60" t="s">
        <v>1449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 t="shared" si="10"/>
        <v>1</v>
      </c>
      <c r="V176" s="31" t="s">
        <v>1077</v>
      </c>
      <c r="W176" s="7">
        <v>0</v>
      </c>
      <c r="X176" s="31" t="s">
        <v>26</v>
      </c>
      <c r="Y176" s="49">
        <v>0</v>
      </c>
      <c r="Z176" s="58" t="s">
        <v>1449</v>
      </c>
    </row>
    <row r="177" spans="1:26" ht="6" customHeight="1" x14ac:dyDescent="0.3">
      <c r="A177" s="47">
        <v>175</v>
      </c>
      <c r="B177" s="55" t="s">
        <v>168</v>
      </c>
      <c r="C177" s="33" t="str">
        <f t="shared" si="11"/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 t="shared" si="12"/>
        <v>"EQU.139"</v>
      </c>
      <c r="N177" s="31" t="s">
        <v>1063</v>
      </c>
      <c r="O177" s="60" t="s">
        <v>1433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 t="shared" si="10"/>
        <v>1</v>
      </c>
      <c r="V177" s="31" t="s">
        <v>1077</v>
      </c>
      <c r="W177" s="7">
        <v>0</v>
      </c>
      <c r="X177" s="31" t="s">
        <v>26</v>
      </c>
      <c r="Y177" s="49">
        <v>0</v>
      </c>
      <c r="Z177" s="58" t="s">
        <v>1433</v>
      </c>
    </row>
    <row r="178" spans="1:26" ht="6" customHeight="1" x14ac:dyDescent="0.3">
      <c r="A178" s="47">
        <v>176</v>
      </c>
      <c r="B178" s="55" t="s">
        <v>169</v>
      </c>
      <c r="C178" s="33" t="str">
        <f t="shared" si="11"/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 t="shared" si="12"/>
        <v>"EQU.140"</v>
      </c>
      <c r="N178" s="31" t="s">
        <v>1063</v>
      </c>
      <c r="O178" s="60" t="s">
        <v>1358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 t="shared" si="10"/>
        <v>0</v>
      </c>
      <c r="V178" s="31" t="s">
        <v>1077</v>
      </c>
      <c r="W178" s="7">
        <v>0</v>
      </c>
      <c r="X178" s="31" t="s">
        <v>26</v>
      </c>
      <c r="Y178" s="49">
        <v>0</v>
      </c>
      <c r="Z178" s="58" t="s">
        <v>1358</v>
      </c>
    </row>
    <row r="179" spans="1:26" ht="6" customHeight="1" x14ac:dyDescent="0.3">
      <c r="A179" s="47">
        <v>177</v>
      </c>
      <c r="B179" s="55" t="s">
        <v>170</v>
      </c>
      <c r="C179" s="33" t="str">
        <f t="shared" si="11"/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 t="shared" si="12"/>
        <v>"EQU.141"</v>
      </c>
      <c r="N179" s="31" t="s">
        <v>1063</v>
      </c>
      <c r="O179" s="60" t="s">
        <v>1330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 t="shared" si="10"/>
        <v>1</v>
      </c>
      <c r="V179" s="31" t="s">
        <v>1077</v>
      </c>
      <c r="W179" s="7">
        <v>0</v>
      </c>
      <c r="X179" s="31" t="s">
        <v>26</v>
      </c>
      <c r="Y179" s="49">
        <v>0</v>
      </c>
      <c r="Z179" s="58" t="s">
        <v>1330</v>
      </c>
    </row>
    <row r="180" spans="1:26" ht="6" customHeight="1" x14ac:dyDescent="0.3">
      <c r="A180" s="47">
        <v>178</v>
      </c>
      <c r="B180" s="55" t="s">
        <v>171</v>
      </c>
      <c r="C180" s="33" t="str">
        <f t="shared" si="11"/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 t="shared" si="12"/>
        <v>"EQU.142"</v>
      </c>
      <c r="N180" s="31" t="s">
        <v>1063</v>
      </c>
      <c r="O180" s="60" t="s">
        <v>1330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 t="shared" si="10"/>
        <v>1</v>
      </c>
      <c r="V180" s="31" t="s">
        <v>1077</v>
      </c>
      <c r="W180" s="7">
        <v>0</v>
      </c>
      <c r="X180" s="31" t="s">
        <v>26</v>
      </c>
      <c r="Y180" s="49">
        <v>0</v>
      </c>
      <c r="Z180" s="58" t="s">
        <v>1330</v>
      </c>
    </row>
    <row r="181" spans="1:26" ht="6" customHeight="1" x14ac:dyDescent="0.3">
      <c r="A181" s="47">
        <v>179</v>
      </c>
      <c r="B181" s="55" t="s">
        <v>172</v>
      </c>
      <c r="C181" s="33" t="str">
        <f t="shared" si="11"/>
        <v>SUS.Equipamento</v>
      </c>
      <c r="D181" s="53" t="s">
        <v>1185</v>
      </c>
      <c r="E181" s="54" t="s">
        <v>1186</v>
      </c>
      <c r="F181" s="53" t="s">
        <v>1196</v>
      </c>
      <c r="G181" s="54" t="s">
        <v>1282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 t="shared" si="12"/>
        <v>"EQU.143"</v>
      </c>
      <c r="N181" s="31" t="s">
        <v>1063</v>
      </c>
      <c r="O181" s="60" t="s">
        <v>1450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 t="shared" si="10"/>
        <v>0</v>
      </c>
      <c r="V181" s="31" t="s">
        <v>1077</v>
      </c>
      <c r="W181" s="7">
        <v>0</v>
      </c>
      <c r="X181" s="31" t="s">
        <v>26</v>
      </c>
      <c r="Y181" s="49">
        <v>0</v>
      </c>
      <c r="Z181" s="58" t="s">
        <v>1450</v>
      </c>
    </row>
    <row r="182" spans="1:26" ht="6" customHeight="1" x14ac:dyDescent="0.3">
      <c r="A182" s="47">
        <v>180</v>
      </c>
      <c r="B182" s="55" t="s">
        <v>173</v>
      </c>
      <c r="C182" s="33" t="str">
        <f t="shared" si="11"/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 t="shared" si="12"/>
        <v>"EQU.144"</v>
      </c>
      <c r="N182" s="31" t="s">
        <v>1063</v>
      </c>
      <c r="O182" s="60" t="s">
        <v>1451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 t="shared" si="10"/>
        <v>0</v>
      </c>
      <c r="V182" s="31" t="s">
        <v>1077</v>
      </c>
      <c r="W182" s="7">
        <v>0</v>
      </c>
      <c r="X182" s="31" t="s">
        <v>26</v>
      </c>
      <c r="Y182" s="49">
        <v>0</v>
      </c>
      <c r="Z182" s="58" t="s">
        <v>1451</v>
      </c>
    </row>
    <row r="183" spans="1:26" ht="6" customHeight="1" x14ac:dyDescent="0.3">
      <c r="A183" s="47">
        <v>181</v>
      </c>
      <c r="B183" s="55" t="s">
        <v>174</v>
      </c>
      <c r="C183" s="33" t="str">
        <f t="shared" si="11"/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 t="shared" si="12"/>
        <v>"EQU.145"</v>
      </c>
      <c r="N183" s="31" t="s">
        <v>1063</v>
      </c>
      <c r="O183" s="60" t="s">
        <v>1310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  <c r="Z183" s="58" t="s">
        <v>1310</v>
      </c>
    </row>
    <row r="184" spans="1:26" ht="6" customHeight="1" x14ac:dyDescent="0.3">
      <c r="A184" s="47">
        <v>182</v>
      </c>
      <c r="B184" s="55" t="s">
        <v>175</v>
      </c>
      <c r="C184" s="33" t="str">
        <f t="shared" si="11"/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 t="shared" si="12"/>
        <v>"EQU.146"</v>
      </c>
      <c r="N184" s="31" t="s">
        <v>1063</v>
      </c>
      <c r="O184" s="60" t="s">
        <v>1319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  <c r="Z184" s="58" t="s">
        <v>1319</v>
      </c>
    </row>
    <row r="185" spans="1:26" ht="6" customHeight="1" x14ac:dyDescent="0.3">
      <c r="A185" s="47">
        <v>183</v>
      </c>
      <c r="B185" s="55" t="s">
        <v>176</v>
      </c>
      <c r="C185" s="33" t="str">
        <f t="shared" si="11"/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 t="shared" si="12"/>
        <v>"EQU.147"</v>
      </c>
      <c r="N185" s="31" t="s">
        <v>1063</v>
      </c>
      <c r="O185" s="60" t="s">
        <v>1333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  <c r="Z185" s="58" t="s">
        <v>1333</v>
      </c>
    </row>
    <row r="186" spans="1:26" ht="6" customHeight="1" x14ac:dyDescent="0.3">
      <c r="A186" s="47">
        <v>184</v>
      </c>
      <c r="B186" s="55" t="s">
        <v>177</v>
      </c>
      <c r="C186" s="33" t="str">
        <f t="shared" si="11"/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1276</v>
      </c>
      <c r="J186" s="31" t="s">
        <v>26</v>
      </c>
      <c r="K186" s="52" t="s">
        <v>26</v>
      </c>
      <c r="L186" s="31" t="s">
        <v>1074</v>
      </c>
      <c r="M186" s="52" t="str">
        <f t="shared" si="12"/>
        <v>"EQU.148"</v>
      </c>
      <c r="N186" s="31" t="s">
        <v>1063</v>
      </c>
      <c r="O186" s="60" t="s">
        <v>1433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  <c r="Z186" s="58" t="s">
        <v>1433</v>
      </c>
    </row>
    <row r="187" spans="1:26" ht="6" customHeight="1" x14ac:dyDescent="0.3">
      <c r="A187" s="47">
        <v>185</v>
      </c>
      <c r="B187" s="55" t="s">
        <v>178</v>
      </c>
      <c r="C187" s="33" t="str">
        <f t="shared" si="11"/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 t="shared" si="12"/>
        <v>"EQU.149"</v>
      </c>
      <c r="N187" s="31" t="s">
        <v>1063</v>
      </c>
      <c r="O187" s="60" t="s">
        <v>1310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  <c r="Z187" s="58" t="s">
        <v>1310</v>
      </c>
    </row>
    <row r="188" spans="1:26" ht="6" customHeight="1" x14ac:dyDescent="0.3">
      <c r="A188" s="47">
        <v>186</v>
      </c>
      <c r="B188" s="55" t="s">
        <v>179</v>
      </c>
      <c r="C188" s="33" t="str">
        <f t="shared" si="11"/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 t="shared" si="12"/>
        <v>"EQU.150"</v>
      </c>
      <c r="N188" s="31" t="s">
        <v>1063</v>
      </c>
      <c r="O188" s="60" t="s">
        <v>1310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  <c r="Z188" s="58" t="s">
        <v>1310</v>
      </c>
    </row>
    <row r="189" spans="1:26" ht="6" customHeight="1" x14ac:dyDescent="0.3">
      <c r="A189" s="47">
        <v>187</v>
      </c>
      <c r="B189" s="55" t="s">
        <v>180</v>
      </c>
      <c r="C189" s="33" t="str">
        <f t="shared" si="11"/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 t="shared" si="12"/>
        <v>"EQU.151"</v>
      </c>
      <c r="N189" s="31" t="s">
        <v>1063</v>
      </c>
      <c r="O189" s="60" t="s">
        <v>1516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  <c r="Z189" s="58" t="s">
        <v>1516</v>
      </c>
    </row>
    <row r="190" spans="1:26" ht="6" customHeight="1" x14ac:dyDescent="0.3">
      <c r="A190" s="47">
        <v>188</v>
      </c>
      <c r="B190" s="55" t="s">
        <v>181</v>
      </c>
      <c r="C190" s="33" t="str">
        <f t="shared" si="11"/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 t="shared" si="12"/>
        <v>"EQU.152"</v>
      </c>
      <c r="N190" s="31" t="s">
        <v>1063</v>
      </c>
      <c r="O190" s="60" t="s">
        <v>1518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  <c r="Z190" s="58" t="s">
        <v>1518</v>
      </c>
    </row>
    <row r="191" spans="1:26" ht="6" customHeight="1" x14ac:dyDescent="0.3">
      <c r="A191" s="47">
        <v>189</v>
      </c>
      <c r="B191" s="55" t="s">
        <v>182</v>
      </c>
      <c r="C191" s="33" t="str">
        <f t="shared" si="11"/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 t="shared" si="12"/>
        <v>"EQU.153"</v>
      </c>
      <c r="N191" s="31" t="s">
        <v>1063</v>
      </c>
      <c r="O191" s="60" t="s">
        <v>1334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  <c r="Z191" s="58" t="s">
        <v>1334</v>
      </c>
    </row>
    <row r="192" spans="1:26" ht="6" customHeight="1" x14ac:dyDescent="0.3">
      <c r="A192" s="47">
        <v>190</v>
      </c>
      <c r="B192" s="55" t="s">
        <v>183</v>
      </c>
      <c r="C192" s="33" t="str">
        <f t="shared" si="11"/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 t="shared" si="12"/>
        <v>"EQU.154"</v>
      </c>
      <c r="N192" s="31" t="s">
        <v>1063</v>
      </c>
      <c r="O192" s="60" t="s">
        <v>1335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  <c r="Z192" s="58" t="s">
        <v>1335</v>
      </c>
    </row>
    <row r="193" spans="1:26" ht="6" customHeight="1" x14ac:dyDescent="0.3">
      <c r="A193" s="47">
        <v>191</v>
      </c>
      <c r="B193" s="55" t="s">
        <v>184</v>
      </c>
      <c r="C193" s="33" t="str">
        <f t="shared" si="11"/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 t="shared" si="12"/>
        <v>"EQU.155"</v>
      </c>
      <c r="N193" s="31" t="s">
        <v>1063</v>
      </c>
      <c r="O193" s="60" t="s">
        <v>1331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 t="shared" ref="U193:U200" si="13"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  <c r="Z193" s="58" t="s">
        <v>1331</v>
      </c>
    </row>
    <row r="194" spans="1:26" ht="6" customHeight="1" x14ac:dyDescent="0.3">
      <c r="A194" s="47">
        <v>192</v>
      </c>
      <c r="B194" s="55" t="s">
        <v>185</v>
      </c>
      <c r="C194" s="33" t="str">
        <f t="shared" si="11"/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 t="shared" si="12"/>
        <v>"EQU.156"</v>
      </c>
      <c r="N194" s="31" t="s">
        <v>1063</v>
      </c>
      <c r="O194" s="60" t="s">
        <v>1452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 t="shared" si="13"/>
        <v>1</v>
      </c>
      <c r="V194" s="31" t="s">
        <v>1077</v>
      </c>
      <c r="W194" s="7">
        <v>0</v>
      </c>
      <c r="X194" s="31" t="s">
        <v>26</v>
      </c>
      <c r="Y194" s="49">
        <v>0</v>
      </c>
      <c r="Z194" s="58" t="s">
        <v>1452</v>
      </c>
    </row>
    <row r="195" spans="1:26" ht="6" customHeight="1" x14ac:dyDescent="0.3">
      <c r="A195" s="47">
        <v>193</v>
      </c>
      <c r="B195" s="55" t="s">
        <v>186</v>
      </c>
      <c r="C195" s="33" t="str">
        <f t="shared" si="11"/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 t="shared" si="12"/>
        <v>"EQU.157"</v>
      </c>
      <c r="N195" s="31" t="s">
        <v>1063</v>
      </c>
      <c r="O195" s="60" t="s">
        <v>1336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 t="shared" si="13"/>
        <v>1</v>
      </c>
      <c r="V195" s="31" t="s">
        <v>1077</v>
      </c>
      <c r="W195" s="7">
        <v>0</v>
      </c>
      <c r="X195" s="31" t="s">
        <v>26</v>
      </c>
      <c r="Y195" s="49">
        <v>0</v>
      </c>
      <c r="Z195" s="58" t="s">
        <v>1336</v>
      </c>
    </row>
    <row r="196" spans="1:26" ht="6" customHeight="1" x14ac:dyDescent="0.3">
      <c r="A196" s="47">
        <v>194</v>
      </c>
      <c r="B196" s="55" t="s">
        <v>187</v>
      </c>
      <c r="C196" s="33" t="str">
        <f t="shared" si="11"/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 t="shared" si="12"/>
        <v>"EQU.158"</v>
      </c>
      <c r="N196" s="31" t="s">
        <v>1063</v>
      </c>
      <c r="O196" s="60" t="s">
        <v>1294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 t="shared" si="13"/>
        <v>1</v>
      </c>
      <c r="V196" s="31" t="s">
        <v>1077</v>
      </c>
      <c r="W196" s="7">
        <v>0</v>
      </c>
      <c r="X196" s="31" t="s">
        <v>26</v>
      </c>
      <c r="Y196" s="49">
        <v>0</v>
      </c>
      <c r="Z196" s="58" t="s">
        <v>1294</v>
      </c>
    </row>
    <row r="197" spans="1:26" ht="6" customHeight="1" x14ac:dyDescent="0.3">
      <c r="A197" s="47">
        <v>195</v>
      </c>
      <c r="B197" s="55" t="s">
        <v>188</v>
      </c>
      <c r="C197" s="33" t="str">
        <f t="shared" si="11"/>
        <v>SUS.Mobília.de.Saúde</v>
      </c>
      <c r="D197" s="53" t="s">
        <v>1185</v>
      </c>
      <c r="E197" s="54" t="s">
        <v>1186</v>
      </c>
      <c r="F197" s="53" t="s">
        <v>1272</v>
      </c>
      <c r="G197" s="54" t="s">
        <v>1202</v>
      </c>
      <c r="H197" s="53" t="s">
        <v>26</v>
      </c>
      <c r="I197" s="54" t="s">
        <v>26</v>
      </c>
      <c r="J197" s="31" t="s">
        <v>1260</v>
      </c>
      <c r="K197" s="52" t="s">
        <v>1553</v>
      </c>
      <c r="L197" s="31" t="s">
        <v>1074</v>
      </c>
      <c r="M197" s="52" t="str">
        <f t="shared" si="12"/>
        <v>"EQU.159"</v>
      </c>
      <c r="N197" s="31" t="s">
        <v>1063</v>
      </c>
      <c r="O197" s="60" t="s">
        <v>1306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 t="shared" si="13"/>
        <v>0</v>
      </c>
      <c r="V197" s="31" t="s">
        <v>1077</v>
      </c>
      <c r="W197" s="7">
        <v>1</v>
      </c>
      <c r="X197" s="31" t="s">
        <v>26</v>
      </c>
      <c r="Y197" s="49">
        <v>0</v>
      </c>
      <c r="Z197" s="58" t="s">
        <v>1306</v>
      </c>
    </row>
    <row r="198" spans="1:26" ht="6" customHeight="1" x14ac:dyDescent="0.3">
      <c r="A198" s="47">
        <v>196</v>
      </c>
      <c r="B198" s="55" t="s">
        <v>189</v>
      </c>
      <c r="C198" s="33" t="str">
        <f t="shared" si="11"/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 t="shared" si="12"/>
        <v>"EQU.160"</v>
      </c>
      <c r="N198" s="31" t="s">
        <v>1063</v>
      </c>
      <c r="O198" s="60" t="s">
        <v>1497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 t="shared" si="13"/>
        <v>1</v>
      </c>
      <c r="V198" s="31" t="s">
        <v>1077</v>
      </c>
      <c r="W198" s="7">
        <v>0</v>
      </c>
      <c r="X198" s="31" t="s">
        <v>26</v>
      </c>
      <c r="Y198" s="49">
        <v>0</v>
      </c>
      <c r="Z198" s="58" t="s">
        <v>1497</v>
      </c>
    </row>
    <row r="199" spans="1:26" ht="6" customHeight="1" x14ac:dyDescent="0.3">
      <c r="A199" s="47">
        <v>197</v>
      </c>
      <c r="B199" s="55" t="s">
        <v>190</v>
      </c>
      <c r="C199" s="33" t="str">
        <f t="shared" si="11"/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 t="shared" si="12"/>
        <v>"EQU.161"</v>
      </c>
      <c r="N199" s="31" t="s">
        <v>1063</v>
      </c>
      <c r="O199" s="60" t="s">
        <v>1285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 t="shared" si="13"/>
        <v>1</v>
      </c>
      <c r="V199" s="31" t="s">
        <v>1077</v>
      </c>
      <c r="W199" s="7">
        <v>0</v>
      </c>
      <c r="X199" s="31" t="s">
        <v>26</v>
      </c>
      <c r="Y199" s="49">
        <v>0</v>
      </c>
      <c r="Z199" s="58" t="s">
        <v>1285</v>
      </c>
    </row>
    <row r="200" spans="1:26" ht="6" customHeight="1" x14ac:dyDescent="0.3">
      <c r="A200" s="47">
        <v>198</v>
      </c>
      <c r="B200" s="55" t="s">
        <v>191</v>
      </c>
      <c r="C200" s="33" t="str">
        <f t="shared" si="11"/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 t="shared" si="12"/>
        <v>"EQU.162"</v>
      </c>
      <c r="N200" s="31" t="s">
        <v>1063</v>
      </c>
      <c r="O200" s="60" t="s">
        <v>1337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 t="shared" si="13"/>
        <v>1</v>
      </c>
      <c r="V200" s="31" t="s">
        <v>1077</v>
      </c>
      <c r="W200" s="7">
        <v>0</v>
      </c>
      <c r="X200" s="31" t="s">
        <v>26</v>
      </c>
      <c r="Y200" s="49">
        <v>0</v>
      </c>
      <c r="Z200" s="58" t="s">
        <v>1337</v>
      </c>
    </row>
    <row r="201" spans="1:26" ht="6" customHeight="1" x14ac:dyDescent="0.3">
      <c r="A201" s="47">
        <v>199</v>
      </c>
      <c r="B201" s="55" t="s">
        <v>192</v>
      </c>
      <c r="C201" s="33" t="str">
        <f t="shared" si="11"/>
        <v>SUS.Mobília.de.Saúde</v>
      </c>
      <c r="D201" s="53" t="s">
        <v>1185</v>
      </c>
      <c r="E201" s="54" t="s">
        <v>1255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1562</v>
      </c>
      <c r="N201" s="31" t="s">
        <v>1063</v>
      </c>
      <c r="O201" s="60" t="s">
        <v>1604</v>
      </c>
      <c r="P201" s="31" t="s">
        <v>1020</v>
      </c>
      <c r="Q201" s="52" t="s">
        <v>1605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58" t="s">
        <v>1338</v>
      </c>
    </row>
    <row r="202" spans="1:26" ht="6" customHeight="1" x14ac:dyDescent="0.3">
      <c r="A202" s="47">
        <v>200</v>
      </c>
      <c r="B202" s="55" t="s">
        <v>193</v>
      </c>
      <c r="C202" s="33" t="str">
        <f t="shared" si="11"/>
        <v>SUS.Mobília.de.Saúde</v>
      </c>
      <c r="D202" s="53" t="s">
        <v>1185</v>
      </c>
      <c r="E202" s="54" t="s">
        <v>1186</v>
      </c>
      <c r="F202" s="53" t="s">
        <v>1272</v>
      </c>
      <c r="G202" s="54" t="s">
        <v>1557</v>
      </c>
      <c r="H202" s="53" t="s">
        <v>26</v>
      </c>
      <c r="I202" s="54" t="s">
        <v>26</v>
      </c>
      <c r="J202" s="31" t="s">
        <v>1178</v>
      </c>
      <c r="K202" s="52" t="s">
        <v>1558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1339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  <c r="Z202" s="58" t="s">
        <v>1339</v>
      </c>
    </row>
    <row r="203" spans="1:26" ht="6" customHeight="1" x14ac:dyDescent="0.3">
      <c r="A203" s="47">
        <v>201</v>
      </c>
      <c r="B203" s="55" t="s">
        <v>194</v>
      </c>
      <c r="C203" s="33" t="str">
        <f t="shared" si="11"/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1531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  <c r="Z203" s="58" t="s">
        <v>1531</v>
      </c>
    </row>
    <row r="204" spans="1:26" ht="6" customHeight="1" x14ac:dyDescent="0.3">
      <c r="A204" s="47">
        <v>202</v>
      </c>
      <c r="B204" s="55" t="s">
        <v>195</v>
      </c>
      <c r="C204" s="33" t="str">
        <f t="shared" si="11"/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1504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  <c r="Z204" s="58" t="s">
        <v>1504</v>
      </c>
    </row>
    <row r="205" spans="1:26" ht="6" customHeight="1" x14ac:dyDescent="0.3">
      <c r="A205" s="47">
        <v>203</v>
      </c>
      <c r="B205" s="55" t="s">
        <v>196</v>
      </c>
      <c r="C205" s="33" t="str">
        <f t="shared" si="11"/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1340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  <c r="Z205" s="58" t="s">
        <v>1340</v>
      </c>
    </row>
    <row r="206" spans="1:26" ht="6" customHeight="1" x14ac:dyDescent="0.3">
      <c r="A206" s="47">
        <v>204</v>
      </c>
      <c r="B206" s="55" t="s">
        <v>197</v>
      </c>
      <c r="C206" s="33" t="str">
        <f t="shared" si="11"/>
        <v>SUS.Mobília.de.Saúde</v>
      </c>
      <c r="D206" s="53" t="s">
        <v>1185</v>
      </c>
      <c r="E206" s="54" t="s">
        <v>1255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1563</v>
      </c>
      <c r="N206" s="31" t="s">
        <v>1063</v>
      </c>
      <c r="O206" s="60" t="s">
        <v>1604</v>
      </c>
      <c r="P206" s="31" t="s">
        <v>1020</v>
      </c>
      <c r="Q206" s="52" t="s">
        <v>1605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58" t="s">
        <v>1338</v>
      </c>
    </row>
    <row r="207" spans="1:26" ht="6" customHeight="1" x14ac:dyDescent="0.3">
      <c r="A207" s="47">
        <v>205</v>
      </c>
      <c r="B207" s="55" t="s">
        <v>198</v>
      </c>
      <c r="C207" s="33" t="str">
        <f t="shared" si="11"/>
        <v>SUS.Dispositivo</v>
      </c>
      <c r="D207" s="53" t="s">
        <v>1185</v>
      </c>
      <c r="E207" s="54" t="s">
        <v>1186</v>
      </c>
      <c r="F207" s="53" t="s">
        <v>1176</v>
      </c>
      <c r="G207" s="54" t="s">
        <v>1258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 t="shared" ref="M207:M230" si="14">_xlfn.CONCAT("""",B207,"""")</f>
        <v>"EQU.169"</v>
      </c>
      <c r="N207" s="31" t="s">
        <v>1063</v>
      </c>
      <c r="O207" s="60" t="s">
        <v>1341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  <c r="Z207" s="58" t="s">
        <v>1341</v>
      </c>
    </row>
    <row r="208" spans="1:26" ht="6" customHeight="1" x14ac:dyDescent="0.3">
      <c r="A208" s="47">
        <v>206</v>
      </c>
      <c r="B208" s="55" t="s">
        <v>199</v>
      </c>
      <c r="C208" s="33" t="str">
        <f t="shared" si="11"/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 t="shared" si="14"/>
        <v>"EQU.170"</v>
      </c>
      <c r="N208" s="31" t="s">
        <v>1063</v>
      </c>
      <c r="O208" s="60" t="s">
        <v>1342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  <c r="Z208" s="58" t="s">
        <v>1342</v>
      </c>
    </row>
    <row r="209" spans="1:26" ht="6" customHeight="1" x14ac:dyDescent="0.3">
      <c r="A209" s="47">
        <v>207</v>
      </c>
      <c r="B209" s="55" t="s">
        <v>200</v>
      </c>
      <c r="C209" s="33" t="str">
        <f t="shared" si="11"/>
        <v>SUS.Dispositivo</v>
      </c>
      <c r="D209" s="53" t="s">
        <v>1185</v>
      </c>
      <c r="E209" s="54" t="s">
        <v>1186</v>
      </c>
      <c r="F209" s="53" t="s">
        <v>1196</v>
      </c>
      <c r="G209" s="54" t="s">
        <v>1276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 t="shared" si="14"/>
        <v>"EQU.171"</v>
      </c>
      <c r="N209" s="31" t="s">
        <v>1063</v>
      </c>
      <c r="O209" s="60" t="s">
        <v>1523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  <c r="Z209" s="58" t="s">
        <v>1523</v>
      </c>
    </row>
    <row r="210" spans="1:26" ht="6" customHeight="1" x14ac:dyDescent="0.3">
      <c r="A210" s="47">
        <v>208</v>
      </c>
      <c r="B210" s="55" t="s">
        <v>201</v>
      </c>
      <c r="C210" s="33" t="str">
        <f t="shared" si="11"/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 t="shared" si="14"/>
        <v>"EQU.172"</v>
      </c>
      <c r="N210" s="31" t="s">
        <v>1063</v>
      </c>
      <c r="O210" s="60" t="s">
        <v>1343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  <c r="Z210" s="58" t="s">
        <v>1343</v>
      </c>
    </row>
    <row r="211" spans="1:26" ht="6" customHeight="1" x14ac:dyDescent="0.3">
      <c r="A211" s="47">
        <v>209</v>
      </c>
      <c r="B211" s="55" t="s">
        <v>202</v>
      </c>
      <c r="C211" s="33" t="str">
        <f t="shared" si="11"/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 t="shared" si="14"/>
        <v>"EQU.173"</v>
      </c>
      <c r="N211" s="31" t="s">
        <v>1063</v>
      </c>
      <c r="O211" s="60" t="s">
        <v>1343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  <c r="Z211" s="58" t="s">
        <v>1343</v>
      </c>
    </row>
    <row r="212" spans="1:26" ht="6" customHeight="1" x14ac:dyDescent="0.3">
      <c r="A212" s="47">
        <v>210</v>
      </c>
      <c r="B212" s="55" t="s">
        <v>203</v>
      </c>
      <c r="C212" s="33" t="str">
        <f t="shared" si="11"/>
        <v>SUS.Dispositivo</v>
      </c>
      <c r="D212" s="53" t="s">
        <v>1185</v>
      </c>
      <c r="E212" s="54" t="s">
        <v>1186</v>
      </c>
      <c r="F212" s="53" t="s">
        <v>1196</v>
      </c>
      <c r="G212" s="54" t="s">
        <v>1276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 t="shared" si="14"/>
        <v>"EQU.174"</v>
      </c>
      <c r="N212" s="31" t="s">
        <v>1063</v>
      </c>
      <c r="O212" s="60" t="s">
        <v>1523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  <c r="Z212" s="58" t="s">
        <v>1523</v>
      </c>
    </row>
    <row r="213" spans="1:26" ht="6" customHeight="1" x14ac:dyDescent="0.3">
      <c r="A213" s="47">
        <v>211</v>
      </c>
      <c r="B213" s="55" t="s">
        <v>204</v>
      </c>
      <c r="C213" s="33" t="str">
        <f t="shared" si="11"/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 t="shared" si="14"/>
        <v>"EQU.175"</v>
      </c>
      <c r="N213" s="31" t="s">
        <v>1063</v>
      </c>
      <c r="O213" s="60" t="s">
        <v>1310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  <c r="Z213" s="58" t="s">
        <v>1310</v>
      </c>
    </row>
    <row r="214" spans="1:26" ht="6" customHeight="1" x14ac:dyDescent="0.3">
      <c r="A214" s="47">
        <v>212</v>
      </c>
      <c r="B214" s="55" t="s">
        <v>205</v>
      </c>
      <c r="C214" s="33" t="str">
        <f t="shared" si="11"/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 t="shared" si="14"/>
        <v>"EQU.176"</v>
      </c>
      <c r="N214" s="31" t="s">
        <v>1063</v>
      </c>
      <c r="O214" s="60" t="s">
        <v>1530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  <c r="Z214" s="58" t="s">
        <v>1530</v>
      </c>
    </row>
    <row r="215" spans="1:26" ht="6" customHeight="1" x14ac:dyDescent="0.3">
      <c r="A215" s="47">
        <v>213</v>
      </c>
      <c r="B215" s="55" t="s">
        <v>206</v>
      </c>
      <c r="C215" s="33" t="str">
        <f t="shared" si="11"/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 t="shared" si="14"/>
        <v>"EQU.177"</v>
      </c>
      <c r="N215" s="31" t="s">
        <v>1063</v>
      </c>
      <c r="O215" s="60" t="s">
        <v>1453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  <c r="Z215" s="58" t="s">
        <v>1453</v>
      </c>
    </row>
    <row r="216" spans="1:26" ht="6" customHeight="1" x14ac:dyDescent="0.3">
      <c r="A216" s="47">
        <v>214</v>
      </c>
      <c r="B216" s="55" t="s">
        <v>207</v>
      </c>
      <c r="C216" s="33" t="str">
        <f t="shared" si="11"/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 t="shared" si="14"/>
        <v>"EQU.178"</v>
      </c>
      <c r="N216" s="31" t="s">
        <v>1063</v>
      </c>
      <c r="O216" s="60" t="s">
        <v>1343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  <c r="Z216" s="58" t="s">
        <v>1343</v>
      </c>
    </row>
    <row r="217" spans="1:26" ht="6" customHeight="1" x14ac:dyDescent="0.3">
      <c r="A217" s="47">
        <v>215</v>
      </c>
      <c r="B217" s="55" t="s">
        <v>208</v>
      </c>
      <c r="C217" s="33" t="str">
        <f t="shared" si="11"/>
        <v>SUS.Mobília.de.Saúde</v>
      </c>
      <c r="D217" s="53" t="s">
        <v>1185</v>
      </c>
      <c r="E217" s="54" t="s">
        <v>1186</v>
      </c>
      <c r="F217" s="53" t="s">
        <v>1272</v>
      </c>
      <c r="G217" s="54" t="s">
        <v>1201</v>
      </c>
      <c r="H217" s="53" t="s">
        <v>26</v>
      </c>
      <c r="I217" s="54" t="s">
        <v>26</v>
      </c>
      <c r="J217" s="31" t="s">
        <v>1260</v>
      </c>
      <c r="K217" s="52" t="s">
        <v>1179</v>
      </c>
      <c r="L217" s="31" t="s">
        <v>1074</v>
      </c>
      <c r="M217" s="52" t="str">
        <f t="shared" si="14"/>
        <v>"EQU.179"</v>
      </c>
      <c r="N217" s="31" t="s">
        <v>1063</v>
      </c>
      <c r="O217" s="60" t="s">
        <v>1289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 t="shared" ref="U217:U222" si="15"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  <c r="Z217" s="58" t="s">
        <v>1289</v>
      </c>
    </row>
    <row r="218" spans="1:26" ht="6" customHeight="1" x14ac:dyDescent="0.3">
      <c r="A218" s="47">
        <v>216</v>
      </c>
      <c r="B218" s="55" t="s">
        <v>209</v>
      </c>
      <c r="C218" s="33" t="str">
        <f t="shared" si="11"/>
        <v>SUS.Mobília.de.Saúde</v>
      </c>
      <c r="D218" s="53" t="s">
        <v>1185</v>
      </c>
      <c r="E218" s="54" t="s">
        <v>1186</v>
      </c>
      <c r="F218" s="53" t="s">
        <v>1272</v>
      </c>
      <c r="G218" s="54" t="s">
        <v>1201</v>
      </c>
      <c r="H218" s="53" t="s">
        <v>26</v>
      </c>
      <c r="I218" s="54" t="s">
        <v>26</v>
      </c>
      <c r="J218" s="31" t="s">
        <v>1260</v>
      </c>
      <c r="K218" s="52" t="s">
        <v>1179</v>
      </c>
      <c r="L218" s="31" t="s">
        <v>1074</v>
      </c>
      <c r="M218" s="52" t="str">
        <f t="shared" si="14"/>
        <v>"EQU.180"</v>
      </c>
      <c r="N218" s="31" t="s">
        <v>1063</v>
      </c>
      <c r="O218" s="60" t="s">
        <v>1289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 t="shared" si="15"/>
        <v>0</v>
      </c>
      <c r="V218" s="31" t="s">
        <v>1077</v>
      </c>
      <c r="W218" s="7">
        <v>1</v>
      </c>
      <c r="X218" s="31" t="s">
        <v>26</v>
      </c>
      <c r="Y218" s="49">
        <v>0</v>
      </c>
      <c r="Z218" s="58" t="s">
        <v>1289</v>
      </c>
    </row>
    <row r="219" spans="1:26" ht="6" customHeight="1" x14ac:dyDescent="0.3">
      <c r="A219" s="47">
        <v>217</v>
      </c>
      <c r="B219" s="55" t="s">
        <v>210</v>
      </c>
      <c r="C219" s="33" t="str">
        <f t="shared" si="11"/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 t="shared" si="14"/>
        <v>"EQU.181"</v>
      </c>
      <c r="N219" s="31" t="s">
        <v>1063</v>
      </c>
      <c r="O219" s="60" t="s">
        <v>1454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 t="shared" si="15"/>
        <v>1</v>
      </c>
      <c r="V219" s="31" t="s">
        <v>1077</v>
      </c>
      <c r="W219" s="7">
        <v>0</v>
      </c>
      <c r="X219" s="31" t="s">
        <v>26</v>
      </c>
      <c r="Y219" s="49">
        <v>0</v>
      </c>
      <c r="Z219" s="58" t="s">
        <v>1454</v>
      </c>
    </row>
    <row r="220" spans="1:26" ht="6" customHeight="1" x14ac:dyDescent="0.3">
      <c r="A220" s="47">
        <v>218</v>
      </c>
      <c r="B220" s="55" t="s">
        <v>211</v>
      </c>
      <c r="C220" s="33" t="str">
        <f t="shared" si="11"/>
        <v>SUS.Dispositivo</v>
      </c>
      <c r="D220" s="53" t="s">
        <v>1185</v>
      </c>
      <c r="E220" s="54" t="s">
        <v>1186</v>
      </c>
      <c r="F220" s="53" t="s">
        <v>1196</v>
      </c>
      <c r="G220" s="54" t="s">
        <v>1276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 t="shared" si="14"/>
        <v>"EQU.182"</v>
      </c>
      <c r="N220" s="31" t="s">
        <v>1063</v>
      </c>
      <c r="O220" s="60" t="s">
        <v>1523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 t="shared" si="15"/>
        <v>1</v>
      </c>
      <c r="V220" s="31" t="s">
        <v>1077</v>
      </c>
      <c r="W220" s="7">
        <v>0</v>
      </c>
      <c r="X220" s="31" t="s">
        <v>26</v>
      </c>
      <c r="Y220" s="49">
        <v>0</v>
      </c>
      <c r="Z220" s="58" t="s">
        <v>1523</v>
      </c>
    </row>
    <row r="221" spans="1:26" ht="6" customHeight="1" x14ac:dyDescent="0.3">
      <c r="A221" s="47">
        <v>219</v>
      </c>
      <c r="B221" s="55" t="s">
        <v>212</v>
      </c>
      <c r="C221" s="33" t="str">
        <f t="shared" si="11"/>
        <v>SUS.Dispositivo</v>
      </c>
      <c r="D221" s="53" t="s">
        <v>1185</v>
      </c>
      <c r="E221" s="54" t="s">
        <v>1186</v>
      </c>
      <c r="F221" s="53" t="s">
        <v>1208</v>
      </c>
      <c r="G221" s="54" t="s">
        <v>1276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 t="shared" si="14"/>
        <v>"EQU.183"</v>
      </c>
      <c r="N221" s="31" t="s">
        <v>1063</v>
      </c>
      <c r="O221" s="60" t="s">
        <v>1523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 t="shared" si="15"/>
        <v>1</v>
      </c>
      <c r="V221" s="31" t="s">
        <v>1077</v>
      </c>
      <c r="W221" s="7">
        <v>0</v>
      </c>
      <c r="X221" s="31" t="s">
        <v>26</v>
      </c>
      <c r="Y221" s="49">
        <v>0</v>
      </c>
      <c r="Z221" s="58" t="s">
        <v>1523</v>
      </c>
    </row>
    <row r="222" spans="1:26" ht="6" customHeight="1" x14ac:dyDescent="0.3">
      <c r="A222" s="47">
        <v>220</v>
      </c>
      <c r="B222" s="55" t="s">
        <v>213</v>
      </c>
      <c r="C222" s="33" t="str">
        <f t="shared" si="11"/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 t="shared" si="14"/>
        <v>"EQU.184"</v>
      </c>
      <c r="N222" s="31" t="s">
        <v>1063</v>
      </c>
      <c r="O222" s="60" t="s">
        <v>1455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 t="shared" si="15"/>
        <v>1</v>
      </c>
      <c r="V222" s="31" t="s">
        <v>1077</v>
      </c>
      <c r="W222" s="7">
        <v>0</v>
      </c>
      <c r="X222" s="31" t="s">
        <v>26</v>
      </c>
      <c r="Y222" s="49">
        <v>0</v>
      </c>
      <c r="Z222" s="58" t="s">
        <v>1455</v>
      </c>
    </row>
    <row r="223" spans="1:26" ht="6" customHeight="1" x14ac:dyDescent="0.3">
      <c r="A223" s="47">
        <v>221</v>
      </c>
      <c r="B223" s="55" t="s">
        <v>214</v>
      </c>
      <c r="C223" s="33" t="str">
        <f t="shared" si="11"/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 t="shared" si="14"/>
        <v>"EQU.185"</v>
      </c>
      <c r="N223" s="31" t="s">
        <v>1063</v>
      </c>
      <c r="O223" s="60" t="s">
        <v>1344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  <c r="Z223" s="58" t="s">
        <v>1344</v>
      </c>
    </row>
    <row r="224" spans="1:26" ht="6" customHeight="1" x14ac:dyDescent="0.3">
      <c r="A224" s="47">
        <v>222</v>
      </c>
      <c r="B224" s="55" t="s">
        <v>215</v>
      </c>
      <c r="C224" s="33" t="str">
        <f t="shared" si="11"/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 t="shared" si="14"/>
        <v>"EQU.186"</v>
      </c>
      <c r="N224" s="31" t="s">
        <v>1063</v>
      </c>
      <c r="O224" s="60" t="s">
        <v>1456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  <c r="Z224" s="58" t="s">
        <v>1456</v>
      </c>
    </row>
    <row r="225" spans="1:26" ht="6" customHeight="1" x14ac:dyDescent="0.3">
      <c r="A225" s="47">
        <v>223</v>
      </c>
      <c r="B225" s="55" t="s">
        <v>216</v>
      </c>
      <c r="C225" s="33" t="str">
        <f t="shared" si="11"/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 t="shared" si="14"/>
        <v>"EQU.187"</v>
      </c>
      <c r="N225" s="31" t="s">
        <v>1063</v>
      </c>
      <c r="O225" s="60" t="s">
        <v>1328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  <c r="Z225" s="58" t="s">
        <v>1328</v>
      </c>
    </row>
    <row r="226" spans="1:26" ht="6" customHeight="1" x14ac:dyDescent="0.3">
      <c r="A226" s="47">
        <v>224</v>
      </c>
      <c r="B226" s="55" t="s">
        <v>217</v>
      </c>
      <c r="C226" s="33" t="str">
        <f t="shared" si="11"/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 t="shared" si="14"/>
        <v>"EQU.188"</v>
      </c>
      <c r="N226" s="31" t="s">
        <v>1063</v>
      </c>
      <c r="O226" s="60" t="s">
        <v>1506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  <c r="Z226" s="58" t="s">
        <v>1506</v>
      </c>
    </row>
    <row r="227" spans="1:26" ht="6" customHeight="1" x14ac:dyDescent="0.3">
      <c r="A227" s="47">
        <v>225</v>
      </c>
      <c r="B227" s="55" t="s">
        <v>218</v>
      </c>
      <c r="C227" s="33" t="str">
        <f t="shared" si="11"/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 t="shared" si="14"/>
        <v>"EQU.189"</v>
      </c>
      <c r="N227" s="31" t="s">
        <v>1063</v>
      </c>
      <c r="O227" s="60" t="s">
        <v>1534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  <c r="Z227" s="58" t="s">
        <v>1534</v>
      </c>
    </row>
    <row r="228" spans="1:26" ht="6" customHeight="1" x14ac:dyDescent="0.3">
      <c r="A228" s="47">
        <v>226</v>
      </c>
      <c r="B228" s="55" t="s">
        <v>219</v>
      </c>
      <c r="C228" s="33" t="str">
        <f t="shared" si="11"/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 t="shared" si="14"/>
        <v>"EQU.190"</v>
      </c>
      <c r="N228" s="31" t="s">
        <v>1063</v>
      </c>
      <c r="O228" s="60" t="s">
        <v>1345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  <c r="Z228" s="58" t="s">
        <v>1345</v>
      </c>
    </row>
    <row r="229" spans="1:26" ht="6" customHeight="1" x14ac:dyDescent="0.3">
      <c r="A229" s="47">
        <v>227</v>
      </c>
      <c r="B229" s="55" t="s">
        <v>220</v>
      </c>
      <c r="C229" s="33" t="str">
        <f t="shared" si="11"/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 t="shared" si="14"/>
        <v>"EQU.191"</v>
      </c>
      <c r="N229" s="31" t="s">
        <v>1063</v>
      </c>
      <c r="O229" s="60" t="s">
        <v>1457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  <c r="Z229" s="58" t="s">
        <v>1457</v>
      </c>
    </row>
    <row r="230" spans="1:26" ht="6" customHeight="1" x14ac:dyDescent="0.3">
      <c r="A230" s="47">
        <v>228</v>
      </c>
      <c r="B230" s="55" t="s">
        <v>221</v>
      </c>
      <c r="C230" s="33" t="str">
        <f t="shared" si="11"/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 t="shared" si="14"/>
        <v>"EQU.192"</v>
      </c>
      <c r="N230" s="31" t="s">
        <v>1063</v>
      </c>
      <c r="O230" s="60" t="s">
        <v>1346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  <c r="Z230" s="58" t="s">
        <v>1346</v>
      </c>
    </row>
    <row r="231" spans="1:26" ht="6" customHeight="1" x14ac:dyDescent="0.3">
      <c r="A231" s="47">
        <v>229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1255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1564</v>
      </c>
      <c r="N231" s="31" t="s">
        <v>1063</v>
      </c>
      <c r="O231" s="60" t="s">
        <v>1604</v>
      </c>
      <c r="P231" s="31" t="s">
        <v>1020</v>
      </c>
      <c r="Q231" s="52" t="s">
        <v>1605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58" t="s">
        <v>1338</v>
      </c>
    </row>
    <row r="232" spans="1:26" ht="6" customHeight="1" x14ac:dyDescent="0.3">
      <c r="A232" s="47">
        <v>230</v>
      </c>
      <c r="B232" s="55" t="s">
        <v>223</v>
      </c>
      <c r="C232" s="33" t="str">
        <f t="shared" si="16"/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1347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  <c r="Z232" s="58" t="s">
        <v>1347</v>
      </c>
    </row>
    <row r="233" spans="1:26" ht="6" customHeight="1" x14ac:dyDescent="0.3">
      <c r="A233" s="47">
        <v>231</v>
      </c>
      <c r="B233" s="55" t="s">
        <v>224</v>
      </c>
      <c r="C233" s="33" t="str">
        <f t="shared" si="16"/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1331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  <c r="Z233" s="58" t="s">
        <v>1331</v>
      </c>
    </row>
    <row r="234" spans="1:26" ht="6" customHeight="1" x14ac:dyDescent="0.3">
      <c r="A234" s="47">
        <v>232</v>
      </c>
      <c r="B234" s="55" t="s">
        <v>225</v>
      </c>
      <c r="C234" s="33" t="str">
        <f t="shared" si="16"/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1458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  <c r="Z234" s="58" t="s">
        <v>1458</v>
      </c>
    </row>
    <row r="235" spans="1:26" ht="6" customHeight="1" x14ac:dyDescent="0.3">
      <c r="A235" s="47">
        <v>233</v>
      </c>
      <c r="B235" s="55" t="s">
        <v>226</v>
      </c>
      <c r="C235" s="33" t="str">
        <f t="shared" si="16"/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1348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  <c r="Z235" s="58" t="s">
        <v>1348</v>
      </c>
    </row>
    <row r="236" spans="1:26" ht="6" customHeight="1" x14ac:dyDescent="0.3">
      <c r="A236" s="47">
        <v>234</v>
      </c>
      <c r="B236" s="55" t="s">
        <v>227</v>
      </c>
      <c r="C236" s="33" t="str">
        <f t="shared" si="16"/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1459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  <c r="Z236" s="58" t="s">
        <v>1459</v>
      </c>
    </row>
    <row r="237" spans="1:26" ht="6" customHeight="1" x14ac:dyDescent="0.3">
      <c r="A237" s="47">
        <v>235</v>
      </c>
      <c r="B237" s="55" t="s">
        <v>228</v>
      </c>
      <c r="C237" s="33" t="str">
        <f t="shared" si="16"/>
        <v>SUS.Mobília.de.Saúde</v>
      </c>
      <c r="D237" s="53" t="s">
        <v>1185</v>
      </c>
      <c r="E237" s="54" t="s">
        <v>1255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1565</v>
      </c>
      <c r="N237" s="31" t="s">
        <v>1063</v>
      </c>
      <c r="O237" s="60" t="s">
        <v>1604</v>
      </c>
      <c r="P237" s="31" t="s">
        <v>1020</v>
      </c>
      <c r="Q237" s="52" t="s">
        <v>1605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58" t="s">
        <v>1338</v>
      </c>
    </row>
    <row r="238" spans="1:26" ht="6" customHeight="1" x14ac:dyDescent="0.3">
      <c r="A238" s="47">
        <v>236</v>
      </c>
      <c r="B238" s="55" t="s">
        <v>229</v>
      </c>
      <c r="C238" s="33" t="str">
        <f t="shared" si="16"/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 t="shared" ref="M238:M243" si="17">_xlfn.CONCAT("""",B238,"""")</f>
        <v>"EQU.200"</v>
      </c>
      <c r="N238" s="31" t="s">
        <v>1063</v>
      </c>
      <c r="O238" s="60" t="s">
        <v>1349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 t="shared" ref="U238:U243" si="18"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  <c r="Z238" s="58" t="s">
        <v>1349</v>
      </c>
    </row>
    <row r="239" spans="1:26" ht="6" customHeight="1" x14ac:dyDescent="0.3">
      <c r="A239" s="47">
        <v>237</v>
      </c>
      <c r="B239" s="55" t="s">
        <v>230</v>
      </c>
      <c r="C239" s="33" t="str">
        <f t="shared" si="16"/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 t="shared" si="17"/>
        <v>"EQU.201"</v>
      </c>
      <c r="N239" s="31" t="s">
        <v>1063</v>
      </c>
      <c r="O239" s="60" t="s">
        <v>1350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 t="shared" si="18"/>
        <v>1</v>
      </c>
      <c r="V239" s="31" t="s">
        <v>1077</v>
      </c>
      <c r="W239" s="7">
        <v>0</v>
      </c>
      <c r="X239" s="31" t="s">
        <v>26</v>
      </c>
      <c r="Y239" s="49">
        <v>0</v>
      </c>
      <c r="Z239" s="58" t="s">
        <v>1350</v>
      </c>
    </row>
    <row r="240" spans="1:26" ht="6" customHeight="1" x14ac:dyDescent="0.3">
      <c r="A240" s="47">
        <v>238</v>
      </c>
      <c r="B240" s="55" t="s">
        <v>231</v>
      </c>
      <c r="C240" s="33" t="str">
        <f t="shared" si="16"/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 t="shared" si="17"/>
        <v>"EQU.202"</v>
      </c>
      <c r="N240" s="31" t="s">
        <v>1063</v>
      </c>
      <c r="O240" s="60" t="s">
        <v>1293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 t="shared" si="18"/>
        <v>1</v>
      </c>
      <c r="V240" s="31" t="s">
        <v>1077</v>
      </c>
      <c r="W240" s="7">
        <v>0</v>
      </c>
      <c r="X240" s="31" t="s">
        <v>26</v>
      </c>
      <c r="Y240" s="49">
        <v>0</v>
      </c>
      <c r="Z240" s="58" t="s">
        <v>1293</v>
      </c>
    </row>
    <row r="241" spans="1:26" ht="6" customHeight="1" x14ac:dyDescent="0.3">
      <c r="A241" s="47">
        <v>239</v>
      </c>
      <c r="B241" s="55" t="s">
        <v>232</v>
      </c>
      <c r="C241" s="33" t="str">
        <f t="shared" si="16"/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 t="shared" si="17"/>
        <v>"EQU.203"</v>
      </c>
      <c r="N241" s="31" t="s">
        <v>1063</v>
      </c>
      <c r="O241" s="60" t="s">
        <v>1350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 t="shared" si="18"/>
        <v>1</v>
      </c>
      <c r="V241" s="31" t="s">
        <v>1077</v>
      </c>
      <c r="W241" s="7">
        <v>0</v>
      </c>
      <c r="X241" s="31" t="s">
        <v>26</v>
      </c>
      <c r="Y241" s="49">
        <v>0</v>
      </c>
      <c r="Z241" s="58" t="s">
        <v>1350</v>
      </c>
    </row>
    <row r="242" spans="1:26" ht="6" customHeight="1" x14ac:dyDescent="0.3">
      <c r="A242" s="47">
        <v>240</v>
      </c>
      <c r="B242" s="55" t="s">
        <v>233</v>
      </c>
      <c r="C242" s="33" t="str">
        <f t="shared" si="16"/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 t="shared" si="17"/>
        <v>"EQU.204"</v>
      </c>
      <c r="N242" s="31" t="s">
        <v>1063</v>
      </c>
      <c r="O242" s="60" t="s">
        <v>1460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 t="shared" si="18"/>
        <v>1</v>
      </c>
      <c r="V242" s="31" t="s">
        <v>1077</v>
      </c>
      <c r="W242" s="7">
        <v>0</v>
      </c>
      <c r="X242" s="31" t="s">
        <v>26</v>
      </c>
      <c r="Y242" s="49">
        <v>0</v>
      </c>
      <c r="Z242" s="58" t="s">
        <v>1460</v>
      </c>
    </row>
    <row r="243" spans="1:26" ht="6" customHeight="1" x14ac:dyDescent="0.3">
      <c r="A243" s="47">
        <v>241</v>
      </c>
      <c r="B243" s="55" t="s">
        <v>234</v>
      </c>
      <c r="C243" s="33" t="str">
        <f t="shared" si="16"/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 t="shared" si="17"/>
        <v>"EQU.205"</v>
      </c>
      <c r="N243" s="31" t="s">
        <v>1063</v>
      </c>
      <c r="O243" s="60" t="s">
        <v>1450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 t="shared" si="18"/>
        <v>0</v>
      </c>
      <c r="V243" s="31" t="s">
        <v>1077</v>
      </c>
      <c r="W243" s="7">
        <v>0</v>
      </c>
      <c r="X243" s="31" t="s">
        <v>26</v>
      </c>
      <c r="Y243" s="49">
        <v>0</v>
      </c>
      <c r="Z243" s="58" t="s">
        <v>1450</v>
      </c>
    </row>
    <row r="244" spans="1:26" ht="6" customHeight="1" x14ac:dyDescent="0.3">
      <c r="A244" s="47">
        <v>242</v>
      </c>
      <c r="B244" s="55" t="s">
        <v>235</v>
      </c>
      <c r="C244" s="33" t="str">
        <f t="shared" si="16"/>
        <v>SUS.Mobília.de.Saúde</v>
      </c>
      <c r="D244" s="53" t="s">
        <v>1185</v>
      </c>
      <c r="E244" s="54" t="s">
        <v>1255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1566</v>
      </c>
      <c r="N244" s="31" t="s">
        <v>1063</v>
      </c>
      <c r="O244" s="60" t="s">
        <v>1604</v>
      </c>
      <c r="P244" s="31" t="s">
        <v>1020</v>
      </c>
      <c r="Q244" s="52" t="s">
        <v>1605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58" t="s">
        <v>1338</v>
      </c>
    </row>
    <row r="245" spans="1:26" ht="6" customHeight="1" x14ac:dyDescent="0.3">
      <c r="A245" s="47">
        <v>243</v>
      </c>
      <c r="B245" s="55" t="s">
        <v>236</v>
      </c>
      <c r="C245" s="33" t="str">
        <f t="shared" si="16"/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1351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  <c r="Z245" s="58" t="s">
        <v>1351</v>
      </c>
    </row>
    <row r="246" spans="1:26" ht="6" customHeight="1" x14ac:dyDescent="0.3">
      <c r="A246" s="47">
        <v>244</v>
      </c>
      <c r="B246" s="55" t="s">
        <v>237</v>
      </c>
      <c r="C246" s="33" t="str">
        <f t="shared" si="16"/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1461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  <c r="Z246" s="58" t="s">
        <v>1461</v>
      </c>
    </row>
    <row r="247" spans="1:26" ht="6" customHeight="1" x14ac:dyDescent="0.3">
      <c r="A247" s="47">
        <v>245</v>
      </c>
      <c r="B247" s="55" t="s">
        <v>238</v>
      </c>
      <c r="C247" s="33" t="str">
        <f t="shared" si="16"/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1436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  <c r="Z247" s="58" t="s">
        <v>1436</v>
      </c>
    </row>
    <row r="248" spans="1:26" ht="6" customHeight="1" x14ac:dyDescent="0.3">
      <c r="A248" s="47">
        <v>246</v>
      </c>
      <c r="B248" s="55" t="s">
        <v>239</v>
      </c>
      <c r="C248" s="33" t="str">
        <f t="shared" si="16"/>
        <v>SUS.Dispositivo</v>
      </c>
      <c r="D248" s="53" t="s">
        <v>1185</v>
      </c>
      <c r="E248" s="54" t="s">
        <v>1186</v>
      </c>
      <c r="F248" s="53" t="s">
        <v>1176</v>
      </c>
      <c r="G248" s="54" t="s">
        <v>1258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1352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  <c r="Z248" s="58" t="s">
        <v>1352</v>
      </c>
    </row>
    <row r="249" spans="1:26" ht="6" customHeight="1" x14ac:dyDescent="0.3">
      <c r="A249" s="47">
        <v>247</v>
      </c>
      <c r="B249" s="55" t="s">
        <v>240</v>
      </c>
      <c r="C249" s="33" t="str">
        <f t="shared" si="16"/>
        <v>SUS.Mobília.de.Saúde</v>
      </c>
      <c r="D249" s="53" t="s">
        <v>1185</v>
      </c>
      <c r="E249" s="54" t="s">
        <v>1255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1567</v>
      </c>
      <c r="N249" s="31" t="s">
        <v>1063</v>
      </c>
      <c r="O249" s="60" t="s">
        <v>1604</v>
      </c>
      <c r="P249" s="31" t="s">
        <v>1020</v>
      </c>
      <c r="Q249" s="52" t="s">
        <v>1605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58" t="s">
        <v>1338</v>
      </c>
    </row>
    <row r="250" spans="1:26" ht="6" customHeight="1" x14ac:dyDescent="0.3">
      <c r="A250" s="47">
        <v>248</v>
      </c>
      <c r="B250" s="55" t="s">
        <v>241</v>
      </c>
      <c r="C250" s="33" t="str">
        <f t="shared" si="16"/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1296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  <c r="Z250" s="58" t="s">
        <v>1296</v>
      </c>
    </row>
    <row r="251" spans="1:26" ht="6" customHeight="1" x14ac:dyDescent="0.3">
      <c r="A251" s="47">
        <v>249</v>
      </c>
      <c r="B251" s="55" t="s">
        <v>242</v>
      </c>
      <c r="C251" s="33" t="str">
        <f t="shared" si="16"/>
        <v>SUS.Dispositivo</v>
      </c>
      <c r="D251" s="53" t="s">
        <v>1185</v>
      </c>
      <c r="E251" s="54" t="s">
        <v>1186</v>
      </c>
      <c r="F251" s="53" t="s">
        <v>1176</v>
      </c>
      <c r="G251" s="54" t="s">
        <v>1258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1353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  <c r="Z251" s="58" t="s">
        <v>1353</v>
      </c>
    </row>
    <row r="252" spans="1:26" ht="6" customHeight="1" x14ac:dyDescent="0.3">
      <c r="A252" s="47">
        <v>250</v>
      </c>
      <c r="B252" s="55" t="s">
        <v>243</v>
      </c>
      <c r="C252" s="33" t="str">
        <f t="shared" si="16"/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1354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  <c r="Z252" s="58" t="s">
        <v>1354</v>
      </c>
    </row>
    <row r="253" spans="1:26" ht="6" customHeight="1" x14ac:dyDescent="0.3">
      <c r="A253" s="47">
        <v>251</v>
      </c>
      <c r="B253" s="55" t="s">
        <v>244</v>
      </c>
      <c r="C253" s="33" t="str">
        <f t="shared" si="16"/>
        <v>SUS.Dispositivo</v>
      </c>
      <c r="D253" s="53" t="s">
        <v>1185</v>
      </c>
      <c r="E253" s="54" t="s">
        <v>1186</v>
      </c>
      <c r="F253" s="53" t="s">
        <v>1176</v>
      </c>
      <c r="G253" s="54" t="s">
        <v>1258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1352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  <c r="Z253" s="58" t="s">
        <v>1352</v>
      </c>
    </row>
    <row r="254" spans="1:26" ht="6" customHeight="1" x14ac:dyDescent="0.3">
      <c r="A254" s="47">
        <v>252</v>
      </c>
      <c r="B254" s="55" t="s">
        <v>245</v>
      </c>
      <c r="C254" s="33" t="str">
        <f t="shared" si="16"/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1355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  <c r="Z254" s="58" t="s">
        <v>1355</v>
      </c>
    </row>
    <row r="255" spans="1:26" ht="6" customHeight="1" x14ac:dyDescent="0.3">
      <c r="A255" s="47">
        <v>253</v>
      </c>
      <c r="B255" s="55" t="s">
        <v>246</v>
      </c>
      <c r="C255" s="33" t="str">
        <f t="shared" si="16"/>
        <v>SUS.Mobília.de.Saúde</v>
      </c>
      <c r="D255" s="53" t="s">
        <v>1185</v>
      </c>
      <c r="E255" s="54" t="s">
        <v>1255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1568</v>
      </c>
      <c r="N255" s="31" t="s">
        <v>1063</v>
      </c>
      <c r="O255" s="60" t="s">
        <v>1604</v>
      </c>
      <c r="P255" s="31" t="s">
        <v>1020</v>
      </c>
      <c r="Q255" s="52" t="s">
        <v>1605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58" t="s">
        <v>1338</v>
      </c>
    </row>
    <row r="256" spans="1:26" ht="6" customHeight="1" x14ac:dyDescent="0.3">
      <c r="A256" s="47">
        <v>254</v>
      </c>
      <c r="B256" s="55" t="s">
        <v>247</v>
      </c>
      <c r="C256" s="33" t="str">
        <f t="shared" si="16"/>
        <v>SUS.Mobília.de.Saúde</v>
      </c>
      <c r="D256" s="53" t="s">
        <v>1185</v>
      </c>
      <c r="E256" s="54" t="s">
        <v>1255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1569</v>
      </c>
      <c r="N256" s="31" t="s">
        <v>1063</v>
      </c>
      <c r="O256" s="60" t="s">
        <v>1604</v>
      </c>
      <c r="P256" s="31" t="s">
        <v>1020</v>
      </c>
      <c r="Q256" s="52" t="s">
        <v>1605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58" t="s">
        <v>1338</v>
      </c>
    </row>
    <row r="257" spans="1:26" ht="6" customHeight="1" x14ac:dyDescent="0.3">
      <c r="A257" s="47">
        <v>255</v>
      </c>
      <c r="B257" s="55" t="s">
        <v>248</v>
      </c>
      <c r="C257" s="33" t="str">
        <f t="shared" si="16"/>
        <v>SUS.Equipamento</v>
      </c>
      <c r="D257" s="53" t="s">
        <v>1185</v>
      </c>
      <c r="E257" s="54" t="s">
        <v>1186</v>
      </c>
      <c r="F257" s="53" t="s">
        <v>1196</v>
      </c>
      <c r="G257" s="54" t="s">
        <v>1276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 t="shared" ref="M257:M283" si="19">_xlfn.CONCAT("""",B257,"""")</f>
        <v>"EQU.219"</v>
      </c>
      <c r="N257" s="31" t="s">
        <v>1063</v>
      </c>
      <c r="O257" s="60" t="s">
        <v>1523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  <c r="Z257" s="58" t="s">
        <v>1523</v>
      </c>
    </row>
    <row r="258" spans="1:26" ht="6" customHeight="1" x14ac:dyDescent="0.3">
      <c r="A258" s="47">
        <v>256</v>
      </c>
      <c r="B258" s="55" t="s">
        <v>249</v>
      </c>
      <c r="C258" s="33" t="str">
        <f t="shared" si="16"/>
        <v>SUS.Dispositivo</v>
      </c>
      <c r="D258" s="53" t="s">
        <v>1185</v>
      </c>
      <c r="E258" s="54" t="s">
        <v>1186</v>
      </c>
      <c r="F258" s="53" t="s">
        <v>1176</v>
      </c>
      <c r="G258" s="54" t="s">
        <v>1258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 t="shared" si="19"/>
        <v>"EQU.220"</v>
      </c>
      <c r="N258" s="31" t="s">
        <v>1063</v>
      </c>
      <c r="O258" s="60" t="s">
        <v>1352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  <c r="Z258" s="58" t="s">
        <v>1352</v>
      </c>
    </row>
    <row r="259" spans="1:26" ht="6" customHeight="1" x14ac:dyDescent="0.3">
      <c r="A259" s="47">
        <v>257</v>
      </c>
      <c r="B259" s="55" t="s">
        <v>250</v>
      </c>
      <c r="C259" s="33" t="str">
        <f t="shared" si="16"/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 t="shared" si="19"/>
        <v>"EQU.221"</v>
      </c>
      <c r="N259" s="31" t="s">
        <v>1063</v>
      </c>
      <c r="O259" s="60" t="s">
        <v>1421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  <c r="Z259" s="58" t="s">
        <v>1421</v>
      </c>
    </row>
    <row r="260" spans="1:26" ht="6" customHeight="1" x14ac:dyDescent="0.3">
      <c r="A260" s="47">
        <v>258</v>
      </c>
      <c r="B260" s="55" t="s">
        <v>251</v>
      </c>
      <c r="C260" s="33" t="str">
        <f t="shared" si="16"/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 t="shared" si="19"/>
        <v>"EQU.222"</v>
      </c>
      <c r="N260" s="31" t="s">
        <v>1063</v>
      </c>
      <c r="O260" s="60" t="s">
        <v>1356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  <c r="Z260" s="58" t="s">
        <v>1356</v>
      </c>
    </row>
    <row r="261" spans="1:26" ht="6" customHeight="1" x14ac:dyDescent="0.3">
      <c r="A261" s="47">
        <v>259</v>
      </c>
      <c r="B261" s="55" t="s">
        <v>252</v>
      </c>
      <c r="C261" s="33" t="str">
        <f t="shared" si="16"/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 t="shared" si="19"/>
        <v>"EQU.223"</v>
      </c>
      <c r="N261" s="31" t="s">
        <v>1063</v>
      </c>
      <c r="O261" s="60" t="s">
        <v>1284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  <c r="Z261" s="58" t="s">
        <v>1284</v>
      </c>
    </row>
    <row r="262" spans="1:26" ht="6" customHeight="1" x14ac:dyDescent="0.3">
      <c r="A262" s="47">
        <v>260</v>
      </c>
      <c r="B262" s="55" t="s">
        <v>253</v>
      </c>
      <c r="C262" s="33" t="str">
        <f t="shared" si="16"/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 t="shared" si="19"/>
        <v>"EQU.224"</v>
      </c>
      <c r="N262" s="31" t="s">
        <v>1063</v>
      </c>
      <c r="O262" s="60" t="s">
        <v>1433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  <c r="Z262" s="58" t="s">
        <v>1433</v>
      </c>
    </row>
    <row r="263" spans="1:26" ht="6" customHeight="1" x14ac:dyDescent="0.3">
      <c r="A263" s="47">
        <v>261</v>
      </c>
      <c r="B263" s="55" t="s">
        <v>254</v>
      </c>
      <c r="C263" s="33" t="str">
        <f t="shared" si="16"/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 t="shared" si="19"/>
        <v>"EQU.225"</v>
      </c>
      <c r="N263" s="31" t="s">
        <v>1063</v>
      </c>
      <c r="O263" s="60" t="s">
        <v>1444</v>
      </c>
      <c r="P263" s="31" t="s">
        <v>1020</v>
      </c>
      <c r="Q263" s="52" t="s">
        <v>1257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  <c r="Z263" s="58" t="s">
        <v>1444</v>
      </c>
    </row>
    <row r="264" spans="1:26" ht="6" customHeight="1" x14ac:dyDescent="0.3">
      <c r="A264" s="47">
        <v>262</v>
      </c>
      <c r="B264" s="55" t="s">
        <v>255</v>
      </c>
      <c r="C264" s="33" t="str">
        <f t="shared" si="16"/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 t="shared" si="19"/>
        <v>"EQU.226"</v>
      </c>
      <c r="N264" s="31" t="s">
        <v>1063</v>
      </c>
      <c r="O264" s="60" t="s">
        <v>1444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  <c r="Z264" s="58" t="s">
        <v>1444</v>
      </c>
    </row>
    <row r="265" spans="1:26" ht="6" customHeight="1" x14ac:dyDescent="0.3">
      <c r="A265" s="47">
        <v>263</v>
      </c>
      <c r="B265" s="55" t="s">
        <v>256</v>
      </c>
      <c r="C265" s="33" t="str">
        <f t="shared" si="16"/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 t="shared" si="19"/>
        <v>"EQU.227"</v>
      </c>
      <c r="N265" s="31" t="s">
        <v>1063</v>
      </c>
      <c r="O265" s="60" t="s">
        <v>1444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  <c r="Z265" s="58" t="s">
        <v>1444</v>
      </c>
    </row>
    <row r="266" spans="1:26" ht="6" customHeight="1" x14ac:dyDescent="0.3">
      <c r="A266" s="47">
        <v>264</v>
      </c>
      <c r="B266" s="55" t="s">
        <v>257</v>
      </c>
      <c r="C266" s="33" t="str">
        <f t="shared" si="16"/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 t="shared" si="19"/>
        <v>"EQU.228"</v>
      </c>
      <c r="N266" s="31" t="s">
        <v>1063</v>
      </c>
      <c r="O266" s="60" t="s">
        <v>1433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  <c r="Z266" s="58" t="s">
        <v>1433</v>
      </c>
    </row>
    <row r="267" spans="1:26" ht="6" customHeight="1" x14ac:dyDescent="0.3">
      <c r="A267" s="47">
        <v>265</v>
      </c>
      <c r="B267" s="55" t="s">
        <v>258</v>
      </c>
      <c r="C267" s="33" t="str">
        <f t="shared" si="16"/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 t="shared" si="19"/>
        <v>"EQU.229"</v>
      </c>
      <c r="N267" s="31" t="s">
        <v>1063</v>
      </c>
      <c r="O267" s="60" t="s">
        <v>1433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  <c r="Z267" s="58" t="s">
        <v>1433</v>
      </c>
    </row>
    <row r="268" spans="1:26" ht="6" customHeight="1" x14ac:dyDescent="0.3">
      <c r="A268" s="47">
        <v>266</v>
      </c>
      <c r="B268" s="55" t="s">
        <v>259</v>
      </c>
      <c r="C268" s="33" t="str">
        <f t="shared" si="16"/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 t="shared" si="19"/>
        <v>"EQU.230"</v>
      </c>
      <c r="N268" s="31" t="s">
        <v>1063</v>
      </c>
      <c r="O268" s="60" t="s">
        <v>1357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  <c r="Z268" s="58" t="s">
        <v>1357</v>
      </c>
    </row>
    <row r="269" spans="1:26" ht="6" customHeight="1" x14ac:dyDescent="0.3">
      <c r="A269" s="47">
        <v>267</v>
      </c>
      <c r="B269" s="55" t="s">
        <v>260</v>
      </c>
      <c r="C269" s="33" t="str">
        <f t="shared" si="16"/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 t="shared" si="19"/>
        <v>"EQU.231"</v>
      </c>
      <c r="N269" s="31" t="s">
        <v>1063</v>
      </c>
      <c r="O269" s="60" t="s">
        <v>1357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  <c r="Z269" s="58" t="s">
        <v>1357</v>
      </c>
    </row>
    <row r="270" spans="1:26" ht="6" customHeight="1" x14ac:dyDescent="0.3">
      <c r="A270" s="47">
        <v>268</v>
      </c>
      <c r="B270" s="55" t="s">
        <v>261</v>
      </c>
      <c r="C270" s="33" t="str">
        <f t="shared" si="16"/>
        <v>SUS.Mobília.de.Saúde</v>
      </c>
      <c r="D270" s="53" t="s">
        <v>1185</v>
      </c>
      <c r="E270" s="54" t="s">
        <v>1186</v>
      </c>
      <c r="F270" s="53" t="s">
        <v>1272</v>
      </c>
      <c r="G270" s="54" t="s">
        <v>1201</v>
      </c>
      <c r="H270" s="53" t="s">
        <v>26</v>
      </c>
      <c r="I270" s="54" t="s">
        <v>26</v>
      </c>
      <c r="J270" s="31" t="s">
        <v>1260</v>
      </c>
      <c r="K270" s="52" t="s">
        <v>1179</v>
      </c>
      <c r="L270" s="31" t="s">
        <v>1074</v>
      </c>
      <c r="M270" s="52" t="str">
        <f t="shared" si="19"/>
        <v>"EQU.232"</v>
      </c>
      <c r="N270" s="31" t="s">
        <v>1063</v>
      </c>
      <c r="O270" s="60" t="s">
        <v>1309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  <c r="Z270" s="58" t="s">
        <v>1309</v>
      </c>
    </row>
    <row r="271" spans="1:26" ht="6" customHeight="1" x14ac:dyDescent="0.3">
      <c r="A271" s="47">
        <v>269</v>
      </c>
      <c r="B271" s="55" t="s">
        <v>262</v>
      </c>
      <c r="C271" s="33" t="str">
        <f t="shared" si="16"/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 t="shared" si="19"/>
        <v>"EQU.233"</v>
      </c>
      <c r="N271" s="31" t="s">
        <v>1063</v>
      </c>
      <c r="O271" s="60" t="s">
        <v>1358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  <c r="Z271" s="58" t="s">
        <v>1358</v>
      </c>
    </row>
    <row r="272" spans="1:26" ht="6" customHeight="1" x14ac:dyDescent="0.3">
      <c r="A272" s="47">
        <v>270</v>
      </c>
      <c r="B272" s="55" t="s">
        <v>263</v>
      </c>
      <c r="C272" s="33" t="str">
        <f t="shared" si="16"/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 t="shared" si="19"/>
        <v>"EQU.234"</v>
      </c>
      <c r="N272" s="31" t="s">
        <v>1063</v>
      </c>
      <c r="O272" s="60" t="s">
        <v>1433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  <c r="Z272" s="58" t="s">
        <v>1433</v>
      </c>
    </row>
    <row r="273" spans="1:26" ht="6" customHeight="1" x14ac:dyDescent="0.3">
      <c r="A273" s="47">
        <v>271</v>
      </c>
      <c r="B273" s="55" t="s">
        <v>264</v>
      </c>
      <c r="C273" s="33" t="str">
        <f t="shared" si="16"/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 t="shared" si="19"/>
        <v>"EQU.235"</v>
      </c>
      <c r="N273" s="31" t="s">
        <v>1063</v>
      </c>
      <c r="O273" s="60" t="s">
        <v>1398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  <c r="Z273" s="58" t="s">
        <v>1398</v>
      </c>
    </row>
    <row r="274" spans="1:26" ht="6" customHeight="1" x14ac:dyDescent="0.3">
      <c r="A274" s="47">
        <v>272</v>
      </c>
      <c r="B274" s="55" t="s">
        <v>265</v>
      </c>
      <c r="C274" s="33" t="str">
        <f t="shared" si="16"/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 t="shared" si="19"/>
        <v>"EQU.236"</v>
      </c>
      <c r="N274" s="31" t="s">
        <v>1063</v>
      </c>
      <c r="O274" s="60" t="s">
        <v>1422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  <c r="Z274" s="58" t="s">
        <v>1422</v>
      </c>
    </row>
    <row r="275" spans="1:26" ht="6" customHeight="1" x14ac:dyDescent="0.3">
      <c r="A275" s="47">
        <v>273</v>
      </c>
      <c r="B275" s="55" t="s">
        <v>266</v>
      </c>
      <c r="C275" s="33" t="str">
        <f t="shared" si="16"/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 t="shared" si="19"/>
        <v>"EQU.237"</v>
      </c>
      <c r="N275" s="31" t="s">
        <v>1063</v>
      </c>
      <c r="O275" s="60" t="s">
        <v>1462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  <c r="Z275" s="58" t="s">
        <v>1462</v>
      </c>
    </row>
    <row r="276" spans="1:26" ht="6" customHeight="1" x14ac:dyDescent="0.3">
      <c r="A276" s="47">
        <v>274</v>
      </c>
      <c r="B276" s="55" t="s">
        <v>267</v>
      </c>
      <c r="C276" s="33" t="str">
        <f t="shared" si="16"/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 t="shared" si="19"/>
        <v>"EQU.238"</v>
      </c>
      <c r="N276" s="31" t="s">
        <v>1063</v>
      </c>
      <c r="O276" s="60" t="s">
        <v>1284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 t="shared" ref="U276:U283" si="20"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  <c r="Z276" s="58" t="s">
        <v>1284</v>
      </c>
    </row>
    <row r="277" spans="1:26" ht="6" customHeight="1" x14ac:dyDescent="0.3">
      <c r="A277" s="47">
        <v>275</v>
      </c>
      <c r="B277" s="55" t="s">
        <v>268</v>
      </c>
      <c r="C277" s="33" t="str">
        <f t="shared" si="16"/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 t="shared" si="19"/>
        <v>"EQU.239"</v>
      </c>
      <c r="N277" s="31" t="s">
        <v>1063</v>
      </c>
      <c r="O277" s="60" t="s">
        <v>1284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 t="shared" si="20"/>
        <v>0</v>
      </c>
      <c r="V277" s="31" t="s">
        <v>1077</v>
      </c>
      <c r="W277" s="7">
        <v>0</v>
      </c>
      <c r="X277" s="31" t="s">
        <v>26</v>
      </c>
      <c r="Y277" s="49">
        <v>0</v>
      </c>
      <c r="Z277" s="58" t="s">
        <v>1284</v>
      </c>
    </row>
    <row r="278" spans="1:26" ht="6" customHeight="1" x14ac:dyDescent="0.3">
      <c r="A278" s="47">
        <v>276</v>
      </c>
      <c r="B278" s="55" t="s">
        <v>269</v>
      </c>
      <c r="C278" s="33" t="str">
        <f t="shared" si="16"/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 t="shared" si="19"/>
        <v>"EQU.240"</v>
      </c>
      <c r="N278" s="31" t="s">
        <v>1063</v>
      </c>
      <c r="O278" s="60" t="s">
        <v>1359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 t="shared" si="20"/>
        <v>1</v>
      </c>
      <c r="V278" s="31" t="s">
        <v>1077</v>
      </c>
      <c r="W278" s="7">
        <v>0</v>
      </c>
      <c r="X278" s="31" t="s">
        <v>26</v>
      </c>
      <c r="Y278" s="49">
        <v>0</v>
      </c>
      <c r="Z278" s="58" t="s">
        <v>1359</v>
      </c>
    </row>
    <row r="279" spans="1:26" ht="6" customHeight="1" x14ac:dyDescent="0.3">
      <c r="A279" s="47">
        <v>277</v>
      </c>
      <c r="B279" s="55" t="s">
        <v>270</v>
      </c>
      <c r="C279" s="33" t="str">
        <f t="shared" si="16"/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 t="shared" si="19"/>
        <v>"EQU.241"</v>
      </c>
      <c r="N279" s="31" t="s">
        <v>1063</v>
      </c>
      <c r="O279" s="60" t="s">
        <v>1532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 t="shared" si="20"/>
        <v>1</v>
      </c>
      <c r="V279" s="31" t="s">
        <v>1077</v>
      </c>
      <c r="W279" s="7">
        <v>0</v>
      </c>
      <c r="X279" s="31" t="s">
        <v>26</v>
      </c>
      <c r="Y279" s="49">
        <v>0</v>
      </c>
      <c r="Z279" s="58" t="s">
        <v>1532</v>
      </c>
    </row>
    <row r="280" spans="1:26" ht="6" customHeight="1" x14ac:dyDescent="0.3">
      <c r="A280" s="47">
        <v>278</v>
      </c>
      <c r="B280" s="55" t="s">
        <v>271</v>
      </c>
      <c r="C280" s="33" t="str">
        <f t="shared" si="16"/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 t="shared" si="19"/>
        <v>"EQU.242"</v>
      </c>
      <c r="N280" s="31" t="s">
        <v>1063</v>
      </c>
      <c r="O280" s="60" t="s">
        <v>1550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 t="shared" si="20"/>
        <v>0</v>
      </c>
      <c r="V280" s="31" t="s">
        <v>1077</v>
      </c>
      <c r="W280" s="7">
        <v>0</v>
      </c>
      <c r="X280" s="31" t="s">
        <v>26</v>
      </c>
      <c r="Y280" s="49">
        <v>0</v>
      </c>
      <c r="Z280" s="58" t="s">
        <v>1550</v>
      </c>
    </row>
    <row r="281" spans="1:26" ht="6" customHeight="1" x14ac:dyDescent="0.3">
      <c r="A281" s="47">
        <v>279</v>
      </c>
      <c r="B281" s="55" t="s">
        <v>272</v>
      </c>
      <c r="C281" s="33" t="str">
        <f t="shared" si="16"/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 t="shared" si="19"/>
        <v>"EQU.243"</v>
      </c>
      <c r="N281" s="31" t="s">
        <v>1063</v>
      </c>
      <c r="O281" s="60" t="s">
        <v>1360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 t="shared" si="20"/>
        <v>1</v>
      </c>
      <c r="V281" s="31" t="s">
        <v>1077</v>
      </c>
      <c r="W281" s="7">
        <v>0</v>
      </c>
      <c r="X281" s="31" t="s">
        <v>26</v>
      </c>
      <c r="Y281" s="49">
        <v>0</v>
      </c>
      <c r="Z281" s="58" t="s">
        <v>1360</v>
      </c>
    </row>
    <row r="282" spans="1:26" ht="6" customHeight="1" x14ac:dyDescent="0.3">
      <c r="A282" s="47">
        <v>280</v>
      </c>
      <c r="B282" s="55" t="s">
        <v>273</v>
      </c>
      <c r="C282" s="33" t="str">
        <f t="shared" si="16"/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 t="shared" si="19"/>
        <v>"EQU.244"</v>
      </c>
      <c r="N282" s="31" t="s">
        <v>1063</v>
      </c>
      <c r="O282" s="60" t="s">
        <v>1316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 t="shared" si="20"/>
        <v>1</v>
      </c>
      <c r="V282" s="31" t="s">
        <v>1077</v>
      </c>
      <c r="W282" s="7">
        <v>0</v>
      </c>
      <c r="X282" s="31" t="s">
        <v>26</v>
      </c>
      <c r="Y282" s="49">
        <v>0</v>
      </c>
      <c r="Z282" s="58" t="s">
        <v>1316</v>
      </c>
    </row>
    <row r="283" spans="1:26" ht="6" customHeight="1" x14ac:dyDescent="0.3">
      <c r="A283" s="47">
        <v>281</v>
      </c>
      <c r="B283" s="55" t="s">
        <v>274</v>
      </c>
      <c r="C283" s="33" t="str">
        <f t="shared" si="16"/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 t="shared" si="19"/>
        <v>"EQU.245"</v>
      </c>
      <c r="N283" s="31" t="s">
        <v>1063</v>
      </c>
      <c r="O283" s="60" t="s">
        <v>1361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 t="shared" si="20"/>
        <v>0</v>
      </c>
      <c r="V283" s="31" t="s">
        <v>1077</v>
      </c>
      <c r="W283" s="7">
        <v>0</v>
      </c>
      <c r="X283" s="31" t="s">
        <v>26</v>
      </c>
      <c r="Y283" s="49">
        <v>0</v>
      </c>
      <c r="Z283" s="58" t="s">
        <v>1361</v>
      </c>
    </row>
    <row r="284" spans="1:26" ht="6" customHeight="1" x14ac:dyDescent="0.3">
      <c r="A284" s="47">
        <v>282</v>
      </c>
      <c r="B284" s="55" t="s">
        <v>275</v>
      </c>
      <c r="C284" s="33" t="str">
        <f t="shared" si="16"/>
        <v>SUS.Mobília.de.Saúde</v>
      </c>
      <c r="D284" s="53" t="s">
        <v>1185</v>
      </c>
      <c r="E284" s="54" t="s">
        <v>1255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1570</v>
      </c>
      <c r="N284" s="31" t="s">
        <v>1063</v>
      </c>
      <c r="O284" s="60" t="s">
        <v>1604</v>
      </c>
      <c r="P284" s="31" t="s">
        <v>1020</v>
      </c>
      <c r="Q284" s="52" t="s">
        <v>1605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58" t="s">
        <v>1338</v>
      </c>
    </row>
    <row r="285" spans="1:26" ht="6" customHeight="1" x14ac:dyDescent="0.3">
      <c r="A285" s="47">
        <v>283</v>
      </c>
      <c r="B285" s="55" t="s">
        <v>276</v>
      </c>
      <c r="C285" s="33" t="str">
        <f t="shared" si="16"/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 t="shared" ref="M285:M292" si="21">_xlfn.CONCAT("""",B285,"""")</f>
        <v>"EQU.247"</v>
      </c>
      <c r="N285" s="31" t="s">
        <v>1063</v>
      </c>
      <c r="O285" s="60" t="s">
        <v>1319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  <c r="Z285" s="58" t="s">
        <v>1319</v>
      </c>
    </row>
    <row r="286" spans="1:26" ht="6" customHeight="1" x14ac:dyDescent="0.3">
      <c r="A286" s="47">
        <v>284</v>
      </c>
      <c r="B286" s="55" t="s">
        <v>277</v>
      </c>
      <c r="C286" s="33" t="str">
        <f t="shared" si="16"/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 t="shared" si="21"/>
        <v>"EQU.248"</v>
      </c>
      <c r="N286" s="31" t="s">
        <v>1063</v>
      </c>
      <c r="O286" s="60" t="s">
        <v>1501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  <c r="Z286" s="58" t="s">
        <v>1501</v>
      </c>
    </row>
    <row r="287" spans="1:26" ht="6" customHeight="1" x14ac:dyDescent="0.3">
      <c r="A287" s="47">
        <v>285</v>
      </c>
      <c r="B287" s="55" t="s">
        <v>278</v>
      </c>
      <c r="C287" s="33" t="str">
        <f t="shared" si="16"/>
        <v>SUS.Equipamento</v>
      </c>
      <c r="D287" s="53" t="s">
        <v>1185</v>
      </c>
      <c r="E287" s="54" t="s">
        <v>1186</v>
      </c>
      <c r="F287" s="53" t="s">
        <v>1196</v>
      </c>
      <c r="G287" s="54" t="s">
        <v>1282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 t="shared" si="21"/>
        <v>"EQU.249"</v>
      </c>
      <c r="N287" s="31" t="s">
        <v>1063</v>
      </c>
      <c r="O287" s="60" t="s">
        <v>1440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 t="shared" ref="U287:U292" si="22"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  <c r="Z287" s="58" t="s">
        <v>1440</v>
      </c>
    </row>
    <row r="288" spans="1:26" ht="6" customHeight="1" x14ac:dyDescent="0.3">
      <c r="A288" s="47">
        <v>286</v>
      </c>
      <c r="B288" s="55" t="s">
        <v>279</v>
      </c>
      <c r="C288" s="33" t="str">
        <f t="shared" si="16"/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 t="shared" si="21"/>
        <v>"EQU.250"</v>
      </c>
      <c r="N288" s="31" t="s">
        <v>1063</v>
      </c>
      <c r="O288" s="60" t="s">
        <v>1315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 t="shared" si="22"/>
        <v>1</v>
      </c>
      <c r="V288" s="31" t="s">
        <v>1077</v>
      </c>
      <c r="W288" s="7">
        <v>0</v>
      </c>
      <c r="X288" s="31" t="s">
        <v>26</v>
      </c>
      <c r="Y288" s="49">
        <v>0</v>
      </c>
      <c r="Z288" s="58" t="s">
        <v>1315</v>
      </c>
    </row>
    <row r="289" spans="1:26" ht="6" customHeight="1" x14ac:dyDescent="0.3">
      <c r="A289" s="47">
        <v>287</v>
      </c>
      <c r="B289" s="55" t="s">
        <v>280</v>
      </c>
      <c r="C289" s="33" t="str">
        <f t="shared" si="16"/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 t="shared" si="21"/>
        <v>"EQU.251"</v>
      </c>
      <c r="N289" s="31" t="s">
        <v>1063</v>
      </c>
      <c r="O289" s="60" t="s">
        <v>1284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 t="shared" si="22"/>
        <v>0</v>
      </c>
      <c r="V289" s="31" t="s">
        <v>1077</v>
      </c>
      <c r="W289" s="7">
        <v>0</v>
      </c>
      <c r="X289" s="31" t="s">
        <v>26</v>
      </c>
      <c r="Y289" s="49">
        <v>0</v>
      </c>
      <c r="Z289" s="58" t="s">
        <v>1284</v>
      </c>
    </row>
    <row r="290" spans="1:26" ht="6" customHeight="1" x14ac:dyDescent="0.3">
      <c r="A290" s="47">
        <v>288</v>
      </c>
      <c r="B290" s="55" t="s">
        <v>281</v>
      </c>
      <c r="C290" s="33" t="str">
        <f t="shared" si="16"/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 t="shared" si="21"/>
        <v>"EQU.252"</v>
      </c>
      <c r="N290" s="31" t="s">
        <v>1063</v>
      </c>
      <c r="O290" s="60" t="s">
        <v>1362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 t="shared" si="22"/>
        <v>1</v>
      </c>
      <c r="V290" s="31" t="s">
        <v>1077</v>
      </c>
      <c r="W290" s="7">
        <v>0</v>
      </c>
      <c r="X290" s="31" t="s">
        <v>26</v>
      </c>
      <c r="Y290" s="49">
        <v>0</v>
      </c>
      <c r="Z290" s="58" t="s">
        <v>1362</v>
      </c>
    </row>
    <row r="291" spans="1:26" ht="6" customHeight="1" x14ac:dyDescent="0.3">
      <c r="A291" s="47">
        <v>289</v>
      </c>
      <c r="B291" s="55" t="s">
        <v>282</v>
      </c>
      <c r="C291" s="33" t="str">
        <f t="shared" si="16"/>
        <v>SUS.Equipamento</v>
      </c>
      <c r="D291" s="53" t="s">
        <v>1185</v>
      </c>
      <c r="E291" s="54" t="s">
        <v>1186</v>
      </c>
      <c r="F291" s="53" t="s">
        <v>1272</v>
      </c>
      <c r="G291" s="54" t="s">
        <v>1273</v>
      </c>
      <c r="H291" s="53" t="s">
        <v>26</v>
      </c>
      <c r="I291" s="54" t="s">
        <v>26</v>
      </c>
      <c r="J291" s="31" t="s">
        <v>1260</v>
      </c>
      <c r="K291" s="52" t="s">
        <v>1555</v>
      </c>
      <c r="L291" s="31" t="s">
        <v>1074</v>
      </c>
      <c r="M291" s="52" t="str">
        <f t="shared" si="21"/>
        <v>"EQU.253"</v>
      </c>
      <c r="N291" s="31" t="s">
        <v>1063</v>
      </c>
      <c r="O291" s="60" t="s">
        <v>1292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 t="shared" si="22"/>
        <v>0</v>
      </c>
      <c r="V291" s="31" t="s">
        <v>1077</v>
      </c>
      <c r="W291" s="7">
        <v>0</v>
      </c>
      <c r="X291" s="31" t="s">
        <v>26</v>
      </c>
      <c r="Y291" s="49">
        <v>0</v>
      </c>
      <c r="Z291" s="58" t="s">
        <v>1292</v>
      </c>
    </row>
    <row r="292" spans="1:26" ht="6" customHeight="1" x14ac:dyDescent="0.3">
      <c r="A292" s="47">
        <v>290</v>
      </c>
      <c r="B292" s="55" t="s">
        <v>283</v>
      </c>
      <c r="C292" s="33" t="str">
        <f t="shared" si="16"/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 t="shared" si="21"/>
        <v>"EQU.254"</v>
      </c>
      <c r="N292" s="31" t="s">
        <v>1063</v>
      </c>
      <c r="O292" s="60" t="s">
        <v>1363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 t="shared" si="22"/>
        <v>1</v>
      </c>
      <c r="V292" s="31" t="s">
        <v>1077</v>
      </c>
      <c r="W292" s="7">
        <v>0</v>
      </c>
      <c r="X292" s="31" t="s">
        <v>26</v>
      </c>
      <c r="Y292" s="49">
        <v>0</v>
      </c>
      <c r="Z292" s="58" t="s">
        <v>1363</v>
      </c>
    </row>
    <row r="293" spans="1:26" ht="6" customHeight="1" x14ac:dyDescent="0.3">
      <c r="A293" s="47">
        <v>291</v>
      </c>
      <c r="B293" s="55" t="s">
        <v>284</v>
      </c>
      <c r="C293" s="33" t="str">
        <f t="shared" si="16"/>
        <v>SUS.Mobília.de.Saúde</v>
      </c>
      <c r="D293" s="53" t="s">
        <v>1185</v>
      </c>
      <c r="E293" s="54" t="s">
        <v>1255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1571</v>
      </c>
      <c r="N293" s="31" t="s">
        <v>1063</v>
      </c>
      <c r="O293" s="60" t="s">
        <v>1604</v>
      </c>
      <c r="P293" s="31" t="s">
        <v>1020</v>
      </c>
      <c r="Q293" s="52" t="s">
        <v>1605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58" t="s">
        <v>1338</v>
      </c>
    </row>
    <row r="294" spans="1:26" ht="6" customHeight="1" x14ac:dyDescent="0.3">
      <c r="A294" s="47">
        <v>292</v>
      </c>
      <c r="B294" s="55" t="s">
        <v>285</v>
      </c>
      <c r="C294" s="33" t="str">
        <f t="shared" si="16"/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1315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  <c r="Z294" s="58" t="s">
        <v>1315</v>
      </c>
    </row>
    <row r="295" spans="1:26" ht="6" customHeight="1" x14ac:dyDescent="0.3">
      <c r="A295" s="47">
        <v>293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1332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  <c r="Z295" s="58" t="s">
        <v>1332</v>
      </c>
    </row>
    <row r="296" spans="1:26" ht="6" customHeight="1" x14ac:dyDescent="0.3">
      <c r="A296" s="47">
        <v>294</v>
      </c>
      <c r="B296" s="55" t="s">
        <v>287</v>
      </c>
      <c r="C296" s="33" t="str">
        <f t="shared" si="23"/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1364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  <c r="Z296" s="58" t="s">
        <v>1364</v>
      </c>
    </row>
    <row r="297" spans="1:26" ht="6" customHeight="1" x14ac:dyDescent="0.3">
      <c r="A297" s="47">
        <v>295</v>
      </c>
      <c r="B297" s="55" t="s">
        <v>288</v>
      </c>
      <c r="C297" s="33" t="str">
        <f t="shared" si="23"/>
        <v>SUS.Mobília.de.Saúde</v>
      </c>
      <c r="D297" s="53" t="s">
        <v>1185</v>
      </c>
      <c r="E297" s="54" t="s">
        <v>1255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1572</v>
      </c>
      <c r="N297" s="31" t="s">
        <v>1063</v>
      </c>
      <c r="O297" s="60" t="s">
        <v>1604</v>
      </c>
      <c r="P297" s="31" t="s">
        <v>1020</v>
      </c>
      <c r="Q297" s="52" t="s">
        <v>1605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58" t="s">
        <v>1338</v>
      </c>
    </row>
    <row r="298" spans="1:26" ht="6" customHeight="1" x14ac:dyDescent="0.3">
      <c r="A298" s="47">
        <v>296</v>
      </c>
      <c r="B298" s="55" t="s">
        <v>289</v>
      </c>
      <c r="C298" s="33" t="str">
        <f t="shared" si="23"/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 t="shared" ref="M298:M320" si="24">_xlfn.CONCAT("""",B298,"""")</f>
        <v>"EQU.260"</v>
      </c>
      <c r="N298" s="31" t="s">
        <v>1063</v>
      </c>
      <c r="O298" s="60" t="s">
        <v>1528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  <c r="Z298" s="58" t="s">
        <v>1528</v>
      </c>
    </row>
    <row r="299" spans="1:26" ht="6" customHeight="1" x14ac:dyDescent="0.3">
      <c r="A299" s="47">
        <v>297</v>
      </c>
      <c r="B299" s="55" t="s">
        <v>290</v>
      </c>
      <c r="C299" s="33" t="str">
        <f t="shared" si="23"/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 t="shared" si="24"/>
        <v>"EQU.261"</v>
      </c>
      <c r="N299" s="31" t="s">
        <v>1063</v>
      </c>
      <c r="O299" s="60" t="s">
        <v>1296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  <c r="Z299" s="58" t="s">
        <v>1296</v>
      </c>
    </row>
    <row r="300" spans="1:26" ht="6" customHeight="1" x14ac:dyDescent="0.3">
      <c r="A300" s="47">
        <v>298</v>
      </c>
      <c r="B300" s="55" t="s">
        <v>291</v>
      </c>
      <c r="C300" s="33" t="str">
        <f t="shared" si="23"/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 t="shared" si="24"/>
        <v>"EQU.262"</v>
      </c>
      <c r="N300" s="31" t="s">
        <v>1063</v>
      </c>
      <c r="O300" s="60" t="s">
        <v>1299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  <c r="Z300" s="58" t="s">
        <v>1299</v>
      </c>
    </row>
    <row r="301" spans="1:26" ht="6" customHeight="1" x14ac:dyDescent="0.3">
      <c r="A301" s="47">
        <v>299</v>
      </c>
      <c r="B301" s="55" t="s">
        <v>292</v>
      </c>
      <c r="C301" s="33" t="str">
        <f t="shared" si="23"/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 t="shared" si="24"/>
        <v>"EQU.263"</v>
      </c>
      <c r="N301" s="31" t="s">
        <v>1063</v>
      </c>
      <c r="O301" s="60" t="s">
        <v>1365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  <c r="Z301" s="58" t="s">
        <v>1365</v>
      </c>
    </row>
    <row r="302" spans="1:26" ht="6" customHeight="1" x14ac:dyDescent="0.3">
      <c r="A302" s="47">
        <v>300</v>
      </c>
      <c r="B302" s="55" t="s">
        <v>293</v>
      </c>
      <c r="C302" s="33" t="str">
        <f t="shared" si="23"/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 t="shared" si="24"/>
        <v>"EQU.264"</v>
      </c>
      <c r="N302" s="31" t="s">
        <v>1063</v>
      </c>
      <c r="O302" s="60" t="s">
        <v>1423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  <c r="Z302" s="58" t="s">
        <v>1423</v>
      </c>
    </row>
    <row r="303" spans="1:26" ht="6" customHeight="1" x14ac:dyDescent="0.3">
      <c r="A303" s="47">
        <v>301</v>
      </c>
      <c r="B303" s="55" t="s">
        <v>294</v>
      </c>
      <c r="C303" s="33" t="str">
        <f t="shared" si="23"/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 t="shared" si="24"/>
        <v>"EQU.265"</v>
      </c>
      <c r="N303" s="31" t="s">
        <v>1063</v>
      </c>
      <c r="O303" s="60" t="s">
        <v>1505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  <c r="Z303" s="58" t="s">
        <v>1505</v>
      </c>
    </row>
    <row r="304" spans="1:26" ht="6" customHeight="1" x14ac:dyDescent="0.3">
      <c r="A304" s="47">
        <v>302</v>
      </c>
      <c r="B304" s="55" t="s">
        <v>295</v>
      </c>
      <c r="C304" s="33" t="str">
        <f t="shared" si="23"/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 t="shared" si="24"/>
        <v>"EQU.266"</v>
      </c>
      <c r="N304" s="31" t="s">
        <v>1063</v>
      </c>
      <c r="O304" s="60" t="s">
        <v>1424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  <c r="Z304" s="58" t="s">
        <v>1424</v>
      </c>
    </row>
    <row r="305" spans="1:26" ht="6" customHeight="1" x14ac:dyDescent="0.3">
      <c r="A305" s="47">
        <v>303</v>
      </c>
      <c r="B305" s="55" t="s">
        <v>296</v>
      </c>
      <c r="C305" s="33" t="str">
        <f t="shared" si="23"/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 t="shared" si="24"/>
        <v>"EQU.267"</v>
      </c>
      <c r="N305" s="31" t="s">
        <v>1063</v>
      </c>
      <c r="O305" s="60" t="s">
        <v>1463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  <c r="Z305" s="58" t="s">
        <v>1463</v>
      </c>
    </row>
    <row r="306" spans="1:26" ht="6" customHeight="1" x14ac:dyDescent="0.3">
      <c r="A306" s="47">
        <v>304</v>
      </c>
      <c r="B306" s="55" t="s">
        <v>297</v>
      </c>
      <c r="C306" s="33" t="str">
        <f t="shared" si="23"/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 t="shared" si="24"/>
        <v>"EQU.268"</v>
      </c>
      <c r="N306" s="31" t="s">
        <v>1063</v>
      </c>
      <c r="O306" s="60" t="s">
        <v>1464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 t="shared" ref="U306:U312" si="25"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  <c r="Z306" s="58" t="s">
        <v>1464</v>
      </c>
    </row>
    <row r="307" spans="1:26" ht="6" customHeight="1" x14ac:dyDescent="0.3">
      <c r="A307" s="47">
        <v>305</v>
      </c>
      <c r="B307" s="55" t="s">
        <v>298</v>
      </c>
      <c r="C307" s="33" t="str">
        <f t="shared" si="23"/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 t="shared" si="24"/>
        <v>"EQU.269"</v>
      </c>
      <c r="N307" s="31" t="s">
        <v>1063</v>
      </c>
      <c r="O307" s="60" t="s">
        <v>1285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 t="shared" si="25"/>
        <v>1</v>
      </c>
      <c r="V307" s="31" t="s">
        <v>1077</v>
      </c>
      <c r="W307" s="7">
        <v>0</v>
      </c>
      <c r="X307" s="31" t="s">
        <v>26</v>
      </c>
      <c r="Y307" s="49">
        <v>0</v>
      </c>
      <c r="Z307" s="58" t="s">
        <v>1285</v>
      </c>
    </row>
    <row r="308" spans="1:26" ht="6" customHeight="1" x14ac:dyDescent="0.3">
      <c r="A308" s="47">
        <v>306</v>
      </c>
      <c r="B308" s="55" t="s">
        <v>299</v>
      </c>
      <c r="C308" s="33" t="str">
        <f t="shared" si="23"/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 t="shared" si="24"/>
        <v>"EQU.270"</v>
      </c>
      <c r="N308" s="31" t="s">
        <v>1063</v>
      </c>
      <c r="O308" s="60" t="s">
        <v>1331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 t="shared" si="25"/>
        <v>1</v>
      </c>
      <c r="V308" s="31" t="s">
        <v>1077</v>
      </c>
      <c r="W308" s="7">
        <v>0</v>
      </c>
      <c r="X308" s="31" t="s">
        <v>26</v>
      </c>
      <c r="Y308" s="49">
        <v>0</v>
      </c>
      <c r="Z308" s="58" t="s">
        <v>1331</v>
      </c>
    </row>
    <row r="309" spans="1:26" ht="6" customHeight="1" x14ac:dyDescent="0.3">
      <c r="A309" s="47">
        <v>307</v>
      </c>
      <c r="B309" s="55" t="s">
        <v>300</v>
      </c>
      <c r="C309" s="33" t="str">
        <f t="shared" si="23"/>
        <v>SUS.Mobília.de.Saúde</v>
      </c>
      <c r="D309" s="53" t="s">
        <v>1185</v>
      </c>
      <c r="E309" s="54" t="s">
        <v>1186</v>
      </c>
      <c r="F309" s="53" t="s">
        <v>1272</v>
      </c>
      <c r="G309" s="54" t="s">
        <v>1202</v>
      </c>
      <c r="H309" s="53" t="s">
        <v>26</v>
      </c>
      <c r="I309" s="54" t="s">
        <v>26</v>
      </c>
      <c r="J309" s="31" t="s">
        <v>1260</v>
      </c>
      <c r="K309" s="52" t="s">
        <v>1553</v>
      </c>
      <c r="L309" s="31" t="s">
        <v>1074</v>
      </c>
      <c r="M309" s="52" t="str">
        <f t="shared" si="24"/>
        <v>"EQU.271"</v>
      </c>
      <c r="N309" s="31" t="s">
        <v>1063</v>
      </c>
      <c r="O309" s="60" t="s">
        <v>1306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 t="shared" si="25"/>
        <v>0</v>
      </c>
      <c r="V309" s="31" t="s">
        <v>1077</v>
      </c>
      <c r="W309" s="7">
        <v>1</v>
      </c>
      <c r="X309" s="31" t="s">
        <v>26</v>
      </c>
      <c r="Y309" s="49">
        <v>0</v>
      </c>
      <c r="Z309" s="58" t="s">
        <v>1306</v>
      </c>
    </row>
    <row r="310" spans="1:26" ht="6" customHeight="1" x14ac:dyDescent="0.3">
      <c r="A310" s="47">
        <v>308</v>
      </c>
      <c r="B310" s="55" t="s">
        <v>301</v>
      </c>
      <c r="C310" s="33" t="str">
        <f t="shared" si="23"/>
        <v>SUS.Mobília.de.Saúde</v>
      </c>
      <c r="D310" s="53" t="s">
        <v>1185</v>
      </c>
      <c r="E310" s="54" t="s">
        <v>1186</v>
      </c>
      <c r="F310" s="53" t="s">
        <v>1272</v>
      </c>
      <c r="G310" s="54" t="s">
        <v>1211</v>
      </c>
      <c r="H310" s="53" t="s">
        <v>26</v>
      </c>
      <c r="I310" s="54" t="s">
        <v>26</v>
      </c>
      <c r="J310" s="31" t="s">
        <v>1260</v>
      </c>
      <c r="K310" s="52" t="s">
        <v>1181</v>
      </c>
      <c r="L310" s="31" t="s">
        <v>1074</v>
      </c>
      <c r="M310" s="52" t="str">
        <f t="shared" si="24"/>
        <v>"EQU.272"</v>
      </c>
      <c r="N310" s="31" t="s">
        <v>1063</v>
      </c>
      <c r="O310" s="60" t="s">
        <v>1309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 t="shared" si="25"/>
        <v>0</v>
      </c>
      <c r="V310" s="31" t="s">
        <v>1077</v>
      </c>
      <c r="W310" s="7">
        <v>1</v>
      </c>
      <c r="X310" s="31" t="s">
        <v>26</v>
      </c>
      <c r="Y310" s="49">
        <v>0</v>
      </c>
      <c r="Z310" s="58" t="s">
        <v>1309</v>
      </c>
    </row>
    <row r="311" spans="1:26" ht="6" customHeight="1" x14ac:dyDescent="0.3">
      <c r="A311" s="47">
        <v>309</v>
      </c>
      <c r="B311" s="55" t="s">
        <v>302</v>
      </c>
      <c r="C311" s="33" t="str">
        <f t="shared" si="23"/>
        <v>SUS.Mobília.de.Saúde</v>
      </c>
      <c r="D311" s="53" t="s">
        <v>1185</v>
      </c>
      <c r="E311" s="54" t="s">
        <v>1186</v>
      </c>
      <c r="F311" s="53" t="s">
        <v>1272</v>
      </c>
      <c r="G311" s="54" t="s">
        <v>1201</v>
      </c>
      <c r="H311" s="53" t="s">
        <v>26</v>
      </c>
      <c r="I311" s="54" t="s">
        <v>26</v>
      </c>
      <c r="J311" s="31" t="s">
        <v>1260</v>
      </c>
      <c r="K311" s="52" t="s">
        <v>1179</v>
      </c>
      <c r="L311" s="31" t="s">
        <v>1074</v>
      </c>
      <c r="M311" s="52" t="str">
        <f t="shared" si="24"/>
        <v>"EQU.273"</v>
      </c>
      <c r="N311" s="31" t="s">
        <v>1063</v>
      </c>
      <c r="O311" s="60" t="s">
        <v>1289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 t="shared" si="25"/>
        <v>0</v>
      </c>
      <c r="V311" s="31" t="s">
        <v>1077</v>
      </c>
      <c r="W311" s="7">
        <v>1</v>
      </c>
      <c r="X311" s="31" t="s">
        <v>26</v>
      </c>
      <c r="Y311" s="49">
        <v>0</v>
      </c>
      <c r="Z311" s="58" t="s">
        <v>1289</v>
      </c>
    </row>
    <row r="312" spans="1:26" ht="6" customHeight="1" x14ac:dyDescent="0.3">
      <c r="A312" s="47">
        <v>310</v>
      </c>
      <c r="B312" s="55" t="s">
        <v>303</v>
      </c>
      <c r="C312" s="33" t="str">
        <f t="shared" si="23"/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 t="shared" si="24"/>
        <v>"EQU.274"</v>
      </c>
      <c r="N312" s="31" t="s">
        <v>1063</v>
      </c>
      <c r="O312" s="60" t="s">
        <v>1465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 t="shared" si="25"/>
        <v>1</v>
      </c>
      <c r="V312" s="31" t="s">
        <v>1077</v>
      </c>
      <c r="W312" s="7">
        <v>0</v>
      </c>
      <c r="X312" s="31" t="s">
        <v>26</v>
      </c>
      <c r="Y312" s="49">
        <v>0</v>
      </c>
      <c r="Z312" s="58" t="s">
        <v>1465</v>
      </c>
    </row>
    <row r="313" spans="1:26" ht="6" customHeight="1" x14ac:dyDescent="0.3">
      <c r="A313" s="47">
        <v>311</v>
      </c>
      <c r="B313" s="55" t="s">
        <v>304</v>
      </c>
      <c r="C313" s="33" t="str">
        <f t="shared" si="23"/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 t="shared" si="24"/>
        <v>"EQU.275"</v>
      </c>
      <c r="N313" s="31" t="s">
        <v>1063</v>
      </c>
      <c r="O313" s="60" t="s">
        <v>1541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  <c r="Z313" s="58" t="s">
        <v>1541</v>
      </c>
    </row>
    <row r="314" spans="1:26" ht="6" customHeight="1" x14ac:dyDescent="0.3">
      <c r="A314" s="47">
        <v>312</v>
      </c>
      <c r="B314" s="55" t="s">
        <v>305</v>
      </c>
      <c r="C314" s="33" t="str">
        <f t="shared" si="23"/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 t="shared" si="24"/>
        <v>"EQU.276"</v>
      </c>
      <c r="N314" s="31" t="s">
        <v>1063</v>
      </c>
      <c r="O314" s="60" t="s">
        <v>1281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  <c r="Z314" s="58" t="s">
        <v>1281</v>
      </c>
    </row>
    <row r="315" spans="1:26" ht="6" customHeight="1" x14ac:dyDescent="0.3">
      <c r="A315" s="47">
        <v>313</v>
      </c>
      <c r="B315" s="55" t="s">
        <v>306</v>
      </c>
      <c r="C315" s="33" t="str">
        <f t="shared" si="23"/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 t="shared" si="24"/>
        <v>"EQU.277"</v>
      </c>
      <c r="N315" s="31" t="s">
        <v>1063</v>
      </c>
      <c r="O315" s="60" t="s">
        <v>1366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  <c r="Z315" s="58" t="s">
        <v>1366</v>
      </c>
    </row>
    <row r="316" spans="1:26" ht="6" customHeight="1" x14ac:dyDescent="0.3">
      <c r="A316" s="47">
        <v>314</v>
      </c>
      <c r="B316" s="55" t="s">
        <v>307</v>
      </c>
      <c r="C316" s="33" t="str">
        <f t="shared" si="23"/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 t="shared" si="24"/>
        <v>"EQU.278"</v>
      </c>
      <c r="N316" s="31" t="s">
        <v>1063</v>
      </c>
      <c r="O316" s="60" t="s">
        <v>1367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  <c r="Z316" s="58" t="s">
        <v>1367</v>
      </c>
    </row>
    <row r="317" spans="1:26" ht="6" customHeight="1" x14ac:dyDescent="0.3">
      <c r="A317" s="47">
        <v>315</v>
      </c>
      <c r="B317" s="55" t="s">
        <v>308</v>
      </c>
      <c r="C317" s="33" t="str">
        <f t="shared" si="23"/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 t="shared" si="24"/>
        <v>"EQU.279"</v>
      </c>
      <c r="N317" s="31" t="s">
        <v>1063</v>
      </c>
      <c r="O317" s="60" t="s">
        <v>1368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  <c r="Z317" s="58" t="s">
        <v>1368</v>
      </c>
    </row>
    <row r="318" spans="1:26" ht="6" customHeight="1" x14ac:dyDescent="0.3">
      <c r="A318" s="47">
        <v>316</v>
      </c>
      <c r="B318" s="55" t="s">
        <v>309</v>
      </c>
      <c r="C318" s="33" t="str">
        <f t="shared" si="23"/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 t="shared" si="24"/>
        <v>"EQU.280"</v>
      </c>
      <c r="N318" s="31" t="s">
        <v>1063</v>
      </c>
      <c r="O318" s="60" t="s">
        <v>1425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  <c r="Z318" s="58" t="s">
        <v>1425</v>
      </c>
    </row>
    <row r="319" spans="1:26" ht="6" customHeight="1" x14ac:dyDescent="0.3">
      <c r="A319" s="47">
        <v>317</v>
      </c>
      <c r="B319" s="55" t="s">
        <v>310</v>
      </c>
      <c r="C319" s="33" t="str">
        <f t="shared" si="23"/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 t="shared" si="24"/>
        <v>"EQU.281"</v>
      </c>
      <c r="N319" s="31" t="s">
        <v>1063</v>
      </c>
      <c r="O319" s="60" t="s">
        <v>1549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  <c r="Z319" s="58" t="s">
        <v>1549</v>
      </c>
    </row>
    <row r="320" spans="1:26" ht="6" customHeight="1" x14ac:dyDescent="0.3">
      <c r="A320" s="47">
        <v>318</v>
      </c>
      <c r="B320" s="55" t="s">
        <v>311</v>
      </c>
      <c r="C320" s="33" t="str">
        <f t="shared" si="23"/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 t="shared" si="24"/>
        <v>"EQU.282"</v>
      </c>
      <c r="N320" s="31" t="s">
        <v>1063</v>
      </c>
      <c r="O320" s="60" t="s">
        <v>1549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  <c r="Z320" s="58" t="s">
        <v>1549</v>
      </c>
    </row>
    <row r="321" spans="1:26" ht="6" customHeight="1" x14ac:dyDescent="0.3">
      <c r="A321" s="47">
        <v>319</v>
      </c>
      <c r="B321" s="55" t="s">
        <v>312</v>
      </c>
      <c r="C321" s="33" t="str">
        <f t="shared" si="23"/>
        <v>SUS.Mobília.de.Saúde</v>
      </c>
      <c r="D321" s="53" t="s">
        <v>1185</v>
      </c>
      <c r="E321" s="54" t="s">
        <v>1255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1573</v>
      </c>
      <c r="N321" s="31" t="s">
        <v>1063</v>
      </c>
      <c r="O321" s="60" t="s">
        <v>1604</v>
      </c>
      <c r="P321" s="31" t="s">
        <v>1020</v>
      </c>
      <c r="Q321" s="52" t="s">
        <v>1605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58" t="s">
        <v>1338</v>
      </c>
    </row>
    <row r="322" spans="1:26" ht="6" customHeight="1" x14ac:dyDescent="0.3">
      <c r="A322" s="47">
        <v>320</v>
      </c>
      <c r="B322" s="55" t="s">
        <v>313</v>
      </c>
      <c r="C322" s="33" t="str">
        <f t="shared" si="23"/>
        <v>SUS.Mobília.de.Saúde</v>
      </c>
      <c r="D322" s="53" t="s">
        <v>1185</v>
      </c>
      <c r="E322" s="54" t="s">
        <v>1186</v>
      </c>
      <c r="F322" s="53" t="s">
        <v>1272</v>
      </c>
      <c r="G322" s="54" t="s">
        <v>1211</v>
      </c>
      <c r="H322" s="53" t="s">
        <v>26</v>
      </c>
      <c r="I322" s="54" t="s">
        <v>26</v>
      </c>
      <c r="J322" s="31" t="s">
        <v>1260</v>
      </c>
      <c r="K322" s="52" t="s">
        <v>1181</v>
      </c>
      <c r="L322" s="31" t="s">
        <v>1074</v>
      </c>
      <c r="M322" s="52" t="str">
        <f t="shared" ref="M322:M353" si="26">_xlfn.CONCAT("""",B322,"""")</f>
        <v>"EQU.284"</v>
      </c>
      <c r="N322" s="31" t="s">
        <v>1063</v>
      </c>
      <c r="O322" s="60" t="s">
        <v>1309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 t="shared" ref="U322:U327" si="27"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  <c r="Z322" s="58" t="s">
        <v>1309</v>
      </c>
    </row>
    <row r="323" spans="1:26" ht="6" customHeight="1" x14ac:dyDescent="0.3">
      <c r="A323" s="47">
        <v>321</v>
      </c>
      <c r="B323" s="55" t="s">
        <v>314</v>
      </c>
      <c r="C323" s="33" t="str">
        <f t="shared" si="23"/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 t="shared" si="26"/>
        <v>"EQU.285"</v>
      </c>
      <c r="N323" s="31" t="s">
        <v>1063</v>
      </c>
      <c r="O323" s="60" t="s">
        <v>1522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 t="shared" si="27"/>
        <v>1</v>
      </c>
      <c r="V323" s="31" t="s">
        <v>1077</v>
      </c>
      <c r="W323" s="7">
        <v>0</v>
      </c>
      <c r="X323" s="31" t="s">
        <v>26</v>
      </c>
      <c r="Y323" s="49">
        <v>0</v>
      </c>
      <c r="Z323" s="58" t="s">
        <v>1522</v>
      </c>
    </row>
    <row r="324" spans="1:26" ht="6" customHeight="1" x14ac:dyDescent="0.3">
      <c r="A324" s="47">
        <v>322</v>
      </c>
      <c r="B324" s="55" t="s">
        <v>315</v>
      </c>
      <c r="C324" s="33" t="str">
        <f t="shared" si="23"/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 t="shared" si="26"/>
        <v>"EQU.286"</v>
      </c>
      <c r="N324" s="31" t="s">
        <v>1063</v>
      </c>
      <c r="O324" s="60" t="s">
        <v>1284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 t="shared" si="27"/>
        <v>0</v>
      </c>
      <c r="V324" s="31" t="s">
        <v>1077</v>
      </c>
      <c r="W324" s="7">
        <v>0</v>
      </c>
      <c r="X324" s="31" t="s">
        <v>26</v>
      </c>
      <c r="Y324" s="49">
        <v>0</v>
      </c>
      <c r="Z324" s="58" t="s">
        <v>1284</v>
      </c>
    </row>
    <row r="325" spans="1:26" ht="6" customHeight="1" x14ac:dyDescent="0.3">
      <c r="A325" s="47">
        <v>323</v>
      </c>
      <c r="B325" s="55" t="s">
        <v>316</v>
      </c>
      <c r="C325" s="33" t="str">
        <f t="shared" si="23"/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 t="shared" si="26"/>
        <v>"EQU.287"</v>
      </c>
      <c r="N325" s="31" t="s">
        <v>1063</v>
      </c>
      <c r="O325" s="60" t="s">
        <v>1369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 t="shared" si="27"/>
        <v>1</v>
      </c>
      <c r="V325" s="31" t="s">
        <v>1077</v>
      </c>
      <c r="W325" s="7">
        <v>0</v>
      </c>
      <c r="X325" s="31" t="s">
        <v>26</v>
      </c>
      <c r="Y325" s="49">
        <v>0</v>
      </c>
      <c r="Z325" s="58" t="s">
        <v>1369</v>
      </c>
    </row>
    <row r="326" spans="1:26" ht="6" customHeight="1" x14ac:dyDescent="0.3">
      <c r="A326" s="47">
        <v>324</v>
      </c>
      <c r="B326" s="55" t="s">
        <v>317</v>
      </c>
      <c r="C326" s="33" t="str">
        <f t="shared" si="23"/>
        <v>SUS.Dispositivo</v>
      </c>
      <c r="D326" s="53" t="s">
        <v>1185</v>
      </c>
      <c r="E326" s="54" t="s">
        <v>1186</v>
      </c>
      <c r="F326" s="53" t="s">
        <v>1176</v>
      </c>
      <c r="G326" s="54" t="s">
        <v>1258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 t="shared" si="26"/>
        <v>"EQU.288"</v>
      </c>
      <c r="N326" s="31" t="s">
        <v>1063</v>
      </c>
      <c r="O326" s="60" t="s">
        <v>1369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 t="shared" si="27"/>
        <v>1</v>
      </c>
      <c r="V326" s="31" t="s">
        <v>1077</v>
      </c>
      <c r="W326" s="7">
        <v>0</v>
      </c>
      <c r="X326" s="31" t="s">
        <v>26</v>
      </c>
      <c r="Y326" s="49">
        <v>0</v>
      </c>
      <c r="Z326" s="58" t="s">
        <v>1369</v>
      </c>
    </row>
    <row r="327" spans="1:26" ht="6" customHeight="1" x14ac:dyDescent="0.3">
      <c r="A327" s="47">
        <v>325</v>
      </c>
      <c r="B327" s="55" t="s">
        <v>318</v>
      </c>
      <c r="C327" s="33" t="str">
        <f t="shared" si="23"/>
        <v>SUS.Dispositivo</v>
      </c>
      <c r="D327" s="53" t="s">
        <v>1185</v>
      </c>
      <c r="E327" s="54" t="s">
        <v>1186</v>
      </c>
      <c r="F327" s="53" t="s">
        <v>1176</v>
      </c>
      <c r="G327" s="54" t="s">
        <v>1258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 t="shared" si="26"/>
        <v>"EQU.289"</v>
      </c>
      <c r="N327" s="31" t="s">
        <v>1063</v>
      </c>
      <c r="O327" s="60" t="s">
        <v>1489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 t="shared" si="27"/>
        <v>1</v>
      </c>
      <c r="V327" s="31" t="s">
        <v>1077</v>
      </c>
      <c r="W327" s="7">
        <v>0</v>
      </c>
      <c r="X327" s="31" t="s">
        <v>26</v>
      </c>
      <c r="Y327" s="49">
        <v>0</v>
      </c>
      <c r="Z327" s="58" t="s">
        <v>1489</v>
      </c>
    </row>
    <row r="328" spans="1:26" ht="6" customHeight="1" x14ac:dyDescent="0.3">
      <c r="A328" s="47">
        <v>326</v>
      </c>
      <c r="B328" s="55" t="s">
        <v>319</v>
      </c>
      <c r="C328" s="33" t="str">
        <f t="shared" si="23"/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 t="shared" si="26"/>
        <v>"EQU.290"</v>
      </c>
      <c r="N328" s="31" t="s">
        <v>1063</v>
      </c>
      <c r="O328" s="60" t="s">
        <v>1466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  <c r="Z328" s="58" t="s">
        <v>1466</v>
      </c>
    </row>
    <row r="329" spans="1:26" ht="6" customHeight="1" x14ac:dyDescent="0.3">
      <c r="A329" s="47">
        <v>327</v>
      </c>
      <c r="B329" s="55" t="s">
        <v>320</v>
      </c>
      <c r="C329" s="33" t="str">
        <f t="shared" si="23"/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 t="shared" si="26"/>
        <v>"EQU.291"</v>
      </c>
      <c r="N329" s="31" t="s">
        <v>1063</v>
      </c>
      <c r="O329" s="60" t="s">
        <v>1467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  <c r="Z329" s="58" t="s">
        <v>1467</v>
      </c>
    </row>
    <row r="330" spans="1:26" ht="6" customHeight="1" x14ac:dyDescent="0.3">
      <c r="A330" s="47">
        <v>328</v>
      </c>
      <c r="B330" s="55" t="s">
        <v>321</v>
      </c>
      <c r="C330" s="33" t="str">
        <f t="shared" si="23"/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 t="shared" si="26"/>
        <v>"EQU.292"</v>
      </c>
      <c r="N330" s="31" t="s">
        <v>1063</v>
      </c>
      <c r="O330" s="60" t="s">
        <v>1466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  <c r="Z330" s="58" t="s">
        <v>1466</v>
      </c>
    </row>
    <row r="331" spans="1:26" ht="6" customHeight="1" x14ac:dyDescent="0.3">
      <c r="A331" s="47">
        <v>329</v>
      </c>
      <c r="B331" s="55" t="s">
        <v>322</v>
      </c>
      <c r="C331" s="33" t="str">
        <f t="shared" si="23"/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 t="shared" si="26"/>
        <v>"EQU.293"</v>
      </c>
      <c r="N331" s="31" t="s">
        <v>1063</v>
      </c>
      <c r="O331" s="60" t="s">
        <v>1370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  <c r="Z331" s="58" t="s">
        <v>1370</v>
      </c>
    </row>
    <row r="332" spans="1:26" ht="6" customHeight="1" x14ac:dyDescent="0.3">
      <c r="A332" s="47">
        <v>330</v>
      </c>
      <c r="B332" s="55" t="s">
        <v>323</v>
      </c>
      <c r="C332" s="33" t="str">
        <f t="shared" si="23"/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 t="shared" si="26"/>
        <v>"EQU.294"</v>
      </c>
      <c r="N332" s="31" t="s">
        <v>1063</v>
      </c>
      <c r="O332" s="60" t="s">
        <v>1434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  <c r="Z332" s="58" t="s">
        <v>1434</v>
      </c>
    </row>
    <row r="333" spans="1:26" ht="6" customHeight="1" x14ac:dyDescent="0.3">
      <c r="A333" s="47">
        <v>331</v>
      </c>
      <c r="B333" s="55" t="s">
        <v>324</v>
      </c>
      <c r="C333" s="33" t="str">
        <f t="shared" si="23"/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 t="shared" si="26"/>
        <v>"EQU.295"</v>
      </c>
      <c r="N333" s="31" t="s">
        <v>1063</v>
      </c>
      <c r="O333" s="60" t="s">
        <v>1286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  <c r="Z333" s="58" t="s">
        <v>1286</v>
      </c>
    </row>
    <row r="334" spans="1:26" ht="6" customHeight="1" x14ac:dyDescent="0.3">
      <c r="A334" s="47">
        <v>332</v>
      </c>
      <c r="B334" s="55" t="s">
        <v>325</v>
      </c>
      <c r="C334" s="33" t="str">
        <f t="shared" si="23"/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 t="shared" si="26"/>
        <v>"EQU.296"</v>
      </c>
      <c r="N334" s="31" t="s">
        <v>1063</v>
      </c>
      <c r="O334" s="60" t="s">
        <v>1490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 t="shared" ref="U334:U353" si="28"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  <c r="Z334" s="58" t="s">
        <v>1490</v>
      </c>
    </row>
    <row r="335" spans="1:26" ht="6" customHeight="1" x14ac:dyDescent="0.3">
      <c r="A335" s="47">
        <v>333</v>
      </c>
      <c r="B335" s="55" t="s">
        <v>326</v>
      </c>
      <c r="C335" s="33" t="str">
        <f t="shared" si="23"/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 t="shared" si="26"/>
        <v>"EQU.297"</v>
      </c>
      <c r="N335" s="31" t="s">
        <v>1063</v>
      </c>
      <c r="O335" s="60" t="s">
        <v>1319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 t="shared" si="28"/>
        <v>1</v>
      </c>
      <c r="V335" s="31" t="s">
        <v>1077</v>
      </c>
      <c r="W335" s="7">
        <v>0</v>
      </c>
      <c r="X335" s="31" t="s">
        <v>26</v>
      </c>
      <c r="Y335" s="49">
        <v>0</v>
      </c>
      <c r="Z335" s="58" t="s">
        <v>1319</v>
      </c>
    </row>
    <row r="336" spans="1:26" ht="6" customHeight="1" x14ac:dyDescent="0.3">
      <c r="A336" s="47">
        <v>334</v>
      </c>
      <c r="B336" s="55" t="s">
        <v>327</v>
      </c>
      <c r="C336" s="33" t="str">
        <f t="shared" si="23"/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 t="shared" si="26"/>
        <v>"EQU.298"</v>
      </c>
      <c r="N336" s="31" t="s">
        <v>1063</v>
      </c>
      <c r="O336" s="60" t="s">
        <v>1371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 t="shared" si="28"/>
        <v>1</v>
      </c>
      <c r="V336" s="31" t="s">
        <v>1077</v>
      </c>
      <c r="W336" s="7">
        <v>0</v>
      </c>
      <c r="X336" s="31" t="s">
        <v>26</v>
      </c>
      <c r="Y336" s="49">
        <v>0</v>
      </c>
      <c r="Z336" s="58" t="s">
        <v>1371</v>
      </c>
    </row>
    <row r="337" spans="1:26" ht="6" customHeight="1" x14ac:dyDescent="0.3">
      <c r="A337" s="47">
        <v>335</v>
      </c>
      <c r="B337" s="55" t="s">
        <v>328</v>
      </c>
      <c r="C337" s="33" t="str">
        <f t="shared" si="23"/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 t="shared" si="26"/>
        <v>"EQU.299"</v>
      </c>
      <c r="N337" s="31" t="s">
        <v>1063</v>
      </c>
      <c r="O337" s="60" t="s">
        <v>1372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 t="shared" si="28"/>
        <v>1</v>
      </c>
      <c r="V337" s="31" t="s">
        <v>1077</v>
      </c>
      <c r="W337" s="7">
        <v>0</v>
      </c>
      <c r="X337" s="31" t="s">
        <v>26</v>
      </c>
      <c r="Y337" s="49">
        <v>0</v>
      </c>
      <c r="Z337" s="58" t="s">
        <v>1372</v>
      </c>
    </row>
    <row r="338" spans="1:26" ht="6" customHeight="1" x14ac:dyDescent="0.3">
      <c r="A338" s="47">
        <v>336</v>
      </c>
      <c r="B338" s="55" t="s">
        <v>329</v>
      </c>
      <c r="C338" s="33" t="str">
        <f t="shared" si="23"/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 t="shared" si="26"/>
        <v>"EQU.300"</v>
      </c>
      <c r="N338" s="31" t="s">
        <v>1063</v>
      </c>
      <c r="O338" s="60" t="s">
        <v>1468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 t="shared" si="28"/>
        <v>1</v>
      </c>
      <c r="V338" s="31" t="s">
        <v>1077</v>
      </c>
      <c r="W338" s="7">
        <v>0</v>
      </c>
      <c r="X338" s="31" t="s">
        <v>26</v>
      </c>
      <c r="Y338" s="49">
        <v>0</v>
      </c>
      <c r="Z338" s="58" t="s">
        <v>1468</v>
      </c>
    </row>
    <row r="339" spans="1:26" ht="6" customHeight="1" x14ac:dyDescent="0.3">
      <c r="A339" s="47">
        <v>337</v>
      </c>
      <c r="B339" s="55" t="s">
        <v>330</v>
      </c>
      <c r="C339" s="33" t="str">
        <f t="shared" si="23"/>
        <v>SUS.Mobília.de.Saúde</v>
      </c>
      <c r="D339" s="53" t="s">
        <v>1185</v>
      </c>
      <c r="E339" s="54" t="s">
        <v>1186</v>
      </c>
      <c r="F339" s="53" t="s">
        <v>1272</v>
      </c>
      <c r="G339" s="54" t="s">
        <v>1273</v>
      </c>
      <c r="H339" s="53" t="s">
        <v>26</v>
      </c>
      <c r="I339" s="54" t="s">
        <v>26</v>
      </c>
      <c r="J339" s="31" t="s">
        <v>1260</v>
      </c>
      <c r="K339" s="52" t="s">
        <v>1180</v>
      </c>
      <c r="L339" s="31" t="s">
        <v>1074</v>
      </c>
      <c r="M339" s="52" t="str">
        <f t="shared" si="26"/>
        <v>"EQU.301"</v>
      </c>
      <c r="N339" s="31" t="s">
        <v>1063</v>
      </c>
      <c r="O339" s="60" t="s">
        <v>1292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 t="shared" si="28"/>
        <v>0</v>
      </c>
      <c r="V339" s="31" t="s">
        <v>1077</v>
      </c>
      <c r="W339" s="7">
        <v>1</v>
      </c>
      <c r="X339" s="31" t="s">
        <v>26</v>
      </c>
      <c r="Y339" s="49">
        <v>0</v>
      </c>
      <c r="Z339" s="58" t="s">
        <v>1292</v>
      </c>
    </row>
    <row r="340" spans="1:26" ht="6" customHeight="1" x14ac:dyDescent="0.3">
      <c r="A340" s="47">
        <v>338</v>
      </c>
      <c r="B340" s="55" t="s">
        <v>331</v>
      </c>
      <c r="C340" s="33" t="str">
        <f t="shared" si="23"/>
        <v>SUS.Mobília.de.Saúde</v>
      </c>
      <c r="D340" s="53" t="s">
        <v>1185</v>
      </c>
      <c r="E340" s="54" t="s">
        <v>1186</v>
      </c>
      <c r="F340" s="53" t="s">
        <v>1272</v>
      </c>
      <c r="G340" s="54" t="s">
        <v>1273</v>
      </c>
      <c r="H340" s="53" t="s">
        <v>1254</v>
      </c>
      <c r="I340" s="54" t="s">
        <v>1246</v>
      </c>
      <c r="J340" s="31" t="s">
        <v>1260</v>
      </c>
      <c r="K340" s="52" t="s">
        <v>1182</v>
      </c>
      <c r="L340" s="31" t="s">
        <v>1074</v>
      </c>
      <c r="M340" s="52" t="str">
        <f t="shared" si="26"/>
        <v>"EQU.302"</v>
      </c>
      <c r="N340" s="31" t="s">
        <v>1063</v>
      </c>
      <c r="O340" s="60" t="s">
        <v>1292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 t="shared" si="28"/>
        <v>0</v>
      </c>
      <c r="V340" s="31" t="s">
        <v>1077</v>
      </c>
      <c r="W340" s="7">
        <v>1</v>
      </c>
      <c r="X340" s="31" t="s">
        <v>26</v>
      </c>
      <c r="Y340" s="49">
        <v>0</v>
      </c>
      <c r="Z340" s="58" t="s">
        <v>1292</v>
      </c>
    </row>
    <row r="341" spans="1:26" ht="6" customHeight="1" x14ac:dyDescent="0.3">
      <c r="A341" s="47">
        <v>339</v>
      </c>
      <c r="B341" s="55" t="s">
        <v>332</v>
      </c>
      <c r="C341" s="33" t="str">
        <f t="shared" si="23"/>
        <v>SUS.Mobília.de.Saúde</v>
      </c>
      <c r="D341" s="53" t="s">
        <v>1185</v>
      </c>
      <c r="E341" s="54" t="s">
        <v>1186</v>
      </c>
      <c r="F341" s="53" t="s">
        <v>1272</v>
      </c>
      <c r="G341" s="54" t="s">
        <v>1273</v>
      </c>
      <c r="H341" s="53" t="s">
        <v>26</v>
      </c>
      <c r="I341" s="54" t="s">
        <v>26</v>
      </c>
      <c r="J341" s="31" t="s">
        <v>1260</v>
      </c>
      <c r="K341" s="52" t="s">
        <v>1182</v>
      </c>
      <c r="L341" s="31" t="s">
        <v>1074</v>
      </c>
      <c r="M341" s="52" t="str">
        <f t="shared" si="26"/>
        <v>"EQU.303"</v>
      </c>
      <c r="N341" s="31" t="s">
        <v>1063</v>
      </c>
      <c r="O341" s="60" t="s">
        <v>1292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 t="shared" si="28"/>
        <v>0</v>
      </c>
      <c r="V341" s="31" t="s">
        <v>1077</v>
      </c>
      <c r="W341" s="7">
        <v>1</v>
      </c>
      <c r="X341" s="31" t="s">
        <v>26</v>
      </c>
      <c r="Y341" s="49">
        <v>0</v>
      </c>
      <c r="Z341" s="58" t="s">
        <v>1292</v>
      </c>
    </row>
    <row r="342" spans="1:26" ht="6" customHeight="1" x14ac:dyDescent="0.3">
      <c r="A342" s="47">
        <v>340</v>
      </c>
      <c r="B342" s="55" t="s">
        <v>333</v>
      </c>
      <c r="C342" s="33" t="str">
        <f t="shared" si="23"/>
        <v>SUS.Mobília.de.Saúde</v>
      </c>
      <c r="D342" s="53" t="s">
        <v>1185</v>
      </c>
      <c r="E342" s="54" t="s">
        <v>1186</v>
      </c>
      <c r="F342" s="53" t="s">
        <v>1272</v>
      </c>
      <c r="G342" s="54" t="s">
        <v>1273</v>
      </c>
      <c r="H342" s="53" t="s">
        <v>26</v>
      </c>
      <c r="I342" s="54" t="s">
        <v>26</v>
      </c>
      <c r="J342" s="31" t="s">
        <v>1260</v>
      </c>
      <c r="K342" s="52" t="s">
        <v>1182</v>
      </c>
      <c r="L342" s="31" t="s">
        <v>1074</v>
      </c>
      <c r="M342" s="52" t="str">
        <f t="shared" si="26"/>
        <v>"EQU.304"</v>
      </c>
      <c r="N342" s="31" t="s">
        <v>1063</v>
      </c>
      <c r="O342" s="60" t="s">
        <v>1292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 t="shared" si="28"/>
        <v>0</v>
      </c>
      <c r="V342" s="31" t="s">
        <v>1077</v>
      </c>
      <c r="W342" s="7">
        <v>1</v>
      </c>
      <c r="X342" s="31" t="s">
        <v>26</v>
      </c>
      <c r="Y342" s="49">
        <v>0</v>
      </c>
      <c r="Z342" s="58" t="s">
        <v>1292</v>
      </c>
    </row>
    <row r="343" spans="1:26" ht="6" customHeight="1" x14ac:dyDescent="0.3">
      <c r="A343" s="47">
        <v>341</v>
      </c>
      <c r="B343" s="55" t="s">
        <v>334</v>
      </c>
      <c r="C343" s="33" t="str">
        <f t="shared" si="23"/>
        <v>SUS.Mobília.de.Saúde</v>
      </c>
      <c r="D343" s="53" t="s">
        <v>1185</v>
      </c>
      <c r="E343" s="54" t="s">
        <v>1186</v>
      </c>
      <c r="F343" s="53" t="s">
        <v>1272</v>
      </c>
      <c r="G343" s="54" t="s">
        <v>1273</v>
      </c>
      <c r="H343" s="53" t="s">
        <v>1249</v>
      </c>
      <c r="I343" s="54" t="s">
        <v>1274</v>
      </c>
      <c r="J343" s="31" t="s">
        <v>1260</v>
      </c>
      <c r="K343" s="52" t="s">
        <v>1182</v>
      </c>
      <c r="L343" s="31" t="s">
        <v>1074</v>
      </c>
      <c r="M343" s="52" t="str">
        <f t="shared" si="26"/>
        <v>"EQU.305"</v>
      </c>
      <c r="N343" s="31" t="s">
        <v>1063</v>
      </c>
      <c r="O343" s="60" t="s">
        <v>1292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 t="shared" si="28"/>
        <v>0</v>
      </c>
      <c r="V343" s="31" t="s">
        <v>1077</v>
      </c>
      <c r="W343" s="7">
        <v>1</v>
      </c>
      <c r="X343" s="31" t="s">
        <v>26</v>
      </c>
      <c r="Y343" s="49">
        <v>0</v>
      </c>
      <c r="Z343" s="58" t="s">
        <v>1292</v>
      </c>
    </row>
    <row r="344" spans="1:26" ht="6" customHeight="1" x14ac:dyDescent="0.3">
      <c r="A344" s="47">
        <v>342</v>
      </c>
      <c r="B344" s="55" t="s">
        <v>335</v>
      </c>
      <c r="C344" s="33" t="str">
        <f t="shared" si="23"/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 t="shared" si="26"/>
        <v>"EQU.306"</v>
      </c>
      <c r="N344" s="31" t="s">
        <v>1063</v>
      </c>
      <c r="O344" s="60" t="s">
        <v>1332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 t="shared" si="28"/>
        <v>1</v>
      </c>
      <c r="V344" s="31" t="s">
        <v>1077</v>
      </c>
      <c r="W344" s="7">
        <v>0</v>
      </c>
      <c r="X344" s="31" t="s">
        <v>26</v>
      </c>
      <c r="Y344" s="49">
        <v>0</v>
      </c>
      <c r="Z344" s="58" t="s">
        <v>1332</v>
      </c>
    </row>
    <row r="345" spans="1:26" ht="6" customHeight="1" x14ac:dyDescent="0.3">
      <c r="A345" s="47">
        <v>343</v>
      </c>
      <c r="B345" s="55" t="s">
        <v>336</v>
      </c>
      <c r="C345" s="33" t="str">
        <f t="shared" si="23"/>
        <v>SUS.Equipamento</v>
      </c>
      <c r="D345" s="53" t="s">
        <v>1185</v>
      </c>
      <c r="E345" s="54" t="s">
        <v>1186</v>
      </c>
      <c r="F345" s="53" t="s">
        <v>1196</v>
      </c>
      <c r="G345" s="54" t="s">
        <v>1276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 t="shared" si="26"/>
        <v>"EQU.307"</v>
      </c>
      <c r="N345" s="31" t="s">
        <v>1063</v>
      </c>
      <c r="O345" s="60" t="s">
        <v>1469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 t="shared" si="28"/>
        <v>0</v>
      </c>
      <c r="V345" s="31" t="s">
        <v>1077</v>
      </c>
      <c r="W345" s="7">
        <v>0</v>
      </c>
      <c r="X345" s="31" t="s">
        <v>26</v>
      </c>
      <c r="Y345" s="49">
        <v>0</v>
      </c>
      <c r="Z345" s="58" t="s">
        <v>1469</v>
      </c>
    </row>
    <row r="346" spans="1:26" ht="6" customHeight="1" x14ac:dyDescent="0.3">
      <c r="A346" s="47">
        <v>344</v>
      </c>
      <c r="B346" s="55" t="s">
        <v>337</v>
      </c>
      <c r="C346" s="33" t="str">
        <f t="shared" si="23"/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 t="shared" si="26"/>
        <v>"EQU.308"</v>
      </c>
      <c r="N346" s="31" t="s">
        <v>1063</v>
      </c>
      <c r="O346" s="60" t="s">
        <v>1294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 t="shared" si="28"/>
        <v>1</v>
      </c>
      <c r="V346" s="31" t="s">
        <v>1077</v>
      </c>
      <c r="W346" s="7">
        <v>0</v>
      </c>
      <c r="X346" s="31" t="s">
        <v>26</v>
      </c>
      <c r="Y346" s="49">
        <v>0</v>
      </c>
      <c r="Z346" s="58" t="s">
        <v>1294</v>
      </c>
    </row>
    <row r="347" spans="1:26" ht="6" customHeight="1" x14ac:dyDescent="0.3">
      <c r="A347" s="47">
        <v>345</v>
      </c>
      <c r="B347" s="55" t="s">
        <v>338</v>
      </c>
      <c r="C347" s="33" t="str">
        <f t="shared" si="23"/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 t="shared" si="26"/>
        <v>"EQU.309"</v>
      </c>
      <c r="N347" s="31" t="s">
        <v>1063</v>
      </c>
      <c r="O347" s="60" t="s">
        <v>1294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 t="shared" si="28"/>
        <v>1</v>
      </c>
      <c r="V347" s="31" t="s">
        <v>1077</v>
      </c>
      <c r="W347" s="7">
        <v>0</v>
      </c>
      <c r="X347" s="31" t="s">
        <v>26</v>
      </c>
      <c r="Y347" s="49">
        <v>0</v>
      </c>
      <c r="Z347" s="58" t="s">
        <v>1294</v>
      </c>
    </row>
    <row r="348" spans="1:26" ht="6" customHeight="1" x14ac:dyDescent="0.3">
      <c r="A348" s="47">
        <v>346</v>
      </c>
      <c r="B348" s="55" t="s">
        <v>339</v>
      </c>
      <c r="C348" s="33" t="str">
        <f t="shared" si="23"/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 t="shared" si="26"/>
        <v>"EQU.310"</v>
      </c>
      <c r="N348" s="31" t="s">
        <v>1063</v>
      </c>
      <c r="O348" s="60" t="s">
        <v>1294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 t="shared" si="28"/>
        <v>1</v>
      </c>
      <c r="V348" s="31" t="s">
        <v>1077</v>
      </c>
      <c r="W348" s="7">
        <v>0</v>
      </c>
      <c r="X348" s="31" t="s">
        <v>26</v>
      </c>
      <c r="Y348" s="49">
        <v>0</v>
      </c>
      <c r="Z348" s="58" t="s">
        <v>1294</v>
      </c>
    </row>
    <row r="349" spans="1:26" ht="6" customHeight="1" x14ac:dyDescent="0.3">
      <c r="A349" s="47">
        <v>347</v>
      </c>
      <c r="B349" s="55" t="s">
        <v>340</v>
      </c>
      <c r="C349" s="33" t="str">
        <f t="shared" si="23"/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 t="shared" si="26"/>
        <v>"EQU.311"</v>
      </c>
      <c r="N349" s="31" t="s">
        <v>1063</v>
      </c>
      <c r="O349" s="60" t="s">
        <v>1493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 t="shared" si="28"/>
        <v>1</v>
      </c>
      <c r="V349" s="31" t="s">
        <v>1077</v>
      </c>
      <c r="W349" s="7">
        <v>0</v>
      </c>
      <c r="X349" s="31" t="s">
        <v>26</v>
      </c>
      <c r="Y349" s="49">
        <v>0</v>
      </c>
      <c r="Z349" s="58" t="s">
        <v>1493</v>
      </c>
    </row>
    <row r="350" spans="1:26" ht="6" customHeight="1" x14ac:dyDescent="0.3">
      <c r="A350" s="47">
        <v>348</v>
      </c>
      <c r="B350" s="55" t="s">
        <v>341</v>
      </c>
      <c r="C350" s="33" t="str">
        <f t="shared" si="23"/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 t="shared" si="26"/>
        <v>"EQU.312"</v>
      </c>
      <c r="N350" s="31" t="s">
        <v>1063</v>
      </c>
      <c r="O350" s="60" t="s">
        <v>1373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 t="shared" si="28"/>
        <v>1</v>
      </c>
      <c r="V350" s="31" t="s">
        <v>1077</v>
      </c>
      <c r="W350" s="7">
        <v>0</v>
      </c>
      <c r="X350" s="31" t="s">
        <v>26</v>
      </c>
      <c r="Y350" s="49">
        <v>0</v>
      </c>
      <c r="Z350" s="58" t="s">
        <v>1373</v>
      </c>
    </row>
    <row r="351" spans="1:26" ht="6" customHeight="1" x14ac:dyDescent="0.3">
      <c r="A351" s="47">
        <v>349</v>
      </c>
      <c r="B351" s="55" t="s">
        <v>342</v>
      </c>
      <c r="C351" s="33" t="str">
        <f t="shared" si="23"/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 t="shared" si="26"/>
        <v>"EQU.313"</v>
      </c>
      <c r="N351" s="31" t="s">
        <v>1063</v>
      </c>
      <c r="O351" s="60" t="s">
        <v>1374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 t="shared" si="28"/>
        <v>1</v>
      </c>
      <c r="V351" s="31" t="s">
        <v>1077</v>
      </c>
      <c r="W351" s="7">
        <v>0</v>
      </c>
      <c r="X351" s="31" t="s">
        <v>26</v>
      </c>
      <c r="Y351" s="49">
        <v>0</v>
      </c>
      <c r="Z351" s="58" t="s">
        <v>1374</v>
      </c>
    </row>
    <row r="352" spans="1:26" ht="6" customHeight="1" x14ac:dyDescent="0.3">
      <c r="A352" s="47">
        <v>350</v>
      </c>
      <c r="B352" s="55" t="s">
        <v>343</v>
      </c>
      <c r="C352" s="33" t="str">
        <f t="shared" si="23"/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 t="shared" si="26"/>
        <v>"EQU.314"</v>
      </c>
      <c r="N352" s="31" t="s">
        <v>1063</v>
      </c>
      <c r="O352" s="60" t="s">
        <v>1374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 t="shared" si="28"/>
        <v>1</v>
      </c>
      <c r="V352" s="31" t="s">
        <v>1077</v>
      </c>
      <c r="W352" s="7">
        <v>0</v>
      </c>
      <c r="X352" s="31" t="s">
        <v>26</v>
      </c>
      <c r="Y352" s="49">
        <v>0</v>
      </c>
      <c r="Z352" s="58" t="s">
        <v>1374</v>
      </c>
    </row>
    <row r="353" spans="1:26" ht="6" customHeight="1" x14ac:dyDescent="0.3">
      <c r="A353" s="47">
        <v>351</v>
      </c>
      <c r="B353" s="55" t="s">
        <v>344</v>
      </c>
      <c r="C353" s="33" t="str">
        <f t="shared" si="23"/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 t="shared" si="26"/>
        <v>"EQU.315"</v>
      </c>
      <c r="N353" s="31" t="s">
        <v>1063</v>
      </c>
      <c r="O353" s="60" t="s">
        <v>1375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 t="shared" si="28"/>
        <v>1</v>
      </c>
      <c r="V353" s="31" t="s">
        <v>1077</v>
      </c>
      <c r="W353" s="7">
        <v>0</v>
      </c>
      <c r="X353" s="31" t="s">
        <v>26</v>
      </c>
      <c r="Y353" s="49">
        <v>0</v>
      </c>
      <c r="Z353" s="58" t="s">
        <v>1375</v>
      </c>
    </row>
    <row r="354" spans="1:26" ht="6" customHeight="1" x14ac:dyDescent="0.3">
      <c r="A354" s="47">
        <v>352</v>
      </c>
      <c r="B354" s="55" t="s">
        <v>345</v>
      </c>
      <c r="C354" s="33" t="str">
        <f t="shared" si="23"/>
        <v>SUS.Mobília.de.Saúde</v>
      </c>
      <c r="D354" s="53" t="s">
        <v>1185</v>
      </c>
      <c r="E354" s="54" t="s">
        <v>1255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1574</v>
      </c>
      <c r="N354" s="31" t="s">
        <v>1063</v>
      </c>
      <c r="O354" s="60" t="s">
        <v>1604</v>
      </c>
      <c r="P354" s="31" t="s">
        <v>1020</v>
      </c>
      <c r="Q354" s="52" t="s">
        <v>1605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58" t="s">
        <v>1338</v>
      </c>
    </row>
    <row r="355" spans="1:26" ht="6" customHeight="1" x14ac:dyDescent="0.3">
      <c r="A355" s="47">
        <v>353</v>
      </c>
      <c r="B355" s="55" t="s">
        <v>346</v>
      </c>
      <c r="C355" s="33" t="str">
        <f t="shared" si="23"/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 t="shared" ref="M355:M386" si="29">_xlfn.CONCAT("""",B355,"""")</f>
        <v>"EQU.317"</v>
      </c>
      <c r="N355" s="31" t="s">
        <v>1063</v>
      </c>
      <c r="O355" s="60" t="s">
        <v>1376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 t="shared" ref="U355:U371" si="30"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  <c r="Z355" s="58" t="s">
        <v>1376</v>
      </c>
    </row>
    <row r="356" spans="1:26" ht="6" customHeight="1" x14ac:dyDescent="0.3">
      <c r="A356" s="47">
        <v>354</v>
      </c>
      <c r="B356" s="55" t="s">
        <v>347</v>
      </c>
      <c r="C356" s="33" t="str">
        <f t="shared" si="23"/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 t="shared" si="29"/>
        <v>"EQU.318"</v>
      </c>
      <c r="N356" s="31" t="s">
        <v>1063</v>
      </c>
      <c r="O356" s="60" t="s">
        <v>1511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 t="shared" si="30"/>
        <v>0</v>
      </c>
      <c r="V356" s="31" t="s">
        <v>1077</v>
      </c>
      <c r="W356" s="7">
        <v>0</v>
      </c>
      <c r="X356" s="31" t="s">
        <v>26</v>
      </c>
      <c r="Y356" s="49">
        <v>0</v>
      </c>
      <c r="Z356" s="58" t="s">
        <v>1511</v>
      </c>
    </row>
    <row r="357" spans="1:26" ht="6" customHeight="1" x14ac:dyDescent="0.3">
      <c r="A357" s="47">
        <v>355</v>
      </c>
      <c r="B357" s="55" t="s">
        <v>348</v>
      </c>
      <c r="C357" s="33" t="str">
        <f t="shared" si="23"/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 t="shared" si="29"/>
        <v>"EQU.319"</v>
      </c>
      <c r="N357" s="31" t="s">
        <v>1063</v>
      </c>
      <c r="O357" s="60" t="s">
        <v>1377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 t="shared" si="30"/>
        <v>0</v>
      </c>
      <c r="V357" s="31" t="s">
        <v>1077</v>
      </c>
      <c r="W357" s="7">
        <v>0</v>
      </c>
      <c r="X357" s="31" t="s">
        <v>26</v>
      </c>
      <c r="Y357" s="49">
        <v>0</v>
      </c>
      <c r="Z357" s="58" t="s">
        <v>1377</v>
      </c>
    </row>
    <row r="358" spans="1:26" ht="6" customHeight="1" x14ac:dyDescent="0.3">
      <c r="A358" s="47">
        <v>356</v>
      </c>
      <c r="B358" s="55" t="s">
        <v>349</v>
      </c>
      <c r="C358" s="33" t="str">
        <f t="shared" si="23"/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 t="shared" si="29"/>
        <v>"EQU.320"</v>
      </c>
      <c r="N358" s="31" t="s">
        <v>1063</v>
      </c>
      <c r="O358" s="60" t="s">
        <v>1378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 t="shared" si="30"/>
        <v>1</v>
      </c>
      <c r="V358" s="31" t="s">
        <v>1077</v>
      </c>
      <c r="W358" s="7">
        <v>0</v>
      </c>
      <c r="X358" s="31" t="s">
        <v>26</v>
      </c>
      <c r="Y358" s="49">
        <v>0</v>
      </c>
      <c r="Z358" s="58" t="s">
        <v>1378</v>
      </c>
    </row>
    <row r="359" spans="1:26" ht="6" customHeight="1" x14ac:dyDescent="0.3">
      <c r="A359" s="47">
        <v>357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 t="shared" si="29"/>
        <v>"EQU.321"</v>
      </c>
      <c r="N359" s="31" t="s">
        <v>1063</v>
      </c>
      <c r="O359" s="60" t="s">
        <v>1378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 t="shared" si="30"/>
        <v>1</v>
      </c>
      <c r="V359" s="31" t="s">
        <v>1077</v>
      </c>
      <c r="W359" s="7">
        <v>0</v>
      </c>
      <c r="X359" s="31" t="s">
        <v>26</v>
      </c>
      <c r="Y359" s="49">
        <v>0</v>
      </c>
      <c r="Z359" s="58" t="s">
        <v>1378</v>
      </c>
    </row>
    <row r="360" spans="1:26" ht="6" customHeight="1" x14ac:dyDescent="0.3">
      <c r="A360" s="47">
        <v>358</v>
      </c>
      <c r="B360" s="55" t="s">
        <v>351</v>
      </c>
      <c r="C360" s="33" t="str">
        <f t="shared" si="31"/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 t="shared" si="29"/>
        <v>"EQU.322"</v>
      </c>
      <c r="N360" s="31" t="s">
        <v>1063</v>
      </c>
      <c r="O360" s="60" t="s">
        <v>1378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 t="shared" si="30"/>
        <v>1</v>
      </c>
      <c r="V360" s="31" t="s">
        <v>1077</v>
      </c>
      <c r="W360" s="7">
        <v>0</v>
      </c>
      <c r="X360" s="31" t="s">
        <v>26</v>
      </c>
      <c r="Y360" s="49">
        <v>0</v>
      </c>
      <c r="Z360" s="58" t="s">
        <v>1378</v>
      </c>
    </row>
    <row r="361" spans="1:26" ht="6" customHeight="1" x14ac:dyDescent="0.3">
      <c r="A361" s="47">
        <v>359</v>
      </c>
      <c r="B361" s="55" t="s">
        <v>352</v>
      </c>
      <c r="C361" s="33" t="str">
        <f t="shared" si="31"/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 t="shared" si="29"/>
        <v>"EQU.323"</v>
      </c>
      <c r="N361" s="31" t="s">
        <v>1063</v>
      </c>
      <c r="O361" s="60" t="s">
        <v>1446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 t="shared" si="30"/>
        <v>1</v>
      </c>
      <c r="V361" s="31" t="s">
        <v>1077</v>
      </c>
      <c r="W361" s="7">
        <v>0</v>
      </c>
      <c r="X361" s="31" t="s">
        <v>26</v>
      </c>
      <c r="Y361" s="49">
        <v>0</v>
      </c>
      <c r="Z361" s="58" t="s">
        <v>1446</v>
      </c>
    </row>
    <row r="362" spans="1:26" ht="6" customHeight="1" x14ac:dyDescent="0.3">
      <c r="A362" s="47">
        <v>360</v>
      </c>
      <c r="B362" s="55" t="s">
        <v>353</v>
      </c>
      <c r="C362" s="33" t="str">
        <f t="shared" si="31"/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 t="shared" si="29"/>
        <v>"EQU.324"</v>
      </c>
      <c r="N362" s="31" t="s">
        <v>1063</v>
      </c>
      <c r="O362" s="60" t="s">
        <v>1426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 t="shared" si="30"/>
        <v>1</v>
      </c>
      <c r="V362" s="31" t="s">
        <v>1077</v>
      </c>
      <c r="W362" s="7">
        <v>0</v>
      </c>
      <c r="X362" s="31" t="s">
        <v>26</v>
      </c>
      <c r="Y362" s="49">
        <v>0</v>
      </c>
      <c r="Z362" s="58" t="s">
        <v>1426</v>
      </c>
    </row>
    <row r="363" spans="1:26" ht="6" customHeight="1" x14ac:dyDescent="0.3">
      <c r="A363" s="47">
        <v>361</v>
      </c>
      <c r="B363" s="55" t="s">
        <v>354</v>
      </c>
      <c r="C363" s="33" t="str">
        <f t="shared" si="31"/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 t="shared" si="29"/>
        <v>"EQU.325"</v>
      </c>
      <c r="N363" s="31" t="s">
        <v>1063</v>
      </c>
      <c r="O363" s="60" t="s">
        <v>1426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 t="shared" si="30"/>
        <v>1</v>
      </c>
      <c r="V363" s="31" t="s">
        <v>1077</v>
      </c>
      <c r="W363" s="7">
        <v>0</v>
      </c>
      <c r="X363" s="31" t="s">
        <v>26</v>
      </c>
      <c r="Y363" s="49">
        <v>0</v>
      </c>
      <c r="Z363" s="58" t="s">
        <v>1426</v>
      </c>
    </row>
    <row r="364" spans="1:26" ht="6" customHeight="1" x14ac:dyDescent="0.3">
      <c r="A364" s="47">
        <v>362</v>
      </c>
      <c r="B364" s="55" t="s">
        <v>355</v>
      </c>
      <c r="C364" s="33" t="str">
        <f t="shared" si="31"/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 t="shared" si="29"/>
        <v>"EQU.326"</v>
      </c>
      <c r="N364" s="31" t="s">
        <v>1063</v>
      </c>
      <c r="O364" s="60" t="s">
        <v>1496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 t="shared" si="30"/>
        <v>1</v>
      </c>
      <c r="V364" s="31" t="s">
        <v>1077</v>
      </c>
      <c r="W364" s="7">
        <v>0</v>
      </c>
      <c r="X364" s="31" t="s">
        <v>26</v>
      </c>
      <c r="Y364" s="49">
        <v>0</v>
      </c>
      <c r="Z364" s="58" t="s">
        <v>1496</v>
      </c>
    </row>
    <row r="365" spans="1:26" ht="6" customHeight="1" x14ac:dyDescent="0.3">
      <c r="A365" s="47">
        <v>363</v>
      </c>
      <c r="B365" s="55" t="s">
        <v>356</v>
      </c>
      <c r="C365" s="33" t="str">
        <f t="shared" si="31"/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 t="shared" si="29"/>
        <v>"EQU.327"</v>
      </c>
      <c r="N365" s="31" t="s">
        <v>1063</v>
      </c>
      <c r="O365" s="60" t="s">
        <v>1379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 t="shared" si="30"/>
        <v>1</v>
      </c>
      <c r="V365" s="31" t="s">
        <v>1077</v>
      </c>
      <c r="W365" s="7">
        <v>0</v>
      </c>
      <c r="X365" s="31" t="s">
        <v>26</v>
      </c>
      <c r="Y365" s="49">
        <v>0</v>
      </c>
      <c r="Z365" s="58" t="s">
        <v>1379</v>
      </c>
    </row>
    <row r="366" spans="1:26" ht="6" customHeight="1" x14ac:dyDescent="0.3">
      <c r="A366" s="47">
        <v>364</v>
      </c>
      <c r="B366" s="55" t="s">
        <v>357</v>
      </c>
      <c r="C366" s="33" t="str">
        <f t="shared" si="31"/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 t="shared" si="29"/>
        <v>"EQU.328"</v>
      </c>
      <c r="N366" s="31" t="s">
        <v>1063</v>
      </c>
      <c r="O366" s="60" t="s">
        <v>1380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 t="shared" si="30"/>
        <v>1</v>
      </c>
      <c r="V366" s="31" t="s">
        <v>1077</v>
      </c>
      <c r="W366" s="7">
        <v>0</v>
      </c>
      <c r="X366" s="31" t="s">
        <v>26</v>
      </c>
      <c r="Y366" s="49">
        <v>0</v>
      </c>
      <c r="Z366" s="58" t="s">
        <v>1380</v>
      </c>
    </row>
    <row r="367" spans="1:26" ht="6" customHeight="1" x14ac:dyDescent="0.3">
      <c r="A367" s="47">
        <v>365</v>
      </c>
      <c r="B367" s="55" t="s">
        <v>358</v>
      </c>
      <c r="C367" s="33" t="str">
        <f t="shared" si="31"/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 t="shared" si="29"/>
        <v>"EQU.329"</v>
      </c>
      <c r="N367" s="31" t="s">
        <v>1063</v>
      </c>
      <c r="O367" s="60" t="s">
        <v>1280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 t="shared" si="30"/>
        <v>0</v>
      </c>
      <c r="V367" s="31" t="s">
        <v>1077</v>
      </c>
      <c r="W367" s="7">
        <v>0</v>
      </c>
      <c r="X367" s="31" t="s">
        <v>26</v>
      </c>
      <c r="Y367" s="49">
        <v>0</v>
      </c>
      <c r="Z367" s="58" t="s">
        <v>1280</v>
      </c>
    </row>
    <row r="368" spans="1:26" ht="6" customHeight="1" x14ac:dyDescent="0.3">
      <c r="A368" s="47">
        <v>366</v>
      </c>
      <c r="B368" s="55" t="s">
        <v>359</v>
      </c>
      <c r="C368" s="33" t="str">
        <f t="shared" si="31"/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 t="shared" si="29"/>
        <v>"EQU.330"</v>
      </c>
      <c r="N368" s="31" t="s">
        <v>1063</v>
      </c>
      <c r="O368" s="60" t="s">
        <v>1280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 t="shared" si="30"/>
        <v>0</v>
      </c>
      <c r="V368" s="31" t="s">
        <v>1077</v>
      </c>
      <c r="W368" s="7">
        <v>0</v>
      </c>
      <c r="X368" s="31" t="s">
        <v>26</v>
      </c>
      <c r="Y368" s="49">
        <v>0</v>
      </c>
      <c r="Z368" s="58" t="s">
        <v>1280</v>
      </c>
    </row>
    <row r="369" spans="1:26" ht="6" customHeight="1" x14ac:dyDescent="0.3">
      <c r="A369" s="47">
        <v>367</v>
      </c>
      <c r="B369" s="55" t="s">
        <v>360</v>
      </c>
      <c r="C369" s="33" t="str">
        <f t="shared" si="31"/>
        <v>SUS.Mobília.de.Saúde</v>
      </c>
      <c r="D369" s="53" t="s">
        <v>1185</v>
      </c>
      <c r="E369" s="54" t="s">
        <v>1186</v>
      </c>
      <c r="F369" s="53" t="s">
        <v>1272</v>
      </c>
      <c r="G369" s="54" t="s">
        <v>1273</v>
      </c>
      <c r="H369" s="53" t="s">
        <v>26</v>
      </c>
      <c r="I369" s="54" t="s">
        <v>26</v>
      </c>
      <c r="J369" s="31" t="s">
        <v>1260</v>
      </c>
      <c r="K369" s="52" t="s">
        <v>1180</v>
      </c>
      <c r="L369" s="31" t="s">
        <v>1074</v>
      </c>
      <c r="M369" s="52" t="str">
        <f t="shared" si="29"/>
        <v>"EQU.331"</v>
      </c>
      <c r="N369" s="31" t="s">
        <v>1063</v>
      </c>
      <c r="O369" s="60" t="s">
        <v>1292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 t="shared" si="30"/>
        <v>0</v>
      </c>
      <c r="V369" s="31" t="s">
        <v>1077</v>
      </c>
      <c r="W369" s="7">
        <v>1</v>
      </c>
      <c r="X369" s="31" t="s">
        <v>26</v>
      </c>
      <c r="Y369" s="49">
        <v>0</v>
      </c>
      <c r="Z369" s="58" t="s">
        <v>1292</v>
      </c>
    </row>
    <row r="370" spans="1:26" ht="6" customHeight="1" x14ac:dyDescent="0.3">
      <c r="A370" s="47">
        <v>368</v>
      </c>
      <c r="B370" s="55" t="s">
        <v>361</v>
      </c>
      <c r="C370" s="33" t="str">
        <f t="shared" si="31"/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 t="shared" si="29"/>
        <v>"EQU.332"</v>
      </c>
      <c r="N370" s="31" t="s">
        <v>1063</v>
      </c>
      <c r="O370" s="60" t="s">
        <v>1495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 t="shared" si="30"/>
        <v>1</v>
      </c>
      <c r="V370" s="31" t="s">
        <v>1077</v>
      </c>
      <c r="W370" s="7">
        <v>0</v>
      </c>
      <c r="X370" s="31" t="s">
        <v>26</v>
      </c>
      <c r="Y370" s="49">
        <v>0</v>
      </c>
      <c r="Z370" s="58" t="s">
        <v>1495</v>
      </c>
    </row>
    <row r="371" spans="1:26" ht="6" customHeight="1" x14ac:dyDescent="0.3">
      <c r="A371" s="47">
        <v>369</v>
      </c>
      <c r="B371" s="55" t="s">
        <v>362</v>
      </c>
      <c r="C371" s="33" t="str">
        <f t="shared" si="31"/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 t="shared" si="29"/>
        <v>"EQU.333"</v>
      </c>
      <c r="N371" s="31" t="s">
        <v>1063</v>
      </c>
      <c r="O371" s="60" t="s">
        <v>1515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 t="shared" si="30"/>
        <v>1</v>
      </c>
      <c r="V371" s="31" t="s">
        <v>1077</v>
      </c>
      <c r="W371" s="7">
        <v>0</v>
      </c>
      <c r="X371" s="31" t="s">
        <v>26</v>
      </c>
      <c r="Y371" s="49">
        <v>0</v>
      </c>
      <c r="Z371" s="58" t="s">
        <v>1515</v>
      </c>
    </row>
    <row r="372" spans="1:26" ht="6" customHeight="1" x14ac:dyDescent="0.3">
      <c r="A372" s="47">
        <v>370</v>
      </c>
      <c r="B372" s="55" t="s">
        <v>363</v>
      </c>
      <c r="C372" s="33" t="str">
        <f t="shared" si="31"/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 t="shared" si="29"/>
        <v>"EQU.334"</v>
      </c>
      <c r="N372" s="31" t="s">
        <v>1063</v>
      </c>
      <c r="O372" s="60" t="s">
        <v>1381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  <c r="Z372" s="58" t="s">
        <v>1381</v>
      </c>
    </row>
    <row r="373" spans="1:26" ht="6" customHeight="1" x14ac:dyDescent="0.3">
      <c r="A373" s="47">
        <v>371</v>
      </c>
      <c r="B373" s="55" t="s">
        <v>364</v>
      </c>
      <c r="C373" s="33" t="str">
        <f t="shared" si="31"/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 t="shared" si="29"/>
        <v>"EQU.335"</v>
      </c>
      <c r="N373" s="31" t="s">
        <v>1063</v>
      </c>
      <c r="O373" s="60" t="s">
        <v>1470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 t="shared" ref="U373:U397" si="32"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  <c r="Z373" s="58" t="s">
        <v>1470</v>
      </c>
    </row>
    <row r="374" spans="1:26" ht="6" customHeight="1" x14ac:dyDescent="0.3">
      <c r="A374" s="47">
        <v>372</v>
      </c>
      <c r="B374" s="55" t="s">
        <v>365</v>
      </c>
      <c r="C374" s="33" t="str">
        <f t="shared" si="31"/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 t="shared" si="29"/>
        <v>"EQU.336"</v>
      </c>
      <c r="N374" s="31" t="s">
        <v>1063</v>
      </c>
      <c r="O374" s="60" t="s">
        <v>1487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 t="shared" si="32"/>
        <v>0</v>
      </c>
      <c r="V374" s="31" t="s">
        <v>1077</v>
      </c>
      <c r="W374" s="7">
        <v>0</v>
      </c>
      <c r="X374" s="31" t="s">
        <v>26</v>
      </c>
      <c r="Y374" s="49">
        <v>0</v>
      </c>
      <c r="Z374" s="58" t="s">
        <v>1487</v>
      </c>
    </row>
    <row r="375" spans="1:26" ht="6" customHeight="1" x14ac:dyDescent="0.3">
      <c r="A375" s="47">
        <v>373</v>
      </c>
      <c r="B375" s="55" t="s">
        <v>366</v>
      </c>
      <c r="C375" s="33" t="str">
        <f t="shared" si="31"/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 t="shared" si="29"/>
        <v>"EQU.337"</v>
      </c>
      <c r="N375" s="31" t="s">
        <v>1063</v>
      </c>
      <c r="O375" s="60" t="s">
        <v>1382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 t="shared" si="32"/>
        <v>0</v>
      </c>
      <c r="V375" s="31" t="s">
        <v>1077</v>
      </c>
      <c r="W375" s="7">
        <v>0</v>
      </c>
      <c r="X375" s="31" t="s">
        <v>26</v>
      </c>
      <c r="Y375" s="49">
        <v>0</v>
      </c>
      <c r="Z375" s="58" t="s">
        <v>1382</v>
      </c>
    </row>
    <row r="376" spans="1:26" ht="6" customHeight="1" x14ac:dyDescent="0.3">
      <c r="A376" s="47">
        <v>374</v>
      </c>
      <c r="B376" s="55" t="s">
        <v>367</v>
      </c>
      <c r="C376" s="33" t="str">
        <f t="shared" si="31"/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 t="shared" si="29"/>
        <v>"EQU.338"</v>
      </c>
      <c r="N376" s="31" t="s">
        <v>1063</v>
      </c>
      <c r="O376" s="60" t="s">
        <v>1382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 t="shared" si="32"/>
        <v>0</v>
      </c>
      <c r="V376" s="31" t="s">
        <v>1077</v>
      </c>
      <c r="W376" s="7">
        <v>0</v>
      </c>
      <c r="X376" s="31" t="s">
        <v>26</v>
      </c>
      <c r="Y376" s="49">
        <v>0</v>
      </c>
      <c r="Z376" s="58" t="s">
        <v>1382</v>
      </c>
    </row>
    <row r="377" spans="1:26" ht="6" customHeight="1" x14ac:dyDescent="0.3">
      <c r="A377" s="47">
        <v>375</v>
      </c>
      <c r="B377" s="55" t="s">
        <v>368</v>
      </c>
      <c r="C377" s="33" t="str">
        <f t="shared" si="31"/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 t="shared" si="29"/>
        <v>"EQU.339"</v>
      </c>
      <c r="N377" s="31" t="s">
        <v>1063</v>
      </c>
      <c r="O377" s="60" t="s">
        <v>1543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 t="shared" si="32"/>
        <v>1</v>
      </c>
      <c r="V377" s="31" t="s">
        <v>1077</v>
      </c>
      <c r="W377" s="7">
        <v>0</v>
      </c>
      <c r="X377" s="31" t="s">
        <v>26</v>
      </c>
      <c r="Y377" s="49">
        <v>0</v>
      </c>
      <c r="Z377" s="58" t="s">
        <v>1543</v>
      </c>
    </row>
    <row r="378" spans="1:26" ht="6" customHeight="1" x14ac:dyDescent="0.3">
      <c r="A378" s="47">
        <v>376</v>
      </c>
      <c r="B378" s="55" t="s">
        <v>369</v>
      </c>
      <c r="C378" s="33" t="str">
        <f t="shared" si="31"/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 t="shared" si="29"/>
        <v>"EQU.340"</v>
      </c>
      <c r="N378" s="31" t="s">
        <v>1063</v>
      </c>
      <c r="O378" s="60" t="s">
        <v>1383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 t="shared" si="32"/>
        <v>1</v>
      </c>
      <c r="V378" s="31" t="s">
        <v>1077</v>
      </c>
      <c r="W378" s="7">
        <v>0</v>
      </c>
      <c r="X378" s="31" t="s">
        <v>26</v>
      </c>
      <c r="Y378" s="49">
        <v>0</v>
      </c>
      <c r="Z378" s="58" t="s">
        <v>1383</v>
      </c>
    </row>
    <row r="379" spans="1:26" ht="6" customHeight="1" x14ac:dyDescent="0.3">
      <c r="A379" s="47">
        <v>377</v>
      </c>
      <c r="B379" s="55" t="s">
        <v>370</v>
      </c>
      <c r="C379" s="33" t="str">
        <f t="shared" si="31"/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 t="shared" si="29"/>
        <v>"EQU.341"</v>
      </c>
      <c r="N379" s="31" t="s">
        <v>1063</v>
      </c>
      <c r="O379" s="60" t="s">
        <v>1384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 t="shared" si="32"/>
        <v>1</v>
      </c>
      <c r="V379" s="31" t="s">
        <v>1077</v>
      </c>
      <c r="W379" s="7">
        <v>0</v>
      </c>
      <c r="X379" s="31" t="s">
        <v>26</v>
      </c>
      <c r="Y379" s="49">
        <v>0</v>
      </c>
      <c r="Z379" s="58" t="s">
        <v>1384</v>
      </c>
    </row>
    <row r="380" spans="1:26" ht="6" customHeight="1" x14ac:dyDescent="0.3">
      <c r="A380" s="47">
        <v>378</v>
      </c>
      <c r="B380" s="55" t="s">
        <v>371</v>
      </c>
      <c r="C380" s="33" t="str">
        <f t="shared" si="31"/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 t="shared" si="29"/>
        <v>"EQU.342"</v>
      </c>
      <c r="N380" s="31" t="s">
        <v>1063</v>
      </c>
      <c r="O380" s="60" t="s">
        <v>1384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 t="shared" si="32"/>
        <v>1</v>
      </c>
      <c r="V380" s="31" t="s">
        <v>1077</v>
      </c>
      <c r="W380" s="7">
        <v>0</v>
      </c>
      <c r="X380" s="31" t="s">
        <v>26</v>
      </c>
      <c r="Y380" s="49">
        <v>0</v>
      </c>
      <c r="Z380" s="58" t="s">
        <v>1384</v>
      </c>
    </row>
    <row r="381" spans="1:26" ht="6" customHeight="1" x14ac:dyDescent="0.3">
      <c r="A381" s="47">
        <v>379</v>
      </c>
      <c r="B381" s="55" t="s">
        <v>372</v>
      </c>
      <c r="C381" s="33" t="str">
        <f t="shared" si="31"/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 t="shared" si="29"/>
        <v>"EQU.343"</v>
      </c>
      <c r="N381" s="31" t="s">
        <v>1063</v>
      </c>
      <c r="O381" s="60" t="s">
        <v>1546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 t="shared" si="32"/>
        <v>1</v>
      </c>
      <c r="V381" s="31" t="s">
        <v>1077</v>
      </c>
      <c r="W381" s="7">
        <v>0</v>
      </c>
      <c r="X381" s="31" t="s">
        <v>26</v>
      </c>
      <c r="Y381" s="49">
        <v>0</v>
      </c>
      <c r="Z381" s="58" t="s">
        <v>1546</v>
      </c>
    </row>
    <row r="382" spans="1:26" ht="6" customHeight="1" x14ac:dyDescent="0.3">
      <c r="A382" s="47">
        <v>380</v>
      </c>
      <c r="B382" s="55" t="s">
        <v>373</v>
      </c>
      <c r="C382" s="33" t="str">
        <f t="shared" si="31"/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 t="shared" si="29"/>
        <v>"EQU.344"</v>
      </c>
      <c r="N382" s="31" t="s">
        <v>1063</v>
      </c>
      <c r="O382" s="60" t="s">
        <v>1385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 t="shared" si="32"/>
        <v>0</v>
      </c>
      <c r="V382" s="31" t="s">
        <v>1077</v>
      </c>
      <c r="W382" s="7">
        <v>0</v>
      </c>
      <c r="X382" s="31" t="s">
        <v>26</v>
      </c>
      <c r="Y382" s="49">
        <v>0</v>
      </c>
      <c r="Z382" s="58" t="s">
        <v>1385</v>
      </c>
    </row>
    <row r="383" spans="1:26" ht="6" customHeight="1" x14ac:dyDescent="0.3">
      <c r="A383" s="47">
        <v>381</v>
      </c>
      <c r="B383" s="55" t="s">
        <v>374</v>
      </c>
      <c r="C383" s="33" t="str">
        <f t="shared" si="31"/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 t="shared" si="29"/>
        <v>"EQU.345"</v>
      </c>
      <c r="N383" s="31" t="s">
        <v>1063</v>
      </c>
      <c r="O383" s="60" t="s">
        <v>1386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 t="shared" si="32"/>
        <v>1</v>
      </c>
      <c r="V383" s="31" t="s">
        <v>1077</v>
      </c>
      <c r="W383" s="7">
        <v>0</v>
      </c>
      <c r="X383" s="31" t="s">
        <v>26</v>
      </c>
      <c r="Y383" s="49">
        <v>0</v>
      </c>
      <c r="Z383" s="58" t="s">
        <v>1386</v>
      </c>
    </row>
    <row r="384" spans="1:26" ht="6" customHeight="1" x14ac:dyDescent="0.3">
      <c r="A384" s="47">
        <v>382</v>
      </c>
      <c r="B384" s="55" t="s">
        <v>375</v>
      </c>
      <c r="C384" s="33" t="str">
        <f t="shared" si="31"/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 t="shared" si="29"/>
        <v>"EQU.346"</v>
      </c>
      <c r="N384" s="31" t="s">
        <v>1063</v>
      </c>
      <c r="O384" s="60" t="s">
        <v>1327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 t="shared" si="32"/>
        <v>1</v>
      </c>
      <c r="V384" s="31" t="s">
        <v>1077</v>
      </c>
      <c r="W384" s="7">
        <v>0</v>
      </c>
      <c r="X384" s="31" t="s">
        <v>26</v>
      </c>
      <c r="Y384" s="49">
        <v>0</v>
      </c>
      <c r="Z384" s="58" t="s">
        <v>1327</v>
      </c>
    </row>
    <row r="385" spans="1:26" ht="6" customHeight="1" x14ac:dyDescent="0.3">
      <c r="A385" s="47">
        <v>383</v>
      </c>
      <c r="B385" s="55" t="s">
        <v>376</v>
      </c>
      <c r="C385" s="33" t="str">
        <f t="shared" si="31"/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 t="shared" si="29"/>
        <v>"EQU.347"</v>
      </c>
      <c r="N385" s="31" t="s">
        <v>1063</v>
      </c>
      <c r="O385" s="60" t="s">
        <v>1327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 t="shared" si="32"/>
        <v>1</v>
      </c>
      <c r="V385" s="31" t="s">
        <v>1077</v>
      </c>
      <c r="W385" s="7">
        <v>0</v>
      </c>
      <c r="X385" s="31" t="s">
        <v>26</v>
      </c>
      <c r="Y385" s="49">
        <v>0</v>
      </c>
      <c r="Z385" s="58" t="s">
        <v>1327</v>
      </c>
    </row>
    <row r="386" spans="1:26" ht="6" customHeight="1" x14ac:dyDescent="0.3">
      <c r="A386" s="47">
        <v>384</v>
      </c>
      <c r="B386" s="55" t="s">
        <v>377</v>
      </c>
      <c r="C386" s="33" t="str">
        <f t="shared" si="31"/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 t="shared" si="29"/>
        <v>"EQU.348"</v>
      </c>
      <c r="N386" s="31" t="s">
        <v>1063</v>
      </c>
      <c r="O386" s="60" t="s">
        <v>1327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 t="shared" si="32"/>
        <v>1</v>
      </c>
      <c r="V386" s="31" t="s">
        <v>1077</v>
      </c>
      <c r="W386" s="7">
        <v>0</v>
      </c>
      <c r="X386" s="31" t="s">
        <v>26</v>
      </c>
      <c r="Y386" s="49">
        <v>0</v>
      </c>
      <c r="Z386" s="58" t="s">
        <v>1327</v>
      </c>
    </row>
    <row r="387" spans="1:26" ht="6" customHeight="1" x14ac:dyDescent="0.3">
      <c r="A387" s="47">
        <v>385</v>
      </c>
      <c r="B387" s="55" t="s">
        <v>378</v>
      </c>
      <c r="C387" s="33" t="str">
        <f t="shared" si="31"/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 t="shared" ref="M387:M403" si="33">_xlfn.CONCAT("""",B387,"""")</f>
        <v>"EQU.349"</v>
      </c>
      <c r="N387" s="31" t="s">
        <v>1063</v>
      </c>
      <c r="O387" s="60" t="s">
        <v>1327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 t="shared" si="32"/>
        <v>1</v>
      </c>
      <c r="V387" s="31" t="s">
        <v>1077</v>
      </c>
      <c r="W387" s="7">
        <v>0</v>
      </c>
      <c r="X387" s="31" t="s">
        <v>26</v>
      </c>
      <c r="Y387" s="49">
        <v>0</v>
      </c>
      <c r="Z387" s="58" t="s">
        <v>1327</v>
      </c>
    </row>
    <row r="388" spans="1:26" ht="6" customHeight="1" x14ac:dyDescent="0.3">
      <c r="A388" s="47">
        <v>386</v>
      </c>
      <c r="B388" s="55" t="s">
        <v>379</v>
      </c>
      <c r="C388" s="33" t="str">
        <f t="shared" si="31"/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 t="shared" si="33"/>
        <v>"EQU.350"</v>
      </c>
      <c r="N388" s="31" t="s">
        <v>1063</v>
      </c>
      <c r="O388" s="60" t="s">
        <v>1519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 t="shared" si="32"/>
        <v>0</v>
      </c>
      <c r="V388" s="31" t="s">
        <v>1077</v>
      </c>
      <c r="W388" s="7">
        <v>0</v>
      </c>
      <c r="X388" s="31" t="s">
        <v>26</v>
      </c>
      <c r="Y388" s="49">
        <v>0</v>
      </c>
      <c r="Z388" s="58" t="s">
        <v>1519</v>
      </c>
    </row>
    <row r="389" spans="1:26" ht="6" customHeight="1" x14ac:dyDescent="0.3">
      <c r="A389" s="47">
        <v>387</v>
      </c>
      <c r="B389" s="55" t="s">
        <v>380</v>
      </c>
      <c r="C389" s="33" t="str">
        <f t="shared" si="31"/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 t="shared" si="33"/>
        <v>"EQU.351"</v>
      </c>
      <c r="N389" s="31" t="s">
        <v>1063</v>
      </c>
      <c r="O389" s="60" t="s">
        <v>1387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 t="shared" si="32"/>
        <v>1</v>
      </c>
      <c r="V389" s="31" t="s">
        <v>1077</v>
      </c>
      <c r="W389" s="7">
        <v>0</v>
      </c>
      <c r="X389" s="31" t="s">
        <v>26</v>
      </c>
      <c r="Y389" s="49">
        <v>0</v>
      </c>
      <c r="Z389" s="58" t="s">
        <v>1387</v>
      </c>
    </row>
    <row r="390" spans="1:26" ht="6" customHeight="1" x14ac:dyDescent="0.3">
      <c r="A390" s="47">
        <v>388</v>
      </c>
      <c r="B390" s="55" t="s">
        <v>381</v>
      </c>
      <c r="C390" s="33" t="str">
        <f t="shared" si="31"/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 t="shared" si="33"/>
        <v>"EQU.352"</v>
      </c>
      <c r="N390" s="31" t="s">
        <v>1063</v>
      </c>
      <c r="O390" s="60" t="s">
        <v>1387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 t="shared" si="32"/>
        <v>1</v>
      </c>
      <c r="V390" s="31" t="s">
        <v>1077</v>
      </c>
      <c r="W390" s="7">
        <v>0</v>
      </c>
      <c r="X390" s="31" t="s">
        <v>26</v>
      </c>
      <c r="Y390" s="49">
        <v>0</v>
      </c>
      <c r="Z390" s="58" t="s">
        <v>1387</v>
      </c>
    </row>
    <row r="391" spans="1:26" ht="6" customHeight="1" x14ac:dyDescent="0.3">
      <c r="A391" s="47">
        <v>389</v>
      </c>
      <c r="B391" s="55" t="s">
        <v>382</v>
      </c>
      <c r="C391" s="33" t="str">
        <f t="shared" si="31"/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 t="shared" si="33"/>
        <v>"EQU.353"</v>
      </c>
      <c r="N391" s="31" t="s">
        <v>1063</v>
      </c>
      <c r="O391" s="60" t="s">
        <v>1388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 t="shared" si="32"/>
        <v>1</v>
      </c>
      <c r="V391" s="31" t="s">
        <v>1077</v>
      </c>
      <c r="W391" s="7">
        <v>0</v>
      </c>
      <c r="X391" s="31" t="s">
        <v>26</v>
      </c>
      <c r="Y391" s="49">
        <v>0</v>
      </c>
      <c r="Z391" s="58" t="s">
        <v>1388</v>
      </c>
    </row>
    <row r="392" spans="1:26" ht="6" customHeight="1" x14ac:dyDescent="0.3">
      <c r="A392" s="47">
        <v>390</v>
      </c>
      <c r="B392" s="55" t="s">
        <v>383</v>
      </c>
      <c r="C392" s="33" t="str">
        <f t="shared" si="31"/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 t="shared" si="33"/>
        <v>"EQU.354"</v>
      </c>
      <c r="N392" s="31" t="s">
        <v>1063</v>
      </c>
      <c r="O392" s="60" t="s">
        <v>1329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 t="shared" si="32"/>
        <v>0</v>
      </c>
      <c r="V392" s="31" t="s">
        <v>1077</v>
      </c>
      <c r="W392" s="7">
        <v>0</v>
      </c>
      <c r="X392" s="31" t="s">
        <v>26</v>
      </c>
      <c r="Y392" s="49">
        <v>0</v>
      </c>
      <c r="Z392" s="58" t="s">
        <v>1329</v>
      </c>
    </row>
    <row r="393" spans="1:26" ht="6" customHeight="1" x14ac:dyDescent="0.3">
      <c r="A393" s="47">
        <v>391</v>
      </c>
      <c r="B393" s="55" t="s">
        <v>384</v>
      </c>
      <c r="C393" s="33" t="str">
        <f t="shared" si="31"/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 t="shared" si="33"/>
        <v>"EQU.355"</v>
      </c>
      <c r="N393" s="31" t="s">
        <v>1063</v>
      </c>
      <c r="O393" s="60" t="s">
        <v>1385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 t="shared" si="32"/>
        <v>0</v>
      </c>
      <c r="V393" s="31" t="s">
        <v>1077</v>
      </c>
      <c r="W393" s="7">
        <v>0</v>
      </c>
      <c r="X393" s="31" t="s">
        <v>26</v>
      </c>
      <c r="Y393" s="49">
        <v>0</v>
      </c>
      <c r="Z393" s="58" t="s">
        <v>1385</v>
      </c>
    </row>
    <row r="394" spans="1:26" ht="6" customHeight="1" x14ac:dyDescent="0.3">
      <c r="A394" s="47">
        <v>392</v>
      </c>
      <c r="B394" s="55" t="s">
        <v>385</v>
      </c>
      <c r="C394" s="33" t="str">
        <f t="shared" si="31"/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 t="shared" si="33"/>
        <v>"EQU.356"</v>
      </c>
      <c r="N394" s="31" t="s">
        <v>1063</v>
      </c>
      <c r="O394" s="60" t="s">
        <v>1539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 t="shared" si="32"/>
        <v>1</v>
      </c>
      <c r="V394" s="31" t="s">
        <v>1077</v>
      </c>
      <c r="W394" s="7">
        <v>0</v>
      </c>
      <c r="X394" s="31" t="s">
        <v>26</v>
      </c>
      <c r="Y394" s="49">
        <v>0</v>
      </c>
      <c r="Z394" s="58" t="s">
        <v>1539</v>
      </c>
    </row>
    <row r="395" spans="1:26" ht="6" customHeight="1" x14ac:dyDescent="0.3">
      <c r="A395" s="47">
        <v>393</v>
      </c>
      <c r="B395" s="55" t="s">
        <v>386</v>
      </c>
      <c r="C395" s="33" t="str">
        <f t="shared" si="31"/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 t="shared" si="33"/>
        <v>"EQU.357"</v>
      </c>
      <c r="N395" s="31" t="s">
        <v>1063</v>
      </c>
      <c r="O395" s="60" t="s">
        <v>1545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 t="shared" si="32"/>
        <v>1</v>
      </c>
      <c r="V395" s="31" t="s">
        <v>1077</v>
      </c>
      <c r="W395" s="7">
        <v>0</v>
      </c>
      <c r="X395" s="31" t="s">
        <v>26</v>
      </c>
      <c r="Y395" s="49">
        <v>0</v>
      </c>
      <c r="Z395" s="58" t="s">
        <v>1545</v>
      </c>
    </row>
    <row r="396" spans="1:26" ht="6" customHeight="1" x14ac:dyDescent="0.3">
      <c r="A396" s="47">
        <v>394</v>
      </c>
      <c r="B396" s="55" t="s">
        <v>387</v>
      </c>
      <c r="C396" s="33" t="str">
        <f t="shared" si="31"/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 t="shared" si="33"/>
        <v>"EQU.358"</v>
      </c>
      <c r="N396" s="31" t="s">
        <v>1063</v>
      </c>
      <c r="O396" s="60" t="s">
        <v>1294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 t="shared" si="32"/>
        <v>1</v>
      </c>
      <c r="V396" s="31" t="s">
        <v>1077</v>
      </c>
      <c r="W396" s="7">
        <v>0</v>
      </c>
      <c r="X396" s="31" t="s">
        <v>26</v>
      </c>
      <c r="Y396" s="49">
        <v>0</v>
      </c>
      <c r="Z396" s="58" t="s">
        <v>1294</v>
      </c>
    </row>
    <row r="397" spans="1:26" ht="6" customHeight="1" x14ac:dyDescent="0.3">
      <c r="A397" s="47">
        <v>395</v>
      </c>
      <c r="B397" s="55" t="s">
        <v>388</v>
      </c>
      <c r="C397" s="33" t="str">
        <f t="shared" si="31"/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 t="shared" si="33"/>
        <v>"EQU.359"</v>
      </c>
      <c r="N397" s="31" t="s">
        <v>1063</v>
      </c>
      <c r="O397" s="60" t="s">
        <v>1379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 t="shared" si="32"/>
        <v>1</v>
      </c>
      <c r="V397" s="31" t="s">
        <v>1077</v>
      </c>
      <c r="W397" s="7">
        <v>0</v>
      </c>
      <c r="X397" s="31" t="s">
        <v>26</v>
      </c>
      <c r="Y397" s="49">
        <v>0</v>
      </c>
      <c r="Z397" s="58" t="s">
        <v>1379</v>
      </c>
    </row>
    <row r="398" spans="1:26" ht="6" customHeight="1" x14ac:dyDescent="0.3">
      <c r="A398" s="47">
        <v>396</v>
      </c>
      <c r="B398" s="55" t="s">
        <v>389</v>
      </c>
      <c r="C398" s="33" t="str">
        <f t="shared" si="31"/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 t="shared" si="33"/>
        <v>"EQU.360"</v>
      </c>
      <c r="N398" s="31" t="s">
        <v>1063</v>
      </c>
      <c r="O398" s="60" t="s">
        <v>1389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  <c r="Z398" s="58" t="s">
        <v>1389</v>
      </c>
    </row>
    <row r="399" spans="1:26" ht="6" customHeight="1" x14ac:dyDescent="0.3">
      <c r="A399" s="47">
        <v>397</v>
      </c>
      <c r="B399" s="55" t="s">
        <v>390</v>
      </c>
      <c r="C399" s="33" t="str">
        <f t="shared" si="31"/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 t="shared" si="33"/>
        <v>"EQU.361"</v>
      </c>
      <c r="N399" s="31" t="s">
        <v>1063</v>
      </c>
      <c r="O399" s="60" t="s">
        <v>1471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  <c r="Z399" s="58" t="s">
        <v>1471</v>
      </c>
    </row>
    <row r="400" spans="1:26" ht="6" customHeight="1" x14ac:dyDescent="0.3">
      <c r="A400" s="47">
        <v>398</v>
      </c>
      <c r="B400" s="55" t="s">
        <v>391</v>
      </c>
      <c r="C400" s="33" t="str">
        <f t="shared" si="31"/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 t="shared" si="33"/>
        <v>"EQU.362"</v>
      </c>
      <c r="N400" s="31" t="s">
        <v>1063</v>
      </c>
      <c r="O400" s="60" t="s">
        <v>1284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  <c r="Z400" s="58" t="s">
        <v>1284</v>
      </c>
    </row>
    <row r="401" spans="1:26" ht="6" customHeight="1" x14ac:dyDescent="0.3">
      <c r="A401" s="47">
        <v>399</v>
      </c>
      <c r="B401" s="55" t="s">
        <v>392</v>
      </c>
      <c r="C401" s="33" t="str">
        <f t="shared" si="31"/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 t="shared" si="33"/>
        <v>"EQU.363"</v>
      </c>
      <c r="N401" s="31" t="s">
        <v>1063</v>
      </c>
      <c r="O401" s="60" t="s">
        <v>1286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  <c r="Z401" s="58" t="s">
        <v>1286</v>
      </c>
    </row>
    <row r="402" spans="1:26" ht="6" customHeight="1" x14ac:dyDescent="0.3">
      <c r="A402" s="47">
        <v>400</v>
      </c>
      <c r="B402" s="55" t="s">
        <v>393</v>
      </c>
      <c r="C402" s="33" t="str">
        <f t="shared" si="31"/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 t="shared" si="33"/>
        <v>"EQU.364"</v>
      </c>
      <c r="N402" s="31" t="s">
        <v>1063</v>
      </c>
      <c r="O402" s="60" t="s">
        <v>1390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  <c r="Z402" s="58" t="s">
        <v>1390</v>
      </c>
    </row>
    <row r="403" spans="1:26" ht="6" customHeight="1" x14ac:dyDescent="0.3">
      <c r="A403" s="47">
        <v>401</v>
      </c>
      <c r="B403" s="55" t="s">
        <v>394</v>
      </c>
      <c r="C403" s="33" t="str">
        <f t="shared" si="31"/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 t="shared" si="33"/>
        <v>"EQU.365"</v>
      </c>
      <c r="N403" s="31" t="s">
        <v>1063</v>
      </c>
      <c r="O403" s="60" t="s">
        <v>1390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  <c r="Z403" s="58" t="s">
        <v>1390</v>
      </c>
    </row>
    <row r="404" spans="1:26" ht="6" customHeight="1" x14ac:dyDescent="0.3">
      <c r="A404" s="47">
        <v>402</v>
      </c>
      <c r="B404" s="55" t="s">
        <v>395</v>
      </c>
      <c r="C404" s="33" t="str">
        <f t="shared" si="31"/>
        <v>SUS.Mobília.de.Saúde</v>
      </c>
      <c r="D404" s="53" t="s">
        <v>1185</v>
      </c>
      <c r="E404" s="54" t="s">
        <v>1255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1575</v>
      </c>
      <c r="N404" s="31" t="s">
        <v>1063</v>
      </c>
      <c r="O404" s="60" t="s">
        <v>1604</v>
      </c>
      <c r="P404" s="31" t="s">
        <v>1020</v>
      </c>
      <c r="Q404" s="52" t="s">
        <v>1605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58" t="s">
        <v>1338</v>
      </c>
    </row>
    <row r="405" spans="1:26" ht="6" customHeight="1" x14ac:dyDescent="0.3">
      <c r="A405" s="47">
        <v>403</v>
      </c>
      <c r="B405" s="55" t="s">
        <v>396</v>
      </c>
      <c r="C405" s="33" t="str">
        <f t="shared" si="31"/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 t="shared" ref="M405:M427" si="34">_xlfn.CONCAT("""",B405,"""")</f>
        <v>"EQU.367"</v>
      </c>
      <c r="N405" s="31" t="s">
        <v>1063</v>
      </c>
      <c r="O405" s="60" t="s">
        <v>1391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 t="shared" ref="U405:U413" si="35"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  <c r="Z405" s="58" t="s">
        <v>1391</v>
      </c>
    </row>
    <row r="406" spans="1:26" ht="6" customHeight="1" x14ac:dyDescent="0.3">
      <c r="A406" s="47">
        <v>404</v>
      </c>
      <c r="B406" s="55" t="s">
        <v>397</v>
      </c>
      <c r="C406" s="33" t="str">
        <f t="shared" si="31"/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 t="shared" si="34"/>
        <v>"EQU.368"</v>
      </c>
      <c r="N406" s="31" t="s">
        <v>1063</v>
      </c>
      <c r="O406" s="60" t="s">
        <v>1391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 t="shared" si="35"/>
        <v>1</v>
      </c>
      <c r="V406" s="31" t="s">
        <v>1077</v>
      </c>
      <c r="W406" s="7">
        <v>0</v>
      </c>
      <c r="X406" s="31" t="s">
        <v>26</v>
      </c>
      <c r="Y406" s="49">
        <v>0</v>
      </c>
      <c r="Z406" s="58" t="s">
        <v>1391</v>
      </c>
    </row>
    <row r="407" spans="1:26" ht="6" customHeight="1" x14ac:dyDescent="0.3">
      <c r="A407" s="47">
        <v>405</v>
      </c>
      <c r="B407" s="55" t="s">
        <v>398</v>
      </c>
      <c r="C407" s="33" t="str">
        <f t="shared" si="31"/>
        <v>SUS.Mobília.de.Saúde</v>
      </c>
      <c r="D407" s="53" t="s">
        <v>1185</v>
      </c>
      <c r="E407" s="54" t="s">
        <v>1186</v>
      </c>
      <c r="F407" s="53" t="s">
        <v>1272</v>
      </c>
      <c r="G407" s="54" t="s">
        <v>1273</v>
      </c>
      <c r="H407" s="53" t="s">
        <v>1249</v>
      </c>
      <c r="I407" s="54" t="s">
        <v>1251</v>
      </c>
      <c r="J407" s="31" t="s">
        <v>1260</v>
      </c>
      <c r="K407" s="52" t="s">
        <v>1180</v>
      </c>
      <c r="L407" s="31" t="s">
        <v>1074</v>
      </c>
      <c r="M407" s="52" t="str">
        <f t="shared" si="34"/>
        <v>"EQU.369"</v>
      </c>
      <c r="N407" s="31" t="s">
        <v>1063</v>
      </c>
      <c r="O407" s="60" t="s">
        <v>1292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 t="shared" si="35"/>
        <v>0</v>
      </c>
      <c r="V407" s="31" t="s">
        <v>1077</v>
      </c>
      <c r="W407" s="7">
        <v>1</v>
      </c>
      <c r="X407" s="31" t="s">
        <v>26</v>
      </c>
      <c r="Y407" s="49">
        <v>0</v>
      </c>
      <c r="Z407" s="58" t="s">
        <v>1292</v>
      </c>
    </row>
    <row r="408" spans="1:26" ht="6" customHeight="1" x14ac:dyDescent="0.3">
      <c r="A408" s="47">
        <v>406</v>
      </c>
      <c r="B408" s="55" t="s">
        <v>399</v>
      </c>
      <c r="C408" s="33" t="str">
        <f t="shared" si="31"/>
        <v>SUS.Mobília.de.Saúde</v>
      </c>
      <c r="D408" s="53" t="s">
        <v>1185</v>
      </c>
      <c r="E408" s="54" t="s">
        <v>1186</v>
      </c>
      <c r="F408" s="53" t="s">
        <v>1272</v>
      </c>
      <c r="G408" s="54" t="s">
        <v>1273</v>
      </c>
      <c r="H408" s="53" t="s">
        <v>26</v>
      </c>
      <c r="I408" s="54" t="s">
        <v>26</v>
      </c>
      <c r="J408" s="31" t="s">
        <v>1260</v>
      </c>
      <c r="K408" s="52" t="s">
        <v>1180</v>
      </c>
      <c r="L408" s="31" t="s">
        <v>1074</v>
      </c>
      <c r="M408" s="52" t="str">
        <f t="shared" si="34"/>
        <v>"EQU.370"</v>
      </c>
      <c r="N408" s="31" t="s">
        <v>1063</v>
      </c>
      <c r="O408" s="60" t="s">
        <v>1292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 t="shared" si="35"/>
        <v>0</v>
      </c>
      <c r="V408" s="31" t="s">
        <v>1077</v>
      </c>
      <c r="W408" s="7">
        <v>1</v>
      </c>
      <c r="X408" s="31" t="s">
        <v>26</v>
      </c>
      <c r="Y408" s="49">
        <v>0</v>
      </c>
      <c r="Z408" s="58" t="s">
        <v>1292</v>
      </c>
    </row>
    <row r="409" spans="1:26" ht="6" customHeight="1" x14ac:dyDescent="0.3">
      <c r="A409" s="47">
        <v>407</v>
      </c>
      <c r="B409" s="55" t="s">
        <v>400</v>
      </c>
      <c r="C409" s="33" t="str">
        <f t="shared" si="31"/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 t="shared" si="34"/>
        <v>"EQU.371"</v>
      </c>
      <c r="N409" s="31" t="s">
        <v>1063</v>
      </c>
      <c r="O409" s="60" t="s">
        <v>1332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 t="shared" si="35"/>
        <v>1</v>
      </c>
      <c r="V409" s="31" t="s">
        <v>1077</v>
      </c>
      <c r="W409" s="7">
        <v>0</v>
      </c>
      <c r="X409" s="31" t="s">
        <v>26</v>
      </c>
      <c r="Y409" s="49">
        <v>0</v>
      </c>
      <c r="Z409" s="58" t="s">
        <v>1332</v>
      </c>
    </row>
    <row r="410" spans="1:26" ht="6" customHeight="1" x14ac:dyDescent="0.3">
      <c r="A410" s="47">
        <v>408</v>
      </c>
      <c r="B410" s="55" t="s">
        <v>401</v>
      </c>
      <c r="C410" s="33" t="str">
        <f t="shared" si="31"/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 t="shared" si="34"/>
        <v>"EQU.372"</v>
      </c>
      <c r="N410" s="31" t="s">
        <v>1063</v>
      </c>
      <c r="O410" s="60" t="s">
        <v>1392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 t="shared" si="35"/>
        <v>1</v>
      </c>
      <c r="V410" s="31" t="s">
        <v>1077</v>
      </c>
      <c r="W410" s="7">
        <v>0</v>
      </c>
      <c r="X410" s="31" t="s">
        <v>26</v>
      </c>
      <c r="Y410" s="49">
        <v>0</v>
      </c>
      <c r="Z410" s="58" t="s">
        <v>1392</v>
      </c>
    </row>
    <row r="411" spans="1:26" ht="6" customHeight="1" x14ac:dyDescent="0.3">
      <c r="A411" s="47">
        <v>409</v>
      </c>
      <c r="B411" s="55" t="s">
        <v>402</v>
      </c>
      <c r="C411" s="33" t="str">
        <f t="shared" si="31"/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 t="shared" si="34"/>
        <v>"EQU.373"</v>
      </c>
      <c r="N411" s="31" t="s">
        <v>1063</v>
      </c>
      <c r="O411" s="60" t="s">
        <v>1472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 t="shared" si="35"/>
        <v>1</v>
      </c>
      <c r="V411" s="31" t="s">
        <v>1077</v>
      </c>
      <c r="W411" s="7">
        <v>0</v>
      </c>
      <c r="X411" s="31" t="s">
        <v>26</v>
      </c>
      <c r="Y411" s="49">
        <v>0</v>
      </c>
      <c r="Z411" s="58" t="s">
        <v>1472</v>
      </c>
    </row>
    <row r="412" spans="1:26" ht="6" customHeight="1" x14ac:dyDescent="0.3">
      <c r="A412" s="47">
        <v>410</v>
      </c>
      <c r="B412" s="55" t="s">
        <v>403</v>
      </c>
      <c r="C412" s="33" t="str">
        <f t="shared" si="31"/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 t="shared" si="34"/>
        <v>"EQU.374"</v>
      </c>
      <c r="N412" s="31" t="s">
        <v>1063</v>
      </c>
      <c r="O412" s="60" t="s">
        <v>1473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 t="shared" si="35"/>
        <v>1</v>
      </c>
      <c r="V412" s="31" t="s">
        <v>1077</v>
      </c>
      <c r="W412" s="7">
        <v>0</v>
      </c>
      <c r="X412" s="31" t="s">
        <v>26</v>
      </c>
      <c r="Y412" s="49">
        <v>0</v>
      </c>
      <c r="Z412" s="58" t="s">
        <v>1473</v>
      </c>
    </row>
    <row r="413" spans="1:26" ht="6" customHeight="1" x14ac:dyDescent="0.3">
      <c r="A413" s="47">
        <v>411</v>
      </c>
      <c r="B413" s="55" t="s">
        <v>404</v>
      </c>
      <c r="C413" s="33" t="str">
        <f t="shared" si="31"/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 t="shared" si="34"/>
        <v>"EQU.375"</v>
      </c>
      <c r="N413" s="31" t="s">
        <v>1063</v>
      </c>
      <c r="O413" s="60" t="s">
        <v>1474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 t="shared" si="35"/>
        <v>1</v>
      </c>
      <c r="V413" s="31" t="s">
        <v>1077</v>
      </c>
      <c r="W413" s="7">
        <v>0</v>
      </c>
      <c r="X413" s="31" t="s">
        <v>26</v>
      </c>
      <c r="Y413" s="49">
        <v>0</v>
      </c>
      <c r="Z413" s="58" t="s">
        <v>1474</v>
      </c>
    </row>
    <row r="414" spans="1:26" ht="6" customHeight="1" x14ac:dyDescent="0.3">
      <c r="A414" s="47">
        <v>412</v>
      </c>
      <c r="B414" s="55" t="s">
        <v>405</v>
      </c>
      <c r="C414" s="33" t="str">
        <f t="shared" si="31"/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 t="shared" si="34"/>
        <v>"EQU.376"</v>
      </c>
      <c r="N414" s="31" t="s">
        <v>1063</v>
      </c>
      <c r="O414" s="60" t="s">
        <v>1358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  <c r="Z414" s="58" t="s">
        <v>1358</v>
      </c>
    </row>
    <row r="415" spans="1:26" ht="6" customHeight="1" x14ac:dyDescent="0.3">
      <c r="A415" s="47">
        <v>413</v>
      </c>
      <c r="B415" s="55" t="s">
        <v>406</v>
      </c>
      <c r="C415" s="33" t="str">
        <f t="shared" si="31"/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 t="shared" si="34"/>
        <v>"EQU.377"</v>
      </c>
      <c r="N415" s="31" t="s">
        <v>1063</v>
      </c>
      <c r="O415" s="60" t="s">
        <v>1475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 t="shared" ref="U415:U424" si="36"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  <c r="Z415" s="58" t="s">
        <v>1475</v>
      </c>
    </row>
    <row r="416" spans="1:26" ht="6" customHeight="1" x14ac:dyDescent="0.3">
      <c r="A416" s="47">
        <v>414</v>
      </c>
      <c r="B416" s="55" t="s">
        <v>407</v>
      </c>
      <c r="C416" s="33" t="str">
        <f t="shared" si="31"/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 t="shared" si="34"/>
        <v>"EQU.378"</v>
      </c>
      <c r="N416" s="31" t="s">
        <v>1063</v>
      </c>
      <c r="O416" s="60" t="s">
        <v>1393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 t="shared" si="36"/>
        <v>1</v>
      </c>
      <c r="V416" s="31" t="s">
        <v>1077</v>
      </c>
      <c r="W416" s="7">
        <v>0</v>
      </c>
      <c r="X416" s="31" t="s">
        <v>26</v>
      </c>
      <c r="Y416" s="49">
        <v>0</v>
      </c>
      <c r="Z416" s="58" t="s">
        <v>1393</v>
      </c>
    </row>
    <row r="417" spans="1:26" ht="6" customHeight="1" x14ac:dyDescent="0.3">
      <c r="A417" s="47">
        <v>415</v>
      </c>
      <c r="B417" s="55" t="s">
        <v>408</v>
      </c>
      <c r="C417" s="33" t="str">
        <f t="shared" si="31"/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 t="shared" si="34"/>
        <v>"EQU.379"</v>
      </c>
      <c r="N417" s="31" t="s">
        <v>1063</v>
      </c>
      <c r="O417" s="60" t="s">
        <v>1535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 t="shared" si="36"/>
        <v>0</v>
      </c>
      <c r="V417" s="31" t="s">
        <v>1077</v>
      </c>
      <c r="W417" s="7">
        <v>0</v>
      </c>
      <c r="X417" s="31" t="s">
        <v>26</v>
      </c>
      <c r="Y417" s="49">
        <v>0</v>
      </c>
      <c r="Z417" s="58" t="s">
        <v>1535</v>
      </c>
    </row>
    <row r="418" spans="1:26" ht="6" customHeight="1" x14ac:dyDescent="0.3">
      <c r="A418" s="47">
        <v>416</v>
      </c>
      <c r="B418" s="55" t="s">
        <v>409</v>
      </c>
      <c r="C418" s="33" t="str">
        <f t="shared" si="31"/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 t="shared" si="34"/>
        <v>"EQU.380"</v>
      </c>
      <c r="N418" s="31" t="s">
        <v>1063</v>
      </c>
      <c r="O418" s="60" t="s">
        <v>1535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 t="shared" si="36"/>
        <v>0</v>
      </c>
      <c r="V418" s="31" t="s">
        <v>1077</v>
      </c>
      <c r="W418" s="7">
        <v>0</v>
      </c>
      <c r="X418" s="31" t="s">
        <v>26</v>
      </c>
      <c r="Y418" s="49">
        <v>0</v>
      </c>
      <c r="Z418" s="58" t="s">
        <v>1535</v>
      </c>
    </row>
    <row r="419" spans="1:26" ht="6" customHeight="1" x14ac:dyDescent="0.3">
      <c r="A419" s="47">
        <v>417</v>
      </c>
      <c r="B419" s="55" t="s">
        <v>410</v>
      </c>
      <c r="C419" s="33" t="str">
        <f t="shared" si="31"/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 t="shared" si="34"/>
        <v>"EQU.381"</v>
      </c>
      <c r="N419" s="31" t="s">
        <v>1063</v>
      </c>
      <c r="O419" s="60" t="s">
        <v>1394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 t="shared" si="36"/>
        <v>0</v>
      </c>
      <c r="V419" s="31" t="s">
        <v>1077</v>
      </c>
      <c r="W419" s="7">
        <v>0</v>
      </c>
      <c r="X419" s="31" t="s">
        <v>26</v>
      </c>
      <c r="Y419" s="49">
        <v>0</v>
      </c>
      <c r="Z419" s="58" t="s">
        <v>1394</v>
      </c>
    </row>
    <row r="420" spans="1:26" ht="6" customHeight="1" x14ac:dyDescent="0.3">
      <c r="A420" s="47">
        <v>418</v>
      </c>
      <c r="B420" s="55" t="s">
        <v>411</v>
      </c>
      <c r="C420" s="33" t="str">
        <f t="shared" si="31"/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 t="shared" si="34"/>
        <v>"EQU.382"</v>
      </c>
      <c r="N420" s="31" t="s">
        <v>1063</v>
      </c>
      <c r="O420" s="60" t="s">
        <v>1394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 t="shared" si="36"/>
        <v>0</v>
      </c>
      <c r="V420" s="31" t="s">
        <v>1077</v>
      </c>
      <c r="W420" s="7">
        <v>0</v>
      </c>
      <c r="X420" s="31" t="s">
        <v>26</v>
      </c>
      <c r="Y420" s="49">
        <v>0</v>
      </c>
      <c r="Z420" s="58" t="s">
        <v>1394</v>
      </c>
    </row>
    <row r="421" spans="1:26" ht="6" customHeight="1" x14ac:dyDescent="0.3">
      <c r="A421" s="47">
        <v>419</v>
      </c>
      <c r="B421" s="55" t="s">
        <v>412</v>
      </c>
      <c r="C421" s="33" t="str">
        <f t="shared" si="31"/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 t="shared" si="34"/>
        <v>"EQU.383"</v>
      </c>
      <c r="N421" s="31" t="s">
        <v>1063</v>
      </c>
      <c r="O421" s="60" t="s">
        <v>1394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 t="shared" si="36"/>
        <v>0</v>
      </c>
      <c r="V421" s="31" t="s">
        <v>1077</v>
      </c>
      <c r="W421" s="7">
        <v>0</v>
      </c>
      <c r="X421" s="31" t="s">
        <v>26</v>
      </c>
      <c r="Y421" s="49">
        <v>0</v>
      </c>
      <c r="Z421" s="58" t="s">
        <v>1394</v>
      </c>
    </row>
    <row r="422" spans="1:26" ht="6" customHeight="1" x14ac:dyDescent="0.3">
      <c r="A422" s="47">
        <v>420</v>
      </c>
      <c r="B422" s="55" t="s">
        <v>413</v>
      </c>
      <c r="C422" s="33" t="str">
        <f t="shared" si="31"/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 t="shared" si="34"/>
        <v>"EQU.384"</v>
      </c>
      <c r="N422" s="31" t="s">
        <v>1063</v>
      </c>
      <c r="O422" s="60" t="s">
        <v>1395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 t="shared" si="36"/>
        <v>0</v>
      </c>
      <c r="V422" s="31" t="s">
        <v>1077</v>
      </c>
      <c r="W422" s="7">
        <v>0</v>
      </c>
      <c r="X422" s="31" t="s">
        <v>26</v>
      </c>
      <c r="Y422" s="49">
        <v>0</v>
      </c>
      <c r="Z422" s="58" t="s">
        <v>1395</v>
      </c>
    </row>
    <row r="423" spans="1:26" ht="6" customHeight="1" x14ac:dyDescent="0.3">
      <c r="A423" s="47">
        <v>421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 t="shared" si="34"/>
        <v>"EQU.385"</v>
      </c>
      <c r="N423" s="31" t="s">
        <v>1063</v>
      </c>
      <c r="O423" s="60" t="s">
        <v>1396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 t="shared" si="36"/>
        <v>0</v>
      </c>
      <c r="V423" s="31" t="s">
        <v>1077</v>
      </c>
      <c r="W423" s="7">
        <v>0</v>
      </c>
      <c r="X423" s="31" t="s">
        <v>26</v>
      </c>
      <c r="Y423" s="49">
        <v>0</v>
      </c>
      <c r="Z423" s="58" t="s">
        <v>1396</v>
      </c>
    </row>
    <row r="424" spans="1:26" ht="6" customHeight="1" x14ac:dyDescent="0.3">
      <c r="A424" s="47">
        <v>422</v>
      </c>
      <c r="B424" s="55" t="s">
        <v>415</v>
      </c>
      <c r="C424" s="33" t="str">
        <f t="shared" si="37"/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 t="shared" si="34"/>
        <v>"EQU.386"</v>
      </c>
      <c r="N424" s="31" t="s">
        <v>1063</v>
      </c>
      <c r="O424" s="60" t="s">
        <v>1329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 t="shared" si="36"/>
        <v>0</v>
      </c>
      <c r="V424" s="31" t="s">
        <v>1077</v>
      </c>
      <c r="W424" s="7">
        <v>0</v>
      </c>
      <c r="X424" s="31" t="s">
        <v>26</v>
      </c>
      <c r="Y424" s="49">
        <v>0</v>
      </c>
      <c r="Z424" s="58" t="s">
        <v>1329</v>
      </c>
    </row>
    <row r="425" spans="1:26" ht="6" customHeight="1" x14ac:dyDescent="0.3">
      <c r="A425" s="47">
        <v>423</v>
      </c>
      <c r="B425" s="55" t="s">
        <v>416</v>
      </c>
      <c r="C425" s="33" t="str">
        <f t="shared" si="37"/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 t="shared" si="34"/>
        <v>"EQU.387"</v>
      </c>
      <c r="N425" s="31" t="s">
        <v>1063</v>
      </c>
      <c r="O425" s="60" t="s">
        <v>1329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  <c r="Z425" s="58" t="s">
        <v>1329</v>
      </c>
    </row>
    <row r="426" spans="1:26" ht="6" customHeight="1" x14ac:dyDescent="0.3">
      <c r="A426" s="47">
        <v>424</v>
      </c>
      <c r="B426" s="55" t="s">
        <v>417</v>
      </c>
      <c r="C426" s="33" t="str">
        <f t="shared" si="37"/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 t="shared" si="34"/>
        <v>"EQU.388"</v>
      </c>
      <c r="N426" s="31" t="s">
        <v>1063</v>
      </c>
      <c r="O426" s="60" t="s">
        <v>1427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  <c r="Z426" s="58" t="s">
        <v>1427</v>
      </c>
    </row>
    <row r="427" spans="1:26" ht="6" customHeight="1" x14ac:dyDescent="0.3">
      <c r="A427" s="47">
        <v>425</v>
      </c>
      <c r="B427" s="55" t="s">
        <v>418</v>
      </c>
      <c r="C427" s="33" t="str">
        <f t="shared" si="37"/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 t="shared" si="34"/>
        <v>"EQU.389"</v>
      </c>
      <c r="N427" s="31" t="s">
        <v>1063</v>
      </c>
      <c r="O427" s="60" t="s">
        <v>1427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  <c r="Z427" s="58" t="s">
        <v>1427</v>
      </c>
    </row>
    <row r="428" spans="1:26" ht="6" customHeight="1" x14ac:dyDescent="0.3">
      <c r="A428" s="47">
        <v>426</v>
      </c>
      <c r="B428" s="55" t="s">
        <v>419</v>
      </c>
      <c r="C428" s="33" t="str">
        <f t="shared" si="37"/>
        <v>SUS.Mobília.de.Saúde</v>
      </c>
      <c r="D428" s="53" t="s">
        <v>1185</v>
      </c>
      <c r="E428" s="54" t="s">
        <v>1255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1576</v>
      </c>
      <c r="N428" s="31" t="s">
        <v>1063</v>
      </c>
      <c r="O428" s="60" t="s">
        <v>1604</v>
      </c>
      <c r="P428" s="31" t="s">
        <v>1020</v>
      </c>
      <c r="Q428" s="52" t="s">
        <v>1605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58" t="s">
        <v>1338</v>
      </c>
    </row>
    <row r="429" spans="1:26" ht="6" customHeight="1" x14ac:dyDescent="0.3">
      <c r="A429" s="47">
        <v>427</v>
      </c>
      <c r="B429" s="55" t="s">
        <v>420</v>
      </c>
      <c r="C429" s="33" t="str">
        <f t="shared" si="37"/>
        <v>SUS.Mobília.de.Saúde</v>
      </c>
      <c r="D429" s="53" t="s">
        <v>1185</v>
      </c>
      <c r="E429" s="54" t="s">
        <v>1255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1577</v>
      </c>
      <c r="N429" s="31" t="s">
        <v>1063</v>
      </c>
      <c r="O429" s="60" t="s">
        <v>1604</v>
      </c>
      <c r="P429" s="31" t="s">
        <v>1020</v>
      </c>
      <c r="Q429" s="52" t="s">
        <v>1605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58" t="s">
        <v>1338</v>
      </c>
    </row>
    <row r="430" spans="1:26" ht="6" customHeight="1" x14ac:dyDescent="0.3">
      <c r="A430" s="47">
        <v>428</v>
      </c>
      <c r="B430" s="55" t="s">
        <v>421</v>
      </c>
      <c r="C430" s="33" t="str">
        <f t="shared" si="37"/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1476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  <c r="Z430" s="58" t="s">
        <v>1476</v>
      </c>
    </row>
    <row r="431" spans="1:26" ht="6" customHeight="1" x14ac:dyDescent="0.3">
      <c r="A431" s="47">
        <v>429</v>
      </c>
      <c r="B431" s="55" t="s">
        <v>422</v>
      </c>
      <c r="C431" s="33" t="str">
        <f t="shared" si="37"/>
        <v>SUS.Mobília.de.Saúde</v>
      </c>
      <c r="D431" s="53" t="s">
        <v>1185</v>
      </c>
      <c r="E431" s="54" t="s">
        <v>1255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1578</v>
      </c>
      <c r="N431" s="31" t="s">
        <v>1063</v>
      </c>
      <c r="O431" s="60" t="s">
        <v>1604</v>
      </c>
      <c r="P431" s="31" t="s">
        <v>1020</v>
      </c>
      <c r="Q431" s="52" t="s">
        <v>1605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58" t="s">
        <v>1338</v>
      </c>
    </row>
    <row r="432" spans="1:26" ht="6" customHeight="1" x14ac:dyDescent="0.3">
      <c r="A432" s="47">
        <v>430</v>
      </c>
      <c r="B432" s="55" t="s">
        <v>423</v>
      </c>
      <c r="C432" s="33" t="str">
        <f t="shared" si="37"/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1397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  <c r="Z432" s="58" t="s">
        <v>1397</v>
      </c>
    </row>
    <row r="433" spans="1:26" ht="6" customHeight="1" x14ac:dyDescent="0.3">
      <c r="A433" s="47">
        <v>431</v>
      </c>
      <c r="B433" s="55" t="s">
        <v>424</v>
      </c>
      <c r="C433" s="33" t="str">
        <f t="shared" si="37"/>
        <v>SUS.Mobília.de.Saúde</v>
      </c>
      <c r="D433" s="53" t="s">
        <v>1185</v>
      </c>
      <c r="E433" s="54" t="s">
        <v>1255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1579</v>
      </c>
      <c r="N433" s="31" t="s">
        <v>1063</v>
      </c>
      <c r="O433" s="60" t="s">
        <v>1604</v>
      </c>
      <c r="P433" s="31" t="s">
        <v>1020</v>
      </c>
      <c r="Q433" s="52" t="s">
        <v>1605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58" t="s">
        <v>1338</v>
      </c>
    </row>
    <row r="434" spans="1:26" ht="6" customHeight="1" x14ac:dyDescent="0.3">
      <c r="A434" s="47">
        <v>432</v>
      </c>
      <c r="B434" s="55" t="s">
        <v>425</v>
      </c>
      <c r="C434" s="33" t="str">
        <f t="shared" si="37"/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 t="shared" ref="M434:M445" si="38">_xlfn.CONCAT("""",B434,"""")</f>
        <v>"EQU.396"</v>
      </c>
      <c r="N434" s="31" t="s">
        <v>1063</v>
      </c>
      <c r="O434" s="60" t="s">
        <v>1477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  <c r="Z434" s="58" t="s">
        <v>1477</v>
      </c>
    </row>
    <row r="435" spans="1:26" ht="6" customHeight="1" x14ac:dyDescent="0.3">
      <c r="A435" s="47">
        <v>433</v>
      </c>
      <c r="B435" s="55" t="s">
        <v>426</v>
      </c>
      <c r="C435" s="33" t="str">
        <f t="shared" si="37"/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 t="shared" si="38"/>
        <v>"EQU.397"</v>
      </c>
      <c r="N435" s="31" t="s">
        <v>1063</v>
      </c>
      <c r="O435" s="60" t="s">
        <v>1284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  <c r="Z435" s="58" t="s">
        <v>1284</v>
      </c>
    </row>
    <row r="436" spans="1:26" ht="6" customHeight="1" x14ac:dyDescent="0.3">
      <c r="A436" s="47">
        <v>434</v>
      </c>
      <c r="B436" s="55" t="s">
        <v>427</v>
      </c>
      <c r="C436" s="33" t="str">
        <f t="shared" si="37"/>
        <v>SUS.Dispositivo</v>
      </c>
      <c r="D436" s="53" t="s">
        <v>1185</v>
      </c>
      <c r="E436" s="54" t="s">
        <v>1186</v>
      </c>
      <c r="F436" s="53" t="s">
        <v>1196</v>
      </c>
      <c r="G436" s="54" t="s">
        <v>1276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 t="shared" si="38"/>
        <v>"EQU.398"</v>
      </c>
      <c r="N436" s="31" t="s">
        <v>1063</v>
      </c>
      <c r="O436" s="60" t="s">
        <v>1448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  <c r="Z436" s="58" t="s">
        <v>1448</v>
      </c>
    </row>
    <row r="437" spans="1:26" ht="6" customHeight="1" x14ac:dyDescent="0.3">
      <c r="A437" s="47">
        <v>435</v>
      </c>
      <c r="B437" s="55" t="s">
        <v>428</v>
      </c>
      <c r="C437" s="33" t="str">
        <f t="shared" si="37"/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 t="shared" si="38"/>
        <v>"EQU.399"</v>
      </c>
      <c r="N437" s="31" t="s">
        <v>1063</v>
      </c>
      <c r="O437" s="60" t="s">
        <v>1517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  <c r="Z437" s="58" t="s">
        <v>1517</v>
      </c>
    </row>
    <row r="438" spans="1:26" ht="6" customHeight="1" x14ac:dyDescent="0.3">
      <c r="A438" s="47">
        <v>436</v>
      </c>
      <c r="B438" s="55" t="s">
        <v>429</v>
      </c>
      <c r="C438" s="33" t="str">
        <f t="shared" si="37"/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 t="shared" si="38"/>
        <v>"EQU.400"</v>
      </c>
      <c r="N438" s="31" t="s">
        <v>1063</v>
      </c>
      <c r="O438" s="60" t="s">
        <v>1284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  <c r="Z438" s="58" t="s">
        <v>1284</v>
      </c>
    </row>
    <row r="439" spans="1:26" ht="6" customHeight="1" x14ac:dyDescent="0.3">
      <c r="A439" s="47">
        <v>437</v>
      </c>
      <c r="B439" s="55" t="s">
        <v>430</v>
      </c>
      <c r="C439" s="33" t="str">
        <f t="shared" si="37"/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 t="shared" si="38"/>
        <v>"EQU.401"</v>
      </c>
      <c r="N439" s="31" t="s">
        <v>1063</v>
      </c>
      <c r="O439" s="60" t="s">
        <v>1331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  <c r="Z439" s="58" t="s">
        <v>1331</v>
      </c>
    </row>
    <row r="440" spans="1:26" ht="6" customHeight="1" x14ac:dyDescent="0.3">
      <c r="A440" s="47">
        <v>438</v>
      </c>
      <c r="B440" s="55" t="s">
        <v>431</v>
      </c>
      <c r="C440" s="33" t="str">
        <f t="shared" si="37"/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 t="shared" si="38"/>
        <v>"EQU.402"</v>
      </c>
      <c r="N440" s="31" t="s">
        <v>1063</v>
      </c>
      <c r="O440" s="60" t="s">
        <v>1356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  <c r="Z440" s="58" t="s">
        <v>1356</v>
      </c>
    </row>
    <row r="441" spans="1:26" ht="6" customHeight="1" x14ac:dyDescent="0.3">
      <c r="A441" s="47">
        <v>439</v>
      </c>
      <c r="B441" s="55" t="s">
        <v>432</v>
      </c>
      <c r="C441" s="33" t="str">
        <f t="shared" si="37"/>
        <v>SUS.Mobília.de.Saúde</v>
      </c>
      <c r="D441" s="53" t="s">
        <v>1185</v>
      </c>
      <c r="E441" s="54" t="s">
        <v>1186</v>
      </c>
      <c r="F441" s="53" t="s">
        <v>1272</v>
      </c>
      <c r="G441" s="54" t="s">
        <v>1206</v>
      </c>
      <c r="H441" s="53" t="s">
        <v>26</v>
      </c>
      <c r="I441" s="54" t="s">
        <v>26</v>
      </c>
      <c r="J441" s="31" t="s">
        <v>1260</v>
      </c>
      <c r="K441" s="52" t="s">
        <v>1205</v>
      </c>
      <c r="L441" s="31" t="s">
        <v>1074</v>
      </c>
      <c r="M441" s="52" t="str">
        <f t="shared" si="38"/>
        <v>"EQU.403"</v>
      </c>
      <c r="N441" s="31" t="s">
        <v>1063</v>
      </c>
      <c r="O441" s="60" t="s">
        <v>1292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  <c r="Z441" s="58" t="s">
        <v>1292</v>
      </c>
    </row>
    <row r="442" spans="1:26" ht="6" customHeight="1" x14ac:dyDescent="0.3">
      <c r="A442" s="47">
        <v>440</v>
      </c>
      <c r="B442" s="55" t="s">
        <v>433</v>
      </c>
      <c r="C442" s="33" t="str">
        <f t="shared" si="37"/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 t="shared" si="38"/>
        <v>"EQU.404"</v>
      </c>
      <c r="N442" s="31" t="s">
        <v>1063</v>
      </c>
      <c r="O442" s="60" t="s">
        <v>1510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  <c r="Z442" s="58" t="s">
        <v>1510</v>
      </c>
    </row>
    <row r="443" spans="1:26" ht="6" customHeight="1" x14ac:dyDescent="0.3">
      <c r="A443" s="47">
        <v>441</v>
      </c>
      <c r="B443" s="55" t="s">
        <v>434</v>
      </c>
      <c r="C443" s="33" t="str">
        <f t="shared" si="37"/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1557</v>
      </c>
      <c r="H443" s="53" t="s">
        <v>26</v>
      </c>
      <c r="I443" s="54" t="s">
        <v>26</v>
      </c>
      <c r="J443" s="31" t="s">
        <v>1178</v>
      </c>
      <c r="K443" s="52" t="s">
        <v>1558</v>
      </c>
      <c r="L443" s="31" t="s">
        <v>1074</v>
      </c>
      <c r="M443" s="52" t="str">
        <f t="shared" si="38"/>
        <v>"EQU.405"</v>
      </c>
      <c r="N443" s="31" t="s">
        <v>1063</v>
      </c>
      <c r="O443" s="60" t="s">
        <v>1309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  <c r="Z443" s="58" t="s">
        <v>1309</v>
      </c>
    </row>
    <row r="444" spans="1:26" ht="6" customHeight="1" x14ac:dyDescent="0.3">
      <c r="A444" s="47">
        <v>442</v>
      </c>
      <c r="B444" s="55" t="s">
        <v>435</v>
      </c>
      <c r="C444" s="33" t="str">
        <f t="shared" si="37"/>
        <v>SUS.Mobília.de.Saúde</v>
      </c>
      <c r="D444" s="53" t="s">
        <v>1185</v>
      </c>
      <c r="E444" s="54" t="s">
        <v>1186</v>
      </c>
      <c r="F444" s="53" t="s">
        <v>1272</v>
      </c>
      <c r="G444" s="54" t="s">
        <v>1206</v>
      </c>
      <c r="H444" s="53" t="s">
        <v>26</v>
      </c>
      <c r="I444" s="54" t="s">
        <v>26</v>
      </c>
      <c r="J444" s="31" t="s">
        <v>1260</v>
      </c>
      <c r="K444" s="52" t="s">
        <v>1205</v>
      </c>
      <c r="L444" s="31" t="s">
        <v>1074</v>
      </c>
      <c r="M444" s="52" t="str">
        <f t="shared" si="38"/>
        <v>"EQU.406"</v>
      </c>
      <c r="N444" s="31" t="s">
        <v>1063</v>
      </c>
      <c r="O444" s="60" t="s">
        <v>1309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  <c r="Z444" s="58" t="s">
        <v>1309</v>
      </c>
    </row>
    <row r="445" spans="1:26" ht="6" customHeight="1" x14ac:dyDescent="0.3">
      <c r="A445" s="47">
        <v>443</v>
      </c>
      <c r="B445" s="55" t="s">
        <v>436</v>
      </c>
      <c r="C445" s="33" t="str">
        <f t="shared" si="37"/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 t="shared" si="38"/>
        <v>"EQU.407"</v>
      </c>
      <c r="N445" s="31" t="s">
        <v>1063</v>
      </c>
      <c r="O445" s="60" t="s">
        <v>1398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  <c r="Z445" s="58" t="s">
        <v>1398</v>
      </c>
    </row>
    <row r="446" spans="1:26" ht="6" customHeight="1" x14ac:dyDescent="0.3">
      <c r="A446" s="47">
        <v>444</v>
      </c>
      <c r="B446" s="55" t="s">
        <v>437</v>
      </c>
      <c r="C446" s="33" t="str">
        <f t="shared" si="37"/>
        <v>SUS.Mobília.de.Saúde</v>
      </c>
      <c r="D446" s="53" t="s">
        <v>1185</v>
      </c>
      <c r="E446" s="54" t="s">
        <v>1255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1580</v>
      </c>
      <c r="N446" s="31" t="s">
        <v>1063</v>
      </c>
      <c r="O446" s="60" t="s">
        <v>1604</v>
      </c>
      <c r="P446" s="31" t="s">
        <v>1020</v>
      </c>
      <c r="Q446" s="52" t="s">
        <v>1605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58" t="s">
        <v>1338</v>
      </c>
    </row>
    <row r="447" spans="1:26" ht="6" customHeight="1" x14ac:dyDescent="0.3">
      <c r="A447" s="47">
        <v>445</v>
      </c>
      <c r="B447" s="55" t="s">
        <v>438</v>
      </c>
      <c r="C447" s="33" t="str">
        <f t="shared" si="37"/>
        <v>SUS.Mobília.de.Saúde</v>
      </c>
      <c r="D447" s="53" t="s">
        <v>1185</v>
      </c>
      <c r="E447" s="54" t="s">
        <v>1186</v>
      </c>
      <c r="F447" s="53" t="s">
        <v>1272</v>
      </c>
      <c r="G447" s="54" t="s">
        <v>1273</v>
      </c>
      <c r="H447" s="53" t="s">
        <v>1249</v>
      </c>
      <c r="I447" s="54" t="s">
        <v>1251</v>
      </c>
      <c r="J447" s="31" t="s">
        <v>1260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1292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  <c r="Z447" s="58" t="s">
        <v>1292</v>
      </c>
    </row>
    <row r="448" spans="1:26" ht="6" customHeight="1" x14ac:dyDescent="0.3">
      <c r="A448" s="47">
        <v>446</v>
      </c>
      <c r="B448" s="55" t="s">
        <v>439</v>
      </c>
      <c r="C448" s="33" t="str">
        <f t="shared" si="37"/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1330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  <c r="Z448" s="58" t="s">
        <v>1330</v>
      </c>
    </row>
    <row r="449" spans="1:26" ht="6" customHeight="1" x14ac:dyDescent="0.3">
      <c r="A449" s="47">
        <v>447</v>
      </c>
      <c r="B449" s="55" t="s">
        <v>440</v>
      </c>
      <c r="C449" s="33" t="str">
        <f t="shared" si="37"/>
        <v>SUS.Mobília.de.Saúde</v>
      </c>
      <c r="D449" s="53" t="s">
        <v>1185</v>
      </c>
      <c r="E449" s="54" t="s">
        <v>1255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1581</v>
      </c>
      <c r="N449" s="31" t="s">
        <v>1063</v>
      </c>
      <c r="O449" s="60" t="s">
        <v>1604</v>
      </c>
      <c r="P449" s="31" t="s">
        <v>1020</v>
      </c>
      <c r="Q449" s="52" t="s">
        <v>1605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58" t="s">
        <v>1338</v>
      </c>
    </row>
    <row r="450" spans="1:26" ht="6" customHeight="1" x14ac:dyDescent="0.3">
      <c r="A450" s="47">
        <v>448</v>
      </c>
      <c r="B450" s="55" t="s">
        <v>441</v>
      </c>
      <c r="C450" s="33" t="str">
        <f t="shared" si="37"/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 t="shared" ref="M450:M460" si="39">_xlfn.CONCAT("""",B450,"""")</f>
        <v>"EQU.412"</v>
      </c>
      <c r="N450" s="31" t="s">
        <v>1063</v>
      </c>
      <c r="O450" s="60" t="s">
        <v>1356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 t="shared" ref="U450:U460" si="40"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  <c r="Z450" s="58" t="s">
        <v>1356</v>
      </c>
    </row>
    <row r="451" spans="1:26" ht="6" customHeight="1" x14ac:dyDescent="0.3">
      <c r="A451" s="47">
        <v>449</v>
      </c>
      <c r="B451" s="55" t="s">
        <v>442</v>
      </c>
      <c r="C451" s="33" t="str">
        <f t="shared" si="37"/>
        <v>SUS.Mobília.de.Saúde</v>
      </c>
      <c r="D451" s="53" t="s">
        <v>1185</v>
      </c>
      <c r="E451" s="54" t="s">
        <v>1186</v>
      </c>
      <c r="F451" s="53" t="s">
        <v>1272</v>
      </c>
      <c r="G451" s="54" t="s">
        <v>1206</v>
      </c>
      <c r="H451" s="53" t="s">
        <v>26</v>
      </c>
      <c r="I451" s="54" t="s">
        <v>26</v>
      </c>
      <c r="J451" s="31" t="s">
        <v>1260</v>
      </c>
      <c r="K451" s="52" t="s">
        <v>1205</v>
      </c>
      <c r="L451" s="31" t="s">
        <v>1074</v>
      </c>
      <c r="M451" s="52" t="str">
        <f t="shared" si="39"/>
        <v>"EQU.413"</v>
      </c>
      <c r="N451" s="31" t="s">
        <v>1063</v>
      </c>
      <c r="O451" s="60" t="s">
        <v>1292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 t="shared" si="40"/>
        <v>0</v>
      </c>
      <c r="V451" s="31" t="s">
        <v>1077</v>
      </c>
      <c r="W451" s="7">
        <v>1</v>
      </c>
      <c r="X451" s="31" t="s">
        <v>26</v>
      </c>
      <c r="Y451" s="49">
        <v>0</v>
      </c>
      <c r="Z451" s="58" t="s">
        <v>1292</v>
      </c>
    </row>
    <row r="452" spans="1:26" ht="6" customHeight="1" x14ac:dyDescent="0.3">
      <c r="A452" s="47">
        <v>450</v>
      </c>
      <c r="B452" s="55" t="s">
        <v>443</v>
      </c>
      <c r="C452" s="33" t="str">
        <f t="shared" si="37"/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 t="shared" si="39"/>
        <v>"EQU.414"</v>
      </c>
      <c r="N452" s="31" t="s">
        <v>1063</v>
      </c>
      <c r="O452" s="60" t="s">
        <v>1399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 t="shared" si="40"/>
        <v>1</v>
      </c>
      <c r="V452" s="31" t="s">
        <v>1077</v>
      </c>
      <c r="W452" s="7">
        <v>0</v>
      </c>
      <c r="X452" s="31" t="s">
        <v>26</v>
      </c>
      <c r="Y452" s="49">
        <v>0</v>
      </c>
      <c r="Z452" s="58" t="s">
        <v>1399</v>
      </c>
    </row>
    <row r="453" spans="1:26" ht="6" customHeight="1" x14ac:dyDescent="0.3">
      <c r="A453" s="47">
        <v>451</v>
      </c>
      <c r="B453" s="55" t="s">
        <v>444</v>
      </c>
      <c r="C453" s="33" t="str">
        <f t="shared" si="37"/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 t="shared" si="39"/>
        <v>"EQU.415"</v>
      </c>
      <c r="N453" s="31" t="s">
        <v>1063</v>
      </c>
      <c r="O453" s="60" t="s">
        <v>1400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 t="shared" si="40"/>
        <v>0</v>
      </c>
      <c r="V453" s="31" t="s">
        <v>1077</v>
      </c>
      <c r="W453" s="7">
        <v>0</v>
      </c>
      <c r="X453" s="31" t="s">
        <v>26</v>
      </c>
      <c r="Y453" s="49">
        <v>0</v>
      </c>
      <c r="Z453" s="58" t="s">
        <v>1400</v>
      </c>
    </row>
    <row r="454" spans="1:26" ht="6" customHeight="1" x14ac:dyDescent="0.3">
      <c r="A454" s="47">
        <v>452</v>
      </c>
      <c r="B454" s="55" t="s">
        <v>445</v>
      </c>
      <c r="C454" s="33" t="str">
        <f t="shared" si="37"/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 t="shared" si="39"/>
        <v>"EQU.416"</v>
      </c>
      <c r="N454" s="31" t="s">
        <v>1063</v>
      </c>
      <c r="O454" s="60" t="s">
        <v>1284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 t="shared" si="40"/>
        <v>0</v>
      </c>
      <c r="V454" s="31" t="s">
        <v>1077</v>
      </c>
      <c r="W454" s="7">
        <v>0</v>
      </c>
      <c r="X454" s="31" t="s">
        <v>26</v>
      </c>
      <c r="Y454" s="49">
        <v>0</v>
      </c>
      <c r="Z454" s="58" t="s">
        <v>1284</v>
      </c>
    </row>
    <row r="455" spans="1:26" ht="6" customHeight="1" x14ac:dyDescent="0.3">
      <c r="A455" s="47">
        <v>453</v>
      </c>
      <c r="B455" s="55" t="s">
        <v>446</v>
      </c>
      <c r="C455" s="33" t="str">
        <f t="shared" si="37"/>
        <v>SUS.Mobília.de.Saúde</v>
      </c>
      <c r="D455" s="53" t="s">
        <v>1185</v>
      </c>
      <c r="E455" s="54" t="s">
        <v>1186</v>
      </c>
      <c r="F455" s="53" t="s">
        <v>1272</v>
      </c>
      <c r="G455" s="54" t="s">
        <v>1273</v>
      </c>
      <c r="H455" s="53" t="s">
        <v>26</v>
      </c>
      <c r="I455" s="54" t="s">
        <v>26</v>
      </c>
      <c r="J455" s="31" t="s">
        <v>1260</v>
      </c>
      <c r="K455" s="52" t="s">
        <v>1182</v>
      </c>
      <c r="L455" s="31" t="s">
        <v>1074</v>
      </c>
      <c r="M455" s="52" t="str">
        <f t="shared" si="39"/>
        <v>"EQU.417"</v>
      </c>
      <c r="N455" s="31" t="s">
        <v>1063</v>
      </c>
      <c r="O455" s="60" t="s">
        <v>1292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 t="shared" si="40"/>
        <v>0</v>
      </c>
      <c r="V455" s="31" t="s">
        <v>1077</v>
      </c>
      <c r="W455" s="7">
        <v>1</v>
      </c>
      <c r="X455" s="31" t="s">
        <v>26</v>
      </c>
      <c r="Y455" s="49">
        <v>0</v>
      </c>
      <c r="Z455" s="58" t="s">
        <v>1292</v>
      </c>
    </row>
    <row r="456" spans="1:26" ht="6" customHeight="1" x14ac:dyDescent="0.3">
      <c r="A456" s="47">
        <v>454</v>
      </c>
      <c r="B456" s="55" t="s">
        <v>447</v>
      </c>
      <c r="C456" s="33" t="str">
        <f t="shared" si="37"/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 t="shared" si="39"/>
        <v>"EQU.418"</v>
      </c>
      <c r="N456" s="31" t="s">
        <v>1063</v>
      </c>
      <c r="O456" s="60" t="s">
        <v>1285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 t="shared" si="40"/>
        <v>1</v>
      </c>
      <c r="V456" s="31" t="s">
        <v>1077</v>
      </c>
      <c r="W456" s="7">
        <v>0</v>
      </c>
      <c r="X456" s="31" t="s">
        <v>26</v>
      </c>
      <c r="Y456" s="49">
        <v>0</v>
      </c>
      <c r="Z456" s="58" t="s">
        <v>1285</v>
      </c>
    </row>
    <row r="457" spans="1:26" ht="6" customHeight="1" x14ac:dyDescent="0.3">
      <c r="A457" s="47">
        <v>455</v>
      </c>
      <c r="B457" s="55" t="s">
        <v>448</v>
      </c>
      <c r="C457" s="33" t="str">
        <f t="shared" si="37"/>
        <v>SUS.Mobília.de.Saúde</v>
      </c>
      <c r="D457" s="53" t="s">
        <v>1185</v>
      </c>
      <c r="E457" s="54" t="s">
        <v>1186</v>
      </c>
      <c r="F457" s="53" t="s">
        <v>1272</v>
      </c>
      <c r="G457" s="54" t="s">
        <v>1273</v>
      </c>
      <c r="H457" s="53" t="s">
        <v>26</v>
      </c>
      <c r="I457" s="54" t="s">
        <v>26</v>
      </c>
      <c r="J457" s="31" t="s">
        <v>1260</v>
      </c>
      <c r="K457" s="52" t="s">
        <v>1555</v>
      </c>
      <c r="L457" s="31" t="s">
        <v>1074</v>
      </c>
      <c r="M457" s="52" t="str">
        <f t="shared" si="39"/>
        <v>"EQU.419"</v>
      </c>
      <c r="N457" s="31" t="s">
        <v>1063</v>
      </c>
      <c r="O457" s="60" t="s">
        <v>1292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 t="shared" si="40"/>
        <v>0</v>
      </c>
      <c r="V457" s="31" t="s">
        <v>1077</v>
      </c>
      <c r="W457" s="7">
        <v>1</v>
      </c>
      <c r="X457" s="31" t="s">
        <v>26</v>
      </c>
      <c r="Y457" s="49">
        <v>0</v>
      </c>
      <c r="Z457" s="58" t="s">
        <v>1292</v>
      </c>
    </row>
    <row r="458" spans="1:26" ht="6" customHeight="1" x14ac:dyDescent="0.3">
      <c r="A458" s="47">
        <v>456</v>
      </c>
      <c r="B458" s="55" t="s">
        <v>449</v>
      </c>
      <c r="C458" s="33" t="str">
        <f t="shared" si="37"/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1557</v>
      </c>
      <c r="H458" s="53" t="s">
        <v>26</v>
      </c>
      <c r="I458" s="54" t="s">
        <v>26</v>
      </c>
      <c r="J458" s="31" t="s">
        <v>1178</v>
      </c>
      <c r="K458" s="52" t="s">
        <v>1558</v>
      </c>
      <c r="L458" s="31" t="s">
        <v>1074</v>
      </c>
      <c r="M458" s="52" t="str">
        <f t="shared" si="39"/>
        <v>"EQU.420"</v>
      </c>
      <c r="N458" s="31" t="s">
        <v>1063</v>
      </c>
      <c r="O458" s="60" t="s">
        <v>1309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 t="shared" si="40"/>
        <v>0</v>
      </c>
      <c r="V458" s="31" t="s">
        <v>1077</v>
      </c>
      <c r="W458" s="7">
        <v>1</v>
      </c>
      <c r="X458" s="31" t="s">
        <v>26</v>
      </c>
      <c r="Y458" s="49">
        <v>0</v>
      </c>
      <c r="Z458" s="58" t="s">
        <v>1309</v>
      </c>
    </row>
    <row r="459" spans="1:26" ht="6" customHeight="1" x14ac:dyDescent="0.3">
      <c r="A459" s="47">
        <v>457</v>
      </c>
      <c r="B459" s="55" t="s">
        <v>450</v>
      </c>
      <c r="C459" s="33" t="str">
        <f t="shared" si="37"/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 t="shared" si="39"/>
        <v>"EQU.421"</v>
      </c>
      <c r="N459" s="31" t="s">
        <v>1063</v>
      </c>
      <c r="O459" s="60" t="s">
        <v>1329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 t="shared" si="40"/>
        <v>0</v>
      </c>
      <c r="V459" s="31" t="s">
        <v>1077</v>
      </c>
      <c r="W459" s="7">
        <v>0</v>
      </c>
      <c r="X459" s="31" t="s">
        <v>26</v>
      </c>
      <c r="Y459" s="49">
        <v>0</v>
      </c>
      <c r="Z459" s="58" t="s">
        <v>1329</v>
      </c>
    </row>
    <row r="460" spans="1:26" ht="6" customHeight="1" x14ac:dyDescent="0.3">
      <c r="A460" s="47">
        <v>458</v>
      </c>
      <c r="B460" s="55" t="s">
        <v>451</v>
      </c>
      <c r="C460" s="33" t="str">
        <f t="shared" si="37"/>
        <v>SUS.Mobília.de.Saúde</v>
      </c>
      <c r="D460" s="53" t="s">
        <v>1185</v>
      </c>
      <c r="E460" s="54" t="s">
        <v>1186</v>
      </c>
      <c r="F460" s="53" t="s">
        <v>1272</v>
      </c>
      <c r="G460" s="54" t="s">
        <v>1273</v>
      </c>
      <c r="H460" s="53" t="s">
        <v>1254</v>
      </c>
      <c r="I460" s="54" t="s">
        <v>1252</v>
      </c>
      <c r="J460" s="31" t="s">
        <v>1260</v>
      </c>
      <c r="K460" s="52" t="s">
        <v>1182</v>
      </c>
      <c r="L460" s="31" t="s">
        <v>1074</v>
      </c>
      <c r="M460" s="52" t="str">
        <f t="shared" si="39"/>
        <v>"EQU.422"</v>
      </c>
      <c r="N460" s="31" t="s">
        <v>1063</v>
      </c>
      <c r="O460" s="60" t="s">
        <v>1292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 t="shared" si="40"/>
        <v>0</v>
      </c>
      <c r="V460" s="31" t="s">
        <v>1077</v>
      </c>
      <c r="W460" s="7">
        <v>1</v>
      </c>
      <c r="X460" s="31" t="s">
        <v>26</v>
      </c>
      <c r="Y460" s="49">
        <v>0</v>
      </c>
      <c r="Z460" s="58" t="s">
        <v>1292</v>
      </c>
    </row>
    <row r="461" spans="1:26" ht="6" customHeight="1" x14ac:dyDescent="0.3">
      <c r="A461" s="47">
        <v>459</v>
      </c>
      <c r="B461" s="55" t="s">
        <v>452</v>
      </c>
      <c r="C461" s="33" t="str">
        <f t="shared" si="37"/>
        <v>SUS.Mobília.de.Saúde</v>
      </c>
      <c r="D461" s="53" t="s">
        <v>1185</v>
      </c>
      <c r="E461" s="54" t="s">
        <v>1255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1582</v>
      </c>
      <c r="N461" s="31" t="s">
        <v>1063</v>
      </c>
      <c r="O461" s="60" t="s">
        <v>1604</v>
      </c>
      <c r="P461" s="31" t="s">
        <v>1020</v>
      </c>
      <c r="Q461" s="52" t="s">
        <v>1605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58" t="s">
        <v>1338</v>
      </c>
    </row>
    <row r="462" spans="1:26" ht="6" customHeight="1" x14ac:dyDescent="0.3">
      <c r="A462" s="47">
        <v>460</v>
      </c>
      <c r="B462" s="55" t="s">
        <v>453</v>
      </c>
      <c r="C462" s="33" t="str">
        <f t="shared" si="37"/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 t="shared" ref="M462:M479" si="41">_xlfn.CONCAT("""",B462,"""")</f>
        <v>"EQU.424"</v>
      </c>
      <c r="N462" s="31" t="s">
        <v>1063</v>
      </c>
      <c r="O462" s="60" t="s">
        <v>1478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  <c r="Z462" s="58" t="s">
        <v>1478</v>
      </c>
    </row>
    <row r="463" spans="1:26" ht="6" customHeight="1" x14ac:dyDescent="0.3">
      <c r="A463" s="47">
        <v>461</v>
      </c>
      <c r="B463" s="55" t="s">
        <v>454</v>
      </c>
      <c r="C463" s="33" t="str">
        <f t="shared" si="37"/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 t="shared" si="41"/>
        <v>"EQU.425"</v>
      </c>
      <c r="N463" s="31" t="s">
        <v>1063</v>
      </c>
      <c r="O463" s="60" t="s">
        <v>1350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  <c r="Z463" s="58" t="s">
        <v>1350</v>
      </c>
    </row>
    <row r="464" spans="1:26" ht="6" customHeight="1" x14ac:dyDescent="0.3">
      <c r="A464" s="47">
        <v>462</v>
      </c>
      <c r="B464" s="55" t="s">
        <v>455</v>
      </c>
      <c r="C464" s="33" t="str">
        <f t="shared" si="37"/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 t="shared" si="41"/>
        <v>"EQU.426"</v>
      </c>
      <c r="N464" s="31" t="s">
        <v>1063</v>
      </c>
      <c r="O464" s="60" t="s">
        <v>1310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  <c r="Z464" s="58" t="s">
        <v>1310</v>
      </c>
    </row>
    <row r="465" spans="1:26" ht="6" customHeight="1" x14ac:dyDescent="0.3">
      <c r="A465" s="47">
        <v>463</v>
      </c>
      <c r="B465" s="55" t="s">
        <v>456</v>
      </c>
      <c r="C465" s="33" t="str">
        <f t="shared" si="37"/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 t="shared" si="41"/>
        <v>"EQU.427"</v>
      </c>
      <c r="N465" s="31" t="s">
        <v>1063</v>
      </c>
      <c r="O465" s="60" t="s">
        <v>1439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  <c r="Z465" s="58" t="s">
        <v>1439</v>
      </c>
    </row>
    <row r="466" spans="1:26" ht="6" customHeight="1" x14ac:dyDescent="0.3">
      <c r="A466" s="47">
        <v>464</v>
      </c>
      <c r="B466" s="55" t="s">
        <v>457</v>
      </c>
      <c r="C466" s="33" t="str">
        <f t="shared" si="37"/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 t="shared" si="41"/>
        <v>"EQU.428"</v>
      </c>
      <c r="N466" s="31" t="s">
        <v>1063</v>
      </c>
      <c r="O466" s="60" t="s">
        <v>1327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  <c r="Z466" s="58" t="s">
        <v>1327</v>
      </c>
    </row>
    <row r="467" spans="1:26" ht="6" customHeight="1" x14ac:dyDescent="0.3">
      <c r="A467" s="47">
        <v>465</v>
      </c>
      <c r="B467" s="55" t="s">
        <v>458</v>
      </c>
      <c r="C467" s="33" t="str">
        <f t="shared" si="37"/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 t="shared" si="41"/>
        <v>"EQU.429"</v>
      </c>
      <c r="N467" s="31" t="s">
        <v>1063</v>
      </c>
      <c r="O467" s="60" t="s">
        <v>1401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  <c r="Z467" s="58" t="s">
        <v>1401</v>
      </c>
    </row>
    <row r="468" spans="1:26" ht="6" customHeight="1" x14ac:dyDescent="0.3">
      <c r="A468" s="47">
        <v>466</v>
      </c>
      <c r="B468" s="55" t="s">
        <v>459</v>
      </c>
      <c r="C468" s="33" t="str">
        <f t="shared" si="37"/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 t="shared" si="41"/>
        <v>"EQU.430"</v>
      </c>
      <c r="N468" s="31" t="s">
        <v>1063</v>
      </c>
      <c r="O468" s="60" t="s">
        <v>1402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  <c r="Z468" s="58" t="s">
        <v>1402</v>
      </c>
    </row>
    <row r="469" spans="1:26" ht="6" customHeight="1" x14ac:dyDescent="0.3">
      <c r="A469" s="47">
        <v>467</v>
      </c>
      <c r="B469" s="55" t="s">
        <v>460</v>
      </c>
      <c r="C469" s="33" t="str">
        <f t="shared" si="37"/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 t="shared" si="41"/>
        <v>"EQU.431"</v>
      </c>
      <c r="N469" s="31" t="s">
        <v>1063</v>
      </c>
      <c r="O469" s="60" t="s">
        <v>1403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  <c r="Z469" s="58" t="s">
        <v>1403</v>
      </c>
    </row>
    <row r="470" spans="1:26" ht="6" customHeight="1" x14ac:dyDescent="0.3">
      <c r="A470" s="47">
        <v>468</v>
      </c>
      <c r="B470" s="55" t="s">
        <v>461</v>
      </c>
      <c r="C470" s="33" t="str">
        <f t="shared" si="37"/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 t="shared" si="41"/>
        <v>"EQU.432"</v>
      </c>
      <c r="N470" s="31" t="s">
        <v>1063</v>
      </c>
      <c r="O470" s="60" t="s">
        <v>1498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  <c r="Z470" s="58" t="s">
        <v>1498</v>
      </c>
    </row>
    <row r="471" spans="1:26" ht="6" customHeight="1" x14ac:dyDescent="0.3">
      <c r="A471" s="47">
        <v>469</v>
      </c>
      <c r="B471" s="55" t="s">
        <v>462</v>
      </c>
      <c r="C471" s="33" t="str">
        <f t="shared" si="37"/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 t="shared" si="41"/>
        <v>"EQU.433"</v>
      </c>
      <c r="N471" s="31" t="s">
        <v>1063</v>
      </c>
      <c r="O471" s="60" t="s">
        <v>1502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  <c r="Z471" s="58" t="s">
        <v>1502</v>
      </c>
    </row>
    <row r="472" spans="1:26" ht="6" customHeight="1" x14ac:dyDescent="0.3">
      <c r="A472" s="47">
        <v>470</v>
      </c>
      <c r="B472" s="55" t="s">
        <v>463</v>
      </c>
      <c r="C472" s="33" t="str">
        <f t="shared" si="37"/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 t="shared" si="41"/>
        <v>"EQU.434"</v>
      </c>
      <c r="N472" s="31" t="s">
        <v>1063</v>
      </c>
      <c r="O472" s="60" t="s">
        <v>1475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  <c r="Z472" s="58" t="s">
        <v>1475</v>
      </c>
    </row>
    <row r="473" spans="1:26" ht="6" customHeight="1" x14ac:dyDescent="0.3">
      <c r="A473" s="47">
        <v>471</v>
      </c>
      <c r="B473" s="55" t="s">
        <v>464</v>
      </c>
      <c r="C473" s="33" t="str">
        <f t="shared" si="37"/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 t="shared" si="41"/>
        <v>"EQU.435"</v>
      </c>
      <c r="N473" s="31" t="s">
        <v>1063</v>
      </c>
      <c r="O473" s="60" t="s">
        <v>1513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  <c r="Z473" s="58" t="s">
        <v>1513</v>
      </c>
    </row>
    <row r="474" spans="1:26" ht="6" customHeight="1" x14ac:dyDescent="0.3">
      <c r="A474" s="47">
        <v>472</v>
      </c>
      <c r="B474" s="55" t="s">
        <v>465</v>
      </c>
      <c r="C474" s="33" t="str">
        <f t="shared" si="37"/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 t="shared" si="41"/>
        <v>"EQU.436"</v>
      </c>
      <c r="N474" s="31" t="s">
        <v>1063</v>
      </c>
      <c r="O474" s="60" t="s">
        <v>1280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  <c r="Z474" s="58" t="s">
        <v>1280</v>
      </c>
    </row>
    <row r="475" spans="1:26" ht="6" customHeight="1" x14ac:dyDescent="0.3">
      <c r="A475" s="47">
        <v>473</v>
      </c>
      <c r="B475" s="55" t="s">
        <v>466</v>
      </c>
      <c r="C475" s="33" t="str">
        <f t="shared" si="37"/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 t="shared" si="41"/>
        <v>"EQU.437"</v>
      </c>
      <c r="N475" s="31" t="s">
        <v>1063</v>
      </c>
      <c r="O475" s="60" t="s">
        <v>1404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  <c r="Z475" s="58" t="s">
        <v>1404</v>
      </c>
    </row>
    <row r="476" spans="1:26" ht="6" customHeight="1" x14ac:dyDescent="0.3">
      <c r="A476" s="47">
        <v>474</v>
      </c>
      <c r="B476" s="55" t="s">
        <v>467</v>
      </c>
      <c r="C476" s="33" t="str">
        <f t="shared" si="37"/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 t="shared" si="41"/>
        <v>"EQU.438"</v>
      </c>
      <c r="N476" s="31" t="s">
        <v>1063</v>
      </c>
      <c r="O476" s="60" t="s">
        <v>1405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  <c r="Z476" s="58" t="s">
        <v>1405</v>
      </c>
    </row>
    <row r="477" spans="1:26" ht="6" customHeight="1" x14ac:dyDescent="0.3">
      <c r="A477" s="47">
        <v>475</v>
      </c>
      <c r="B477" s="55" t="s">
        <v>468</v>
      </c>
      <c r="C477" s="33" t="str">
        <f t="shared" si="37"/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 t="shared" si="41"/>
        <v>"EQU.439"</v>
      </c>
      <c r="N477" s="31" t="s">
        <v>1063</v>
      </c>
      <c r="O477" s="60" t="s">
        <v>1550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  <c r="Z477" s="58" t="s">
        <v>1550</v>
      </c>
    </row>
    <row r="478" spans="1:26" ht="6" customHeight="1" x14ac:dyDescent="0.3">
      <c r="A478" s="47">
        <v>476</v>
      </c>
      <c r="B478" s="55" t="s">
        <v>469</v>
      </c>
      <c r="C478" s="33" t="str">
        <f t="shared" si="37"/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 t="shared" si="41"/>
        <v>"EQU.440"</v>
      </c>
      <c r="N478" s="31" t="s">
        <v>1063</v>
      </c>
      <c r="O478" s="60" t="s">
        <v>1428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  <c r="Z478" s="58" t="s">
        <v>1428</v>
      </c>
    </row>
    <row r="479" spans="1:26" ht="6" customHeight="1" x14ac:dyDescent="0.3">
      <c r="A479" s="47">
        <v>477</v>
      </c>
      <c r="B479" s="55" t="s">
        <v>470</v>
      </c>
      <c r="C479" s="33" t="str">
        <f t="shared" si="37"/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 t="shared" si="41"/>
        <v>"EQU.441"</v>
      </c>
      <c r="N479" s="31" t="s">
        <v>1063</v>
      </c>
      <c r="O479" s="60" t="s">
        <v>1479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  <c r="Z479" s="58" t="s">
        <v>1479</v>
      </c>
    </row>
    <row r="480" spans="1:26" ht="6" customHeight="1" x14ac:dyDescent="0.3">
      <c r="A480" s="47">
        <v>478</v>
      </c>
      <c r="B480" s="55" t="s">
        <v>471</v>
      </c>
      <c r="C480" s="33" t="str">
        <f t="shared" si="37"/>
        <v>SUS.Mobília.de.Saúde</v>
      </c>
      <c r="D480" s="53" t="s">
        <v>1185</v>
      </c>
      <c r="E480" s="54" t="s">
        <v>1255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1583</v>
      </c>
      <c r="N480" s="31" t="s">
        <v>1063</v>
      </c>
      <c r="O480" s="60" t="s">
        <v>1604</v>
      </c>
      <c r="P480" s="31" t="s">
        <v>1020</v>
      </c>
      <c r="Q480" s="52" t="s">
        <v>1605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58" t="s">
        <v>1338</v>
      </c>
    </row>
    <row r="481" spans="1:26" ht="6" customHeight="1" x14ac:dyDescent="0.3">
      <c r="A481" s="47">
        <v>479</v>
      </c>
      <c r="B481" s="55" t="s">
        <v>472</v>
      </c>
      <c r="C481" s="33" t="str">
        <f t="shared" si="37"/>
        <v>SUS.Mobília.de.Saúde</v>
      </c>
      <c r="D481" s="53" t="s">
        <v>1185</v>
      </c>
      <c r="E481" s="54" t="s">
        <v>1255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1584</v>
      </c>
      <c r="N481" s="31" t="s">
        <v>1063</v>
      </c>
      <c r="O481" s="60" t="s">
        <v>1604</v>
      </c>
      <c r="P481" s="31" t="s">
        <v>1020</v>
      </c>
      <c r="Q481" s="52" t="s">
        <v>1605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58" t="s">
        <v>1338</v>
      </c>
    </row>
    <row r="482" spans="1:26" ht="6" customHeight="1" x14ac:dyDescent="0.3">
      <c r="A482" s="47">
        <v>480</v>
      </c>
      <c r="B482" s="55" t="s">
        <v>473</v>
      </c>
      <c r="C482" s="33" t="str">
        <f t="shared" si="37"/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 t="shared" ref="M482:M500" si="42">_xlfn.CONCAT("""",B482,"""")</f>
        <v>"EQU.444"</v>
      </c>
      <c r="N482" s="31" t="s">
        <v>1063</v>
      </c>
      <c r="O482" s="60" t="s">
        <v>1284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  <c r="Z482" s="58" t="s">
        <v>1284</v>
      </c>
    </row>
    <row r="483" spans="1:26" ht="6" customHeight="1" x14ac:dyDescent="0.3">
      <c r="A483" s="47">
        <v>481</v>
      </c>
      <c r="B483" s="55" t="s">
        <v>474</v>
      </c>
      <c r="C483" s="33" t="str">
        <f t="shared" si="37"/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 t="shared" si="42"/>
        <v>"EQU.445"</v>
      </c>
      <c r="N483" s="31" t="s">
        <v>1063</v>
      </c>
      <c r="O483" s="60" t="s">
        <v>1331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  <c r="Z483" s="58" t="s">
        <v>1331</v>
      </c>
    </row>
    <row r="484" spans="1:26" ht="6" customHeight="1" x14ac:dyDescent="0.3">
      <c r="A484" s="47">
        <v>482</v>
      </c>
      <c r="B484" s="55" t="s">
        <v>475</v>
      </c>
      <c r="C484" s="33" t="str">
        <f t="shared" si="37"/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 t="shared" si="42"/>
        <v>"EQU.446"</v>
      </c>
      <c r="N484" s="31" t="s">
        <v>1063</v>
      </c>
      <c r="O484" s="60" t="s">
        <v>1319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  <c r="Z484" s="58" t="s">
        <v>1319</v>
      </c>
    </row>
    <row r="485" spans="1:26" ht="6" customHeight="1" x14ac:dyDescent="0.3">
      <c r="A485" s="47">
        <v>483</v>
      </c>
      <c r="B485" s="55" t="s">
        <v>476</v>
      </c>
      <c r="C485" s="33" t="str">
        <f t="shared" si="37"/>
        <v>SUS.Mobília.de.Saúde</v>
      </c>
      <c r="D485" s="53" t="s">
        <v>1185</v>
      </c>
      <c r="E485" s="54" t="s">
        <v>1186</v>
      </c>
      <c r="F485" s="53" t="s">
        <v>1272</v>
      </c>
      <c r="G485" s="54" t="s">
        <v>1201</v>
      </c>
      <c r="H485" s="53" t="s">
        <v>26</v>
      </c>
      <c r="I485" s="54" t="s">
        <v>26</v>
      </c>
      <c r="J485" s="31" t="s">
        <v>1260</v>
      </c>
      <c r="K485" s="52" t="s">
        <v>1179</v>
      </c>
      <c r="L485" s="31" t="s">
        <v>1074</v>
      </c>
      <c r="M485" s="52" t="str">
        <f t="shared" si="42"/>
        <v>"EQU.447"</v>
      </c>
      <c r="N485" s="31" t="s">
        <v>1063</v>
      </c>
      <c r="O485" s="60" t="s">
        <v>1289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  <c r="Z485" s="58" t="s">
        <v>1289</v>
      </c>
    </row>
    <row r="486" spans="1:26" ht="6" customHeight="1" x14ac:dyDescent="0.3">
      <c r="A486" s="47">
        <v>484</v>
      </c>
      <c r="B486" s="55" t="s">
        <v>477</v>
      </c>
      <c r="C486" s="33" t="str">
        <f t="shared" si="37"/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 t="shared" si="42"/>
        <v>"EQU.448"</v>
      </c>
      <c r="N486" s="31" t="s">
        <v>1063</v>
      </c>
      <c r="O486" s="60" t="s">
        <v>1406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  <c r="Z486" s="58" t="s">
        <v>1406</v>
      </c>
    </row>
    <row r="487" spans="1:26" ht="6" customHeight="1" x14ac:dyDescent="0.3">
      <c r="A487" s="47">
        <v>485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1272</v>
      </c>
      <c r="G487" s="54" t="s">
        <v>1273</v>
      </c>
      <c r="H487" s="53" t="s">
        <v>26</v>
      </c>
      <c r="I487" s="54" t="s">
        <v>26</v>
      </c>
      <c r="J487" s="31" t="s">
        <v>1260</v>
      </c>
      <c r="K487" s="52" t="s">
        <v>1179</v>
      </c>
      <c r="L487" s="31" t="s">
        <v>1074</v>
      </c>
      <c r="M487" s="52" t="str">
        <f t="shared" si="42"/>
        <v>"EQU.449"</v>
      </c>
      <c r="N487" s="31" t="s">
        <v>1063</v>
      </c>
      <c r="O487" s="60" t="s">
        <v>1292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  <c r="Z487" s="58" t="s">
        <v>1292</v>
      </c>
    </row>
    <row r="488" spans="1:26" ht="6" customHeight="1" x14ac:dyDescent="0.3">
      <c r="A488" s="47">
        <v>486</v>
      </c>
      <c r="B488" s="55" t="s">
        <v>479</v>
      </c>
      <c r="C488" s="33" t="str">
        <f t="shared" si="43"/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 t="shared" si="42"/>
        <v>"EQU.450"</v>
      </c>
      <c r="N488" s="31" t="s">
        <v>1063</v>
      </c>
      <c r="O488" s="60" t="s">
        <v>1509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  <c r="Z488" s="58" t="s">
        <v>1509</v>
      </c>
    </row>
    <row r="489" spans="1:26" ht="6" customHeight="1" x14ac:dyDescent="0.3">
      <c r="A489" s="47">
        <v>487</v>
      </c>
      <c r="B489" s="55" t="s">
        <v>480</v>
      </c>
      <c r="C489" s="33" t="str">
        <f t="shared" si="43"/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 t="shared" si="42"/>
        <v>"EQU.451"</v>
      </c>
      <c r="N489" s="31" t="s">
        <v>1063</v>
      </c>
      <c r="O489" s="60" t="s">
        <v>1536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  <c r="Z489" s="58" t="s">
        <v>1536</v>
      </c>
    </row>
    <row r="490" spans="1:26" ht="6" customHeight="1" x14ac:dyDescent="0.3">
      <c r="A490" s="47">
        <v>488</v>
      </c>
      <c r="B490" s="55" t="s">
        <v>481</v>
      </c>
      <c r="C490" s="33" t="str">
        <f t="shared" si="43"/>
        <v>SUS.Dispositivo</v>
      </c>
      <c r="D490" s="53" t="s">
        <v>1185</v>
      </c>
      <c r="E490" s="54" t="s">
        <v>1186</v>
      </c>
      <c r="F490" s="53" t="s">
        <v>1176</v>
      </c>
      <c r="G490" s="54" t="s">
        <v>1258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 t="shared" si="42"/>
        <v>"EQU.452"</v>
      </c>
      <c r="N490" s="31" t="s">
        <v>1063</v>
      </c>
      <c r="O490" s="60" t="s">
        <v>1352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 t="shared" ref="U490:U497" si="44"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  <c r="Z490" s="58" t="s">
        <v>1352</v>
      </c>
    </row>
    <row r="491" spans="1:26" ht="6" customHeight="1" x14ac:dyDescent="0.3">
      <c r="A491" s="47">
        <v>489</v>
      </c>
      <c r="B491" s="55" t="s">
        <v>482</v>
      </c>
      <c r="C491" s="33" t="str">
        <f t="shared" si="43"/>
        <v>SUS.Dispositivo</v>
      </c>
      <c r="D491" s="53" t="s">
        <v>1185</v>
      </c>
      <c r="E491" s="54" t="s">
        <v>1186</v>
      </c>
      <c r="F491" s="53" t="s">
        <v>1196</v>
      </c>
      <c r="G491" s="54" t="s">
        <v>1278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 t="shared" si="42"/>
        <v>"EQU.453"</v>
      </c>
      <c r="N491" s="31" t="s">
        <v>1063</v>
      </c>
      <c r="O491" s="60" t="s">
        <v>1407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 t="shared" si="44"/>
        <v>1</v>
      </c>
      <c r="V491" s="31" t="s">
        <v>1077</v>
      </c>
      <c r="W491" s="7">
        <v>0</v>
      </c>
      <c r="X491" s="31" t="s">
        <v>26</v>
      </c>
      <c r="Y491" s="49">
        <v>0</v>
      </c>
      <c r="Z491" s="58" t="s">
        <v>1407</v>
      </c>
    </row>
    <row r="492" spans="1:26" ht="6" customHeight="1" x14ac:dyDescent="0.3">
      <c r="A492" s="47">
        <v>490</v>
      </c>
      <c r="B492" s="55" t="s">
        <v>483</v>
      </c>
      <c r="C492" s="33" t="str">
        <f t="shared" si="43"/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 t="shared" si="42"/>
        <v>"EQU.454"</v>
      </c>
      <c r="N492" s="31" t="s">
        <v>1063</v>
      </c>
      <c r="O492" s="60" t="s">
        <v>1280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 t="shared" si="44"/>
        <v>0</v>
      </c>
      <c r="V492" s="31" t="s">
        <v>1077</v>
      </c>
      <c r="W492" s="7">
        <v>0</v>
      </c>
      <c r="X492" s="31" t="s">
        <v>26</v>
      </c>
      <c r="Y492" s="49">
        <v>0</v>
      </c>
      <c r="Z492" s="58" t="s">
        <v>1280</v>
      </c>
    </row>
    <row r="493" spans="1:26" ht="6" customHeight="1" x14ac:dyDescent="0.3">
      <c r="A493" s="47">
        <v>491</v>
      </c>
      <c r="B493" s="55" t="s">
        <v>484</v>
      </c>
      <c r="C493" s="33" t="str">
        <f t="shared" si="43"/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 t="shared" si="42"/>
        <v>"EQU.455"</v>
      </c>
      <c r="N493" s="31" t="s">
        <v>1063</v>
      </c>
      <c r="O493" s="60" t="s">
        <v>1280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 t="shared" si="44"/>
        <v>0</v>
      </c>
      <c r="V493" s="31" t="s">
        <v>1077</v>
      </c>
      <c r="W493" s="7">
        <v>0</v>
      </c>
      <c r="X493" s="31" t="s">
        <v>26</v>
      </c>
      <c r="Y493" s="49">
        <v>0</v>
      </c>
      <c r="Z493" s="58" t="s">
        <v>1280</v>
      </c>
    </row>
    <row r="494" spans="1:26" ht="6" customHeight="1" x14ac:dyDescent="0.3">
      <c r="A494" s="47">
        <v>492</v>
      </c>
      <c r="B494" s="55" t="s">
        <v>485</v>
      </c>
      <c r="C494" s="33" t="str">
        <f t="shared" si="43"/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 t="shared" si="42"/>
        <v>"EQU.456"</v>
      </c>
      <c r="N494" s="31" t="s">
        <v>1063</v>
      </c>
      <c r="O494" s="60" t="s">
        <v>1359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 t="shared" si="44"/>
        <v>1</v>
      </c>
      <c r="V494" s="31" t="s">
        <v>1077</v>
      </c>
      <c r="W494" s="7">
        <v>0</v>
      </c>
      <c r="X494" s="31" t="s">
        <v>26</v>
      </c>
      <c r="Y494" s="49">
        <v>0</v>
      </c>
      <c r="Z494" s="58" t="s">
        <v>1359</v>
      </c>
    </row>
    <row r="495" spans="1:26" ht="6" customHeight="1" x14ac:dyDescent="0.3">
      <c r="A495" s="47">
        <v>493</v>
      </c>
      <c r="B495" s="55" t="s">
        <v>486</v>
      </c>
      <c r="C495" s="33" t="str">
        <f t="shared" si="43"/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1254</v>
      </c>
      <c r="I495" s="54" t="s">
        <v>1252</v>
      </c>
      <c r="J495" s="31" t="s">
        <v>26</v>
      </c>
      <c r="K495" s="52" t="s">
        <v>26</v>
      </c>
      <c r="L495" s="31" t="s">
        <v>1074</v>
      </c>
      <c r="M495" s="52" t="str">
        <f t="shared" si="42"/>
        <v>"EQU.457"</v>
      </c>
      <c r="N495" s="31" t="s">
        <v>1063</v>
      </c>
      <c r="O495" s="60" t="s">
        <v>1408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 t="shared" si="44"/>
        <v>0</v>
      </c>
      <c r="V495" s="31" t="s">
        <v>1077</v>
      </c>
      <c r="W495" s="7">
        <v>0</v>
      </c>
      <c r="X495" s="31" t="s">
        <v>26</v>
      </c>
      <c r="Y495" s="49">
        <v>0</v>
      </c>
      <c r="Z495" s="58" t="s">
        <v>1408</v>
      </c>
    </row>
    <row r="496" spans="1:26" ht="6" customHeight="1" x14ac:dyDescent="0.3">
      <c r="A496" s="47">
        <v>494</v>
      </c>
      <c r="B496" s="55" t="s">
        <v>487</v>
      </c>
      <c r="C496" s="33" t="str">
        <f t="shared" si="43"/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1251</v>
      </c>
      <c r="J496" s="31" t="s">
        <v>26</v>
      </c>
      <c r="K496" s="52" t="s">
        <v>26</v>
      </c>
      <c r="L496" s="31" t="s">
        <v>1074</v>
      </c>
      <c r="M496" s="52" t="str">
        <f t="shared" si="42"/>
        <v>"EQU.458"</v>
      </c>
      <c r="N496" s="31" t="s">
        <v>1063</v>
      </c>
      <c r="O496" s="60" t="s">
        <v>1408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 t="shared" si="44"/>
        <v>0</v>
      </c>
      <c r="V496" s="31" t="s">
        <v>1077</v>
      </c>
      <c r="W496" s="7">
        <v>0</v>
      </c>
      <c r="X496" s="31" t="s">
        <v>26</v>
      </c>
      <c r="Y496" s="49">
        <v>0</v>
      </c>
      <c r="Z496" s="58" t="s">
        <v>1408</v>
      </c>
    </row>
    <row r="497" spans="1:26" ht="6" customHeight="1" x14ac:dyDescent="0.3">
      <c r="A497" s="47">
        <v>495</v>
      </c>
      <c r="B497" s="55" t="s">
        <v>488</v>
      </c>
      <c r="C497" s="33" t="str">
        <f t="shared" si="43"/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 t="shared" si="42"/>
        <v>"EQU.459"</v>
      </c>
      <c r="N497" s="31" t="s">
        <v>1063</v>
      </c>
      <c r="O497" s="60" t="s">
        <v>1480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 t="shared" si="44"/>
        <v>1</v>
      </c>
      <c r="V497" s="31" t="s">
        <v>1077</v>
      </c>
      <c r="W497" s="7">
        <v>0</v>
      </c>
      <c r="X497" s="31" t="s">
        <v>26</v>
      </c>
      <c r="Y497" s="49">
        <v>0</v>
      </c>
      <c r="Z497" s="58" t="s">
        <v>1480</v>
      </c>
    </row>
    <row r="498" spans="1:26" ht="6" customHeight="1" x14ac:dyDescent="0.3">
      <c r="A498" s="47">
        <v>496</v>
      </c>
      <c r="B498" s="55" t="s">
        <v>489</v>
      </c>
      <c r="C498" s="33" t="str">
        <f t="shared" si="43"/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 t="shared" si="42"/>
        <v>"EQU.460"</v>
      </c>
      <c r="N498" s="31" t="s">
        <v>1063</v>
      </c>
      <c r="O498" s="60" t="s">
        <v>1409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  <c r="Z498" s="58" t="s">
        <v>1409</v>
      </c>
    </row>
    <row r="499" spans="1:26" ht="6" customHeight="1" x14ac:dyDescent="0.3">
      <c r="A499" s="47">
        <v>497</v>
      </c>
      <c r="B499" s="55" t="s">
        <v>490</v>
      </c>
      <c r="C499" s="33" t="str">
        <f t="shared" si="43"/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 t="shared" si="42"/>
        <v>"EQU.461"</v>
      </c>
      <c r="N499" s="31" t="s">
        <v>1063</v>
      </c>
      <c r="O499" s="60" t="s">
        <v>1350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  <c r="Z499" s="58" t="s">
        <v>1350</v>
      </c>
    </row>
    <row r="500" spans="1:26" ht="6" customHeight="1" x14ac:dyDescent="0.3">
      <c r="A500" s="47">
        <v>498</v>
      </c>
      <c r="B500" s="55" t="s">
        <v>491</v>
      </c>
      <c r="C500" s="33" t="str">
        <f t="shared" si="43"/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 t="shared" si="42"/>
        <v>"EQU.462"</v>
      </c>
      <c r="N500" s="31" t="s">
        <v>1063</v>
      </c>
      <c r="O500" s="60" t="s">
        <v>1429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  <c r="Z500" s="58" t="s">
        <v>1429</v>
      </c>
    </row>
    <row r="501" spans="1:26" ht="6" customHeight="1" x14ac:dyDescent="0.3">
      <c r="A501" s="47">
        <v>499</v>
      </c>
      <c r="B501" s="55" t="s">
        <v>492</v>
      </c>
      <c r="C501" s="33" t="str">
        <f t="shared" si="43"/>
        <v>SUS.Mobília.de.Saúde</v>
      </c>
      <c r="D501" s="53" t="s">
        <v>1185</v>
      </c>
      <c r="E501" s="54" t="s">
        <v>1255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1585</v>
      </c>
      <c r="N501" s="31" t="s">
        <v>1063</v>
      </c>
      <c r="O501" s="60" t="s">
        <v>1604</v>
      </c>
      <c r="P501" s="31" t="s">
        <v>1020</v>
      </c>
      <c r="Q501" s="52" t="s">
        <v>1605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58" t="s">
        <v>1338</v>
      </c>
    </row>
    <row r="502" spans="1:26" ht="6" customHeight="1" x14ac:dyDescent="0.3">
      <c r="A502" s="47">
        <v>500</v>
      </c>
      <c r="B502" s="55" t="s">
        <v>493</v>
      </c>
      <c r="C502" s="33" t="str">
        <f t="shared" si="43"/>
        <v>SUS.Mobília.de.Saúde</v>
      </c>
      <c r="D502" s="53" t="s">
        <v>1185</v>
      </c>
      <c r="E502" s="54" t="s">
        <v>1186</v>
      </c>
      <c r="F502" s="53" t="s">
        <v>1272</v>
      </c>
      <c r="G502" s="54" t="s">
        <v>1204</v>
      </c>
      <c r="H502" s="53" t="s">
        <v>26</v>
      </c>
      <c r="I502" s="54" t="s">
        <v>26</v>
      </c>
      <c r="J502" s="31" t="s">
        <v>1260</v>
      </c>
      <c r="K502" s="52" t="s">
        <v>1214</v>
      </c>
      <c r="L502" s="31" t="s">
        <v>1074</v>
      </c>
      <c r="M502" s="52" t="str">
        <f t="shared" ref="M502:M510" si="45">_xlfn.CONCAT("""",B502,"""")</f>
        <v>"EQU.464"</v>
      </c>
      <c r="N502" s="31" t="s">
        <v>1063</v>
      </c>
      <c r="O502" s="60" t="s">
        <v>1291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  <c r="Z502" s="58" t="s">
        <v>1291</v>
      </c>
    </row>
    <row r="503" spans="1:26" ht="6" customHeight="1" x14ac:dyDescent="0.3">
      <c r="A503" s="47">
        <v>501</v>
      </c>
      <c r="B503" s="55" t="s">
        <v>494</v>
      </c>
      <c r="C503" s="33" t="str">
        <f t="shared" si="43"/>
        <v>SUS.Mobília.de.Saúde</v>
      </c>
      <c r="D503" s="53" t="s">
        <v>1185</v>
      </c>
      <c r="E503" s="54" t="s">
        <v>1186</v>
      </c>
      <c r="F503" s="53" t="s">
        <v>1272</v>
      </c>
      <c r="G503" s="54" t="s">
        <v>1273</v>
      </c>
      <c r="H503" s="53" t="s">
        <v>1196</v>
      </c>
      <c r="I503" s="54" t="s">
        <v>1174</v>
      </c>
      <c r="J503" s="31" t="s">
        <v>1260</v>
      </c>
      <c r="K503" s="52" t="s">
        <v>1179</v>
      </c>
      <c r="L503" s="31" t="s">
        <v>1074</v>
      </c>
      <c r="M503" s="52" t="str">
        <f t="shared" si="45"/>
        <v>"EQU.465"</v>
      </c>
      <c r="N503" s="31" t="s">
        <v>1063</v>
      </c>
      <c r="O503" s="60" t="s">
        <v>1292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  <c r="Z503" s="58" t="s">
        <v>1292</v>
      </c>
    </row>
    <row r="504" spans="1:26" ht="6" customHeight="1" x14ac:dyDescent="0.3">
      <c r="A504" s="47">
        <v>502</v>
      </c>
      <c r="B504" s="55" t="s">
        <v>495</v>
      </c>
      <c r="C504" s="33" t="str">
        <f t="shared" si="43"/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 t="shared" si="45"/>
        <v>"EQU.466"</v>
      </c>
      <c r="N504" s="31" t="s">
        <v>1063</v>
      </c>
      <c r="O504" s="60" t="s">
        <v>1290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  <c r="Z504" s="58" t="s">
        <v>1290</v>
      </c>
    </row>
    <row r="505" spans="1:26" ht="6" customHeight="1" x14ac:dyDescent="0.3">
      <c r="A505" s="47">
        <v>503</v>
      </c>
      <c r="B505" s="55" t="s">
        <v>496</v>
      </c>
      <c r="C505" s="33" t="str">
        <f t="shared" si="43"/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 t="shared" si="45"/>
        <v>"EQU.467"</v>
      </c>
      <c r="N505" s="31" t="s">
        <v>1063</v>
      </c>
      <c r="O505" s="60" t="s">
        <v>1526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  <c r="Z505" s="58" t="s">
        <v>1526</v>
      </c>
    </row>
    <row r="506" spans="1:26" ht="6" customHeight="1" x14ac:dyDescent="0.3">
      <c r="A506" s="47">
        <v>504</v>
      </c>
      <c r="B506" s="55" t="s">
        <v>497</v>
      </c>
      <c r="C506" s="33" t="str">
        <f t="shared" si="43"/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 t="shared" si="45"/>
        <v>"EQU.468"</v>
      </c>
      <c r="N506" s="31" t="s">
        <v>1063</v>
      </c>
      <c r="O506" s="60" t="s">
        <v>1410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  <c r="Z506" s="58" t="s">
        <v>1410</v>
      </c>
    </row>
    <row r="507" spans="1:26" ht="6" customHeight="1" x14ac:dyDescent="0.3">
      <c r="A507" s="47">
        <v>505</v>
      </c>
      <c r="B507" s="55" t="s">
        <v>498</v>
      </c>
      <c r="C507" s="33" t="str">
        <f t="shared" si="43"/>
        <v>SUS.Dispositivo</v>
      </c>
      <c r="D507" s="53" t="s">
        <v>1185</v>
      </c>
      <c r="E507" s="54" t="s">
        <v>1186</v>
      </c>
      <c r="F507" s="53" t="s">
        <v>1176</v>
      </c>
      <c r="G507" s="54" t="s">
        <v>1258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 t="shared" si="45"/>
        <v>"EQU.469"</v>
      </c>
      <c r="N507" s="31" t="s">
        <v>1063</v>
      </c>
      <c r="O507" s="60" t="s">
        <v>1352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  <c r="Z507" s="58" t="s">
        <v>1352</v>
      </c>
    </row>
    <row r="508" spans="1:26" ht="6" customHeight="1" x14ac:dyDescent="0.3">
      <c r="A508" s="47">
        <v>506</v>
      </c>
      <c r="B508" s="55" t="s">
        <v>499</v>
      </c>
      <c r="C508" s="33" t="str">
        <f t="shared" si="43"/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 t="shared" si="45"/>
        <v>"EQU.470"</v>
      </c>
      <c r="N508" s="31" t="s">
        <v>1063</v>
      </c>
      <c r="O508" s="60" t="s">
        <v>1481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  <c r="Z508" s="58" t="s">
        <v>1481</v>
      </c>
    </row>
    <row r="509" spans="1:26" ht="6" customHeight="1" x14ac:dyDescent="0.3">
      <c r="A509" s="47">
        <v>507</v>
      </c>
      <c r="B509" s="55" t="s">
        <v>500</v>
      </c>
      <c r="C509" s="33" t="str">
        <f t="shared" si="43"/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 t="shared" si="45"/>
        <v>"EQU.471"</v>
      </c>
      <c r="N509" s="31" t="s">
        <v>1063</v>
      </c>
      <c r="O509" s="60" t="s">
        <v>1411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  <c r="Z509" s="58" t="s">
        <v>1411</v>
      </c>
    </row>
    <row r="510" spans="1:26" ht="6" customHeight="1" x14ac:dyDescent="0.3">
      <c r="A510" s="47">
        <v>508</v>
      </c>
      <c r="B510" s="55" t="s">
        <v>501</v>
      </c>
      <c r="C510" s="33" t="str">
        <f t="shared" si="43"/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 t="shared" si="45"/>
        <v>"EQU.472"</v>
      </c>
      <c r="N510" s="31" t="s">
        <v>1063</v>
      </c>
      <c r="O510" s="60" t="s">
        <v>1350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  <c r="Z510" s="58" t="s">
        <v>1350</v>
      </c>
    </row>
    <row r="511" spans="1:26" ht="6" customHeight="1" x14ac:dyDescent="0.3">
      <c r="A511" s="47">
        <v>509</v>
      </c>
      <c r="B511" s="55" t="s">
        <v>502</v>
      </c>
      <c r="C511" s="33" t="str">
        <f t="shared" si="43"/>
        <v>SUS.Mobília.de.Saúde</v>
      </c>
      <c r="D511" s="53" t="s">
        <v>1185</v>
      </c>
      <c r="E511" s="54" t="s">
        <v>1255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1586</v>
      </c>
      <c r="N511" s="31" t="s">
        <v>1063</v>
      </c>
      <c r="O511" s="60" t="s">
        <v>1604</v>
      </c>
      <c r="P511" s="31" t="s">
        <v>1020</v>
      </c>
      <c r="Q511" s="52" t="s">
        <v>1605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58" t="s">
        <v>1338</v>
      </c>
    </row>
    <row r="512" spans="1:26" ht="6" customHeight="1" x14ac:dyDescent="0.3">
      <c r="A512" s="47">
        <v>510</v>
      </c>
      <c r="B512" s="55" t="s">
        <v>503</v>
      </c>
      <c r="C512" s="33" t="str">
        <f t="shared" si="43"/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1548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  <c r="Z512" s="58" t="s">
        <v>1548</v>
      </c>
    </row>
    <row r="513" spans="1:26" ht="6" customHeight="1" x14ac:dyDescent="0.3">
      <c r="A513" s="47">
        <v>511</v>
      </c>
      <c r="B513" s="55" t="s">
        <v>504</v>
      </c>
      <c r="C513" s="33" t="str">
        <f t="shared" si="43"/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1284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  <c r="Z513" s="58" t="s">
        <v>1284</v>
      </c>
    </row>
    <row r="514" spans="1:26" ht="6" customHeight="1" x14ac:dyDescent="0.3">
      <c r="A514" s="47">
        <v>512</v>
      </c>
      <c r="B514" s="55" t="s">
        <v>505</v>
      </c>
      <c r="C514" s="33" t="str">
        <f t="shared" si="43"/>
        <v>SUS.Mobília.de.Saúde</v>
      </c>
      <c r="D514" s="53" t="s">
        <v>1185</v>
      </c>
      <c r="E514" s="54" t="s">
        <v>1255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1587</v>
      </c>
      <c r="N514" s="31" t="s">
        <v>1063</v>
      </c>
      <c r="O514" s="60" t="s">
        <v>1604</v>
      </c>
      <c r="P514" s="31" t="s">
        <v>1020</v>
      </c>
      <c r="Q514" s="52" t="s">
        <v>1605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58" t="s">
        <v>1338</v>
      </c>
    </row>
    <row r="515" spans="1:26" ht="6" customHeight="1" x14ac:dyDescent="0.3">
      <c r="A515" s="47">
        <v>513</v>
      </c>
      <c r="B515" s="55" t="s">
        <v>506</v>
      </c>
      <c r="C515" s="33" t="str">
        <f t="shared" si="43"/>
        <v>SUS.Mobília.de.Saúde</v>
      </c>
      <c r="D515" s="53" t="s">
        <v>1185</v>
      </c>
      <c r="E515" s="54" t="s">
        <v>1255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1588</v>
      </c>
      <c r="N515" s="31" t="s">
        <v>1063</v>
      </c>
      <c r="O515" s="60" t="s">
        <v>1604</v>
      </c>
      <c r="P515" s="31" t="s">
        <v>1020</v>
      </c>
      <c r="Q515" s="52" t="s">
        <v>1605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58" t="s">
        <v>1338</v>
      </c>
    </row>
    <row r="516" spans="1:26" ht="6" customHeight="1" x14ac:dyDescent="0.3">
      <c r="A516" s="47">
        <v>514</v>
      </c>
      <c r="B516" s="55" t="s">
        <v>507</v>
      </c>
      <c r="C516" s="33" t="str">
        <f t="shared" si="43"/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1482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  <c r="Z516" s="58" t="s">
        <v>1482</v>
      </c>
    </row>
    <row r="517" spans="1:26" ht="6" customHeight="1" x14ac:dyDescent="0.3">
      <c r="A517" s="47">
        <v>515</v>
      </c>
      <c r="B517" s="55" t="s">
        <v>508</v>
      </c>
      <c r="C517" s="33" t="str">
        <f t="shared" si="43"/>
        <v>SUS.Mobília.de.Saúde</v>
      </c>
      <c r="D517" s="53" t="s">
        <v>1185</v>
      </c>
      <c r="E517" s="54" t="s">
        <v>1255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1589</v>
      </c>
      <c r="N517" s="31" t="s">
        <v>1063</v>
      </c>
      <c r="O517" s="60" t="s">
        <v>1604</v>
      </c>
      <c r="P517" s="31" t="s">
        <v>1020</v>
      </c>
      <c r="Q517" s="52" t="s">
        <v>1605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58" t="s">
        <v>1338</v>
      </c>
    </row>
    <row r="518" spans="1:26" ht="6" customHeight="1" x14ac:dyDescent="0.3">
      <c r="A518" s="47">
        <v>516</v>
      </c>
      <c r="B518" s="55" t="s">
        <v>509</v>
      </c>
      <c r="C518" s="33" t="str">
        <f t="shared" si="43"/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 t="shared" ref="M518:M532" si="46">_xlfn.CONCAT("""",B518,"""")</f>
        <v>"EQU.480"</v>
      </c>
      <c r="N518" s="31" t="s">
        <v>1063</v>
      </c>
      <c r="O518" s="60" t="s">
        <v>1294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  <c r="Z518" s="58" t="s">
        <v>1294</v>
      </c>
    </row>
    <row r="519" spans="1:26" ht="6" customHeight="1" x14ac:dyDescent="0.3">
      <c r="A519" s="47">
        <v>517</v>
      </c>
      <c r="B519" s="55" t="s">
        <v>510</v>
      </c>
      <c r="C519" s="33" t="str">
        <f t="shared" si="43"/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 t="shared" si="46"/>
        <v>"EQU.481"</v>
      </c>
      <c r="N519" s="31" t="s">
        <v>1063</v>
      </c>
      <c r="O519" s="60" t="s">
        <v>1436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  <c r="Z519" s="58" t="s">
        <v>1436</v>
      </c>
    </row>
    <row r="520" spans="1:26" ht="6" customHeight="1" x14ac:dyDescent="0.3">
      <c r="A520" s="47">
        <v>518</v>
      </c>
      <c r="B520" s="55" t="s">
        <v>511</v>
      </c>
      <c r="C520" s="33" t="str">
        <f t="shared" si="43"/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 t="shared" si="46"/>
        <v>"EQU.482"</v>
      </c>
      <c r="N520" s="31" t="s">
        <v>1063</v>
      </c>
      <c r="O520" s="60" t="s">
        <v>1552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  <c r="Z520" s="58" t="s">
        <v>1430</v>
      </c>
    </row>
    <row r="521" spans="1:26" ht="6" customHeight="1" x14ac:dyDescent="0.3">
      <c r="A521" s="47">
        <v>519</v>
      </c>
      <c r="B521" s="55" t="s">
        <v>512</v>
      </c>
      <c r="C521" s="33" t="str">
        <f t="shared" si="43"/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 t="shared" si="46"/>
        <v>"EQU.483"</v>
      </c>
      <c r="N521" s="31" t="s">
        <v>1063</v>
      </c>
      <c r="O521" s="60" t="s">
        <v>1386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  <c r="Z521" s="58" t="s">
        <v>1386</v>
      </c>
    </row>
    <row r="522" spans="1:26" ht="6" customHeight="1" x14ac:dyDescent="0.3">
      <c r="A522" s="47">
        <v>520</v>
      </c>
      <c r="B522" s="55" t="s">
        <v>513</v>
      </c>
      <c r="C522" s="33" t="str">
        <f t="shared" si="43"/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 t="shared" si="46"/>
        <v>"EQU.484"</v>
      </c>
      <c r="N522" s="31" t="s">
        <v>1063</v>
      </c>
      <c r="O522" s="60" t="s">
        <v>1523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  <c r="Z522" s="58" t="s">
        <v>1523</v>
      </c>
    </row>
    <row r="523" spans="1:26" ht="6" customHeight="1" x14ac:dyDescent="0.3">
      <c r="A523" s="47">
        <v>521</v>
      </c>
      <c r="B523" s="55" t="s">
        <v>514</v>
      </c>
      <c r="C523" s="33" t="str">
        <f t="shared" si="43"/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 t="shared" si="46"/>
        <v>"EQU.485"</v>
      </c>
      <c r="N523" s="31" t="s">
        <v>1063</v>
      </c>
      <c r="O523" s="60" t="s">
        <v>1444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  <c r="Z523" s="58" t="s">
        <v>1444</v>
      </c>
    </row>
    <row r="524" spans="1:26" ht="6" customHeight="1" x14ac:dyDescent="0.3">
      <c r="A524" s="47">
        <v>522</v>
      </c>
      <c r="B524" s="55" t="s">
        <v>515</v>
      </c>
      <c r="C524" s="33" t="str">
        <f t="shared" si="43"/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 t="shared" si="46"/>
        <v>"EQU.486"</v>
      </c>
      <c r="N524" s="31" t="s">
        <v>1063</v>
      </c>
      <c r="O524" s="60" t="s">
        <v>1371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  <c r="Z524" s="58" t="s">
        <v>1371</v>
      </c>
    </row>
    <row r="525" spans="1:26" ht="6" customHeight="1" x14ac:dyDescent="0.3">
      <c r="A525" s="47">
        <v>523</v>
      </c>
      <c r="B525" s="55" t="s">
        <v>516</v>
      </c>
      <c r="C525" s="33" t="str">
        <f t="shared" si="43"/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 t="shared" si="46"/>
        <v>"EQU.487"</v>
      </c>
      <c r="N525" s="31" t="s">
        <v>1063</v>
      </c>
      <c r="O525" s="60" t="s">
        <v>1527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  <c r="Z525" s="58" t="s">
        <v>1527</v>
      </c>
    </row>
    <row r="526" spans="1:26" ht="6" customHeight="1" x14ac:dyDescent="0.3">
      <c r="A526" s="47">
        <v>524</v>
      </c>
      <c r="B526" s="55" t="s">
        <v>517</v>
      </c>
      <c r="C526" s="33" t="str">
        <f t="shared" si="43"/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 t="shared" si="46"/>
        <v>"EQU.488"</v>
      </c>
      <c r="N526" s="31" t="s">
        <v>1063</v>
      </c>
      <c r="O526" s="60" t="s">
        <v>1524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  <c r="Z526" s="58" t="s">
        <v>1524</v>
      </c>
    </row>
    <row r="527" spans="1:26" ht="6" customHeight="1" x14ac:dyDescent="0.3">
      <c r="A527" s="47">
        <v>525</v>
      </c>
      <c r="B527" s="55" t="s">
        <v>518</v>
      </c>
      <c r="C527" s="33" t="str">
        <f t="shared" si="43"/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 t="shared" si="46"/>
        <v>"EQU.489"</v>
      </c>
      <c r="N527" s="31" t="s">
        <v>1063</v>
      </c>
      <c r="O527" s="60" t="s">
        <v>1431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  <c r="Z527" s="58" t="s">
        <v>1431</v>
      </c>
    </row>
    <row r="528" spans="1:26" ht="6" customHeight="1" x14ac:dyDescent="0.3">
      <c r="A528" s="47">
        <v>526</v>
      </c>
      <c r="B528" s="55" t="s">
        <v>519</v>
      </c>
      <c r="C528" s="33" t="str">
        <f t="shared" si="43"/>
        <v>SUS.Equipamento</v>
      </c>
      <c r="D528" s="53" t="s">
        <v>1185</v>
      </c>
      <c r="E528" s="54" t="s">
        <v>1186</v>
      </c>
      <c r="F528" s="53" t="s">
        <v>1196</v>
      </c>
      <c r="G528" s="54" t="s">
        <v>1282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 t="shared" si="46"/>
        <v>"EQU.490"</v>
      </c>
      <c r="N528" s="31" t="s">
        <v>1063</v>
      </c>
      <c r="O528" s="60" t="s">
        <v>1450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  <c r="Z528" s="58" t="s">
        <v>1450</v>
      </c>
    </row>
    <row r="529" spans="1:26" ht="6" customHeight="1" x14ac:dyDescent="0.3">
      <c r="A529" s="47">
        <v>527</v>
      </c>
      <c r="B529" s="55" t="s">
        <v>520</v>
      </c>
      <c r="C529" s="33" t="str">
        <f t="shared" si="43"/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 t="shared" si="46"/>
        <v>"EQU.491"</v>
      </c>
      <c r="N529" s="31" t="s">
        <v>1063</v>
      </c>
      <c r="O529" s="60" t="s">
        <v>1483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  <c r="Z529" s="58" t="s">
        <v>1483</v>
      </c>
    </row>
    <row r="530" spans="1:26" ht="6" customHeight="1" x14ac:dyDescent="0.3">
      <c r="A530" s="47">
        <v>528</v>
      </c>
      <c r="B530" s="55" t="s">
        <v>521</v>
      </c>
      <c r="C530" s="33" t="str">
        <f t="shared" si="43"/>
        <v>SUS.Mobília.de.Saúde</v>
      </c>
      <c r="D530" s="53" t="s">
        <v>1185</v>
      </c>
      <c r="E530" s="54" t="s">
        <v>1186</v>
      </c>
      <c r="F530" s="53" t="s">
        <v>1272</v>
      </c>
      <c r="G530" s="54" t="s">
        <v>1207</v>
      </c>
      <c r="H530" s="53" t="s">
        <v>26</v>
      </c>
      <c r="I530" s="54" t="s">
        <v>26</v>
      </c>
      <c r="J530" s="31" t="s">
        <v>1260</v>
      </c>
      <c r="K530" s="52" t="s">
        <v>1554</v>
      </c>
      <c r="L530" s="31" t="s">
        <v>1074</v>
      </c>
      <c r="M530" s="52" t="str">
        <f t="shared" si="46"/>
        <v>"EQU.492"</v>
      </c>
      <c r="N530" s="31" t="s">
        <v>1063</v>
      </c>
      <c r="O530" s="60" t="s">
        <v>1309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  <c r="Z530" s="58" t="s">
        <v>1309</v>
      </c>
    </row>
    <row r="531" spans="1:26" ht="6" customHeight="1" x14ac:dyDescent="0.3">
      <c r="A531" s="47">
        <v>529</v>
      </c>
      <c r="B531" s="55" t="s">
        <v>522</v>
      </c>
      <c r="C531" s="33" t="str">
        <f t="shared" si="43"/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 t="shared" si="46"/>
        <v>"EQU.493"</v>
      </c>
      <c r="N531" s="31" t="s">
        <v>1063</v>
      </c>
      <c r="O531" s="60" t="s">
        <v>1310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  <c r="Z531" s="58" t="s">
        <v>1310</v>
      </c>
    </row>
    <row r="532" spans="1:26" ht="6" customHeight="1" x14ac:dyDescent="0.3">
      <c r="A532" s="47">
        <v>530</v>
      </c>
      <c r="B532" s="55" t="s">
        <v>523</v>
      </c>
      <c r="C532" s="33" t="str">
        <f t="shared" si="43"/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 t="shared" si="46"/>
        <v>"EQU.494"</v>
      </c>
      <c r="N532" s="31" t="s">
        <v>1063</v>
      </c>
      <c r="O532" s="60" t="s">
        <v>1310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  <c r="Z532" s="58" t="s">
        <v>1310</v>
      </c>
    </row>
    <row r="533" spans="1:26" ht="6" customHeight="1" x14ac:dyDescent="0.3">
      <c r="A533" s="47">
        <v>531</v>
      </c>
      <c r="B533" s="55" t="s">
        <v>524</v>
      </c>
      <c r="C533" s="33" t="str">
        <f t="shared" si="43"/>
        <v>SUS.Mobília.de.Saúde</v>
      </c>
      <c r="D533" s="53" t="s">
        <v>1185</v>
      </c>
      <c r="E533" s="54" t="s">
        <v>1255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1590</v>
      </c>
      <c r="N533" s="31" t="s">
        <v>1063</v>
      </c>
      <c r="O533" s="60" t="s">
        <v>1604</v>
      </c>
      <c r="P533" s="31" t="s">
        <v>1020</v>
      </c>
      <c r="Q533" s="52" t="s">
        <v>1605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58" t="s">
        <v>1338</v>
      </c>
    </row>
    <row r="534" spans="1:26" ht="6" customHeight="1" x14ac:dyDescent="0.3">
      <c r="A534" s="47">
        <v>532</v>
      </c>
      <c r="B534" s="55" t="s">
        <v>525</v>
      </c>
      <c r="C534" s="33" t="str">
        <f t="shared" si="43"/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 t="shared" ref="M534:M545" si="47">_xlfn.CONCAT("""",B534,"""")</f>
        <v>"EQU.496"</v>
      </c>
      <c r="N534" s="31" t="s">
        <v>1063</v>
      </c>
      <c r="O534" s="60" t="s">
        <v>1412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  <c r="Z534" s="58" t="s">
        <v>1412</v>
      </c>
    </row>
    <row r="535" spans="1:26" ht="6" customHeight="1" x14ac:dyDescent="0.3">
      <c r="A535" s="47">
        <v>533</v>
      </c>
      <c r="B535" s="55" t="s">
        <v>526</v>
      </c>
      <c r="C535" s="33" t="str">
        <f t="shared" si="43"/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 t="shared" si="47"/>
        <v>"EQU.497"</v>
      </c>
      <c r="N535" s="31" t="s">
        <v>1063</v>
      </c>
      <c r="O535" s="60" t="s">
        <v>1413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  <c r="Z535" s="58" t="s">
        <v>1413</v>
      </c>
    </row>
    <row r="536" spans="1:26" ht="6" customHeight="1" x14ac:dyDescent="0.3">
      <c r="A536" s="47">
        <v>534</v>
      </c>
      <c r="B536" s="55" t="s">
        <v>527</v>
      </c>
      <c r="C536" s="33" t="str">
        <f t="shared" si="43"/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 t="shared" si="47"/>
        <v>"EQU.498"</v>
      </c>
      <c r="N536" s="31" t="s">
        <v>1063</v>
      </c>
      <c r="O536" s="60" t="s">
        <v>1432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  <c r="Z536" s="58" t="s">
        <v>1432</v>
      </c>
    </row>
    <row r="537" spans="1:26" ht="6" customHeight="1" x14ac:dyDescent="0.3">
      <c r="A537" s="47">
        <v>535</v>
      </c>
      <c r="B537" s="55" t="s">
        <v>528</v>
      </c>
      <c r="C537" s="33" t="str">
        <f t="shared" si="43"/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 t="shared" si="47"/>
        <v>"EQU.499"</v>
      </c>
      <c r="N537" s="31" t="s">
        <v>1063</v>
      </c>
      <c r="O537" s="60" t="s">
        <v>1350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  <c r="Z537" s="58" t="s">
        <v>1350</v>
      </c>
    </row>
    <row r="538" spans="1:26" ht="6" customHeight="1" x14ac:dyDescent="0.3">
      <c r="A538" s="47">
        <v>536</v>
      </c>
      <c r="B538" s="55" t="s">
        <v>529</v>
      </c>
      <c r="C538" s="33" t="str">
        <f t="shared" si="43"/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 t="shared" si="47"/>
        <v>"EQU.500"</v>
      </c>
      <c r="N538" s="31" t="s">
        <v>1063</v>
      </c>
      <c r="O538" s="60" t="s">
        <v>1328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  <c r="Z538" s="58" t="s">
        <v>1328</v>
      </c>
    </row>
    <row r="539" spans="1:26" ht="6" customHeight="1" x14ac:dyDescent="0.3">
      <c r="A539" s="47">
        <v>537</v>
      </c>
      <c r="B539" s="55" t="s">
        <v>530</v>
      </c>
      <c r="C539" s="33" t="str">
        <f t="shared" si="43"/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 t="shared" si="47"/>
        <v>"EQU.501"</v>
      </c>
      <c r="N539" s="31" t="s">
        <v>1063</v>
      </c>
      <c r="O539" s="60" t="s">
        <v>1350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  <c r="Z539" s="58" t="s">
        <v>1350</v>
      </c>
    </row>
    <row r="540" spans="1:26" ht="6" customHeight="1" x14ac:dyDescent="0.3">
      <c r="A540" s="47">
        <v>538</v>
      </c>
      <c r="B540" s="55" t="s">
        <v>531</v>
      </c>
      <c r="C540" s="33" t="str">
        <f t="shared" si="43"/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 t="shared" si="47"/>
        <v>"EQU.502"</v>
      </c>
      <c r="N540" s="31" t="s">
        <v>1063</v>
      </c>
      <c r="O540" s="60" t="s">
        <v>1350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  <c r="Z540" s="58" t="s">
        <v>1350</v>
      </c>
    </row>
    <row r="541" spans="1:26" ht="6" customHeight="1" x14ac:dyDescent="0.3">
      <c r="A541" s="47">
        <v>539</v>
      </c>
      <c r="B541" s="55" t="s">
        <v>532</v>
      </c>
      <c r="C541" s="33" t="str">
        <f t="shared" si="43"/>
        <v>SUS.Mobília.de.Saúde</v>
      </c>
      <c r="D541" s="53" t="s">
        <v>1185</v>
      </c>
      <c r="E541" s="54" t="s">
        <v>1186</v>
      </c>
      <c r="F541" s="53" t="s">
        <v>1272</v>
      </c>
      <c r="G541" s="54" t="s">
        <v>1273</v>
      </c>
      <c r="H541" s="53" t="s">
        <v>26</v>
      </c>
      <c r="I541" s="54" t="s">
        <v>26</v>
      </c>
      <c r="J541" s="31" t="s">
        <v>1260</v>
      </c>
      <c r="K541" s="52" t="s">
        <v>1179</v>
      </c>
      <c r="L541" s="31" t="s">
        <v>1074</v>
      </c>
      <c r="M541" s="52" t="str">
        <f t="shared" si="47"/>
        <v>"EQU.503"</v>
      </c>
      <c r="N541" s="31" t="s">
        <v>1063</v>
      </c>
      <c r="O541" s="60" t="s">
        <v>1292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  <c r="Z541" s="58" t="s">
        <v>1292</v>
      </c>
    </row>
    <row r="542" spans="1:26" ht="6" customHeight="1" x14ac:dyDescent="0.3">
      <c r="A542" s="47">
        <v>540</v>
      </c>
      <c r="B542" s="55" t="s">
        <v>533</v>
      </c>
      <c r="C542" s="33" t="str">
        <f t="shared" si="43"/>
        <v>SUS.Mobília.de.Saúde</v>
      </c>
      <c r="D542" s="53" t="s">
        <v>1185</v>
      </c>
      <c r="E542" s="54" t="s">
        <v>1186</v>
      </c>
      <c r="F542" s="53" t="s">
        <v>1272</v>
      </c>
      <c r="G542" s="54" t="s">
        <v>1211</v>
      </c>
      <c r="H542" s="53" t="s">
        <v>26</v>
      </c>
      <c r="I542" s="54" t="s">
        <v>26</v>
      </c>
      <c r="J542" s="31" t="s">
        <v>1260</v>
      </c>
      <c r="K542" s="52" t="s">
        <v>1181</v>
      </c>
      <c r="L542" s="31" t="s">
        <v>1074</v>
      </c>
      <c r="M542" s="52" t="str">
        <f t="shared" si="47"/>
        <v>"EQU.504"</v>
      </c>
      <c r="N542" s="31" t="s">
        <v>1063</v>
      </c>
      <c r="O542" s="60" t="s">
        <v>1309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  <c r="Z542" s="58" t="s">
        <v>1309</v>
      </c>
    </row>
    <row r="543" spans="1:26" ht="6" customHeight="1" x14ac:dyDescent="0.3">
      <c r="A543" s="47">
        <v>541</v>
      </c>
      <c r="B543" s="55" t="s">
        <v>534</v>
      </c>
      <c r="C543" s="33" t="str">
        <f t="shared" si="43"/>
        <v>SUS.Equipamento</v>
      </c>
      <c r="D543" s="53" t="s">
        <v>1185</v>
      </c>
      <c r="E543" s="54" t="s">
        <v>1186</v>
      </c>
      <c r="F543" s="53" t="s">
        <v>1196</v>
      </c>
      <c r="G543" s="54" t="s">
        <v>1282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 t="shared" si="47"/>
        <v>"EQU.505"</v>
      </c>
      <c r="N543" s="31" t="s">
        <v>1063</v>
      </c>
      <c r="O543" s="60" t="s">
        <v>1440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  <c r="Z543" s="58" t="s">
        <v>1440</v>
      </c>
    </row>
    <row r="544" spans="1:26" ht="6" customHeight="1" x14ac:dyDescent="0.3">
      <c r="A544" s="47">
        <v>542</v>
      </c>
      <c r="B544" s="55" t="s">
        <v>535</v>
      </c>
      <c r="C544" s="33" t="str">
        <f t="shared" si="43"/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 t="shared" si="47"/>
        <v>"EQU.506"</v>
      </c>
      <c r="N544" s="31" t="s">
        <v>1063</v>
      </c>
      <c r="O544" s="60" t="s">
        <v>1314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  <c r="Z544" s="58" t="s">
        <v>1314</v>
      </c>
    </row>
    <row r="545" spans="1:26" ht="6" customHeight="1" x14ac:dyDescent="0.3">
      <c r="A545" s="47">
        <v>543</v>
      </c>
      <c r="B545" s="55" t="s">
        <v>536</v>
      </c>
      <c r="C545" s="33" t="str">
        <f t="shared" si="43"/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 t="shared" si="47"/>
        <v>"EQU.507"</v>
      </c>
      <c r="N545" s="31" t="s">
        <v>1063</v>
      </c>
      <c r="O545" s="60" t="s">
        <v>1350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  <c r="Z545" s="58" t="s">
        <v>1350</v>
      </c>
    </row>
    <row r="546" spans="1:26" ht="6" customHeight="1" x14ac:dyDescent="0.3">
      <c r="A546" s="47">
        <v>544</v>
      </c>
      <c r="B546" s="55" t="s">
        <v>537</v>
      </c>
      <c r="C546" s="33" t="str">
        <f t="shared" si="43"/>
        <v>SUS.Mobília.de.Saúde</v>
      </c>
      <c r="D546" s="53" t="s">
        <v>1185</v>
      </c>
      <c r="E546" s="54" t="s">
        <v>1255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1591</v>
      </c>
      <c r="N546" s="31" t="s">
        <v>1063</v>
      </c>
      <c r="O546" s="60" t="s">
        <v>1604</v>
      </c>
      <c r="P546" s="31" t="s">
        <v>1020</v>
      </c>
      <c r="Q546" s="52" t="s">
        <v>1605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58" t="s">
        <v>1338</v>
      </c>
    </row>
    <row r="547" spans="1:26" ht="6" customHeight="1" x14ac:dyDescent="0.3">
      <c r="A547" s="47">
        <v>545</v>
      </c>
      <c r="B547" s="55" t="s">
        <v>538</v>
      </c>
      <c r="C547" s="33" t="str">
        <f t="shared" si="43"/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 t="shared" ref="M547:M557" si="48">_xlfn.CONCAT("""",B547,"""")</f>
        <v>"EQU.509"</v>
      </c>
      <c r="N547" s="31" t="s">
        <v>1063</v>
      </c>
      <c r="O547" s="60" t="s">
        <v>1414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  <c r="Z547" s="58" t="s">
        <v>1414</v>
      </c>
    </row>
    <row r="548" spans="1:26" ht="6" customHeight="1" x14ac:dyDescent="0.3">
      <c r="A548" s="47">
        <v>546</v>
      </c>
      <c r="B548" s="55" t="s">
        <v>539</v>
      </c>
      <c r="C548" s="33" t="str">
        <f t="shared" si="43"/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 t="shared" si="48"/>
        <v>"EQU.510"</v>
      </c>
      <c r="N548" s="31" t="s">
        <v>1063</v>
      </c>
      <c r="O548" s="60" t="s">
        <v>1415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  <c r="Z548" s="58" t="s">
        <v>1415</v>
      </c>
    </row>
    <row r="549" spans="1:26" ht="6" customHeight="1" x14ac:dyDescent="0.3">
      <c r="A549" s="47">
        <v>547</v>
      </c>
      <c r="B549" s="55" t="s">
        <v>540</v>
      </c>
      <c r="C549" s="33" t="str">
        <f t="shared" si="43"/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 t="shared" si="48"/>
        <v>"EQU.511"</v>
      </c>
      <c r="N549" s="31" t="s">
        <v>1063</v>
      </c>
      <c r="O549" s="60" t="s">
        <v>1356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  <c r="Z549" s="58" t="s">
        <v>1356</v>
      </c>
    </row>
    <row r="550" spans="1:26" ht="6" customHeight="1" x14ac:dyDescent="0.3">
      <c r="A550" s="47">
        <v>548</v>
      </c>
      <c r="B550" s="55" t="s">
        <v>541</v>
      </c>
      <c r="C550" s="33" t="str">
        <f t="shared" si="43"/>
        <v>SUS.Mobília.de.Saúde</v>
      </c>
      <c r="D550" s="53" t="s">
        <v>1185</v>
      </c>
      <c r="E550" s="54" t="s">
        <v>1186</v>
      </c>
      <c r="F550" s="53" t="s">
        <v>1272</v>
      </c>
      <c r="G550" s="54" t="s">
        <v>1202</v>
      </c>
      <c r="H550" s="53" t="s">
        <v>26</v>
      </c>
      <c r="I550" s="54" t="s">
        <v>26</v>
      </c>
      <c r="J550" s="31" t="s">
        <v>1260</v>
      </c>
      <c r="K550" s="52" t="s">
        <v>1553</v>
      </c>
      <c r="L550" s="31" t="s">
        <v>1074</v>
      </c>
      <c r="M550" s="52" t="str">
        <f t="shared" si="48"/>
        <v>"EQU.512"</v>
      </c>
      <c r="N550" s="31" t="s">
        <v>1063</v>
      </c>
      <c r="O550" s="60" t="s">
        <v>1306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  <c r="Z550" s="58" t="s">
        <v>1306</v>
      </c>
    </row>
    <row r="551" spans="1:26" ht="6" customHeight="1" x14ac:dyDescent="0.3">
      <c r="A551" s="47">
        <v>549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 t="shared" si="48"/>
        <v>"EQU.513"</v>
      </c>
      <c r="N551" s="31" t="s">
        <v>1063</v>
      </c>
      <c r="O551" s="60" t="s">
        <v>1280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  <c r="Z551" s="58" t="s">
        <v>1280</v>
      </c>
    </row>
    <row r="552" spans="1:26" ht="6" customHeight="1" x14ac:dyDescent="0.3">
      <c r="A552" s="47">
        <v>550</v>
      </c>
      <c r="B552" s="55" t="s">
        <v>543</v>
      </c>
      <c r="C552" s="33" t="str">
        <f t="shared" si="49"/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 t="shared" si="48"/>
        <v>"EQU.514"</v>
      </c>
      <c r="N552" s="31" t="s">
        <v>1063</v>
      </c>
      <c r="O552" s="60" t="s">
        <v>1484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  <c r="Z552" s="58" t="s">
        <v>1484</v>
      </c>
    </row>
    <row r="553" spans="1:26" ht="6" customHeight="1" x14ac:dyDescent="0.3">
      <c r="A553" s="47">
        <v>551</v>
      </c>
      <c r="B553" s="55" t="s">
        <v>544</v>
      </c>
      <c r="C553" s="33" t="str">
        <f t="shared" si="49"/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 t="shared" si="48"/>
        <v>"EQU.515"</v>
      </c>
      <c r="N553" s="31" t="s">
        <v>1063</v>
      </c>
      <c r="O553" s="60" t="s">
        <v>1316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  <c r="Z553" s="58" t="s">
        <v>1316</v>
      </c>
    </row>
    <row r="554" spans="1:26" ht="6" customHeight="1" x14ac:dyDescent="0.3">
      <c r="A554" s="47">
        <v>552</v>
      </c>
      <c r="B554" s="55" t="s">
        <v>545</v>
      </c>
      <c r="C554" s="33" t="str">
        <f t="shared" si="49"/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 t="shared" si="48"/>
        <v>"EQU.516"</v>
      </c>
      <c r="N554" s="31" t="s">
        <v>1063</v>
      </c>
      <c r="O554" s="60" t="s">
        <v>1485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  <c r="Z554" s="58" t="s">
        <v>1485</v>
      </c>
    </row>
    <row r="555" spans="1:26" ht="6" customHeight="1" x14ac:dyDescent="0.3">
      <c r="A555" s="47">
        <v>553</v>
      </c>
      <c r="B555" s="55" t="s">
        <v>546</v>
      </c>
      <c r="C555" s="33" t="str">
        <f t="shared" si="49"/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 t="shared" si="48"/>
        <v>"EQU.517"</v>
      </c>
      <c r="N555" s="31" t="s">
        <v>1063</v>
      </c>
      <c r="O555" s="60" t="s">
        <v>1284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  <c r="Z555" s="58" t="s">
        <v>1284</v>
      </c>
    </row>
    <row r="556" spans="1:26" ht="6" customHeight="1" x14ac:dyDescent="0.3">
      <c r="A556" s="47">
        <v>554</v>
      </c>
      <c r="B556" s="55" t="s">
        <v>547</v>
      </c>
      <c r="C556" s="33" t="str">
        <f t="shared" si="49"/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 t="shared" si="48"/>
        <v>"EQU.518"</v>
      </c>
      <c r="N556" s="31" t="s">
        <v>1063</v>
      </c>
      <c r="O556" s="60" t="s">
        <v>1350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  <c r="Z556" s="58" t="s">
        <v>1350</v>
      </c>
    </row>
    <row r="557" spans="1:26" ht="6" customHeight="1" x14ac:dyDescent="0.3">
      <c r="A557" s="47">
        <v>555</v>
      </c>
      <c r="B557" s="55" t="s">
        <v>548</v>
      </c>
      <c r="C557" s="33" t="str">
        <f t="shared" si="49"/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 t="shared" si="48"/>
        <v>"EQU.519"</v>
      </c>
      <c r="N557" s="31" t="s">
        <v>1063</v>
      </c>
      <c r="O557" s="60" t="s">
        <v>1547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  <c r="Z557" s="58" t="s">
        <v>1547</v>
      </c>
    </row>
  </sheetData>
  <sortState xmlns:xlrd2="http://schemas.microsoft.com/office/spreadsheetml/2017/richdata2" ref="A2:Z558">
    <sortCondition ref="A1:A558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2025-11-03T20:32:56Z</dcterms:modified>
</cp:coreProperties>
</file>