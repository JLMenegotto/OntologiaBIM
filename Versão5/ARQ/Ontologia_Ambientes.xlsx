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164A3F43-B303-4FF2-BB1D-DE4F2A2A556F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3" i="9" l="1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49" i="9"/>
  <c r="V49" i="9"/>
  <c r="U49" i="9"/>
  <c r="T49" i="9"/>
  <c r="O49" i="9"/>
  <c r="N49" i="9"/>
  <c r="M49" i="9"/>
  <c r="L49" i="9"/>
  <c r="X182" i="9"/>
  <c r="X183" i="9"/>
  <c r="X184" i="9"/>
  <c r="X185" i="9"/>
  <c r="X186" i="9"/>
  <c r="X177" i="9" l="1"/>
  <c r="X178" i="9"/>
  <c r="X179" i="9"/>
  <c r="X180" i="9"/>
  <c r="X181" i="9"/>
  <c r="X9" i="9" l="1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<sst xmlns="http://schemas.openxmlformats.org/spreadsheetml/2006/main" count="4099" uniqueCount="960">
  <si>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</si>
  <si>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</si>
  <si>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</si>
  <si>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</si>
  <si>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</si>
  <si>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</si>
  <si>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</si>
  <si>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</si>
  <si>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</si>
  <si>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</si>
  <si>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</si>
  <si>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</si>
  <si>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</si>
  <si>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</si>
  <si>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</si>
  <si>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</si>
  <si>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</si>
  <si>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</si>
  <si>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</si>
  <si>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</si>
  <si>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</si>
  <si>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</si>
  <si>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</si>
  <si>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</si>
  <si>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</si>
  <si>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</si>
  <si>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</si>
  <si>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</si>
  <si>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</si>
  <si>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</si>
  <si>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</si>
  <si>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</si>
  <si>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</si>
  <si>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</si>
  <si>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</si>
  <si>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</si>
  <si>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</si>
  <si>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</si>
  <si>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</si>
  <si>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</si>
  <si>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</si>
  <si>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</si>
  <si>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</si>
  <si>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</si>
  <si>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</si>
  <si>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</si>
  <si>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</si>
  <si>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</si>
  <si>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</si>
  <si>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</si>
  <si>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</si>
  <si>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</si>
  <si>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</si>
  <si>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</si>
  <si>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</si>
  <si>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</si>
  <si>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</si>
  <si>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</si>
  <si>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</si>
  <si>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</si>
  <si>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</si>
  <si>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</si>
  <si>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</si>
  <si>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</si>
  <si>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</si>
  <si>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</si>
  <si>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</si>
  <si>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</si>
  <si>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</si>
  <si>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</si>
  <si>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</si>
  <si>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</si>
  <si>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</si>
  <si>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</si>
  <si>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</si>
  <si>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</si>
  <si>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</si>
  <si>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</si>
  <si>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</si>
  <si>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</si>
  <si>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</si>
  <si>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</si>
  <si>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</si>
  <si>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</si>
  <si>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</si>
  <si>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</si>
  <si>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</si>
  <si>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</si>
  <si>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</si>
  <si>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</si>
  <si>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</si>
  <si>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</si>
  <si>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</si>
  <si>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</si>
  <si>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</si>
  <si>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</si>
  <si>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</si>
  <si>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</si>
  <si>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</si>
  <si>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</si>
  <si>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</si>
  <si>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</si>
  <si>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</si>
  <si>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</si>
  <si>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</si>
  <si>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</si>
  <si>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</si>
  <si>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</si>
  <si>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</si>
  <si>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</si>
  <si>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</si>
  <si>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</si>
  <si>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</si>
  <si>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</si>
  <si>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</si>
  <si>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</si>
  <si>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</si>
  <si>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</si>
  <si>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</si>
  <si>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</si>
  <si>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</si>
  <si>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</si>
  <si>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</si>
  <si>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</si>
  <si>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</si>
  <si>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</si>
  <si>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Espaço exposto aos espectadores, onde os atores se apresentam. Pode ser elevado, plano, giratório, italiano, arena, entre outros formatos.</t>
  </si>
  <si>
    <t>Espaço oculto e posterior ao palco, atrás da área de atuação dos artistas. Pode abrigar diversos elementos cenográficos, técnicos e funcionais à peça.</t>
  </si>
  <si>
    <t>Espaço entre a plateia e o palco, normalmente abaixo do palco, para acomodar a orquestra durante um espetáculo musical ou de dança.</t>
  </si>
  <si>
    <t>Espaço no nível do palco, onde o público se acomoda com visão frontal ao palco.</t>
  </si>
  <si>
    <t>Espaço integrado à plateia, mas em nível superior onde o público se acomoda com visão frontal do palco.</t>
  </si>
  <si>
    <t>Espaço integrado à sala de espetáculo, geralmente reservado e com melhor visibilidade e conforto.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</si>
  <si>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</si>
  <si>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</si>
  <si>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</si>
  <si>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</si>
  <si>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</si>
  <si>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</si>
  <si>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</si>
  <si>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</si>
  <si>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</si>
  <si>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</si>
  <si>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</si>
  <si>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</si>
  <si>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</si>
  <si>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</si>
  <si>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</si>
  <si>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</si>
  <si>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</si>
  <si>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</si>
  <si>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</si>
  <si>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</si>
  <si>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</si>
  <si>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</si>
  <si>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</si>
  <si>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</si>
  <si>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</si>
  <si>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</si>
  <si>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</si>
  <si>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</si>
  <si>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</si>
  <si>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</si>
  <si>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</si>
  <si>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</si>
  <si>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</si>
  <si>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</si>
  <si>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</si>
  <si>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</si>
  <si>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</si>
  <si>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</si>
  <si>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</si>
  <si>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</si>
  <si>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</si>
  <si>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</si>
  <si>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</si>
  <si>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</si>
  <si>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</si>
  <si>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</si>
  <si>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</si>
  <si>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</si>
  <si>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</si>
  <si>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</si>
  <si>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</si>
  <si>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</si>
  <si>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</si>
  <si>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</si>
  <si>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</si>
  <si>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</si>
  <si>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</si>
  <si>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</si>
  <si>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</si>
  <si>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</si>
  <si>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</si>
  <si>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</si>
  <si>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</si>
  <si>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</si>
  <si>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</si>
  <si>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</si>
  <si>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</si>
  <si>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</si>
  <si>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</si>
  <si>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</si>
  <si>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</si>
  <si>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</si>
  <si>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</si>
  <si>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</si>
  <si>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</si>
  <si>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</si>
  <si>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</si>
  <si>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</si>
  <si>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</si>
  <si>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</si>
  <si>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</si>
  <si>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</si>
  <si>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</si>
  <si>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</si>
  <si>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</si>
  <si>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</si>
  <si>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</si>
  <si>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</si>
  <si>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</si>
  <si>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</si>
  <si>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</si>
  <si>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</si>
  <si>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</si>
  <si>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</si>
  <si>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</si>
  <si>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</si>
  <si>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</si>
  <si>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</si>
  <si>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</si>
  <si>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</si>
  <si>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</si>
  <si>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</si>
  <si>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</si>
  <si>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</si>
  <si>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</si>
  <si>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</si>
  <si>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</si>
  <si>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</si>
  <si>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</si>
  <si>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</si>
  <si>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</si>
  <si>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</si>
  <si>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</si>
  <si>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</si>
  <si>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</si>
  <si>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</si>
  <si>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</si>
  <si>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</si>
  <si>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</si>
  <si>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</si>
  <si>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</si>
  <si>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</si>
  <si>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</si>
  <si>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</si>
  <si>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</si>
  <si>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</si>
  <si>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</si>
  <si>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</si>
  <si>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</si>
  <si>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</si>
  <si>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</si>
  <si>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</si>
  <si>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</si>
  <si>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</si>
  <si>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</si>
  <si>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</si>
  <si>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</si>
  <si>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</si>
  <si>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</si>
  <si>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</si>
  <si>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</si>
  <si>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</si>
  <si>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</si>
  <si>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</si>
  <si>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</si>
  <si>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</si>
  <si>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</si>
  <si>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</si>
  <si>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</si>
  <si>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</si>
  <si>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</si>
  <si>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</si>
  <si>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</si>
  <si>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</si>
  <si>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</si>
  <si>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</si>
  <si>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</si>
  <si>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</si>
  <si>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</si>
  <si>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</si>
  <si>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</si>
  <si>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</si>
  <si>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</si>
  <si>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</si>
  <si>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</si>
  <si>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</si>
  <si>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</si>
  <si>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</si>
  <si>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</si>
  <si>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</si>
  <si>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</si>
  <si>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</si>
  <si>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</si>
  <si>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</si>
  <si>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</si>
  <si>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</si>
  <si>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</si>
  <si>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</si>
  <si>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</si>
  <si>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</si>
  <si>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</si>
  <si>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</si>
  <si>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Espaço Industrial dimensionado e equipado como uma Oficina de Produção de bens em media ou baixa escala (móveis, equipamentos, pequenos veículos etc.). É preparado para montagens.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</si>
  <si>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</si>
  <si>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</si>
  <si>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</si>
  <si>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</si>
  <si>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</si>
  <si>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</si>
  <si>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</si>
  <si>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</si>
  <si>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</si>
  <si>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</si>
  <si>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</si>
  <si>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</si>
  <si>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</si>
  <si>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</si>
  <si>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</si>
  <si>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</si>
  <si>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</si>
  <si>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</si>
  <si>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</si>
  <si>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</si>
  <si>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</si>
  <si>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</si>
  <si>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</si>
  <si>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</si>
  <si>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</si>
  <si>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</si>
  <si>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</si>
  <si>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</si>
  <si>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</si>
  <si>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</si>
  <si>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</si>
  <si>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</si>
  <si>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</si>
  <si>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</si>
  <si>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</si>
  <si>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</si>
  <si>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</si>
  <si>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</si>
  <si>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</si>
  <si>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</si>
  <si>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</si>
  <si>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</si>
  <si>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</si>
  <si>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</si>
  <si>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</si>
  <si>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</si>
  <si>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</si>
  <si>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</si>
  <si>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</si>
  <si>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</si>
  <si>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</si>
  <si>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</si>
  <si>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</si>
  <si>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</si>
  <si>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</si>
  <si>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</si>
  <si>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</si>
  <si>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</si>
  <si>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</si>
  <si>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</si>
  <si>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</si>
  <si>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</si>
  <si>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</si>
  <si>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</si>
  <si>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Espaços arquitetônicos dimensionados como grandes ambientes estruturantes de um projeto, como plateias de cinema, teatro, etc.</t>
  </si>
  <si>
    <t>Ambiente.Esportivo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</si>
  <si>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</si>
  <si>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</si>
  <si>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</si>
  <si>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</si>
  <si>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</si>
  <si>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</si>
  <si>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</si>
  <si>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</si>
  <si>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</si>
  <si>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</si>
  <si>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</si>
  <si>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</si>
  <si>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</si>
  <si>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</si>
  <si>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</si>
  <si>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</si>
  <si>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</si>
  <si>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Novo Bloco Edificado</t>
  </si>
  <si>
    <t>Bloco Edificado existente</t>
  </si>
  <si>
    <t>Layout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</si>
  <si>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</si>
  <si>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</si>
  <si>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</si>
  <si>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</si>
  <si>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</si>
  <si>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</si>
  <si>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</si>
  <si>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</si>
  <si>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</si>
  <si>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</si>
  <si>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</si>
  <si>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</si>
  <si>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</si>
  <si>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</si>
  <si>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</si>
  <si>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</si>
  <si>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</si>
  <si>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</si>
  <si>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</si>
  <si>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</si>
  <si>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</si>
  <si>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</si>
  <si>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</si>
  <si>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</si>
  <si>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</si>
  <si>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</si>
  <si>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</si>
  <si>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</si>
  <si>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</si>
  <si>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</si>
  <si>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</si>
  <si>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</si>
  <si>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</si>
  <si>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</si>
  <si>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</si>
  <si>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</si>
  <si>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</si>
  <si>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</si>
  <si>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</si>
  <si>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</si>
  <si>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</si>
  <si>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</si>
  <si>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</si>
  <si>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</si>
  <si>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</si>
  <si>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</si>
  <si>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</si>
  <si>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</si>
  <si>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</si>
  <si>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</si>
  <si>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</si>
  <si>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</si>
  <si>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</si>
  <si>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</si>
  <si>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</si>
  <si>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</si>
  <si>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</si>
  <si>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</si>
  <si>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</si>
  <si>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</si>
  <si>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</si>
  <si>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</si>
  <si>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</si>
  <si>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</si>
  <si>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</si>
  <si>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</si>
  <si>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</si>
  <si>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</si>
  <si>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</si>
  <si>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</si>
  <si>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</si>
  <si>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</si>
  <si>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</si>
  <si>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</si>
  <si>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</si>
  <si>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</si>
  <si>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</si>
  <si>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</si>
  <si>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</si>
  <si>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</si>
  <si>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</si>
  <si>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</si>
  <si>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</si>
  <si>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</si>
  <si>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</si>
  <si>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</si>
  <si>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</si>
  <si>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</si>
  <si>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</si>
  <si>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</si>
  <si>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</si>
  <si>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</si>
  <si>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</si>
  <si>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</si>
  <si>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</si>
  <si>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</si>
  <si>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</si>
  <si>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</si>
  <si>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</si>
  <si>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</si>
  <si>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</si>
  <si>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</si>
  <si>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</si>
  <si>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</si>
  <si>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</si>
  <si>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</si>
  <si>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</si>
  <si>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</si>
  <si>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</si>
  <si>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</si>
  <si>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</si>
  <si>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</si>
  <si>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</si>
  <si>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</si>
  <si>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</si>
  <si>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</si>
  <si>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</si>
  <si>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</si>
  <si>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</si>
  <si>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</si>
  <si>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</si>
  <si>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</si>
  <si>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</si>
  <si>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</si>
  <si>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</si>
  <si>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</si>
  <si>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</si>
  <si>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</si>
  <si>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</si>
  <si>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</si>
  <si>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</si>
  <si>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</si>
  <si>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</si>
  <si>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</si>
  <si>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</si>
  <si>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</si>
  <si>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</si>
  <si>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</si>
  <si>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</si>
  <si>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</si>
  <si>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</si>
  <si>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</si>
  <si>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</si>
  <si>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</si>
  <si>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</si>
  <si>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</si>
  <si>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</si>
  <si>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</si>
  <si>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</si>
  <si>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</si>
  <si>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</si>
  <si>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</si>
  <si>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</si>
  <si>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</si>
  <si>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</si>
  <si>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</si>
  <si>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</si>
  <si>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</si>
  <si>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</si>
  <si>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</si>
  <si>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</si>
  <si>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</si>
  <si>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</si>
  <si>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</si>
  <si>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</si>
  <si>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</si>
  <si>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</si>
  <si>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</si>
  <si>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</si>
  <si>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</si>
  <si>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</si>
  <si>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</si>
  <si>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</si>
  <si>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</si>
  <si>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</si>
  <si>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</si>
  <si>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</si>
  <si>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</si>
  <si>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</si>
  <si>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</si>
  <si>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</si>
  <si>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</si>
  <si>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</si>
  <si>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</si>
  <si>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</si>
  <si>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</si>
  <si>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</si>
  <si>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</si>
  <si>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</si>
  <si>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</si>
  <si>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</si>
  <si>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</si>
  <si>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</si>
  <si>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</si>
  <si>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</si>
  <si>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</si>
  <si>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</si>
  <si>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</si>
  <si>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</si>
  <si>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</si>
  <si>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</si>
  <si>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</si>
  <si>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</si>
  <si>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</si>
  <si>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</si>
  <si>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</si>
  <si>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</si>
  <si>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</si>
  <si>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</si>
  <si>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</si>
  <si>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</si>
  <si>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</si>
  <si>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</si>
  <si>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</si>
  <si>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</si>
  <si>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</si>
  <si>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</si>
  <si>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</si>
  <si>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</si>
  <si>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</si>
  <si>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</si>
  <si>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</si>
  <si>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</si>
  <si>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</si>
  <si>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</si>
  <si>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</si>
  <si>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</si>
  <si>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</si>
  <si>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</si>
  <si>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</si>
  <si>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</si>
  <si>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</si>
  <si>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</si>
  <si>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</si>
  <si>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</si>
  <si>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</si>
  <si>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</si>
  <si>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</si>
  <si>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</si>
  <si>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</si>
  <si>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</si>
  <si>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</si>
  <si>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</si>
  <si>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</si>
  <si>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</si>
  <si>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</si>
  <si>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</si>
  <si>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</si>
  <si>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</si>
  <si>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</si>
  <si>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</si>
  <si>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</si>
  <si>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</si>
  <si>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</si>
  <si>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</si>
  <si>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</si>
  <si>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</si>
  <si>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</si>
  <si>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</si>
  <si>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</si>
  <si>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</si>
  <si>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</si>
  <si>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</si>
  <si>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</si>
  <si>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</si>
  <si>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</si>
  <si>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</si>
  <si>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</si>
  <si>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</si>
  <si>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</si>
  <si>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</si>
  <si>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</si>
  <si>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</si>
  <si>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</si>
  <si>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</si>
  <si>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</si>
  <si>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</si>
  <si>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</si>
  <si>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</si>
  <si>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</si>
  <si>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</si>
  <si>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</si>
  <si>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</si>
  <si>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</si>
  <si>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</si>
  <si>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</si>
  <si>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</si>
  <si>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</si>
  <si>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</si>
  <si>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</si>
  <si>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</si>
  <si>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</si>
  <si>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</si>
  <si>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</si>
  <si>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</si>
  <si>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</si>
  <si>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</si>
  <si>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</si>
  <si>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</si>
  <si>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</si>
  <si>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</si>
  <si>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</si>
  <si>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</si>
  <si>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</si>
  <si>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</si>
  <si>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</si>
  <si>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</si>
  <si>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</si>
  <si>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</si>
  <si>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</si>
  <si>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</si>
  <si>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</si>
  <si>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</si>
  <si>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</si>
  <si>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</si>
  <si>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</si>
  <si>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</si>
  <si>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</si>
  <si>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</si>
  <si>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</si>
  <si>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</si>
  <si>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</si>
  <si>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</si>
  <si>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</si>
  <si>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</si>
  <si>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</si>
  <si>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</si>
  <si>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</si>
  <si>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</si>
  <si>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</si>
  <si>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</si>
  <si>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</si>
  <si>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</si>
  <si>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</si>
  <si>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</si>
  <si>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</si>
  <si>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</si>
  <si>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</si>
  <si>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</si>
  <si>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</si>
  <si>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</si>
  <si>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</si>
  <si>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</si>
  <si>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</si>
  <si>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</si>
  <si>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</si>
  <si>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</si>
  <si>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</si>
  <si>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</si>
  <si>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</si>
  <si>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</si>
  <si>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</si>
  <si>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</si>
  <si>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</si>
  <si>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</si>
  <si>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</si>
  <si>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</si>
  <si>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</si>
  <si>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</si>
  <si>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</si>
  <si>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</si>
  <si>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</si>
  <si>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</si>
  <si>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</si>
  <si>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</si>
  <si>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</si>
  <si>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</si>
  <si>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</si>
  <si>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</si>
  <si>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</si>
  <si>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</si>
  <si>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</si>
  <si>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</si>
  <si>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</si>
  <si>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</si>
  <si>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</si>
  <si>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</si>
  <si>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</si>
  <si>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</si>
  <si>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</si>
  <si>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</si>
  <si>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</si>
  <si>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</si>
  <si>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</si>
  <si>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</si>
  <si>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</si>
  <si>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</si>
  <si>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</si>
  <si>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</si>
  <si>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</si>
  <si>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</si>
  <si>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</si>
  <si>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</si>
  <si>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</si>
  <si>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</si>
  <si>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</si>
  <si>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</si>
  <si>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</si>
  <si>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</si>
  <si>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</si>
  <si>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</si>
  <si>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</si>
  <si>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</si>
  <si>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</si>
  <si>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</si>
  <si>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</si>
  <si>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</si>
  <si>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</si>
  <si>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</si>
  <si>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</si>
  <si>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</si>
  <si>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</si>
  <si>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</si>
  <si>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</si>
  <si>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Parâmetro Rvt</t>
  </si>
  <si>
    <t>Atributo Ifc</t>
  </si>
  <si>
    <t>Código ABNT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</si>
  <si>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</si>
  <si>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</si>
  <si>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</si>
  <si>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</si>
  <si>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</si>
  <si>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</si>
  <si>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</si>
  <si>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</si>
  <si>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</si>
  <si>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</si>
  <si>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</si>
  <si>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</si>
  <si>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</si>
  <si>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</si>
  <si>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</si>
  <si>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</si>
  <si>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</si>
  <si>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</si>
  <si>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</si>
  <si>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</si>
  <si>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</si>
  <si>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</si>
  <si>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</si>
  <si>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</si>
  <si>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</si>
  <si>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</si>
  <si>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</si>
  <si>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</si>
  <si>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</si>
  <si>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</si>
  <si>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</si>
  <si>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</si>
  <si>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API.Macros.Visuais</t>
  </si>
  <si>
    <t>API.Método.Visual</t>
  </si>
  <si>
    <t>API Método Visual</t>
  </si>
  <si>
    <t>Bloco de Código</t>
  </si>
  <si>
    <t>API Macros Visuais</t>
  </si>
  <si>
    <t>Interop</t>
  </si>
  <si>
    <t>Amb.Articulador</t>
  </si>
  <si>
    <t>Amb.Inespecífico</t>
  </si>
  <si>
    <t>Amb.Shaft</t>
  </si>
  <si>
    <t>Amb.Acústico</t>
  </si>
  <si>
    <t>Amb.Anecóico</t>
  </si>
  <si>
    <t>Amb.Blindado</t>
  </si>
  <si>
    <t>Amb.Estacionamento</t>
  </si>
  <si>
    <t>Amb.Expositivo</t>
  </si>
  <si>
    <t>Amb.Frio</t>
  </si>
  <si>
    <t>Amb.Gastronômico</t>
  </si>
  <si>
    <t>Amb.Grande</t>
  </si>
  <si>
    <t>Amb.Logístico</t>
  </si>
  <si>
    <t>Amb.Manutenção</t>
  </si>
  <si>
    <t>Amb.Quarentena</t>
  </si>
  <si>
    <t>Amb.Reverberante</t>
  </si>
  <si>
    <t>Amb.Teca</t>
  </si>
  <si>
    <t>Amb.Telemático</t>
  </si>
  <si>
    <t>Amb.Tério</t>
  </si>
  <si>
    <t>Amb.Tribunal</t>
  </si>
  <si>
    <t>Amb.Arquibancada</t>
  </si>
  <si>
    <t>Amb.Esportivo</t>
  </si>
  <si>
    <t>Amb.Piscina.Esportiva</t>
  </si>
  <si>
    <t>Amb.Pista.Esportiva</t>
  </si>
  <si>
    <t>Amb.Quadra.Esportiva</t>
  </si>
  <si>
    <t>Amb.Vestiário.Esportivo</t>
  </si>
  <si>
    <t>Amb.Trabalho</t>
  </si>
  <si>
    <t>Amb.Trocas</t>
  </si>
  <si>
    <t>Amb.Higiene</t>
  </si>
  <si>
    <t>Amb.Intimo</t>
  </si>
  <si>
    <t xml:space="preserve">Amb.Lazer </t>
  </si>
  <si>
    <t>Amb.Profissional</t>
  </si>
  <si>
    <t>Amb.Serviço</t>
  </si>
  <si>
    <t>Amb.Social</t>
  </si>
  <si>
    <t>Amb.Análises</t>
  </si>
  <si>
    <t>Amb.Consultório</t>
  </si>
  <si>
    <t>Amb.Emergência</t>
  </si>
  <si>
    <t>Amb.Enfermagem</t>
  </si>
  <si>
    <t>Amb.Espera</t>
  </si>
  <si>
    <t>Amb.Exames</t>
  </si>
  <si>
    <t>Amb.Hidroterapia</t>
  </si>
  <si>
    <t>Amb.Internação</t>
  </si>
  <si>
    <t>Amb.Quirúrgico</t>
  </si>
  <si>
    <t>Amb.Saúde</t>
  </si>
  <si>
    <t>Amb.Terapia</t>
  </si>
  <si>
    <t>Amb.Triagem</t>
  </si>
  <si>
    <t>Amb.UTI</t>
  </si>
  <si>
    <t>Amb.Veicular</t>
  </si>
  <si>
    <t>Amb.Biossegurança.NB1</t>
  </si>
  <si>
    <t>Amb.Biossegurança.NB2</t>
  </si>
  <si>
    <t>Amb.Biossegurança.NB3</t>
  </si>
  <si>
    <t>Amb.Biossegurança.NB4</t>
  </si>
  <si>
    <t>Amb.Paramentação</t>
  </si>
  <si>
    <t>Amb.Infantil</t>
  </si>
  <si>
    <t>Amb.Ensino</t>
  </si>
  <si>
    <t>Amb.Ensino.Artístico</t>
  </si>
  <si>
    <t>Amb.Ensino.Científico</t>
  </si>
  <si>
    <t>Amb.Ensino.Técnico</t>
  </si>
  <si>
    <t>Amb.Ensino.Informática</t>
  </si>
  <si>
    <t>Amb.Ensino.Química</t>
  </si>
  <si>
    <t>Amb.Ensino.Física</t>
  </si>
  <si>
    <t>Amb.Ensino.Biologia</t>
  </si>
  <si>
    <t>Amb.Ensino.Música</t>
  </si>
  <si>
    <t>Amb.Ensino.FabLab</t>
  </si>
  <si>
    <t>Amb.Recreativo</t>
  </si>
  <si>
    <t>Amb.Camarim</t>
  </si>
  <si>
    <t>Amb.Proscênio</t>
  </si>
  <si>
    <t>Amb.Palco</t>
  </si>
  <si>
    <t>Amb.Fundo.do.Palco</t>
  </si>
  <si>
    <t>Amb.Coxia</t>
  </si>
  <si>
    <t>Amb.Foso</t>
  </si>
  <si>
    <t>Amb.Plateia</t>
  </si>
  <si>
    <t>Amb.Balção</t>
  </si>
  <si>
    <t>Amb.Camarote</t>
  </si>
  <si>
    <t>Amb.Galeria</t>
  </si>
  <si>
    <t>Amb.Nave.Industrial</t>
  </si>
  <si>
    <t>Amb.Galpão.Industrial</t>
  </si>
  <si>
    <t>Amb.Siderúrgico</t>
  </si>
  <si>
    <t>Amb.Manufatura</t>
  </si>
  <si>
    <t>Amb.Oficina</t>
  </si>
  <si>
    <t>Amb.Oficina.de.Pintura</t>
  </si>
  <si>
    <t>[ 4A ]</t>
  </si>
  <si>
    <t>Amb.Sanitário.Feminino</t>
  </si>
  <si>
    <t>Amb.Sanitário.Masculino</t>
  </si>
  <si>
    <t>Amb.Sanitário.Indiferenciado</t>
  </si>
  <si>
    <t>Amb.Sanitário.PNE</t>
  </si>
  <si>
    <t>Amb.Sanitário.WC</t>
  </si>
  <si>
    <t>Ambiente.Geral</t>
  </si>
  <si>
    <t>Ambiente.Específico</t>
  </si>
  <si>
    <t>Ambiente.Sanitário</t>
  </si>
  <si>
    <t>Ambiente.Comercial</t>
  </si>
  <si>
    <t>Ambiente.Habitacional</t>
  </si>
  <si>
    <t>Ambiente.Hospitalar</t>
  </si>
  <si>
    <t>Ambiente.Risco</t>
  </si>
  <si>
    <t>Ambiente.Educacional</t>
  </si>
  <si>
    <t>Ambiente.Cultural</t>
  </si>
  <si>
    <t>Ambiente.Industrial</t>
  </si>
  <si>
    <t>Unidade.Autônoma</t>
  </si>
  <si>
    <t>Bloco.Edilício</t>
  </si>
  <si>
    <t>Zona.Predial</t>
  </si>
  <si>
    <t>Zona.Sistema</t>
  </si>
  <si>
    <t>Zona.Segurança</t>
  </si>
  <si>
    <t>Espaço.Existente</t>
  </si>
  <si>
    <t>Espaço.Novo</t>
  </si>
  <si>
    <t>Projeto_A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</si>
</sst>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2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0" customWidth="1"/>
    <col min="2" max="2" width="51.42578125" style="60" bestFit="1" customWidth="1"/>
    <col min="3" max="3" width="3.42578125" style="40" bestFit="1" customWidth="1"/>
    <col min="4" max="16384" width="9.28515625" style="60"/>
  </cols>
  <sheetData>
    <row r="1" spans="1:3" ht="14.25" customHeight="1" x14ac:dyDescent="0.25">
      <c r="A1" s="14" t="s">
        <v>45</v>
      </c>
      <c r="B1" s="14" t="s">
        <v>46</v>
      </c>
      <c r="C1" s="38" t="s">
        <v>157</v>
      </c>
    </row>
    <row r="2" spans="1:3" ht="9" customHeight="1" x14ac:dyDescent="0.25">
      <c r="A2" s="15" t="s">
        <v>47</v>
      </c>
      <c r="B2" s="15" t="s">
        <v>48</v>
      </c>
      <c r="C2" s="39" t="s">
        <v>158</v>
      </c>
    </row>
    <row r="3" spans="1:3" ht="9" customHeight="1" x14ac:dyDescent="0.25">
      <c r="A3" s="15" t="s">
        <v>49</v>
      </c>
      <c r="B3" s="15" t="s">
        <v>454</v>
      </c>
      <c r="C3" s="39" t="s">
        <v>158</v>
      </c>
    </row>
    <row r="4" spans="1:3" ht="9" customHeight="1" x14ac:dyDescent="0.25">
      <c r="A4" s="16" t="s">
        <v>50</v>
      </c>
      <c r="B4" s="16" t="s">
        <v>33</v>
      </c>
      <c r="C4" s="39" t="s">
        <v>158</v>
      </c>
    </row>
    <row r="5" spans="1:3" ht="9" customHeight="1" x14ac:dyDescent="0.25">
      <c r="A5" s="16" t="s">
        <v>51</v>
      </c>
      <c r="B5" s="16" t="str">
        <f>_xlfn.CONCAT(B4,"Prop")</f>
        <v>BIMProp</v>
      </c>
      <c r="C5" s="39" t="s">
        <v>158</v>
      </c>
    </row>
    <row r="6" spans="1:3" ht="9" customHeight="1" x14ac:dyDescent="0.25">
      <c r="A6" s="16" t="s">
        <v>52</v>
      </c>
      <c r="B6" s="16" t="str">
        <f>_xlfn.CONCAT(B4,"Data")</f>
        <v>BIMData</v>
      </c>
      <c r="C6" s="39" t="s">
        <v>158</v>
      </c>
    </row>
    <row r="7" spans="1:3" ht="9" customHeight="1" x14ac:dyDescent="0.25">
      <c r="A7" s="16" t="s">
        <v>53</v>
      </c>
      <c r="B7" s="16" t="s">
        <v>54</v>
      </c>
      <c r="C7" s="39" t="s">
        <v>158</v>
      </c>
    </row>
    <row r="8" spans="1:3" ht="9" customHeight="1" x14ac:dyDescent="0.25">
      <c r="A8" s="16" t="s">
        <v>55</v>
      </c>
      <c r="B8" s="16" t="s">
        <v>155</v>
      </c>
      <c r="C8" s="39" t="s">
        <v>158</v>
      </c>
    </row>
    <row r="9" spans="1:3" ht="9" customHeight="1" x14ac:dyDescent="0.25">
      <c r="A9" s="16" t="s">
        <v>56</v>
      </c>
      <c r="B9" s="16" t="s">
        <v>57</v>
      </c>
      <c r="C9" s="39" t="s">
        <v>158</v>
      </c>
    </row>
    <row r="10" spans="1:3" ht="9" customHeight="1" x14ac:dyDescent="0.25">
      <c r="A10" s="16" t="s">
        <v>58</v>
      </c>
      <c r="B10" s="16" t="s">
        <v>59</v>
      </c>
      <c r="C10" s="39" t="s">
        <v>158</v>
      </c>
    </row>
    <row r="11" spans="1:3" ht="9" customHeight="1" x14ac:dyDescent="0.25">
      <c r="A11" s="16" t="s">
        <v>60</v>
      </c>
      <c r="B11" s="16" t="s">
        <v>59</v>
      </c>
      <c r="C11" s="39" t="s">
        <v>158</v>
      </c>
    </row>
    <row r="12" spans="1:3" ht="9" customHeight="1" x14ac:dyDescent="0.25">
      <c r="A12" s="16" t="s">
        <v>61</v>
      </c>
      <c r="B12" s="16" t="s">
        <v>59</v>
      </c>
      <c r="C12" s="39" t="s">
        <v>158</v>
      </c>
    </row>
    <row r="13" spans="1:3" ht="9" customHeight="1" x14ac:dyDescent="0.25">
      <c r="A13" s="16" t="s">
        <v>62</v>
      </c>
      <c r="B13" s="16" t="s">
        <v>59</v>
      </c>
      <c r="C13" s="39" t="s">
        <v>158</v>
      </c>
    </row>
    <row r="14" spans="1:3" ht="9" customHeight="1" x14ac:dyDescent="0.25">
      <c r="A14" s="16" t="s">
        <v>63</v>
      </c>
      <c r="B14" s="16" t="s">
        <v>59</v>
      </c>
      <c r="C14" s="39" t="s">
        <v>158</v>
      </c>
    </row>
    <row r="15" spans="1:3" ht="9" customHeight="1" x14ac:dyDescent="0.25">
      <c r="A15" s="16" t="s">
        <v>64</v>
      </c>
      <c r="B15" s="16" t="s">
        <v>59</v>
      </c>
      <c r="C15" s="39" t="s">
        <v>158</v>
      </c>
    </row>
    <row r="16" spans="1:3" ht="9" customHeight="1" x14ac:dyDescent="0.25">
      <c r="A16" s="16" t="s">
        <v>65</v>
      </c>
      <c r="B16" s="16" t="s">
        <v>59</v>
      </c>
      <c r="C16" s="39" t="s">
        <v>158</v>
      </c>
    </row>
    <row r="17" spans="1:3" ht="9" customHeight="1" x14ac:dyDescent="0.25">
      <c r="A17" s="16" t="s">
        <v>66</v>
      </c>
      <c r="B17" s="16" t="s">
        <v>59</v>
      </c>
      <c r="C17" s="39" t="s">
        <v>158</v>
      </c>
    </row>
    <row r="18" spans="1:3" ht="9" customHeight="1" x14ac:dyDescent="0.25">
      <c r="A18" s="16" t="s">
        <v>67</v>
      </c>
      <c r="B18" s="17">
        <f ca="1">NOW()</f>
        <v>46273.537535185184</v>
      </c>
      <c r="C18" s="39" t="s">
        <v>158</v>
      </c>
    </row>
    <row r="19" spans="1:3" ht="9" customHeight="1" x14ac:dyDescent="0.25">
      <c r="A19" s="16" t="s">
        <v>161</v>
      </c>
      <c r="B19" s="17" t="s">
        <v>164</v>
      </c>
      <c r="C19" s="39" t="s">
        <v>158</v>
      </c>
    </row>
    <row r="20" spans="1:3" ht="9" customHeight="1" x14ac:dyDescent="0.25">
      <c r="A20" s="16" t="s">
        <v>162</v>
      </c>
      <c r="B20" s="17" t="str">
        <f>_xlfn.TRANSLATE(B19,"pt","es")</f>
        <v>Traducciones al español e inglés incorporadas. Las traducciones deben revisarse constantemente</v>
      </c>
      <c r="C20" s="39" t="s">
        <v>159</v>
      </c>
    </row>
    <row r="21" spans="1:3" ht="9" customHeight="1" x14ac:dyDescent="0.25">
      <c r="A21" s="16" t="s">
        <v>163</v>
      </c>
      <c r="B21" s="17" t="str">
        <f>_xlfn.TRANSLATE(B19,"pt","es")</f>
        <v>Traducciones al español e inglés incorporadas. Las traducciones deben revisarse constantemente</v>
      </c>
      <c r="C21" s="39" t="s">
        <v>160</v>
      </c>
    </row>
    <row r="22" spans="1:3" ht="9" customHeight="1" x14ac:dyDescent="0.25">
      <c r="A22" s="16" t="s">
        <v>68</v>
      </c>
      <c r="B22" s="16" t="s">
        <v>59</v>
      </c>
      <c r="C22" s="39" t="s">
        <v>158</v>
      </c>
    </row>
    <row r="23" spans="1:3" ht="9" customHeight="1" x14ac:dyDescent="0.25">
      <c r="A23" s="16" t="s">
        <v>69</v>
      </c>
      <c r="B23" s="16" t="s">
        <v>59</v>
      </c>
      <c r="C23" s="39" t="s">
        <v>158</v>
      </c>
    </row>
    <row r="24" spans="1:3" ht="9" customHeight="1" x14ac:dyDescent="0.25">
      <c r="A24" s="16" t="s">
        <v>70</v>
      </c>
      <c r="B24" s="18" t="s">
        <v>455</v>
      </c>
      <c r="C24" s="39" t="s">
        <v>158</v>
      </c>
    </row>
    <row r="25" spans="1:3" ht="9" customHeight="1" x14ac:dyDescent="0.25">
      <c r="A25" s="16" t="s">
        <v>71</v>
      </c>
      <c r="B25" s="18" t="s">
        <v>456</v>
      </c>
      <c r="C25" s="39" t="s">
        <v>159</v>
      </c>
    </row>
    <row r="26" spans="1:3" ht="9" customHeight="1" x14ac:dyDescent="0.25">
      <c r="A26" s="16" t="s">
        <v>156</v>
      </c>
      <c r="B26" s="18" t="str">
        <f>_xlfn.TRANSLATE(B24,"pt","en")</f>
        <v>Formalize elements of the BIM project. Unidades_Funcionais Zones and Environments.</v>
      </c>
      <c r="C26" s="39" t="s">
        <v>160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D186"/>
  <sheetViews>
    <sheetView tabSelected="1" zoomScale="250" zoomScaleNormal="250" workbookViewId="0">
      <pane ySplit="1" topLeftCell="A176" activePane="bottomLeft" state="frozen"/>
      <selection pane="bottomLeft" activeCell="A2" sqref="A2:A186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7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6" style="66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23.7109375" style="50" customWidth="1"/>
    <col min="28" max="28" width="6.85546875" style="50" bestFit="1" customWidth="1"/>
    <col min="29" max="29" width="15.85546875" style="59" bestFit="1" customWidth="1"/>
    <col min="30" max="30" width="6.85546875" style="50" bestFit="1" customWidth="1"/>
    <col min="31" max="16384" width="9.140625" style="36"/>
  </cols>
  <sheetData>
    <row r="1" spans="1:30" s="24" customFormat="1" ht="48" customHeight="1" x14ac:dyDescent="0.25">
      <c r="A1" s="51">
        <v>0</v>
      </c>
      <c r="B1" s="23" t="s">
        <v>43</v>
      </c>
      <c r="C1" s="23" t="s">
        <v>41</v>
      </c>
      <c r="D1" s="23" t="s">
        <v>42</v>
      </c>
      <c r="E1" s="23" t="s">
        <v>40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44</v>
      </c>
      <c r="R1" s="37" t="s">
        <v>154</v>
      </c>
      <c r="S1" s="65" t="s">
        <v>855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80</v>
      </c>
      <c r="Z1" s="26" t="s">
        <v>815</v>
      </c>
      <c r="AA1" s="26" t="s">
        <v>81</v>
      </c>
      <c r="AB1" s="26" t="s">
        <v>816</v>
      </c>
      <c r="AC1" s="57" t="s">
        <v>817</v>
      </c>
      <c r="AD1" s="26" t="s">
        <v>838</v>
      </c>
    </row>
    <row r="2" spans="1:30" s="34" customFormat="1" ht="6.75" customHeight="1" x14ac:dyDescent="0.25">
      <c r="A2" s="49">
        <v>2</v>
      </c>
      <c r="B2" s="27" t="s">
        <v>417</v>
      </c>
      <c r="C2" s="27" t="s">
        <v>422</v>
      </c>
      <c r="D2" s="27" t="s">
        <v>459</v>
      </c>
      <c r="E2" s="27" t="s">
        <v>415</v>
      </c>
      <c r="F2" s="28" t="s">
        <v>82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114</v>
      </c>
      <c r="Q2" s="30" t="s">
        <v>639</v>
      </c>
      <c r="R2" s="30" t="s">
        <v>461</v>
      </c>
      <c r="S2" s="63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85</v>
      </c>
      <c r="X2" s="45" t="str">
        <f t="shared" ref="X2:X9" si="7">CONCATENATE("Key-AMB-",A2)</f>
        <v>Key-AMB-2</v>
      </c>
      <c r="Y2" s="30" t="s">
        <v>200</v>
      </c>
      <c r="Z2" s="61" t="s">
        <v>10</v>
      </c>
      <c r="AA2" s="41" t="s">
        <v>175</v>
      </c>
      <c r="AB2" s="61" t="s">
        <v>10</v>
      </c>
      <c r="AC2" s="56" t="s">
        <v>10</v>
      </c>
      <c r="AD2" s="61" t="s">
        <v>10</v>
      </c>
    </row>
    <row r="3" spans="1:30" s="34" customFormat="1" ht="6.75" customHeight="1" x14ac:dyDescent="0.25">
      <c r="A3" s="49">
        <v>3</v>
      </c>
      <c r="B3" s="27" t="s">
        <v>417</v>
      </c>
      <c r="C3" s="27" t="s">
        <v>422</v>
      </c>
      <c r="D3" s="27" t="s">
        <v>459</v>
      </c>
      <c r="E3" s="27" t="s">
        <v>415</v>
      </c>
      <c r="F3" s="28" t="s">
        <v>115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116</v>
      </c>
      <c r="Q3" s="30" t="s">
        <v>640</v>
      </c>
      <c r="R3" s="30" t="s">
        <v>462</v>
      </c>
      <c r="S3" s="63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85</v>
      </c>
      <c r="X3" s="45" t="str">
        <f t="shared" si="7"/>
        <v>Key-AMB-3</v>
      </c>
      <c r="Y3" s="30" t="s">
        <v>200</v>
      </c>
      <c r="Z3" s="61" t="s">
        <v>10</v>
      </c>
      <c r="AA3" s="41" t="s">
        <v>176</v>
      </c>
      <c r="AB3" s="61" t="s">
        <v>10</v>
      </c>
      <c r="AC3" s="56" t="s">
        <v>10</v>
      </c>
      <c r="AD3" s="61" t="s">
        <v>10</v>
      </c>
    </row>
    <row r="4" spans="1:30" s="34" customFormat="1" ht="6.75" customHeight="1" x14ac:dyDescent="0.25">
      <c r="A4" s="49">
        <v>4</v>
      </c>
      <c r="B4" s="27" t="s">
        <v>417</v>
      </c>
      <c r="C4" s="27" t="s">
        <v>422</v>
      </c>
      <c r="D4" s="27" t="s">
        <v>459</v>
      </c>
      <c r="E4" s="27" t="s">
        <v>415</v>
      </c>
      <c r="F4" s="28" t="s">
        <v>117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118</v>
      </c>
      <c r="Q4" s="30" t="s">
        <v>641</v>
      </c>
      <c r="R4" s="30" t="s">
        <v>463</v>
      </c>
      <c r="S4" s="63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85</v>
      </c>
      <c r="X4" s="45" t="str">
        <f t="shared" si="7"/>
        <v>Key-AMB-4</v>
      </c>
      <c r="Y4" s="30" t="s">
        <v>200</v>
      </c>
      <c r="Z4" s="61" t="s">
        <v>10</v>
      </c>
      <c r="AA4" s="41" t="s">
        <v>177</v>
      </c>
      <c r="AB4" s="61" t="s">
        <v>10</v>
      </c>
      <c r="AC4" s="56" t="s">
        <v>10</v>
      </c>
      <c r="AD4" s="61" t="s">
        <v>10</v>
      </c>
    </row>
    <row r="5" spans="1:30" s="34" customFormat="1" ht="6.75" customHeight="1" x14ac:dyDescent="0.25">
      <c r="A5" s="49">
        <v>5</v>
      </c>
      <c r="B5" s="27" t="s">
        <v>417</v>
      </c>
      <c r="C5" s="27" t="s">
        <v>422</v>
      </c>
      <c r="D5" s="27" t="s">
        <v>459</v>
      </c>
      <c r="E5" s="27" t="s">
        <v>415</v>
      </c>
      <c r="F5" s="28" t="s">
        <v>119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120</v>
      </c>
      <c r="Q5" s="30" t="s">
        <v>642</v>
      </c>
      <c r="R5" s="30" t="s">
        <v>464</v>
      </c>
      <c r="S5" s="63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85</v>
      </c>
      <c r="X5" s="45" t="str">
        <f t="shared" si="7"/>
        <v>Key-AMB-5</v>
      </c>
      <c r="Y5" s="30" t="s">
        <v>200</v>
      </c>
      <c r="Z5" s="61" t="s">
        <v>10</v>
      </c>
      <c r="AA5" s="41" t="s">
        <v>178</v>
      </c>
      <c r="AB5" s="61" t="s">
        <v>10</v>
      </c>
      <c r="AC5" s="56" t="s">
        <v>10</v>
      </c>
      <c r="AD5" s="61" t="s">
        <v>10</v>
      </c>
    </row>
    <row r="6" spans="1:30" s="34" customFormat="1" ht="6.75" customHeight="1" x14ac:dyDescent="0.25">
      <c r="A6" s="49">
        <v>6</v>
      </c>
      <c r="B6" s="27" t="s">
        <v>417</v>
      </c>
      <c r="C6" s="27" t="s">
        <v>422</v>
      </c>
      <c r="D6" s="27" t="s">
        <v>459</v>
      </c>
      <c r="E6" s="27" t="s">
        <v>415</v>
      </c>
      <c r="F6" s="28" t="s">
        <v>121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122</v>
      </c>
      <c r="Q6" s="30" t="s">
        <v>643</v>
      </c>
      <c r="R6" s="30" t="s">
        <v>465</v>
      </c>
      <c r="S6" s="63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85</v>
      </c>
      <c r="X6" s="45" t="str">
        <f t="shared" si="7"/>
        <v>Key-AMB-6</v>
      </c>
      <c r="Y6" s="30" t="s">
        <v>200</v>
      </c>
      <c r="Z6" s="61" t="s">
        <v>10</v>
      </c>
      <c r="AA6" s="41" t="s">
        <v>179</v>
      </c>
      <c r="AB6" s="61" t="s">
        <v>10</v>
      </c>
      <c r="AC6" s="56" t="s">
        <v>10</v>
      </c>
      <c r="AD6" s="61" t="s">
        <v>10</v>
      </c>
    </row>
    <row r="7" spans="1:30" s="34" customFormat="1" ht="6.75" customHeight="1" x14ac:dyDescent="0.25">
      <c r="A7" s="49">
        <v>7</v>
      </c>
      <c r="B7" s="27" t="s">
        <v>417</v>
      </c>
      <c r="C7" s="27" t="s">
        <v>422</v>
      </c>
      <c r="D7" s="27" t="s">
        <v>459</v>
      </c>
      <c r="E7" s="27" t="s">
        <v>415</v>
      </c>
      <c r="F7" s="28" t="s">
        <v>460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173</v>
      </c>
      <c r="Q7" s="30" t="s">
        <v>644</v>
      </c>
      <c r="R7" s="30" t="s">
        <v>466</v>
      </c>
      <c r="S7" s="63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85</v>
      </c>
      <c r="X7" s="45" t="str">
        <f t="shared" si="7"/>
        <v>Key-AMB-7</v>
      </c>
      <c r="Y7" s="30" t="s">
        <v>200</v>
      </c>
      <c r="Z7" s="61" t="s">
        <v>10</v>
      </c>
      <c r="AA7" s="41" t="s">
        <v>179</v>
      </c>
      <c r="AB7" s="61" t="s">
        <v>10</v>
      </c>
      <c r="AC7" s="56" t="s">
        <v>10</v>
      </c>
      <c r="AD7" s="61" t="s">
        <v>10</v>
      </c>
    </row>
    <row r="8" spans="1:30" s="34" customFormat="1" ht="6.75" customHeight="1" x14ac:dyDescent="0.25">
      <c r="A8" s="49">
        <v>8</v>
      </c>
      <c r="B8" s="27" t="s">
        <v>417</v>
      </c>
      <c r="C8" s="27" t="s">
        <v>422</v>
      </c>
      <c r="D8" s="27" t="s">
        <v>459</v>
      </c>
      <c r="E8" s="27" t="s">
        <v>416</v>
      </c>
      <c r="F8" s="28" t="s">
        <v>228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229</v>
      </c>
      <c r="Q8" s="30" t="s">
        <v>645</v>
      </c>
      <c r="R8" s="30" t="s">
        <v>467</v>
      </c>
      <c r="S8" s="63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85</v>
      </c>
      <c r="X8" s="45" t="str">
        <f t="shared" si="7"/>
        <v>Key-AMB-8</v>
      </c>
      <c r="Y8" s="30" t="s">
        <v>200</v>
      </c>
      <c r="Z8" s="61" t="s">
        <v>10</v>
      </c>
      <c r="AA8" s="41" t="s">
        <v>175</v>
      </c>
      <c r="AB8" s="61" t="s">
        <v>10</v>
      </c>
      <c r="AC8" s="56" t="s">
        <v>10</v>
      </c>
      <c r="AD8" s="61" t="s">
        <v>10</v>
      </c>
    </row>
    <row r="9" spans="1:30" s="34" customFormat="1" ht="6.75" customHeight="1" x14ac:dyDescent="0.25">
      <c r="A9" s="49">
        <v>9</v>
      </c>
      <c r="B9" s="27" t="s">
        <v>417</v>
      </c>
      <c r="C9" s="27" t="s">
        <v>422</v>
      </c>
      <c r="D9" s="27" t="s">
        <v>459</v>
      </c>
      <c r="E9" s="27" t="s">
        <v>416</v>
      </c>
      <c r="F9" s="28" t="s">
        <v>227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230</v>
      </c>
      <c r="Q9" s="30" t="s">
        <v>646</v>
      </c>
      <c r="R9" s="30" t="s">
        <v>468</v>
      </c>
      <c r="S9" s="63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85</v>
      </c>
      <c r="X9" s="45" t="str">
        <f t="shared" si="7"/>
        <v>Key-AMB-9</v>
      </c>
      <c r="Y9" s="30" t="s">
        <v>200</v>
      </c>
      <c r="Z9" s="61" t="s">
        <v>10</v>
      </c>
      <c r="AA9" s="41" t="s">
        <v>175</v>
      </c>
      <c r="AB9" s="61" t="s">
        <v>10</v>
      </c>
      <c r="AC9" s="56" t="s">
        <v>10</v>
      </c>
      <c r="AD9" s="61" t="s">
        <v>10</v>
      </c>
    </row>
    <row r="10" spans="1:30" s="34" customFormat="1" ht="6.75" customHeight="1" x14ac:dyDescent="0.25">
      <c r="A10" s="49">
        <v>10</v>
      </c>
      <c r="B10" s="27" t="s">
        <v>417</v>
      </c>
      <c r="C10" s="27" t="s">
        <v>422</v>
      </c>
      <c r="D10" s="27" t="s">
        <v>423</v>
      </c>
      <c r="E10" s="27" t="s">
        <v>425</v>
      </c>
      <c r="F10" s="28" t="s">
        <v>384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385</v>
      </c>
      <c r="Q10" s="30" t="s">
        <v>647</v>
      </c>
      <c r="R10" s="30" t="s">
        <v>469</v>
      </c>
      <c r="S10" s="63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85</v>
      </c>
      <c r="X10" s="45" t="str">
        <f t="shared" ref="X10:X73" si="11">CONCATENATE("Key-AMB-",A10)</f>
        <v>Key-AMB-10</v>
      </c>
      <c r="Y10" s="30" t="s">
        <v>449</v>
      </c>
      <c r="Z10" s="61" t="s">
        <v>10</v>
      </c>
      <c r="AA10" s="41" t="s">
        <v>174</v>
      </c>
      <c r="AB10" s="61" t="s">
        <v>10</v>
      </c>
      <c r="AC10" s="56" t="s">
        <v>208</v>
      </c>
      <c r="AD10" s="61" t="s">
        <v>10</v>
      </c>
    </row>
    <row r="11" spans="1:30" s="34" customFormat="1" ht="6.75" customHeight="1" x14ac:dyDescent="0.25">
      <c r="A11" s="49">
        <v>11</v>
      </c>
      <c r="B11" s="27" t="s">
        <v>417</v>
      </c>
      <c r="C11" s="27" t="s">
        <v>422</v>
      </c>
      <c r="D11" s="27" t="s">
        <v>423</v>
      </c>
      <c r="E11" s="27" t="s">
        <v>425</v>
      </c>
      <c r="F11" s="28" t="s">
        <v>83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84</v>
      </c>
      <c r="Q11" s="30" t="s">
        <v>647</v>
      </c>
      <c r="R11" s="30" t="s">
        <v>470</v>
      </c>
      <c r="S11" s="63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85</v>
      </c>
      <c r="X11" s="45" t="str">
        <f t="shared" si="11"/>
        <v>Key-AMB-11</v>
      </c>
      <c r="Y11" s="30" t="s">
        <v>449</v>
      </c>
      <c r="Z11" s="61" t="s">
        <v>10</v>
      </c>
      <c r="AA11" s="41" t="s">
        <v>174</v>
      </c>
      <c r="AB11" s="61" t="s">
        <v>10</v>
      </c>
      <c r="AC11" s="56" t="s">
        <v>208</v>
      </c>
      <c r="AD11" s="61" t="s">
        <v>10</v>
      </c>
    </row>
    <row r="12" spans="1:30" s="34" customFormat="1" ht="6.75" customHeight="1" x14ac:dyDescent="0.25">
      <c r="A12" s="49">
        <v>12</v>
      </c>
      <c r="B12" s="27" t="s">
        <v>417</v>
      </c>
      <c r="C12" s="27" t="s">
        <v>422</v>
      </c>
      <c r="D12" s="27" t="s">
        <v>423</v>
      </c>
      <c r="E12" s="27" t="s">
        <v>425</v>
      </c>
      <c r="F12" s="28" t="s">
        <v>86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87</v>
      </c>
      <c r="Q12" s="30" t="s">
        <v>648</v>
      </c>
      <c r="R12" s="30" t="s">
        <v>471</v>
      </c>
      <c r="S12" s="63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85</v>
      </c>
      <c r="X12" s="45" t="str">
        <f t="shared" si="11"/>
        <v>Key-AMB-12</v>
      </c>
      <c r="Y12" s="30" t="s">
        <v>449</v>
      </c>
      <c r="Z12" s="61" t="s">
        <v>10</v>
      </c>
      <c r="AA12" s="41" t="s">
        <v>174</v>
      </c>
      <c r="AB12" s="61" t="s">
        <v>10</v>
      </c>
      <c r="AC12" s="56" t="s">
        <v>208</v>
      </c>
      <c r="AD12" s="61" t="s">
        <v>10</v>
      </c>
    </row>
    <row r="13" spans="1:30" s="34" customFormat="1" ht="6.75" customHeight="1" x14ac:dyDescent="0.25">
      <c r="A13" s="49">
        <v>13</v>
      </c>
      <c r="B13" s="27" t="s">
        <v>417</v>
      </c>
      <c r="C13" s="27" t="s">
        <v>422</v>
      </c>
      <c r="D13" s="27" t="s">
        <v>423</v>
      </c>
      <c r="E13" s="27" t="s">
        <v>425</v>
      </c>
      <c r="F13" s="28" t="s">
        <v>88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89</v>
      </c>
      <c r="Q13" s="30" t="s">
        <v>649</v>
      </c>
      <c r="R13" s="30" t="s">
        <v>472</v>
      </c>
      <c r="S13" s="63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85</v>
      </c>
      <c r="X13" s="45" t="str">
        <f t="shared" si="11"/>
        <v>Key-AMB-13</v>
      </c>
      <c r="Y13" s="30" t="s">
        <v>449</v>
      </c>
      <c r="Z13" s="61" t="s">
        <v>10</v>
      </c>
      <c r="AA13" s="41" t="s">
        <v>174</v>
      </c>
      <c r="AB13" s="61" t="s">
        <v>10</v>
      </c>
      <c r="AC13" s="56" t="s">
        <v>208</v>
      </c>
      <c r="AD13" s="61" t="s">
        <v>10</v>
      </c>
    </row>
    <row r="14" spans="1:30" s="34" customFormat="1" ht="6.75" customHeight="1" x14ac:dyDescent="0.25">
      <c r="A14" s="49">
        <v>14</v>
      </c>
      <c r="B14" s="27" t="s">
        <v>417</v>
      </c>
      <c r="C14" s="27" t="s">
        <v>422</v>
      </c>
      <c r="D14" s="27" t="s">
        <v>423</v>
      </c>
      <c r="E14" s="27" t="s">
        <v>425</v>
      </c>
      <c r="F14" s="28" t="s">
        <v>90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91</v>
      </c>
      <c r="Q14" s="30" t="s">
        <v>650</v>
      </c>
      <c r="R14" s="30" t="s">
        <v>473</v>
      </c>
      <c r="S14" s="63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85</v>
      </c>
      <c r="X14" s="45" t="str">
        <f t="shared" si="11"/>
        <v>Key-AMB-14</v>
      </c>
      <c r="Y14" s="30" t="s">
        <v>449</v>
      </c>
      <c r="Z14" s="61" t="s">
        <v>10</v>
      </c>
      <c r="AA14" s="41" t="s">
        <v>174</v>
      </c>
      <c r="AB14" s="61" t="s">
        <v>10</v>
      </c>
      <c r="AC14" s="56" t="s">
        <v>208</v>
      </c>
      <c r="AD14" s="61" t="s">
        <v>10</v>
      </c>
    </row>
    <row r="15" spans="1:30" s="34" customFormat="1" ht="6.75" customHeight="1" x14ac:dyDescent="0.25">
      <c r="A15" s="49">
        <v>15</v>
      </c>
      <c r="B15" s="27" t="s">
        <v>417</v>
      </c>
      <c r="C15" s="27" t="s">
        <v>422</v>
      </c>
      <c r="D15" s="27" t="s">
        <v>423</v>
      </c>
      <c r="E15" s="27" t="s">
        <v>425</v>
      </c>
      <c r="F15" s="28" t="s">
        <v>92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93</v>
      </c>
      <c r="Q15" s="30" t="s">
        <v>651</v>
      </c>
      <c r="R15" s="30" t="s">
        <v>474</v>
      </c>
      <c r="S15" s="63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85</v>
      </c>
      <c r="X15" s="45" t="str">
        <f t="shared" si="11"/>
        <v>Key-AMB-15</v>
      </c>
      <c r="Y15" s="30" t="s">
        <v>449</v>
      </c>
      <c r="Z15" s="61" t="s">
        <v>10</v>
      </c>
      <c r="AA15" s="41" t="s">
        <v>174</v>
      </c>
      <c r="AB15" s="61" t="s">
        <v>10</v>
      </c>
      <c r="AC15" s="56" t="s">
        <v>208</v>
      </c>
      <c r="AD15" s="61" t="s">
        <v>10</v>
      </c>
    </row>
    <row r="16" spans="1:30" s="34" customFormat="1" ht="6.75" customHeight="1" x14ac:dyDescent="0.25">
      <c r="A16" s="49">
        <v>16</v>
      </c>
      <c r="B16" s="27" t="s">
        <v>417</v>
      </c>
      <c r="C16" s="27" t="s">
        <v>422</v>
      </c>
      <c r="D16" s="27" t="s">
        <v>423</v>
      </c>
      <c r="E16" s="27" t="s">
        <v>425</v>
      </c>
      <c r="F16" s="28" t="s">
        <v>94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95</v>
      </c>
      <c r="Q16" s="30" t="s">
        <v>652</v>
      </c>
      <c r="R16" s="30" t="s">
        <v>475</v>
      </c>
      <c r="S16" s="63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85</v>
      </c>
      <c r="X16" s="45" t="str">
        <f t="shared" si="11"/>
        <v>Key-AMB-16</v>
      </c>
      <c r="Y16" s="30" t="s">
        <v>449</v>
      </c>
      <c r="Z16" s="61" t="s">
        <v>10</v>
      </c>
      <c r="AA16" s="41" t="s">
        <v>174</v>
      </c>
      <c r="AB16" s="61" t="s">
        <v>10</v>
      </c>
      <c r="AC16" s="56" t="s">
        <v>208</v>
      </c>
      <c r="AD16" s="61" t="s">
        <v>10</v>
      </c>
    </row>
    <row r="17" spans="1:30" s="34" customFormat="1" ht="6.75" customHeight="1" x14ac:dyDescent="0.25">
      <c r="A17" s="49">
        <v>17</v>
      </c>
      <c r="B17" s="27" t="s">
        <v>417</v>
      </c>
      <c r="C17" s="27" t="s">
        <v>422</v>
      </c>
      <c r="D17" s="27" t="s">
        <v>423</v>
      </c>
      <c r="E17" s="27" t="s">
        <v>425</v>
      </c>
      <c r="F17" s="28" t="s">
        <v>96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97</v>
      </c>
      <c r="Q17" s="30" t="s">
        <v>653</v>
      </c>
      <c r="R17" s="30" t="s">
        <v>476</v>
      </c>
      <c r="S17" s="63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85</v>
      </c>
      <c r="X17" s="45" t="str">
        <f t="shared" si="11"/>
        <v>Key-AMB-17</v>
      </c>
      <c r="Y17" s="30" t="s">
        <v>449</v>
      </c>
      <c r="Z17" s="61" t="s">
        <v>10</v>
      </c>
      <c r="AA17" s="41" t="s">
        <v>174</v>
      </c>
      <c r="AB17" s="61" t="s">
        <v>10</v>
      </c>
      <c r="AC17" s="56" t="s">
        <v>208</v>
      </c>
      <c r="AD17" s="61" t="s">
        <v>10</v>
      </c>
    </row>
    <row r="18" spans="1:30" s="34" customFormat="1" ht="6.75" customHeight="1" x14ac:dyDescent="0.25">
      <c r="A18" s="49">
        <v>18</v>
      </c>
      <c r="B18" s="27" t="s">
        <v>417</v>
      </c>
      <c r="C18" s="27" t="s">
        <v>422</v>
      </c>
      <c r="D18" s="27" t="s">
        <v>423</v>
      </c>
      <c r="E18" s="27" t="s">
        <v>425</v>
      </c>
      <c r="F18" s="28" t="s">
        <v>98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99</v>
      </c>
      <c r="Q18" s="30" t="s">
        <v>654</v>
      </c>
      <c r="R18" s="30" t="s">
        <v>477</v>
      </c>
      <c r="S18" s="63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85</v>
      </c>
      <c r="X18" s="45" t="str">
        <f t="shared" si="11"/>
        <v>Key-AMB-18</v>
      </c>
      <c r="Y18" s="30" t="s">
        <v>449</v>
      </c>
      <c r="Z18" s="61" t="s">
        <v>10</v>
      </c>
      <c r="AA18" s="41" t="s">
        <v>174</v>
      </c>
      <c r="AB18" s="61" t="s">
        <v>10</v>
      </c>
      <c r="AC18" s="56" t="s">
        <v>208</v>
      </c>
      <c r="AD18" s="61" t="s">
        <v>10</v>
      </c>
    </row>
    <row r="19" spans="1:30" s="34" customFormat="1" ht="6.75" customHeight="1" x14ac:dyDescent="0.25">
      <c r="A19" s="49">
        <v>19</v>
      </c>
      <c r="B19" s="27" t="s">
        <v>417</v>
      </c>
      <c r="C19" s="27" t="s">
        <v>422</v>
      </c>
      <c r="D19" s="27" t="s">
        <v>423</v>
      </c>
      <c r="E19" s="27" t="s">
        <v>425</v>
      </c>
      <c r="F19" s="28" t="s">
        <v>100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101</v>
      </c>
      <c r="Q19" s="30" t="s">
        <v>655</v>
      </c>
      <c r="R19" s="30" t="s">
        <v>478</v>
      </c>
      <c r="S19" s="63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85</v>
      </c>
      <c r="X19" s="45" t="str">
        <f t="shared" si="11"/>
        <v>Key-AMB-19</v>
      </c>
      <c r="Y19" s="30" t="s">
        <v>449</v>
      </c>
      <c r="Z19" s="61" t="s">
        <v>10</v>
      </c>
      <c r="AA19" s="41" t="s">
        <v>174</v>
      </c>
      <c r="AB19" s="61" t="s">
        <v>10</v>
      </c>
      <c r="AC19" s="56" t="s">
        <v>208</v>
      </c>
      <c r="AD19" s="61" t="s">
        <v>10</v>
      </c>
    </row>
    <row r="20" spans="1:30" s="34" customFormat="1" ht="6.75" customHeight="1" x14ac:dyDescent="0.25">
      <c r="A20" s="49">
        <v>20</v>
      </c>
      <c r="B20" s="27" t="s">
        <v>417</v>
      </c>
      <c r="C20" s="27" t="s">
        <v>422</v>
      </c>
      <c r="D20" s="27" t="s">
        <v>423</v>
      </c>
      <c r="E20" s="27" t="s">
        <v>425</v>
      </c>
      <c r="F20" s="28" t="s">
        <v>102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103</v>
      </c>
      <c r="Q20" s="30" t="s">
        <v>656</v>
      </c>
      <c r="R20" s="30" t="s">
        <v>479</v>
      </c>
      <c r="S20" s="63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85</v>
      </c>
      <c r="X20" s="45" t="str">
        <f t="shared" si="11"/>
        <v>Key-AMB-20</v>
      </c>
      <c r="Y20" s="30" t="s">
        <v>449</v>
      </c>
      <c r="Z20" s="61" t="s">
        <v>10</v>
      </c>
      <c r="AA20" s="41" t="s">
        <v>174</v>
      </c>
      <c r="AB20" s="61" t="s">
        <v>10</v>
      </c>
      <c r="AC20" s="56" t="s">
        <v>208</v>
      </c>
      <c r="AD20" s="61" t="s">
        <v>10</v>
      </c>
    </row>
    <row r="21" spans="1:30" s="34" customFormat="1" ht="6.75" customHeight="1" x14ac:dyDescent="0.25">
      <c r="A21" s="49">
        <v>21</v>
      </c>
      <c r="B21" s="27" t="s">
        <v>417</v>
      </c>
      <c r="C21" s="27" t="s">
        <v>422</v>
      </c>
      <c r="D21" s="27" t="s">
        <v>423</v>
      </c>
      <c r="E21" s="27" t="s">
        <v>425</v>
      </c>
      <c r="F21" s="28" t="s">
        <v>234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458</v>
      </c>
      <c r="Q21" s="30" t="s">
        <v>657</v>
      </c>
      <c r="R21" s="30" t="s">
        <v>480</v>
      </c>
      <c r="S21" s="63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85</v>
      </c>
      <c r="X21" s="45" t="str">
        <f t="shared" si="11"/>
        <v>Key-AMB-21</v>
      </c>
      <c r="Y21" s="30" t="s">
        <v>449</v>
      </c>
      <c r="Z21" s="61" t="s">
        <v>10</v>
      </c>
      <c r="AA21" s="30" t="s">
        <v>226</v>
      </c>
      <c r="AB21" s="61" t="s">
        <v>10</v>
      </c>
      <c r="AC21" s="56" t="s">
        <v>208</v>
      </c>
      <c r="AD21" s="61" t="s">
        <v>10</v>
      </c>
    </row>
    <row r="22" spans="1:30" s="34" customFormat="1" ht="6.75" customHeight="1" x14ac:dyDescent="0.25">
      <c r="A22" s="49">
        <v>22</v>
      </c>
      <c r="B22" s="27" t="s">
        <v>417</v>
      </c>
      <c r="C22" s="27" t="s">
        <v>422</v>
      </c>
      <c r="D22" s="27" t="s">
        <v>423</v>
      </c>
      <c r="E22" s="27" t="s">
        <v>426</v>
      </c>
      <c r="F22" s="28" t="s">
        <v>104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105</v>
      </c>
      <c r="Q22" s="30" t="s">
        <v>658</v>
      </c>
      <c r="R22" s="30" t="s">
        <v>481</v>
      </c>
      <c r="S22" s="63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85</v>
      </c>
      <c r="X22" s="45" t="str">
        <f t="shared" si="11"/>
        <v>Key-AMB-22</v>
      </c>
      <c r="Y22" s="30" t="s">
        <v>449</v>
      </c>
      <c r="Z22" s="61" t="s">
        <v>10</v>
      </c>
      <c r="AA22" s="41" t="s">
        <v>174</v>
      </c>
      <c r="AB22" s="61" t="s">
        <v>10</v>
      </c>
      <c r="AC22" s="56" t="s">
        <v>208</v>
      </c>
      <c r="AD22" s="61" t="s">
        <v>10</v>
      </c>
    </row>
    <row r="23" spans="1:30" s="34" customFormat="1" ht="6.75" customHeight="1" x14ac:dyDescent="0.25">
      <c r="A23" s="49">
        <v>23</v>
      </c>
      <c r="B23" s="27" t="s">
        <v>417</v>
      </c>
      <c r="C23" s="27" t="s">
        <v>422</v>
      </c>
      <c r="D23" s="27" t="s">
        <v>423</v>
      </c>
      <c r="E23" s="27" t="s">
        <v>426</v>
      </c>
      <c r="F23" s="28" t="s">
        <v>106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107</v>
      </c>
      <c r="Q23" s="30" t="s">
        <v>659</v>
      </c>
      <c r="R23" s="30" t="s">
        <v>482</v>
      </c>
      <c r="S23" s="63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85</v>
      </c>
      <c r="X23" s="45" t="str">
        <f t="shared" si="11"/>
        <v>Key-AMB-23</v>
      </c>
      <c r="Y23" s="30" t="s">
        <v>449</v>
      </c>
      <c r="Z23" s="61" t="s">
        <v>10</v>
      </c>
      <c r="AA23" s="41" t="s">
        <v>174</v>
      </c>
      <c r="AB23" s="61" t="s">
        <v>10</v>
      </c>
      <c r="AC23" s="56" t="s">
        <v>208</v>
      </c>
      <c r="AD23" s="61" t="s">
        <v>10</v>
      </c>
    </row>
    <row r="24" spans="1:30" s="34" customFormat="1" ht="6.75" customHeight="1" x14ac:dyDescent="0.25">
      <c r="A24" s="49">
        <v>24</v>
      </c>
      <c r="B24" s="27" t="s">
        <v>417</v>
      </c>
      <c r="C24" s="27" t="s">
        <v>422</v>
      </c>
      <c r="D24" s="27" t="s">
        <v>423</v>
      </c>
      <c r="E24" s="27" t="s">
        <v>427</v>
      </c>
      <c r="F24" s="28" t="s">
        <v>428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376</v>
      </c>
      <c r="Q24" s="30" t="s">
        <v>660</v>
      </c>
      <c r="R24" s="30" t="s">
        <v>483</v>
      </c>
      <c r="S24" s="63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85</v>
      </c>
      <c r="X24" s="45" t="str">
        <f t="shared" si="11"/>
        <v>Key-AMB-24</v>
      </c>
      <c r="Y24" s="30" t="s">
        <v>449</v>
      </c>
      <c r="Z24" s="61" t="s">
        <v>10</v>
      </c>
      <c r="AA24" s="41" t="s">
        <v>174</v>
      </c>
      <c r="AB24" s="61" t="s">
        <v>10</v>
      </c>
      <c r="AC24" s="56" t="s">
        <v>208</v>
      </c>
      <c r="AD24" s="61" t="s">
        <v>10</v>
      </c>
    </row>
    <row r="25" spans="1:30" s="34" customFormat="1" ht="6.75" customHeight="1" x14ac:dyDescent="0.25">
      <c r="A25" s="49">
        <v>25</v>
      </c>
      <c r="B25" s="27" t="s">
        <v>417</v>
      </c>
      <c r="C25" s="27" t="s">
        <v>422</v>
      </c>
      <c r="D25" s="27" t="s">
        <v>423</v>
      </c>
      <c r="E25" s="27" t="s">
        <v>427</v>
      </c>
      <c r="F25" s="28" t="s">
        <v>108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377</v>
      </c>
      <c r="Q25" s="30" t="s">
        <v>661</v>
      </c>
      <c r="R25" s="30" t="s">
        <v>484</v>
      </c>
      <c r="S25" s="63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85</v>
      </c>
      <c r="X25" s="45" t="str">
        <f t="shared" si="11"/>
        <v>Key-AMB-25</v>
      </c>
      <c r="Y25" s="30" t="s">
        <v>449</v>
      </c>
      <c r="Z25" s="61" t="s">
        <v>10</v>
      </c>
      <c r="AA25" s="41" t="s">
        <v>174</v>
      </c>
      <c r="AB25" s="61" t="s">
        <v>10</v>
      </c>
      <c r="AC25" s="56" t="s">
        <v>208</v>
      </c>
      <c r="AD25" s="61" t="s">
        <v>10</v>
      </c>
    </row>
    <row r="26" spans="1:30" s="34" customFormat="1" ht="6.75" customHeight="1" x14ac:dyDescent="0.25">
      <c r="A26" s="49">
        <v>26</v>
      </c>
      <c r="B26" s="27" t="s">
        <v>417</v>
      </c>
      <c r="C26" s="27" t="s">
        <v>422</v>
      </c>
      <c r="D26" s="27" t="s">
        <v>423</v>
      </c>
      <c r="E26" s="27" t="s">
        <v>427</v>
      </c>
      <c r="F26" s="28" t="s">
        <v>109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110</v>
      </c>
      <c r="Q26" s="30" t="s">
        <v>662</v>
      </c>
      <c r="R26" s="30" t="s">
        <v>485</v>
      </c>
      <c r="S26" s="63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85</v>
      </c>
      <c r="X26" s="45" t="str">
        <f t="shared" si="11"/>
        <v>Key-AMB-26</v>
      </c>
      <c r="Y26" s="30" t="s">
        <v>449</v>
      </c>
      <c r="Z26" s="61" t="s">
        <v>10</v>
      </c>
      <c r="AA26" s="41" t="s">
        <v>174</v>
      </c>
      <c r="AB26" s="61" t="s">
        <v>10</v>
      </c>
      <c r="AC26" s="56" t="s">
        <v>208</v>
      </c>
      <c r="AD26" s="61" t="s">
        <v>10</v>
      </c>
    </row>
    <row r="27" spans="1:30" s="34" customFormat="1" ht="6.75" customHeight="1" x14ac:dyDescent="0.25">
      <c r="A27" s="49">
        <v>27</v>
      </c>
      <c r="B27" s="27" t="s">
        <v>417</v>
      </c>
      <c r="C27" s="27" t="s">
        <v>422</v>
      </c>
      <c r="D27" s="27" t="s">
        <v>423</v>
      </c>
      <c r="E27" s="27" t="s">
        <v>427</v>
      </c>
      <c r="F27" s="28" t="s">
        <v>111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378</v>
      </c>
      <c r="Q27" s="30" t="s">
        <v>663</v>
      </c>
      <c r="R27" s="30" t="s">
        <v>486</v>
      </c>
      <c r="S27" s="63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85</v>
      </c>
      <c r="X27" s="45" t="str">
        <f t="shared" si="11"/>
        <v>Key-AMB-27</v>
      </c>
      <c r="Y27" s="30" t="s">
        <v>449</v>
      </c>
      <c r="Z27" s="61" t="s">
        <v>10</v>
      </c>
      <c r="AA27" s="41" t="s">
        <v>174</v>
      </c>
      <c r="AB27" s="61" t="s">
        <v>10</v>
      </c>
      <c r="AC27" s="56" t="s">
        <v>208</v>
      </c>
      <c r="AD27" s="61" t="s">
        <v>10</v>
      </c>
    </row>
    <row r="28" spans="1:30" s="34" customFormat="1" ht="6.75" customHeight="1" x14ac:dyDescent="0.25">
      <c r="A28" s="49">
        <v>28</v>
      </c>
      <c r="B28" s="27" t="s">
        <v>417</v>
      </c>
      <c r="C28" s="27" t="s">
        <v>422</v>
      </c>
      <c r="D28" s="27" t="s">
        <v>423</v>
      </c>
      <c r="E28" s="27" t="s">
        <v>427</v>
      </c>
      <c r="F28" s="28" t="s">
        <v>112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113</v>
      </c>
      <c r="Q28" s="30" t="s">
        <v>664</v>
      </c>
      <c r="R28" s="30" t="s">
        <v>487</v>
      </c>
      <c r="S28" s="63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85</v>
      </c>
      <c r="X28" s="45" t="str">
        <f t="shared" si="11"/>
        <v>Key-AMB-28</v>
      </c>
      <c r="Y28" s="30" t="s">
        <v>449</v>
      </c>
      <c r="Z28" s="61" t="s">
        <v>10</v>
      </c>
      <c r="AA28" s="41" t="s">
        <v>174</v>
      </c>
      <c r="AB28" s="61" t="s">
        <v>10</v>
      </c>
      <c r="AC28" s="56" t="s">
        <v>208</v>
      </c>
      <c r="AD28" s="61" t="s">
        <v>10</v>
      </c>
    </row>
    <row r="29" spans="1:30" s="34" customFormat="1" ht="6.75" customHeight="1" x14ac:dyDescent="0.25">
      <c r="A29" s="49">
        <v>29</v>
      </c>
      <c r="B29" s="27" t="s">
        <v>417</v>
      </c>
      <c r="C29" s="27" t="s">
        <v>422</v>
      </c>
      <c r="D29" s="27" t="s">
        <v>424</v>
      </c>
      <c r="E29" s="27" t="s">
        <v>429</v>
      </c>
      <c r="F29" s="27" t="s">
        <v>123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269</v>
      </c>
      <c r="Q29" s="30" t="s">
        <v>665</v>
      </c>
      <c r="R29" s="30" t="s">
        <v>488</v>
      </c>
      <c r="S29" s="63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85</v>
      </c>
      <c r="X29" s="45" t="str">
        <f t="shared" si="11"/>
        <v>Key-AMB-29</v>
      </c>
      <c r="Y29" s="30" t="s">
        <v>450</v>
      </c>
      <c r="Z29" s="61" t="s">
        <v>10</v>
      </c>
      <c r="AA29" s="30" t="s">
        <v>226</v>
      </c>
      <c r="AB29" s="61" t="s">
        <v>10</v>
      </c>
      <c r="AC29" s="56" t="s">
        <v>10</v>
      </c>
      <c r="AD29" s="61" t="s">
        <v>10</v>
      </c>
    </row>
    <row r="30" spans="1:30" s="34" customFormat="1" ht="6.75" customHeight="1" x14ac:dyDescent="0.25">
      <c r="A30" s="49">
        <v>30</v>
      </c>
      <c r="B30" s="27" t="s">
        <v>417</v>
      </c>
      <c r="C30" s="27" t="s">
        <v>422</v>
      </c>
      <c r="D30" s="27" t="s">
        <v>424</v>
      </c>
      <c r="E30" s="27" t="s">
        <v>429</v>
      </c>
      <c r="F30" s="27" t="s">
        <v>124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270</v>
      </c>
      <c r="Q30" s="30" t="s">
        <v>666</v>
      </c>
      <c r="R30" s="30" t="s">
        <v>489</v>
      </c>
      <c r="S30" s="63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85</v>
      </c>
      <c r="X30" s="45" t="str">
        <f t="shared" si="11"/>
        <v>Key-AMB-30</v>
      </c>
      <c r="Y30" s="30" t="s">
        <v>450</v>
      </c>
      <c r="Z30" s="61" t="s">
        <v>10</v>
      </c>
      <c r="AA30" s="30" t="s">
        <v>226</v>
      </c>
      <c r="AB30" s="61" t="s">
        <v>10</v>
      </c>
      <c r="AC30" s="56" t="s">
        <v>10</v>
      </c>
      <c r="AD30" s="61" t="s">
        <v>10</v>
      </c>
    </row>
    <row r="31" spans="1:30" s="34" customFormat="1" ht="6.75" customHeight="1" x14ac:dyDescent="0.25">
      <c r="A31" s="49">
        <v>31</v>
      </c>
      <c r="B31" s="27" t="s">
        <v>417</v>
      </c>
      <c r="C31" s="27" t="s">
        <v>422</v>
      </c>
      <c r="D31" s="27" t="s">
        <v>424</v>
      </c>
      <c r="E31" s="27" t="s">
        <v>429</v>
      </c>
      <c r="F31" s="27" t="s">
        <v>430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271</v>
      </c>
      <c r="Q31" s="30" t="s">
        <v>667</v>
      </c>
      <c r="R31" s="30" t="s">
        <v>490</v>
      </c>
      <c r="S31" s="63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85</v>
      </c>
      <c r="X31" s="45" t="str">
        <f t="shared" si="11"/>
        <v>Key-AMB-31</v>
      </c>
      <c r="Y31" s="30" t="s">
        <v>450</v>
      </c>
      <c r="Z31" s="61" t="s">
        <v>10</v>
      </c>
      <c r="AA31" s="30" t="s">
        <v>226</v>
      </c>
      <c r="AB31" s="61" t="s">
        <v>10</v>
      </c>
      <c r="AC31" s="56" t="s">
        <v>10</v>
      </c>
      <c r="AD31" s="61" t="s">
        <v>10</v>
      </c>
    </row>
    <row r="32" spans="1:30" s="34" customFormat="1" ht="6.75" customHeight="1" x14ac:dyDescent="0.25">
      <c r="A32" s="49">
        <v>32</v>
      </c>
      <c r="B32" s="27" t="s">
        <v>417</v>
      </c>
      <c r="C32" s="27" t="s">
        <v>422</v>
      </c>
      <c r="D32" s="27" t="s">
        <v>424</v>
      </c>
      <c r="E32" s="27" t="s">
        <v>429</v>
      </c>
      <c r="F32" s="27" t="s">
        <v>268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272</v>
      </c>
      <c r="Q32" s="30" t="s">
        <v>668</v>
      </c>
      <c r="R32" s="30" t="s">
        <v>491</v>
      </c>
      <c r="S32" s="63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85</v>
      </c>
      <c r="X32" s="45" t="str">
        <f t="shared" si="11"/>
        <v>Key-AMB-32</v>
      </c>
      <c r="Y32" s="30" t="s">
        <v>450</v>
      </c>
      <c r="Z32" s="61" t="s">
        <v>10</v>
      </c>
      <c r="AA32" s="30" t="s">
        <v>226</v>
      </c>
      <c r="AB32" s="61" t="s">
        <v>10</v>
      </c>
      <c r="AC32" s="56" t="s">
        <v>10</v>
      </c>
      <c r="AD32" s="61" t="s">
        <v>10</v>
      </c>
    </row>
    <row r="33" spans="1:30" s="34" customFormat="1" ht="6.75" customHeight="1" x14ac:dyDescent="0.25">
      <c r="A33" s="49">
        <v>33</v>
      </c>
      <c r="B33" s="27" t="s">
        <v>417</v>
      </c>
      <c r="C33" s="27" t="s">
        <v>422</v>
      </c>
      <c r="D33" s="27" t="s">
        <v>424</v>
      </c>
      <c r="E33" s="27" t="s">
        <v>429</v>
      </c>
      <c r="F33" s="27" t="s">
        <v>233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273</v>
      </c>
      <c r="Q33" s="30" t="s">
        <v>669</v>
      </c>
      <c r="R33" s="30" t="s">
        <v>492</v>
      </c>
      <c r="S33" s="63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85</v>
      </c>
      <c r="X33" s="45" t="str">
        <f t="shared" si="11"/>
        <v>Key-AMB-33</v>
      </c>
      <c r="Y33" s="30" t="s">
        <v>450</v>
      </c>
      <c r="Z33" s="61" t="s">
        <v>10</v>
      </c>
      <c r="AA33" s="30" t="s">
        <v>226</v>
      </c>
      <c r="AB33" s="61" t="s">
        <v>10</v>
      </c>
      <c r="AC33" s="56" t="s">
        <v>10</v>
      </c>
      <c r="AD33" s="61" t="s">
        <v>10</v>
      </c>
    </row>
    <row r="34" spans="1:30" s="34" customFormat="1" ht="6.75" customHeight="1" x14ac:dyDescent="0.25">
      <c r="A34" s="49">
        <v>34</v>
      </c>
      <c r="B34" s="27" t="s">
        <v>417</v>
      </c>
      <c r="C34" s="27" t="s">
        <v>422</v>
      </c>
      <c r="D34" s="27" t="s">
        <v>424</v>
      </c>
      <c r="E34" s="27" t="s">
        <v>429</v>
      </c>
      <c r="F34" s="27" t="s">
        <v>232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235</v>
      </c>
      <c r="Q34" s="30" t="s">
        <v>670</v>
      </c>
      <c r="R34" s="30" t="s">
        <v>493</v>
      </c>
      <c r="S34" s="63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85</v>
      </c>
      <c r="X34" s="45" t="str">
        <f t="shared" si="11"/>
        <v>Key-AMB-34</v>
      </c>
      <c r="Y34" s="30" t="s">
        <v>199</v>
      </c>
      <c r="Z34" s="61" t="s">
        <v>10</v>
      </c>
      <c r="AA34" s="30" t="s">
        <v>226</v>
      </c>
      <c r="AB34" s="61" t="s">
        <v>10</v>
      </c>
      <c r="AC34" s="56" t="s">
        <v>10</v>
      </c>
      <c r="AD34" s="61" t="s">
        <v>10</v>
      </c>
    </row>
    <row r="35" spans="1:30" s="34" customFormat="1" ht="6.75" customHeight="1" x14ac:dyDescent="0.25">
      <c r="A35" s="49">
        <v>35</v>
      </c>
      <c r="B35" s="27" t="s">
        <v>417</v>
      </c>
      <c r="C35" s="27" t="s">
        <v>422</v>
      </c>
      <c r="D35" s="27" t="s">
        <v>298</v>
      </c>
      <c r="E35" s="27" t="s">
        <v>313</v>
      </c>
      <c r="F35" s="28" t="s">
        <v>203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299</v>
      </c>
      <c r="Q35" s="30" t="s">
        <v>671</v>
      </c>
      <c r="R35" s="30" t="s">
        <v>494</v>
      </c>
      <c r="S35" s="63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85</v>
      </c>
      <c r="X35" s="45" t="str">
        <f t="shared" si="11"/>
        <v>Key-AMB-35</v>
      </c>
      <c r="Y35" s="30" t="s">
        <v>201</v>
      </c>
      <c r="Z35" s="61" t="s">
        <v>10</v>
      </c>
      <c r="AA35" s="41" t="s">
        <v>180</v>
      </c>
      <c r="AB35" s="61" t="s">
        <v>10</v>
      </c>
      <c r="AC35" s="56" t="s">
        <v>323</v>
      </c>
      <c r="AD35" s="61" t="s">
        <v>10</v>
      </c>
    </row>
    <row r="36" spans="1:30" s="34" customFormat="1" ht="6.75" customHeight="1" x14ac:dyDescent="0.25">
      <c r="A36" s="49">
        <v>36</v>
      </c>
      <c r="B36" s="27" t="s">
        <v>417</v>
      </c>
      <c r="C36" s="27" t="s">
        <v>422</v>
      </c>
      <c r="D36" s="27" t="s">
        <v>298</v>
      </c>
      <c r="E36" s="27" t="s">
        <v>313</v>
      </c>
      <c r="F36" s="28" t="s">
        <v>304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300</v>
      </c>
      <c r="Q36" s="30" t="s">
        <v>672</v>
      </c>
      <c r="R36" s="30" t="s">
        <v>495</v>
      </c>
      <c r="S36" s="63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85</v>
      </c>
      <c r="X36" s="45" t="str">
        <f t="shared" si="11"/>
        <v>Key-AMB-36</v>
      </c>
      <c r="Y36" s="30" t="s">
        <v>201</v>
      </c>
      <c r="Z36" s="61" t="s">
        <v>10</v>
      </c>
      <c r="AA36" s="41" t="s">
        <v>180</v>
      </c>
      <c r="AB36" s="61" t="s">
        <v>10</v>
      </c>
      <c r="AC36" s="56" t="s">
        <v>346</v>
      </c>
      <c r="AD36" s="61" t="s">
        <v>10</v>
      </c>
    </row>
    <row r="37" spans="1:30" s="34" customFormat="1" ht="6.75" customHeight="1" x14ac:dyDescent="0.25">
      <c r="A37" s="49">
        <v>37</v>
      </c>
      <c r="B37" s="27" t="s">
        <v>417</v>
      </c>
      <c r="C37" s="27" t="s">
        <v>422</v>
      </c>
      <c r="D37" s="27" t="s">
        <v>298</v>
      </c>
      <c r="E37" s="27" t="s">
        <v>313</v>
      </c>
      <c r="F37" s="28" t="s">
        <v>125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307</v>
      </c>
      <c r="Q37" s="30" t="s">
        <v>673</v>
      </c>
      <c r="R37" s="30" t="s">
        <v>496</v>
      </c>
      <c r="S37" s="63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85</v>
      </c>
      <c r="X37" s="45" t="str">
        <f t="shared" si="11"/>
        <v>Key-AMB-37</v>
      </c>
      <c r="Y37" s="30" t="s">
        <v>201</v>
      </c>
      <c r="Z37" s="61" t="s">
        <v>10</v>
      </c>
      <c r="AA37" s="41" t="s">
        <v>180</v>
      </c>
      <c r="AB37" s="61" t="s">
        <v>10</v>
      </c>
      <c r="AC37" s="56" t="s">
        <v>345</v>
      </c>
      <c r="AD37" s="61" t="s">
        <v>10</v>
      </c>
    </row>
    <row r="38" spans="1:30" s="34" customFormat="1" ht="6.75" customHeight="1" x14ac:dyDescent="0.25">
      <c r="A38" s="49">
        <v>38</v>
      </c>
      <c r="B38" s="27" t="s">
        <v>417</v>
      </c>
      <c r="C38" s="27" t="s">
        <v>422</v>
      </c>
      <c r="D38" s="27" t="s">
        <v>298</v>
      </c>
      <c r="E38" s="27" t="s">
        <v>313</v>
      </c>
      <c r="F38" s="28" t="s">
        <v>414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302</v>
      </c>
      <c r="Q38" s="30" t="s">
        <v>674</v>
      </c>
      <c r="R38" s="30" t="s">
        <v>497</v>
      </c>
      <c r="S38" s="63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85</v>
      </c>
      <c r="X38" s="45" t="str">
        <f t="shared" si="11"/>
        <v>Key-AMB-38</v>
      </c>
      <c r="Y38" s="30" t="s">
        <v>201</v>
      </c>
      <c r="Z38" s="61" t="s">
        <v>10</v>
      </c>
      <c r="AA38" s="41" t="s">
        <v>181</v>
      </c>
      <c r="AB38" s="61" t="s">
        <v>10</v>
      </c>
      <c r="AC38" s="56" t="s">
        <v>345</v>
      </c>
      <c r="AD38" s="61" t="s">
        <v>10</v>
      </c>
    </row>
    <row r="39" spans="1:30" s="34" customFormat="1" ht="6.75" customHeight="1" x14ac:dyDescent="0.25">
      <c r="A39" s="49">
        <v>39</v>
      </c>
      <c r="B39" s="27" t="s">
        <v>417</v>
      </c>
      <c r="C39" s="27" t="s">
        <v>422</v>
      </c>
      <c r="D39" s="27" t="s">
        <v>298</v>
      </c>
      <c r="E39" s="27" t="s">
        <v>313</v>
      </c>
      <c r="F39" s="28" t="s">
        <v>347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342</v>
      </c>
      <c r="Q39" s="30" t="s">
        <v>675</v>
      </c>
      <c r="R39" s="30" t="s">
        <v>498</v>
      </c>
      <c r="S39" s="63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85</v>
      </c>
      <c r="X39" s="45" t="str">
        <f t="shared" si="11"/>
        <v>Key-AMB-39</v>
      </c>
      <c r="Y39" s="30" t="s">
        <v>201</v>
      </c>
      <c r="Z39" s="61" t="s">
        <v>10</v>
      </c>
      <c r="AA39" s="41" t="s">
        <v>180</v>
      </c>
      <c r="AB39" s="61" t="s">
        <v>10</v>
      </c>
      <c r="AC39" s="58" t="s">
        <v>343</v>
      </c>
      <c r="AD39" s="61" t="s">
        <v>10</v>
      </c>
    </row>
    <row r="40" spans="1:30" s="34" customFormat="1" ht="6.75" customHeight="1" x14ac:dyDescent="0.25">
      <c r="A40" s="49">
        <v>40</v>
      </c>
      <c r="B40" s="27" t="s">
        <v>417</v>
      </c>
      <c r="C40" s="27" t="s">
        <v>422</v>
      </c>
      <c r="D40" s="27" t="s">
        <v>298</v>
      </c>
      <c r="E40" s="27" t="s">
        <v>313</v>
      </c>
      <c r="F40" s="28" t="s">
        <v>348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341</v>
      </c>
      <c r="Q40" s="30" t="s">
        <v>676</v>
      </c>
      <c r="R40" s="30" t="s">
        <v>499</v>
      </c>
      <c r="S40" s="63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85</v>
      </c>
      <c r="X40" s="45" t="str">
        <f t="shared" si="11"/>
        <v>Key-AMB-40</v>
      </c>
      <c r="Y40" s="30" t="s">
        <v>201</v>
      </c>
      <c r="Z40" s="61" t="s">
        <v>10</v>
      </c>
      <c r="AA40" s="41" t="s">
        <v>180</v>
      </c>
      <c r="AB40" s="61" t="s">
        <v>10</v>
      </c>
      <c r="AC40" s="58" t="s">
        <v>344</v>
      </c>
      <c r="AD40" s="61" t="s">
        <v>10</v>
      </c>
    </row>
    <row r="41" spans="1:30" s="34" customFormat="1" ht="6.75" customHeight="1" x14ac:dyDescent="0.25">
      <c r="A41" s="49">
        <v>41</v>
      </c>
      <c r="B41" s="27" t="s">
        <v>417</v>
      </c>
      <c r="C41" s="27" t="s">
        <v>422</v>
      </c>
      <c r="D41" s="27" t="s">
        <v>298</v>
      </c>
      <c r="E41" s="27" t="s">
        <v>313</v>
      </c>
      <c r="F41" s="28" t="s">
        <v>303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306</v>
      </c>
      <c r="Q41" s="30" t="s">
        <v>677</v>
      </c>
      <c r="R41" s="30" t="s">
        <v>500</v>
      </c>
      <c r="S41" s="63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85</v>
      </c>
      <c r="X41" s="45" t="str">
        <f t="shared" si="11"/>
        <v>Key-AMB-41</v>
      </c>
      <c r="Y41" s="30" t="s">
        <v>201</v>
      </c>
      <c r="Z41" s="61" t="s">
        <v>10</v>
      </c>
      <c r="AA41" s="41" t="s">
        <v>182</v>
      </c>
      <c r="AB41" s="61" t="s">
        <v>10</v>
      </c>
      <c r="AC41" s="56" t="s">
        <v>322</v>
      </c>
      <c r="AD41" s="61" t="s">
        <v>10</v>
      </c>
    </row>
    <row r="42" spans="1:30" s="34" customFormat="1" ht="6.75" customHeight="1" x14ac:dyDescent="0.25">
      <c r="A42" s="49">
        <v>42</v>
      </c>
      <c r="B42" s="27" t="s">
        <v>417</v>
      </c>
      <c r="C42" s="27" t="s">
        <v>422</v>
      </c>
      <c r="D42" s="27" t="s">
        <v>298</v>
      </c>
      <c r="E42" s="27" t="s">
        <v>313</v>
      </c>
      <c r="F42" s="28" t="s">
        <v>431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301</v>
      </c>
      <c r="Q42" s="30" t="s">
        <v>678</v>
      </c>
      <c r="R42" s="30" t="s">
        <v>501</v>
      </c>
      <c r="S42" s="63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85</v>
      </c>
      <c r="X42" s="45" t="str">
        <f t="shared" si="11"/>
        <v>Key-AMB-42</v>
      </c>
      <c r="Y42" s="30" t="s">
        <v>201</v>
      </c>
      <c r="Z42" s="61" t="s">
        <v>10</v>
      </c>
      <c r="AA42" s="41" t="s">
        <v>184</v>
      </c>
      <c r="AB42" s="61" t="s">
        <v>10</v>
      </c>
      <c r="AC42" s="56" t="s">
        <v>447</v>
      </c>
      <c r="AD42" s="61" t="s">
        <v>10</v>
      </c>
    </row>
    <row r="43" spans="1:30" s="34" customFormat="1" ht="6.75" customHeight="1" x14ac:dyDescent="0.25">
      <c r="A43" s="49">
        <v>43</v>
      </c>
      <c r="B43" s="27" t="s">
        <v>417</v>
      </c>
      <c r="C43" s="27" t="s">
        <v>422</v>
      </c>
      <c r="D43" s="27" t="s">
        <v>298</v>
      </c>
      <c r="E43" s="27" t="s">
        <v>313</v>
      </c>
      <c r="F43" s="28" t="s">
        <v>432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305</v>
      </c>
      <c r="Q43" s="30" t="s">
        <v>679</v>
      </c>
      <c r="R43" s="30" t="s">
        <v>502</v>
      </c>
      <c r="S43" s="63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85</v>
      </c>
      <c r="X43" s="45" t="str">
        <f t="shared" si="11"/>
        <v>Key-AMB-43</v>
      </c>
      <c r="Y43" s="30" t="s">
        <v>201</v>
      </c>
      <c r="Z43" s="61" t="s">
        <v>10</v>
      </c>
      <c r="AA43" s="41" t="s">
        <v>183</v>
      </c>
      <c r="AB43" s="61" t="s">
        <v>10</v>
      </c>
      <c r="AC43" s="56" t="s">
        <v>324</v>
      </c>
      <c r="AD43" s="61" t="s">
        <v>10</v>
      </c>
    </row>
    <row r="44" spans="1:30" s="34" customFormat="1" ht="6.75" customHeight="1" x14ac:dyDescent="0.25">
      <c r="A44" s="49">
        <v>44</v>
      </c>
      <c r="B44" s="27" t="s">
        <v>417</v>
      </c>
      <c r="C44" s="27" t="s">
        <v>422</v>
      </c>
      <c r="D44" s="27" t="s">
        <v>298</v>
      </c>
      <c r="E44" s="27" t="s">
        <v>313</v>
      </c>
      <c r="F44" s="28" t="s">
        <v>433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457</v>
      </c>
      <c r="Q44" s="30" t="s">
        <v>680</v>
      </c>
      <c r="R44" s="30" t="s">
        <v>503</v>
      </c>
      <c r="S44" s="63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85</v>
      </c>
      <c r="X44" s="45" t="str">
        <f t="shared" si="11"/>
        <v>Key-AMB-44</v>
      </c>
      <c r="Y44" s="30" t="s">
        <v>201</v>
      </c>
      <c r="Z44" s="61" t="s">
        <v>10</v>
      </c>
      <c r="AA44" s="41" t="s">
        <v>184</v>
      </c>
      <c r="AB44" s="61" t="s">
        <v>10</v>
      </c>
      <c r="AC44" s="56" t="s">
        <v>447</v>
      </c>
      <c r="AD44" s="61" t="s">
        <v>10</v>
      </c>
    </row>
    <row r="45" spans="1:30" s="34" customFormat="1" ht="6.75" customHeight="1" x14ac:dyDescent="0.25">
      <c r="A45" s="49">
        <v>45</v>
      </c>
      <c r="B45" s="27" t="s">
        <v>417</v>
      </c>
      <c r="C45" s="27" t="s">
        <v>422</v>
      </c>
      <c r="D45" s="27" t="s">
        <v>298</v>
      </c>
      <c r="E45" s="27" t="s">
        <v>313</v>
      </c>
      <c r="F45" s="28" t="s">
        <v>434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326</v>
      </c>
      <c r="Q45" s="30" t="s">
        <v>681</v>
      </c>
      <c r="R45" s="30" t="s">
        <v>504</v>
      </c>
      <c r="S45" s="63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85</v>
      </c>
      <c r="X45" s="45" t="str">
        <f t="shared" si="11"/>
        <v>Key-AMB-45</v>
      </c>
      <c r="Y45" s="30" t="s">
        <v>201</v>
      </c>
      <c r="Z45" s="61" t="s">
        <v>10</v>
      </c>
      <c r="AA45" s="41" t="s">
        <v>184</v>
      </c>
      <c r="AB45" s="61" t="s">
        <v>10</v>
      </c>
      <c r="AC45" s="56" t="s">
        <v>325</v>
      </c>
      <c r="AD45" s="61" t="s">
        <v>10</v>
      </c>
    </row>
    <row r="46" spans="1:30" s="34" customFormat="1" ht="6.75" customHeight="1" x14ac:dyDescent="0.25">
      <c r="A46" s="49">
        <v>46</v>
      </c>
      <c r="B46" s="27" t="s">
        <v>417</v>
      </c>
      <c r="C46" s="27" t="s">
        <v>422</v>
      </c>
      <c r="D46" s="27" t="s">
        <v>298</v>
      </c>
      <c r="E46" s="27" t="s">
        <v>313</v>
      </c>
      <c r="F46" s="28" t="s">
        <v>248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250</v>
      </c>
      <c r="Q46" s="30" t="s">
        <v>682</v>
      </c>
      <c r="R46" s="30" t="s">
        <v>505</v>
      </c>
      <c r="S46" s="63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85</v>
      </c>
      <c r="X46" s="45" t="str">
        <f t="shared" si="11"/>
        <v>Key-AMB-46</v>
      </c>
      <c r="Y46" s="30" t="s">
        <v>201</v>
      </c>
      <c r="Z46" s="61" t="s">
        <v>10</v>
      </c>
      <c r="AA46" s="41" t="s">
        <v>185</v>
      </c>
      <c r="AB46" s="61" t="s">
        <v>10</v>
      </c>
      <c r="AC46" s="56" t="s">
        <v>447</v>
      </c>
      <c r="AD46" s="61" t="s">
        <v>10</v>
      </c>
    </row>
    <row r="47" spans="1:30" s="34" customFormat="1" ht="6.75" customHeight="1" x14ac:dyDescent="0.25">
      <c r="A47" s="49">
        <v>47</v>
      </c>
      <c r="B47" s="27" t="s">
        <v>417</v>
      </c>
      <c r="C47" s="27" t="s">
        <v>422</v>
      </c>
      <c r="D47" s="27" t="s">
        <v>298</v>
      </c>
      <c r="E47" s="27" t="s">
        <v>313</v>
      </c>
      <c r="F47" s="28" t="s">
        <v>253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251</v>
      </c>
      <c r="Q47" s="30" t="s">
        <v>683</v>
      </c>
      <c r="R47" s="30" t="s">
        <v>506</v>
      </c>
      <c r="S47" s="63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85</v>
      </c>
      <c r="X47" s="45" t="str">
        <f t="shared" si="11"/>
        <v>Key-AMB-47</v>
      </c>
      <c r="Y47" s="30" t="s">
        <v>201</v>
      </c>
      <c r="Z47" s="61" t="s">
        <v>10</v>
      </c>
      <c r="AA47" s="41" t="s">
        <v>185</v>
      </c>
      <c r="AB47" s="61" t="s">
        <v>10</v>
      </c>
      <c r="AC47" s="56" t="s">
        <v>447</v>
      </c>
      <c r="AD47" s="61" t="s">
        <v>10</v>
      </c>
    </row>
    <row r="48" spans="1:30" s="34" customFormat="1" ht="6.75" customHeight="1" x14ac:dyDescent="0.25">
      <c r="A48" s="49">
        <v>48</v>
      </c>
      <c r="B48" s="27" t="s">
        <v>417</v>
      </c>
      <c r="C48" s="27" t="s">
        <v>422</v>
      </c>
      <c r="D48" s="27" t="s">
        <v>298</v>
      </c>
      <c r="E48" s="27" t="s">
        <v>313</v>
      </c>
      <c r="F48" s="28" t="s">
        <v>249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252</v>
      </c>
      <c r="Q48" s="30" t="s">
        <v>684</v>
      </c>
      <c r="R48" s="30" t="s">
        <v>507</v>
      </c>
      <c r="S48" s="63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85</v>
      </c>
      <c r="X48" s="45" t="str">
        <f t="shared" si="11"/>
        <v>Key-AMB-48</v>
      </c>
      <c r="Y48" s="30" t="s">
        <v>201</v>
      </c>
      <c r="Z48" s="61" t="s">
        <v>10</v>
      </c>
      <c r="AA48" s="41" t="s">
        <v>185</v>
      </c>
      <c r="AB48" s="61" t="s">
        <v>10</v>
      </c>
      <c r="AC48" s="56" t="s">
        <v>447</v>
      </c>
      <c r="AD48" s="61" t="s">
        <v>10</v>
      </c>
    </row>
    <row r="49" spans="1:30" s="34" customFormat="1" ht="6.75" customHeight="1" x14ac:dyDescent="0.25">
      <c r="A49" s="49">
        <v>49</v>
      </c>
      <c r="B49" s="27" t="s">
        <v>417</v>
      </c>
      <c r="C49" s="27" t="s">
        <v>422</v>
      </c>
      <c r="D49" s="27" t="s">
        <v>231</v>
      </c>
      <c r="E49" s="27" t="s">
        <v>942</v>
      </c>
      <c r="F49" s="28" t="s">
        <v>856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si="12"/>
        <v>De.Espacialidade</v>
      </c>
      <c r="M49" s="29" t="str">
        <f t="shared" si="12"/>
        <v>Elementos.Espaciais</v>
      </c>
      <c r="N49" s="29" t="str">
        <f t="shared" ref="N49:O133" si="16">(SUBSTITUTE(SUBSTITUTE(CONCATENATE("",E49),"."," ")," De "," de "))</f>
        <v>Ambiente Geral</v>
      </c>
      <c r="O49" s="29" t="str">
        <f t="shared" si="16"/>
        <v>Amb Articulador</v>
      </c>
      <c r="P49" s="30" t="s">
        <v>238</v>
      </c>
      <c r="Q49" s="30" t="s">
        <v>685</v>
      </c>
      <c r="R49" s="30" t="s">
        <v>508</v>
      </c>
      <c r="S49" s="63" t="s">
        <v>10</v>
      </c>
      <c r="T49" s="30" t="str">
        <f t="shared" ref="T49:V73" si="17">SUBSTITUTE(C49, ".", " ")</f>
        <v>De Espacialidade</v>
      </c>
      <c r="U49" s="30" t="str">
        <f t="shared" si="17"/>
        <v>Elementos Espaciais</v>
      </c>
      <c r="V49" s="30" t="str">
        <f t="shared" si="17"/>
        <v>Ambiente Geral</v>
      </c>
      <c r="W49" s="30" t="s">
        <v>85</v>
      </c>
      <c r="X49" s="45" t="str">
        <f t="shared" si="11"/>
        <v>Key-AMB-49</v>
      </c>
      <c r="Y49" s="30" t="s">
        <v>451</v>
      </c>
      <c r="Z49" s="61" t="s">
        <v>10</v>
      </c>
      <c r="AA49" s="41" t="s">
        <v>186</v>
      </c>
      <c r="AB49" s="61" t="s">
        <v>10</v>
      </c>
      <c r="AC49" s="56" t="s">
        <v>936</v>
      </c>
      <c r="AD49" s="61" t="s">
        <v>10</v>
      </c>
    </row>
    <row r="50" spans="1:30" s="34" customFormat="1" ht="6.75" customHeight="1" x14ac:dyDescent="0.25">
      <c r="A50" s="49">
        <v>50</v>
      </c>
      <c r="B50" s="27" t="s">
        <v>417</v>
      </c>
      <c r="C50" s="27" t="s">
        <v>422</v>
      </c>
      <c r="D50" s="27" t="s">
        <v>231</v>
      </c>
      <c r="E50" s="27" t="s">
        <v>942</v>
      </c>
      <c r="F50" s="28" t="s">
        <v>857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6"/>
        <v>Ambiente Geral</v>
      </c>
      <c r="O50" s="29" t="str">
        <f t="shared" si="16"/>
        <v>Amb Inespecífico</v>
      </c>
      <c r="P50" s="30" t="s">
        <v>239</v>
      </c>
      <c r="Q50" s="30" t="s">
        <v>686</v>
      </c>
      <c r="R50" s="30" t="s">
        <v>509</v>
      </c>
      <c r="S50" s="63" t="s">
        <v>10</v>
      </c>
      <c r="T50" s="30" t="str">
        <f t="shared" si="17"/>
        <v>De Espacialidade</v>
      </c>
      <c r="U50" s="30" t="str">
        <f t="shared" si="17"/>
        <v>Elementos Espaciais</v>
      </c>
      <c r="V50" s="30" t="str">
        <f t="shared" si="17"/>
        <v>Ambiente Geral</v>
      </c>
      <c r="W50" s="30" t="s">
        <v>85</v>
      </c>
      <c r="X50" s="45" t="str">
        <f t="shared" si="11"/>
        <v>Key-AMB-50</v>
      </c>
      <c r="Y50" s="30" t="s">
        <v>451</v>
      </c>
      <c r="Z50" s="61" t="s">
        <v>10</v>
      </c>
      <c r="AA50" s="41" t="s">
        <v>186</v>
      </c>
      <c r="AB50" s="61" t="s">
        <v>10</v>
      </c>
      <c r="AC50" s="56" t="s">
        <v>936</v>
      </c>
      <c r="AD50" s="61" t="s">
        <v>10</v>
      </c>
    </row>
    <row r="51" spans="1:30" s="34" customFormat="1" ht="6.75" customHeight="1" x14ac:dyDescent="0.25">
      <c r="A51" s="49">
        <v>51</v>
      </c>
      <c r="B51" s="27" t="s">
        <v>417</v>
      </c>
      <c r="C51" s="27" t="s">
        <v>422</v>
      </c>
      <c r="D51" s="27" t="s">
        <v>231</v>
      </c>
      <c r="E51" s="27" t="s">
        <v>942</v>
      </c>
      <c r="F51" s="28" t="s">
        <v>858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6"/>
        <v>Ambiente Geral</v>
      </c>
      <c r="O51" s="29" t="str">
        <f t="shared" si="16"/>
        <v>Amb Shaft</v>
      </c>
      <c r="P51" s="30" t="s">
        <v>339</v>
      </c>
      <c r="Q51" s="30" t="s">
        <v>687</v>
      </c>
      <c r="R51" s="30" t="s">
        <v>510</v>
      </c>
      <c r="S51" s="63" t="s">
        <v>10</v>
      </c>
      <c r="T51" s="30" t="str">
        <f t="shared" si="17"/>
        <v>De Espacialidade</v>
      </c>
      <c r="U51" s="30" t="str">
        <f t="shared" si="17"/>
        <v>Elementos Espaciais</v>
      </c>
      <c r="V51" s="30" t="str">
        <f t="shared" si="17"/>
        <v>Ambiente Geral</v>
      </c>
      <c r="W51" s="30" t="s">
        <v>85</v>
      </c>
      <c r="X51" s="45" t="str">
        <f t="shared" si="11"/>
        <v>Key-AMB-51</v>
      </c>
      <c r="Y51" s="30" t="s">
        <v>451</v>
      </c>
      <c r="Z51" s="61" t="s">
        <v>10</v>
      </c>
      <c r="AA51" s="41" t="s">
        <v>186</v>
      </c>
      <c r="AB51" s="61" t="s">
        <v>10</v>
      </c>
      <c r="AC51" s="56" t="s">
        <v>340</v>
      </c>
      <c r="AD51" s="61" t="s">
        <v>10</v>
      </c>
    </row>
    <row r="52" spans="1:30" s="34" customFormat="1" ht="6.75" customHeight="1" x14ac:dyDescent="0.25">
      <c r="A52" s="49">
        <v>52</v>
      </c>
      <c r="B52" s="27" t="s">
        <v>417</v>
      </c>
      <c r="C52" s="27" t="s">
        <v>422</v>
      </c>
      <c r="D52" s="27" t="s">
        <v>231</v>
      </c>
      <c r="E52" s="27" t="s">
        <v>943</v>
      </c>
      <c r="F52" s="28" t="s">
        <v>859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6"/>
        <v>Ambiente Específico</v>
      </c>
      <c r="O52" s="29" t="str">
        <f t="shared" si="16"/>
        <v>Amb Acústico</v>
      </c>
      <c r="P52" s="30" t="s">
        <v>372</v>
      </c>
      <c r="Q52" s="30" t="s">
        <v>688</v>
      </c>
      <c r="R52" s="30" t="s">
        <v>511</v>
      </c>
      <c r="S52" s="63" t="s">
        <v>10</v>
      </c>
      <c r="T52" s="30" t="str">
        <f t="shared" si="17"/>
        <v>De Espacialidade</v>
      </c>
      <c r="U52" s="30" t="str">
        <f t="shared" si="17"/>
        <v>Elementos Espaciais</v>
      </c>
      <c r="V52" s="30" t="str">
        <f t="shared" si="17"/>
        <v>Ambiente Específico</v>
      </c>
      <c r="W52" s="30" t="s">
        <v>85</v>
      </c>
      <c r="X52" s="45" t="str">
        <f t="shared" si="11"/>
        <v>Key-AMB-52</v>
      </c>
      <c r="Y52" s="30" t="s">
        <v>451</v>
      </c>
      <c r="Z52" s="61" t="s">
        <v>10</v>
      </c>
      <c r="AA52" s="41" t="s">
        <v>186</v>
      </c>
      <c r="AB52" s="61" t="s">
        <v>10</v>
      </c>
      <c r="AC52" s="56" t="s">
        <v>936</v>
      </c>
      <c r="AD52" s="61" t="s">
        <v>10</v>
      </c>
    </row>
    <row r="53" spans="1:30" s="34" customFormat="1" ht="6.75" customHeight="1" x14ac:dyDescent="0.25">
      <c r="A53" s="49">
        <v>53</v>
      </c>
      <c r="B53" s="27" t="s">
        <v>417</v>
      </c>
      <c r="C53" s="27" t="s">
        <v>422</v>
      </c>
      <c r="D53" s="27" t="s">
        <v>231</v>
      </c>
      <c r="E53" s="27" t="s">
        <v>943</v>
      </c>
      <c r="F53" s="28" t="s">
        <v>860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6"/>
        <v>Ambiente Específico</v>
      </c>
      <c r="O53" s="29" t="str">
        <f t="shared" si="16"/>
        <v>Amb Anecóico</v>
      </c>
      <c r="P53" s="30" t="s">
        <v>274</v>
      </c>
      <c r="Q53" s="30" t="s">
        <v>689</v>
      </c>
      <c r="R53" s="30" t="s">
        <v>512</v>
      </c>
      <c r="S53" s="63" t="s">
        <v>10</v>
      </c>
      <c r="T53" s="30" t="str">
        <f t="shared" si="17"/>
        <v>De Espacialidade</v>
      </c>
      <c r="U53" s="30" t="str">
        <f t="shared" si="17"/>
        <v>Elementos Espaciais</v>
      </c>
      <c r="V53" s="30" t="str">
        <f t="shared" si="17"/>
        <v>Ambiente Específico</v>
      </c>
      <c r="W53" s="30" t="s">
        <v>85</v>
      </c>
      <c r="X53" s="45" t="str">
        <f t="shared" si="11"/>
        <v>Key-AMB-53</v>
      </c>
      <c r="Y53" s="30" t="s">
        <v>451</v>
      </c>
      <c r="Z53" s="61" t="s">
        <v>10</v>
      </c>
      <c r="AA53" s="41" t="s">
        <v>186</v>
      </c>
      <c r="AB53" s="61" t="s">
        <v>10</v>
      </c>
      <c r="AC53" s="56" t="s">
        <v>936</v>
      </c>
      <c r="AD53" s="61" t="s">
        <v>10</v>
      </c>
    </row>
    <row r="54" spans="1:30" s="34" customFormat="1" ht="6.75" customHeight="1" x14ac:dyDescent="0.25">
      <c r="A54" s="49">
        <v>54</v>
      </c>
      <c r="B54" s="27" t="s">
        <v>417</v>
      </c>
      <c r="C54" s="27" t="s">
        <v>422</v>
      </c>
      <c r="D54" s="27" t="s">
        <v>231</v>
      </c>
      <c r="E54" s="27" t="s">
        <v>943</v>
      </c>
      <c r="F54" s="28" t="s">
        <v>861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6"/>
        <v>Ambiente Específico</v>
      </c>
      <c r="O54" s="29" t="str">
        <f t="shared" si="16"/>
        <v>Amb Blindado</v>
      </c>
      <c r="P54" s="30" t="s">
        <v>352</v>
      </c>
      <c r="Q54" s="30" t="s">
        <v>690</v>
      </c>
      <c r="R54" s="30" t="s">
        <v>513</v>
      </c>
      <c r="S54" s="63" t="s">
        <v>10</v>
      </c>
      <c r="T54" s="30" t="str">
        <f t="shared" si="17"/>
        <v>De Espacialidade</v>
      </c>
      <c r="U54" s="30" t="str">
        <f t="shared" si="17"/>
        <v>Elementos Espaciais</v>
      </c>
      <c r="V54" s="30" t="str">
        <f t="shared" si="17"/>
        <v>Ambiente Específico</v>
      </c>
      <c r="W54" s="30" t="s">
        <v>85</v>
      </c>
      <c r="X54" s="45" t="str">
        <f t="shared" si="11"/>
        <v>Key-AMB-54</v>
      </c>
      <c r="Y54" s="30" t="s">
        <v>451</v>
      </c>
      <c r="Z54" s="61" t="s">
        <v>10</v>
      </c>
      <c r="AA54" s="41" t="s">
        <v>186</v>
      </c>
      <c r="AB54" s="61" t="s">
        <v>10</v>
      </c>
      <c r="AC54" s="56" t="s">
        <v>936</v>
      </c>
      <c r="AD54" s="61" t="s">
        <v>10</v>
      </c>
    </row>
    <row r="55" spans="1:30" s="34" customFormat="1" ht="6.75" customHeight="1" x14ac:dyDescent="0.25">
      <c r="A55" s="49">
        <v>55</v>
      </c>
      <c r="B55" s="27" t="s">
        <v>417</v>
      </c>
      <c r="C55" s="27" t="s">
        <v>422</v>
      </c>
      <c r="D55" s="27" t="s">
        <v>231</v>
      </c>
      <c r="E55" s="27" t="s">
        <v>943</v>
      </c>
      <c r="F55" s="28" t="s">
        <v>862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6"/>
        <v>Ambiente Específico</v>
      </c>
      <c r="O55" s="29" t="str">
        <f t="shared" si="16"/>
        <v>Amb Estacionamento</v>
      </c>
      <c r="P55" s="30" t="s">
        <v>382</v>
      </c>
      <c r="Q55" s="30" t="s">
        <v>691</v>
      </c>
      <c r="R55" s="30" t="s">
        <v>514</v>
      </c>
      <c r="S55" s="63" t="s">
        <v>10</v>
      </c>
      <c r="T55" s="30" t="str">
        <f t="shared" si="17"/>
        <v>De Espacialidade</v>
      </c>
      <c r="U55" s="30" t="str">
        <f t="shared" si="17"/>
        <v>Elementos Espaciais</v>
      </c>
      <c r="V55" s="30" t="str">
        <f t="shared" si="17"/>
        <v>Ambiente Específico</v>
      </c>
      <c r="W55" s="30" t="s">
        <v>85</v>
      </c>
      <c r="X55" s="45" t="str">
        <f t="shared" si="11"/>
        <v>Key-AMB-55</v>
      </c>
      <c r="Y55" s="30" t="s">
        <v>451</v>
      </c>
      <c r="Z55" s="61" t="s">
        <v>10</v>
      </c>
      <c r="AA55" s="41" t="s">
        <v>186</v>
      </c>
      <c r="AB55" s="61" t="s">
        <v>10</v>
      </c>
      <c r="AC55" s="56" t="s">
        <v>936</v>
      </c>
      <c r="AD55" s="61" t="s">
        <v>10</v>
      </c>
    </row>
    <row r="56" spans="1:30" s="34" customFormat="1" ht="6.75" customHeight="1" x14ac:dyDescent="0.25">
      <c r="A56" s="49">
        <v>56</v>
      </c>
      <c r="B56" s="27" t="s">
        <v>417</v>
      </c>
      <c r="C56" s="27" t="s">
        <v>422</v>
      </c>
      <c r="D56" s="27" t="s">
        <v>231</v>
      </c>
      <c r="E56" s="27" t="s">
        <v>943</v>
      </c>
      <c r="F56" s="28" t="s">
        <v>863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6"/>
        <v>Ambiente Específico</v>
      </c>
      <c r="O56" s="29" t="str">
        <f t="shared" si="16"/>
        <v>Amb Expositivo</v>
      </c>
      <c r="P56" s="30" t="s">
        <v>276</v>
      </c>
      <c r="Q56" s="30" t="s">
        <v>692</v>
      </c>
      <c r="R56" s="30" t="s">
        <v>515</v>
      </c>
      <c r="S56" s="63" t="s">
        <v>10</v>
      </c>
      <c r="T56" s="30" t="str">
        <f t="shared" si="17"/>
        <v>De Espacialidade</v>
      </c>
      <c r="U56" s="30" t="str">
        <f t="shared" si="17"/>
        <v>Elementos Espaciais</v>
      </c>
      <c r="V56" s="30" t="str">
        <f t="shared" si="17"/>
        <v>Ambiente Específico</v>
      </c>
      <c r="W56" s="30" t="s">
        <v>85</v>
      </c>
      <c r="X56" s="45" t="str">
        <f t="shared" si="11"/>
        <v>Key-AMB-56</v>
      </c>
      <c r="Y56" s="30" t="s">
        <v>451</v>
      </c>
      <c r="Z56" s="61" t="s">
        <v>10</v>
      </c>
      <c r="AA56" s="41" t="s">
        <v>186</v>
      </c>
      <c r="AB56" s="61" t="s">
        <v>10</v>
      </c>
      <c r="AC56" s="56" t="s">
        <v>936</v>
      </c>
      <c r="AD56" s="61" t="s">
        <v>10</v>
      </c>
    </row>
    <row r="57" spans="1:30" s="34" customFormat="1" ht="6.75" customHeight="1" x14ac:dyDescent="0.25">
      <c r="A57" s="49">
        <v>57</v>
      </c>
      <c r="B57" s="27" t="s">
        <v>417</v>
      </c>
      <c r="C57" s="27" t="s">
        <v>422</v>
      </c>
      <c r="D57" s="27" t="s">
        <v>231</v>
      </c>
      <c r="E57" s="27" t="s">
        <v>943</v>
      </c>
      <c r="F57" s="28" t="s">
        <v>864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6"/>
        <v>Ambiente Específico</v>
      </c>
      <c r="O57" s="29" t="str">
        <f t="shared" si="16"/>
        <v>Amb Frio</v>
      </c>
      <c r="P57" s="30" t="s">
        <v>277</v>
      </c>
      <c r="Q57" s="30" t="s">
        <v>693</v>
      </c>
      <c r="R57" s="30" t="s">
        <v>516</v>
      </c>
      <c r="S57" s="63" t="s">
        <v>10</v>
      </c>
      <c r="T57" s="30" t="str">
        <f t="shared" si="17"/>
        <v>De Espacialidade</v>
      </c>
      <c r="U57" s="30" t="str">
        <f t="shared" si="17"/>
        <v>Elementos Espaciais</v>
      </c>
      <c r="V57" s="30" t="str">
        <f t="shared" si="17"/>
        <v>Ambiente Específico</v>
      </c>
      <c r="W57" s="30" t="s">
        <v>85</v>
      </c>
      <c r="X57" s="45" t="str">
        <f t="shared" si="11"/>
        <v>Key-AMB-57</v>
      </c>
      <c r="Y57" s="30" t="s">
        <v>451</v>
      </c>
      <c r="Z57" s="61" t="s">
        <v>10</v>
      </c>
      <c r="AA57" s="41" t="s">
        <v>186</v>
      </c>
      <c r="AB57" s="61" t="s">
        <v>10</v>
      </c>
      <c r="AC57" s="56" t="s">
        <v>936</v>
      </c>
      <c r="AD57" s="61" t="s">
        <v>10</v>
      </c>
    </row>
    <row r="58" spans="1:30" s="34" customFormat="1" ht="6.75" customHeight="1" x14ac:dyDescent="0.25">
      <c r="A58" s="49">
        <v>58</v>
      </c>
      <c r="B58" s="27" t="s">
        <v>417</v>
      </c>
      <c r="C58" s="27" t="s">
        <v>422</v>
      </c>
      <c r="D58" s="27" t="s">
        <v>231</v>
      </c>
      <c r="E58" s="27" t="s">
        <v>943</v>
      </c>
      <c r="F58" s="28" t="s">
        <v>865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6"/>
        <v>Ambiente Específico</v>
      </c>
      <c r="O58" s="29" t="str">
        <f t="shared" si="16"/>
        <v>Amb Gastronômico</v>
      </c>
      <c r="P58" s="30" t="s">
        <v>350</v>
      </c>
      <c r="Q58" s="30" t="s">
        <v>694</v>
      </c>
      <c r="R58" s="30" t="s">
        <v>517</v>
      </c>
      <c r="S58" s="63" t="s">
        <v>10</v>
      </c>
      <c r="T58" s="30" t="str">
        <f t="shared" si="17"/>
        <v>De Espacialidade</v>
      </c>
      <c r="U58" s="30" t="str">
        <f t="shared" si="17"/>
        <v>Elementos Espaciais</v>
      </c>
      <c r="V58" s="30" t="str">
        <f t="shared" si="17"/>
        <v>Ambiente Específico</v>
      </c>
      <c r="W58" s="30" t="s">
        <v>85</v>
      </c>
      <c r="X58" s="45" t="str">
        <f t="shared" si="11"/>
        <v>Key-AMB-58</v>
      </c>
      <c r="Y58" s="30" t="s">
        <v>451</v>
      </c>
      <c r="Z58" s="61" t="s">
        <v>10</v>
      </c>
      <c r="AA58" s="41" t="s">
        <v>186</v>
      </c>
      <c r="AB58" s="61" t="s">
        <v>10</v>
      </c>
      <c r="AC58" s="56" t="s">
        <v>936</v>
      </c>
      <c r="AD58" s="61" t="s">
        <v>10</v>
      </c>
    </row>
    <row r="59" spans="1:30" s="34" customFormat="1" ht="6.75" customHeight="1" x14ac:dyDescent="0.25">
      <c r="A59" s="49">
        <v>59</v>
      </c>
      <c r="B59" s="27" t="s">
        <v>417</v>
      </c>
      <c r="C59" s="27" t="s">
        <v>422</v>
      </c>
      <c r="D59" s="27" t="s">
        <v>231</v>
      </c>
      <c r="E59" s="27" t="s">
        <v>943</v>
      </c>
      <c r="F59" s="28" t="s">
        <v>866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6"/>
        <v>Ambiente Específico</v>
      </c>
      <c r="O59" s="29" t="str">
        <f t="shared" si="16"/>
        <v>Amb Grande</v>
      </c>
      <c r="P59" s="30" t="s">
        <v>379</v>
      </c>
      <c r="Q59" s="30" t="s">
        <v>695</v>
      </c>
      <c r="R59" s="30" t="s">
        <v>518</v>
      </c>
      <c r="S59" s="63" t="s">
        <v>10</v>
      </c>
      <c r="T59" s="30" t="str">
        <f t="shared" si="17"/>
        <v>De Espacialidade</v>
      </c>
      <c r="U59" s="30" t="str">
        <f t="shared" si="17"/>
        <v>Elementos Espaciais</v>
      </c>
      <c r="V59" s="30" t="str">
        <f t="shared" si="17"/>
        <v>Ambiente Específico</v>
      </c>
      <c r="W59" s="30" t="s">
        <v>85</v>
      </c>
      <c r="X59" s="45" t="str">
        <f t="shared" si="11"/>
        <v>Key-AMB-59</v>
      </c>
      <c r="Y59" s="30" t="s">
        <v>451</v>
      </c>
      <c r="Z59" s="61" t="s">
        <v>10</v>
      </c>
      <c r="AA59" s="41" t="s">
        <v>186</v>
      </c>
      <c r="AB59" s="61" t="s">
        <v>10</v>
      </c>
      <c r="AC59" s="56" t="s">
        <v>936</v>
      </c>
      <c r="AD59" s="61" t="s">
        <v>10</v>
      </c>
    </row>
    <row r="60" spans="1:30" s="34" customFormat="1" ht="6.75" customHeight="1" x14ac:dyDescent="0.25">
      <c r="A60" s="49">
        <v>60</v>
      </c>
      <c r="B60" s="27" t="s">
        <v>417</v>
      </c>
      <c r="C60" s="27" t="s">
        <v>422</v>
      </c>
      <c r="D60" s="27" t="s">
        <v>231</v>
      </c>
      <c r="E60" s="27" t="s">
        <v>943</v>
      </c>
      <c r="F60" s="28" t="s">
        <v>867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6"/>
        <v>Ambiente Específico</v>
      </c>
      <c r="O60" s="29" t="str">
        <f t="shared" si="16"/>
        <v>Amb Logístico</v>
      </c>
      <c r="P60" s="30" t="s">
        <v>296</v>
      </c>
      <c r="Q60" s="30" t="s">
        <v>696</v>
      </c>
      <c r="R60" s="30" t="s">
        <v>519</v>
      </c>
      <c r="S60" s="63" t="s">
        <v>10</v>
      </c>
      <c r="T60" s="30" t="str">
        <f t="shared" si="17"/>
        <v>De Espacialidade</v>
      </c>
      <c r="U60" s="30" t="str">
        <f t="shared" si="17"/>
        <v>Elementos Espaciais</v>
      </c>
      <c r="V60" s="30" t="str">
        <f t="shared" si="17"/>
        <v>Ambiente Específico</v>
      </c>
      <c r="W60" s="30" t="s">
        <v>85</v>
      </c>
      <c r="X60" s="45" t="str">
        <f t="shared" si="11"/>
        <v>Key-AMB-60</v>
      </c>
      <c r="Y60" s="30" t="s">
        <v>451</v>
      </c>
      <c r="Z60" s="61" t="s">
        <v>10</v>
      </c>
      <c r="AA60" s="41" t="s">
        <v>186</v>
      </c>
      <c r="AB60" s="61" t="s">
        <v>10</v>
      </c>
      <c r="AC60" s="56" t="s">
        <v>936</v>
      </c>
      <c r="AD60" s="61" t="s">
        <v>10</v>
      </c>
    </row>
    <row r="61" spans="1:30" s="34" customFormat="1" ht="6.75" customHeight="1" x14ac:dyDescent="0.25">
      <c r="A61" s="49">
        <v>61</v>
      </c>
      <c r="B61" s="27" t="s">
        <v>417</v>
      </c>
      <c r="C61" s="27" t="s">
        <v>422</v>
      </c>
      <c r="D61" s="27" t="s">
        <v>231</v>
      </c>
      <c r="E61" s="27" t="s">
        <v>943</v>
      </c>
      <c r="F61" s="28" t="s">
        <v>868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6"/>
        <v>Ambiente Específico</v>
      </c>
      <c r="O61" s="29" t="str">
        <f t="shared" si="16"/>
        <v>Amb Manutenção</v>
      </c>
      <c r="P61" s="30" t="s">
        <v>351</v>
      </c>
      <c r="Q61" s="30" t="s">
        <v>697</v>
      </c>
      <c r="R61" s="30" t="s">
        <v>520</v>
      </c>
      <c r="S61" s="63" t="s">
        <v>10</v>
      </c>
      <c r="T61" s="30" t="str">
        <f t="shared" si="17"/>
        <v>De Espacialidade</v>
      </c>
      <c r="U61" s="30" t="str">
        <f t="shared" si="17"/>
        <v>Elementos Espaciais</v>
      </c>
      <c r="V61" s="30" t="str">
        <f t="shared" si="17"/>
        <v>Ambiente Específico</v>
      </c>
      <c r="W61" s="30" t="s">
        <v>85</v>
      </c>
      <c r="X61" s="45" t="str">
        <f t="shared" si="11"/>
        <v>Key-AMB-61</v>
      </c>
      <c r="Y61" s="30" t="s">
        <v>451</v>
      </c>
      <c r="Z61" s="61" t="s">
        <v>10</v>
      </c>
      <c r="AA61" s="41" t="s">
        <v>186</v>
      </c>
      <c r="AB61" s="61" t="s">
        <v>10</v>
      </c>
      <c r="AC61" s="56" t="s">
        <v>936</v>
      </c>
      <c r="AD61" s="61" t="s">
        <v>10</v>
      </c>
    </row>
    <row r="62" spans="1:30" s="34" customFormat="1" ht="6.75" customHeight="1" x14ac:dyDescent="0.25">
      <c r="A62" s="49">
        <v>62</v>
      </c>
      <c r="B62" s="27" t="s">
        <v>417</v>
      </c>
      <c r="C62" s="27" t="s">
        <v>422</v>
      </c>
      <c r="D62" s="27" t="s">
        <v>231</v>
      </c>
      <c r="E62" s="27" t="s">
        <v>943</v>
      </c>
      <c r="F62" s="28" t="s">
        <v>869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6"/>
        <v>Ambiente Específico</v>
      </c>
      <c r="O62" s="29" t="str">
        <f t="shared" si="16"/>
        <v>Amb Quarentena</v>
      </c>
      <c r="P62" s="30" t="s">
        <v>354</v>
      </c>
      <c r="Q62" s="30" t="s">
        <v>698</v>
      </c>
      <c r="R62" s="30" t="s">
        <v>521</v>
      </c>
      <c r="S62" s="63" t="s">
        <v>10</v>
      </c>
      <c r="T62" s="30" t="str">
        <f t="shared" si="17"/>
        <v>De Espacialidade</v>
      </c>
      <c r="U62" s="30" t="str">
        <f t="shared" si="17"/>
        <v>Elementos Espaciais</v>
      </c>
      <c r="V62" s="30" t="str">
        <f t="shared" si="17"/>
        <v>Ambiente Específico</v>
      </c>
      <c r="W62" s="30" t="s">
        <v>85</v>
      </c>
      <c r="X62" s="45" t="str">
        <f t="shared" si="11"/>
        <v>Key-AMB-62</v>
      </c>
      <c r="Y62" s="30" t="s">
        <v>451</v>
      </c>
      <c r="Z62" s="61" t="s">
        <v>10</v>
      </c>
      <c r="AA62" s="41" t="s">
        <v>186</v>
      </c>
      <c r="AB62" s="61" t="s">
        <v>10</v>
      </c>
      <c r="AC62" s="56" t="s">
        <v>936</v>
      </c>
      <c r="AD62" s="61" t="s">
        <v>10</v>
      </c>
    </row>
    <row r="63" spans="1:30" s="34" customFormat="1" ht="6.75" customHeight="1" x14ac:dyDescent="0.25">
      <c r="A63" s="49">
        <v>63</v>
      </c>
      <c r="B63" s="27" t="s">
        <v>417</v>
      </c>
      <c r="C63" s="27" t="s">
        <v>422</v>
      </c>
      <c r="D63" s="27" t="s">
        <v>231</v>
      </c>
      <c r="E63" s="27" t="s">
        <v>943</v>
      </c>
      <c r="F63" s="28" t="s">
        <v>870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6"/>
        <v>Ambiente Específico</v>
      </c>
      <c r="O63" s="29" t="str">
        <f t="shared" si="16"/>
        <v>Amb Reverberante</v>
      </c>
      <c r="P63" s="30" t="s">
        <v>275</v>
      </c>
      <c r="Q63" s="30" t="s">
        <v>699</v>
      </c>
      <c r="R63" s="30" t="s">
        <v>522</v>
      </c>
      <c r="S63" s="63" t="s">
        <v>10</v>
      </c>
      <c r="T63" s="30" t="str">
        <f t="shared" si="17"/>
        <v>De Espacialidade</v>
      </c>
      <c r="U63" s="30" t="str">
        <f t="shared" si="17"/>
        <v>Elementos Espaciais</v>
      </c>
      <c r="V63" s="30" t="str">
        <f t="shared" si="17"/>
        <v>Ambiente Específico</v>
      </c>
      <c r="W63" s="30" t="s">
        <v>85</v>
      </c>
      <c r="X63" s="45" t="str">
        <f t="shared" si="11"/>
        <v>Key-AMB-63</v>
      </c>
      <c r="Y63" s="30" t="s">
        <v>451</v>
      </c>
      <c r="Z63" s="61" t="s">
        <v>10</v>
      </c>
      <c r="AA63" s="41" t="s">
        <v>186</v>
      </c>
      <c r="AB63" s="61" t="s">
        <v>10</v>
      </c>
      <c r="AC63" s="56" t="s">
        <v>936</v>
      </c>
      <c r="AD63" s="61" t="s">
        <v>10</v>
      </c>
    </row>
    <row r="64" spans="1:30" s="34" customFormat="1" ht="6.75" customHeight="1" x14ac:dyDescent="0.25">
      <c r="A64" s="49">
        <v>64</v>
      </c>
      <c r="B64" s="27" t="s">
        <v>417</v>
      </c>
      <c r="C64" s="27" t="s">
        <v>422</v>
      </c>
      <c r="D64" s="27" t="s">
        <v>231</v>
      </c>
      <c r="E64" s="27" t="s">
        <v>943</v>
      </c>
      <c r="F64" s="28" t="s">
        <v>871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6"/>
        <v>Ambiente Específico</v>
      </c>
      <c r="O64" s="29" t="str">
        <f t="shared" si="16"/>
        <v>Amb Teca</v>
      </c>
      <c r="P64" s="30" t="s">
        <v>338</v>
      </c>
      <c r="Q64" s="30" t="s">
        <v>700</v>
      </c>
      <c r="R64" s="30" t="s">
        <v>523</v>
      </c>
      <c r="S64" s="63" t="s">
        <v>10</v>
      </c>
      <c r="T64" s="30" t="str">
        <f t="shared" si="17"/>
        <v>De Espacialidade</v>
      </c>
      <c r="U64" s="30" t="str">
        <f t="shared" si="17"/>
        <v>Elementos Espaciais</v>
      </c>
      <c r="V64" s="30" t="str">
        <f t="shared" si="17"/>
        <v>Ambiente Específico</v>
      </c>
      <c r="W64" s="30" t="s">
        <v>85</v>
      </c>
      <c r="X64" s="45" t="str">
        <f t="shared" si="11"/>
        <v>Key-AMB-64</v>
      </c>
      <c r="Y64" s="30" t="s">
        <v>451</v>
      </c>
      <c r="Z64" s="61" t="s">
        <v>10</v>
      </c>
      <c r="AA64" s="41" t="s">
        <v>186</v>
      </c>
      <c r="AB64" s="61" t="s">
        <v>10</v>
      </c>
      <c r="AC64" s="56" t="s">
        <v>936</v>
      </c>
      <c r="AD64" s="61" t="s">
        <v>10</v>
      </c>
    </row>
    <row r="65" spans="1:30" s="34" customFormat="1" ht="6.75" customHeight="1" x14ac:dyDescent="0.25">
      <c r="A65" s="49">
        <v>65</v>
      </c>
      <c r="B65" s="27" t="s">
        <v>417</v>
      </c>
      <c r="C65" s="27" t="s">
        <v>422</v>
      </c>
      <c r="D65" s="27" t="s">
        <v>231</v>
      </c>
      <c r="E65" s="27" t="s">
        <v>943</v>
      </c>
      <c r="F65" s="28" t="s">
        <v>872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6"/>
        <v>Ambiente Específico</v>
      </c>
      <c r="O65" s="29" t="str">
        <f t="shared" si="16"/>
        <v>Amb Telemático</v>
      </c>
      <c r="P65" s="30" t="s">
        <v>278</v>
      </c>
      <c r="Q65" s="30" t="s">
        <v>701</v>
      </c>
      <c r="R65" s="30" t="s">
        <v>524</v>
      </c>
      <c r="S65" s="63" t="s">
        <v>10</v>
      </c>
      <c r="T65" s="30" t="str">
        <f t="shared" si="17"/>
        <v>De Espacialidade</v>
      </c>
      <c r="U65" s="30" t="str">
        <f t="shared" si="17"/>
        <v>Elementos Espaciais</v>
      </c>
      <c r="V65" s="30" t="str">
        <f t="shared" si="17"/>
        <v>Ambiente Específico</v>
      </c>
      <c r="W65" s="30" t="s">
        <v>85</v>
      </c>
      <c r="X65" s="45" t="str">
        <f t="shared" si="11"/>
        <v>Key-AMB-65</v>
      </c>
      <c r="Y65" s="30" t="s">
        <v>451</v>
      </c>
      <c r="Z65" s="61" t="s">
        <v>10</v>
      </c>
      <c r="AA65" s="41" t="s">
        <v>186</v>
      </c>
      <c r="AB65" s="61" t="s">
        <v>10</v>
      </c>
      <c r="AC65" s="56" t="s">
        <v>936</v>
      </c>
      <c r="AD65" s="61" t="s">
        <v>10</v>
      </c>
    </row>
    <row r="66" spans="1:30" s="34" customFormat="1" ht="6.75" customHeight="1" x14ac:dyDescent="0.25">
      <c r="A66" s="49">
        <v>66</v>
      </c>
      <c r="B66" s="27" t="s">
        <v>417</v>
      </c>
      <c r="C66" s="27" t="s">
        <v>422</v>
      </c>
      <c r="D66" s="27" t="s">
        <v>231</v>
      </c>
      <c r="E66" s="27" t="s">
        <v>943</v>
      </c>
      <c r="F66" s="28" t="s">
        <v>873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6"/>
        <v>Ambiente Específico</v>
      </c>
      <c r="O66" s="29" t="str">
        <f t="shared" si="16"/>
        <v>Amb Tério</v>
      </c>
      <c r="P66" s="30" t="s">
        <v>353</v>
      </c>
      <c r="Q66" s="30" t="s">
        <v>702</v>
      </c>
      <c r="R66" s="30" t="s">
        <v>525</v>
      </c>
      <c r="S66" s="63" t="s">
        <v>10</v>
      </c>
      <c r="T66" s="30" t="str">
        <f t="shared" si="17"/>
        <v>De Espacialidade</v>
      </c>
      <c r="U66" s="30" t="str">
        <f t="shared" si="17"/>
        <v>Elementos Espaciais</v>
      </c>
      <c r="V66" s="30" t="str">
        <f t="shared" si="17"/>
        <v>Ambiente Específico</v>
      </c>
      <c r="W66" s="30" t="s">
        <v>85</v>
      </c>
      <c r="X66" s="45" t="str">
        <f t="shared" si="11"/>
        <v>Key-AMB-66</v>
      </c>
      <c r="Y66" s="30" t="s">
        <v>451</v>
      </c>
      <c r="Z66" s="61" t="s">
        <v>10</v>
      </c>
      <c r="AA66" s="41" t="s">
        <v>186</v>
      </c>
      <c r="AB66" s="61" t="s">
        <v>10</v>
      </c>
      <c r="AC66" s="56" t="s">
        <v>936</v>
      </c>
      <c r="AD66" s="61" t="s">
        <v>10</v>
      </c>
    </row>
    <row r="67" spans="1:30" s="34" customFormat="1" ht="6.75" customHeight="1" x14ac:dyDescent="0.25">
      <c r="A67" s="49">
        <v>67</v>
      </c>
      <c r="B67" s="27" t="s">
        <v>417</v>
      </c>
      <c r="C67" s="27" t="s">
        <v>422</v>
      </c>
      <c r="D67" s="27" t="s">
        <v>231</v>
      </c>
      <c r="E67" s="27" t="s">
        <v>943</v>
      </c>
      <c r="F67" s="28" t="s">
        <v>874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6"/>
        <v>Ambiente Específico</v>
      </c>
      <c r="O67" s="29" t="str">
        <f t="shared" si="16"/>
        <v>Amb Tribunal</v>
      </c>
      <c r="P67" s="30" t="s">
        <v>373</v>
      </c>
      <c r="Q67" s="30" t="s">
        <v>703</v>
      </c>
      <c r="R67" s="30" t="s">
        <v>526</v>
      </c>
      <c r="S67" s="63" t="s">
        <v>10</v>
      </c>
      <c r="T67" s="30" t="str">
        <f t="shared" si="17"/>
        <v>De Espacialidade</v>
      </c>
      <c r="U67" s="30" t="str">
        <f t="shared" si="17"/>
        <v>Elementos Espaciais</v>
      </c>
      <c r="V67" s="30" t="str">
        <f t="shared" si="17"/>
        <v>Ambiente Específico</v>
      </c>
      <c r="W67" s="30" t="s">
        <v>85</v>
      </c>
      <c r="X67" s="45" t="str">
        <f t="shared" si="11"/>
        <v>Key-AMB-67</v>
      </c>
      <c r="Y67" s="30" t="s">
        <v>451</v>
      </c>
      <c r="Z67" s="61" t="s">
        <v>10</v>
      </c>
      <c r="AA67" s="41" t="s">
        <v>186</v>
      </c>
      <c r="AB67" s="61" t="s">
        <v>10</v>
      </c>
      <c r="AC67" s="56" t="s">
        <v>936</v>
      </c>
      <c r="AD67" s="61" t="s">
        <v>10</v>
      </c>
    </row>
    <row r="68" spans="1:30" s="34" customFormat="1" ht="6.75" customHeight="1" x14ac:dyDescent="0.25">
      <c r="A68" s="49">
        <v>68</v>
      </c>
      <c r="B68" s="27" t="s">
        <v>417</v>
      </c>
      <c r="C68" s="27" t="s">
        <v>422</v>
      </c>
      <c r="D68" s="27" t="s">
        <v>231</v>
      </c>
      <c r="E68" s="27" t="s">
        <v>380</v>
      </c>
      <c r="F68" s="28" t="s">
        <v>875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6"/>
        <v>Ambiente Esportivo</v>
      </c>
      <c r="O68" s="29" t="str">
        <f t="shared" si="16"/>
        <v>Amb Arquibancada</v>
      </c>
      <c r="P68" s="30" t="s">
        <v>282</v>
      </c>
      <c r="Q68" s="30" t="s">
        <v>704</v>
      </c>
      <c r="R68" s="30" t="s">
        <v>527</v>
      </c>
      <c r="S68" s="63" t="s">
        <v>10</v>
      </c>
      <c r="T68" s="30" t="str">
        <f t="shared" si="17"/>
        <v>De Espacialidade</v>
      </c>
      <c r="U68" s="30" t="str">
        <f t="shared" si="17"/>
        <v>Elementos Espaciais</v>
      </c>
      <c r="V68" s="30" t="str">
        <f t="shared" si="17"/>
        <v>Ambiente Esportivo</v>
      </c>
      <c r="W68" s="30" t="s">
        <v>85</v>
      </c>
      <c r="X68" s="45" t="str">
        <f t="shared" si="11"/>
        <v>Key-AMB-68</v>
      </c>
      <c r="Y68" s="30" t="s">
        <v>451</v>
      </c>
      <c r="Z68" s="61" t="s">
        <v>10</v>
      </c>
      <c r="AA68" s="41" t="s">
        <v>186</v>
      </c>
      <c r="AB68" s="61" t="s">
        <v>10</v>
      </c>
      <c r="AC68" s="56" t="s">
        <v>936</v>
      </c>
      <c r="AD68" s="61" t="s">
        <v>10</v>
      </c>
    </row>
    <row r="69" spans="1:30" s="34" customFormat="1" ht="6.75" customHeight="1" x14ac:dyDescent="0.25">
      <c r="A69" s="49">
        <v>69</v>
      </c>
      <c r="B69" s="27" t="s">
        <v>417</v>
      </c>
      <c r="C69" s="27" t="s">
        <v>422</v>
      </c>
      <c r="D69" s="27" t="s">
        <v>231</v>
      </c>
      <c r="E69" s="27" t="s">
        <v>380</v>
      </c>
      <c r="F69" s="28" t="s">
        <v>876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6"/>
        <v>Ambiente Esportivo</v>
      </c>
      <c r="O69" s="29" t="str">
        <f t="shared" si="16"/>
        <v>Amb Esportivo</v>
      </c>
      <c r="P69" s="30" t="s">
        <v>279</v>
      </c>
      <c r="Q69" s="30" t="s">
        <v>705</v>
      </c>
      <c r="R69" s="30" t="s">
        <v>528</v>
      </c>
      <c r="S69" s="63" t="s">
        <v>10</v>
      </c>
      <c r="T69" s="30" t="str">
        <f t="shared" si="17"/>
        <v>De Espacialidade</v>
      </c>
      <c r="U69" s="30" t="str">
        <f t="shared" si="17"/>
        <v>Elementos Espaciais</v>
      </c>
      <c r="V69" s="30" t="str">
        <f t="shared" si="17"/>
        <v>Ambiente Esportivo</v>
      </c>
      <c r="W69" s="30" t="s">
        <v>85</v>
      </c>
      <c r="X69" s="45" t="str">
        <f t="shared" si="11"/>
        <v>Key-AMB-69</v>
      </c>
      <c r="Y69" s="30" t="s">
        <v>451</v>
      </c>
      <c r="Z69" s="61" t="s">
        <v>10</v>
      </c>
      <c r="AA69" s="41" t="s">
        <v>186</v>
      </c>
      <c r="AB69" s="61" t="s">
        <v>10</v>
      </c>
      <c r="AC69" s="56" t="s">
        <v>936</v>
      </c>
      <c r="AD69" s="61" t="s">
        <v>10</v>
      </c>
    </row>
    <row r="70" spans="1:30" s="34" customFormat="1" ht="6.75" customHeight="1" x14ac:dyDescent="0.25">
      <c r="A70" s="49">
        <v>70</v>
      </c>
      <c r="B70" s="27" t="s">
        <v>417</v>
      </c>
      <c r="C70" s="27" t="s">
        <v>422</v>
      </c>
      <c r="D70" s="27" t="s">
        <v>231</v>
      </c>
      <c r="E70" s="27" t="s">
        <v>380</v>
      </c>
      <c r="F70" s="28" t="s">
        <v>877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6"/>
        <v>Ambiente Esportivo</v>
      </c>
      <c r="O70" s="29" t="str">
        <f t="shared" si="16"/>
        <v>Amb Piscina Esportiva</v>
      </c>
      <c r="P70" s="30" t="s">
        <v>281</v>
      </c>
      <c r="Q70" s="30" t="s">
        <v>706</v>
      </c>
      <c r="R70" s="30" t="s">
        <v>529</v>
      </c>
      <c r="S70" s="63" t="s">
        <v>10</v>
      </c>
      <c r="T70" s="30" t="str">
        <f t="shared" si="17"/>
        <v>De Espacialidade</v>
      </c>
      <c r="U70" s="30" t="str">
        <f t="shared" si="17"/>
        <v>Elementos Espaciais</v>
      </c>
      <c r="V70" s="30" t="str">
        <f t="shared" si="17"/>
        <v>Ambiente Esportivo</v>
      </c>
      <c r="W70" s="30" t="s">
        <v>85</v>
      </c>
      <c r="X70" s="45" t="str">
        <f t="shared" si="11"/>
        <v>Key-AMB-70</v>
      </c>
      <c r="Y70" s="30" t="s">
        <v>451</v>
      </c>
      <c r="Z70" s="61" t="s">
        <v>10</v>
      </c>
      <c r="AA70" s="41" t="s">
        <v>186</v>
      </c>
      <c r="AB70" s="61" t="s">
        <v>10</v>
      </c>
      <c r="AC70" s="56" t="s">
        <v>936</v>
      </c>
      <c r="AD70" s="61" t="s">
        <v>10</v>
      </c>
    </row>
    <row r="71" spans="1:30" s="34" customFormat="1" ht="6.75" customHeight="1" x14ac:dyDescent="0.25">
      <c r="A71" s="49">
        <v>71</v>
      </c>
      <c r="B71" s="27" t="s">
        <v>417</v>
      </c>
      <c r="C71" s="27" t="s">
        <v>422</v>
      </c>
      <c r="D71" s="27" t="s">
        <v>231</v>
      </c>
      <c r="E71" s="27" t="s">
        <v>380</v>
      </c>
      <c r="F71" s="28" t="s">
        <v>878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6"/>
        <v>Ambiente Esportivo</v>
      </c>
      <c r="O71" s="29" t="str">
        <f t="shared" si="16"/>
        <v>Amb Pista Esportiva</v>
      </c>
      <c r="P71" s="30" t="s">
        <v>295</v>
      </c>
      <c r="Q71" s="30" t="s">
        <v>707</v>
      </c>
      <c r="R71" s="30" t="s">
        <v>530</v>
      </c>
      <c r="S71" s="63" t="s">
        <v>10</v>
      </c>
      <c r="T71" s="30" t="str">
        <f t="shared" si="17"/>
        <v>De Espacialidade</v>
      </c>
      <c r="U71" s="30" t="str">
        <f t="shared" si="17"/>
        <v>Elementos Espaciais</v>
      </c>
      <c r="V71" s="30" t="str">
        <f t="shared" si="17"/>
        <v>Ambiente Esportivo</v>
      </c>
      <c r="W71" s="30" t="s">
        <v>85</v>
      </c>
      <c r="X71" s="45" t="str">
        <f t="shared" si="11"/>
        <v>Key-AMB-71</v>
      </c>
      <c r="Y71" s="30" t="s">
        <v>451</v>
      </c>
      <c r="Z71" s="61" t="s">
        <v>10</v>
      </c>
      <c r="AA71" s="41" t="s">
        <v>186</v>
      </c>
      <c r="AB71" s="61" t="s">
        <v>10</v>
      </c>
      <c r="AC71" s="56" t="s">
        <v>936</v>
      </c>
      <c r="AD71" s="61" t="s">
        <v>10</v>
      </c>
    </row>
    <row r="72" spans="1:30" s="34" customFormat="1" ht="6.75" customHeight="1" x14ac:dyDescent="0.25">
      <c r="A72" s="49">
        <v>72</v>
      </c>
      <c r="B72" s="27" t="s">
        <v>417</v>
      </c>
      <c r="C72" s="27" t="s">
        <v>422</v>
      </c>
      <c r="D72" s="27" t="s">
        <v>231</v>
      </c>
      <c r="E72" s="27" t="s">
        <v>380</v>
      </c>
      <c r="F72" s="28" t="s">
        <v>879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6"/>
        <v>Ambiente Esportivo</v>
      </c>
      <c r="O72" s="29" t="str">
        <f t="shared" si="16"/>
        <v>Amb Quadra Esportiva</v>
      </c>
      <c r="P72" s="30" t="s">
        <v>280</v>
      </c>
      <c r="Q72" s="30" t="s">
        <v>708</v>
      </c>
      <c r="R72" s="30" t="s">
        <v>531</v>
      </c>
      <c r="S72" s="63" t="s">
        <v>10</v>
      </c>
      <c r="T72" s="30" t="str">
        <f t="shared" si="17"/>
        <v>De Espacialidade</v>
      </c>
      <c r="U72" s="30" t="str">
        <f t="shared" si="17"/>
        <v>Elementos Espaciais</v>
      </c>
      <c r="V72" s="30" t="str">
        <f t="shared" si="17"/>
        <v>Ambiente Esportivo</v>
      </c>
      <c r="W72" s="30" t="s">
        <v>85</v>
      </c>
      <c r="X72" s="45" t="str">
        <f t="shared" si="11"/>
        <v>Key-AMB-72</v>
      </c>
      <c r="Y72" s="30" t="s">
        <v>451</v>
      </c>
      <c r="Z72" s="61" t="s">
        <v>10</v>
      </c>
      <c r="AA72" s="41" t="s">
        <v>186</v>
      </c>
      <c r="AB72" s="61" t="s">
        <v>10</v>
      </c>
      <c r="AC72" s="56" t="s">
        <v>936</v>
      </c>
      <c r="AD72" s="61" t="s">
        <v>10</v>
      </c>
    </row>
    <row r="73" spans="1:30" s="34" customFormat="1" ht="6.75" customHeight="1" x14ac:dyDescent="0.25">
      <c r="A73" s="49">
        <v>73</v>
      </c>
      <c r="B73" s="27" t="s">
        <v>417</v>
      </c>
      <c r="C73" s="27" t="s">
        <v>422</v>
      </c>
      <c r="D73" s="27" t="s">
        <v>231</v>
      </c>
      <c r="E73" s="27" t="s">
        <v>380</v>
      </c>
      <c r="F73" s="28" t="s">
        <v>880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6"/>
        <v>Ambiente Esportivo</v>
      </c>
      <c r="O73" s="29" t="str">
        <f t="shared" si="16"/>
        <v>Amb Vestiário Esportivo</v>
      </c>
      <c r="P73" s="30" t="s">
        <v>283</v>
      </c>
      <c r="Q73" s="30" t="s">
        <v>709</v>
      </c>
      <c r="R73" s="30" t="s">
        <v>532</v>
      </c>
      <c r="S73" s="63" t="s">
        <v>10</v>
      </c>
      <c r="T73" s="30" t="str">
        <f t="shared" si="17"/>
        <v>De Espacialidade</v>
      </c>
      <c r="U73" s="30" t="str">
        <f t="shared" si="17"/>
        <v>Elementos Espaciais</v>
      </c>
      <c r="V73" s="30" t="str">
        <f t="shared" si="17"/>
        <v>Ambiente Esportivo</v>
      </c>
      <c r="W73" s="30" t="s">
        <v>85</v>
      </c>
      <c r="X73" s="45" t="str">
        <f t="shared" si="11"/>
        <v>Key-AMB-73</v>
      </c>
      <c r="Y73" s="30" t="s">
        <v>451</v>
      </c>
      <c r="Z73" s="61" t="s">
        <v>10</v>
      </c>
      <c r="AA73" s="41" t="s">
        <v>186</v>
      </c>
      <c r="AB73" s="61" t="s">
        <v>10</v>
      </c>
      <c r="AC73" s="56" t="s">
        <v>936</v>
      </c>
      <c r="AD73" s="61" t="s">
        <v>10</v>
      </c>
    </row>
    <row r="74" spans="1:30" s="34" customFormat="1" ht="6.75" customHeight="1" x14ac:dyDescent="0.25">
      <c r="A74" s="49">
        <v>74</v>
      </c>
      <c r="B74" s="27" t="s">
        <v>417</v>
      </c>
      <c r="C74" s="27" t="s">
        <v>422</v>
      </c>
      <c r="D74" s="27" t="s">
        <v>231</v>
      </c>
      <c r="E74" s="27" t="s">
        <v>944</v>
      </c>
      <c r="F74" s="28" t="s">
        <v>937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si="12"/>
        <v>De.Espacialidade</v>
      </c>
      <c r="M74" s="29" t="str">
        <f t="shared" si="12"/>
        <v>Elementos.Espaciais</v>
      </c>
      <c r="N74" s="29" t="str">
        <f t="shared" si="16"/>
        <v>Ambiente Sanitário</v>
      </c>
      <c r="O74" s="29" t="str">
        <f t="shared" si="16"/>
        <v>Amb Sanitário Feminino</v>
      </c>
      <c r="P74" s="30" t="s">
        <v>284</v>
      </c>
      <c r="Q74" s="30" t="s">
        <v>710</v>
      </c>
      <c r="R74" s="30" t="s">
        <v>533</v>
      </c>
      <c r="S74" s="63" t="s">
        <v>10</v>
      </c>
      <c r="T74" s="30" t="str">
        <f t="shared" ref="T74:V89" si="18">SUBSTITUTE(C74, ".", " ")</f>
        <v>De Espacialidade</v>
      </c>
      <c r="U74" s="30" t="str">
        <f t="shared" si="18"/>
        <v>Elementos Espaciais</v>
      </c>
      <c r="V74" s="30" t="str">
        <f t="shared" si="18"/>
        <v>Ambiente Sanitário</v>
      </c>
      <c r="W74" s="30" t="s">
        <v>85</v>
      </c>
      <c r="X74" s="45" t="str">
        <f t="shared" ref="X74:X133" si="19">CONCATENATE("Key-AMB-",A74)</f>
        <v>Key-AMB-74</v>
      </c>
      <c r="Y74" s="30" t="s">
        <v>451</v>
      </c>
      <c r="Z74" s="61" t="s">
        <v>10</v>
      </c>
      <c r="AA74" s="41" t="s">
        <v>186</v>
      </c>
      <c r="AB74" s="61" t="s">
        <v>10</v>
      </c>
      <c r="AC74" s="56" t="s">
        <v>209</v>
      </c>
      <c r="AD74" s="61" t="s">
        <v>10</v>
      </c>
    </row>
    <row r="75" spans="1:30" s="34" customFormat="1" ht="6.75" customHeight="1" x14ac:dyDescent="0.25">
      <c r="A75" s="49">
        <v>75</v>
      </c>
      <c r="B75" s="27" t="s">
        <v>417</v>
      </c>
      <c r="C75" s="27" t="s">
        <v>422</v>
      </c>
      <c r="D75" s="27" t="s">
        <v>231</v>
      </c>
      <c r="E75" s="27" t="s">
        <v>944</v>
      </c>
      <c r="F75" s="28" t="s">
        <v>938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6"/>
        <v>Ambiente Sanitário</v>
      </c>
      <c r="O75" s="29" t="str">
        <f t="shared" si="16"/>
        <v>Amb Sanitário Masculino</v>
      </c>
      <c r="P75" s="30" t="s">
        <v>284</v>
      </c>
      <c r="Q75" s="30" t="s">
        <v>710</v>
      </c>
      <c r="R75" s="30" t="s">
        <v>533</v>
      </c>
      <c r="S75" s="63" t="s">
        <v>10</v>
      </c>
      <c r="T75" s="30" t="str">
        <f t="shared" si="18"/>
        <v>De Espacialidade</v>
      </c>
      <c r="U75" s="30" t="str">
        <f t="shared" si="18"/>
        <v>Elementos Espaciais</v>
      </c>
      <c r="V75" s="30" t="str">
        <f t="shared" si="18"/>
        <v>Ambiente Sanitário</v>
      </c>
      <c r="W75" s="30" t="s">
        <v>85</v>
      </c>
      <c r="X75" s="45" t="str">
        <f t="shared" si="19"/>
        <v>Key-AMB-75</v>
      </c>
      <c r="Y75" s="30" t="s">
        <v>451</v>
      </c>
      <c r="Z75" s="61" t="s">
        <v>10</v>
      </c>
      <c r="AA75" s="41" t="s">
        <v>186</v>
      </c>
      <c r="AB75" s="61" t="s">
        <v>10</v>
      </c>
      <c r="AC75" s="56" t="s">
        <v>209</v>
      </c>
      <c r="AD75" s="61" t="s">
        <v>10</v>
      </c>
    </row>
    <row r="76" spans="1:30" s="34" customFormat="1" ht="6.75" customHeight="1" x14ac:dyDescent="0.25">
      <c r="A76" s="49">
        <v>76</v>
      </c>
      <c r="B76" s="27" t="s">
        <v>417</v>
      </c>
      <c r="C76" s="27" t="s">
        <v>422</v>
      </c>
      <c r="D76" s="27" t="s">
        <v>231</v>
      </c>
      <c r="E76" s="27" t="s">
        <v>944</v>
      </c>
      <c r="F76" s="28" t="s">
        <v>939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6"/>
        <v>Ambiente Sanitário</v>
      </c>
      <c r="O76" s="29" t="str">
        <f t="shared" si="16"/>
        <v>Amb Sanitário Indiferenciado</v>
      </c>
      <c r="P76" s="30" t="s">
        <v>285</v>
      </c>
      <c r="Q76" s="30" t="s">
        <v>711</v>
      </c>
      <c r="R76" s="30" t="s">
        <v>534</v>
      </c>
      <c r="S76" s="63" t="s">
        <v>10</v>
      </c>
      <c r="T76" s="30" t="str">
        <f t="shared" si="18"/>
        <v>De Espacialidade</v>
      </c>
      <c r="U76" s="30" t="str">
        <f t="shared" si="18"/>
        <v>Elementos Espaciais</v>
      </c>
      <c r="V76" s="30" t="str">
        <f t="shared" si="18"/>
        <v>Ambiente Sanitário</v>
      </c>
      <c r="W76" s="30" t="s">
        <v>85</v>
      </c>
      <c r="X76" s="45" t="str">
        <f t="shared" si="19"/>
        <v>Key-AMB-76</v>
      </c>
      <c r="Y76" s="30" t="s">
        <v>451</v>
      </c>
      <c r="Z76" s="61" t="s">
        <v>10</v>
      </c>
      <c r="AA76" s="41" t="s">
        <v>186</v>
      </c>
      <c r="AB76" s="61" t="s">
        <v>10</v>
      </c>
      <c r="AC76" s="56" t="s">
        <v>209</v>
      </c>
      <c r="AD76" s="61" t="s">
        <v>10</v>
      </c>
    </row>
    <row r="77" spans="1:30" s="34" customFormat="1" ht="6.75" customHeight="1" x14ac:dyDescent="0.25">
      <c r="A77" s="49">
        <v>77</v>
      </c>
      <c r="B77" s="27" t="s">
        <v>417</v>
      </c>
      <c r="C77" s="27" t="s">
        <v>422</v>
      </c>
      <c r="D77" s="27" t="s">
        <v>231</v>
      </c>
      <c r="E77" s="27" t="s">
        <v>944</v>
      </c>
      <c r="F77" s="28" t="s">
        <v>940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6"/>
        <v>Ambiente Sanitário</v>
      </c>
      <c r="O77" s="29" t="str">
        <f t="shared" si="16"/>
        <v>Amb Sanitário PNE</v>
      </c>
      <c r="P77" s="30" t="s">
        <v>286</v>
      </c>
      <c r="Q77" s="30" t="s">
        <v>712</v>
      </c>
      <c r="R77" s="30" t="s">
        <v>535</v>
      </c>
      <c r="S77" s="63" t="s">
        <v>10</v>
      </c>
      <c r="T77" s="30" t="str">
        <f t="shared" si="18"/>
        <v>De Espacialidade</v>
      </c>
      <c r="U77" s="30" t="str">
        <f t="shared" si="18"/>
        <v>Elementos Espaciais</v>
      </c>
      <c r="V77" s="30" t="str">
        <f t="shared" si="18"/>
        <v>Ambiente Sanitário</v>
      </c>
      <c r="W77" s="30" t="s">
        <v>85</v>
      </c>
      <c r="X77" s="45" t="str">
        <f t="shared" si="19"/>
        <v>Key-AMB-77</v>
      </c>
      <c r="Y77" s="30" t="s">
        <v>451</v>
      </c>
      <c r="Z77" s="61" t="s">
        <v>10</v>
      </c>
      <c r="AA77" s="41" t="s">
        <v>186</v>
      </c>
      <c r="AB77" s="61" t="s">
        <v>10</v>
      </c>
      <c r="AC77" s="56" t="s">
        <v>209</v>
      </c>
      <c r="AD77" s="61" t="s">
        <v>10</v>
      </c>
    </row>
    <row r="78" spans="1:30" s="34" customFormat="1" ht="6.75" customHeight="1" x14ac:dyDescent="0.25">
      <c r="A78" s="49">
        <v>78</v>
      </c>
      <c r="B78" s="27" t="s">
        <v>417</v>
      </c>
      <c r="C78" s="27" t="s">
        <v>422</v>
      </c>
      <c r="D78" s="27" t="s">
        <v>231</v>
      </c>
      <c r="E78" s="27" t="s">
        <v>944</v>
      </c>
      <c r="F78" s="28" t="s">
        <v>941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6"/>
        <v>Ambiente Sanitário</v>
      </c>
      <c r="O78" s="29" t="str">
        <f t="shared" si="16"/>
        <v>Amb Sanitário WC</v>
      </c>
      <c r="P78" s="30" t="s">
        <v>287</v>
      </c>
      <c r="Q78" s="30" t="s">
        <v>713</v>
      </c>
      <c r="R78" s="30" t="s">
        <v>536</v>
      </c>
      <c r="S78" s="63" t="s">
        <v>10</v>
      </c>
      <c r="T78" s="30" t="str">
        <f t="shared" si="18"/>
        <v>De Espacialidade</v>
      </c>
      <c r="U78" s="30" t="str">
        <f t="shared" si="18"/>
        <v>Elementos Espaciais</v>
      </c>
      <c r="V78" s="30" t="str">
        <f t="shared" si="18"/>
        <v>Ambiente Sanitário</v>
      </c>
      <c r="W78" s="30" t="s">
        <v>85</v>
      </c>
      <c r="X78" s="45" t="str">
        <f t="shared" si="19"/>
        <v>Key-AMB-78</v>
      </c>
      <c r="Y78" s="30" t="s">
        <v>451</v>
      </c>
      <c r="Z78" s="61" t="s">
        <v>10</v>
      </c>
      <c r="AA78" s="41" t="s">
        <v>186</v>
      </c>
      <c r="AB78" s="61" t="s">
        <v>10</v>
      </c>
      <c r="AC78" s="56" t="s">
        <v>209</v>
      </c>
      <c r="AD78" s="61" t="s">
        <v>10</v>
      </c>
    </row>
    <row r="79" spans="1:30" s="34" customFormat="1" ht="6.75" customHeight="1" x14ac:dyDescent="0.25">
      <c r="A79" s="49">
        <v>79</v>
      </c>
      <c r="B79" s="27" t="s">
        <v>417</v>
      </c>
      <c r="C79" s="27" t="s">
        <v>422</v>
      </c>
      <c r="D79" s="27" t="s">
        <v>231</v>
      </c>
      <c r="E79" s="27" t="s">
        <v>945</v>
      </c>
      <c r="F79" s="28" t="s">
        <v>881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6"/>
        <v>Ambiente Comercial</v>
      </c>
      <c r="O79" s="29" t="str">
        <f t="shared" si="16"/>
        <v>Amb Trabalho</v>
      </c>
      <c r="P79" s="30" t="s">
        <v>288</v>
      </c>
      <c r="Q79" s="30" t="s">
        <v>714</v>
      </c>
      <c r="R79" s="30" t="s">
        <v>537</v>
      </c>
      <c r="S79" s="63" t="s">
        <v>10</v>
      </c>
      <c r="T79" s="30" t="str">
        <f t="shared" si="18"/>
        <v>De Espacialidade</v>
      </c>
      <c r="U79" s="30" t="str">
        <f t="shared" si="18"/>
        <v>Elementos Espaciais</v>
      </c>
      <c r="V79" s="30" t="str">
        <f t="shared" si="18"/>
        <v>Ambiente Comercial</v>
      </c>
      <c r="W79" s="30" t="s">
        <v>85</v>
      </c>
      <c r="X79" s="45" t="str">
        <f t="shared" si="19"/>
        <v>Key-AMB-79</v>
      </c>
      <c r="Y79" s="30" t="s">
        <v>451</v>
      </c>
      <c r="Z79" s="61" t="s">
        <v>10</v>
      </c>
      <c r="AA79" s="41" t="s">
        <v>186</v>
      </c>
      <c r="AB79" s="61" t="s">
        <v>10</v>
      </c>
      <c r="AC79" s="56" t="s">
        <v>936</v>
      </c>
      <c r="AD79" s="61" t="s">
        <v>10</v>
      </c>
    </row>
    <row r="80" spans="1:30" s="34" customFormat="1" ht="6.75" customHeight="1" x14ac:dyDescent="0.25">
      <c r="A80" s="49">
        <v>80</v>
      </c>
      <c r="B80" s="27" t="s">
        <v>417</v>
      </c>
      <c r="C80" s="27" t="s">
        <v>422</v>
      </c>
      <c r="D80" s="27" t="s">
        <v>231</v>
      </c>
      <c r="E80" s="27" t="s">
        <v>945</v>
      </c>
      <c r="F80" s="28" t="s">
        <v>882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6"/>
        <v>Ambiente Comercial</v>
      </c>
      <c r="O80" s="29" t="str">
        <f t="shared" si="16"/>
        <v>Amb Trocas</v>
      </c>
      <c r="P80" s="30" t="s">
        <v>349</v>
      </c>
      <c r="Q80" s="30" t="s">
        <v>715</v>
      </c>
      <c r="R80" s="30" t="s">
        <v>538</v>
      </c>
      <c r="S80" s="63" t="s">
        <v>10</v>
      </c>
      <c r="T80" s="30" t="str">
        <f t="shared" si="18"/>
        <v>De Espacialidade</v>
      </c>
      <c r="U80" s="30" t="str">
        <f t="shared" si="18"/>
        <v>Elementos Espaciais</v>
      </c>
      <c r="V80" s="30" t="str">
        <f t="shared" si="18"/>
        <v>Ambiente Comercial</v>
      </c>
      <c r="W80" s="30" t="s">
        <v>85</v>
      </c>
      <c r="X80" s="45" t="str">
        <f t="shared" si="19"/>
        <v>Key-AMB-80</v>
      </c>
      <c r="Y80" s="30" t="s">
        <v>451</v>
      </c>
      <c r="Z80" s="61" t="s">
        <v>10</v>
      </c>
      <c r="AA80" s="41" t="s">
        <v>186</v>
      </c>
      <c r="AB80" s="61" t="s">
        <v>10</v>
      </c>
      <c r="AC80" s="56" t="s">
        <v>936</v>
      </c>
      <c r="AD80" s="61" t="s">
        <v>10</v>
      </c>
    </row>
    <row r="81" spans="1:30" s="34" customFormat="1" ht="6.75" customHeight="1" x14ac:dyDescent="0.25">
      <c r="A81" s="49">
        <v>81</v>
      </c>
      <c r="B81" s="27" t="s">
        <v>417</v>
      </c>
      <c r="C81" s="27" t="s">
        <v>422</v>
      </c>
      <c r="D81" s="27" t="s">
        <v>231</v>
      </c>
      <c r="E81" s="27" t="s">
        <v>946</v>
      </c>
      <c r="F81" s="28" t="s">
        <v>883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M133" si="20">CONCATENATE("", C81)</f>
        <v>De.Espacialidade</v>
      </c>
      <c r="M81" s="29" t="str">
        <f t="shared" si="20"/>
        <v>Elementos.Espaciais</v>
      </c>
      <c r="N81" s="29" t="str">
        <f t="shared" si="16"/>
        <v>Ambiente Habitacional</v>
      </c>
      <c r="O81" s="29" t="str">
        <f t="shared" si="16"/>
        <v>Amb Higiene</v>
      </c>
      <c r="P81" s="30" t="s">
        <v>291</v>
      </c>
      <c r="Q81" s="30" t="s">
        <v>716</v>
      </c>
      <c r="R81" s="30" t="s">
        <v>539</v>
      </c>
      <c r="S81" s="63" t="s">
        <v>10</v>
      </c>
      <c r="T81" s="30" t="str">
        <f t="shared" si="18"/>
        <v>De Espacialidade</v>
      </c>
      <c r="U81" s="30" t="str">
        <f t="shared" si="18"/>
        <v>Elementos Espaciais</v>
      </c>
      <c r="V81" s="30" t="str">
        <f t="shared" si="18"/>
        <v>Ambiente Habitacional</v>
      </c>
      <c r="W81" s="30" t="s">
        <v>85</v>
      </c>
      <c r="X81" s="45" t="str">
        <f t="shared" si="19"/>
        <v>Key-AMB-81</v>
      </c>
      <c r="Y81" s="30" t="s">
        <v>451</v>
      </c>
      <c r="Z81" s="61" t="s">
        <v>10</v>
      </c>
      <c r="AA81" s="41" t="s">
        <v>186</v>
      </c>
      <c r="AB81" s="61" t="s">
        <v>10</v>
      </c>
      <c r="AC81" s="56" t="s">
        <v>936</v>
      </c>
      <c r="AD81" s="61" t="s">
        <v>10</v>
      </c>
    </row>
    <row r="82" spans="1:30" s="34" customFormat="1" ht="6.75" customHeight="1" x14ac:dyDescent="0.25">
      <c r="A82" s="49">
        <v>82</v>
      </c>
      <c r="B82" s="27" t="s">
        <v>417</v>
      </c>
      <c r="C82" s="27" t="s">
        <v>422</v>
      </c>
      <c r="D82" s="27" t="s">
        <v>231</v>
      </c>
      <c r="E82" s="27" t="s">
        <v>946</v>
      </c>
      <c r="F82" s="28" t="s">
        <v>884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0"/>
        <v>De.Espacialidade</v>
      </c>
      <c r="M82" s="29" t="str">
        <f t="shared" si="20"/>
        <v>Elementos.Espaciais</v>
      </c>
      <c r="N82" s="29" t="str">
        <f t="shared" si="16"/>
        <v>Ambiente Habitacional</v>
      </c>
      <c r="O82" s="29" t="str">
        <f t="shared" si="16"/>
        <v>Amb Intimo</v>
      </c>
      <c r="P82" s="30" t="s">
        <v>290</v>
      </c>
      <c r="Q82" s="30" t="s">
        <v>717</v>
      </c>
      <c r="R82" s="30" t="s">
        <v>540</v>
      </c>
      <c r="S82" s="63" t="s">
        <v>10</v>
      </c>
      <c r="T82" s="30" t="str">
        <f t="shared" si="18"/>
        <v>De Espacialidade</v>
      </c>
      <c r="U82" s="30" t="str">
        <f t="shared" si="18"/>
        <v>Elementos Espaciais</v>
      </c>
      <c r="V82" s="30" t="str">
        <f t="shared" si="18"/>
        <v>Ambiente Habitacional</v>
      </c>
      <c r="W82" s="30" t="s">
        <v>85</v>
      </c>
      <c r="X82" s="45" t="str">
        <f t="shared" si="19"/>
        <v>Key-AMB-82</v>
      </c>
      <c r="Y82" s="30" t="s">
        <v>451</v>
      </c>
      <c r="Z82" s="61" t="s">
        <v>10</v>
      </c>
      <c r="AA82" s="41" t="s">
        <v>186</v>
      </c>
      <c r="AB82" s="61" t="s">
        <v>10</v>
      </c>
      <c r="AC82" s="56" t="s">
        <v>936</v>
      </c>
      <c r="AD82" s="61" t="s">
        <v>10</v>
      </c>
    </row>
    <row r="83" spans="1:30" s="34" customFormat="1" ht="6.75" customHeight="1" x14ac:dyDescent="0.25">
      <c r="A83" s="49">
        <v>83</v>
      </c>
      <c r="B83" s="27" t="s">
        <v>417</v>
      </c>
      <c r="C83" s="27" t="s">
        <v>422</v>
      </c>
      <c r="D83" s="27" t="s">
        <v>231</v>
      </c>
      <c r="E83" s="27" t="s">
        <v>946</v>
      </c>
      <c r="F83" s="28" t="s">
        <v>885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0"/>
        <v>De.Espacialidade</v>
      </c>
      <c r="M83" s="29" t="str">
        <f t="shared" si="20"/>
        <v>Elementos.Espaciais</v>
      </c>
      <c r="N83" s="29" t="str">
        <f t="shared" si="16"/>
        <v>Ambiente Habitacional</v>
      </c>
      <c r="O83" s="29" t="str">
        <f t="shared" si="16"/>
        <v xml:space="preserve">Amb Lazer </v>
      </c>
      <c r="P83" s="30" t="s">
        <v>293</v>
      </c>
      <c r="Q83" s="30" t="s">
        <v>718</v>
      </c>
      <c r="R83" s="30" t="s">
        <v>541</v>
      </c>
      <c r="S83" s="63" t="s">
        <v>10</v>
      </c>
      <c r="T83" s="30" t="str">
        <f t="shared" si="18"/>
        <v>De Espacialidade</v>
      </c>
      <c r="U83" s="30" t="str">
        <f t="shared" si="18"/>
        <v>Elementos Espaciais</v>
      </c>
      <c r="V83" s="30" t="str">
        <f t="shared" si="18"/>
        <v>Ambiente Habitacional</v>
      </c>
      <c r="W83" s="30" t="s">
        <v>85</v>
      </c>
      <c r="X83" s="45" t="str">
        <f t="shared" si="19"/>
        <v>Key-AMB-83</v>
      </c>
      <c r="Y83" s="30" t="s">
        <v>451</v>
      </c>
      <c r="Z83" s="61" t="s">
        <v>10</v>
      </c>
      <c r="AA83" s="41" t="s">
        <v>186</v>
      </c>
      <c r="AB83" s="61" t="s">
        <v>10</v>
      </c>
      <c r="AC83" s="56" t="s">
        <v>936</v>
      </c>
      <c r="AD83" s="61" t="s">
        <v>10</v>
      </c>
    </row>
    <row r="84" spans="1:30" s="34" customFormat="1" ht="6.75" customHeight="1" x14ac:dyDescent="0.25">
      <c r="A84" s="49">
        <v>84</v>
      </c>
      <c r="B84" s="27" t="s">
        <v>417</v>
      </c>
      <c r="C84" s="27" t="s">
        <v>422</v>
      </c>
      <c r="D84" s="27" t="s">
        <v>231</v>
      </c>
      <c r="E84" s="27" t="s">
        <v>946</v>
      </c>
      <c r="F84" s="28" t="s">
        <v>886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0"/>
        <v>De.Espacialidade</v>
      </c>
      <c r="M84" s="29" t="str">
        <f t="shared" si="20"/>
        <v>Elementos.Espaciais</v>
      </c>
      <c r="N84" s="29" t="str">
        <f t="shared" si="16"/>
        <v>Ambiente Habitacional</v>
      </c>
      <c r="O84" s="29" t="str">
        <f t="shared" si="16"/>
        <v>Amb Profissional</v>
      </c>
      <c r="P84" s="30" t="s">
        <v>294</v>
      </c>
      <c r="Q84" s="30" t="s">
        <v>719</v>
      </c>
      <c r="R84" s="30" t="s">
        <v>542</v>
      </c>
      <c r="S84" s="63" t="s">
        <v>10</v>
      </c>
      <c r="T84" s="30" t="str">
        <f t="shared" si="18"/>
        <v>De Espacialidade</v>
      </c>
      <c r="U84" s="30" t="str">
        <f t="shared" si="18"/>
        <v>Elementos Espaciais</v>
      </c>
      <c r="V84" s="30" t="str">
        <f t="shared" si="18"/>
        <v>Ambiente Habitacional</v>
      </c>
      <c r="W84" s="30" t="s">
        <v>85</v>
      </c>
      <c r="X84" s="45" t="str">
        <f t="shared" si="19"/>
        <v>Key-AMB-84</v>
      </c>
      <c r="Y84" s="30" t="s">
        <v>451</v>
      </c>
      <c r="Z84" s="61" t="s">
        <v>10</v>
      </c>
      <c r="AA84" s="41" t="s">
        <v>186</v>
      </c>
      <c r="AB84" s="61" t="s">
        <v>10</v>
      </c>
      <c r="AC84" s="56" t="s">
        <v>936</v>
      </c>
      <c r="AD84" s="61" t="s">
        <v>10</v>
      </c>
    </row>
    <row r="85" spans="1:30" s="34" customFormat="1" ht="6.75" customHeight="1" x14ac:dyDescent="0.25">
      <c r="A85" s="49">
        <v>85</v>
      </c>
      <c r="B85" s="27" t="s">
        <v>417</v>
      </c>
      <c r="C85" s="27" t="s">
        <v>422</v>
      </c>
      <c r="D85" s="27" t="s">
        <v>231</v>
      </c>
      <c r="E85" s="27" t="s">
        <v>946</v>
      </c>
      <c r="F85" s="28" t="s">
        <v>887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0"/>
        <v>De.Espacialidade</v>
      </c>
      <c r="M85" s="29" t="str">
        <f t="shared" si="20"/>
        <v>Elementos.Espaciais</v>
      </c>
      <c r="N85" s="29" t="str">
        <f t="shared" si="16"/>
        <v>Ambiente Habitacional</v>
      </c>
      <c r="O85" s="29" t="str">
        <f t="shared" si="16"/>
        <v>Amb Serviço</v>
      </c>
      <c r="P85" s="30" t="s">
        <v>292</v>
      </c>
      <c r="Q85" s="30" t="s">
        <v>720</v>
      </c>
      <c r="R85" s="30" t="s">
        <v>543</v>
      </c>
      <c r="S85" s="63" t="s">
        <v>10</v>
      </c>
      <c r="T85" s="30" t="str">
        <f t="shared" si="18"/>
        <v>De Espacialidade</v>
      </c>
      <c r="U85" s="30" t="str">
        <f t="shared" si="18"/>
        <v>Elementos Espaciais</v>
      </c>
      <c r="V85" s="30" t="str">
        <f t="shared" si="18"/>
        <v>Ambiente Habitacional</v>
      </c>
      <c r="W85" s="30" t="s">
        <v>85</v>
      </c>
      <c r="X85" s="45" t="str">
        <f t="shared" si="19"/>
        <v>Key-AMB-85</v>
      </c>
      <c r="Y85" s="30" t="s">
        <v>451</v>
      </c>
      <c r="Z85" s="61" t="s">
        <v>10</v>
      </c>
      <c r="AA85" s="41" t="s">
        <v>186</v>
      </c>
      <c r="AB85" s="61" t="s">
        <v>10</v>
      </c>
      <c r="AC85" s="56" t="s">
        <v>936</v>
      </c>
      <c r="AD85" s="61" t="s">
        <v>10</v>
      </c>
    </row>
    <row r="86" spans="1:30" s="34" customFormat="1" ht="6.75" customHeight="1" x14ac:dyDescent="0.25">
      <c r="A86" s="49">
        <v>86</v>
      </c>
      <c r="B86" s="27" t="s">
        <v>417</v>
      </c>
      <c r="C86" s="27" t="s">
        <v>422</v>
      </c>
      <c r="D86" s="27" t="s">
        <v>231</v>
      </c>
      <c r="E86" s="27" t="s">
        <v>946</v>
      </c>
      <c r="F86" s="28" t="s">
        <v>888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0"/>
        <v>De.Espacialidade</v>
      </c>
      <c r="M86" s="29" t="str">
        <f t="shared" si="20"/>
        <v>Elementos.Espaciais</v>
      </c>
      <c r="N86" s="29" t="str">
        <f t="shared" si="16"/>
        <v>Ambiente Habitacional</v>
      </c>
      <c r="O86" s="29" t="str">
        <f t="shared" si="16"/>
        <v>Amb Social</v>
      </c>
      <c r="P86" s="30" t="s">
        <v>289</v>
      </c>
      <c r="Q86" s="30" t="s">
        <v>721</v>
      </c>
      <c r="R86" s="30" t="s">
        <v>544</v>
      </c>
      <c r="S86" s="63" t="s">
        <v>10</v>
      </c>
      <c r="T86" s="30" t="str">
        <f t="shared" si="18"/>
        <v>De Espacialidade</v>
      </c>
      <c r="U86" s="30" t="str">
        <f t="shared" si="18"/>
        <v>Elementos Espaciais</v>
      </c>
      <c r="V86" s="30" t="str">
        <f t="shared" si="18"/>
        <v>Ambiente Habitacional</v>
      </c>
      <c r="W86" s="30" t="s">
        <v>85</v>
      </c>
      <c r="X86" s="45" t="str">
        <f t="shared" si="19"/>
        <v>Key-AMB-86</v>
      </c>
      <c r="Y86" s="30" t="s">
        <v>451</v>
      </c>
      <c r="Z86" s="61" t="s">
        <v>10</v>
      </c>
      <c r="AA86" s="41" t="s">
        <v>186</v>
      </c>
      <c r="AB86" s="61" t="s">
        <v>10</v>
      </c>
      <c r="AC86" s="56" t="s">
        <v>936</v>
      </c>
      <c r="AD86" s="61" t="s">
        <v>10</v>
      </c>
    </row>
    <row r="87" spans="1:30" s="34" customFormat="1" ht="6.75" customHeight="1" x14ac:dyDescent="0.25">
      <c r="A87" s="49">
        <v>87</v>
      </c>
      <c r="B87" s="27" t="s">
        <v>417</v>
      </c>
      <c r="C87" s="27" t="s">
        <v>422</v>
      </c>
      <c r="D87" s="27" t="s">
        <v>231</v>
      </c>
      <c r="E87" s="27" t="s">
        <v>947</v>
      </c>
      <c r="F87" s="28" t="s">
        <v>889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0"/>
        <v>De.Espacialidade</v>
      </c>
      <c r="M87" s="29" t="str">
        <f t="shared" si="20"/>
        <v>Elementos.Espaciais</v>
      </c>
      <c r="N87" s="29" t="str">
        <f t="shared" si="16"/>
        <v>Ambiente Hospitalar</v>
      </c>
      <c r="O87" s="29" t="str">
        <f t="shared" si="16"/>
        <v>Amb Análises</v>
      </c>
      <c r="P87" s="30" t="s">
        <v>441</v>
      </c>
      <c r="Q87" s="30" t="s">
        <v>722</v>
      </c>
      <c r="R87" s="30" t="s">
        <v>545</v>
      </c>
      <c r="S87" s="63" t="s">
        <v>10</v>
      </c>
      <c r="T87" s="30" t="str">
        <f t="shared" si="18"/>
        <v>De Espacialidade</v>
      </c>
      <c r="U87" s="30" t="str">
        <f t="shared" si="18"/>
        <v>Elementos Espaciais</v>
      </c>
      <c r="V87" s="30" t="str">
        <f t="shared" si="18"/>
        <v>Ambiente Hospitalar</v>
      </c>
      <c r="W87" s="30" t="s">
        <v>85</v>
      </c>
      <c r="X87" s="45" t="str">
        <f t="shared" si="19"/>
        <v>Key-AMB-87</v>
      </c>
      <c r="Y87" s="30" t="s">
        <v>451</v>
      </c>
      <c r="Z87" s="61" t="s">
        <v>10</v>
      </c>
      <c r="AA87" s="41" t="s">
        <v>186</v>
      </c>
      <c r="AB87" s="61" t="s">
        <v>10</v>
      </c>
      <c r="AC87" s="56" t="s">
        <v>317</v>
      </c>
      <c r="AD87" s="61" t="s">
        <v>10</v>
      </c>
    </row>
    <row r="88" spans="1:30" s="34" customFormat="1" ht="6.75" customHeight="1" x14ac:dyDescent="0.25">
      <c r="A88" s="49">
        <v>88</v>
      </c>
      <c r="B88" s="27" t="s">
        <v>417</v>
      </c>
      <c r="C88" s="27" t="s">
        <v>422</v>
      </c>
      <c r="D88" s="27" t="s">
        <v>231</v>
      </c>
      <c r="E88" s="27" t="s">
        <v>947</v>
      </c>
      <c r="F88" s="28" t="s">
        <v>890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0"/>
        <v>De.Espacialidade</v>
      </c>
      <c r="M88" s="29" t="str">
        <f t="shared" si="20"/>
        <v>Elementos.Espaciais</v>
      </c>
      <c r="N88" s="29" t="str">
        <f t="shared" si="16"/>
        <v>Ambiente Hospitalar</v>
      </c>
      <c r="O88" s="29" t="str">
        <f t="shared" si="16"/>
        <v>Amb Consultório</v>
      </c>
      <c r="P88" s="30" t="s">
        <v>440</v>
      </c>
      <c r="Q88" s="30" t="s">
        <v>723</v>
      </c>
      <c r="R88" s="30" t="s">
        <v>546</v>
      </c>
      <c r="S88" s="63" t="s">
        <v>10</v>
      </c>
      <c r="T88" s="30" t="str">
        <f t="shared" si="18"/>
        <v>De Espacialidade</v>
      </c>
      <c r="U88" s="30" t="str">
        <f t="shared" si="18"/>
        <v>Elementos Espaciais</v>
      </c>
      <c r="V88" s="30" t="str">
        <f t="shared" si="18"/>
        <v>Ambiente Hospitalar</v>
      </c>
      <c r="W88" s="30" t="s">
        <v>85</v>
      </c>
      <c r="X88" s="45" t="str">
        <f t="shared" si="19"/>
        <v>Key-AMB-88</v>
      </c>
      <c r="Y88" s="30" t="s">
        <v>451</v>
      </c>
      <c r="Z88" s="61" t="s">
        <v>10</v>
      </c>
      <c r="AA88" s="41" t="s">
        <v>186</v>
      </c>
      <c r="AB88" s="61" t="s">
        <v>10</v>
      </c>
      <c r="AC88" s="56" t="s">
        <v>317</v>
      </c>
      <c r="AD88" s="61" t="s">
        <v>10</v>
      </c>
    </row>
    <row r="89" spans="1:30" s="34" customFormat="1" ht="6.75" customHeight="1" x14ac:dyDescent="0.25">
      <c r="A89" s="49">
        <v>89</v>
      </c>
      <c r="B89" s="27" t="s">
        <v>417</v>
      </c>
      <c r="C89" s="27" t="s">
        <v>422</v>
      </c>
      <c r="D89" s="27" t="s">
        <v>231</v>
      </c>
      <c r="E89" s="27" t="s">
        <v>947</v>
      </c>
      <c r="F89" s="28" t="s">
        <v>891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0"/>
        <v>De.Espacialidade</v>
      </c>
      <c r="M89" s="29" t="str">
        <f t="shared" si="20"/>
        <v>Elementos.Espaciais</v>
      </c>
      <c r="N89" s="29" t="str">
        <f t="shared" si="16"/>
        <v>Ambiente Hospitalar</v>
      </c>
      <c r="O89" s="29" t="str">
        <f t="shared" si="16"/>
        <v>Amb Emergência</v>
      </c>
      <c r="P89" s="30" t="s">
        <v>442</v>
      </c>
      <c r="Q89" s="30" t="s">
        <v>724</v>
      </c>
      <c r="R89" s="30" t="s">
        <v>547</v>
      </c>
      <c r="S89" s="63" t="s">
        <v>10</v>
      </c>
      <c r="T89" s="30" t="str">
        <f t="shared" si="18"/>
        <v>De Espacialidade</v>
      </c>
      <c r="U89" s="30" t="str">
        <f t="shared" si="18"/>
        <v>Elementos Espaciais</v>
      </c>
      <c r="V89" s="30" t="str">
        <f t="shared" si="18"/>
        <v>Ambiente Hospitalar</v>
      </c>
      <c r="W89" s="30" t="s">
        <v>85</v>
      </c>
      <c r="X89" s="45" t="str">
        <f t="shared" si="19"/>
        <v>Key-AMB-89</v>
      </c>
      <c r="Y89" s="30" t="s">
        <v>451</v>
      </c>
      <c r="Z89" s="61" t="s">
        <v>10</v>
      </c>
      <c r="AA89" s="41" t="s">
        <v>186</v>
      </c>
      <c r="AB89" s="61" t="s">
        <v>10</v>
      </c>
      <c r="AC89" s="56" t="s">
        <v>317</v>
      </c>
      <c r="AD89" s="61" t="s">
        <v>10</v>
      </c>
    </row>
    <row r="90" spans="1:30" s="34" customFormat="1" ht="6.75" customHeight="1" x14ac:dyDescent="0.25">
      <c r="A90" s="49">
        <v>90</v>
      </c>
      <c r="B90" s="27" t="s">
        <v>417</v>
      </c>
      <c r="C90" s="27" t="s">
        <v>422</v>
      </c>
      <c r="D90" s="27" t="s">
        <v>231</v>
      </c>
      <c r="E90" s="27" t="s">
        <v>947</v>
      </c>
      <c r="F90" s="28" t="s">
        <v>892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0"/>
        <v>De.Espacialidade</v>
      </c>
      <c r="M90" s="29" t="str">
        <f t="shared" si="20"/>
        <v>Elementos.Espaciais</v>
      </c>
      <c r="N90" s="29" t="str">
        <f t="shared" si="16"/>
        <v>Ambiente Hospitalar</v>
      </c>
      <c r="O90" s="29" t="str">
        <f t="shared" si="16"/>
        <v>Amb Enfermagem</v>
      </c>
      <c r="P90" s="30" t="s">
        <v>439</v>
      </c>
      <c r="Q90" s="30" t="s">
        <v>725</v>
      </c>
      <c r="R90" s="30" t="s">
        <v>548</v>
      </c>
      <c r="S90" s="63" t="s">
        <v>10</v>
      </c>
      <c r="T90" s="30" t="str">
        <f t="shared" ref="T90:V133" si="21">SUBSTITUTE(C90, ".", " ")</f>
        <v>De Espacialidade</v>
      </c>
      <c r="U90" s="30" t="str">
        <f t="shared" si="21"/>
        <v>Elementos Espaciais</v>
      </c>
      <c r="V90" s="30" t="str">
        <f t="shared" si="21"/>
        <v>Ambiente Hospitalar</v>
      </c>
      <c r="W90" s="30" t="s">
        <v>85</v>
      </c>
      <c r="X90" s="45" t="str">
        <f t="shared" si="19"/>
        <v>Key-AMB-90</v>
      </c>
      <c r="Y90" s="30" t="s">
        <v>451</v>
      </c>
      <c r="Z90" s="61" t="s">
        <v>10</v>
      </c>
      <c r="AA90" s="41" t="s">
        <v>186</v>
      </c>
      <c r="AB90" s="61" t="s">
        <v>10</v>
      </c>
      <c r="AC90" s="56" t="s">
        <v>317</v>
      </c>
      <c r="AD90" s="61" t="s">
        <v>10</v>
      </c>
    </row>
    <row r="91" spans="1:30" s="34" customFormat="1" ht="6.75" customHeight="1" x14ac:dyDescent="0.25">
      <c r="A91" s="49">
        <v>91</v>
      </c>
      <c r="B91" s="27" t="s">
        <v>417</v>
      </c>
      <c r="C91" s="27" t="s">
        <v>422</v>
      </c>
      <c r="D91" s="27" t="s">
        <v>231</v>
      </c>
      <c r="E91" s="27" t="s">
        <v>947</v>
      </c>
      <c r="F91" s="28" t="s">
        <v>893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0"/>
        <v>De.Espacialidade</v>
      </c>
      <c r="M91" s="29" t="str">
        <f t="shared" si="20"/>
        <v>Elementos.Espaciais</v>
      </c>
      <c r="N91" s="29" t="str">
        <f t="shared" si="16"/>
        <v>Ambiente Hospitalar</v>
      </c>
      <c r="O91" s="29" t="str">
        <f t="shared" si="16"/>
        <v>Amb Espera</v>
      </c>
      <c r="P91" s="30" t="s">
        <v>438</v>
      </c>
      <c r="Q91" s="30" t="s">
        <v>726</v>
      </c>
      <c r="R91" s="30" t="s">
        <v>549</v>
      </c>
      <c r="S91" s="63" t="s">
        <v>10</v>
      </c>
      <c r="T91" s="30" t="str">
        <f t="shared" si="21"/>
        <v>De Espacialidade</v>
      </c>
      <c r="U91" s="30" t="str">
        <f t="shared" si="21"/>
        <v>Elementos Espaciais</v>
      </c>
      <c r="V91" s="30" t="str">
        <f t="shared" si="21"/>
        <v>Ambiente Hospitalar</v>
      </c>
      <c r="W91" s="30" t="s">
        <v>85</v>
      </c>
      <c r="X91" s="45" t="str">
        <f t="shared" si="19"/>
        <v>Key-AMB-91</v>
      </c>
      <c r="Y91" s="30" t="s">
        <v>451</v>
      </c>
      <c r="Z91" s="61" t="s">
        <v>10</v>
      </c>
      <c r="AA91" s="41" t="s">
        <v>186</v>
      </c>
      <c r="AB91" s="61" t="s">
        <v>10</v>
      </c>
      <c r="AC91" s="56" t="s">
        <v>317</v>
      </c>
      <c r="AD91" s="61" t="s">
        <v>10</v>
      </c>
    </row>
    <row r="92" spans="1:30" s="34" customFormat="1" ht="6.75" customHeight="1" x14ac:dyDescent="0.25">
      <c r="A92" s="49">
        <v>92</v>
      </c>
      <c r="B92" s="27" t="s">
        <v>417</v>
      </c>
      <c r="C92" s="27" t="s">
        <v>422</v>
      </c>
      <c r="D92" s="27" t="s">
        <v>231</v>
      </c>
      <c r="E92" s="27" t="s">
        <v>947</v>
      </c>
      <c r="F92" s="28" t="s">
        <v>894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0"/>
        <v>De.Espacialidade</v>
      </c>
      <c r="M92" s="29" t="str">
        <f t="shared" si="20"/>
        <v>Elementos.Espaciais</v>
      </c>
      <c r="N92" s="29" t="str">
        <f t="shared" si="16"/>
        <v>Ambiente Hospitalar</v>
      </c>
      <c r="O92" s="29" t="str">
        <f t="shared" si="16"/>
        <v>Amb Exames</v>
      </c>
      <c r="P92" s="30" t="s">
        <v>435</v>
      </c>
      <c r="Q92" s="30" t="s">
        <v>727</v>
      </c>
      <c r="R92" s="30" t="s">
        <v>550</v>
      </c>
      <c r="S92" s="63" t="s">
        <v>10</v>
      </c>
      <c r="T92" s="30" t="str">
        <f t="shared" si="21"/>
        <v>De Espacialidade</v>
      </c>
      <c r="U92" s="30" t="str">
        <f t="shared" si="21"/>
        <v>Elementos Espaciais</v>
      </c>
      <c r="V92" s="30" t="str">
        <f t="shared" si="21"/>
        <v>Ambiente Hospitalar</v>
      </c>
      <c r="W92" s="30" t="s">
        <v>85</v>
      </c>
      <c r="X92" s="45" t="str">
        <f t="shared" si="19"/>
        <v>Key-AMB-92</v>
      </c>
      <c r="Y92" s="30" t="s">
        <v>451</v>
      </c>
      <c r="Z92" s="61" t="s">
        <v>10</v>
      </c>
      <c r="AA92" s="41" t="s">
        <v>186</v>
      </c>
      <c r="AB92" s="61" t="s">
        <v>10</v>
      </c>
      <c r="AC92" s="56" t="s">
        <v>317</v>
      </c>
      <c r="AD92" s="61" t="s">
        <v>10</v>
      </c>
    </row>
    <row r="93" spans="1:30" s="34" customFormat="1" ht="6.75" customHeight="1" x14ac:dyDescent="0.25">
      <c r="A93" s="49">
        <v>93</v>
      </c>
      <c r="B93" s="27" t="s">
        <v>417</v>
      </c>
      <c r="C93" s="27" t="s">
        <v>422</v>
      </c>
      <c r="D93" s="27" t="s">
        <v>231</v>
      </c>
      <c r="E93" s="27" t="s">
        <v>947</v>
      </c>
      <c r="F93" s="28" t="s">
        <v>895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0"/>
        <v>De.Espacialidade</v>
      </c>
      <c r="M93" s="29" t="str">
        <f t="shared" si="20"/>
        <v>Elementos.Espaciais</v>
      </c>
      <c r="N93" s="29" t="str">
        <f t="shared" si="16"/>
        <v>Ambiente Hospitalar</v>
      </c>
      <c r="O93" s="29" t="str">
        <f t="shared" si="16"/>
        <v>Amb Hidroterapia</v>
      </c>
      <c r="P93" s="30" t="s">
        <v>436</v>
      </c>
      <c r="Q93" s="30" t="s">
        <v>728</v>
      </c>
      <c r="R93" s="30" t="s">
        <v>551</v>
      </c>
      <c r="S93" s="63" t="s">
        <v>10</v>
      </c>
      <c r="T93" s="30" t="str">
        <f t="shared" si="21"/>
        <v>De Espacialidade</v>
      </c>
      <c r="U93" s="30" t="str">
        <f t="shared" si="21"/>
        <v>Elementos Espaciais</v>
      </c>
      <c r="V93" s="30" t="str">
        <f t="shared" si="21"/>
        <v>Ambiente Hospitalar</v>
      </c>
      <c r="W93" s="30" t="s">
        <v>85</v>
      </c>
      <c r="X93" s="45" t="str">
        <f t="shared" si="19"/>
        <v>Key-AMB-93</v>
      </c>
      <c r="Y93" s="30" t="s">
        <v>451</v>
      </c>
      <c r="Z93" s="61" t="s">
        <v>10</v>
      </c>
      <c r="AA93" s="41" t="s">
        <v>186</v>
      </c>
      <c r="AB93" s="61" t="s">
        <v>10</v>
      </c>
      <c r="AC93" s="56" t="s">
        <v>317</v>
      </c>
      <c r="AD93" s="61" t="s">
        <v>10</v>
      </c>
    </row>
    <row r="94" spans="1:30" s="34" customFormat="1" ht="6.75" customHeight="1" x14ac:dyDescent="0.25">
      <c r="A94" s="49">
        <v>94</v>
      </c>
      <c r="B94" s="27" t="s">
        <v>417</v>
      </c>
      <c r="C94" s="27" t="s">
        <v>422</v>
      </c>
      <c r="D94" s="27" t="s">
        <v>231</v>
      </c>
      <c r="E94" s="27" t="s">
        <v>947</v>
      </c>
      <c r="F94" s="28" t="s">
        <v>896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0"/>
        <v>De.Espacialidade</v>
      </c>
      <c r="M94" s="29" t="str">
        <f t="shared" si="20"/>
        <v>Elementos.Espaciais</v>
      </c>
      <c r="N94" s="29" t="str">
        <f t="shared" si="16"/>
        <v>Ambiente Hospitalar</v>
      </c>
      <c r="O94" s="29" t="str">
        <f t="shared" si="16"/>
        <v>Amb Internação</v>
      </c>
      <c r="P94" s="30" t="s">
        <v>437</v>
      </c>
      <c r="Q94" s="30" t="s">
        <v>729</v>
      </c>
      <c r="R94" s="30" t="s">
        <v>552</v>
      </c>
      <c r="S94" s="63" t="s">
        <v>10</v>
      </c>
      <c r="T94" s="30" t="str">
        <f t="shared" si="21"/>
        <v>De Espacialidade</v>
      </c>
      <c r="U94" s="30" t="str">
        <f t="shared" si="21"/>
        <v>Elementos Espaciais</v>
      </c>
      <c r="V94" s="30" t="str">
        <f t="shared" si="21"/>
        <v>Ambiente Hospitalar</v>
      </c>
      <c r="W94" s="30" t="s">
        <v>85</v>
      </c>
      <c r="X94" s="45" t="str">
        <f t="shared" si="19"/>
        <v>Key-AMB-94</v>
      </c>
      <c r="Y94" s="30" t="s">
        <v>451</v>
      </c>
      <c r="Z94" s="61" t="s">
        <v>10</v>
      </c>
      <c r="AA94" s="41" t="s">
        <v>186</v>
      </c>
      <c r="AB94" s="61" t="s">
        <v>10</v>
      </c>
      <c r="AC94" s="56" t="s">
        <v>317</v>
      </c>
      <c r="AD94" s="61" t="s">
        <v>10</v>
      </c>
    </row>
    <row r="95" spans="1:30" s="34" customFormat="1" ht="6.75" customHeight="1" x14ac:dyDescent="0.25">
      <c r="A95" s="49">
        <v>95</v>
      </c>
      <c r="B95" s="27" t="s">
        <v>417</v>
      </c>
      <c r="C95" s="27" t="s">
        <v>422</v>
      </c>
      <c r="D95" s="27" t="s">
        <v>231</v>
      </c>
      <c r="E95" s="27" t="s">
        <v>947</v>
      </c>
      <c r="F95" s="28" t="s">
        <v>897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0"/>
        <v>De.Espacialidade</v>
      </c>
      <c r="M95" s="29" t="str">
        <f t="shared" si="20"/>
        <v>Elementos.Espaciais</v>
      </c>
      <c r="N95" s="29" t="str">
        <f t="shared" si="16"/>
        <v>Ambiente Hospitalar</v>
      </c>
      <c r="O95" s="29" t="str">
        <f t="shared" si="16"/>
        <v>Amb Quirúrgico</v>
      </c>
      <c r="P95" s="30" t="s">
        <v>355</v>
      </c>
      <c r="Q95" s="30" t="s">
        <v>730</v>
      </c>
      <c r="R95" s="30" t="s">
        <v>553</v>
      </c>
      <c r="S95" s="63" t="s">
        <v>10</v>
      </c>
      <c r="T95" s="30" t="str">
        <f t="shared" si="21"/>
        <v>De Espacialidade</v>
      </c>
      <c r="U95" s="30" t="str">
        <f t="shared" si="21"/>
        <v>Elementos Espaciais</v>
      </c>
      <c r="V95" s="30" t="str">
        <f t="shared" si="21"/>
        <v>Ambiente Hospitalar</v>
      </c>
      <c r="W95" s="30" t="s">
        <v>85</v>
      </c>
      <c r="X95" s="45" t="str">
        <f t="shared" si="19"/>
        <v>Key-AMB-95</v>
      </c>
      <c r="Y95" s="30" t="s">
        <v>451</v>
      </c>
      <c r="Z95" s="61" t="s">
        <v>10</v>
      </c>
      <c r="AA95" s="41" t="s">
        <v>186</v>
      </c>
      <c r="AB95" s="61" t="s">
        <v>10</v>
      </c>
      <c r="AC95" s="56" t="s">
        <v>317</v>
      </c>
      <c r="AD95" s="61" t="s">
        <v>10</v>
      </c>
    </row>
    <row r="96" spans="1:30" s="34" customFormat="1" ht="6.75" customHeight="1" x14ac:dyDescent="0.25">
      <c r="A96" s="49">
        <v>96</v>
      </c>
      <c r="B96" s="27" t="s">
        <v>417</v>
      </c>
      <c r="C96" s="27" t="s">
        <v>422</v>
      </c>
      <c r="D96" s="27" t="s">
        <v>231</v>
      </c>
      <c r="E96" s="27" t="s">
        <v>947</v>
      </c>
      <c r="F96" s="28" t="s">
        <v>898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0"/>
        <v>De.Espacialidade</v>
      </c>
      <c r="M96" s="29" t="str">
        <f t="shared" si="20"/>
        <v>Elementos.Espaciais</v>
      </c>
      <c r="N96" s="29" t="str">
        <f t="shared" si="16"/>
        <v>Ambiente Hospitalar</v>
      </c>
      <c r="O96" s="29" t="str">
        <f t="shared" si="16"/>
        <v>Amb Saúde</v>
      </c>
      <c r="P96" s="30" t="s">
        <v>362</v>
      </c>
      <c r="Q96" s="30" t="s">
        <v>731</v>
      </c>
      <c r="R96" s="30" t="s">
        <v>554</v>
      </c>
      <c r="S96" s="63" t="s">
        <v>10</v>
      </c>
      <c r="T96" s="30" t="str">
        <f t="shared" si="21"/>
        <v>De Espacialidade</v>
      </c>
      <c r="U96" s="30" t="str">
        <f t="shared" si="21"/>
        <v>Elementos Espaciais</v>
      </c>
      <c r="V96" s="30" t="str">
        <f t="shared" si="21"/>
        <v>Ambiente Hospitalar</v>
      </c>
      <c r="W96" s="30" t="s">
        <v>85</v>
      </c>
      <c r="X96" s="45" t="str">
        <f t="shared" si="19"/>
        <v>Key-AMB-96</v>
      </c>
      <c r="Y96" s="30" t="s">
        <v>451</v>
      </c>
      <c r="Z96" s="61" t="s">
        <v>10</v>
      </c>
      <c r="AA96" s="41" t="s">
        <v>186</v>
      </c>
      <c r="AB96" s="61" t="s">
        <v>10</v>
      </c>
      <c r="AC96" s="56" t="s">
        <v>317</v>
      </c>
      <c r="AD96" s="61" t="s">
        <v>10</v>
      </c>
    </row>
    <row r="97" spans="1:30" s="34" customFormat="1" ht="6.75" customHeight="1" x14ac:dyDescent="0.25">
      <c r="A97" s="49">
        <v>97</v>
      </c>
      <c r="B97" s="27" t="s">
        <v>417</v>
      </c>
      <c r="C97" s="27" t="s">
        <v>422</v>
      </c>
      <c r="D97" s="27" t="s">
        <v>231</v>
      </c>
      <c r="E97" s="27" t="s">
        <v>947</v>
      </c>
      <c r="F97" s="28" t="s">
        <v>899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0"/>
        <v>De.Espacialidade</v>
      </c>
      <c r="M97" s="29" t="str">
        <f t="shared" si="20"/>
        <v>Elementos.Espaciais</v>
      </c>
      <c r="N97" s="29" t="str">
        <f t="shared" si="16"/>
        <v>Ambiente Hospitalar</v>
      </c>
      <c r="O97" s="29" t="str">
        <f t="shared" si="16"/>
        <v>Amb Terapia</v>
      </c>
      <c r="P97" s="30" t="s">
        <v>443</v>
      </c>
      <c r="Q97" s="30" t="s">
        <v>732</v>
      </c>
      <c r="R97" s="30" t="s">
        <v>555</v>
      </c>
      <c r="S97" s="63" t="s">
        <v>10</v>
      </c>
      <c r="T97" s="30" t="str">
        <f t="shared" si="21"/>
        <v>De Espacialidade</v>
      </c>
      <c r="U97" s="30" t="str">
        <f t="shared" si="21"/>
        <v>Elementos Espaciais</v>
      </c>
      <c r="V97" s="30" t="str">
        <f t="shared" si="21"/>
        <v>Ambiente Hospitalar</v>
      </c>
      <c r="W97" s="30" t="s">
        <v>85</v>
      </c>
      <c r="X97" s="45" t="str">
        <f t="shared" si="19"/>
        <v>Key-AMB-97</v>
      </c>
      <c r="Y97" s="30" t="s">
        <v>451</v>
      </c>
      <c r="Z97" s="61" t="s">
        <v>10</v>
      </c>
      <c r="AA97" s="41" t="s">
        <v>186</v>
      </c>
      <c r="AB97" s="61" t="s">
        <v>10</v>
      </c>
      <c r="AC97" s="56" t="s">
        <v>317</v>
      </c>
      <c r="AD97" s="61" t="s">
        <v>10</v>
      </c>
    </row>
    <row r="98" spans="1:30" s="34" customFormat="1" ht="6.75" customHeight="1" x14ac:dyDescent="0.25">
      <c r="A98" s="49">
        <v>98</v>
      </c>
      <c r="B98" s="27" t="s">
        <v>417</v>
      </c>
      <c r="C98" s="27" t="s">
        <v>422</v>
      </c>
      <c r="D98" s="27" t="s">
        <v>231</v>
      </c>
      <c r="E98" s="27" t="s">
        <v>947</v>
      </c>
      <c r="F98" s="28" t="s">
        <v>900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0"/>
        <v>De.Espacialidade</v>
      </c>
      <c r="M98" s="29" t="str">
        <f t="shared" si="20"/>
        <v>Elementos.Espaciais</v>
      </c>
      <c r="N98" s="29" t="str">
        <f t="shared" si="16"/>
        <v>Ambiente Hospitalar</v>
      </c>
      <c r="O98" s="29" t="str">
        <f t="shared" si="16"/>
        <v>Amb Triagem</v>
      </c>
      <c r="P98" s="30" t="s">
        <v>444</v>
      </c>
      <c r="Q98" s="30" t="s">
        <v>733</v>
      </c>
      <c r="R98" s="30" t="s">
        <v>556</v>
      </c>
      <c r="S98" s="63" t="s">
        <v>10</v>
      </c>
      <c r="T98" s="30" t="str">
        <f t="shared" si="21"/>
        <v>De Espacialidade</v>
      </c>
      <c r="U98" s="30" t="str">
        <f t="shared" si="21"/>
        <v>Elementos Espaciais</v>
      </c>
      <c r="V98" s="30" t="str">
        <f t="shared" si="21"/>
        <v>Ambiente Hospitalar</v>
      </c>
      <c r="W98" s="30" t="s">
        <v>85</v>
      </c>
      <c r="X98" s="45" t="str">
        <f t="shared" si="19"/>
        <v>Key-AMB-98</v>
      </c>
      <c r="Y98" s="30" t="s">
        <v>451</v>
      </c>
      <c r="Z98" s="61" t="s">
        <v>10</v>
      </c>
      <c r="AA98" s="41" t="s">
        <v>186</v>
      </c>
      <c r="AB98" s="61" t="s">
        <v>10</v>
      </c>
      <c r="AC98" s="56" t="s">
        <v>317</v>
      </c>
      <c r="AD98" s="61" t="s">
        <v>10</v>
      </c>
    </row>
    <row r="99" spans="1:30" s="34" customFormat="1" ht="6.75" customHeight="1" x14ac:dyDescent="0.25">
      <c r="A99" s="49">
        <v>99</v>
      </c>
      <c r="B99" s="27" t="s">
        <v>417</v>
      </c>
      <c r="C99" s="27" t="s">
        <v>422</v>
      </c>
      <c r="D99" s="27" t="s">
        <v>231</v>
      </c>
      <c r="E99" s="27" t="s">
        <v>947</v>
      </c>
      <c r="F99" s="28" t="s">
        <v>901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0"/>
        <v>De.Espacialidade</v>
      </c>
      <c r="M99" s="29" t="str">
        <f t="shared" si="20"/>
        <v>Elementos.Espaciais</v>
      </c>
      <c r="N99" s="29" t="str">
        <f t="shared" si="16"/>
        <v>Ambiente Hospitalar</v>
      </c>
      <c r="O99" s="29" t="str">
        <f t="shared" si="16"/>
        <v>Amb UTI</v>
      </c>
      <c r="P99" s="30" t="s">
        <v>445</v>
      </c>
      <c r="Q99" s="30" t="s">
        <v>734</v>
      </c>
      <c r="R99" s="30" t="s">
        <v>557</v>
      </c>
      <c r="S99" s="63" t="s">
        <v>10</v>
      </c>
      <c r="T99" s="30" t="str">
        <f t="shared" si="21"/>
        <v>De Espacialidade</v>
      </c>
      <c r="U99" s="30" t="str">
        <f t="shared" si="21"/>
        <v>Elementos Espaciais</v>
      </c>
      <c r="V99" s="30" t="str">
        <f t="shared" si="21"/>
        <v>Ambiente Hospitalar</v>
      </c>
      <c r="W99" s="30" t="s">
        <v>85</v>
      </c>
      <c r="X99" s="45" t="str">
        <f t="shared" si="19"/>
        <v>Key-AMB-99</v>
      </c>
      <c r="Y99" s="30" t="s">
        <v>451</v>
      </c>
      <c r="Z99" s="61" t="s">
        <v>10</v>
      </c>
      <c r="AA99" s="41" t="s">
        <v>186</v>
      </c>
      <c r="AB99" s="61" t="s">
        <v>10</v>
      </c>
      <c r="AC99" s="56" t="s">
        <v>317</v>
      </c>
      <c r="AD99" s="61" t="s">
        <v>10</v>
      </c>
    </row>
    <row r="100" spans="1:30" s="34" customFormat="1" ht="6.75" customHeight="1" x14ac:dyDescent="0.25">
      <c r="A100" s="49">
        <v>100</v>
      </c>
      <c r="B100" s="27" t="s">
        <v>417</v>
      </c>
      <c r="C100" s="27" t="s">
        <v>422</v>
      </c>
      <c r="D100" s="27" t="s">
        <v>231</v>
      </c>
      <c r="E100" s="27" t="s">
        <v>947</v>
      </c>
      <c r="F100" s="28" t="s">
        <v>902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0"/>
        <v>De.Espacialidade</v>
      </c>
      <c r="M100" s="29" t="str">
        <f t="shared" si="20"/>
        <v>Elementos.Espaciais</v>
      </c>
      <c r="N100" s="29" t="str">
        <f t="shared" si="16"/>
        <v>Ambiente Hospitalar</v>
      </c>
      <c r="O100" s="29" t="str">
        <f t="shared" si="16"/>
        <v>Amb Veicular</v>
      </c>
      <c r="P100" s="30" t="s">
        <v>446</v>
      </c>
      <c r="Q100" s="30" t="s">
        <v>735</v>
      </c>
      <c r="R100" s="30" t="s">
        <v>558</v>
      </c>
      <c r="S100" s="63" t="s">
        <v>10</v>
      </c>
      <c r="T100" s="30" t="str">
        <f t="shared" si="21"/>
        <v>De Espacialidade</v>
      </c>
      <c r="U100" s="30" t="str">
        <f t="shared" si="21"/>
        <v>Elementos Espaciais</v>
      </c>
      <c r="V100" s="30" t="str">
        <f t="shared" si="21"/>
        <v>Ambiente Hospitalar</v>
      </c>
      <c r="W100" s="30" t="s">
        <v>85</v>
      </c>
      <c r="X100" s="45" t="str">
        <f t="shared" si="19"/>
        <v>Key-AMB-100</v>
      </c>
      <c r="Y100" s="30" t="s">
        <v>451</v>
      </c>
      <c r="Z100" s="61" t="s">
        <v>10</v>
      </c>
      <c r="AA100" s="41" t="s">
        <v>186</v>
      </c>
      <c r="AB100" s="61" t="s">
        <v>10</v>
      </c>
      <c r="AC100" s="56" t="s">
        <v>317</v>
      </c>
      <c r="AD100" s="61" t="s">
        <v>10</v>
      </c>
    </row>
    <row r="101" spans="1:30" s="34" customFormat="1" ht="6.75" customHeight="1" x14ac:dyDescent="0.25">
      <c r="A101" s="49">
        <v>101</v>
      </c>
      <c r="B101" s="27" t="s">
        <v>417</v>
      </c>
      <c r="C101" s="27" t="s">
        <v>422</v>
      </c>
      <c r="D101" s="27" t="s">
        <v>231</v>
      </c>
      <c r="E101" s="27" t="s">
        <v>948</v>
      </c>
      <c r="F101" s="28" t="s">
        <v>903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si="20"/>
        <v>De.Espacialidade</v>
      </c>
      <c r="M101" s="29" t="str">
        <f t="shared" si="20"/>
        <v>Elementos.Espaciais</v>
      </c>
      <c r="N101" s="29" t="str">
        <f t="shared" si="16"/>
        <v>Ambiente Risco</v>
      </c>
      <c r="O101" s="29" t="str">
        <f t="shared" si="16"/>
        <v>Amb Biossegurança NB1</v>
      </c>
      <c r="P101" s="30" t="s">
        <v>356</v>
      </c>
      <c r="Q101" s="30" t="s">
        <v>736</v>
      </c>
      <c r="R101" s="30" t="s">
        <v>559</v>
      </c>
      <c r="S101" s="63" t="s">
        <v>10</v>
      </c>
      <c r="T101" s="30" t="str">
        <f t="shared" si="21"/>
        <v>De Espacialidade</v>
      </c>
      <c r="U101" s="30" t="str">
        <f t="shared" si="21"/>
        <v>Elementos Espaciais</v>
      </c>
      <c r="V101" s="30" t="str">
        <f t="shared" si="21"/>
        <v>Ambiente Risco</v>
      </c>
      <c r="W101" s="30" t="s">
        <v>85</v>
      </c>
      <c r="X101" s="45" t="str">
        <f t="shared" si="19"/>
        <v>Key-AMB-101</v>
      </c>
      <c r="Y101" s="30" t="s">
        <v>451</v>
      </c>
      <c r="Z101" s="61" t="s">
        <v>10</v>
      </c>
      <c r="AA101" s="41" t="s">
        <v>186</v>
      </c>
      <c r="AB101" s="61" t="s">
        <v>10</v>
      </c>
      <c r="AC101" s="56" t="s">
        <v>318</v>
      </c>
      <c r="AD101" s="61" t="s">
        <v>10</v>
      </c>
    </row>
    <row r="102" spans="1:30" s="34" customFormat="1" ht="6.75" customHeight="1" x14ac:dyDescent="0.25">
      <c r="A102" s="49">
        <v>102</v>
      </c>
      <c r="B102" s="27" t="s">
        <v>417</v>
      </c>
      <c r="C102" s="27" t="s">
        <v>422</v>
      </c>
      <c r="D102" s="27" t="s">
        <v>231</v>
      </c>
      <c r="E102" s="27" t="s">
        <v>948</v>
      </c>
      <c r="F102" s="28" t="s">
        <v>904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20"/>
        <v>De.Espacialidade</v>
      </c>
      <c r="M102" s="29" t="str">
        <f t="shared" si="20"/>
        <v>Elementos.Espaciais</v>
      </c>
      <c r="N102" s="29" t="str">
        <f t="shared" si="16"/>
        <v>Ambiente Risco</v>
      </c>
      <c r="O102" s="29" t="str">
        <f t="shared" si="16"/>
        <v>Amb Biossegurança NB2</v>
      </c>
      <c r="P102" s="30" t="s">
        <v>357</v>
      </c>
      <c r="Q102" s="30" t="s">
        <v>737</v>
      </c>
      <c r="R102" s="30" t="s">
        <v>560</v>
      </c>
      <c r="S102" s="63" t="s">
        <v>10</v>
      </c>
      <c r="T102" s="30" t="str">
        <f t="shared" si="21"/>
        <v>De Espacialidade</v>
      </c>
      <c r="U102" s="30" t="str">
        <f t="shared" si="21"/>
        <v>Elementos Espaciais</v>
      </c>
      <c r="V102" s="30" t="str">
        <f t="shared" si="21"/>
        <v>Ambiente Risco</v>
      </c>
      <c r="W102" s="30" t="s">
        <v>85</v>
      </c>
      <c r="X102" s="45" t="str">
        <f t="shared" si="19"/>
        <v>Key-AMB-102</v>
      </c>
      <c r="Y102" s="30" t="s">
        <v>451</v>
      </c>
      <c r="Z102" s="61" t="s">
        <v>10</v>
      </c>
      <c r="AA102" s="41" t="s">
        <v>186</v>
      </c>
      <c r="AB102" s="61" t="s">
        <v>10</v>
      </c>
      <c r="AC102" s="56" t="s">
        <v>318</v>
      </c>
      <c r="AD102" s="61" t="s">
        <v>10</v>
      </c>
    </row>
    <row r="103" spans="1:30" s="34" customFormat="1" ht="6.75" customHeight="1" x14ac:dyDescent="0.25">
      <c r="A103" s="49">
        <v>103</v>
      </c>
      <c r="B103" s="27" t="s">
        <v>417</v>
      </c>
      <c r="C103" s="27" t="s">
        <v>422</v>
      </c>
      <c r="D103" s="27" t="s">
        <v>231</v>
      </c>
      <c r="E103" s="27" t="s">
        <v>948</v>
      </c>
      <c r="F103" s="28" t="s">
        <v>905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20"/>
        <v>De.Espacialidade</v>
      </c>
      <c r="M103" s="29" t="str">
        <f t="shared" si="20"/>
        <v>Elementos.Espaciais</v>
      </c>
      <c r="N103" s="29" t="str">
        <f t="shared" si="16"/>
        <v>Ambiente Risco</v>
      </c>
      <c r="O103" s="29" t="str">
        <f t="shared" si="16"/>
        <v>Amb Biossegurança NB3</v>
      </c>
      <c r="P103" s="30" t="s">
        <v>358</v>
      </c>
      <c r="Q103" s="30" t="s">
        <v>738</v>
      </c>
      <c r="R103" s="30" t="s">
        <v>561</v>
      </c>
      <c r="S103" s="63" t="s">
        <v>10</v>
      </c>
      <c r="T103" s="30" t="str">
        <f t="shared" si="21"/>
        <v>De Espacialidade</v>
      </c>
      <c r="U103" s="30" t="str">
        <f t="shared" si="21"/>
        <v>Elementos Espaciais</v>
      </c>
      <c r="V103" s="30" t="str">
        <f t="shared" si="21"/>
        <v>Ambiente Risco</v>
      </c>
      <c r="W103" s="30" t="s">
        <v>85</v>
      </c>
      <c r="X103" s="45" t="str">
        <f t="shared" si="19"/>
        <v>Key-AMB-103</v>
      </c>
      <c r="Y103" s="30" t="s">
        <v>451</v>
      </c>
      <c r="Z103" s="61" t="s">
        <v>10</v>
      </c>
      <c r="AA103" s="41" t="s">
        <v>186</v>
      </c>
      <c r="AB103" s="61" t="s">
        <v>10</v>
      </c>
      <c r="AC103" s="56" t="s">
        <v>319</v>
      </c>
      <c r="AD103" s="61" t="s">
        <v>10</v>
      </c>
    </row>
    <row r="104" spans="1:30" s="34" customFormat="1" ht="6.75" customHeight="1" x14ac:dyDescent="0.25">
      <c r="A104" s="49">
        <v>104</v>
      </c>
      <c r="B104" s="27" t="s">
        <v>417</v>
      </c>
      <c r="C104" s="27" t="s">
        <v>422</v>
      </c>
      <c r="D104" s="27" t="s">
        <v>231</v>
      </c>
      <c r="E104" s="27" t="s">
        <v>948</v>
      </c>
      <c r="F104" s="28" t="s">
        <v>906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20"/>
        <v>De.Espacialidade</v>
      </c>
      <c r="M104" s="29" t="str">
        <f t="shared" si="20"/>
        <v>Elementos.Espaciais</v>
      </c>
      <c r="N104" s="29" t="str">
        <f t="shared" si="16"/>
        <v>Ambiente Risco</v>
      </c>
      <c r="O104" s="29" t="str">
        <f t="shared" si="16"/>
        <v>Amb Biossegurança NB4</v>
      </c>
      <c r="P104" s="30" t="s">
        <v>359</v>
      </c>
      <c r="Q104" s="30" t="s">
        <v>739</v>
      </c>
      <c r="R104" s="30" t="s">
        <v>562</v>
      </c>
      <c r="S104" s="63" t="s">
        <v>10</v>
      </c>
      <c r="T104" s="30" t="str">
        <f t="shared" si="21"/>
        <v>De Espacialidade</v>
      </c>
      <c r="U104" s="30" t="str">
        <f t="shared" si="21"/>
        <v>Elementos Espaciais</v>
      </c>
      <c r="V104" s="30" t="str">
        <f t="shared" si="21"/>
        <v>Ambiente Risco</v>
      </c>
      <c r="W104" s="30" t="s">
        <v>85</v>
      </c>
      <c r="X104" s="45" t="str">
        <f t="shared" si="19"/>
        <v>Key-AMB-104</v>
      </c>
      <c r="Y104" s="30" t="s">
        <v>451</v>
      </c>
      <c r="Z104" s="61" t="s">
        <v>10</v>
      </c>
      <c r="AA104" s="41" t="s">
        <v>186</v>
      </c>
      <c r="AB104" s="61" t="s">
        <v>10</v>
      </c>
      <c r="AC104" s="56" t="s">
        <v>318</v>
      </c>
      <c r="AD104" s="61" t="s">
        <v>10</v>
      </c>
    </row>
    <row r="105" spans="1:30" s="34" customFormat="1" ht="6.75" customHeight="1" x14ac:dyDescent="0.25">
      <c r="A105" s="49">
        <v>105</v>
      </c>
      <c r="B105" s="27" t="s">
        <v>417</v>
      </c>
      <c r="C105" s="27" t="s">
        <v>422</v>
      </c>
      <c r="D105" s="27" t="s">
        <v>231</v>
      </c>
      <c r="E105" s="27" t="s">
        <v>948</v>
      </c>
      <c r="F105" s="28" t="s">
        <v>907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20"/>
        <v>De.Espacialidade</v>
      </c>
      <c r="M105" s="29" t="str">
        <f t="shared" si="20"/>
        <v>Elementos.Espaciais</v>
      </c>
      <c r="N105" s="29" t="str">
        <f t="shared" si="16"/>
        <v>Ambiente Risco</v>
      </c>
      <c r="O105" s="29" t="str">
        <f t="shared" si="16"/>
        <v>Amb Paramentação</v>
      </c>
      <c r="P105" s="30" t="s">
        <v>381</v>
      </c>
      <c r="Q105" s="30" t="s">
        <v>740</v>
      </c>
      <c r="R105" s="30" t="s">
        <v>563</v>
      </c>
      <c r="S105" s="63" t="s">
        <v>10</v>
      </c>
      <c r="T105" s="30" t="str">
        <f t="shared" si="21"/>
        <v>De Espacialidade</v>
      </c>
      <c r="U105" s="30" t="str">
        <f t="shared" si="21"/>
        <v>Elementos Espaciais</v>
      </c>
      <c r="V105" s="30" t="str">
        <f t="shared" si="21"/>
        <v>Ambiente Risco</v>
      </c>
      <c r="W105" s="30" t="s">
        <v>85</v>
      </c>
      <c r="X105" s="45" t="str">
        <f t="shared" si="19"/>
        <v>Key-AMB-105</v>
      </c>
      <c r="Y105" s="30" t="s">
        <v>451</v>
      </c>
      <c r="Z105" s="61" t="s">
        <v>10</v>
      </c>
      <c r="AA105" s="41" t="s">
        <v>186</v>
      </c>
      <c r="AB105" s="61" t="s">
        <v>10</v>
      </c>
      <c r="AC105" s="56" t="s">
        <v>318</v>
      </c>
      <c r="AD105" s="61" t="s">
        <v>10</v>
      </c>
    </row>
    <row r="106" spans="1:30" s="34" customFormat="1" ht="6.75" customHeight="1" x14ac:dyDescent="0.25">
      <c r="A106" s="49">
        <v>106</v>
      </c>
      <c r="B106" s="27" t="s">
        <v>417</v>
      </c>
      <c r="C106" s="27" t="s">
        <v>422</v>
      </c>
      <c r="D106" s="27" t="s">
        <v>231</v>
      </c>
      <c r="E106" s="27" t="s">
        <v>949</v>
      </c>
      <c r="F106" s="28" t="s">
        <v>908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20"/>
        <v>De.Espacialidade</v>
      </c>
      <c r="M106" s="29" t="str">
        <f t="shared" si="20"/>
        <v>Elementos.Espaciais</v>
      </c>
      <c r="N106" s="29" t="str">
        <f t="shared" si="16"/>
        <v>Ambiente Educacional</v>
      </c>
      <c r="O106" s="29" t="str">
        <f t="shared" si="16"/>
        <v>Amb Infantil</v>
      </c>
      <c r="P106" s="30" t="s">
        <v>363</v>
      </c>
      <c r="Q106" s="30" t="s">
        <v>741</v>
      </c>
      <c r="R106" s="30" t="s">
        <v>564</v>
      </c>
      <c r="S106" s="63" t="s">
        <v>10</v>
      </c>
      <c r="T106" s="30" t="str">
        <f t="shared" si="21"/>
        <v>De Espacialidade</v>
      </c>
      <c r="U106" s="30" t="str">
        <f t="shared" si="21"/>
        <v>Elementos Espaciais</v>
      </c>
      <c r="V106" s="30" t="str">
        <f t="shared" si="21"/>
        <v>Ambiente Educacional</v>
      </c>
      <c r="W106" s="30" t="s">
        <v>85</v>
      </c>
      <c r="X106" s="45" t="str">
        <f t="shared" si="19"/>
        <v>Key-AMB-106</v>
      </c>
      <c r="Y106" s="30" t="s">
        <v>451</v>
      </c>
      <c r="Z106" s="61" t="s">
        <v>10</v>
      </c>
      <c r="AA106" s="41" t="s">
        <v>186</v>
      </c>
      <c r="AB106" s="61" t="s">
        <v>10</v>
      </c>
      <c r="AC106" s="56" t="s">
        <v>936</v>
      </c>
      <c r="AD106" s="61" t="s">
        <v>10</v>
      </c>
    </row>
    <row r="107" spans="1:30" s="34" customFormat="1" ht="6.75" customHeight="1" x14ac:dyDescent="0.25">
      <c r="A107" s="49">
        <v>107</v>
      </c>
      <c r="B107" s="27" t="s">
        <v>417</v>
      </c>
      <c r="C107" s="27" t="s">
        <v>422</v>
      </c>
      <c r="D107" s="27" t="s">
        <v>231</v>
      </c>
      <c r="E107" s="27" t="s">
        <v>949</v>
      </c>
      <c r="F107" s="28" t="s">
        <v>909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20"/>
        <v>De.Espacialidade</v>
      </c>
      <c r="M107" s="29" t="str">
        <f t="shared" si="20"/>
        <v>Elementos.Espaciais</v>
      </c>
      <c r="N107" s="29" t="str">
        <f t="shared" si="16"/>
        <v>Ambiente Educacional</v>
      </c>
      <c r="O107" s="29" t="str">
        <f t="shared" si="16"/>
        <v>Amb Ensino</v>
      </c>
      <c r="P107" s="30" t="s">
        <v>364</v>
      </c>
      <c r="Q107" s="30" t="s">
        <v>742</v>
      </c>
      <c r="R107" s="30" t="s">
        <v>565</v>
      </c>
      <c r="S107" s="63" t="s">
        <v>10</v>
      </c>
      <c r="T107" s="30" t="str">
        <f t="shared" si="21"/>
        <v>De Espacialidade</v>
      </c>
      <c r="U107" s="30" t="str">
        <f t="shared" si="21"/>
        <v>Elementos Espaciais</v>
      </c>
      <c r="V107" s="30" t="str">
        <f t="shared" si="21"/>
        <v>Ambiente Educacional</v>
      </c>
      <c r="W107" s="30" t="s">
        <v>85</v>
      </c>
      <c r="X107" s="45" t="str">
        <f t="shared" si="19"/>
        <v>Key-AMB-107</v>
      </c>
      <c r="Y107" s="30" t="s">
        <v>451</v>
      </c>
      <c r="Z107" s="61" t="s">
        <v>10</v>
      </c>
      <c r="AA107" s="41" t="s">
        <v>186</v>
      </c>
      <c r="AB107" s="61" t="s">
        <v>10</v>
      </c>
      <c r="AC107" s="56" t="s">
        <v>936</v>
      </c>
      <c r="AD107" s="61" t="s">
        <v>10</v>
      </c>
    </row>
    <row r="108" spans="1:30" s="34" customFormat="1" ht="6.75" customHeight="1" x14ac:dyDescent="0.25">
      <c r="A108" s="49">
        <v>108</v>
      </c>
      <c r="B108" s="27" t="s">
        <v>417</v>
      </c>
      <c r="C108" s="27" t="s">
        <v>422</v>
      </c>
      <c r="D108" s="27" t="s">
        <v>231</v>
      </c>
      <c r="E108" s="27" t="s">
        <v>949</v>
      </c>
      <c r="F108" s="28" t="s">
        <v>910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20"/>
        <v>De.Espacialidade</v>
      </c>
      <c r="M108" s="29" t="str">
        <f t="shared" si="20"/>
        <v>Elementos.Espaciais</v>
      </c>
      <c r="N108" s="29" t="str">
        <f t="shared" si="16"/>
        <v>Ambiente Educacional</v>
      </c>
      <c r="O108" s="29" t="str">
        <f t="shared" si="16"/>
        <v>Amb Ensino Artístico</v>
      </c>
      <c r="P108" s="30" t="s">
        <v>360</v>
      </c>
      <c r="Q108" s="30" t="s">
        <v>743</v>
      </c>
      <c r="R108" s="30" t="s">
        <v>566</v>
      </c>
      <c r="S108" s="63" t="s">
        <v>10</v>
      </c>
      <c r="T108" s="30" t="str">
        <f t="shared" si="21"/>
        <v>De Espacialidade</v>
      </c>
      <c r="U108" s="30" t="str">
        <f t="shared" si="21"/>
        <v>Elementos Espaciais</v>
      </c>
      <c r="V108" s="30" t="str">
        <f t="shared" si="21"/>
        <v>Ambiente Educacional</v>
      </c>
      <c r="W108" s="30" t="s">
        <v>85</v>
      </c>
      <c r="X108" s="45" t="str">
        <f t="shared" si="19"/>
        <v>Key-AMB-108</v>
      </c>
      <c r="Y108" s="30" t="s">
        <v>451</v>
      </c>
      <c r="Z108" s="61" t="s">
        <v>10</v>
      </c>
      <c r="AA108" s="41" t="s">
        <v>186</v>
      </c>
      <c r="AB108" s="61" t="s">
        <v>10</v>
      </c>
      <c r="AC108" s="56" t="s">
        <v>936</v>
      </c>
      <c r="AD108" s="61" t="s">
        <v>10</v>
      </c>
    </row>
    <row r="109" spans="1:30" s="34" customFormat="1" ht="6.75" customHeight="1" x14ac:dyDescent="0.25">
      <c r="A109" s="49">
        <v>109</v>
      </c>
      <c r="B109" s="27" t="s">
        <v>417</v>
      </c>
      <c r="C109" s="27" t="s">
        <v>422</v>
      </c>
      <c r="D109" s="27" t="s">
        <v>231</v>
      </c>
      <c r="E109" s="27" t="s">
        <v>949</v>
      </c>
      <c r="F109" s="28" t="s">
        <v>911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20"/>
        <v>De.Espacialidade</v>
      </c>
      <c r="M109" s="29" t="str">
        <f t="shared" si="20"/>
        <v>Elementos.Espaciais</v>
      </c>
      <c r="N109" s="29" t="str">
        <f t="shared" si="16"/>
        <v>Ambiente Educacional</v>
      </c>
      <c r="O109" s="29" t="str">
        <f t="shared" si="16"/>
        <v>Amb Ensino Científico</v>
      </c>
      <c r="P109" s="30" t="s">
        <v>361</v>
      </c>
      <c r="Q109" s="30" t="s">
        <v>744</v>
      </c>
      <c r="R109" s="30" t="s">
        <v>567</v>
      </c>
      <c r="S109" s="63" t="s">
        <v>10</v>
      </c>
      <c r="T109" s="30" t="str">
        <f t="shared" si="21"/>
        <v>De Espacialidade</v>
      </c>
      <c r="U109" s="30" t="str">
        <f t="shared" si="21"/>
        <v>Elementos Espaciais</v>
      </c>
      <c r="V109" s="30" t="str">
        <f t="shared" si="21"/>
        <v>Ambiente Educacional</v>
      </c>
      <c r="W109" s="30" t="s">
        <v>85</v>
      </c>
      <c r="X109" s="45" t="str">
        <f t="shared" si="19"/>
        <v>Key-AMB-109</v>
      </c>
      <c r="Y109" s="30" t="s">
        <v>451</v>
      </c>
      <c r="Z109" s="61" t="s">
        <v>10</v>
      </c>
      <c r="AA109" s="41" t="s">
        <v>186</v>
      </c>
      <c r="AB109" s="61" t="s">
        <v>10</v>
      </c>
      <c r="AC109" s="56" t="s">
        <v>936</v>
      </c>
      <c r="AD109" s="61" t="s">
        <v>10</v>
      </c>
    </row>
    <row r="110" spans="1:30" s="34" customFormat="1" ht="6.75" customHeight="1" x14ac:dyDescent="0.25">
      <c r="A110" s="49">
        <v>110</v>
      </c>
      <c r="B110" s="27" t="s">
        <v>417</v>
      </c>
      <c r="C110" s="27" t="s">
        <v>422</v>
      </c>
      <c r="D110" s="27" t="s">
        <v>231</v>
      </c>
      <c r="E110" s="27" t="s">
        <v>949</v>
      </c>
      <c r="F110" s="28" t="s">
        <v>912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20"/>
        <v>De.Espacialidade</v>
      </c>
      <c r="M110" s="29" t="str">
        <f t="shared" si="20"/>
        <v>Elementos.Espaciais</v>
      </c>
      <c r="N110" s="29" t="str">
        <f t="shared" si="16"/>
        <v>Ambiente Educacional</v>
      </c>
      <c r="O110" s="29" t="str">
        <f t="shared" si="16"/>
        <v>Amb Ensino Técnico</v>
      </c>
      <c r="P110" s="30" t="s">
        <v>370</v>
      </c>
      <c r="Q110" s="30" t="s">
        <v>745</v>
      </c>
      <c r="R110" s="30" t="s">
        <v>568</v>
      </c>
      <c r="S110" s="63" t="s">
        <v>10</v>
      </c>
      <c r="T110" s="30" t="str">
        <f t="shared" si="21"/>
        <v>De Espacialidade</v>
      </c>
      <c r="U110" s="30" t="str">
        <f t="shared" si="21"/>
        <v>Elementos Espaciais</v>
      </c>
      <c r="V110" s="30" t="str">
        <f t="shared" si="21"/>
        <v>Ambiente Educacional</v>
      </c>
      <c r="W110" s="30" t="s">
        <v>85</v>
      </c>
      <c r="X110" s="45" t="str">
        <f t="shared" si="19"/>
        <v>Key-AMB-110</v>
      </c>
      <c r="Y110" s="30" t="s">
        <v>451</v>
      </c>
      <c r="Z110" s="61" t="s">
        <v>10</v>
      </c>
      <c r="AA110" s="41" t="s">
        <v>186</v>
      </c>
      <c r="AB110" s="61" t="s">
        <v>10</v>
      </c>
      <c r="AC110" s="56" t="s">
        <v>936</v>
      </c>
      <c r="AD110" s="61" t="s">
        <v>10</v>
      </c>
    </row>
    <row r="111" spans="1:30" s="34" customFormat="1" ht="6.75" customHeight="1" x14ac:dyDescent="0.25">
      <c r="A111" s="49">
        <v>111</v>
      </c>
      <c r="B111" s="27" t="s">
        <v>417</v>
      </c>
      <c r="C111" s="27" t="s">
        <v>422</v>
      </c>
      <c r="D111" s="27" t="s">
        <v>231</v>
      </c>
      <c r="E111" s="27" t="s">
        <v>949</v>
      </c>
      <c r="F111" s="28" t="s">
        <v>913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20"/>
        <v>De.Espacialidade</v>
      </c>
      <c r="M111" s="29" t="str">
        <f t="shared" si="20"/>
        <v>Elementos.Espaciais</v>
      </c>
      <c r="N111" s="29" t="str">
        <f t="shared" si="16"/>
        <v>Ambiente Educacional</v>
      </c>
      <c r="O111" s="29" t="str">
        <f t="shared" si="16"/>
        <v>Amb Ensino Informática</v>
      </c>
      <c r="P111" s="30" t="s">
        <v>365</v>
      </c>
      <c r="Q111" s="30" t="s">
        <v>746</v>
      </c>
      <c r="R111" s="30" t="s">
        <v>569</v>
      </c>
      <c r="S111" s="63" t="s">
        <v>10</v>
      </c>
      <c r="T111" s="30" t="str">
        <f t="shared" si="21"/>
        <v>De Espacialidade</v>
      </c>
      <c r="U111" s="30" t="str">
        <f t="shared" si="21"/>
        <v>Elementos Espaciais</v>
      </c>
      <c r="V111" s="30" t="str">
        <f t="shared" si="21"/>
        <v>Ambiente Educacional</v>
      </c>
      <c r="W111" s="30" t="s">
        <v>85</v>
      </c>
      <c r="X111" s="45" t="str">
        <f t="shared" si="19"/>
        <v>Key-AMB-111</v>
      </c>
      <c r="Y111" s="30" t="s">
        <v>451</v>
      </c>
      <c r="Z111" s="61" t="s">
        <v>10</v>
      </c>
      <c r="AA111" s="41" t="s">
        <v>186</v>
      </c>
      <c r="AB111" s="61" t="s">
        <v>10</v>
      </c>
      <c r="AC111" s="56" t="s">
        <v>936</v>
      </c>
      <c r="AD111" s="61" t="s">
        <v>10</v>
      </c>
    </row>
    <row r="112" spans="1:30" s="34" customFormat="1" ht="6.75" customHeight="1" x14ac:dyDescent="0.25">
      <c r="A112" s="49">
        <v>112</v>
      </c>
      <c r="B112" s="27" t="s">
        <v>417</v>
      </c>
      <c r="C112" s="27" t="s">
        <v>422</v>
      </c>
      <c r="D112" s="27" t="s">
        <v>231</v>
      </c>
      <c r="E112" s="27" t="s">
        <v>949</v>
      </c>
      <c r="F112" s="28" t="s">
        <v>914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20"/>
        <v>De.Espacialidade</v>
      </c>
      <c r="M112" s="29" t="str">
        <f t="shared" si="20"/>
        <v>Elementos.Espaciais</v>
      </c>
      <c r="N112" s="29" t="str">
        <f t="shared" si="16"/>
        <v>Ambiente Educacional</v>
      </c>
      <c r="O112" s="29" t="str">
        <f t="shared" si="16"/>
        <v>Amb Ensino Química</v>
      </c>
      <c r="P112" s="30" t="s">
        <v>366</v>
      </c>
      <c r="Q112" s="30" t="s">
        <v>747</v>
      </c>
      <c r="R112" s="30" t="s">
        <v>570</v>
      </c>
      <c r="S112" s="63" t="s">
        <v>10</v>
      </c>
      <c r="T112" s="30" t="str">
        <f t="shared" si="21"/>
        <v>De Espacialidade</v>
      </c>
      <c r="U112" s="30" t="str">
        <f t="shared" si="21"/>
        <v>Elementos Espaciais</v>
      </c>
      <c r="V112" s="30" t="str">
        <f t="shared" si="21"/>
        <v>Ambiente Educacional</v>
      </c>
      <c r="W112" s="30" t="s">
        <v>85</v>
      </c>
      <c r="X112" s="45" t="str">
        <f t="shared" si="19"/>
        <v>Key-AMB-112</v>
      </c>
      <c r="Y112" s="30" t="s">
        <v>451</v>
      </c>
      <c r="Z112" s="61" t="s">
        <v>10</v>
      </c>
      <c r="AA112" s="41" t="s">
        <v>186</v>
      </c>
      <c r="AB112" s="61" t="s">
        <v>10</v>
      </c>
      <c r="AC112" s="56" t="s">
        <v>936</v>
      </c>
      <c r="AD112" s="61" t="s">
        <v>10</v>
      </c>
    </row>
    <row r="113" spans="1:30" s="34" customFormat="1" ht="6.75" customHeight="1" x14ac:dyDescent="0.25">
      <c r="A113" s="49">
        <v>113</v>
      </c>
      <c r="B113" s="27" t="s">
        <v>417</v>
      </c>
      <c r="C113" s="27" t="s">
        <v>422</v>
      </c>
      <c r="D113" s="27" t="s">
        <v>231</v>
      </c>
      <c r="E113" s="27" t="s">
        <v>949</v>
      </c>
      <c r="F113" s="28" t="s">
        <v>915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20"/>
        <v>De.Espacialidade</v>
      </c>
      <c r="M113" s="29" t="str">
        <f t="shared" si="20"/>
        <v>Elementos.Espaciais</v>
      </c>
      <c r="N113" s="29" t="str">
        <f t="shared" si="16"/>
        <v>Ambiente Educacional</v>
      </c>
      <c r="O113" s="29" t="str">
        <f t="shared" si="16"/>
        <v>Amb Ensino Física</v>
      </c>
      <c r="P113" s="30" t="s">
        <v>367</v>
      </c>
      <c r="Q113" s="30" t="s">
        <v>748</v>
      </c>
      <c r="R113" s="30" t="s">
        <v>571</v>
      </c>
      <c r="S113" s="63" t="s">
        <v>10</v>
      </c>
      <c r="T113" s="30" t="str">
        <f t="shared" si="21"/>
        <v>De Espacialidade</v>
      </c>
      <c r="U113" s="30" t="str">
        <f t="shared" si="21"/>
        <v>Elementos Espaciais</v>
      </c>
      <c r="V113" s="30" t="str">
        <f t="shared" si="21"/>
        <v>Ambiente Educacional</v>
      </c>
      <c r="W113" s="30" t="s">
        <v>85</v>
      </c>
      <c r="X113" s="45" t="str">
        <f t="shared" si="19"/>
        <v>Key-AMB-113</v>
      </c>
      <c r="Y113" s="30" t="s">
        <v>451</v>
      </c>
      <c r="Z113" s="61" t="s">
        <v>10</v>
      </c>
      <c r="AA113" s="41" t="s">
        <v>186</v>
      </c>
      <c r="AB113" s="61" t="s">
        <v>10</v>
      </c>
      <c r="AC113" s="56" t="s">
        <v>936</v>
      </c>
      <c r="AD113" s="61" t="s">
        <v>10</v>
      </c>
    </row>
    <row r="114" spans="1:30" s="34" customFormat="1" ht="6.75" customHeight="1" x14ac:dyDescent="0.25">
      <c r="A114" s="49">
        <v>114</v>
      </c>
      <c r="B114" s="27" t="s">
        <v>417</v>
      </c>
      <c r="C114" s="27" t="s">
        <v>422</v>
      </c>
      <c r="D114" s="27" t="s">
        <v>231</v>
      </c>
      <c r="E114" s="27" t="s">
        <v>949</v>
      </c>
      <c r="F114" s="28" t="s">
        <v>916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20"/>
        <v>De.Espacialidade</v>
      </c>
      <c r="M114" s="29" t="str">
        <f t="shared" si="20"/>
        <v>Elementos.Espaciais</v>
      </c>
      <c r="N114" s="29" t="str">
        <f t="shared" si="16"/>
        <v>Ambiente Educacional</v>
      </c>
      <c r="O114" s="29" t="str">
        <f t="shared" si="16"/>
        <v>Amb Ensino Biologia</v>
      </c>
      <c r="P114" s="30" t="s">
        <v>368</v>
      </c>
      <c r="Q114" s="30" t="s">
        <v>749</v>
      </c>
      <c r="R114" s="30" t="s">
        <v>572</v>
      </c>
      <c r="S114" s="63" t="s">
        <v>10</v>
      </c>
      <c r="T114" s="30" t="str">
        <f t="shared" si="21"/>
        <v>De Espacialidade</v>
      </c>
      <c r="U114" s="30" t="str">
        <f t="shared" si="21"/>
        <v>Elementos Espaciais</v>
      </c>
      <c r="V114" s="30" t="str">
        <f t="shared" si="21"/>
        <v>Ambiente Educacional</v>
      </c>
      <c r="W114" s="30" t="s">
        <v>85</v>
      </c>
      <c r="X114" s="45" t="str">
        <f t="shared" si="19"/>
        <v>Key-AMB-114</v>
      </c>
      <c r="Y114" s="30" t="s">
        <v>451</v>
      </c>
      <c r="Z114" s="61" t="s">
        <v>10</v>
      </c>
      <c r="AA114" s="41" t="s">
        <v>186</v>
      </c>
      <c r="AB114" s="61" t="s">
        <v>10</v>
      </c>
      <c r="AC114" s="56" t="s">
        <v>936</v>
      </c>
      <c r="AD114" s="61" t="s">
        <v>10</v>
      </c>
    </row>
    <row r="115" spans="1:30" s="34" customFormat="1" ht="6.75" customHeight="1" x14ac:dyDescent="0.25">
      <c r="A115" s="49">
        <v>115</v>
      </c>
      <c r="B115" s="27" t="s">
        <v>417</v>
      </c>
      <c r="C115" s="27" t="s">
        <v>422</v>
      </c>
      <c r="D115" s="27" t="s">
        <v>231</v>
      </c>
      <c r="E115" s="27" t="s">
        <v>949</v>
      </c>
      <c r="F115" s="28" t="s">
        <v>917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20"/>
        <v>De.Espacialidade</v>
      </c>
      <c r="M115" s="29" t="str">
        <f t="shared" si="20"/>
        <v>Elementos.Espaciais</v>
      </c>
      <c r="N115" s="29" t="str">
        <f t="shared" si="16"/>
        <v>Ambiente Educacional</v>
      </c>
      <c r="O115" s="29" t="str">
        <f t="shared" si="16"/>
        <v>Amb Ensino Música</v>
      </c>
      <c r="P115" s="30" t="s">
        <v>369</v>
      </c>
      <c r="Q115" s="30" t="s">
        <v>750</v>
      </c>
      <c r="R115" s="30" t="s">
        <v>573</v>
      </c>
      <c r="S115" s="63" t="s">
        <v>10</v>
      </c>
      <c r="T115" s="30" t="str">
        <f t="shared" si="21"/>
        <v>De Espacialidade</v>
      </c>
      <c r="U115" s="30" t="str">
        <f t="shared" si="21"/>
        <v>Elementos Espaciais</v>
      </c>
      <c r="V115" s="30" t="str">
        <f t="shared" si="21"/>
        <v>Ambiente Educacional</v>
      </c>
      <c r="W115" s="30" t="s">
        <v>85</v>
      </c>
      <c r="X115" s="45" t="str">
        <f t="shared" si="19"/>
        <v>Key-AMB-115</v>
      </c>
      <c r="Y115" s="30" t="s">
        <v>451</v>
      </c>
      <c r="Z115" s="61" t="s">
        <v>10</v>
      </c>
      <c r="AA115" s="41" t="s">
        <v>186</v>
      </c>
      <c r="AB115" s="61" t="s">
        <v>10</v>
      </c>
      <c r="AC115" s="56" t="s">
        <v>936</v>
      </c>
      <c r="AD115" s="61" t="s">
        <v>10</v>
      </c>
    </row>
    <row r="116" spans="1:30" s="34" customFormat="1" ht="6.75" customHeight="1" x14ac:dyDescent="0.25">
      <c r="A116" s="49">
        <v>116</v>
      </c>
      <c r="B116" s="27" t="s">
        <v>417</v>
      </c>
      <c r="C116" s="27" t="s">
        <v>422</v>
      </c>
      <c r="D116" s="27" t="s">
        <v>231</v>
      </c>
      <c r="E116" s="27" t="s">
        <v>949</v>
      </c>
      <c r="F116" s="28" t="s">
        <v>918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si="20"/>
        <v>De.Espacialidade</v>
      </c>
      <c r="M116" s="29" t="str">
        <f t="shared" si="20"/>
        <v>Elementos.Espaciais</v>
      </c>
      <c r="N116" s="29" t="str">
        <f t="shared" si="16"/>
        <v>Ambiente Educacional</v>
      </c>
      <c r="O116" s="29" t="str">
        <f t="shared" si="16"/>
        <v>Amb Ensino FabLab</v>
      </c>
      <c r="P116" s="30" t="s">
        <v>312</v>
      </c>
      <c r="Q116" s="30" t="s">
        <v>751</v>
      </c>
      <c r="R116" s="30" t="s">
        <v>574</v>
      </c>
      <c r="S116" s="63" t="s">
        <v>10</v>
      </c>
      <c r="T116" s="30" t="str">
        <f t="shared" si="21"/>
        <v>De Espacialidade</v>
      </c>
      <c r="U116" s="30" t="str">
        <f t="shared" si="21"/>
        <v>Elementos Espaciais</v>
      </c>
      <c r="V116" s="30" t="str">
        <f t="shared" si="21"/>
        <v>Ambiente Educacional</v>
      </c>
      <c r="W116" s="30" t="s">
        <v>85</v>
      </c>
      <c r="X116" s="45" t="str">
        <f t="shared" si="19"/>
        <v>Key-AMB-116</v>
      </c>
      <c r="Y116" s="30" t="s">
        <v>451</v>
      </c>
      <c r="Z116" s="61" t="s">
        <v>10</v>
      </c>
      <c r="AA116" s="41" t="s">
        <v>186</v>
      </c>
      <c r="AB116" s="61" t="s">
        <v>10</v>
      </c>
      <c r="AC116" s="56" t="s">
        <v>936</v>
      </c>
      <c r="AD116" s="61" t="s">
        <v>10</v>
      </c>
    </row>
    <row r="117" spans="1:30" s="34" customFormat="1" ht="6.75" customHeight="1" x14ac:dyDescent="0.25">
      <c r="A117" s="49">
        <v>117</v>
      </c>
      <c r="B117" s="27" t="s">
        <v>417</v>
      </c>
      <c r="C117" s="27" t="s">
        <v>422</v>
      </c>
      <c r="D117" s="27" t="s">
        <v>231</v>
      </c>
      <c r="E117" s="27" t="s">
        <v>949</v>
      </c>
      <c r="F117" s="28" t="s">
        <v>919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20"/>
        <v>De.Espacialidade</v>
      </c>
      <c r="M117" s="29" t="str">
        <f t="shared" si="20"/>
        <v>Elementos.Espaciais</v>
      </c>
      <c r="N117" s="29" t="str">
        <f t="shared" si="16"/>
        <v>Ambiente Educacional</v>
      </c>
      <c r="O117" s="29" t="str">
        <f t="shared" si="16"/>
        <v>Amb Recreativo</v>
      </c>
      <c r="P117" s="30" t="s">
        <v>371</v>
      </c>
      <c r="Q117" s="30" t="s">
        <v>752</v>
      </c>
      <c r="R117" s="30" t="s">
        <v>575</v>
      </c>
      <c r="S117" s="63" t="s">
        <v>10</v>
      </c>
      <c r="T117" s="30" t="str">
        <f t="shared" si="21"/>
        <v>De Espacialidade</v>
      </c>
      <c r="U117" s="30" t="str">
        <f t="shared" si="21"/>
        <v>Elementos Espaciais</v>
      </c>
      <c r="V117" s="30" t="str">
        <f t="shared" si="21"/>
        <v>Ambiente Educacional</v>
      </c>
      <c r="W117" s="30" t="s">
        <v>85</v>
      </c>
      <c r="X117" s="45" t="str">
        <f t="shared" si="19"/>
        <v>Key-AMB-117</v>
      </c>
      <c r="Y117" s="30" t="s">
        <v>451</v>
      </c>
      <c r="Z117" s="61" t="s">
        <v>10</v>
      </c>
      <c r="AA117" s="41" t="s">
        <v>186</v>
      </c>
      <c r="AB117" s="61" t="s">
        <v>10</v>
      </c>
      <c r="AC117" s="56" t="s">
        <v>936</v>
      </c>
      <c r="AD117" s="61" t="s">
        <v>10</v>
      </c>
    </row>
    <row r="118" spans="1:30" s="34" customFormat="1" ht="6.75" customHeight="1" x14ac:dyDescent="0.25">
      <c r="A118" s="49">
        <v>118</v>
      </c>
      <c r="B118" s="27" t="s">
        <v>417</v>
      </c>
      <c r="C118" s="27" t="s">
        <v>422</v>
      </c>
      <c r="D118" s="27" t="s">
        <v>231</v>
      </c>
      <c r="E118" s="27" t="s">
        <v>950</v>
      </c>
      <c r="F118" s="28" t="s">
        <v>920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20"/>
        <v>De.Espacialidade</v>
      </c>
      <c r="M118" s="29" t="str">
        <f t="shared" si="20"/>
        <v>Elementos.Espaciais</v>
      </c>
      <c r="N118" s="29" t="str">
        <f t="shared" si="16"/>
        <v>Ambiente Cultural</v>
      </c>
      <c r="O118" s="29" t="str">
        <f t="shared" si="16"/>
        <v>Amb Camarim</v>
      </c>
      <c r="P118" s="30" t="s">
        <v>308</v>
      </c>
      <c r="Q118" s="30" t="s">
        <v>753</v>
      </c>
      <c r="R118" s="30" t="s">
        <v>576</v>
      </c>
      <c r="S118" s="63" t="s">
        <v>10</v>
      </c>
      <c r="T118" s="30" t="str">
        <f t="shared" si="21"/>
        <v>De Espacialidade</v>
      </c>
      <c r="U118" s="30" t="str">
        <f t="shared" si="21"/>
        <v>Elementos Espaciais</v>
      </c>
      <c r="V118" s="30" t="str">
        <f t="shared" si="21"/>
        <v>Ambiente Cultural</v>
      </c>
      <c r="W118" s="30" t="s">
        <v>85</v>
      </c>
      <c r="X118" s="45" t="str">
        <f t="shared" si="19"/>
        <v>Key-AMB-118</v>
      </c>
      <c r="Y118" s="30" t="s">
        <v>451</v>
      </c>
      <c r="Z118" s="61" t="s">
        <v>10</v>
      </c>
      <c r="AA118" s="41" t="s">
        <v>186</v>
      </c>
      <c r="AB118" s="61" t="s">
        <v>10</v>
      </c>
      <c r="AC118" s="56" t="s">
        <v>936</v>
      </c>
      <c r="AD118" s="61" t="s">
        <v>10</v>
      </c>
    </row>
    <row r="119" spans="1:30" s="34" customFormat="1" ht="6.75" customHeight="1" x14ac:dyDescent="0.25">
      <c r="A119" s="49">
        <v>119</v>
      </c>
      <c r="B119" s="27" t="s">
        <v>417</v>
      </c>
      <c r="C119" s="27" t="s">
        <v>422</v>
      </c>
      <c r="D119" s="27" t="s">
        <v>231</v>
      </c>
      <c r="E119" s="27" t="s">
        <v>950</v>
      </c>
      <c r="F119" s="28" t="s">
        <v>921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20"/>
        <v>De.Espacialidade</v>
      </c>
      <c r="M119" s="29" t="str">
        <f t="shared" si="20"/>
        <v>Elementos.Espaciais</v>
      </c>
      <c r="N119" s="29" t="str">
        <f t="shared" si="16"/>
        <v>Ambiente Cultural</v>
      </c>
      <c r="O119" s="29" t="str">
        <f t="shared" si="16"/>
        <v>Amb Proscênio</v>
      </c>
      <c r="P119" s="30" t="s">
        <v>240</v>
      </c>
      <c r="Q119" s="30" t="s">
        <v>754</v>
      </c>
      <c r="R119" s="30" t="s">
        <v>577</v>
      </c>
      <c r="S119" s="63" t="s">
        <v>10</v>
      </c>
      <c r="T119" s="30" t="str">
        <f t="shared" si="21"/>
        <v>De Espacialidade</v>
      </c>
      <c r="U119" s="30" t="str">
        <f t="shared" si="21"/>
        <v>Elementos Espaciais</v>
      </c>
      <c r="V119" s="30" t="str">
        <f t="shared" si="21"/>
        <v>Ambiente Cultural</v>
      </c>
      <c r="W119" s="30" t="s">
        <v>85</v>
      </c>
      <c r="X119" s="45" t="str">
        <f t="shared" si="19"/>
        <v>Key-AMB-119</v>
      </c>
      <c r="Y119" s="30" t="s">
        <v>451</v>
      </c>
      <c r="Z119" s="61" t="s">
        <v>10</v>
      </c>
      <c r="AA119" s="41" t="s">
        <v>186</v>
      </c>
      <c r="AB119" s="61" t="s">
        <v>10</v>
      </c>
      <c r="AC119" s="56" t="s">
        <v>936</v>
      </c>
      <c r="AD119" s="61" t="s">
        <v>10</v>
      </c>
    </row>
    <row r="120" spans="1:30" s="34" customFormat="1" ht="6.75" customHeight="1" x14ac:dyDescent="0.25">
      <c r="A120" s="49">
        <v>120</v>
      </c>
      <c r="B120" s="27" t="s">
        <v>417</v>
      </c>
      <c r="C120" s="27" t="s">
        <v>422</v>
      </c>
      <c r="D120" s="27" t="s">
        <v>231</v>
      </c>
      <c r="E120" s="27" t="s">
        <v>950</v>
      </c>
      <c r="F120" s="28" t="s">
        <v>922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20"/>
        <v>De.Espacialidade</v>
      </c>
      <c r="M120" s="29" t="str">
        <f t="shared" si="20"/>
        <v>Elementos.Espaciais</v>
      </c>
      <c r="N120" s="29" t="str">
        <f t="shared" si="16"/>
        <v>Ambiente Cultural</v>
      </c>
      <c r="O120" s="29" t="str">
        <f t="shared" si="16"/>
        <v>Amb Palco</v>
      </c>
      <c r="P120" s="30" t="s">
        <v>126</v>
      </c>
      <c r="Q120" s="30" t="s">
        <v>755</v>
      </c>
      <c r="R120" s="30" t="s">
        <v>578</v>
      </c>
      <c r="S120" s="63" t="s">
        <v>10</v>
      </c>
      <c r="T120" s="30" t="str">
        <f t="shared" si="21"/>
        <v>De Espacialidade</v>
      </c>
      <c r="U120" s="30" t="str">
        <f t="shared" si="21"/>
        <v>Elementos Espaciais</v>
      </c>
      <c r="V120" s="30" t="str">
        <f t="shared" si="21"/>
        <v>Ambiente Cultural</v>
      </c>
      <c r="W120" s="30" t="s">
        <v>85</v>
      </c>
      <c r="X120" s="45" t="str">
        <f t="shared" si="19"/>
        <v>Key-AMB-120</v>
      </c>
      <c r="Y120" s="30" t="s">
        <v>451</v>
      </c>
      <c r="Z120" s="61" t="s">
        <v>10</v>
      </c>
      <c r="AA120" s="41" t="s">
        <v>186</v>
      </c>
      <c r="AB120" s="61" t="s">
        <v>10</v>
      </c>
      <c r="AC120" s="56" t="s">
        <v>936</v>
      </c>
      <c r="AD120" s="61" t="s">
        <v>10</v>
      </c>
    </row>
    <row r="121" spans="1:30" s="34" customFormat="1" ht="6.75" customHeight="1" x14ac:dyDescent="0.25">
      <c r="A121" s="49">
        <v>121</v>
      </c>
      <c r="B121" s="27" t="s">
        <v>417</v>
      </c>
      <c r="C121" s="27" t="s">
        <v>422</v>
      </c>
      <c r="D121" s="27" t="s">
        <v>231</v>
      </c>
      <c r="E121" s="27" t="s">
        <v>950</v>
      </c>
      <c r="F121" s="28" t="s">
        <v>923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20"/>
        <v>De.Espacialidade</v>
      </c>
      <c r="M121" s="29" t="str">
        <f t="shared" si="20"/>
        <v>Elementos.Espaciais</v>
      </c>
      <c r="N121" s="29" t="str">
        <f t="shared" si="16"/>
        <v>Ambiente Cultural</v>
      </c>
      <c r="O121" s="29" t="str">
        <f t="shared" si="16"/>
        <v>Amb Fundo do Palco</v>
      </c>
      <c r="P121" s="30" t="s">
        <v>127</v>
      </c>
      <c r="Q121" s="30" t="s">
        <v>756</v>
      </c>
      <c r="R121" s="30" t="s">
        <v>579</v>
      </c>
      <c r="S121" s="63" t="s">
        <v>10</v>
      </c>
      <c r="T121" s="30" t="str">
        <f t="shared" si="21"/>
        <v>De Espacialidade</v>
      </c>
      <c r="U121" s="30" t="str">
        <f t="shared" si="21"/>
        <v>Elementos Espaciais</v>
      </c>
      <c r="V121" s="30" t="str">
        <f t="shared" si="21"/>
        <v>Ambiente Cultural</v>
      </c>
      <c r="W121" s="30" t="s">
        <v>85</v>
      </c>
      <c r="X121" s="45" t="str">
        <f t="shared" si="19"/>
        <v>Key-AMB-121</v>
      </c>
      <c r="Y121" s="30" t="s">
        <v>451</v>
      </c>
      <c r="Z121" s="61" t="s">
        <v>10</v>
      </c>
      <c r="AA121" s="41" t="s">
        <v>186</v>
      </c>
      <c r="AB121" s="61" t="s">
        <v>10</v>
      </c>
      <c r="AC121" s="56" t="s">
        <v>936</v>
      </c>
      <c r="AD121" s="61" t="s">
        <v>10</v>
      </c>
    </row>
    <row r="122" spans="1:30" s="34" customFormat="1" ht="6.75" customHeight="1" x14ac:dyDescent="0.25">
      <c r="A122" s="49">
        <v>122</v>
      </c>
      <c r="B122" s="27" t="s">
        <v>417</v>
      </c>
      <c r="C122" s="27" t="s">
        <v>422</v>
      </c>
      <c r="D122" s="27" t="s">
        <v>231</v>
      </c>
      <c r="E122" s="27" t="s">
        <v>950</v>
      </c>
      <c r="F122" s="28" t="s">
        <v>924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20"/>
        <v>De.Espacialidade</v>
      </c>
      <c r="M122" s="29" t="str">
        <f t="shared" si="20"/>
        <v>Elementos.Espaciais</v>
      </c>
      <c r="N122" s="29" t="str">
        <f t="shared" si="16"/>
        <v>Ambiente Cultural</v>
      </c>
      <c r="O122" s="29" t="str">
        <f t="shared" si="16"/>
        <v>Amb Coxia</v>
      </c>
      <c r="P122" s="30" t="s">
        <v>237</v>
      </c>
      <c r="Q122" s="30" t="s">
        <v>757</v>
      </c>
      <c r="R122" s="30" t="s">
        <v>580</v>
      </c>
      <c r="S122" s="63" t="s">
        <v>10</v>
      </c>
      <c r="T122" s="30" t="str">
        <f t="shared" si="21"/>
        <v>De Espacialidade</v>
      </c>
      <c r="U122" s="30" t="str">
        <f t="shared" si="21"/>
        <v>Elementos Espaciais</v>
      </c>
      <c r="V122" s="30" t="str">
        <f t="shared" si="21"/>
        <v>Ambiente Cultural</v>
      </c>
      <c r="W122" s="30" t="s">
        <v>85</v>
      </c>
      <c r="X122" s="45" t="str">
        <f t="shared" si="19"/>
        <v>Key-AMB-122</v>
      </c>
      <c r="Y122" s="30" t="s">
        <v>451</v>
      </c>
      <c r="Z122" s="61" t="s">
        <v>10</v>
      </c>
      <c r="AA122" s="41" t="s">
        <v>186</v>
      </c>
      <c r="AB122" s="61" t="s">
        <v>10</v>
      </c>
      <c r="AC122" s="56" t="s">
        <v>936</v>
      </c>
      <c r="AD122" s="61" t="s">
        <v>10</v>
      </c>
    </row>
    <row r="123" spans="1:30" s="34" customFormat="1" ht="6.75" customHeight="1" x14ac:dyDescent="0.25">
      <c r="A123" s="49">
        <v>123</v>
      </c>
      <c r="B123" s="27" t="s">
        <v>417</v>
      </c>
      <c r="C123" s="27" t="s">
        <v>422</v>
      </c>
      <c r="D123" s="27" t="s">
        <v>231</v>
      </c>
      <c r="E123" s="27" t="s">
        <v>950</v>
      </c>
      <c r="F123" s="28" t="s">
        <v>925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20"/>
        <v>De.Espacialidade</v>
      </c>
      <c r="M123" s="29" t="str">
        <f t="shared" si="20"/>
        <v>Elementos.Espaciais</v>
      </c>
      <c r="N123" s="29" t="str">
        <f t="shared" si="16"/>
        <v>Ambiente Cultural</v>
      </c>
      <c r="O123" s="29" t="str">
        <f t="shared" si="16"/>
        <v>Amb Foso</v>
      </c>
      <c r="P123" s="30" t="s">
        <v>128</v>
      </c>
      <c r="Q123" s="30" t="s">
        <v>758</v>
      </c>
      <c r="R123" s="30" t="s">
        <v>581</v>
      </c>
      <c r="S123" s="63" t="s">
        <v>10</v>
      </c>
      <c r="T123" s="30" t="str">
        <f t="shared" si="21"/>
        <v>De Espacialidade</v>
      </c>
      <c r="U123" s="30" t="str">
        <f t="shared" si="21"/>
        <v>Elementos Espaciais</v>
      </c>
      <c r="V123" s="30" t="str">
        <f t="shared" si="21"/>
        <v>Ambiente Cultural</v>
      </c>
      <c r="W123" s="30" t="s">
        <v>85</v>
      </c>
      <c r="X123" s="45" t="str">
        <f t="shared" si="19"/>
        <v>Key-AMB-123</v>
      </c>
      <c r="Y123" s="30" t="s">
        <v>451</v>
      </c>
      <c r="Z123" s="61" t="s">
        <v>10</v>
      </c>
      <c r="AA123" s="41" t="s">
        <v>186</v>
      </c>
      <c r="AB123" s="61" t="s">
        <v>10</v>
      </c>
      <c r="AC123" s="56" t="s">
        <v>936</v>
      </c>
      <c r="AD123" s="61" t="s">
        <v>10</v>
      </c>
    </row>
    <row r="124" spans="1:30" s="34" customFormat="1" ht="6.75" customHeight="1" x14ac:dyDescent="0.25">
      <c r="A124" s="49">
        <v>124</v>
      </c>
      <c r="B124" s="27" t="s">
        <v>417</v>
      </c>
      <c r="C124" s="27" t="s">
        <v>422</v>
      </c>
      <c r="D124" s="27" t="s">
        <v>231</v>
      </c>
      <c r="E124" s="27" t="s">
        <v>950</v>
      </c>
      <c r="F124" s="28" t="s">
        <v>926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20"/>
        <v>De.Espacialidade</v>
      </c>
      <c r="M124" s="29" t="str">
        <f t="shared" si="20"/>
        <v>Elementos.Espaciais</v>
      </c>
      <c r="N124" s="29" t="str">
        <f t="shared" si="16"/>
        <v>Ambiente Cultural</v>
      </c>
      <c r="O124" s="29" t="str">
        <f t="shared" si="16"/>
        <v>Amb Plateia</v>
      </c>
      <c r="P124" s="30" t="s">
        <v>129</v>
      </c>
      <c r="Q124" s="30" t="s">
        <v>759</v>
      </c>
      <c r="R124" s="30" t="s">
        <v>582</v>
      </c>
      <c r="S124" s="63" t="s">
        <v>10</v>
      </c>
      <c r="T124" s="30" t="str">
        <f t="shared" si="21"/>
        <v>De Espacialidade</v>
      </c>
      <c r="U124" s="30" t="str">
        <f t="shared" si="21"/>
        <v>Elementos Espaciais</v>
      </c>
      <c r="V124" s="30" t="str">
        <f t="shared" si="21"/>
        <v>Ambiente Cultural</v>
      </c>
      <c r="W124" s="30" t="s">
        <v>85</v>
      </c>
      <c r="X124" s="45" t="str">
        <f t="shared" si="19"/>
        <v>Key-AMB-124</v>
      </c>
      <c r="Y124" s="30" t="s">
        <v>451</v>
      </c>
      <c r="Z124" s="61" t="s">
        <v>10</v>
      </c>
      <c r="AA124" s="41" t="s">
        <v>186</v>
      </c>
      <c r="AB124" s="61" t="s">
        <v>10</v>
      </c>
      <c r="AC124" s="56" t="s">
        <v>936</v>
      </c>
      <c r="AD124" s="61" t="s">
        <v>10</v>
      </c>
    </row>
    <row r="125" spans="1:30" s="34" customFormat="1" ht="6.75" customHeight="1" x14ac:dyDescent="0.25">
      <c r="A125" s="49">
        <v>125</v>
      </c>
      <c r="B125" s="27" t="s">
        <v>417</v>
      </c>
      <c r="C125" s="27" t="s">
        <v>422</v>
      </c>
      <c r="D125" s="27" t="s">
        <v>231</v>
      </c>
      <c r="E125" s="27" t="s">
        <v>950</v>
      </c>
      <c r="F125" s="28" t="s">
        <v>927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20"/>
        <v>De.Espacialidade</v>
      </c>
      <c r="M125" s="29" t="str">
        <f t="shared" si="20"/>
        <v>Elementos.Espaciais</v>
      </c>
      <c r="N125" s="29" t="str">
        <f t="shared" si="16"/>
        <v>Ambiente Cultural</v>
      </c>
      <c r="O125" s="29" t="str">
        <f t="shared" si="16"/>
        <v>Amb Balção</v>
      </c>
      <c r="P125" s="30" t="s">
        <v>130</v>
      </c>
      <c r="Q125" s="30" t="s">
        <v>760</v>
      </c>
      <c r="R125" s="30" t="s">
        <v>583</v>
      </c>
      <c r="S125" s="63" t="s">
        <v>10</v>
      </c>
      <c r="T125" s="30" t="str">
        <f t="shared" si="21"/>
        <v>De Espacialidade</v>
      </c>
      <c r="U125" s="30" t="str">
        <f t="shared" si="21"/>
        <v>Elementos Espaciais</v>
      </c>
      <c r="V125" s="30" t="str">
        <f t="shared" si="21"/>
        <v>Ambiente Cultural</v>
      </c>
      <c r="W125" s="30" t="s">
        <v>85</v>
      </c>
      <c r="X125" s="45" t="str">
        <f t="shared" si="19"/>
        <v>Key-AMB-125</v>
      </c>
      <c r="Y125" s="30" t="s">
        <v>451</v>
      </c>
      <c r="Z125" s="61" t="s">
        <v>10</v>
      </c>
      <c r="AA125" s="41" t="s">
        <v>186</v>
      </c>
      <c r="AB125" s="61" t="s">
        <v>10</v>
      </c>
      <c r="AC125" s="56" t="s">
        <v>936</v>
      </c>
      <c r="AD125" s="61" t="s">
        <v>10</v>
      </c>
    </row>
    <row r="126" spans="1:30" s="34" customFormat="1" ht="6.75" customHeight="1" x14ac:dyDescent="0.25">
      <c r="A126" s="49">
        <v>126</v>
      </c>
      <c r="B126" s="27" t="s">
        <v>417</v>
      </c>
      <c r="C126" s="27" t="s">
        <v>422</v>
      </c>
      <c r="D126" s="27" t="s">
        <v>231</v>
      </c>
      <c r="E126" s="27" t="s">
        <v>950</v>
      </c>
      <c r="F126" s="28" t="s">
        <v>928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20"/>
        <v>De.Espacialidade</v>
      </c>
      <c r="M126" s="29" t="str">
        <f t="shared" si="20"/>
        <v>Elementos.Espaciais</v>
      </c>
      <c r="N126" s="29" t="str">
        <f t="shared" si="16"/>
        <v>Ambiente Cultural</v>
      </c>
      <c r="O126" s="29" t="str">
        <f t="shared" si="16"/>
        <v>Amb Camarote</v>
      </c>
      <c r="P126" s="30" t="s">
        <v>131</v>
      </c>
      <c r="Q126" s="30" t="s">
        <v>761</v>
      </c>
      <c r="R126" s="30" t="s">
        <v>584</v>
      </c>
      <c r="S126" s="63" t="s">
        <v>10</v>
      </c>
      <c r="T126" s="30" t="str">
        <f t="shared" si="21"/>
        <v>De Espacialidade</v>
      </c>
      <c r="U126" s="30" t="str">
        <f t="shared" si="21"/>
        <v>Elementos Espaciais</v>
      </c>
      <c r="V126" s="30" t="str">
        <f t="shared" si="21"/>
        <v>Ambiente Cultural</v>
      </c>
      <c r="W126" s="30" t="s">
        <v>85</v>
      </c>
      <c r="X126" s="45" t="str">
        <f t="shared" si="19"/>
        <v>Key-AMB-126</v>
      </c>
      <c r="Y126" s="30" t="s">
        <v>451</v>
      </c>
      <c r="Z126" s="61" t="s">
        <v>10</v>
      </c>
      <c r="AA126" s="41" t="s">
        <v>186</v>
      </c>
      <c r="AB126" s="61" t="s">
        <v>10</v>
      </c>
      <c r="AC126" s="56" t="s">
        <v>936</v>
      </c>
      <c r="AD126" s="61" t="s">
        <v>10</v>
      </c>
    </row>
    <row r="127" spans="1:30" s="34" customFormat="1" ht="6.75" customHeight="1" x14ac:dyDescent="0.25">
      <c r="A127" s="49">
        <v>127</v>
      </c>
      <c r="B127" s="27" t="s">
        <v>417</v>
      </c>
      <c r="C127" s="27" t="s">
        <v>422</v>
      </c>
      <c r="D127" s="27" t="s">
        <v>231</v>
      </c>
      <c r="E127" s="27" t="s">
        <v>950</v>
      </c>
      <c r="F127" s="28" t="s">
        <v>929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20"/>
        <v>De.Espacialidade</v>
      </c>
      <c r="M127" s="29" t="str">
        <f t="shared" si="20"/>
        <v>Elementos.Espaciais</v>
      </c>
      <c r="N127" s="29" t="str">
        <f t="shared" si="16"/>
        <v>Ambiente Cultural</v>
      </c>
      <c r="O127" s="29" t="str">
        <f t="shared" si="16"/>
        <v>Amb Galeria</v>
      </c>
      <c r="P127" s="30" t="s">
        <v>236</v>
      </c>
      <c r="Q127" s="30" t="s">
        <v>762</v>
      </c>
      <c r="R127" s="30" t="s">
        <v>585</v>
      </c>
      <c r="S127" s="63" t="s">
        <v>10</v>
      </c>
      <c r="T127" s="30" t="str">
        <f t="shared" si="21"/>
        <v>De Espacialidade</v>
      </c>
      <c r="U127" s="30" t="str">
        <f t="shared" si="21"/>
        <v>Elementos Espaciais</v>
      </c>
      <c r="V127" s="30" t="str">
        <f t="shared" si="21"/>
        <v>Ambiente Cultural</v>
      </c>
      <c r="W127" s="30" t="s">
        <v>85</v>
      </c>
      <c r="X127" s="45" t="str">
        <f t="shared" si="19"/>
        <v>Key-AMB-127</v>
      </c>
      <c r="Y127" s="30" t="s">
        <v>451</v>
      </c>
      <c r="Z127" s="61" t="s">
        <v>10</v>
      </c>
      <c r="AA127" s="41" t="s">
        <v>186</v>
      </c>
      <c r="AB127" s="61" t="s">
        <v>10</v>
      </c>
      <c r="AC127" s="56" t="s">
        <v>936</v>
      </c>
      <c r="AD127" s="61" t="s">
        <v>10</v>
      </c>
    </row>
    <row r="128" spans="1:30" s="34" customFormat="1" ht="6.75" customHeight="1" x14ac:dyDescent="0.25">
      <c r="A128" s="49">
        <v>128</v>
      </c>
      <c r="B128" s="27" t="s">
        <v>417</v>
      </c>
      <c r="C128" s="27" t="s">
        <v>422</v>
      </c>
      <c r="D128" s="27" t="s">
        <v>231</v>
      </c>
      <c r="E128" s="27" t="s">
        <v>951</v>
      </c>
      <c r="F128" s="28" t="s">
        <v>930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20"/>
        <v>De.Espacialidade</v>
      </c>
      <c r="M128" s="29" t="str">
        <f t="shared" si="20"/>
        <v>Elementos.Espaciais</v>
      </c>
      <c r="N128" s="29" t="str">
        <f t="shared" si="16"/>
        <v>Ambiente Industrial</v>
      </c>
      <c r="O128" s="29" t="str">
        <f t="shared" si="16"/>
        <v>Amb Nave Industrial</v>
      </c>
      <c r="P128" s="41" t="s">
        <v>316</v>
      </c>
      <c r="Q128" s="30" t="s">
        <v>763</v>
      </c>
      <c r="R128" s="30" t="s">
        <v>586</v>
      </c>
      <c r="S128" s="63" t="s">
        <v>10</v>
      </c>
      <c r="T128" s="30" t="str">
        <f t="shared" si="21"/>
        <v>De Espacialidade</v>
      </c>
      <c r="U128" s="30" t="str">
        <f t="shared" si="21"/>
        <v>Elementos Espaciais</v>
      </c>
      <c r="V128" s="30" t="str">
        <f t="shared" si="21"/>
        <v>Ambiente Industrial</v>
      </c>
      <c r="W128" s="30" t="s">
        <v>85</v>
      </c>
      <c r="X128" s="45" t="str">
        <f t="shared" si="19"/>
        <v>Key-AMB-128</v>
      </c>
      <c r="Y128" s="30" t="s">
        <v>451</v>
      </c>
      <c r="Z128" s="61" t="s">
        <v>10</v>
      </c>
      <c r="AA128" s="41" t="s">
        <v>186</v>
      </c>
      <c r="AB128" s="61" t="s">
        <v>10</v>
      </c>
      <c r="AC128" s="56" t="s">
        <v>936</v>
      </c>
      <c r="AD128" s="61" t="s">
        <v>10</v>
      </c>
    </row>
    <row r="129" spans="1:30" s="34" customFormat="1" ht="6.75" customHeight="1" x14ac:dyDescent="0.25">
      <c r="A129" s="49">
        <v>129</v>
      </c>
      <c r="B129" s="27" t="s">
        <v>417</v>
      </c>
      <c r="C129" s="27" t="s">
        <v>422</v>
      </c>
      <c r="D129" s="27" t="s">
        <v>231</v>
      </c>
      <c r="E129" s="27" t="s">
        <v>951</v>
      </c>
      <c r="F129" s="28" t="s">
        <v>931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20"/>
        <v>De.Espacialidade</v>
      </c>
      <c r="M129" s="29" t="str">
        <f t="shared" si="20"/>
        <v>Elementos.Espaciais</v>
      </c>
      <c r="N129" s="29" t="str">
        <f t="shared" si="16"/>
        <v>Ambiente Industrial</v>
      </c>
      <c r="O129" s="29" t="str">
        <f t="shared" si="16"/>
        <v>Amb Galpão Industrial</v>
      </c>
      <c r="P129" s="41" t="s">
        <v>311</v>
      </c>
      <c r="Q129" s="30" t="s">
        <v>764</v>
      </c>
      <c r="R129" s="30" t="s">
        <v>587</v>
      </c>
      <c r="S129" s="63" t="s">
        <v>10</v>
      </c>
      <c r="T129" s="30" t="str">
        <f t="shared" si="21"/>
        <v>De Espacialidade</v>
      </c>
      <c r="U129" s="30" t="str">
        <f t="shared" si="21"/>
        <v>Elementos Espaciais</v>
      </c>
      <c r="V129" s="30" t="str">
        <f t="shared" si="21"/>
        <v>Ambiente Industrial</v>
      </c>
      <c r="W129" s="30" t="s">
        <v>85</v>
      </c>
      <c r="X129" s="45" t="str">
        <f t="shared" si="19"/>
        <v>Key-AMB-129</v>
      </c>
      <c r="Y129" s="30" t="s">
        <v>451</v>
      </c>
      <c r="Z129" s="61" t="s">
        <v>10</v>
      </c>
      <c r="AA129" s="41" t="s">
        <v>186</v>
      </c>
      <c r="AB129" s="61" t="s">
        <v>10</v>
      </c>
      <c r="AC129" s="56" t="s">
        <v>936</v>
      </c>
      <c r="AD129" s="61" t="s">
        <v>10</v>
      </c>
    </row>
    <row r="130" spans="1:30" s="34" customFormat="1" ht="6.75" customHeight="1" x14ac:dyDescent="0.25">
      <c r="A130" s="49">
        <v>130</v>
      </c>
      <c r="B130" s="27" t="s">
        <v>417</v>
      </c>
      <c r="C130" s="27" t="s">
        <v>422</v>
      </c>
      <c r="D130" s="27" t="s">
        <v>231</v>
      </c>
      <c r="E130" s="27" t="s">
        <v>951</v>
      </c>
      <c r="F130" s="28" t="s">
        <v>932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20"/>
        <v>De.Espacialidade</v>
      </c>
      <c r="M130" s="29" t="str">
        <f t="shared" si="20"/>
        <v>Elementos.Espaciais</v>
      </c>
      <c r="N130" s="29" t="str">
        <f t="shared" si="16"/>
        <v>Ambiente Industrial</v>
      </c>
      <c r="O130" s="29" t="str">
        <f t="shared" si="16"/>
        <v>Amb Siderúrgico</v>
      </c>
      <c r="P130" s="41" t="s">
        <v>309</v>
      </c>
      <c r="Q130" s="30" t="s">
        <v>765</v>
      </c>
      <c r="R130" s="30" t="s">
        <v>588</v>
      </c>
      <c r="S130" s="63" t="s">
        <v>10</v>
      </c>
      <c r="T130" s="30" t="str">
        <f t="shared" si="21"/>
        <v>De Espacialidade</v>
      </c>
      <c r="U130" s="30" t="str">
        <f t="shared" si="21"/>
        <v>Elementos Espaciais</v>
      </c>
      <c r="V130" s="30" t="str">
        <f t="shared" si="21"/>
        <v>Ambiente Industrial</v>
      </c>
      <c r="W130" s="30" t="s">
        <v>85</v>
      </c>
      <c r="X130" s="45" t="str">
        <f t="shared" si="19"/>
        <v>Key-AMB-130</v>
      </c>
      <c r="Y130" s="30" t="s">
        <v>451</v>
      </c>
      <c r="Z130" s="61" t="s">
        <v>10</v>
      </c>
      <c r="AA130" s="41" t="s">
        <v>186</v>
      </c>
      <c r="AB130" s="61" t="s">
        <v>10</v>
      </c>
      <c r="AC130" s="56" t="s">
        <v>936</v>
      </c>
      <c r="AD130" s="61" t="s">
        <v>10</v>
      </c>
    </row>
    <row r="131" spans="1:30" s="34" customFormat="1" ht="6.75" customHeight="1" x14ac:dyDescent="0.25">
      <c r="A131" s="49">
        <v>131</v>
      </c>
      <c r="B131" s="27" t="s">
        <v>417</v>
      </c>
      <c r="C131" s="27" t="s">
        <v>422</v>
      </c>
      <c r="D131" s="27" t="s">
        <v>231</v>
      </c>
      <c r="E131" s="27" t="s">
        <v>951</v>
      </c>
      <c r="F131" s="28" t="s">
        <v>933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20"/>
        <v>De.Espacialidade</v>
      </c>
      <c r="M131" s="29" t="str">
        <f t="shared" si="20"/>
        <v>Elementos.Espaciais</v>
      </c>
      <c r="N131" s="29" t="str">
        <f t="shared" si="16"/>
        <v>Ambiente Industrial</v>
      </c>
      <c r="O131" s="29" t="str">
        <f t="shared" si="16"/>
        <v>Amb Manufatura</v>
      </c>
      <c r="P131" s="41" t="s">
        <v>310</v>
      </c>
      <c r="Q131" s="30" t="s">
        <v>766</v>
      </c>
      <c r="R131" s="30" t="s">
        <v>589</v>
      </c>
      <c r="S131" s="63" t="s">
        <v>10</v>
      </c>
      <c r="T131" s="30" t="str">
        <f t="shared" si="21"/>
        <v>De Espacialidade</v>
      </c>
      <c r="U131" s="30" t="str">
        <f t="shared" si="21"/>
        <v>Elementos Espaciais</v>
      </c>
      <c r="V131" s="30" t="str">
        <f t="shared" si="21"/>
        <v>Ambiente Industrial</v>
      </c>
      <c r="W131" s="30" t="s">
        <v>85</v>
      </c>
      <c r="X131" s="45" t="str">
        <f t="shared" si="19"/>
        <v>Key-AMB-131</v>
      </c>
      <c r="Y131" s="30" t="s">
        <v>451</v>
      </c>
      <c r="Z131" s="61" t="s">
        <v>10</v>
      </c>
      <c r="AA131" s="41" t="s">
        <v>186</v>
      </c>
      <c r="AB131" s="61" t="s">
        <v>10</v>
      </c>
      <c r="AC131" s="56" t="s">
        <v>936</v>
      </c>
      <c r="AD131" s="61" t="s">
        <v>10</v>
      </c>
    </row>
    <row r="132" spans="1:30" s="34" customFormat="1" ht="6.75" customHeight="1" x14ac:dyDescent="0.25">
      <c r="A132" s="49">
        <v>132</v>
      </c>
      <c r="B132" s="27" t="s">
        <v>417</v>
      </c>
      <c r="C132" s="27" t="s">
        <v>422</v>
      </c>
      <c r="D132" s="27" t="s">
        <v>231</v>
      </c>
      <c r="E132" s="27" t="s">
        <v>951</v>
      </c>
      <c r="F132" s="28" t="s">
        <v>934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si="20"/>
        <v>De.Espacialidade</v>
      </c>
      <c r="M132" s="29" t="str">
        <f t="shared" si="20"/>
        <v>Elementos.Espaciais</v>
      </c>
      <c r="N132" s="29" t="str">
        <f t="shared" si="16"/>
        <v>Ambiente Industrial</v>
      </c>
      <c r="O132" s="29" t="str">
        <f t="shared" si="16"/>
        <v>Amb Oficina</v>
      </c>
      <c r="P132" s="41" t="s">
        <v>314</v>
      </c>
      <c r="Q132" s="30" t="s">
        <v>767</v>
      </c>
      <c r="R132" s="30" t="s">
        <v>590</v>
      </c>
      <c r="S132" s="63" t="s">
        <v>10</v>
      </c>
      <c r="T132" s="30" t="str">
        <f t="shared" si="21"/>
        <v>De Espacialidade</v>
      </c>
      <c r="U132" s="30" t="str">
        <f t="shared" si="21"/>
        <v>Elementos Espaciais</v>
      </c>
      <c r="V132" s="30" t="str">
        <f t="shared" si="21"/>
        <v>Ambiente Industrial</v>
      </c>
      <c r="W132" s="30" t="s">
        <v>85</v>
      </c>
      <c r="X132" s="45" t="str">
        <f t="shared" si="19"/>
        <v>Key-AMB-132</v>
      </c>
      <c r="Y132" s="30" t="s">
        <v>451</v>
      </c>
      <c r="Z132" s="61" t="s">
        <v>10</v>
      </c>
      <c r="AA132" s="41" t="s">
        <v>186</v>
      </c>
      <c r="AB132" s="61" t="s">
        <v>10</v>
      </c>
      <c r="AC132" s="56" t="s">
        <v>936</v>
      </c>
      <c r="AD132" s="61" t="s">
        <v>10</v>
      </c>
    </row>
    <row r="133" spans="1:30" s="34" customFormat="1" ht="6.75" customHeight="1" x14ac:dyDescent="0.25">
      <c r="A133" s="49">
        <v>133</v>
      </c>
      <c r="B133" s="27" t="s">
        <v>417</v>
      </c>
      <c r="C133" s="27" t="s">
        <v>422</v>
      </c>
      <c r="D133" s="27" t="s">
        <v>231</v>
      </c>
      <c r="E133" s="27" t="s">
        <v>951</v>
      </c>
      <c r="F133" s="28" t="s">
        <v>935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20"/>
        <v>De.Espacialidade</v>
      </c>
      <c r="M133" s="29" t="str">
        <f t="shared" si="20"/>
        <v>Elementos.Espaciais</v>
      </c>
      <c r="N133" s="29" t="str">
        <f t="shared" si="16"/>
        <v>Ambiente Industrial</v>
      </c>
      <c r="O133" s="29" t="str">
        <f t="shared" si="16"/>
        <v>Amb Oficina de Pintura</v>
      </c>
      <c r="P133" s="41" t="s">
        <v>315</v>
      </c>
      <c r="Q133" s="30" t="s">
        <v>768</v>
      </c>
      <c r="R133" s="30" t="s">
        <v>591</v>
      </c>
      <c r="S133" s="63" t="s">
        <v>10</v>
      </c>
      <c r="T133" s="30" t="str">
        <f t="shared" si="21"/>
        <v>De Espacialidade</v>
      </c>
      <c r="U133" s="30" t="str">
        <f t="shared" si="21"/>
        <v>Elementos Espaciais</v>
      </c>
      <c r="V133" s="30" t="str">
        <f t="shared" si="21"/>
        <v>Ambiente Industrial</v>
      </c>
      <c r="W133" s="30" t="s">
        <v>85</v>
      </c>
      <c r="X133" s="45" t="str">
        <f t="shared" si="19"/>
        <v>Key-AMB-133</v>
      </c>
      <c r="Y133" s="30" t="s">
        <v>451</v>
      </c>
      <c r="Z133" s="61" t="s">
        <v>10</v>
      </c>
      <c r="AA133" s="41" t="s">
        <v>186</v>
      </c>
      <c r="AB133" s="61" t="s">
        <v>10</v>
      </c>
      <c r="AC133" s="56" t="s">
        <v>936</v>
      </c>
      <c r="AD133" s="61" t="s">
        <v>10</v>
      </c>
    </row>
    <row r="134" spans="1:30" s="34" customFormat="1" ht="6.75" customHeight="1" x14ac:dyDescent="0.25">
      <c r="A134" s="49">
        <v>134</v>
      </c>
      <c r="B134" s="27" t="s">
        <v>417</v>
      </c>
      <c r="C134" s="27" t="s">
        <v>422</v>
      </c>
      <c r="D134" s="27" t="s">
        <v>297</v>
      </c>
      <c r="E134" s="27" t="s">
        <v>952</v>
      </c>
      <c r="F134" s="28" t="s">
        <v>374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ref="L132:M147" si="22">CONCATENATE("", C134)</f>
        <v>De.Espacialidade</v>
      </c>
      <c r="M134" s="29" t="str">
        <f t="shared" si="22"/>
        <v>Elementos.Englobantes</v>
      </c>
      <c r="N134" s="29" t="str">
        <f t="shared" si="15"/>
        <v>Unidade Autônoma</v>
      </c>
      <c r="O134" s="29" t="str">
        <f t="shared" si="15"/>
        <v>HIS</v>
      </c>
      <c r="P134" s="30" t="s">
        <v>375</v>
      </c>
      <c r="Q134" s="30" t="s">
        <v>769</v>
      </c>
      <c r="R134" s="30" t="s">
        <v>592</v>
      </c>
      <c r="S134" s="63" t="s">
        <v>10</v>
      </c>
      <c r="T134" s="30" t="str">
        <f t="shared" ref="T75:V138" si="23">SUBSTITUTE(C134, ".", " ")</f>
        <v>De Espacialidade</v>
      </c>
      <c r="U134" s="30" t="str">
        <f t="shared" si="23"/>
        <v>Elementos Englobantes</v>
      </c>
      <c r="V134" s="30" t="str">
        <f t="shared" si="23"/>
        <v>Unidade Autônoma</v>
      </c>
      <c r="W134" s="30" t="s">
        <v>85</v>
      </c>
      <c r="X134" s="45" t="str">
        <f t="shared" ref="X126:X186" si="24">CONCATENATE("Key-AMB-",A134)</f>
        <v>Key-AMB-134</v>
      </c>
      <c r="Y134" s="30" t="s">
        <v>452</v>
      </c>
      <c r="Z134" s="61" t="s">
        <v>10</v>
      </c>
      <c r="AA134" s="41" t="s">
        <v>187</v>
      </c>
      <c r="AB134" s="61" t="s">
        <v>10</v>
      </c>
      <c r="AC134" s="56" t="s">
        <v>448</v>
      </c>
      <c r="AD134" s="61" t="s">
        <v>10</v>
      </c>
    </row>
    <row r="135" spans="1:30" s="34" customFormat="1" ht="6.75" customHeight="1" x14ac:dyDescent="0.25">
      <c r="A135" s="49">
        <v>135</v>
      </c>
      <c r="B135" s="27" t="s">
        <v>417</v>
      </c>
      <c r="C135" s="27" t="s">
        <v>422</v>
      </c>
      <c r="D135" s="27" t="s">
        <v>297</v>
      </c>
      <c r="E135" s="27" t="s">
        <v>952</v>
      </c>
      <c r="F135" s="28" t="s">
        <v>132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22"/>
        <v>De.Espacialidade</v>
      </c>
      <c r="M135" s="29" t="str">
        <f t="shared" si="22"/>
        <v>Elementos.Englobantes</v>
      </c>
      <c r="N135" s="29" t="str">
        <f t="shared" si="15"/>
        <v>Unidade Autônoma</v>
      </c>
      <c r="O135" s="29" t="str">
        <f t="shared" si="15"/>
        <v>Apartamento</v>
      </c>
      <c r="P135" s="30" t="s">
        <v>241</v>
      </c>
      <c r="Q135" s="30" t="s">
        <v>770</v>
      </c>
      <c r="R135" s="30" t="s">
        <v>593</v>
      </c>
      <c r="S135" s="63" t="s">
        <v>10</v>
      </c>
      <c r="T135" s="30" t="str">
        <f t="shared" si="23"/>
        <v>De Espacialidade</v>
      </c>
      <c r="U135" s="30" t="str">
        <f t="shared" si="23"/>
        <v>Elementos Englobantes</v>
      </c>
      <c r="V135" s="30" t="str">
        <f t="shared" si="23"/>
        <v>Unidade Autônoma</v>
      </c>
      <c r="W135" s="30" t="s">
        <v>85</v>
      </c>
      <c r="X135" s="45" t="str">
        <f t="shared" si="24"/>
        <v>Key-AMB-135</v>
      </c>
      <c r="Y135" s="30" t="s">
        <v>452</v>
      </c>
      <c r="Z135" s="61" t="s">
        <v>10</v>
      </c>
      <c r="AA135" s="41" t="s">
        <v>187</v>
      </c>
      <c r="AB135" s="61" t="s">
        <v>10</v>
      </c>
      <c r="AC135" s="56" t="s">
        <v>448</v>
      </c>
      <c r="AD135" s="61" t="s">
        <v>10</v>
      </c>
    </row>
    <row r="136" spans="1:30" s="34" customFormat="1" ht="6.75" customHeight="1" x14ac:dyDescent="0.25">
      <c r="A136" s="49">
        <v>136</v>
      </c>
      <c r="B136" s="27" t="s">
        <v>417</v>
      </c>
      <c r="C136" s="27" t="s">
        <v>422</v>
      </c>
      <c r="D136" s="27" t="s">
        <v>297</v>
      </c>
      <c r="E136" s="27" t="s">
        <v>952</v>
      </c>
      <c r="F136" s="28" t="s">
        <v>255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22"/>
        <v>De.Espacialidade</v>
      </c>
      <c r="M136" s="29" t="str">
        <f t="shared" si="22"/>
        <v>Elementos.Englobantes</v>
      </c>
      <c r="N136" s="29" t="str">
        <f t="shared" si="15"/>
        <v>Unidade Autônoma</v>
      </c>
      <c r="O136" s="29" t="str">
        <f t="shared" si="15"/>
        <v>Departamento</v>
      </c>
      <c r="P136" s="30" t="s">
        <v>259</v>
      </c>
      <c r="Q136" s="30" t="s">
        <v>771</v>
      </c>
      <c r="R136" s="30" t="s">
        <v>594</v>
      </c>
      <c r="S136" s="63" t="s">
        <v>10</v>
      </c>
      <c r="T136" s="30" t="str">
        <f t="shared" si="23"/>
        <v>De Espacialidade</v>
      </c>
      <c r="U136" s="30" t="str">
        <f t="shared" si="23"/>
        <v>Elementos Englobantes</v>
      </c>
      <c r="V136" s="30" t="str">
        <f t="shared" si="23"/>
        <v>Unidade Autônoma</v>
      </c>
      <c r="W136" s="30" t="s">
        <v>85</v>
      </c>
      <c r="X136" s="45" t="str">
        <f t="shared" si="24"/>
        <v>Key-AMB-136</v>
      </c>
      <c r="Y136" s="30" t="s">
        <v>452</v>
      </c>
      <c r="Z136" s="61" t="s">
        <v>10</v>
      </c>
      <c r="AA136" s="41" t="s">
        <v>187</v>
      </c>
      <c r="AB136" s="61" t="s">
        <v>10</v>
      </c>
      <c r="AC136" s="56" t="s">
        <v>448</v>
      </c>
      <c r="AD136" s="61" t="s">
        <v>10</v>
      </c>
    </row>
    <row r="137" spans="1:30" s="34" customFormat="1" ht="6.75" customHeight="1" x14ac:dyDescent="0.25">
      <c r="A137" s="49">
        <v>137</v>
      </c>
      <c r="B137" s="27" t="s">
        <v>417</v>
      </c>
      <c r="C137" s="27" t="s">
        <v>422</v>
      </c>
      <c r="D137" s="27" t="s">
        <v>297</v>
      </c>
      <c r="E137" s="27" t="s">
        <v>952</v>
      </c>
      <c r="F137" s="28" t="s">
        <v>256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22"/>
        <v>De.Espacialidade</v>
      </c>
      <c r="M137" s="29" t="str">
        <f t="shared" si="22"/>
        <v>Elementos.Englobantes</v>
      </c>
      <c r="N137" s="29" t="str">
        <f t="shared" si="15"/>
        <v>Unidade Autônoma</v>
      </c>
      <c r="O137" s="29" t="str">
        <f t="shared" si="15"/>
        <v>Divisão</v>
      </c>
      <c r="P137" s="30" t="s">
        <v>258</v>
      </c>
      <c r="Q137" s="30" t="s">
        <v>772</v>
      </c>
      <c r="R137" s="30" t="s">
        <v>595</v>
      </c>
      <c r="S137" s="63" t="s">
        <v>10</v>
      </c>
      <c r="T137" s="30" t="str">
        <f t="shared" si="23"/>
        <v>De Espacialidade</v>
      </c>
      <c r="U137" s="30" t="str">
        <f t="shared" si="23"/>
        <v>Elementos Englobantes</v>
      </c>
      <c r="V137" s="30" t="str">
        <f t="shared" si="23"/>
        <v>Unidade Autônoma</v>
      </c>
      <c r="W137" s="30" t="s">
        <v>85</v>
      </c>
      <c r="X137" s="45" t="str">
        <f t="shared" si="24"/>
        <v>Key-AMB-137</v>
      </c>
      <c r="Y137" s="30" t="s">
        <v>452</v>
      </c>
      <c r="Z137" s="61" t="s">
        <v>10</v>
      </c>
      <c r="AA137" s="41" t="s">
        <v>187</v>
      </c>
      <c r="AB137" s="61" t="s">
        <v>10</v>
      </c>
      <c r="AC137" s="56" t="s">
        <v>448</v>
      </c>
      <c r="AD137" s="61" t="s">
        <v>10</v>
      </c>
    </row>
    <row r="138" spans="1:30" s="34" customFormat="1" ht="6.75" customHeight="1" x14ac:dyDescent="0.25">
      <c r="A138" s="49">
        <v>138</v>
      </c>
      <c r="B138" s="27" t="s">
        <v>417</v>
      </c>
      <c r="C138" s="27" t="s">
        <v>422</v>
      </c>
      <c r="D138" s="27" t="s">
        <v>297</v>
      </c>
      <c r="E138" s="27" t="s">
        <v>952</v>
      </c>
      <c r="F138" s="28" t="s">
        <v>254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22"/>
        <v>De.Espacialidade</v>
      </c>
      <c r="M138" s="29" t="str">
        <f t="shared" si="22"/>
        <v>Elementos.Englobantes</v>
      </c>
      <c r="N138" s="29" t="str">
        <f t="shared" si="15"/>
        <v>Unidade Autônoma</v>
      </c>
      <c r="O138" s="29" t="str">
        <f t="shared" si="15"/>
        <v>Setor</v>
      </c>
      <c r="P138" s="30" t="s">
        <v>257</v>
      </c>
      <c r="Q138" s="30" t="s">
        <v>773</v>
      </c>
      <c r="R138" s="30" t="s">
        <v>596</v>
      </c>
      <c r="S138" s="63" t="s">
        <v>10</v>
      </c>
      <c r="T138" s="30" t="str">
        <f t="shared" si="23"/>
        <v>De Espacialidade</v>
      </c>
      <c r="U138" s="30" t="str">
        <f t="shared" si="23"/>
        <v>Elementos Englobantes</v>
      </c>
      <c r="V138" s="30" t="str">
        <f t="shared" si="23"/>
        <v>Unidade Autônoma</v>
      </c>
      <c r="W138" s="30" t="s">
        <v>85</v>
      </c>
      <c r="X138" s="45" t="str">
        <f t="shared" si="24"/>
        <v>Key-AMB-138</v>
      </c>
      <c r="Y138" s="30" t="s">
        <v>452</v>
      </c>
      <c r="Z138" s="61" t="s">
        <v>10</v>
      </c>
      <c r="AA138" s="41" t="s">
        <v>187</v>
      </c>
      <c r="AB138" s="61" t="s">
        <v>10</v>
      </c>
      <c r="AC138" s="56" t="s">
        <v>448</v>
      </c>
      <c r="AD138" s="61" t="s">
        <v>10</v>
      </c>
    </row>
    <row r="139" spans="1:30" s="34" customFormat="1" ht="6.75" customHeight="1" x14ac:dyDescent="0.25">
      <c r="A139" s="49">
        <v>139</v>
      </c>
      <c r="B139" s="27" t="s">
        <v>417</v>
      </c>
      <c r="C139" s="27" t="s">
        <v>422</v>
      </c>
      <c r="D139" s="27" t="s">
        <v>165</v>
      </c>
      <c r="E139" s="27" t="s">
        <v>953</v>
      </c>
      <c r="F139" s="28" t="s">
        <v>260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22"/>
        <v>De.Espacialidade</v>
      </c>
      <c r="M139" s="29" t="str">
        <f t="shared" si="22"/>
        <v>Elementos.Prediais</v>
      </c>
      <c r="N139" s="29" t="str">
        <f t="shared" si="15"/>
        <v>Bloco Edilício</v>
      </c>
      <c r="O139" s="29" t="str">
        <f t="shared" si="15"/>
        <v>Prédio Indiferenciado</v>
      </c>
      <c r="P139" s="30" t="s">
        <v>242</v>
      </c>
      <c r="Q139" s="30" t="s">
        <v>774</v>
      </c>
      <c r="R139" s="30" t="s">
        <v>597</v>
      </c>
      <c r="S139" s="63" t="s">
        <v>10</v>
      </c>
      <c r="T139" s="30" t="str">
        <f t="shared" ref="T139:V154" si="25">SUBSTITUTE(C139, ".", " ")</f>
        <v>De Espacialidade</v>
      </c>
      <c r="U139" s="30" t="str">
        <f t="shared" si="25"/>
        <v>Elementos Prediais</v>
      </c>
      <c r="V139" s="30" t="str">
        <f t="shared" si="25"/>
        <v>Bloco Edilício</v>
      </c>
      <c r="W139" s="30" t="s">
        <v>85</v>
      </c>
      <c r="X139" s="45" t="str">
        <f t="shared" si="24"/>
        <v>Key-AMB-139</v>
      </c>
      <c r="Y139" s="30" t="s">
        <v>451</v>
      </c>
      <c r="Z139" s="61" t="s">
        <v>10</v>
      </c>
      <c r="AA139" s="41" t="s">
        <v>187</v>
      </c>
      <c r="AB139" s="61" t="s">
        <v>10</v>
      </c>
      <c r="AC139" s="56" t="s">
        <v>207</v>
      </c>
      <c r="AD139" s="61" t="s">
        <v>10</v>
      </c>
    </row>
    <row r="140" spans="1:30" s="34" customFormat="1" ht="6.75" customHeight="1" x14ac:dyDescent="0.25">
      <c r="A140" s="49">
        <v>140</v>
      </c>
      <c r="B140" s="27" t="s">
        <v>417</v>
      </c>
      <c r="C140" s="27" t="s">
        <v>422</v>
      </c>
      <c r="D140" s="27" t="s">
        <v>165</v>
      </c>
      <c r="E140" s="27" t="s">
        <v>953</v>
      </c>
      <c r="F140" s="28" t="s">
        <v>266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22"/>
        <v>De.Espacialidade</v>
      </c>
      <c r="M140" s="29" t="str">
        <f t="shared" si="22"/>
        <v>Elementos.Prediais</v>
      </c>
      <c r="N140" s="29" t="str">
        <f t="shared" si="15"/>
        <v>Bloco Edilício</v>
      </c>
      <c r="O140" s="29" t="str">
        <f t="shared" si="15"/>
        <v>Prédio Casa</v>
      </c>
      <c r="P140" s="30" t="s">
        <v>267</v>
      </c>
      <c r="Q140" s="30" t="s">
        <v>775</v>
      </c>
      <c r="R140" s="30" t="s">
        <v>598</v>
      </c>
      <c r="S140" s="63" t="s">
        <v>10</v>
      </c>
      <c r="T140" s="30" t="str">
        <f t="shared" si="25"/>
        <v>De Espacialidade</v>
      </c>
      <c r="U140" s="30" t="str">
        <f t="shared" si="25"/>
        <v>Elementos Prediais</v>
      </c>
      <c r="V140" s="30" t="str">
        <f t="shared" si="25"/>
        <v>Bloco Edilício</v>
      </c>
      <c r="W140" s="30" t="s">
        <v>85</v>
      </c>
      <c r="X140" s="45" t="str">
        <f t="shared" si="24"/>
        <v>Key-AMB-140</v>
      </c>
      <c r="Y140" s="30" t="s">
        <v>451</v>
      </c>
      <c r="Z140" s="61" t="s">
        <v>10</v>
      </c>
      <c r="AA140" s="41" t="s">
        <v>187</v>
      </c>
      <c r="AB140" s="61" t="s">
        <v>10</v>
      </c>
      <c r="AC140" s="56" t="s">
        <v>207</v>
      </c>
      <c r="AD140" s="61" t="s">
        <v>10</v>
      </c>
    </row>
    <row r="141" spans="1:30" s="34" customFormat="1" ht="6.75" customHeight="1" x14ac:dyDescent="0.25">
      <c r="A141" s="49">
        <v>141</v>
      </c>
      <c r="B141" s="27" t="s">
        <v>417</v>
      </c>
      <c r="C141" s="27" t="s">
        <v>422</v>
      </c>
      <c r="D141" s="27" t="s">
        <v>165</v>
      </c>
      <c r="E141" s="27" t="s">
        <v>953</v>
      </c>
      <c r="F141" s="28" t="s">
        <v>261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22"/>
        <v>De.Espacialidade</v>
      </c>
      <c r="M141" s="29" t="str">
        <f t="shared" si="22"/>
        <v>Elementos.Prediais</v>
      </c>
      <c r="N141" s="29" t="str">
        <f t="shared" si="15"/>
        <v>Bloco Edilício</v>
      </c>
      <c r="O141" s="29" t="str">
        <f t="shared" si="15"/>
        <v>Prédio Residencial</v>
      </c>
      <c r="P141" s="30" t="s">
        <v>244</v>
      </c>
      <c r="Q141" s="30" t="s">
        <v>776</v>
      </c>
      <c r="R141" s="30" t="s">
        <v>599</v>
      </c>
      <c r="S141" s="63" t="s">
        <v>10</v>
      </c>
      <c r="T141" s="30" t="str">
        <f t="shared" si="25"/>
        <v>De Espacialidade</v>
      </c>
      <c r="U141" s="30" t="str">
        <f t="shared" si="25"/>
        <v>Elementos Prediais</v>
      </c>
      <c r="V141" s="30" t="str">
        <f t="shared" si="25"/>
        <v>Bloco Edilício</v>
      </c>
      <c r="W141" s="30" t="s">
        <v>85</v>
      </c>
      <c r="X141" s="45" t="str">
        <f t="shared" si="24"/>
        <v>Key-AMB-141</v>
      </c>
      <c r="Y141" s="30" t="s">
        <v>451</v>
      </c>
      <c r="Z141" s="61" t="s">
        <v>10</v>
      </c>
      <c r="AA141" s="41" t="s">
        <v>187</v>
      </c>
      <c r="AB141" s="61" t="s">
        <v>10</v>
      </c>
      <c r="AC141" s="56" t="s">
        <v>206</v>
      </c>
      <c r="AD141" s="61" t="s">
        <v>10</v>
      </c>
    </row>
    <row r="142" spans="1:30" s="34" customFormat="1" ht="6.75" customHeight="1" x14ac:dyDescent="0.25">
      <c r="A142" s="49">
        <v>142</v>
      </c>
      <c r="B142" s="27" t="s">
        <v>417</v>
      </c>
      <c r="C142" s="27" t="s">
        <v>422</v>
      </c>
      <c r="D142" s="27" t="s">
        <v>165</v>
      </c>
      <c r="E142" s="27" t="s">
        <v>953</v>
      </c>
      <c r="F142" s="28" t="s">
        <v>262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22"/>
        <v>De.Espacialidade</v>
      </c>
      <c r="M142" s="29" t="str">
        <f t="shared" si="22"/>
        <v>Elementos.Prediais</v>
      </c>
      <c r="N142" s="29" t="str">
        <f t="shared" si="15"/>
        <v>Bloco Edilício</v>
      </c>
      <c r="O142" s="29" t="str">
        <f t="shared" si="15"/>
        <v>Prédio Educativo</v>
      </c>
      <c r="P142" s="30" t="s">
        <v>243</v>
      </c>
      <c r="Q142" s="30" t="s">
        <v>777</v>
      </c>
      <c r="R142" s="30" t="s">
        <v>600</v>
      </c>
      <c r="S142" s="63" t="s">
        <v>10</v>
      </c>
      <c r="T142" s="30" t="str">
        <f t="shared" si="25"/>
        <v>De Espacialidade</v>
      </c>
      <c r="U142" s="30" t="str">
        <f t="shared" si="25"/>
        <v>Elementos Prediais</v>
      </c>
      <c r="V142" s="30" t="str">
        <f t="shared" si="25"/>
        <v>Bloco Edilício</v>
      </c>
      <c r="W142" s="30" t="s">
        <v>85</v>
      </c>
      <c r="X142" s="45" t="str">
        <f t="shared" si="24"/>
        <v>Key-AMB-142</v>
      </c>
      <c r="Y142" s="30" t="s">
        <v>451</v>
      </c>
      <c r="Z142" s="61" t="s">
        <v>10</v>
      </c>
      <c r="AA142" s="41" t="s">
        <v>187</v>
      </c>
      <c r="AB142" s="61" t="s">
        <v>10</v>
      </c>
      <c r="AC142" s="56" t="s">
        <v>204</v>
      </c>
      <c r="AD142" s="61" t="s">
        <v>10</v>
      </c>
    </row>
    <row r="143" spans="1:30" s="34" customFormat="1" ht="6.75" customHeight="1" x14ac:dyDescent="0.25">
      <c r="A143" s="49">
        <v>143</v>
      </c>
      <c r="B143" s="27" t="s">
        <v>417</v>
      </c>
      <c r="C143" s="27" t="s">
        <v>422</v>
      </c>
      <c r="D143" s="27" t="s">
        <v>165</v>
      </c>
      <c r="E143" s="27" t="s">
        <v>953</v>
      </c>
      <c r="F143" s="28" t="s">
        <v>263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22"/>
        <v>De.Espacialidade</v>
      </c>
      <c r="M143" s="29" t="str">
        <f t="shared" si="22"/>
        <v>Elementos.Prediais</v>
      </c>
      <c r="N143" s="29" t="str">
        <f t="shared" si="15"/>
        <v>Bloco Edilício</v>
      </c>
      <c r="O143" s="29" t="str">
        <f t="shared" si="15"/>
        <v>Prédio Hospital SUS</v>
      </c>
      <c r="P143" s="30" t="s">
        <v>245</v>
      </c>
      <c r="Q143" s="30" t="s">
        <v>778</v>
      </c>
      <c r="R143" s="30" t="s">
        <v>601</v>
      </c>
      <c r="S143" s="63" t="s">
        <v>10</v>
      </c>
      <c r="T143" s="30" t="str">
        <f t="shared" si="25"/>
        <v>De Espacialidade</v>
      </c>
      <c r="U143" s="30" t="str">
        <f t="shared" si="25"/>
        <v>Elementos Prediais</v>
      </c>
      <c r="V143" s="30" t="str">
        <f t="shared" si="25"/>
        <v>Bloco Edilício</v>
      </c>
      <c r="W143" s="30" t="s">
        <v>85</v>
      </c>
      <c r="X143" s="45" t="str">
        <f t="shared" si="24"/>
        <v>Key-AMB-143</v>
      </c>
      <c r="Y143" s="30" t="s">
        <v>451</v>
      </c>
      <c r="Z143" s="61" t="s">
        <v>10</v>
      </c>
      <c r="AA143" s="41" t="s">
        <v>187</v>
      </c>
      <c r="AB143" s="61" t="s">
        <v>10</v>
      </c>
      <c r="AC143" s="56" t="s">
        <v>205</v>
      </c>
      <c r="AD143" s="61" t="s">
        <v>10</v>
      </c>
    </row>
    <row r="144" spans="1:30" s="34" customFormat="1" ht="6.75" customHeight="1" x14ac:dyDescent="0.25">
      <c r="A144" s="49">
        <v>144</v>
      </c>
      <c r="B144" s="27" t="s">
        <v>417</v>
      </c>
      <c r="C144" s="27" t="s">
        <v>422</v>
      </c>
      <c r="D144" s="27" t="s">
        <v>165</v>
      </c>
      <c r="E144" s="27" t="s">
        <v>953</v>
      </c>
      <c r="F144" s="28" t="s">
        <v>264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22"/>
        <v>De.Espacialidade</v>
      </c>
      <c r="M144" s="29" t="str">
        <f t="shared" si="22"/>
        <v>Elementos.Prediais</v>
      </c>
      <c r="N144" s="29" t="str">
        <f t="shared" si="15"/>
        <v>Bloco Edilício</v>
      </c>
      <c r="O144" s="29" t="str">
        <f t="shared" si="15"/>
        <v>Prédio Hospital Privado</v>
      </c>
      <c r="P144" s="30" t="s">
        <v>246</v>
      </c>
      <c r="Q144" s="30" t="s">
        <v>779</v>
      </c>
      <c r="R144" s="30" t="s">
        <v>602</v>
      </c>
      <c r="S144" s="63" t="s">
        <v>10</v>
      </c>
      <c r="T144" s="30" t="str">
        <f t="shared" si="25"/>
        <v>De Espacialidade</v>
      </c>
      <c r="U144" s="30" t="str">
        <f t="shared" si="25"/>
        <v>Elementos Prediais</v>
      </c>
      <c r="V144" s="30" t="str">
        <f t="shared" si="25"/>
        <v>Bloco Edilício</v>
      </c>
      <c r="W144" s="30" t="s">
        <v>85</v>
      </c>
      <c r="X144" s="45" t="str">
        <f t="shared" si="24"/>
        <v>Key-AMB-144</v>
      </c>
      <c r="Y144" s="30" t="s">
        <v>451</v>
      </c>
      <c r="Z144" s="61" t="s">
        <v>10</v>
      </c>
      <c r="AA144" s="41" t="s">
        <v>187</v>
      </c>
      <c r="AB144" s="61" t="s">
        <v>10</v>
      </c>
      <c r="AC144" s="56" t="s">
        <v>205</v>
      </c>
      <c r="AD144" s="61" t="s">
        <v>10</v>
      </c>
    </row>
    <row r="145" spans="1:30" s="34" customFormat="1" ht="6.75" customHeight="1" x14ac:dyDescent="0.25">
      <c r="A145" s="49">
        <v>145</v>
      </c>
      <c r="B145" s="27" t="s">
        <v>417</v>
      </c>
      <c r="C145" s="27" t="s">
        <v>422</v>
      </c>
      <c r="D145" s="27" t="s">
        <v>165</v>
      </c>
      <c r="E145" s="27" t="s">
        <v>953</v>
      </c>
      <c r="F145" s="28" t="s">
        <v>265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22"/>
        <v>De.Espacialidade</v>
      </c>
      <c r="M145" s="29" t="str">
        <f t="shared" si="22"/>
        <v>Elementos.Prediais</v>
      </c>
      <c r="N145" s="29" t="str">
        <f t="shared" si="15"/>
        <v>Bloco Edilício</v>
      </c>
      <c r="O145" s="29" t="str">
        <f t="shared" si="15"/>
        <v>Prédio Hospital Conveniado</v>
      </c>
      <c r="P145" s="30" t="s">
        <v>247</v>
      </c>
      <c r="Q145" s="30" t="s">
        <v>780</v>
      </c>
      <c r="R145" s="30" t="s">
        <v>603</v>
      </c>
      <c r="S145" s="63" t="s">
        <v>10</v>
      </c>
      <c r="T145" s="30" t="str">
        <f t="shared" si="25"/>
        <v>De Espacialidade</v>
      </c>
      <c r="U145" s="30" t="str">
        <f t="shared" si="25"/>
        <v>Elementos Prediais</v>
      </c>
      <c r="V145" s="30" t="str">
        <f t="shared" si="25"/>
        <v>Bloco Edilício</v>
      </c>
      <c r="W145" s="30" t="s">
        <v>85</v>
      </c>
      <c r="X145" s="45" t="str">
        <f t="shared" si="24"/>
        <v>Key-AMB-145</v>
      </c>
      <c r="Y145" s="30" t="s">
        <v>451</v>
      </c>
      <c r="Z145" s="61" t="s">
        <v>10</v>
      </c>
      <c r="AA145" s="41" t="s">
        <v>187</v>
      </c>
      <c r="AB145" s="61" t="s">
        <v>10</v>
      </c>
      <c r="AC145" s="56" t="s">
        <v>205</v>
      </c>
      <c r="AD145" s="61" t="s">
        <v>10</v>
      </c>
    </row>
    <row r="146" spans="1:30" s="34" customFormat="1" ht="6.75" customHeight="1" x14ac:dyDescent="0.25">
      <c r="A146" s="49">
        <v>146</v>
      </c>
      <c r="B146" s="27" t="s">
        <v>417</v>
      </c>
      <c r="C146" s="27" t="s">
        <v>422</v>
      </c>
      <c r="D146" s="27" t="s">
        <v>401</v>
      </c>
      <c r="E146" s="27" t="s">
        <v>954</v>
      </c>
      <c r="F146" s="28" t="s">
        <v>202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22"/>
        <v>De.Espacialidade</v>
      </c>
      <c r="M146" s="29" t="str">
        <f t="shared" si="22"/>
        <v>Zonificação</v>
      </c>
      <c r="N146" s="29" t="str">
        <f t="shared" si="15"/>
        <v>Zona Predial</v>
      </c>
      <c r="O146" s="29" t="str">
        <f t="shared" si="15"/>
        <v>Zona Definida</v>
      </c>
      <c r="P146" s="30" t="s">
        <v>133</v>
      </c>
      <c r="Q146" s="30" t="s">
        <v>781</v>
      </c>
      <c r="R146" s="30" t="s">
        <v>604</v>
      </c>
      <c r="S146" s="63" t="s">
        <v>10</v>
      </c>
      <c r="T146" s="30" t="str">
        <f t="shared" si="25"/>
        <v>De Espacialidade</v>
      </c>
      <c r="U146" s="30" t="str">
        <f t="shared" si="25"/>
        <v>Zonificação</v>
      </c>
      <c r="V146" s="30" t="str">
        <f t="shared" si="25"/>
        <v>Zona Predial</v>
      </c>
      <c r="W146" s="30" t="s">
        <v>85</v>
      </c>
      <c r="X146" s="45" t="str">
        <f t="shared" si="24"/>
        <v>Key-AMB-146</v>
      </c>
      <c r="Y146" s="30" t="s">
        <v>453</v>
      </c>
      <c r="Z146" s="61" t="s">
        <v>10</v>
      </c>
      <c r="AA146" s="41" t="s">
        <v>188</v>
      </c>
      <c r="AB146" s="61" t="s">
        <v>10</v>
      </c>
      <c r="AC146" s="56" t="s">
        <v>447</v>
      </c>
      <c r="AD146" s="61" t="s">
        <v>10</v>
      </c>
    </row>
    <row r="147" spans="1:30" s="34" customFormat="1" ht="6.75" customHeight="1" x14ac:dyDescent="0.25">
      <c r="A147" s="49">
        <v>147</v>
      </c>
      <c r="B147" s="27" t="s">
        <v>417</v>
      </c>
      <c r="C147" s="27" t="s">
        <v>422</v>
      </c>
      <c r="D147" s="27" t="s">
        <v>401</v>
      </c>
      <c r="E147" s="27" t="s">
        <v>954</v>
      </c>
      <c r="F147" s="28" t="s">
        <v>134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22"/>
        <v>De.Espacialidade</v>
      </c>
      <c r="M147" s="29" t="str">
        <f t="shared" si="22"/>
        <v>Zonificação</v>
      </c>
      <c r="N147" s="29" t="str">
        <f t="shared" si="15"/>
        <v>Zona Predial</v>
      </c>
      <c r="O147" s="29" t="str">
        <f t="shared" si="15"/>
        <v>Zona de Construção</v>
      </c>
      <c r="P147" s="30" t="s">
        <v>135</v>
      </c>
      <c r="Q147" s="30" t="s">
        <v>782</v>
      </c>
      <c r="R147" s="30" t="s">
        <v>605</v>
      </c>
      <c r="S147" s="63" t="s">
        <v>10</v>
      </c>
      <c r="T147" s="30" t="str">
        <f t="shared" si="25"/>
        <v>De Espacialidade</v>
      </c>
      <c r="U147" s="30" t="str">
        <f t="shared" si="25"/>
        <v>Zonificação</v>
      </c>
      <c r="V147" s="30" t="str">
        <f t="shared" si="25"/>
        <v>Zona Predial</v>
      </c>
      <c r="W147" s="30" t="s">
        <v>85</v>
      </c>
      <c r="X147" s="45" t="str">
        <f t="shared" si="24"/>
        <v>Key-AMB-147</v>
      </c>
      <c r="Y147" s="30" t="s">
        <v>453</v>
      </c>
      <c r="Z147" s="61" t="s">
        <v>10</v>
      </c>
      <c r="AA147" s="41" t="s">
        <v>189</v>
      </c>
      <c r="AB147" s="61" t="s">
        <v>10</v>
      </c>
      <c r="AC147" s="56" t="s">
        <v>447</v>
      </c>
      <c r="AD147" s="61" t="s">
        <v>10</v>
      </c>
    </row>
    <row r="148" spans="1:30" s="34" customFormat="1" ht="6.75" customHeight="1" x14ac:dyDescent="0.25">
      <c r="A148" s="49">
        <v>148</v>
      </c>
      <c r="B148" s="27" t="s">
        <v>417</v>
      </c>
      <c r="C148" s="27" t="s">
        <v>422</v>
      </c>
      <c r="D148" s="27" t="s">
        <v>401</v>
      </c>
      <c r="E148" s="27" t="s">
        <v>954</v>
      </c>
      <c r="F148" s="28" t="s">
        <v>136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26">CONCATENATE("", C148)</f>
        <v>De.Espacialidade</v>
      </c>
      <c r="M148" s="29" t="str">
        <f t="shared" si="26"/>
        <v>Zonificação</v>
      </c>
      <c r="N148" s="29" t="str">
        <f t="shared" si="15"/>
        <v>Zona Predial</v>
      </c>
      <c r="O148" s="29" t="str">
        <f t="shared" si="15"/>
        <v>Zona de Interferência</v>
      </c>
      <c r="P148" s="30" t="s">
        <v>137</v>
      </c>
      <c r="Q148" s="30" t="s">
        <v>783</v>
      </c>
      <c r="R148" s="30" t="s">
        <v>606</v>
      </c>
      <c r="S148" s="63" t="s">
        <v>10</v>
      </c>
      <c r="T148" s="30" t="str">
        <f t="shared" si="25"/>
        <v>De Espacialidade</v>
      </c>
      <c r="U148" s="30" t="str">
        <f t="shared" si="25"/>
        <v>Zonificação</v>
      </c>
      <c r="V148" s="30" t="str">
        <f t="shared" si="25"/>
        <v>Zona Predial</v>
      </c>
      <c r="W148" s="30" t="s">
        <v>85</v>
      </c>
      <c r="X148" s="45" t="str">
        <f t="shared" si="24"/>
        <v>Key-AMB-148</v>
      </c>
      <c r="Y148" s="30" t="s">
        <v>453</v>
      </c>
      <c r="Z148" s="61" t="s">
        <v>10</v>
      </c>
      <c r="AA148" s="41" t="s">
        <v>190</v>
      </c>
      <c r="AB148" s="61" t="s">
        <v>10</v>
      </c>
      <c r="AC148" s="56" t="s">
        <v>447</v>
      </c>
      <c r="AD148" s="61" t="s">
        <v>10</v>
      </c>
    </row>
    <row r="149" spans="1:30" s="34" customFormat="1" ht="6.75" customHeight="1" x14ac:dyDescent="0.25">
      <c r="A149" s="49">
        <v>149</v>
      </c>
      <c r="B149" s="27" t="s">
        <v>417</v>
      </c>
      <c r="C149" s="27" t="s">
        <v>422</v>
      </c>
      <c r="D149" s="27" t="s">
        <v>401</v>
      </c>
      <c r="E149" s="27" t="s">
        <v>954</v>
      </c>
      <c r="F149" s="28" t="s">
        <v>138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26"/>
        <v>De.Espacialidade</v>
      </c>
      <c r="M149" s="29" t="str">
        <f t="shared" si="26"/>
        <v>Zonificação</v>
      </c>
      <c r="N149" s="29" t="str">
        <f t="shared" si="15"/>
        <v>Zona Predial</v>
      </c>
      <c r="O149" s="29" t="str">
        <f t="shared" si="15"/>
        <v>Zona de Ocupação</v>
      </c>
      <c r="P149" s="30" t="s">
        <v>139</v>
      </c>
      <c r="Q149" s="30" t="s">
        <v>784</v>
      </c>
      <c r="R149" s="30" t="s">
        <v>607</v>
      </c>
      <c r="S149" s="63" t="s">
        <v>10</v>
      </c>
      <c r="T149" s="30" t="str">
        <f t="shared" si="25"/>
        <v>De Espacialidade</v>
      </c>
      <c r="U149" s="30" t="str">
        <f t="shared" si="25"/>
        <v>Zonificação</v>
      </c>
      <c r="V149" s="30" t="str">
        <f t="shared" si="25"/>
        <v>Zona Predial</v>
      </c>
      <c r="W149" s="30" t="s">
        <v>85</v>
      </c>
      <c r="X149" s="45" t="str">
        <f t="shared" si="24"/>
        <v>Key-AMB-149</v>
      </c>
      <c r="Y149" s="30" t="s">
        <v>453</v>
      </c>
      <c r="Z149" s="61" t="s">
        <v>10</v>
      </c>
      <c r="AA149" s="41" t="s">
        <v>191</v>
      </c>
      <c r="AB149" s="61" t="s">
        <v>10</v>
      </c>
      <c r="AC149" s="56" t="s">
        <v>447</v>
      </c>
      <c r="AD149" s="61" t="s">
        <v>10</v>
      </c>
    </row>
    <row r="150" spans="1:30" s="34" customFormat="1" ht="6.75" customHeight="1" x14ac:dyDescent="0.25">
      <c r="A150" s="49">
        <v>150</v>
      </c>
      <c r="B150" s="27" t="s">
        <v>417</v>
      </c>
      <c r="C150" s="27" t="s">
        <v>422</v>
      </c>
      <c r="D150" s="27" t="s">
        <v>401</v>
      </c>
      <c r="E150" s="27" t="s">
        <v>954</v>
      </c>
      <c r="F150" s="28" t="s">
        <v>140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26"/>
        <v>De.Espacialidade</v>
      </c>
      <c r="M150" s="29" t="str">
        <f t="shared" si="26"/>
        <v>Zonificação</v>
      </c>
      <c r="N150" s="29" t="str">
        <f t="shared" si="15"/>
        <v>Zona Predial</v>
      </c>
      <c r="O150" s="29" t="str">
        <f t="shared" si="15"/>
        <v>Zona de Reserva</v>
      </c>
      <c r="P150" s="30" t="s">
        <v>141</v>
      </c>
      <c r="Q150" s="30" t="s">
        <v>785</v>
      </c>
      <c r="R150" s="30" t="s">
        <v>608</v>
      </c>
      <c r="S150" s="63" t="s">
        <v>10</v>
      </c>
      <c r="T150" s="30" t="str">
        <f t="shared" si="25"/>
        <v>De Espacialidade</v>
      </c>
      <c r="U150" s="30" t="str">
        <f t="shared" si="25"/>
        <v>Zonificação</v>
      </c>
      <c r="V150" s="30" t="str">
        <f t="shared" si="25"/>
        <v>Zona Predial</v>
      </c>
      <c r="W150" s="30" t="s">
        <v>85</v>
      </c>
      <c r="X150" s="45" t="str">
        <f t="shared" si="24"/>
        <v>Key-AMB-150</v>
      </c>
      <c r="Y150" s="30" t="s">
        <v>453</v>
      </c>
      <c r="Z150" s="61" t="s">
        <v>10</v>
      </c>
      <c r="AA150" s="41" t="s">
        <v>192</v>
      </c>
      <c r="AB150" s="61" t="s">
        <v>10</v>
      </c>
      <c r="AC150" s="56" t="s">
        <v>447</v>
      </c>
      <c r="AD150" s="61" t="s">
        <v>10</v>
      </c>
    </row>
    <row r="151" spans="1:30" s="34" customFormat="1" ht="6.75" customHeight="1" x14ac:dyDescent="0.25">
      <c r="A151" s="49">
        <v>151</v>
      </c>
      <c r="B151" s="27" t="s">
        <v>417</v>
      </c>
      <c r="C151" s="27" t="s">
        <v>422</v>
      </c>
      <c r="D151" s="27" t="s">
        <v>401</v>
      </c>
      <c r="E151" s="27" t="s">
        <v>954</v>
      </c>
      <c r="F151" s="28" t="s">
        <v>142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26"/>
        <v>De.Espacialidade</v>
      </c>
      <c r="M151" s="29" t="str">
        <f t="shared" si="26"/>
        <v>Zonificação</v>
      </c>
      <c r="N151" s="29" t="str">
        <f t="shared" si="15"/>
        <v>Zona Predial</v>
      </c>
      <c r="O151" s="29" t="str">
        <f t="shared" si="15"/>
        <v>Zona de Transporte</v>
      </c>
      <c r="P151" s="30" t="s">
        <v>143</v>
      </c>
      <c r="Q151" s="30" t="s">
        <v>786</v>
      </c>
      <c r="R151" s="30" t="s">
        <v>609</v>
      </c>
      <c r="S151" s="63" t="s">
        <v>10</v>
      </c>
      <c r="T151" s="30" t="str">
        <f t="shared" si="25"/>
        <v>De Espacialidade</v>
      </c>
      <c r="U151" s="30" t="str">
        <f t="shared" si="25"/>
        <v>Zonificação</v>
      </c>
      <c r="V151" s="30" t="str">
        <f t="shared" si="25"/>
        <v>Zona Predial</v>
      </c>
      <c r="W151" s="30" t="s">
        <v>85</v>
      </c>
      <c r="X151" s="45" t="str">
        <f t="shared" si="24"/>
        <v>Key-AMB-151</v>
      </c>
      <c r="Y151" s="30" t="s">
        <v>453</v>
      </c>
      <c r="Z151" s="61" t="s">
        <v>10</v>
      </c>
      <c r="AA151" s="41" t="s">
        <v>193</v>
      </c>
      <c r="AB151" s="61" t="s">
        <v>10</v>
      </c>
      <c r="AC151" s="56" t="s">
        <v>447</v>
      </c>
      <c r="AD151" s="61" t="s">
        <v>10</v>
      </c>
    </row>
    <row r="152" spans="1:30" s="34" customFormat="1" ht="6.75" customHeight="1" x14ac:dyDescent="0.25">
      <c r="A152" s="49">
        <v>152</v>
      </c>
      <c r="B152" s="27" t="s">
        <v>417</v>
      </c>
      <c r="C152" s="27" t="s">
        <v>422</v>
      </c>
      <c r="D152" s="27" t="s">
        <v>401</v>
      </c>
      <c r="E152" s="27" t="s">
        <v>955</v>
      </c>
      <c r="F152" s="28" t="s">
        <v>144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26"/>
        <v>De.Espacialidade</v>
      </c>
      <c r="M152" s="29" t="str">
        <f t="shared" si="26"/>
        <v>Zonificação</v>
      </c>
      <c r="N152" s="29" t="str">
        <f t="shared" si="15"/>
        <v>Zona Sistema</v>
      </c>
      <c r="O152" s="29" t="str">
        <f t="shared" si="15"/>
        <v>Zona de Térmica</v>
      </c>
      <c r="P152" s="30" t="s">
        <v>145</v>
      </c>
      <c r="Q152" s="30" t="s">
        <v>787</v>
      </c>
      <c r="R152" s="30" t="s">
        <v>610</v>
      </c>
      <c r="S152" s="63" t="s">
        <v>10</v>
      </c>
      <c r="T152" s="30" t="str">
        <f t="shared" si="25"/>
        <v>De Espacialidade</v>
      </c>
      <c r="U152" s="30" t="str">
        <f t="shared" si="25"/>
        <v>Zonificação</v>
      </c>
      <c r="V152" s="30" t="str">
        <f t="shared" si="25"/>
        <v>Zona Sistema</v>
      </c>
      <c r="W152" s="30" t="s">
        <v>85</v>
      </c>
      <c r="X152" s="45" t="str">
        <f t="shared" si="24"/>
        <v>Key-AMB-152</v>
      </c>
      <c r="Y152" s="30" t="s">
        <v>453</v>
      </c>
      <c r="Z152" s="61" t="s">
        <v>10</v>
      </c>
      <c r="AA152" s="41" t="s">
        <v>194</v>
      </c>
      <c r="AB152" s="61" t="s">
        <v>10</v>
      </c>
      <c r="AC152" s="56" t="s">
        <v>447</v>
      </c>
      <c r="AD152" s="61" t="s">
        <v>10</v>
      </c>
    </row>
    <row r="153" spans="1:30" s="34" customFormat="1" ht="6.75" customHeight="1" x14ac:dyDescent="0.25">
      <c r="A153" s="49">
        <v>153</v>
      </c>
      <c r="B153" s="27" t="s">
        <v>417</v>
      </c>
      <c r="C153" s="27" t="s">
        <v>422</v>
      </c>
      <c r="D153" s="27" t="s">
        <v>401</v>
      </c>
      <c r="E153" s="27" t="s">
        <v>955</v>
      </c>
      <c r="F153" s="28" t="s">
        <v>146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26"/>
        <v>De.Espacialidade</v>
      </c>
      <c r="M153" s="29" t="str">
        <f t="shared" si="26"/>
        <v>Zonificação</v>
      </c>
      <c r="N153" s="29" t="str">
        <f t="shared" si="15"/>
        <v>Zona Sistema</v>
      </c>
      <c r="O153" s="29" t="str">
        <f t="shared" si="15"/>
        <v>Zona de Iluminação</v>
      </c>
      <c r="P153" s="30" t="s">
        <v>147</v>
      </c>
      <c r="Q153" s="30" t="s">
        <v>788</v>
      </c>
      <c r="R153" s="30" t="s">
        <v>611</v>
      </c>
      <c r="S153" s="63" t="s">
        <v>10</v>
      </c>
      <c r="T153" s="30" t="str">
        <f t="shared" si="25"/>
        <v>De Espacialidade</v>
      </c>
      <c r="U153" s="30" t="str">
        <f t="shared" si="25"/>
        <v>Zonificação</v>
      </c>
      <c r="V153" s="30" t="str">
        <f t="shared" si="25"/>
        <v>Zona Sistema</v>
      </c>
      <c r="W153" s="30" t="s">
        <v>85</v>
      </c>
      <c r="X153" s="45" t="str">
        <f t="shared" si="24"/>
        <v>Key-AMB-153</v>
      </c>
      <c r="Y153" s="30" t="s">
        <v>453</v>
      </c>
      <c r="Z153" s="61" t="s">
        <v>10</v>
      </c>
      <c r="AA153" s="41" t="s">
        <v>195</v>
      </c>
      <c r="AB153" s="61" t="s">
        <v>10</v>
      </c>
      <c r="AC153" s="56" t="s">
        <v>447</v>
      </c>
      <c r="AD153" s="61" t="s">
        <v>10</v>
      </c>
    </row>
    <row r="154" spans="1:30" s="34" customFormat="1" ht="6.75" customHeight="1" x14ac:dyDescent="0.25">
      <c r="A154" s="49">
        <v>154</v>
      </c>
      <c r="B154" s="27" t="s">
        <v>417</v>
      </c>
      <c r="C154" s="27" t="s">
        <v>422</v>
      </c>
      <c r="D154" s="27" t="s">
        <v>401</v>
      </c>
      <c r="E154" s="27" t="s">
        <v>955</v>
      </c>
      <c r="F154" s="28" t="s">
        <v>148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26"/>
        <v>De.Espacialidade</v>
      </c>
      <c r="M154" s="29" t="str">
        <f t="shared" si="26"/>
        <v>Zonificação</v>
      </c>
      <c r="N154" s="29" t="str">
        <f t="shared" si="15"/>
        <v>Zona Sistema</v>
      </c>
      <c r="O154" s="29" t="str">
        <f t="shared" si="15"/>
        <v>Zona de Ventilação</v>
      </c>
      <c r="P154" s="30" t="s">
        <v>149</v>
      </c>
      <c r="Q154" s="30" t="s">
        <v>789</v>
      </c>
      <c r="R154" s="30" t="s">
        <v>612</v>
      </c>
      <c r="S154" s="63" t="s">
        <v>10</v>
      </c>
      <c r="T154" s="30" t="str">
        <f t="shared" si="25"/>
        <v>De Espacialidade</v>
      </c>
      <c r="U154" s="30" t="str">
        <f t="shared" si="25"/>
        <v>Zonificação</v>
      </c>
      <c r="V154" s="30" t="str">
        <f t="shared" si="25"/>
        <v>Zona Sistema</v>
      </c>
      <c r="W154" s="30" t="s">
        <v>85</v>
      </c>
      <c r="X154" s="45" t="str">
        <f t="shared" si="24"/>
        <v>Key-AMB-154</v>
      </c>
      <c r="Y154" s="30" t="s">
        <v>453</v>
      </c>
      <c r="Z154" s="61" t="s">
        <v>10</v>
      </c>
      <c r="AA154" s="41" t="s">
        <v>196</v>
      </c>
      <c r="AB154" s="61" t="s">
        <v>10</v>
      </c>
      <c r="AC154" s="56" t="s">
        <v>447</v>
      </c>
      <c r="AD154" s="61" t="s">
        <v>10</v>
      </c>
    </row>
    <row r="155" spans="1:30" s="34" customFormat="1" ht="6.75" customHeight="1" x14ac:dyDescent="0.25">
      <c r="A155" s="49">
        <v>155</v>
      </c>
      <c r="B155" s="27" t="s">
        <v>417</v>
      </c>
      <c r="C155" s="27" t="s">
        <v>422</v>
      </c>
      <c r="D155" s="27" t="s">
        <v>401</v>
      </c>
      <c r="E155" s="27" t="s">
        <v>956</v>
      </c>
      <c r="F155" s="28" t="s">
        <v>152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26"/>
        <v>De.Espacialidade</v>
      </c>
      <c r="M155" s="29" t="str">
        <f t="shared" si="26"/>
        <v>Zonificação</v>
      </c>
      <c r="N155" s="29" t="str">
        <f t="shared" si="15"/>
        <v>Zona Segurança</v>
      </c>
      <c r="O155" s="29" t="str">
        <f t="shared" si="15"/>
        <v>Zona de Segurança</v>
      </c>
      <c r="P155" s="30" t="s">
        <v>153</v>
      </c>
      <c r="Q155" s="30" t="s">
        <v>790</v>
      </c>
      <c r="R155" s="30" t="s">
        <v>613</v>
      </c>
      <c r="S155" s="63" t="s">
        <v>10</v>
      </c>
      <c r="T155" s="30" t="str">
        <f t="shared" ref="T155:V172" si="27">SUBSTITUTE(C155, ".", " ")</f>
        <v>De Espacialidade</v>
      </c>
      <c r="U155" s="30" t="str">
        <f t="shared" si="27"/>
        <v>Zonificação</v>
      </c>
      <c r="V155" s="30" t="str">
        <f t="shared" si="27"/>
        <v>Zona Segurança</v>
      </c>
      <c r="W155" s="30" t="s">
        <v>85</v>
      </c>
      <c r="X155" s="45" t="str">
        <f t="shared" si="24"/>
        <v>Key-AMB-155</v>
      </c>
      <c r="Y155" s="30" t="s">
        <v>453</v>
      </c>
      <c r="Z155" s="61" t="s">
        <v>10</v>
      </c>
      <c r="AA155" s="41" t="s">
        <v>198</v>
      </c>
      <c r="AB155" s="61" t="s">
        <v>10</v>
      </c>
      <c r="AC155" s="56" t="s">
        <v>447</v>
      </c>
      <c r="AD155" s="61" t="s">
        <v>10</v>
      </c>
    </row>
    <row r="156" spans="1:30" s="34" customFormat="1" ht="6.75" customHeight="1" x14ac:dyDescent="0.25">
      <c r="A156" s="49">
        <v>156</v>
      </c>
      <c r="B156" s="27" t="s">
        <v>417</v>
      </c>
      <c r="C156" s="27" t="s">
        <v>422</v>
      </c>
      <c r="D156" s="27" t="s">
        <v>401</v>
      </c>
      <c r="E156" s="27" t="s">
        <v>956</v>
      </c>
      <c r="F156" s="28" t="s">
        <v>150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26"/>
        <v>De.Espacialidade</v>
      </c>
      <c r="M156" s="29" t="str">
        <f t="shared" si="26"/>
        <v>Zonificação</v>
      </c>
      <c r="N156" s="29" t="str">
        <f t="shared" si="15"/>
        <v>Zona Segurança</v>
      </c>
      <c r="O156" s="29" t="str">
        <f t="shared" si="15"/>
        <v>Zona de Segurança Incêndio</v>
      </c>
      <c r="P156" s="30" t="s">
        <v>151</v>
      </c>
      <c r="Q156" s="30" t="s">
        <v>791</v>
      </c>
      <c r="R156" s="30" t="s">
        <v>614</v>
      </c>
      <c r="S156" s="63" t="s">
        <v>10</v>
      </c>
      <c r="T156" s="30" t="str">
        <f t="shared" si="27"/>
        <v>De Espacialidade</v>
      </c>
      <c r="U156" s="30" t="str">
        <f t="shared" si="27"/>
        <v>Zonificação</v>
      </c>
      <c r="V156" s="30" t="str">
        <f t="shared" si="27"/>
        <v>Zona Segurança</v>
      </c>
      <c r="W156" s="30" t="s">
        <v>85</v>
      </c>
      <c r="X156" s="45" t="str">
        <f t="shared" si="24"/>
        <v>Key-AMB-156</v>
      </c>
      <c r="Y156" s="30" t="s">
        <v>453</v>
      </c>
      <c r="Z156" s="61" t="s">
        <v>10</v>
      </c>
      <c r="AA156" s="41" t="s">
        <v>197</v>
      </c>
      <c r="AB156" s="61" t="s">
        <v>10</v>
      </c>
      <c r="AC156" s="56" t="s">
        <v>447</v>
      </c>
      <c r="AD156" s="61" t="s">
        <v>10</v>
      </c>
    </row>
    <row r="157" spans="1:30" s="34" customFormat="1" ht="6.75" customHeight="1" x14ac:dyDescent="0.25">
      <c r="A157" s="49">
        <v>157</v>
      </c>
      <c r="B157" s="27" t="s">
        <v>417</v>
      </c>
      <c r="C157" s="27" t="s">
        <v>422</v>
      </c>
      <c r="D157" s="27" t="s">
        <v>401</v>
      </c>
      <c r="E157" s="27" t="s">
        <v>956</v>
      </c>
      <c r="F157" s="28" t="s">
        <v>320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383</v>
      </c>
      <c r="L157" s="29" t="str">
        <f t="shared" si="26"/>
        <v>De.Espacialidade</v>
      </c>
      <c r="M157" s="29" t="str">
        <f t="shared" si="26"/>
        <v>Zonificação</v>
      </c>
      <c r="N157" s="29" t="str">
        <f t="shared" si="15"/>
        <v>Zona Segurança</v>
      </c>
      <c r="O157" s="29" t="str">
        <f t="shared" ref="O157:O166" si="28">(SUBSTITUTE(SUBSTITUTE(CONCATENATE("",F157),"."," ")," De "," de "))</f>
        <v>Zona de Biossegurança</v>
      </c>
      <c r="P157" s="30" t="s">
        <v>321</v>
      </c>
      <c r="Q157" s="30" t="s">
        <v>792</v>
      </c>
      <c r="R157" s="30" t="s">
        <v>615</v>
      </c>
      <c r="S157" s="63" t="s">
        <v>10</v>
      </c>
      <c r="T157" s="30" t="str">
        <f t="shared" si="27"/>
        <v>De Espacialidade</v>
      </c>
      <c r="U157" s="30" t="str">
        <f t="shared" si="27"/>
        <v>Zonificação</v>
      </c>
      <c r="V157" s="30" t="str">
        <f t="shared" si="27"/>
        <v>Zona Segurança</v>
      </c>
      <c r="W157" s="30" t="s">
        <v>85</v>
      </c>
      <c r="X157" s="45" t="str">
        <f t="shared" si="24"/>
        <v>Key-AMB-157</v>
      </c>
      <c r="Y157" s="30" t="s">
        <v>453</v>
      </c>
      <c r="Z157" s="61" t="s">
        <v>10</v>
      </c>
      <c r="AA157" s="41" t="s">
        <v>196</v>
      </c>
      <c r="AB157" s="61" t="s">
        <v>10</v>
      </c>
      <c r="AC157" s="56" t="s">
        <v>447</v>
      </c>
      <c r="AD157" s="61" t="s">
        <v>10</v>
      </c>
    </row>
    <row r="158" spans="1:30" s="34" customFormat="1" ht="6.75" customHeight="1" x14ac:dyDescent="0.25">
      <c r="A158" s="49">
        <v>158</v>
      </c>
      <c r="B158" s="27" t="s">
        <v>417</v>
      </c>
      <c r="C158" s="27" t="s">
        <v>422</v>
      </c>
      <c r="D158" s="27" t="s">
        <v>327</v>
      </c>
      <c r="E158" s="27" t="s">
        <v>210</v>
      </c>
      <c r="F158" s="47" t="s">
        <v>218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26"/>
        <v>De.Espacialidade</v>
      </c>
      <c r="M158" s="29" t="str">
        <f t="shared" si="26"/>
        <v>Analítica.Espacial</v>
      </c>
      <c r="N158" s="29" t="str">
        <f t="shared" ref="N158:N166" si="29">(SUBSTITUTE(SUBSTITUTE(CONCATENATE("",E158),"."," ")," De "," de "))</f>
        <v>Analema Solar</v>
      </c>
      <c r="O158" s="29" t="str">
        <f t="shared" si="28"/>
        <v>Sol</v>
      </c>
      <c r="P158" s="30" t="s">
        <v>328</v>
      </c>
      <c r="Q158" s="30" t="s">
        <v>793</v>
      </c>
      <c r="R158" s="30" t="s">
        <v>616</v>
      </c>
      <c r="S158" s="63" t="s">
        <v>10</v>
      </c>
      <c r="T158" s="30" t="str">
        <f t="shared" si="27"/>
        <v>De Espacialidade</v>
      </c>
      <c r="U158" s="30" t="str">
        <f t="shared" si="27"/>
        <v>Analítica Espacial</v>
      </c>
      <c r="V158" s="30" t="str">
        <f t="shared" si="27"/>
        <v>Analema Solar</v>
      </c>
      <c r="W158" s="30" t="s">
        <v>85</v>
      </c>
      <c r="X158" s="45" t="str">
        <f t="shared" si="24"/>
        <v>Key-AMB-158</v>
      </c>
      <c r="Y158" s="48" t="s">
        <v>211</v>
      </c>
      <c r="Z158" s="61" t="s">
        <v>10</v>
      </c>
      <c r="AA158" s="56" t="s">
        <v>10</v>
      </c>
      <c r="AB158" s="61" t="s">
        <v>10</v>
      </c>
      <c r="AC158" s="56" t="s">
        <v>10</v>
      </c>
      <c r="AD158" s="61" t="s">
        <v>10</v>
      </c>
    </row>
    <row r="159" spans="1:30" s="34" customFormat="1" ht="6.75" customHeight="1" x14ac:dyDescent="0.25">
      <c r="A159" s="49">
        <v>159</v>
      </c>
      <c r="B159" s="27" t="s">
        <v>417</v>
      </c>
      <c r="C159" s="27" t="s">
        <v>422</v>
      </c>
      <c r="D159" s="27" t="s">
        <v>327</v>
      </c>
      <c r="E159" s="27" t="s">
        <v>210</v>
      </c>
      <c r="F159" s="47" t="s">
        <v>219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26"/>
        <v>De.Espacialidade</v>
      </c>
      <c r="M159" s="29" t="str">
        <f t="shared" si="26"/>
        <v>Analítica.Espacial</v>
      </c>
      <c r="N159" s="29" t="str">
        <f t="shared" si="29"/>
        <v>Analema Solar</v>
      </c>
      <c r="O159" s="29" t="str">
        <f t="shared" si="28"/>
        <v>Sol Percurso 1</v>
      </c>
      <c r="P159" s="30" t="s">
        <v>329</v>
      </c>
      <c r="Q159" s="30" t="s">
        <v>794</v>
      </c>
      <c r="R159" s="30" t="s">
        <v>617</v>
      </c>
      <c r="S159" s="63" t="s">
        <v>10</v>
      </c>
      <c r="T159" s="30" t="str">
        <f t="shared" si="27"/>
        <v>De Espacialidade</v>
      </c>
      <c r="U159" s="30" t="str">
        <f t="shared" si="27"/>
        <v>Analítica Espacial</v>
      </c>
      <c r="V159" s="30" t="str">
        <f t="shared" si="27"/>
        <v>Analema Solar</v>
      </c>
      <c r="W159" s="30" t="s">
        <v>85</v>
      </c>
      <c r="X159" s="45" t="str">
        <f t="shared" si="24"/>
        <v>Key-AMB-159</v>
      </c>
      <c r="Y159" s="48" t="s">
        <v>217</v>
      </c>
      <c r="Z159" s="61" t="s">
        <v>10</v>
      </c>
      <c r="AA159" s="56" t="s">
        <v>10</v>
      </c>
      <c r="AB159" s="61" t="s">
        <v>10</v>
      </c>
      <c r="AC159" s="56" t="s">
        <v>10</v>
      </c>
      <c r="AD159" s="61" t="s">
        <v>10</v>
      </c>
    </row>
    <row r="160" spans="1:30" s="34" customFormat="1" ht="6.75" customHeight="1" x14ac:dyDescent="0.25">
      <c r="A160" s="49">
        <v>160</v>
      </c>
      <c r="B160" s="27" t="s">
        <v>417</v>
      </c>
      <c r="C160" s="27" t="s">
        <v>422</v>
      </c>
      <c r="D160" s="27" t="s">
        <v>327</v>
      </c>
      <c r="E160" s="27" t="s">
        <v>210</v>
      </c>
      <c r="F160" s="47" t="s">
        <v>220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26"/>
        <v>De.Espacialidade</v>
      </c>
      <c r="M160" s="29" t="str">
        <f t="shared" si="26"/>
        <v>Analítica.Espacial</v>
      </c>
      <c r="N160" s="29" t="str">
        <f t="shared" si="29"/>
        <v>Analema Solar</v>
      </c>
      <c r="O160" s="29" t="str">
        <f t="shared" si="28"/>
        <v>Sol Percurso 2</v>
      </c>
      <c r="P160" s="30" t="s">
        <v>329</v>
      </c>
      <c r="Q160" s="30" t="s">
        <v>794</v>
      </c>
      <c r="R160" s="30" t="s">
        <v>617</v>
      </c>
      <c r="S160" s="63" t="s">
        <v>10</v>
      </c>
      <c r="T160" s="30" t="str">
        <f t="shared" si="27"/>
        <v>De Espacialidade</v>
      </c>
      <c r="U160" s="30" t="str">
        <f t="shared" si="27"/>
        <v>Analítica Espacial</v>
      </c>
      <c r="V160" s="30" t="str">
        <f t="shared" si="27"/>
        <v>Analema Solar</v>
      </c>
      <c r="W160" s="30" t="s">
        <v>85</v>
      </c>
      <c r="X160" s="45" t="str">
        <f t="shared" si="24"/>
        <v>Key-AMB-160</v>
      </c>
      <c r="Y160" s="48" t="s">
        <v>212</v>
      </c>
      <c r="Z160" s="61" t="s">
        <v>10</v>
      </c>
      <c r="AA160" s="56" t="s">
        <v>10</v>
      </c>
      <c r="AB160" s="61" t="s">
        <v>10</v>
      </c>
      <c r="AC160" s="56" t="s">
        <v>10</v>
      </c>
      <c r="AD160" s="61" t="s">
        <v>10</v>
      </c>
    </row>
    <row r="161" spans="1:30" s="34" customFormat="1" ht="6.75" customHeight="1" x14ac:dyDescent="0.25">
      <c r="A161" s="49">
        <v>161</v>
      </c>
      <c r="B161" s="27" t="s">
        <v>417</v>
      </c>
      <c r="C161" s="27" t="s">
        <v>422</v>
      </c>
      <c r="D161" s="27" t="s">
        <v>327</v>
      </c>
      <c r="E161" s="27" t="s">
        <v>210</v>
      </c>
      <c r="F161" s="47" t="s">
        <v>221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26"/>
        <v>De.Espacialidade</v>
      </c>
      <c r="M161" s="29" t="str">
        <f t="shared" si="26"/>
        <v>Analítica.Espacial</v>
      </c>
      <c r="N161" s="29" t="str">
        <f t="shared" si="29"/>
        <v>Analema Solar</v>
      </c>
      <c r="O161" s="29" t="str">
        <f t="shared" si="28"/>
        <v>Sol Texto Amanhecer</v>
      </c>
      <c r="P161" s="30" t="s">
        <v>330</v>
      </c>
      <c r="Q161" s="30" t="s">
        <v>795</v>
      </c>
      <c r="R161" s="30" t="s">
        <v>618</v>
      </c>
      <c r="S161" s="63" t="s">
        <v>10</v>
      </c>
      <c r="T161" s="30" t="str">
        <f t="shared" si="27"/>
        <v>De Espacialidade</v>
      </c>
      <c r="U161" s="30" t="str">
        <f t="shared" si="27"/>
        <v>Analítica Espacial</v>
      </c>
      <c r="V161" s="30" t="str">
        <f t="shared" si="27"/>
        <v>Analema Solar</v>
      </c>
      <c r="W161" s="30" t="s">
        <v>85</v>
      </c>
      <c r="X161" s="45" t="str">
        <f t="shared" si="24"/>
        <v>Key-AMB-161</v>
      </c>
      <c r="Y161" s="48" t="s">
        <v>216</v>
      </c>
      <c r="Z161" s="61" t="s">
        <v>10</v>
      </c>
      <c r="AA161" s="56" t="s">
        <v>10</v>
      </c>
      <c r="AB161" s="61" t="s">
        <v>10</v>
      </c>
      <c r="AC161" s="56" t="s">
        <v>10</v>
      </c>
      <c r="AD161" s="61" t="s">
        <v>10</v>
      </c>
    </row>
    <row r="162" spans="1:30" s="34" customFormat="1" ht="6.75" customHeight="1" x14ac:dyDescent="0.25">
      <c r="A162" s="49">
        <v>162</v>
      </c>
      <c r="B162" s="27" t="s">
        <v>417</v>
      </c>
      <c r="C162" s="27" t="s">
        <v>422</v>
      </c>
      <c r="D162" s="27" t="s">
        <v>327</v>
      </c>
      <c r="E162" s="27" t="s">
        <v>210</v>
      </c>
      <c r="F162" s="47" t="s">
        <v>222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26"/>
        <v>De.Espacialidade</v>
      </c>
      <c r="M162" s="29" t="str">
        <f t="shared" si="26"/>
        <v>Analítica.Espacial</v>
      </c>
      <c r="N162" s="29" t="str">
        <f t="shared" si="29"/>
        <v>Analema Solar</v>
      </c>
      <c r="O162" s="29" t="str">
        <f t="shared" si="28"/>
        <v>Sol Texto Anoitecer</v>
      </c>
      <c r="P162" s="30" t="s">
        <v>331</v>
      </c>
      <c r="Q162" s="30" t="s">
        <v>796</v>
      </c>
      <c r="R162" s="30" t="s">
        <v>619</v>
      </c>
      <c r="S162" s="63" t="s">
        <v>10</v>
      </c>
      <c r="T162" s="30" t="str">
        <f t="shared" si="27"/>
        <v>De Espacialidade</v>
      </c>
      <c r="U162" s="30" t="str">
        <f t="shared" si="27"/>
        <v>Analítica Espacial</v>
      </c>
      <c r="V162" s="30" t="str">
        <f t="shared" si="27"/>
        <v>Analema Solar</v>
      </c>
      <c r="W162" s="30" t="s">
        <v>85</v>
      </c>
      <c r="X162" s="45" t="str">
        <f t="shared" si="24"/>
        <v>Key-AMB-162</v>
      </c>
      <c r="Y162" s="48" t="s">
        <v>213</v>
      </c>
      <c r="Z162" s="61" t="s">
        <v>10</v>
      </c>
      <c r="AA162" s="56" t="s">
        <v>10</v>
      </c>
      <c r="AB162" s="61" t="s">
        <v>10</v>
      </c>
      <c r="AC162" s="56" t="s">
        <v>10</v>
      </c>
      <c r="AD162" s="61" t="s">
        <v>10</v>
      </c>
    </row>
    <row r="163" spans="1:30" s="34" customFormat="1" ht="6.75" customHeight="1" x14ac:dyDescent="0.25">
      <c r="A163" s="49">
        <v>163</v>
      </c>
      <c r="B163" s="27" t="s">
        <v>417</v>
      </c>
      <c r="C163" s="27" t="s">
        <v>422</v>
      </c>
      <c r="D163" s="27" t="s">
        <v>327</v>
      </c>
      <c r="E163" s="27" t="s">
        <v>210</v>
      </c>
      <c r="F163" s="47" t="s">
        <v>223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26"/>
        <v>De.Espacialidade</v>
      </c>
      <c r="M163" s="29" t="str">
        <f t="shared" si="26"/>
        <v>Analítica.Espacial</v>
      </c>
      <c r="N163" s="29" t="str">
        <f t="shared" si="29"/>
        <v>Analema Solar</v>
      </c>
      <c r="O163" s="29" t="str">
        <f t="shared" si="28"/>
        <v>Sol Estudo</v>
      </c>
      <c r="P163" s="30" t="s">
        <v>332</v>
      </c>
      <c r="Q163" s="30" t="s">
        <v>797</v>
      </c>
      <c r="R163" s="30" t="s">
        <v>620</v>
      </c>
      <c r="S163" s="63" t="s">
        <v>10</v>
      </c>
      <c r="T163" s="30" t="str">
        <f t="shared" si="27"/>
        <v>De Espacialidade</v>
      </c>
      <c r="U163" s="30" t="str">
        <f t="shared" si="27"/>
        <v>Analítica Espacial</v>
      </c>
      <c r="V163" s="30" t="str">
        <f t="shared" si="27"/>
        <v>Analema Solar</v>
      </c>
      <c r="W163" s="30" t="s">
        <v>85</v>
      </c>
      <c r="X163" s="45" t="str">
        <f t="shared" si="24"/>
        <v>Key-AMB-163</v>
      </c>
      <c r="Y163" s="48" t="s">
        <v>215</v>
      </c>
      <c r="Z163" s="61" t="s">
        <v>10</v>
      </c>
      <c r="AA163" s="56" t="s">
        <v>10</v>
      </c>
      <c r="AB163" s="61" t="s">
        <v>10</v>
      </c>
      <c r="AC163" s="56" t="s">
        <v>10</v>
      </c>
      <c r="AD163" s="61" t="s">
        <v>10</v>
      </c>
    </row>
    <row r="164" spans="1:30" s="34" customFormat="1" ht="6.75" customHeight="1" x14ac:dyDescent="0.25">
      <c r="A164" s="49">
        <v>164</v>
      </c>
      <c r="B164" s="27" t="s">
        <v>417</v>
      </c>
      <c r="C164" s="27" t="s">
        <v>422</v>
      </c>
      <c r="D164" s="27" t="s">
        <v>327</v>
      </c>
      <c r="E164" s="27" t="s">
        <v>210</v>
      </c>
      <c r="F164" s="47" t="s">
        <v>224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26"/>
        <v>De.Espacialidade</v>
      </c>
      <c r="M164" s="29" t="str">
        <f>CONCATENATE("", D164)</f>
        <v>Analítica.Espacial</v>
      </c>
      <c r="N164" s="29" t="str">
        <f t="shared" si="29"/>
        <v>Analema Solar</v>
      </c>
      <c r="O164" s="29" t="str">
        <f t="shared" si="28"/>
        <v>Sol Superfície</v>
      </c>
      <c r="P164" s="30" t="s">
        <v>333</v>
      </c>
      <c r="Q164" s="30" t="s">
        <v>798</v>
      </c>
      <c r="R164" s="30" t="s">
        <v>621</v>
      </c>
      <c r="S164" s="63" t="s">
        <v>10</v>
      </c>
      <c r="T164" s="30" t="str">
        <f t="shared" si="27"/>
        <v>De Espacialidade</v>
      </c>
      <c r="U164" s="30" t="str">
        <f>SUBSTITUTE(D164, ".", " ")</f>
        <v>Analítica Espacial</v>
      </c>
      <c r="V164" s="30" t="str">
        <f t="shared" si="27"/>
        <v>Analema Solar</v>
      </c>
      <c r="W164" s="30" t="s">
        <v>85</v>
      </c>
      <c r="X164" s="45" t="str">
        <f t="shared" si="24"/>
        <v>Key-AMB-164</v>
      </c>
      <c r="Y164" s="48" t="s">
        <v>214</v>
      </c>
      <c r="Z164" s="61" t="s">
        <v>10</v>
      </c>
      <c r="AA164" s="56" t="s">
        <v>10</v>
      </c>
      <c r="AB164" s="61" t="s">
        <v>10</v>
      </c>
      <c r="AC164" s="56" t="s">
        <v>10</v>
      </c>
      <c r="AD164" s="61" t="s">
        <v>10</v>
      </c>
    </row>
    <row r="165" spans="1:30" s="34" customFormat="1" ht="6.75" customHeight="1" x14ac:dyDescent="0.25">
      <c r="A165" s="49">
        <v>165</v>
      </c>
      <c r="B165" s="27" t="s">
        <v>417</v>
      </c>
      <c r="C165" s="27" t="s">
        <v>422</v>
      </c>
      <c r="D165" s="27" t="s">
        <v>327</v>
      </c>
      <c r="E165" s="27" t="s">
        <v>170</v>
      </c>
      <c r="F165" s="27" t="s">
        <v>166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26"/>
        <v>De.Espacialidade</v>
      </c>
      <c r="M165" s="29" t="str">
        <f t="shared" si="26"/>
        <v>Analítica.Espacial</v>
      </c>
      <c r="N165" s="29" t="str">
        <f t="shared" si="29"/>
        <v>Orientação Solar</v>
      </c>
      <c r="O165" s="29" t="str">
        <f t="shared" si="28"/>
        <v>Orientação Norte</v>
      </c>
      <c r="P165" s="30" t="s">
        <v>334</v>
      </c>
      <c r="Q165" s="30" t="s">
        <v>799</v>
      </c>
      <c r="R165" s="30" t="s">
        <v>622</v>
      </c>
      <c r="S165" s="63" t="s">
        <v>10</v>
      </c>
      <c r="T165" s="30" t="str">
        <f t="shared" si="27"/>
        <v>De Espacialidade</v>
      </c>
      <c r="U165" s="30" t="str">
        <f t="shared" si="27"/>
        <v>Analítica Espacial</v>
      </c>
      <c r="V165" s="30" t="str">
        <f t="shared" si="27"/>
        <v>Orientação Solar</v>
      </c>
      <c r="W165" s="30" t="s">
        <v>85</v>
      </c>
      <c r="X165" s="45" t="str">
        <f t="shared" si="24"/>
        <v>Key-AMB-165</v>
      </c>
      <c r="Y165" s="30" t="s">
        <v>225</v>
      </c>
      <c r="Z165" s="61" t="s">
        <v>10</v>
      </c>
      <c r="AA165" s="30" t="s">
        <v>226</v>
      </c>
      <c r="AB165" s="61" t="s">
        <v>10</v>
      </c>
      <c r="AC165" s="56" t="s">
        <v>10</v>
      </c>
      <c r="AD165" s="61" t="s">
        <v>10</v>
      </c>
    </row>
    <row r="166" spans="1:30" s="34" customFormat="1" ht="6.75" customHeight="1" x14ac:dyDescent="0.25">
      <c r="A166" s="49">
        <v>166</v>
      </c>
      <c r="B166" s="27" t="s">
        <v>417</v>
      </c>
      <c r="C166" s="27" t="s">
        <v>422</v>
      </c>
      <c r="D166" s="27" t="s">
        <v>327</v>
      </c>
      <c r="E166" s="27" t="s">
        <v>170</v>
      </c>
      <c r="F166" s="27" t="s">
        <v>167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26"/>
        <v>De.Espacialidade</v>
      </c>
      <c r="M166" s="29" t="str">
        <f t="shared" si="26"/>
        <v>Analítica.Espacial</v>
      </c>
      <c r="N166" s="29" t="str">
        <f t="shared" si="29"/>
        <v>Orientação Solar</v>
      </c>
      <c r="O166" s="29" t="str">
        <f t="shared" si="28"/>
        <v>Orientação Sul</v>
      </c>
      <c r="P166" s="30" t="s">
        <v>335</v>
      </c>
      <c r="Q166" s="30" t="s">
        <v>800</v>
      </c>
      <c r="R166" s="30" t="s">
        <v>623</v>
      </c>
      <c r="S166" s="63" t="s">
        <v>10</v>
      </c>
      <c r="T166" s="30" t="str">
        <f t="shared" si="27"/>
        <v>De Espacialidade</v>
      </c>
      <c r="U166" s="30" t="str">
        <f t="shared" si="27"/>
        <v>Analítica Espacial</v>
      </c>
      <c r="V166" s="30" t="str">
        <f t="shared" si="27"/>
        <v>Orientação Solar</v>
      </c>
      <c r="W166" s="30" t="s">
        <v>85</v>
      </c>
      <c r="X166" s="45" t="str">
        <f t="shared" si="24"/>
        <v>Key-AMB-166</v>
      </c>
      <c r="Y166" s="30" t="s">
        <v>225</v>
      </c>
      <c r="Z166" s="61" t="s">
        <v>10</v>
      </c>
      <c r="AA166" s="30" t="s">
        <v>226</v>
      </c>
      <c r="AB166" s="61" t="s">
        <v>10</v>
      </c>
      <c r="AC166" s="56" t="s">
        <v>10</v>
      </c>
      <c r="AD166" s="61" t="s">
        <v>10</v>
      </c>
    </row>
    <row r="167" spans="1:30" s="34" customFormat="1" ht="6.75" customHeight="1" x14ac:dyDescent="0.25">
      <c r="A167" s="49">
        <v>167</v>
      </c>
      <c r="B167" s="27" t="s">
        <v>417</v>
      </c>
      <c r="C167" s="27" t="s">
        <v>422</v>
      </c>
      <c r="D167" s="27" t="s">
        <v>327</v>
      </c>
      <c r="E167" s="27" t="s">
        <v>170</v>
      </c>
      <c r="F167" s="27" t="s">
        <v>168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26"/>
        <v>De.Espacialidade</v>
      </c>
      <c r="M167" s="29" t="str">
        <f t="shared" si="26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337</v>
      </c>
      <c r="Q167" s="30" t="s">
        <v>801</v>
      </c>
      <c r="R167" s="30" t="s">
        <v>624</v>
      </c>
      <c r="S167" s="63" t="s">
        <v>10</v>
      </c>
      <c r="T167" s="30" t="str">
        <f t="shared" si="27"/>
        <v>De Espacialidade</v>
      </c>
      <c r="U167" s="30" t="str">
        <f t="shared" si="27"/>
        <v>Analítica Espacial</v>
      </c>
      <c r="V167" s="30" t="str">
        <f t="shared" si="27"/>
        <v>Orientação Solar</v>
      </c>
      <c r="W167" s="30" t="s">
        <v>85</v>
      </c>
      <c r="X167" s="45" t="str">
        <f t="shared" si="24"/>
        <v>Key-AMB-167</v>
      </c>
      <c r="Y167" s="30" t="s">
        <v>225</v>
      </c>
      <c r="Z167" s="61" t="s">
        <v>10</v>
      </c>
      <c r="AA167" s="30" t="s">
        <v>226</v>
      </c>
      <c r="AB167" s="61" t="s">
        <v>10</v>
      </c>
      <c r="AC167" s="56" t="s">
        <v>10</v>
      </c>
      <c r="AD167" s="61" t="s">
        <v>10</v>
      </c>
    </row>
    <row r="168" spans="1:30" s="34" customFormat="1" ht="6.75" customHeight="1" x14ac:dyDescent="0.25">
      <c r="A168" s="49">
        <v>168</v>
      </c>
      <c r="B168" s="27" t="s">
        <v>417</v>
      </c>
      <c r="C168" s="27" t="s">
        <v>422</v>
      </c>
      <c r="D168" s="27" t="s">
        <v>327</v>
      </c>
      <c r="E168" s="27" t="s">
        <v>170</v>
      </c>
      <c r="F168" s="27" t="s">
        <v>169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26"/>
        <v>De.Espacialidade</v>
      </c>
      <c r="M168" s="29" t="str">
        <f t="shared" si="26"/>
        <v>Analítica.Espacial</v>
      </c>
      <c r="N168" s="29" t="str">
        <f t="shared" ref="N168:O180" si="30">(SUBSTITUTE(SUBSTITUTE(CONCATENATE("",E168),"."," ")," De "," de "))</f>
        <v>Orientação Solar</v>
      </c>
      <c r="O168" s="29" t="str">
        <f t="shared" si="30"/>
        <v>Orientação Oeste</v>
      </c>
      <c r="P168" s="30" t="s">
        <v>336</v>
      </c>
      <c r="Q168" s="30" t="s">
        <v>802</v>
      </c>
      <c r="R168" s="30" t="s">
        <v>625</v>
      </c>
      <c r="S168" s="63" t="s">
        <v>10</v>
      </c>
      <c r="T168" s="30" t="str">
        <f t="shared" si="27"/>
        <v>De Espacialidade</v>
      </c>
      <c r="U168" s="30" t="str">
        <f t="shared" si="27"/>
        <v>Analítica Espacial</v>
      </c>
      <c r="V168" s="30" t="str">
        <f t="shared" si="27"/>
        <v>Orientação Solar</v>
      </c>
      <c r="W168" s="30" t="s">
        <v>85</v>
      </c>
      <c r="X168" s="45" t="str">
        <f t="shared" si="24"/>
        <v>Key-AMB-168</v>
      </c>
      <c r="Y168" s="30" t="s">
        <v>225</v>
      </c>
      <c r="Z168" s="61" t="s">
        <v>10</v>
      </c>
      <c r="AA168" s="30" t="s">
        <v>226</v>
      </c>
      <c r="AB168" s="61" t="s">
        <v>10</v>
      </c>
      <c r="AC168" s="56" t="s">
        <v>10</v>
      </c>
      <c r="AD168" s="61" t="s">
        <v>10</v>
      </c>
    </row>
    <row r="169" spans="1:30" s="34" customFormat="1" ht="6.75" customHeight="1" x14ac:dyDescent="0.25">
      <c r="A169" s="49">
        <v>169</v>
      </c>
      <c r="B169" s="27" t="s">
        <v>417</v>
      </c>
      <c r="C169" s="27" t="s">
        <v>422</v>
      </c>
      <c r="D169" s="27" t="s">
        <v>327</v>
      </c>
      <c r="E169" s="27" t="s">
        <v>170</v>
      </c>
      <c r="F169" s="27" t="s">
        <v>171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26"/>
        <v>De.Espacialidade</v>
      </c>
      <c r="M169" s="29" t="str">
        <f t="shared" si="26"/>
        <v>Analítica.Espacial</v>
      </c>
      <c r="N169" s="29" t="str">
        <f t="shared" si="30"/>
        <v>Orientação Solar</v>
      </c>
      <c r="O169" s="29" t="str">
        <f t="shared" si="30"/>
        <v>Símbolo de Norte</v>
      </c>
      <c r="P169" s="30" t="s">
        <v>172</v>
      </c>
      <c r="Q169" s="30" t="s">
        <v>803</v>
      </c>
      <c r="R169" s="30" t="s">
        <v>626</v>
      </c>
      <c r="S169" s="63" t="s">
        <v>10</v>
      </c>
      <c r="T169" s="30" t="str">
        <f t="shared" si="27"/>
        <v>De Espacialidade</v>
      </c>
      <c r="U169" s="30" t="str">
        <f t="shared" si="27"/>
        <v>Analítica Espacial</v>
      </c>
      <c r="V169" s="30" t="str">
        <f t="shared" si="27"/>
        <v>Orientação Solar</v>
      </c>
      <c r="W169" s="30" t="s">
        <v>85</v>
      </c>
      <c r="X169" s="45" t="str">
        <f t="shared" si="24"/>
        <v>Key-AMB-169</v>
      </c>
      <c r="Y169" s="30" t="s">
        <v>225</v>
      </c>
      <c r="Z169" s="61" t="s">
        <v>10</v>
      </c>
      <c r="AA169" s="30" t="s">
        <v>226</v>
      </c>
      <c r="AB169" s="61" t="s">
        <v>10</v>
      </c>
      <c r="AC169" s="56" t="s">
        <v>10</v>
      </c>
      <c r="AD169" s="61" t="s">
        <v>10</v>
      </c>
    </row>
    <row r="170" spans="1:30" ht="6.75" customHeight="1" x14ac:dyDescent="0.25">
      <c r="A170" s="49">
        <v>170</v>
      </c>
      <c r="B170" s="27" t="s">
        <v>78</v>
      </c>
      <c r="C170" s="27" t="s">
        <v>386</v>
      </c>
      <c r="D170" s="27" t="s">
        <v>400</v>
      </c>
      <c r="E170" s="27" t="s">
        <v>957</v>
      </c>
      <c r="F170" s="28" t="s">
        <v>402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31">CONCATENATE("", C170)</f>
        <v>De.Arquitetura</v>
      </c>
      <c r="M170" s="29" t="str">
        <f t="shared" ref="M170:M171" si="32">CONCATENATE("", D170)</f>
        <v>Layout</v>
      </c>
      <c r="N170" s="29" t="str">
        <f t="shared" ref="N170:N171" si="33">(SUBSTITUTE(SUBSTITUTE(CONCATENATE("",E170),"."," ")," De "," de "))</f>
        <v>Espaço Existente</v>
      </c>
      <c r="O170" s="29" t="str">
        <f t="shared" ref="O170:O171" si="34">(SUBSTITUTE(SUBSTITUTE(CONCATENATE("",F170),"."," ")," De "," de "))</f>
        <v>Campus Existente</v>
      </c>
      <c r="P170" s="30" t="s">
        <v>390</v>
      </c>
      <c r="Q170" s="30" t="s">
        <v>804</v>
      </c>
      <c r="R170" s="30" t="s">
        <v>627</v>
      </c>
      <c r="S170" s="63" t="s">
        <v>10</v>
      </c>
      <c r="T170" s="30" t="str">
        <f t="shared" si="27"/>
        <v>De Arquitetura</v>
      </c>
      <c r="U170" s="30" t="str">
        <f t="shared" si="27"/>
        <v>Layout</v>
      </c>
      <c r="V170" s="30" t="str">
        <f t="shared" si="27"/>
        <v>Espaço Existente</v>
      </c>
      <c r="W170" s="30" t="s">
        <v>85</v>
      </c>
      <c r="X170" s="45" t="str">
        <f t="shared" ref="X170:X171" si="35">CONCATENATE("Key-AMB-",A170)</f>
        <v>Key-AMB-170</v>
      </c>
      <c r="Y170" s="61" t="s">
        <v>10</v>
      </c>
      <c r="Z170" s="61" t="s">
        <v>10</v>
      </c>
      <c r="AA170" s="56" t="s">
        <v>10</v>
      </c>
      <c r="AB170" s="61" t="s">
        <v>10</v>
      </c>
      <c r="AC170" s="56" t="s">
        <v>10</v>
      </c>
      <c r="AD170" s="61" t="s">
        <v>10</v>
      </c>
    </row>
    <row r="171" spans="1:30" s="34" customFormat="1" ht="6.75" customHeight="1" x14ac:dyDescent="0.25">
      <c r="A171" s="49">
        <v>171</v>
      </c>
      <c r="B171" s="27" t="s">
        <v>78</v>
      </c>
      <c r="C171" s="27" t="s">
        <v>386</v>
      </c>
      <c r="D171" s="27" t="s">
        <v>400</v>
      </c>
      <c r="E171" s="27" t="s">
        <v>957</v>
      </c>
      <c r="F171" s="28" t="s">
        <v>403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31"/>
        <v>De.Arquitetura</v>
      </c>
      <c r="M171" s="29" t="str">
        <f t="shared" si="32"/>
        <v>Layout</v>
      </c>
      <c r="N171" s="29" t="str">
        <f t="shared" si="33"/>
        <v>Espaço Existente</v>
      </c>
      <c r="O171" s="29" t="str">
        <f t="shared" si="34"/>
        <v>Edifício Existente</v>
      </c>
      <c r="P171" s="30" t="s">
        <v>389</v>
      </c>
      <c r="Q171" s="30" t="s">
        <v>805</v>
      </c>
      <c r="R171" s="30" t="s">
        <v>628</v>
      </c>
      <c r="S171" s="63" t="s">
        <v>10</v>
      </c>
      <c r="T171" s="30" t="str">
        <f t="shared" ref="T171" si="36">SUBSTITUTE(C171, ".", " ")</f>
        <v>De Arquitetura</v>
      </c>
      <c r="U171" s="30" t="str">
        <f t="shared" ref="U171" si="37">SUBSTITUTE(D171, ".", " ")</f>
        <v>Layout</v>
      </c>
      <c r="V171" s="30" t="str">
        <f t="shared" ref="V171" si="38">SUBSTITUTE(E171, ".", " ")</f>
        <v>Espaço Existente</v>
      </c>
      <c r="W171" s="30" t="s">
        <v>85</v>
      </c>
      <c r="X171" s="45" t="str">
        <f t="shared" si="35"/>
        <v>Key-AMB-171</v>
      </c>
      <c r="Y171" s="61" t="s">
        <v>10</v>
      </c>
      <c r="Z171" s="61" t="s">
        <v>10</v>
      </c>
      <c r="AA171" s="56" t="s">
        <v>10</v>
      </c>
      <c r="AB171" s="61" t="s">
        <v>10</v>
      </c>
      <c r="AC171" s="56" t="s">
        <v>10</v>
      </c>
      <c r="AD171" s="61" t="s">
        <v>10</v>
      </c>
    </row>
    <row r="172" spans="1:30" s="34" customFormat="1" ht="6.75" customHeight="1" x14ac:dyDescent="0.25">
      <c r="A172" s="49">
        <v>172</v>
      </c>
      <c r="B172" s="27" t="s">
        <v>78</v>
      </c>
      <c r="C172" s="27" t="s">
        <v>386</v>
      </c>
      <c r="D172" s="27" t="s">
        <v>400</v>
      </c>
      <c r="E172" s="27" t="s">
        <v>957</v>
      </c>
      <c r="F172" s="28" t="s">
        <v>404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26"/>
        <v>De.Arquitetura</v>
      </c>
      <c r="M172" s="29" t="str">
        <f t="shared" si="26"/>
        <v>Layout</v>
      </c>
      <c r="N172" s="29" t="str">
        <f t="shared" si="30"/>
        <v>Espaço Existente</v>
      </c>
      <c r="O172" s="29" t="str">
        <f t="shared" si="30"/>
        <v>Bloco Existente</v>
      </c>
      <c r="P172" s="30" t="s">
        <v>399</v>
      </c>
      <c r="Q172" s="30" t="s">
        <v>806</v>
      </c>
      <c r="R172" s="30" t="s">
        <v>629</v>
      </c>
      <c r="S172" s="63" t="s">
        <v>10</v>
      </c>
      <c r="T172" s="30" t="str">
        <f t="shared" si="27"/>
        <v>De Arquitetura</v>
      </c>
      <c r="U172" s="30" t="str">
        <f t="shared" si="27"/>
        <v>Layout</v>
      </c>
      <c r="V172" s="30" t="str">
        <f t="shared" si="27"/>
        <v>Espaço Existente</v>
      </c>
      <c r="W172" s="30" t="s">
        <v>85</v>
      </c>
      <c r="X172" s="45" t="str">
        <f t="shared" si="24"/>
        <v>Key-AMB-172</v>
      </c>
      <c r="Y172" s="61" t="s">
        <v>10</v>
      </c>
      <c r="Z172" s="61" t="s">
        <v>10</v>
      </c>
      <c r="AA172" s="56" t="s">
        <v>10</v>
      </c>
      <c r="AB172" s="61" t="s">
        <v>10</v>
      </c>
      <c r="AC172" s="56" t="s">
        <v>10</v>
      </c>
      <c r="AD172" s="61" t="s">
        <v>10</v>
      </c>
    </row>
    <row r="173" spans="1:30" ht="6.75" customHeight="1" x14ac:dyDescent="0.25">
      <c r="A173" s="49">
        <v>173</v>
      </c>
      <c r="B173" s="27" t="s">
        <v>78</v>
      </c>
      <c r="C173" s="27" t="s">
        <v>386</v>
      </c>
      <c r="D173" s="27" t="s">
        <v>400</v>
      </c>
      <c r="E173" s="27" t="s">
        <v>957</v>
      </c>
      <c r="F173" s="31" t="s">
        <v>405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39">CONCATENATE("", C173)</f>
        <v>De.Arquitetura</v>
      </c>
      <c r="M173" s="29" t="str">
        <f t="shared" ref="M173" si="40">CONCATENATE("", D173)</f>
        <v>Layout</v>
      </c>
      <c r="N173" s="29" t="str">
        <f t="shared" ref="N173" si="41">(SUBSTITUTE(SUBSTITUTE(CONCATENATE("",E173),"."," ")," De "," de "))</f>
        <v>Espaço Existente</v>
      </c>
      <c r="O173" s="29" t="str">
        <f t="shared" ref="O173" si="42">(SUBSTITUTE(SUBSTITUTE(CONCATENATE("",F173),"."," ")," De "," de "))</f>
        <v>Zona Existente</v>
      </c>
      <c r="P173" s="30" t="s">
        <v>391</v>
      </c>
      <c r="Q173" s="30" t="s">
        <v>807</v>
      </c>
      <c r="R173" s="30" t="s">
        <v>630</v>
      </c>
      <c r="S173" s="63" t="s">
        <v>10</v>
      </c>
      <c r="T173" s="30" t="str">
        <f t="shared" ref="T173" si="43">SUBSTITUTE(C173, ".", " ")</f>
        <v>De Arquitetura</v>
      </c>
      <c r="U173" s="30" t="str">
        <f t="shared" ref="U173" si="44">SUBSTITUTE(D173, ".", " ")</f>
        <v>Layout</v>
      </c>
      <c r="V173" s="30" t="str">
        <f t="shared" ref="V173" si="45">SUBSTITUTE(E173, ".", " ")</f>
        <v>Espaço Existente</v>
      </c>
      <c r="W173" s="30" t="s">
        <v>85</v>
      </c>
      <c r="X173" s="45" t="str">
        <f t="shared" si="24"/>
        <v>Key-AMB-173</v>
      </c>
      <c r="Y173" s="30" t="s">
        <v>387</v>
      </c>
      <c r="Z173" s="61" t="s">
        <v>10</v>
      </c>
      <c r="AA173" s="41" t="s">
        <v>186</v>
      </c>
      <c r="AB173" s="61" t="s">
        <v>10</v>
      </c>
      <c r="AC173" s="56" t="s">
        <v>10</v>
      </c>
      <c r="AD173" s="61" t="s">
        <v>10</v>
      </c>
    </row>
    <row r="174" spans="1:30" s="34" customFormat="1" ht="6.75" customHeight="1" x14ac:dyDescent="0.25">
      <c r="A174" s="49">
        <v>174</v>
      </c>
      <c r="B174" s="27" t="s">
        <v>78</v>
      </c>
      <c r="C174" s="27" t="s">
        <v>386</v>
      </c>
      <c r="D174" s="27" t="s">
        <v>400</v>
      </c>
      <c r="E174" s="27" t="s">
        <v>957</v>
      </c>
      <c r="F174" s="28" t="s">
        <v>406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46">CONCATENATE("", C174)</f>
        <v>De.Arquitetura</v>
      </c>
      <c r="M174" s="29" t="str">
        <f t="shared" ref="M174" si="47">CONCATENATE("", D174)</f>
        <v>Layout</v>
      </c>
      <c r="N174" s="29" t="str">
        <f t="shared" ref="N174" si="48">(SUBSTITUTE(SUBSTITUTE(CONCATENATE("",E174),"."," ")," De "," de "))</f>
        <v>Espaço Existente</v>
      </c>
      <c r="O174" s="29" t="str">
        <f t="shared" ref="O174" si="49">(SUBSTITUTE(SUBSTITUTE(CONCATENATE("",F174),"."," ")," De "," de "))</f>
        <v>Andar Existente</v>
      </c>
      <c r="P174" s="30" t="s">
        <v>394</v>
      </c>
      <c r="Q174" s="30" t="s">
        <v>808</v>
      </c>
      <c r="R174" s="30" t="s">
        <v>631</v>
      </c>
      <c r="S174" s="63" t="s">
        <v>10</v>
      </c>
      <c r="T174" s="30" t="str">
        <f t="shared" ref="T174" si="50">SUBSTITUTE(C174, ".", " ")</f>
        <v>De Arquitetura</v>
      </c>
      <c r="U174" s="30" t="str">
        <f t="shared" ref="U174" si="51">SUBSTITUTE(D174, ".", " ")</f>
        <v>Layout</v>
      </c>
      <c r="V174" s="30" t="str">
        <f t="shared" ref="V174" si="52">SUBSTITUTE(E174, ".", " ")</f>
        <v>Espaço Existente</v>
      </c>
      <c r="W174" s="30" t="s">
        <v>85</v>
      </c>
      <c r="X174" s="45" t="str">
        <f t="shared" ref="X174" si="53">CONCATENATE("Key-AMB-",A174)</f>
        <v>Key-AMB-174</v>
      </c>
      <c r="Y174" s="30" t="s">
        <v>449</v>
      </c>
      <c r="Z174" s="61" t="s">
        <v>10</v>
      </c>
      <c r="AA174" s="41" t="s">
        <v>174</v>
      </c>
      <c r="AB174" s="61" t="s">
        <v>10</v>
      </c>
      <c r="AC174" s="56" t="s">
        <v>208</v>
      </c>
      <c r="AD174" s="61" t="s">
        <v>10</v>
      </c>
    </row>
    <row r="175" spans="1:30" s="34" customFormat="1" ht="6.75" customHeight="1" x14ac:dyDescent="0.25">
      <c r="A175" s="49">
        <v>175</v>
      </c>
      <c r="B175" s="27" t="s">
        <v>78</v>
      </c>
      <c r="C175" s="27" t="s">
        <v>386</v>
      </c>
      <c r="D175" s="27" t="s">
        <v>400</v>
      </c>
      <c r="E175" s="27" t="s">
        <v>957</v>
      </c>
      <c r="F175" s="28" t="s">
        <v>407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26"/>
        <v>De.Arquitetura</v>
      </c>
      <c r="M175" s="29" t="str">
        <f t="shared" si="26"/>
        <v>Layout</v>
      </c>
      <c r="N175" s="29" t="str">
        <f t="shared" si="30"/>
        <v>Espaço Existente</v>
      </c>
      <c r="O175" s="29" t="str">
        <f t="shared" si="30"/>
        <v>Compartimento Existente</v>
      </c>
      <c r="P175" s="30" t="s">
        <v>392</v>
      </c>
      <c r="Q175" s="30" t="s">
        <v>392</v>
      </c>
      <c r="R175" s="30" t="s">
        <v>632</v>
      </c>
      <c r="S175" s="63" t="s">
        <v>10</v>
      </c>
      <c r="T175" s="30" t="str">
        <f t="shared" ref="T175:V180" si="54">SUBSTITUTE(C175, ".", " ")</f>
        <v>De Arquitetura</v>
      </c>
      <c r="U175" s="30" t="str">
        <f t="shared" si="54"/>
        <v>Layout</v>
      </c>
      <c r="V175" s="30" t="str">
        <f t="shared" si="54"/>
        <v>Espaço Existente</v>
      </c>
      <c r="W175" s="30" t="s">
        <v>85</v>
      </c>
      <c r="X175" s="45" t="str">
        <f t="shared" si="24"/>
        <v>Key-AMB-175</v>
      </c>
      <c r="Y175" s="30" t="s">
        <v>451</v>
      </c>
      <c r="Z175" s="61" t="s">
        <v>10</v>
      </c>
      <c r="AA175" s="41" t="s">
        <v>186</v>
      </c>
      <c r="AB175" s="61" t="s">
        <v>10</v>
      </c>
      <c r="AC175" s="56" t="s">
        <v>317</v>
      </c>
      <c r="AD175" s="61" t="s">
        <v>10</v>
      </c>
    </row>
    <row r="176" spans="1:30" ht="6.75" customHeight="1" x14ac:dyDescent="0.25">
      <c r="A176" s="49">
        <v>176</v>
      </c>
      <c r="B176" s="27" t="s">
        <v>78</v>
      </c>
      <c r="C176" s="27" t="s">
        <v>386</v>
      </c>
      <c r="D176" s="27" t="s">
        <v>400</v>
      </c>
      <c r="E176" s="27" t="s">
        <v>958</v>
      </c>
      <c r="F176" s="28" t="s">
        <v>408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26"/>
        <v>De.Arquitetura</v>
      </c>
      <c r="M176" s="29" t="str">
        <f t="shared" si="26"/>
        <v>Layout</v>
      </c>
      <c r="N176" s="29" t="str">
        <f t="shared" si="30"/>
        <v>Espaço Novo</v>
      </c>
      <c r="O176" s="29" t="str">
        <f t="shared" si="30"/>
        <v>Campus Novo</v>
      </c>
      <c r="P176" s="30" t="s">
        <v>395</v>
      </c>
      <c r="Q176" s="30" t="s">
        <v>809</v>
      </c>
      <c r="R176" s="30" t="s">
        <v>633</v>
      </c>
      <c r="S176" s="63" t="s">
        <v>10</v>
      </c>
      <c r="T176" s="30" t="str">
        <f t="shared" si="54"/>
        <v>De Arquitetura</v>
      </c>
      <c r="U176" s="30" t="str">
        <f t="shared" si="54"/>
        <v>Layout</v>
      </c>
      <c r="V176" s="30" t="str">
        <f t="shared" si="54"/>
        <v>Espaço Novo</v>
      </c>
      <c r="W176" s="30" t="s">
        <v>85</v>
      </c>
      <c r="X176" s="45" t="str">
        <f t="shared" si="24"/>
        <v>Key-AMB-176</v>
      </c>
      <c r="Y176" s="61" t="s">
        <v>10</v>
      </c>
      <c r="Z176" s="61" t="s">
        <v>10</v>
      </c>
      <c r="AA176" s="56" t="s">
        <v>10</v>
      </c>
      <c r="AB176" s="61" t="s">
        <v>10</v>
      </c>
      <c r="AC176" s="56" t="s">
        <v>10</v>
      </c>
      <c r="AD176" s="61" t="s">
        <v>10</v>
      </c>
    </row>
    <row r="177" spans="1:30" ht="6.75" customHeight="1" x14ac:dyDescent="0.25">
      <c r="A177" s="49">
        <v>177</v>
      </c>
      <c r="B177" s="27" t="s">
        <v>78</v>
      </c>
      <c r="C177" s="27" t="s">
        <v>386</v>
      </c>
      <c r="D177" s="27" t="s">
        <v>400</v>
      </c>
      <c r="E177" s="27" t="s">
        <v>958</v>
      </c>
      <c r="F177" s="28" t="s">
        <v>413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55">CONCATENATE("", C177)</f>
        <v>De.Arquitetura</v>
      </c>
      <c r="M177" s="29" t="str">
        <f t="shared" ref="M177" si="56">CONCATENATE("", D177)</f>
        <v>Layout</v>
      </c>
      <c r="N177" s="29" t="str">
        <f t="shared" ref="N177" si="57">(SUBSTITUTE(SUBSTITUTE(CONCATENATE("",E177),"."," ")," De "," de "))</f>
        <v>Espaço Novo</v>
      </c>
      <c r="O177" s="29" t="str">
        <f t="shared" ref="O177" si="58">(SUBSTITUTE(SUBSTITUTE(CONCATENATE("",F177),"."," ")," De "," de "))</f>
        <v>Edifício Novo</v>
      </c>
      <c r="P177" s="30" t="s">
        <v>388</v>
      </c>
      <c r="Q177" s="30" t="s">
        <v>810</v>
      </c>
      <c r="R177" s="30" t="s">
        <v>634</v>
      </c>
      <c r="S177" s="63" t="s">
        <v>10</v>
      </c>
      <c r="T177" s="30" t="str">
        <f t="shared" ref="T177" si="59">SUBSTITUTE(C177, ".", " ")</f>
        <v>De Arquitetura</v>
      </c>
      <c r="U177" s="30" t="str">
        <f t="shared" ref="U177" si="60">SUBSTITUTE(D177, ".", " ")</f>
        <v>Layout</v>
      </c>
      <c r="V177" s="30" t="str">
        <f t="shared" ref="V177" si="61">SUBSTITUTE(E177, ".", " ")</f>
        <v>Espaço Novo</v>
      </c>
      <c r="W177" s="30" t="s">
        <v>85</v>
      </c>
      <c r="X177" s="45" t="str">
        <f t="shared" si="24"/>
        <v>Key-AMB-177</v>
      </c>
      <c r="Y177" s="61" t="s">
        <v>10</v>
      </c>
      <c r="Z177" s="61" t="s">
        <v>10</v>
      </c>
      <c r="AA177" s="56" t="s">
        <v>10</v>
      </c>
      <c r="AB177" s="61" t="s">
        <v>10</v>
      </c>
      <c r="AC177" s="56" t="s">
        <v>10</v>
      </c>
      <c r="AD177" s="61" t="s">
        <v>10</v>
      </c>
    </row>
    <row r="178" spans="1:30" ht="6.75" customHeight="1" x14ac:dyDescent="0.25">
      <c r="A178" s="49">
        <v>178</v>
      </c>
      <c r="B178" s="27" t="s">
        <v>78</v>
      </c>
      <c r="C178" s="27" t="s">
        <v>386</v>
      </c>
      <c r="D178" s="27" t="s">
        <v>400</v>
      </c>
      <c r="E178" s="27" t="s">
        <v>958</v>
      </c>
      <c r="F178" s="28" t="s">
        <v>412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26"/>
        <v>De.Arquitetura</v>
      </c>
      <c r="M178" s="29" t="str">
        <f t="shared" si="26"/>
        <v>Layout</v>
      </c>
      <c r="N178" s="29" t="str">
        <f t="shared" si="30"/>
        <v>Espaço Novo</v>
      </c>
      <c r="O178" s="29" t="str">
        <f t="shared" si="30"/>
        <v>Bloco Novo</v>
      </c>
      <c r="P178" s="30" t="s">
        <v>398</v>
      </c>
      <c r="Q178" s="30" t="s">
        <v>811</v>
      </c>
      <c r="R178" s="30" t="s">
        <v>635</v>
      </c>
      <c r="S178" s="63" t="s">
        <v>10</v>
      </c>
      <c r="T178" s="30" t="str">
        <f t="shared" si="54"/>
        <v>De Arquitetura</v>
      </c>
      <c r="U178" s="30" t="str">
        <f t="shared" si="54"/>
        <v>Layout</v>
      </c>
      <c r="V178" s="30" t="str">
        <f t="shared" si="54"/>
        <v>Espaço Novo</v>
      </c>
      <c r="W178" s="30" t="s">
        <v>85</v>
      </c>
      <c r="X178" s="45" t="str">
        <f t="shared" si="24"/>
        <v>Key-AMB-178</v>
      </c>
      <c r="Y178" s="61" t="s">
        <v>10</v>
      </c>
      <c r="Z178" s="61" t="s">
        <v>10</v>
      </c>
      <c r="AA178" s="56" t="s">
        <v>10</v>
      </c>
      <c r="AB178" s="61" t="s">
        <v>10</v>
      </c>
      <c r="AC178" s="56" t="s">
        <v>10</v>
      </c>
      <c r="AD178" s="61" t="s">
        <v>10</v>
      </c>
    </row>
    <row r="179" spans="1:30" customFormat="1" ht="6.75" customHeight="1" x14ac:dyDescent="0.25">
      <c r="A179" s="49">
        <v>179</v>
      </c>
      <c r="B179" s="27" t="s">
        <v>78</v>
      </c>
      <c r="C179" s="27" t="s">
        <v>386</v>
      </c>
      <c r="D179" s="27" t="s">
        <v>400</v>
      </c>
      <c r="E179" s="27" t="s">
        <v>958</v>
      </c>
      <c r="F179" s="31" t="s">
        <v>411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62">CONCATENATE("", C179)</f>
        <v>De.Arquitetura</v>
      </c>
      <c r="M179" s="29" t="str">
        <f t="shared" si="62"/>
        <v>Layout</v>
      </c>
      <c r="N179" s="29" t="str">
        <f t="shared" si="30"/>
        <v>Espaço Novo</v>
      </c>
      <c r="O179" s="29" t="str">
        <f t="shared" si="30"/>
        <v>Zona Novo</v>
      </c>
      <c r="P179" s="30" t="s">
        <v>396</v>
      </c>
      <c r="Q179" s="30" t="s">
        <v>812</v>
      </c>
      <c r="R179" s="30" t="s">
        <v>636</v>
      </c>
      <c r="S179" s="63" t="s">
        <v>10</v>
      </c>
      <c r="T179" s="56" t="str">
        <f t="shared" si="54"/>
        <v>De Arquitetura</v>
      </c>
      <c r="U179" s="56" t="str">
        <f t="shared" si="54"/>
        <v>Layout</v>
      </c>
      <c r="V179" s="56" t="str">
        <f t="shared" si="54"/>
        <v>Espaço Novo</v>
      </c>
      <c r="W179" s="30" t="s">
        <v>85</v>
      </c>
      <c r="X179" s="45" t="str">
        <f t="shared" si="24"/>
        <v>Key-AMB-179</v>
      </c>
      <c r="Y179" s="30" t="s">
        <v>387</v>
      </c>
      <c r="Z179" s="61" t="s">
        <v>10</v>
      </c>
      <c r="AA179" s="41" t="s">
        <v>186</v>
      </c>
      <c r="AB179" s="61" t="s">
        <v>10</v>
      </c>
      <c r="AC179" s="56" t="s">
        <v>10</v>
      </c>
      <c r="AD179" s="61" t="s">
        <v>10</v>
      </c>
    </row>
    <row r="180" spans="1:30" s="34" customFormat="1" ht="6.75" customHeight="1" x14ac:dyDescent="0.25">
      <c r="A180" s="49">
        <v>180</v>
      </c>
      <c r="B180" s="27" t="s">
        <v>78</v>
      </c>
      <c r="C180" s="27" t="s">
        <v>386</v>
      </c>
      <c r="D180" s="27" t="s">
        <v>400</v>
      </c>
      <c r="E180" s="27" t="s">
        <v>958</v>
      </c>
      <c r="F180" s="28" t="s">
        <v>410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62"/>
        <v>De.Arquitetura</v>
      </c>
      <c r="M180" s="29" t="str">
        <f t="shared" si="62"/>
        <v>Layout</v>
      </c>
      <c r="N180" s="29" t="str">
        <f t="shared" ref="N180:O181" si="63">(SUBSTITUTE(SUBSTITUTE(CONCATENATE("",E180),"."," ")," De "," de "))</f>
        <v>Espaço Novo</v>
      </c>
      <c r="O180" s="29" t="str">
        <f t="shared" si="30"/>
        <v>Andar Novo</v>
      </c>
      <c r="P180" s="30" t="s">
        <v>397</v>
      </c>
      <c r="Q180" s="30" t="s">
        <v>813</v>
      </c>
      <c r="R180" s="30" t="s">
        <v>637</v>
      </c>
      <c r="S180" s="63" t="s">
        <v>10</v>
      </c>
      <c r="T180" s="30" t="str">
        <f t="shared" si="54"/>
        <v>De Arquitetura</v>
      </c>
      <c r="U180" s="30" t="str">
        <f t="shared" si="54"/>
        <v>Layout</v>
      </c>
      <c r="V180" s="30" t="str">
        <f t="shared" si="54"/>
        <v>Espaço Novo</v>
      </c>
      <c r="W180" s="30" t="s">
        <v>85</v>
      </c>
      <c r="X180" s="45" t="str">
        <f t="shared" si="24"/>
        <v>Key-AMB-180</v>
      </c>
      <c r="Y180" s="30" t="s">
        <v>449</v>
      </c>
      <c r="Z180" s="61" t="s">
        <v>10</v>
      </c>
      <c r="AA180" s="41" t="s">
        <v>174</v>
      </c>
      <c r="AB180" s="61" t="s">
        <v>10</v>
      </c>
      <c r="AC180" s="56" t="s">
        <v>208</v>
      </c>
      <c r="AD180" s="61" t="s">
        <v>10</v>
      </c>
    </row>
    <row r="181" spans="1:30" customFormat="1" ht="6.75" customHeight="1" x14ac:dyDescent="0.25">
      <c r="A181" s="49">
        <v>181</v>
      </c>
      <c r="B181" s="27" t="s">
        <v>78</v>
      </c>
      <c r="C181" s="27" t="s">
        <v>386</v>
      </c>
      <c r="D181" s="27" t="s">
        <v>400</v>
      </c>
      <c r="E181" s="27" t="s">
        <v>958</v>
      </c>
      <c r="F181" s="28" t="s">
        <v>409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62"/>
        <v>De.Arquitetura</v>
      </c>
      <c r="M181" s="29" t="str">
        <f t="shared" si="62"/>
        <v>Layout</v>
      </c>
      <c r="N181" s="29" t="str">
        <f t="shared" si="63"/>
        <v>Espaço Novo</v>
      </c>
      <c r="O181" s="29" t="str">
        <f t="shared" si="63"/>
        <v>Compartimento Novo</v>
      </c>
      <c r="P181" s="30" t="s">
        <v>393</v>
      </c>
      <c r="Q181" s="30" t="s">
        <v>814</v>
      </c>
      <c r="R181" s="30" t="s">
        <v>638</v>
      </c>
      <c r="S181" s="63" t="s">
        <v>10</v>
      </c>
      <c r="T181" s="56" t="str">
        <f t="shared" ref="T181:V181" si="64">SUBSTITUTE(C181, ".", " ")</f>
        <v>De Arquitetura</v>
      </c>
      <c r="U181" s="56" t="str">
        <f t="shared" si="64"/>
        <v>Layout</v>
      </c>
      <c r="V181" s="56" t="str">
        <f t="shared" si="64"/>
        <v>Espaço Novo</v>
      </c>
      <c r="W181" s="30" t="s">
        <v>85</v>
      </c>
      <c r="X181" s="45" t="str">
        <f t="shared" si="24"/>
        <v>Key-AMB-181</v>
      </c>
      <c r="Y181" s="30" t="s">
        <v>451</v>
      </c>
      <c r="Z181" s="61" t="s">
        <v>10</v>
      </c>
      <c r="AA181" s="41" t="s">
        <v>186</v>
      </c>
      <c r="AB181" s="61" t="s">
        <v>10</v>
      </c>
      <c r="AC181" s="56" t="s">
        <v>317</v>
      </c>
      <c r="AD181" s="61" t="s">
        <v>10</v>
      </c>
    </row>
    <row r="182" spans="1:30" s="64" customFormat="1" ht="6.75" customHeight="1" x14ac:dyDescent="0.25">
      <c r="A182" s="49">
        <v>182</v>
      </c>
      <c r="B182" s="27" t="s">
        <v>839</v>
      </c>
      <c r="C182" s="62" t="s">
        <v>840</v>
      </c>
      <c r="D182" s="62" t="s">
        <v>841</v>
      </c>
      <c r="E182" s="62" t="s">
        <v>842</v>
      </c>
      <c r="F182" s="62" t="s">
        <v>818</v>
      </c>
      <c r="G182" s="44" t="s">
        <v>10</v>
      </c>
      <c r="H182" s="44" t="s">
        <v>10</v>
      </c>
      <c r="I182" s="44" t="s">
        <v>10</v>
      </c>
      <c r="J182" s="44" t="s">
        <v>10</v>
      </c>
      <c r="K182" s="44" t="s">
        <v>10</v>
      </c>
      <c r="L182" s="29" t="s">
        <v>840</v>
      </c>
      <c r="M182" s="29" t="s">
        <v>841</v>
      </c>
      <c r="N182" s="29" t="s">
        <v>843</v>
      </c>
      <c r="O182" s="29" t="s">
        <v>844</v>
      </c>
      <c r="P182" s="30" t="s">
        <v>819</v>
      </c>
      <c r="Q182" s="30" t="s">
        <v>820</v>
      </c>
      <c r="R182" s="30" t="s">
        <v>821</v>
      </c>
      <c r="S182" s="63" t="s">
        <v>10</v>
      </c>
      <c r="T182" s="30" t="s">
        <v>845</v>
      </c>
      <c r="U182" s="30" t="s">
        <v>846</v>
      </c>
      <c r="V182" s="56" t="s">
        <v>843</v>
      </c>
      <c r="W182" s="30" t="s">
        <v>85</v>
      </c>
      <c r="X182" s="45" t="str">
        <f t="shared" si="24"/>
        <v>Key-AMB-182</v>
      </c>
      <c r="Y182" s="61" t="s">
        <v>10</v>
      </c>
      <c r="Z182" s="61" t="s">
        <v>10</v>
      </c>
      <c r="AA182" s="61" t="s">
        <v>10</v>
      </c>
      <c r="AB182" s="61" t="s">
        <v>10</v>
      </c>
      <c r="AC182" s="61" t="s">
        <v>10</v>
      </c>
      <c r="AD182" s="61" t="s">
        <v>10</v>
      </c>
    </row>
    <row r="183" spans="1:30" s="64" customFormat="1" ht="6.75" customHeight="1" x14ac:dyDescent="0.25">
      <c r="A183" s="49">
        <v>183</v>
      </c>
      <c r="B183" s="27" t="s">
        <v>839</v>
      </c>
      <c r="C183" s="62" t="s">
        <v>840</v>
      </c>
      <c r="D183" s="62" t="s">
        <v>841</v>
      </c>
      <c r="E183" s="62" t="s">
        <v>842</v>
      </c>
      <c r="F183" s="62" t="s">
        <v>822</v>
      </c>
      <c r="G183" s="44" t="s">
        <v>10</v>
      </c>
      <c r="H183" s="44" t="s">
        <v>10</v>
      </c>
      <c r="I183" s="44" t="s">
        <v>10</v>
      </c>
      <c r="J183" s="44" t="s">
        <v>10</v>
      </c>
      <c r="K183" s="44" t="s">
        <v>10</v>
      </c>
      <c r="L183" s="29" t="s">
        <v>840</v>
      </c>
      <c r="M183" s="29" t="s">
        <v>841</v>
      </c>
      <c r="N183" s="29" t="s">
        <v>843</v>
      </c>
      <c r="O183" s="29" t="s">
        <v>847</v>
      </c>
      <c r="P183" s="30" t="s">
        <v>823</v>
      </c>
      <c r="Q183" s="30" t="s">
        <v>824</v>
      </c>
      <c r="R183" s="30" t="s">
        <v>825</v>
      </c>
      <c r="S183" s="63" t="s">
        <v>10</v>
      </c>
      <c r="T183" s="30" t="s">
        <v>845</v>
      </c>
      <c r="U183" s="30" t="s">
        <v>846</v>
      </c>
      <c r="V183" s="56" t="s">
        <v>843</v>
      </c>
      <c r="W183" s="30" t="s">
        <v>85</v>
      </c>
      <c r="X183" s="45" t="str">
        <f t="shared" si="24"/>
        <v>Key-AMB-183</v>
      </c>
      <c r="Y183" s="61" t="s">
        <v>10</v>
      </c>
      <c r="Z183" s="61" t="s">
        <v>10</v>
      </c>
      <c r="AA183" s="61" t="s">
        <v>10</v>
      </c>
      <c r="AB183" s="61" t="s">
        <v>10</v>
      </c>
      <c r="AC183" s="61" t="s">
        <v>10</v>
      </c>
      <c r="AD183" s="61" t="s">
        <v>10</v>
      </c>
    </row>
    <row r="184" spans="1:30" s="64" customFormat="1" ht="6.75" customHeight="1" x14ac:dyDescent="0.25">
      <c r="A184" s="49">
        <v>184</v>
      </c>
      <c r="B184" s="27" t="s">
        <v>839</v>
      </c>
      <c r="C184" s="62" t="s">
        <v>840</v>
      </c>
      <c r="D184" s="62" t="s">
        <v>841</v>
      </c>
      <c r="E184" s="62" t="s">
        <v>842</v>
      </c>
      <c r="F184" s="62" t="s">
        <v>826</v>
      </c>
      <c r="G184" s="44" t="s">
        <v>10</v>
      </c>
      <c r="H184" s="44" t="s">
        <v>10</v>
      </c>
      <c r="I184" s="44" t="s">
        <v>10</v>
      </c>
      <c r="J184" s="44" t="s">
        <v>10</v>
      </c>
      <c r="K184" s="44" t="s">
        <v>10</v>
      </c>
      <c r="L184" s="29" t="s">
        <v>840</v>
      </c>
      <c r="M184" s="29" t="s">
        <v>841</v>
      </c>
      <c r="N184" s="29" t="s">
        <v>843</v>
      </c>
      <c r="O184" s="29" t="s">
        <v>848</v>
      </c>
      <c r="P184" s="30" t="s">
        <v>827</v>
      </c>
      <c r="Q184" s="30" t="s">
        <v>828</v>
      </c>
      <c r="R184" s="30" t="s">
        <v>829</v>
      </c>
      <c r="S184" s="63" t="s">
        <v>10</v>
      </c>
      <c r="T184" s="30" t="s">
        <v>845</v>
      </c>
      <c r="U184" s="30" t="s">
        <v>846</v>
      </c>
      <c r="V184" s="56" t="s">
        <v>843</v>
      </c>
      <c r="W184" s="30" t="s">
        <v>85</v>
      </c>
      <c r="X184" s="45" t="str">
        <f t="shared" si="24"/>
        <v>Key-AMB-184</v>
      </c>
      <c r="Y184" s="61" t="s">
        <v>10</v>
      </c>
      <c r="Z184" s="61" t="s">
        <v>10</v>
      </c>
      <c r="AA184" s="61" t="s">
        <v>10</v>
      </c>
      <c r="AB184" s="61" t="s">
        <v>10</v>
      </c>
      <c r="AC184" s="61" t="s">
        <v>10</v>
      </c>
      <c r="AD184" s="61" t="s">
        <v>10</v>
      </c>
    </row>
    <row r="185" spans="1:30" s="64" customFormat="1" ht="6.75" customHeight="1" x14ac:dyDescent="0.25">
      <c r="A185" s="49">
        <v>185</v>
      </c>
      <c r="B185" s="27" t="s">
        <v>839</v>
      </c>
      <c r="C185" s="62" t="s">
        <v>840</v>
      </c>
      <c r="D185" s="62" t="s">
        <v>841</v>
      </c>
      <c r="E185" s="62" t="s">
        <v>842</v>
      </c>
      <c r="F185" s="62" t="s">
        <v>830</v>
      </c>
      <c r="G185" s="44" t="s">
        <v>10</v>
      </c>
      <c r="H185" s="44" t="s">
        <v>10</v>
      </c>
      <c r="I185" s="44" t="s">
        <v>10</v>
      </c>
      <c r="J185" s="44" t="s">
        <v>10</v>
      </c>
      <c r="K185" s="44" t="s">
        <v>10</v>
      </c>
      <c r="L185" s="29" t="s">
        <v>840</v>
      </c>
      <c r="M185" s="29" t="s">
        <v>841</v>
      </c>
      <c r="N185" s="29" t="s">
        <v>843</v>
      </c>
      <c r="O185" s="29" t="s">
        <v>849</v>
      </c>
      <c r="P185" s="30" t="s">
        <v>831</v>
      </c>
      <c r="Q185" s="30" t="s">
        <v>832</v>
      </c>
      <c r="R185" s="30" t="s">
        <v>833</v>
      </c>
      <c r="S185" s="63" t="s">
        <v>10</v>
      </c>
      <c r="T185" s="30" t="s">
        <v>845</v>
      </c>
      <c r="U185" s="30" t="s">
        <v>846</v>
      </c>
      <c r="V185" s="56" t="s">
        <v>843</v>
      </c>
      <c r="W185" s="30" t="s">
        <v>85</v>
      </c>
      <c r="X185" s="45" t="str">
        <f t="shared" si="24"/>
        <v>Key-AMB-185</v>
      </c>
      <c r="Y185" s="61" t="s">
        <v>10</v>
      </c>
      <c r="Z185" s="61" t="s">
        <v>10</v>
      </c>
      <c r="AA185" s="61" t="s">
        <v>10</v>
      </c>
      <c r="AB185" s="61" t="s">
        <v>10</v>
      </c>
      <c r="AC185" s="61" t="s">
        <v>10</v>
      </c>
      <c r="AD185" s="61" t="s">
        <v>10</v>
      </c>
    </row>
    <row r="186" spans="1:30" s="64" customFormat="1" ht="6.75" customHeight="1" x14ac:dyDescent="0.25">
      <c r="A186" s="49">
        <v>186</v>
      </c>
      <c r="B186" s="27" t="s">
        <v>839</v>
      </c>
      <c r="C186" s="62" t="s">
        <v>840</v>
      </c>
      <c r="D186" s="62" t="s">
        <v>850</v>
      </c>
      <c r="E186" s="62" t="s">
        <v>851</v>
      </c>
      <c r="F186" s="62" t="s">
        <v>834</v>
      </c>
      <c r="G186" s="44" t="s">
        <v>10</v>
      </c>
      <c r="H186" s="44" t="s">
        <v>10</v>
      </c>
      <c r="I186" s="44" t="s">
        <v>10</v>
      </c>
      <c r="J186" s="44" t="s">
        <v>10</v>
      </c>
      <c r="K186" s="44" t="s">
        <v>10</v>
      </c>
      <c r="L186" s="29" t="s">
        <v>840</v>
      </c>
      <c r="M186" s="29" t="s">
        <v>850</v>
      </c>
      <c r="N186" s="29" t="s">
        <v>852</v>
      </c>
      <c r="O186" s="29" t="s">
        <v>853</v>
      </c>
      <c r="P186" s="30" t="s">
        <v>835</v>
      </c>
      <c r="Q186" s="30" t="s">
        <v>836</v>
      </c>
      <c r="R186" s="30" t="s">
        <v>837</v>
      </c>
      <c r="S186" s="63" t="s">
        <v>10</v>
      </c>
      <c r="T186" s="30" t="s">
        <v>845</v>
      </c>
      <c r="U186" s="30" t="s">
        <v>854</v>
      </c>
      <c r="V186" s="56" t="s">
        <v>852</v>
      </c>
      <c r="W186" s="30" t="s">
        <v>85</v>
      </c>
      <c r="X186" s="45" t="str">
        <f t="shared" si="24"/>
        <v>Key-AMB-186</v>
      </c>
      <c r="Y186" s="61" t="s">
        <v>10</v>
      </c>
      <c r="Z186" s="61" t="s">
        <v>10</v>
      </c>
      <c r="AA186" s="61" t="s">
        <v>10</v>
      </c>
      <c r="AB186" s="61" t="s">
        <v>10</v>
      </c>
      <c r="AC186" s="61" t="s">
        <v>10</v>
      </c>
      <c r="AD186" s="61" t="s">
        <v>10</v>
      </c>
    </row>
  </sheetData>
  <phoneticPr fontId="1" type="noConversion"/>
  <conditionalFormatting sqref="B170:D181">
    <cfRule type="cellIs" dxfId="201" priority="165" operator="equal">
      <formula>"null"</formula>
    </cfRule>
  </conditionalFormatting>
  <conditionalFormatting sqref="D2:F9 L2:P9">
    <cfRule type="cellIs" dxfId="200" priority="157" operator="equal">
      <formula>"null"</formula>
    </cfRule>
  </conditionalFormatting>
  <conditionalFormatting sqref="E22:F28 D29:F48 K157:P157 D134:F157 A2:A186">
    <cfRule type="cellIs" dxfId="0" priority="259" operator="equal">
      <formula>"null"</formula>
    </cfRule>
  </conditionalFormatting>
  <conditionalFormatting sqref="E165:F169 L158:O164 L165:P169">
    <cfRule type="cellIs" dxfId="196" priority="238" operator="equal">
      <formula>"null"</formula>
    </cfRule>
  </conditionalFormatting>
  <conditionalFormatting sqref="F171:F172">
    <cfRule type="cellIs" dxfId="195" priority="175" operator="equal">
      <formula>"null"</formula>
    </cfRule>
  </conditionalFormatting>
  <conditionalFormatting sqref="F2:F9">
    <cfRule type="duplicateValues" dxfId="194" priority="158"/>
    <cfRule type="duplicateValues" dxfId="193" priority="159"/>
    <cfRule type="duplicateValues" dxfId="192" priority="160"/>
    <cfRule type="duplicateValues" dxfId="191" priority="161"/>
    <cfRule type="duplicateValues" dxfId="190" priority="162"/>
  </conditionalFormatting>
  <conditionalFormatting sqref="F10:F21">
    <cfRule type="duplicateValues" dxfId="189" priority="258"/>
    <cfRule type="duplicateValues" dxfId="188" priority="257"/>
    <cfRule type="duplicateValues" dxfId="187" priority="256"/>
    <cfRule type="duplicateValues" dxfId="186" priority="255"/>
    <cfRule type="duplicateValues" dxfId="185" priority="254"/>
  </conditionalFormatting>
  <conditionalFormatting sqref="F22:F48">
    <cfRule type="duplicateValues" dxfId="172" priority="373"/>
    <cfRule type="duplicateValues" dxfId="171" priority="372"/>
    <cfRule type="duplicateValues" dxfId="170" priority="374"/>
    <cfRule type="duplicateValues" dxfId="169" priority="375"/>
  </conditionalFormatting>
  <conditionalFormatting sqref="F134:F157 F2:F48">
    <cfRule type="duplicateValues" dxfId="149" priority="269"/>
  </conditionalFormatting>
  <conditionalFormatting sqref="F134:F157 F22:F48">
    <cfRule type="duplicateValues" dxfId="148" priority="270"/>
  </conditionalFormatting>
  <conditionalFormatting sqref="F158:F164">
    <cfRule type="duplicateValues" dxfId="147" priority="253"/>
    <cfRule type="containsText" dxfId="146" priority="252" operator="containsText" text="null">
      <formula>NOT(ISERROR(SEARCH("null",F158)))</formula>
    </cfRule>
    <cfRule type="duplicateValues" dxfId="145" priority="247"/>
    <cfRule type="duplicateValues" dxfId="144" priority="248"/>
    <cfRule type="duplicateValues" dxfId="143" priority="249"/>
    <cfRule type="duplicateValues" dxfId="142" priority="250"/>
    <cfRule type="duplicateValues" dxfId="141" priority="251"/>
  </conditionalFormatting>
  <conditionalFormatting sqref="F165:F169">
    <cfRule type="duplicateValues" dxfId="140" priority="230"/>
    <cfRule type="duplicateValues" dxfId="139" priority="227"/>
    <cfRule type="duplicateValues" dxfId="138" priority="228"/>
    <cfRule type="duplicateValues" dxfId="137" priority="229"/>
    <cfRule type="duplicateValues" dxfId="136" priority="226"/>
    <cfRule type="duplicateValues" dxfId="135" priority="225"/>
  </conditionalFormatting>
  <conditionalFormatting sqref="F173">
    <cfRule type="duplicateValues" dxfId="134" priority="187"/>
  </conditionalFormatting>
  <conditionalFormatting sqref="F174:F175 F171:F172">
    <cfRule type="duplicateValues" dxfId="133" priority="302"/>
    <cfRule type="duplicateValues" dxfId="132" priority="301"/>
    <cfRule type="duplicateValues" dxfId="131" priority="303"/>
  </conditionalFormatting>
  <conditionalFormatting sqref="F176 F187:F1048576 F1:F48 F134:F170">
    <cfRule type="duplicateValues" dxfId="130" priority="223"/>
  </conditionalFormatting>
  <conditionalFormatting sqref="F177:F178 F180:F181">
    <cfRule type="duplicateValues" dxfId="129" priority="183"/>
    <cfRule type="duplicateValues" dxfId="128" priority="182"/>
    <cfRule type="duplicateValues" dxfId="127" priority="181"/>
  </conditionalFormatting>
  <conditionalFormatting sqref="F177:F178">
    <cfRule type="cellIs" dxfId="126" priority="180" operator="equal">
      <formula>"null"</formula>
    </cfRule>
  </conditionalFormatting>
  <conditionalFormatting sqref="F179">
    <cfRule type="duplicateValues" dxfId="125" priority="179"/>
  </conditionalFormatting>
  <conditionalFormatting sqref="F180:F181 L170:Q181 T170:V181 F174:F175 E170:E181">
    <cfRule type="cellIs" dxfId="124" priority="220" operator="equal">
      <formula>"null"</formula>
    </cfRule>
  </conditionalFormatting>
  <conditionalFormatting sqref="F182:F186">
    <cfRule type="duplicateValues" dxfId="123" priority="100"/>
    <cfRule type="duplicateValues" dxfId="122" priority="101"/>
  </conditionalFormatting>
  <conditionalFormatting sqref="L134:P156">
    <cfRule type="cellIs" dxfId="121" priority="221" operator="equal">
      <formula>"null"</formula>
    </cfRule>
  </conditionalFormatting>
  <conditionalFormatting sqref="P21">
    <cfRule type="cellIs" dxfId="120" priority="237" operator="equal">
      <formula>"null"</formula>
    </cfRule>
  </conditionalFormatting>
  <conditionalFormatting sqref="R1:R48 R134:R181">
    <cfRule type="cellIs" dxfId="114" priority="106" operator="equal">
      <formula>"null"</formula>
    </cfRule>
  </conditionalFormatting>
  <conditionalFormatting sqref="Y2:Y9">
    <cfRule type="cellIs" dxfId="113" priority="156" operator="equal">
      <formula>"null"</formula>
    </cfRule>
  </conditionalFormatting>
  <conditionalFormatting sqref="Y158:Y164">
    <cfRule type="duplicateValues" dxfId="112" priority="241"/>
    <cfRule type="duplicateValues" dxfId="111" priority="240"/>
    <cfRule type="containsText" dxfId="110" priority="245" operator="containsText" text="null">
      <formula>NOT(ISERROR(SEARCH("null",Y158)))</formula>
    </cfRule>
    <cfRule type="duplicateValues" dxfId="109" priority="244"/>
    <cfRule type="duplicateValues" dxfId="108" priority="246"/>
    <cfRule type="duplicateValues" dxfId="107" priority="243"/>
    <cfRule type="duplicateValues" dxfId="106" priority="242"/>
  </conditionalFormatting>
  <conditionalFormatting sqref="Y165:Y169 Y173">
    <cfRule type="cellIs" dxfId="105" priority="185" operator="equal">
      <formula>"null"</formula>
    </cfRule>
  </conditionalFormatting>
  <conditionalFormatting sqref="Y175 Y179">
    <cfRule type="cellIs" dxfId="104" priority="119" operator="equal">
      <formula>"null"</formula>
    </cfRule>
  </conditionalFormatting>
  <conditionalFormatting sqref="Y181">
    <cfRule type="cellIs" dxfId="103" priority="164" operator="equal">
      <formula>"null"</formula>
    </cfRule>
  </conditionalFormatting>
  <conditionalFormatting sqref="AE2:XFD9 B2:B48 L22:P48 AE22:XFD48 Y29:Y48 AE134:XFD157 AE165:XFD169 AE171:XFD172 AE174:XFD175 AE179:XFD181 Y134:Y157 B134:B169">
    <cfRule type="cellIs" dxfId="102" priority="124" operator="equal">
      <formula>"null"</formula>
    </cfRule>
  </conditionalFormatting>
  <conditionalFormatting sqref="D50:D51 F50:F51 D52:F73">
    <cfRule type="cellIs" dxfId="49" priority="20" operator="equal">
      <formula>"null"</formula>
    </cfRule>
  </conditionalFormatting>
  <conditionalFormatting sqref="D81:F86">
    <cfRule type="cellIs" dxfId="48" priority="12" operator="equal">
      <formula>"null"</formula>
    </cfRule>
  </conditionalFormatting>
  <conditionalFormatting sqref="D87:F100">
    <cfRule type="cellIs" dxfId="47" priority="4" operator="equal">
      <formula>"null"</formula>
    </cfRule>
  </conditionalFormatting>
  <conditionalFormatting sqref="D101:D133 D74:F80 E101:F117">
    <cfRule type="cellIs" dxfId="46" priority="33" operator="equal">
      <formula>"null"</formula>
    </cfRule>
  </conditionalFormatting>
  <conditionalFormatting sqref="F49:F67">
    <cfRule type="duplicateValues" dxfId="45" priority="45"/>
    <cfRule type="duplicateValues" dxfId="44" priority="46"/>
    <cfRule type="duplicateValues" dxfId="43" priority="47"/>
    <cfRule type="duplicateValues" dxfId="42" priority="48"/>
    <cfRule type="duplicateValues" dxfId="41" priority="49"/>
  </conditionalFormatting>
  <conditionalFormatting sqref="F68:F73">
    <cfRule type="duplicateValues" dxfId="40" priority="19"/>
    <cfRule type="duplicateValues" dxfId="39" priority="21"/>
    <cfRule type="duplicateValues" dxfId="38" priority="22"/>
    <cfRule type="duplicateValues" dxfId="37" priority="23"/>
    <cfRule type="duplicateValues" dxfId="36" priority="24"/>
    <cfRule type="duplicateValues" dxfId="35" priority="25"/>
    <cfRule type="duplicateValues" dxfId="34" priority="26"/>
  </conditionalFormatting>
  <conditionalFormatting sqref="F74:F80 F101:F117">
    <cfRule type="duplicateValues" dxfId="33" priority="41"/>
    <cfRule type="duplicateValues" dxfId="32" priority="42"/>
    <cfRule type="duplicateValues" dxfId="31" priority="43"/>
    <cfRule type="duplicateValues" dxfId="30" priority="44"/>
  </conditionalFormatting>
  <conditionalFormatting sqref="F81:F86">
    <cfRule type="duplicateValues" dxfId="29" priority="11"/>
    <cfRule type="duplicateValues" dxfId="28" priority="13"/>
    <cfRule type="duplicateValues" dxfId="27" priority="14"/>
    <cfRule type="duplicateValues" dxfId="26" priority="15"/>
    <cfRule type="duplicateValues" dxfId="25" priority="16"/>
    <cfRule type="duplicateValues" dxfId="24" priority="17"/>
    <cfRule type="duplicateValues" dxfId="23" priority="18"/>
  </conditionalFormatting>
  <conditionalFormatting sqref="F87:F100">
    <cfRule type="duplicateValues" dxfId="22" priority="3"/>
    <cfRule type="duplicateValues" dxfId="21" priority="5"/>
    <cfRule type="duplicateValues" dxfId="20" priority="6"/>
    <cfRule type="duplicateValues" dxfId="19" priority="7"/>
    <cfRule type="duplicateValues" dxfId="18" priority="8"/>
    <cfRule type="duplicateValues" dxfId="17" priority="9"/>
    <cfRule type="duplicateValues" dxfId="16" priority="10"/>
  </conditionalFormatting>
  <conditionalFormatting sqref="F118:F133">
    <cfRule type="duplicateValues" dxfId="15" priority="34"/>
    <cfRule type="duplicateValues" dxfId="14" priority="35"/>
    <cfRule type="duplicateValues" dxfId="13" priority="36"/>
    <cfRule type="duplicateValues" dxfId="12" priority="37"/>
    <cfRule type="duplicateValues" dxfId="11" priority="38"/>
  </conditionalFormatting>
  <conditionalFormatting sqref="F74:F80 F101:F117">
    <cfRule type="duplicateValues" dxfId="10" priority="39"/>
  </conditionalFormatting>
  <conditionalFormatting sqref="F74:F80 F101:F117">
    <cfRule type="duplicateValues" dxfId="9" priority="40"/>
  </conditionalFormatting>
  <conditionalFormatting sqref="F74:F80 F101:F133">
    <cfRule type="duplicateValues" dxfId="8" priority="27"/>
  </conditionalFormatting>
  <conditionalFormatting sqref="P128:P133">
    <cfRule type="duplicateValues" dxfId="7" priority="28"/>
    <cfRule type="duplicateValues" dxfId="6" priority="29"/>
    <cfRule type="duplicateValues" dxfId="5" priority="30"/>
    <cfRule type="duplicateValues" dxfId="4" priority="31"/>
    <cfRule type="duplicateValues" dxfId="3" priority="32"/>
  </conditionalFormatting>
  <conditionalFormatting sqref="R49:R133">
    <cfRule type="cellIs" dxfId="2" priority="1" operator="equal">
      <formula>"null"</formula>
    </cfRule>
  </conditionalFormatting>
  <conditionalFormatting sqref="B49:B133 L49:P117 AE49:XFD117 Y49:Y133 D49:F49 E50:E51">
    <cfRule type="cellIs" dxfId="1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K16" sqref="K16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72</v>
      </c>
      <c r="C1" s="12" t="s">
        <v>77</v>
      </c>
      <c r="D1" s="12" t="s">
        <v>77</v>
      </c>
      <c r="E1" s="12" t="s">
        <v>77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0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B3" sqref="B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418</v>
      </c>
      <c r="C1" s="19" t="s">
        <v>72</v>
      </c>
      <c r="D1" s="19" t="s">
        <v>73</v>
      </c>
      <c r="E1" s="19" t="s">
        <v>76</v>
      </c>
      <c r="F1" s="19" t="s">
        <v>73</v>
      </c>
      <c r="G1" s="19" t="s">
        <v>76</v>
      </c>
      <c r="H1" s="19" t="s">
        <v>73</v>
      </c>
      <c r="I1" s="19" t="s">
        <v>76</v>
      </c>
      <c r="J1" s="21" t="s">
        <v>73</v>
      </c>
      <c r="K1" s="19" t="s">
        <v>76</v>
      </c>
      <c r="L1" s="19" t="s">
        <v>73</v>
      </c>
      <c r="M1" s="19" t="s">
        <v>76</v>
      </c>
      <c r="N1" s="19" t="s">
        <v>73</v>
      </c>
      <c r="O1" s="19" t="s">
        <v>76</v>
      </c>
    </row>
    <row r="2" spans="1:15" ht="7.35" customHeight="1" x14ac:dyDescent="0.25">
      <c r="A2" s="54">
        <v>2</v>
      </c>
      <c r="B2" s="35" t="s">
        <v>959</v>
      </c>
      <c r="C2" s="28" t="s">
        <v>78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75</v>
      </c>
      <c r="K2" s="20" t="s">
        <v>419</v>
      </c>
      <c r="L2" s="25" t="s">
        <v>79</v>
      </c>
      <c r="M2" s="20" t="s">
        <v>420</v>
      </c>
      <c r="N2" s="25" t="s">
        <v>74</v>
      </c>
      <c r="O2" s="20" t="s">
        <v>421</v>
      </c>
    </row>
  </sheetData>
  <phoneticPr fontId="1" type="noConversion"/>
  <conditionalFormatting sqref="B1:B1048576">
    <cfRule type="duplicateValues" dxfId="100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2026-09-08T15:54:39Z</dcterms:modified>
  <dc:language>pt-BR</dc:language>
</cp:coreProperties>
</file>