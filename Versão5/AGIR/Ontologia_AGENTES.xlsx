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30FAB593-0E79-4130-9230-D4F219558CE4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9" i="9"/>
  <c r="T9" i="9"/>
  <c r="S9" i="9"/>
  <c r="O9" i="9"/>
  <c r="N9" i="9"/>
  <c r="M9" i="9"/>
  <c r="L9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B25" i="13"/>
  <c r="Q9" i="9"/>
  <c r="S8" i="9" l="1"/>
  <c r="T8" i="9"/>
  <c r="U8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<sst xmlns="http://schemas.openxmlformats.org/spreadsheetml/2006/main" count="574" uniqueCount="184">
  <si>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</si>
  <si>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</si>
  <si>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</si>
  <si>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</si>
  <si>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</si>
  <si>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</si>
  <si>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</si>
  <si>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</si>
  <si>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</si>
  <si>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</si>
  <si>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</si>
  <si>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</si>
  <si>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</si>
  <si>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</si>
  <si>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</si>
  <si>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</si>
  <si>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</si>
  <si>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</si>
  <si>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</si>
  <si>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</si>
  <si>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</si>
  <si>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</si>
  <si>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</si>
  <si>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</si>
  <si>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</si>
  <si>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</si>
  <si>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</si>
  <si>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</si>
  <si>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</si>
  <si>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</si>
  <si>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</si>
  <si>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</si>
  <si>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</si>
  <si>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</si>
  <si>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</si>
  <si>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</si>
  <si>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</si>
  <si>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</si>
  <si>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</si>
  <si>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</si>
  <si>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</si>
  <si>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</si>
  <si>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</si>
  <si>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</si>
  <si>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</si>
  <si>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</si>
  <si>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</si>
  <si>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</si>
  <si>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</si>
  <si>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</si>
  <si>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</si>
  <si>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</si>
  <si>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</si>
  <si>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</si>
  <si>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</si>
  <si>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</si>
  <si>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</si>
  <si>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</si>
  <si>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</si>
  <si>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</si>
  <si>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</si>
  <si>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</si>
  <si>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</si>
  <si>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</si>
  <si>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</si>
  <si>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</si>
  <si>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</si>
  <si>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</si>
  <si>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</si>
  <si>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</si>
  <si>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</si>
  <si>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</si>
  <si>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</si>
  <si>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</si>
  <si>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</si>
  <si>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</si>
  <si>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</si>
  <si>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</si>
  <si>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</si>
  <si>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</si>
  <si>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</si>
  <si>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</si>
  <si>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</si>
  <si>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</si>
  <si>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</si>
  <si>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</si>
  <si>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</si>
  <si>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</si>
  <si>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</si>
  <si>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</si>
  <si>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</si>
  <si>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</si>
  <si>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</si>
  <si>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</si>
  <si>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</si>
  <si>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</si>
  <si>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</si>
  <si>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</si>
  <si>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</si>
  <si>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</si>
  <si>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</si>
  <si>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</si>
  <si>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Requerida</t>
  </si>
  <si>
    <t>Definida</t>
  </si>
  <si>
    <t>Requisito.Espacial</t>
  </si>
  <si>
    <t>Requisito.Mobiliário</t>
  </si>
  <si>
    <t>Requisito.Equipamento</t>
  </si>
  <si>
    <t>Requisito.Sistemas</t>
  </si>
  <si>
    <t>No.Projeto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</si>
  <si>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</si>
  <si>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</si>
  <si>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</si>
  <si>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</si>
  <si>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</si>
  <si>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</si>
  <si>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</si>
  <si>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</si>
  <si>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</si>
  <si>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</si>
  <si>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</si>
  <si>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</si>
  <si>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</si>
  <si>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</si>
  <si>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Declares to a Human Agent</t>
  </si>
  <si>
    <t>Declares to an Artificial Agent</t>
  </si>
  <si>
    <t>Declares an information container in accordance with the NBR 19650-1 standard. Project Definition.</t>
  </si>
  <si>
    <t>Declares an information container in accordance with the NBR 19650-1 standard. Spatial Requirements for the Project.</t>
  </si>
  <si>
    <t>Declares an information container in accordance with the NBR 19650-1 standard. Furniture Requirements for the Project.</t>
  </si>
  <si>
    <t>Declares an information container in accordance with the NBR 19650-1 standard. Equipment Requirements for the Project.</t>
  </si>
  <si>
    <t>Declares an information container in accordance with the NBR 19650-1 standard. Building Systems Requirements for the Project.</t>
  </si>
  <si>
    <t>Declara a un agente humano</t>
  </si>
  <si>
    <t>Declara a un agente artificial</t>
  </si>
  <si>
    <t>Declara un contenedor de información de acuerdo con la norma NBR 19650-1. Definición del proyecto.</t>
  </si>
  <si>
    <t>Declara un contenedor de información de acuerdo con la norma NBR 19650-1. Requisitos espaciales para el proyecto.</t>
  </si>
  <si>
    <t>Declara un contenedor de información de acuerdo con la norma NBR 19650-1. Requisitos de mobiliario para el proyecto.</t>
  </si>
  <si>
    <t>Declara un contenedor de información de acuerdo con la norma NBR 19650-1. Requisitos de equipamiento para el proyecto.</t>
  </si>
  <si>
    <t>Declara un contenedor de información de acuerdo con la norma NBR 19650-1. Requisitos de los sistemas de construcción para el proyecto.</t>
  </si>
  <si>
    <t>Declara um contêiner de informação de acordo à norma NBR 19650-1. Definição do Projeto.</t>
  </si>
  <si>
    <t>Declara um contêiner de informação de acordo à norma NBR 19650-1. Requerimentos Espaciais para o Projeto.</t>
  </si>
  <si>
    <t>Declara um contêiner de informação de acordo à norma NBR 19650-1. Requerimentos Mobiliários para o Projeto.</t>
  </si>
  <si>
    <t>Declara um contêiner de informação de acordo à norma NBR 19650-1. Requerimentos Equipamentos para o Projeto.</t>
  </si>
  <si>
    <t>Declara um contêiner de informação de acordo à norma NBR 19650-1. Requerimentos de Sistemas Prediais para o Projeto.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</si>
  <si>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</si>
  <si>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</si>
  <si>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</si>
  <si>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</si>
  <si>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</si>
  <si>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</si>
  <si>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</si>
  <si>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</si>
  <si>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</si>
  <si>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</si>
  <si>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</si>
  <si>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</si>
  <si>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</si>
  <si>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</si>
  <si>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</si>
  <si>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</si>
  <si>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</si>
  <si>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</si>
  <si>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</si>
  <si>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</si>
  <si>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</si>
  <si>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</si>
  <si>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</si>
  <si>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</si>
  <si>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</si>
  <si>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</si>
  <si>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</si>
  <si>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"Verificar requisitos"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</si>
  <si>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</si>
  <si>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</si>
  <si>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</si>
  <si>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</si>
  <si>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</si>
  <si>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Declares the Gherkin language, for BDD (Behaviour-Driven Development) processes.</t>
  </si>
  <si>
    <t>Multidisciplinar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</si>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</sst>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</cellXfs>
  <cellStyles count="1">
    <cellStyle name="Normal" xfId="0" builtinId="0"/>
  </cellStyles>
  <dxfs count="13"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3046875" defaultRowHeight="9" customHeight="1" x14ac:dyDescent="0.4"/>
  <cols>
    <col min="1" max="1" width="9.3046875" style="61" customWidth="1"/>
    <col min="2" max="2" width="51.69140625" style="61" bestFit="1" customWidth="1"/>
    <col min="3" max="3" width="3.3828125" style="53" bestFit="1" customWidth="1"/>
    <col min="4" max="16384" width="9.3046875" style="61"/>
  </cols>
  <sheetData>
    <row r="1" spans="1:3" ht="14.25" customHeight="1" x14ac:dyDescent="0.4">
      <c r="A1" s="18" t="s">
        <v>46</v>
      </c>
      <c r="B1" s="18" t="s">
        <v>47</v>
      </c>
      <c r="C1" s="51" t="s">
        <v>91</v>
      </c>
    </row>
    <row r="2" spans="1:3" ht="9" customHeight="1" x14ac:dyDescent="0.4">
      <c r="A2" s="19" t="s">
        <v>48</v>
      </c>
      <c r="B2" s="19" t="s">
        <v>49</v>
      </c>
      <c r="C2" s="52" t="s">
        <v>92</v>
      </c>
    </row>
    <row r="3" spans="1:3" ht="9" customHeight="1" x14ac:dyDescent="0.4">
      <c r="A3" s="19" t="s">
        <v>50</v>
      </c>
      <c r="B3" s="19" t="s">
        <v>111</v>
      </c>
      <c r="C3" s="52" t="s">
        <v>92</v>
      </c>
    </row>
    <row r="4" spans="1:3" ht="9" customHeight="1" x14ac:dyDescent="0.4">
      <c r="A4" s="20" t="s">
        <v>51</v>
      </c>
      <c r="B4" s="20" t="s">
        <v>33</v>
      </c>
      <c r="C4" s="52" t="s">
        <v>92</v>
      </c>
    </row>
    <row r="5" spans="1:3" ht="9" customHeight="1" x14ac:dyDescent="0.4">
      <c r="A5" s="20" t="s">
        <v>52</v>
      </c>
      <c r="B5" s="20" t="str">
        <f>_xlfn.CONCAT(B4,"Prop")</f>
        <v>BIMProp</v>
      </c>
      <c r="C5" s="52" t="s">
        <v>92</v>
      </c>
    </row>
    <row r="6" spans="1:3" ht="9" customHeight="1" x14ac:dyDescent="0.4">
      <c r="A6" s="20" t="s">
        <v>53</v>
      </c>
      <c r="B6" s="20" t="str">
        <f>_xlfn.CONCAT(B4,"Data")</f>
        <v>BIMData</v>
      </c>
      <c r="C6" s="52" t="s">
        <v>92</v>
      </c>
    </row>
    <row r="7" spans="1:3" ht="9" customHeight="1" x14ac:dyDescent="0.4">
      <c r="A7" s="20" t="s">
        <v>54</v>
      </c>
      <c r="B7" s="20" t="s">
        <v>55</v>
      </c>
      <c r="C7" s="52" t="s">
        <v>92</v>
      </c>
    </row>
    <row r="8" spans="1:3" ht="9" customHeight="1" x14ac:dyDescent="0.4">
      <c r="A8" s="20" t="s">
        <v>56</v>
      </c>
      <c r="B8" s="20" t="s">
        <v>89</v>
      </c>
      <c r="C8" s="52" t="s">
        <v>92</v>
      </c>
    </row>
    <row r="9" spans="1:3" ht="9" customHeight="1" x14ac:dyDescent="0.4">
      <c r="A9" s="20" t="s">
        <v>57</v>
      </c>
      <c r="B9" s="20" t="s">
        <v>58</v>
      </c>
      <c r="C9" s="52" t="s">
        <v>92</v>
      </c>
    </row>
    <row r="10" spans="1:3" ht="9" customHeight="1" x14ac:dyDescent="0.4">
      <c r="A10" s="20" t="s">
        <v>59</v>
      </c>
      <c r="B10" s="20" t="s">
        <v>60</v>
      </c>
      <c r="C10" s="52" t="s">
        <v>92</v>
      </c>
    </row>
    <row r="11" spans="1:3" ht="9" customHeight="1" x14ac:dyDescent="0.4">
      <c r="A11" s="20" t="s">
        <v>61</v>
      </c>
      <c r="B11" s="20" t="s">
        <v>60</v>
      </c>
      <c r="C11" s="52" t="s">
        <v>92</v>
      </c>
    </row>
    <row r="12" spans="1:3" ht="9" customHeight="1" x14ac:dyDescent="0.4">
      <c r="A12" s="20" t="s">
        <v>62</v>
      </c>
      <c r="B12" s="20" t="s">
        <v>60</v>
      </c>
      <c r="C12" s="52" t="s">
        <v>92</v>
      </c>
    </row>
    <row r="13" spans="1:3" ht="9" customHeight="1" x14ac:dyDescent="0.4">
      <c r="A13" s="20" t="s">
        <v>63</v>
      </c>
      <c r="B13" s="20" t="s">
        <v>60</v>
      </c>
      <c r="C13" s="52" t="s">
        <v>92</v>
      </c>
    </row>
    <row r="14" spans="1:3" ht="9" customHeight="1" x14ac:dyDescent="0.4">
      <c r="A14" s="20" t="s">
        <v>64</v>
      </c>
      <c r="B14" s="20" t="s">
        <v>60</v>
      </c>
      <c r="C14" s="52" t="s">
        <v>92</v>
      </c>
    </row>
    <row r="15" spans="1:3" ht="9" customHeight="1" x14ac:dyDescent="0.4">
      <c r="A15" s="20" t="s">
        <v>65</v>
      </c>
      <c r="B15" s="20" t="s">
        <v>60</v>
      </c>
      <c r="C15" s="52" t="s">
        <v>92</v>
      </c>
    </row>
    <row r="16" spans="1:3" ht="9" customHeight="1" x14ac:dyDescent="0.4">
      <c r="A16" s="20" t="s">
        <v>66</v>
      </c>
      <c r="B16" s="20" t="s">
        <v>60</v>
      </c>
      <c r="C16" s="52" t="s">
        <v>92</v>
      </c>
    </row>
    <row r="17" spans="1:3" ht="9" customHeight="1" x14ac:dyDescent="0.4">
      <c r="A17" s="20" t="s">
        <v>67</v>
      </c>
      <c r="B17" s="20" t="s">
        <v>112</v>
      </c>
      <c r="C17" s="52" t="s">
        <v>92</v>
      </c>
    </row>
    <row r="18" spans="1:3" ht="9" customHeight="1" x14ac:dyDescent="0.4">
      <c r="A18" s="20" t="s">
        <v>68</v>
      </c>
      <c r="B18" s="21">
        <f ca="1">NOW()</f>
        <v>46213.74120300926</v>
      </c>
      <c r="C18" s="52" t="s">
        <v>92</v>
      </c>
    </row>
    <row r="19" spans="1:3" ht="9" customHeight="1" x14ac:dyDescent="0.4">
      <c r="A19" s="20" t="s">
        <v>95</v>
      </c>
      <c r="B19" s="21" t="s">
        <v>98</v>
      </c>
      <c r="C19" s="52" t="s">
        <v>92</v>
      </c>
    </row>
    <row r="20" spans="1:3" ht="9" customHeight="1" x14ac:dyDescent="0.4">
      <c r="A20" s="20" t="s">
        <v>96</v>
      </c>
      <c r="B20" s="21" t="str">
        <f>_xlfn.TRANSLATE(B19,"pt","es")</f>
        <v>Traducciones al español e inglés incorporadas. Las traducciones deben revisarse constantemente</v>
      </c>
      <c r="C20" s="52" t="s">
        <v>93</v>
      </c>
    </row>
    <row r="21" spans="1:3" ht="9" customHeight="1" x14ac:dyDescent="0.4">
      <c r="A21" s="20" t="s">
        <v>97</v>
      </c>
      <c r="B21" s="21" t="str">
        <f>_xlfn.TRANSLATE(B19,"pt","es")</f>
        <v>Traducciones al español e inglés incorporadas. Las traducciones deben revisarse constantemente</v>
      </c>
      <c r="C21" s="52" t="s">
        <v>94</v>
      </c>
    </row>
    <row r="22" spans="1:3" ht="9" customHeight="1" x14ac:dyDescent="0.4">
      <c r="A22" s="20" t="s">
        <v>69</v>
      </c>
      <c r="B22" s="20" t="s">
        <v>60</v>
      </c>
      <c r="C22" s="52" t="s">
        <v>92</v>
      </c>
    </row>
    <row r="23" spans="1:3" ht="9" customHeight="1" x14ac:dyDescent="0.4">
      <c r="A23" s="20" t="s">
        <v>70</v>
      </c>
      <c r="B23" s="20" t="s">
        <v>60</v>
      </c>
      <c r="C23" s="52" t="s">
        <v>92</v>
      </c>
    </row>
    <row r="24" spans="1:3" ht="9" customHeight="1" x14ac:dyDescent="0.4">
      <c r="A24" s="20" t="s">
        <v>71</v>
      </c>
      <c r="B24" s="22" t="s">
        <v>113</v>
      </c>
      <c r="C24" s="52" t="s">
        <v>92</v>
      </c>
    </row>
    <row r="25" spans="1:3" ht="9" customHeight="1" x14ac:dyDescent="0.4">
      <c r="A25" s="20" t="s">
        <v>72</v>
      </c>
      <c r="B25" s="22" t="str">
        <f>_xlfn.TRANSLATE(B24,"pt","es")</f>
        <v>Formaliza las clases para agentes.</v>
      </c>
      <c r="C25" s="52" t="s">
        <v>93</v>
      </c>
    </row>
    <row r="26" spans="1:3" ht="9" customHeight="1" x14ac:dyDescent="0.4">
      <c r="A26" s="20" t="s">
        <v>90</v>
      </c>
      <c r="B26" s="22" t="str">
        <f>_xlfn.TRANSLATE(B24,"pt","en")</f>
        <v>Formalize agent classes.</v>
      </c>
      <c r="C26" s="52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zoomScale="220" zoomScaleNormal="220" workbookViewId="0">
      <pane ySplit="1" topLeftCell="A2" activePane="bottomLeft" state="frozen"/>
      <selection pane="bottomLeft" activeCell="F9" sqref="F9"/>
    </sheetView>
  </sheetViews>
  <sheetFormatPr defaultColWidth="9.15234375" defaultRowHeight="8.25" customHeight="1" x14ac:dyDescent="0.35"/>
  <cols>
    <col min="1" max="1" width="3.3046875" style="2" customWidth="1"/>
    <col min="2" max="2" width="4.53515625" style="14" customWidth="1"/>
    <col min="3" max="3" width="5.3046875" style="2" customWidth="1"/>
    <col min="4" max="4" width="6.3046875" style="14" customWidth="1"/>
    <col min="5" max="5" width="5.69140625" style="2" customWidth="1"/>
    <col min="6" max="6" width="9.3046875" style="14" bestFit="1" customWidth="1"/>
    <col min="7" max="11" width="7.3828125" style="2" customWidth="1"/>
    <col min="12" max="12" width="5.53515625" style="14" customWidth="1"/>
    <col min="13" max="13" width="5.53515625" style="13" customWidth="1"/>
    <col min="14" max="14" width="5.84375" style="2" customWidth="1"/>
    <col min="15" max="15" width="11" style="2" customWidth="1"/>
    <col min="16" max="16" width="47.84375" style="14" bestFit="1" customWidth="1"/>
    <col min="17" max="17" width="54.3828125" style="14" bestFit="1" customWidth="1"/>
    <col min="18" max="18" width="9.3046875" style="2" customWidth="1"/>
    <col min="19" max="19" width="6.84375" style="2" customWidth="1"/>
    <col min="20" max="20" width="6.69140625" style="14" bestFit="1" customWidth="1"/>
    <col min="21" max="21" width="6.3046875" style="2" bestFit="1" customWidth="1"/>
    <col min="22" max="22" width="9" style="14" bestFit="1" customWidth="1"/>
    <col min="23" max="23" width="7.3046875" style="60" customWidth="1"/>
    <col min="24" max="25" width="6.3828125" style="35" customWidth="1"/>
    <col min="26" max="26" width="4.15234375" style="34" customWidth="1"/>
    <col min="27" max="27" width="70.84375" style="2" bestFit="1" customWidth="1"/>
    <col min="28" max="16384" width="9.15234375" style="2"/>
  </cols>
  <sheetData>
    <row r="1" spans="1:27" s="31" customFormat="1" ht="48" customHeight="1" x14ac:dyDescent="0.4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85</v>
      </c>
      <c r="Y1" s="33" t="s">
        <v>86</v>
      </c>
      <c r="Z1" s="54" t="s">
        <v>87</v>
      </c>
      <c r="AA1" s="50" t="s">
        <v>88</v>
      </c>
    </row>
    <row r="2" spans="1:27" customFormat="1" ht="6.65" customHeight="1" x14ac:dyDescent="0.4">
      <c r="A2" s="36">
        <v>2</v>
      </c>
      <c r="B2" s="37" t="s">
        <v>109</v>
      </c>
      <c r="C2" s="38" t="s">
        <v>100</v>
      </c>
      <c r="D2" s="37" t="s">
        <v>99</v>
      </c>
      <c r="E2" s="37" t="s">
        <v>103</v>
      </c>
      <c r="F2" s="38" t="s">
        <v>108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Contêiner</v>
      </c>
      <c r="M2" s="40" t="str">
        <f t="shared" si="0"/>
        <v>Informação</v>
      </c>
      <c r="N2" s="40" t="str">
        <f t="shared" ref="N2:O6" si="1">(SUBSTITUTE(SUBSTITUTE(CONCATENATE("",E2),"."," ")," De "," de "))</f>
        <v>Definida</v>
      </c>
      <c r="O2" s="40" t="str">
        <f t="shared" si="1"/>
        <v>No Projeto</v>
      </c>
      <c r="P2" s="41" t="s">
        <v>137</v>
      </c>
      <c r="Q2" s="41" t="s">
        <v>132</v>
      </c>
      <c r="R2" s="42" t="s">
        <v>10</v>
      </c>
      <c r="S2" s="43" t="str">
        <f t="shared" ref="S2:U6" si="2">SUBSTITUTE(C2, ".", " ")</f>
        <v>Contêiner</v>
      </c>
      <c r="T2" s="43" t="str">
        <f t="shared" si="2"/>
        <v>Informação</v>
      </c>
      <c r="U2" s="43" t="str">
        <f t="shared" si="2"/>
        <v>Definida</v>
      </c>
      <c r="V2" s="41" t="s">
        <v>176</v>
      </c>
      <c r="W2" s="59" t="str">
        <f>CONCATENATE("Key-AGE-",A2)</f>
        <v>Key-AGE-2</v>
      </c>
      <c r="X2" s="41" t="s">
        <v>10</v>
      </c>
      <c r="Y2" s="41" t="s">
        <v>10</v>
      </c>
      <c r="Z2" s="42" t="s">
        <v>10</v>
      </c>
      <c r="AA2" s="41" t="s">
        <v>125</v>
      </c>
    </row>
    <row r="3" spans="1:27" customFormat="1" ht="6.65" customHeight="1" x14ac:dyDescent="0.4">
      <c r="A3" s="36">
        <v>3</v>
      </c>
      <c r="B3" s="37" t="s">
        <v>109</v>
      </c>
      <c r="C3" s="38" t="s">
        <v>100</v>
      </c>
      <c r="D3" s="37" t="s">
        <v>99</v>
      </c>
      <c r="E3" s="37" t="s">
        <v>102</v>
      </c>
      <c r="F3" s="38" t="s">
        <v>104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Contêiner</v>
      </c>
      <c r="M3" s="40" t="str">
        <f t="shared" si="0"/>
        <v>Informação</v>
      </c>
      <c r="N3" s="40" t="str">
        <f t="shared" si="1"/>
        <v>Requerida</v>
      </c>
      <c r="O3" s="40" t="str">
        <f t="shared" si="1"/>
        <v>Requisito Espacial</v>
      </c>
      <c r="P3" s="41" t="s">
        <v>138</v>
      </c>
      <c r="Q3" s="41" t="s">
        <v>133</v>
      </c>
      <c r="R3" s="42" t="s">
        <v>10</v>
      </c>
      <c r="S3" s="43" t="str">
        <f t="shared" ref="S3:S5" si="3">SUBSTITUTE(C3, ".", " ")</f>
        <v>Contêiner</v>
      </c>
      <c r="T3" s="43" t="str">
        <f t="shared" ref="T3:T5" si="4">SUBSTITUTE(D3, ".", " ")</f>
        <v>Informação</v>
      </c>
      <c r="U3" s="43" t="str">
        <f t="shared" ref="U3:U5" si="5">SUBSTITUTE(E3, ".", " ")</f>
        <v>Requerida</v>
      </c>
      <c r="V3" s="41" t="s">
        <v>176</v>
      </c>
      <c r="W3" s="59" t="str">
        <f t="shared" ref="W3:W9" si="6">CONCATENATE("Key-AGE-",A3)</f>
        <v>Key-AGE-3</v>
      </c>
      <c r="X3" s="41" t="s">
        <v>10</v>
      </c>
      <c r="Y3" s="41" t="s">
        <v>10</v>
      </c>
      <c r="Z3" s="42" t="s">
        <v>10</v>
      </c>
      <c r="AA3" s="41" t="s">
        <v>126</v>
      </c>
    </row>
    <row r="4" spans="1:27" customFormat="1" ht="6.65" customHeight="1" x14ac:dyDescent="0.4">
      <c r="A4" s="36">
        <v>4</v>
      </c>
      <c r="B4" s="37" t="s">
        <v>109</v>
      </c>
      <c r="C4" s="38" t="s">
        <v>100</v>
      </c>
      <c r="D4" s="37" t="s">
        <v>99</v>
      </c>
      <c r="E4" s="37" t="s">
        <v>102</v>
      </c>
      <c r="F4" s="38" t="s">
        <v>105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Contêiner</v>
      </c>
      <c r="M4" s="40" t="str">
        <f t="shared" si="0"/>
        <v>Informação</v>
      </c>
      <c r="N4" s="40" t="str">
        <f t="shared" si="1"/>
        <v>Requerida</v>
      </c>
      <c r="O4" s="40" t="str">
        <f t="shared" si="1"/>
        <v>Requisito Mobiliário</v>
      </c>
      <c r="P4" s="41" t="s">
        <v>139</v>
      </c>
      <c r="Q4" s="41" t="s">
        <v>134</v>
      </c>
      <c r="R4" s="42" t="s">
        <v>10</v>
      </c>
      <c r="S4" s="43" t="str">
        <f t="shared" si="3"/>
        <v>Contêiner</v>
      </c>
      <c r="T4" s="43" t="str">
        <f t="shared" si="4"/>
        <v>Informação</v>
      </c>
      <c r="U4" s="43" t="str">
        <f t="shared" si="5"/>
        <v>Requerida</v>
      </c>
      <c r="V4" s="41" t="s">
        <v>176</v>
      </c>
      <c r="W4" s="59" t="str">
        <f t="shared" si="6"/>
        <v>Key-AGE-4</v>
      </c>
      <c r="X4" s="41" t="s">
        <v>10</v>
      </c>
      <c r="Y4" s="41" t="s">
        <v>10</v>
      </c>
      <c r="Z4" s="42" t="s">
        <v>10</v>
      </c>
      <c r="AA4" s="41" t="s">
        <v>127</v>
      </c>
    </row>
    <row r="5" spans="1:27" customFormat="1" ht="6.65" customHeight="1" x14ac:dyDescent="0.4">
      <c r="A5" s="36">
        <v>5</v>
      </c>
      <c r="B5" s="37" t="s">
        <v>109</v>
      </c>
      <c r="C5" s="38" t="s">
        <v>100</v>
      </c>
      <c r="D5" s="37" t="s">
        <v>99</v>
      </c>
      <c r="E5" s="37" t="s">
        <v>102</v>
      </c>
      <c r="F5" s="38" t="s">
        <v>106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Contêiner</v>
      </c>
      <c r="M5" s="40" t="str">
        <f t="shared" si="0"/>
        <v>Informação</v>
      </c>
      <c r="N5" s="40" t="str">
        <f t="shared" si="1"/>
        <v>Requerida</v>
      </c>
      <c r="O5" s="40" t="str">
        <f t="shared" si="1"/>
        <v>Requisito Equipamento</v>
      </c>
      <c r="P5" s="41" t="s">
        <v>140</v>
      </c>
      <c r="Q5" s="41" t="s">
        <v>135</v>
      </c>
      <c r="R5" s="42" t="s">
        <v>10</v>
      </c>
      <c r="S5" s="43" t="str">
        <f t="shared" si="3"/>
        <v>Contêiner</v>
      </c>
      <c r="T5" s="43" t="str">
        <f t="shared" si="4"/>
        <v>Informação</v>
      </c>
      <c r="U5" s="43" t="str">
        <f t="shared" si="5"/>
        <v>Requerida</v>
      </c>
      <c r="V5" s="41" t="s">
        <v>176</v>
      </c>
      <c r="W5" s="59" t="str">
        <f t="shared" si="6"/>
        <v>Key-AGE-5</v>
      </c>
      <c r="X5" s="41" t="s">
        <v>10</v>
      </c>
      <c r="Y5" s="41" t="s">
        <v>10</v>
      </c>
      <c r="Z5" s="42" t="s">
        <v>10</v>
      </c>
      <c r="AA5" s="41" t="s">
        <v>128</v>
      </c>
    </row>
    <row r="6" spans="1:27" customFormat="1" ht="6.65" customHeight="1" x14ac:dyDescent="0.4">
      <c r="A6" s="36">
        <v>6</v>
      </c>
      <c r="B6" s="37" t="s">
        <v>109</v>
      </c>
      <c r="C6" s="38" t="s">
        <v>100</v>
      </c>
      <c r="D6" s="37" t="s">
        <v>99</v>
      </c>
      <c r="E6" s="37" t="s">
        <v>102</v>
      </c>
      <c r="F6" s="38" t="s">
        <v>107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Contêiner</v>
      </c>
      <c r="M6" s="40" t="str">
        <f t="shared" si="0"/>
        <v>Informação</v>
      </c>
      <c r="N6" s="40" t="str">
        <f t="shared" si="1"/>
        <v>Requerida</v>
      </c>
      <c r="O6" s="40" t="str">
        <f t="shared" si="1"/>
        <v>Requisito Sistemas</v>
      </c>
      <c r="P6" s="41" t="s">
        <v>141</v>
      </c>
      <c r="Q6" s="41" t="s">
        <v>136</v>
      </c>
      <c r="R6" s="42" t="s">
        <v>10</v>
      </c>
      <c r="S6" s="43" t="str">
        <f t="shared" si="2"/>
        <v>Contêiner</v>
      </c>
      <c r="T6" s="43" t="str">
        <f t="shared" si="2"/>
        <v>Informação</v>
      </c>
      <c r="U6" s="43" t="str">
        <f t="shared" si="2"/>
        <v>Requerida</v>
      </c>
      <c r="V6" s="41" t="s">
        <v>176</v>
      </c>
      <c r="W6" s="59" t="str">
        <f t="shared" si="6"/>
        <v>Key-AGE-6</v>
      </c>
      <c r="X6" s="41" t="s">
        <v>10</v>
      </c>
      <c r="Y6" s="41" t="s">
        <v>10</v>
      </c>
      <c r="Z6" s="42" t="s">
        <v>10</v>
      </c>
      <c r="AA6" s="41" t="s">
        <v>129</v>
      </c>
    </row>
    <row r="7" spans="1:27" customFormat="1" ht="6.65" customHeight="1" x14ac:dyDescent="0.4">
      <c r="A7" s="36">
        <v>7</v>
      </c>
      <c r="B7" s="37" t="s">
        <v>80</v>
      </c>
      <c r="C7" s="37" t="s">
        <v>114</v>
      </c>
      <c r="D7" s="37" t="s">
        <v>111</v>
      </c>
      <c r="E7" s="37" t="s">
        <v>167</v>
      </c>
      <c r="F7" s="38" t="s">
        <v>115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7">CONCATENATE("", C7)</f>
        <v>Agência</v>
      </c>
      <c r="M7" s="40" t="str">
        <f t="shared" ref="M7" si="8">CONCATENATE("", D7)</f>
        <v>Agentes</v>
      </c>
      <c r="N7" s="40" t="str">
        <f t="shared" ref="N7:O7" si="9">(SUBSTITUTE(SUBSTITUTE(CONCATENATE("",E7),"."," ")," De "," de "))</f>
        <v>Humanos</v>
      </c>
      <c r="O7" s="40" t="str">
        <f t="shared" si="9"/>
        <v>Agente Humano</v>
      </c>
      <c r="P7" s="41" t="s">
        <v>121</v>
      </c>
      <c r="Q7" s="41" t="s">
        <v>130</v>
      </c>
      <c r="R7" s="42" t="s">
        <v>10</v>
      </c>
      <c r="S7" s="43" t="str">
        <f t="shared" ref="S7:U7" si="10">SUBSTITUTE(C7, ".", " ")</f>
        <v>Agência</v>
      </c>
      <c r="T7" s="43" t="str">
        <f t="shared" si="10"/>
        <v>Agentes</v>
      </c>
      <c r="U7" s="43" t="str">
        <f t="shared" si="10"/>
        <v>Humanos</v>
      </c>
      <c r="V7" s="41" t="s">
        <v>176</v>
      </c>
      <c r="W7" s="59" t="str">
        <f t="shared" si="6"/>
        <v>Key-AGE-7</v>
      </c>
      <c r="X7" s="41" t="s">
        <v>10</v>
      </c>
      <c r="Y7" s="41" t="s">
        <v>10</v>
      </c>
      <c r="Z7" s="42" t="s">
        <v>10</v>
      </c>
      <c r="AA7" s="41" t="s">
        <v>123</v>
      </c>
    </row>
    <row r="8" spans="1:27" customFormat="1" ht="6" customHeight="1" x14ac:dyDescent="0.4">
      <c r="A8" s="36">
        <v>8</v>
      </c>
      <c r="B8" s="37" t="s">
        <v>80</v>
      </c>
      <c r="C8" s="37" t="s">
        <v>114</v>
      </c>
      <c r="D8" s="37" t="s">
        <v>111</v>
      </c>
      <c r="E8" s="37" t="s">
        <v>168</v>
      </c>
      <c r="F8" s="38" t="s">
        <v>119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11">CONCATENATE("", C8)</f>
        <v>Agência</v>
      </c>
      <c r="M8" s="40" t="str">
        <f t="shared" si="11"/>
        <v>Agentes</v>
      </c>
      <c r="N8" s="40" t="str">
        <f t="shared" ref="N8:O8" si="12">(SUBSTITUTE(SUBSTITUTE(CONCATENATE("",E8),"."," ")," De "," de "))</f>
        <v>Artificiais</v>
      </c>
      <c r="O8" s="40" t="str">
        <f t="shared" si="12"/>
        <v>Agente Artificial</v>
      </c>
      <c r="P8" s="41" t="s">
        <v>122</v>
      </c>
      <c r="Q8" s="41" t="s">
        <v>131</v>
      </c>
      <c r="R8" s="42" t="s">
        <v>10</v>
      </c>
      <c r="S8" s="43" t="str">
        <f t="shared" ref="S8" si="13">SUBSTITUTE(C8, ".", " ")</f>
        <v>Agência</v>
      </c>
      <c r="T8" s="43" t="str">
        <f t="shared" ref="T8" si="14">SUBSTITUTE(D8, ".", " ")</f>
        <v>Agentes</v>
      </c>
      <c r="U8" s="43" t="str">
        <f t="shared" ref="U8" si="15">SUBSTITUTE(E8, ".", " ")</f>
        <v>Artificiais</v>
      </c>
      <c r="V8" s="41" t="s">
        <v>176</v>
      </c>
      <c r="W8" s="59" t="str">
        <f t="shared" si="6"/>
        <v>Key-AGE-8</v>
      </c>
      <c r="X8" s="41" t="s">
        <v>10</v>
      </c>
      <c r="Y8" s="41" t="s">
        <v>10</v>
      </c>
      <c r="Z8" s="42" t="s">
        <v>10</v>
      </c>
      <c r="AA8" s="41" t="s">
        <v>124</v>
      </c>
    </row>
    <row r="9" spans="1:27" customFormat="1" ht="6" customHeight="1" x14ac:dyDescent="0.4">
      <c r="A9" s="36">
        <v>9</v>
      </c>
      <c r="B9" s="37" t="s">
        <v>80</v>
      </c>
      <c r="C9" s="37" t="s">
        <v>114</v>
      </c>
      <c r="D9" s="37" t="s">
        <v>111</v>
      </c>
      <c r="E9" s="37" t="s">
        <v>177</v>
      </c>
      <c r="F9" s="38" t="s">
        <v>120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6">CONCATENATE("", C9)</f>
        <v>Agência</v>
      </c>
      <c r="M9" s="40" t="str">
        <f t="shared" ref="M9" si="17">CONCATENATE("", D9)</f>
        <v>Agentes</v>
      </c>
      <c r="N9" s="40" t="str">
        <f t="shared" ref="N9" si="18">(SUBSTITUTE(SUBSTITUTE(CONCATENATE("",E9),"."," ")," De "," de "))</f>
        <v>Linguagens</v>
      </c>
      <c r="O9" s="40" t="str">
        <f t="shared" ref="O9" si="19">(SUBSTITUTE(SUBSTITUTE(CONCATENATE("",F9),"."," ")," De "," de "))</f>
        <v>Gherkin</v>
      </c>
      <c r="P9" s="41" t="s">
        <v>174</v>
      </c>
      <c r="Q9" s="41" t="str">
        <f>_xlfn.TRANSLATE(P9,"pt","es")</f>
        <v>Declara el lenguaje Gherkin, para procesos BDD (Desarrollo Impulsado por el Comportamiento).</v>
      </c>
      <c r="R9" s="42" t="s">
        <v>10</v>
      </c>
      <c r="S9" s="43" t="str">
        <f t="shared" ref="S9" si="20">SUBSTITUTE(C9, ".", " ")</f>
        <v>Agência</v>
      </c>
      <c r="T9" s="43" t="str">
        <f t="shared" ref="T9" si="21">SUBSTITUTE(D9, ".", " ")</f>
        <v>Agentes</v>
      </c>
      <c r="U9" s="43" t="str">
        <f t="shared" ref="U9" si="22">SUBSTITUTE(E9, ".", " ")</f>
        <v>Linguagens</v>
      </c>
      <c r="V9" s="41" t="s">
        <v>176</v>
      </c>
      <c r="W9" s="59" t="str">
        <f t="shared" si="6"/>
        <v>Key-AGE-9</v>
      </c>
      <c r="X9" s="41" t="s">
        <v>10</v>
      </c>
      <c r="Y9" s="41" t="s">
        <v>10</v>
      </c>
      <c r="Z9" s="42" t="s">
        <v>10</v>
      </c>
      <c r="AA9" s="41" t="s">
        <v>175</v>
      </c>
    </row>
  </sheetData>
  <phoneticPr fontId="1" type="noConversion"/>
  <conditionalFormatting sqref="F1:F1048576">
    <cfRule type="duplicateValues" dxfId="12" priority="8"/>
  </conditionalFormatting>
  <conditionalFormatting sqref="F2:F6">
    <cfRule type="duplicateValues" dxfId="11" priority="47"/>
    <cfRule type="duplicateValues" dxfId="10" priority="48"/>
    <cfRule type="duplicateValues" dxfId="9" priority="49"/>
  </conditionalFormatting>
  <conditionalFormatting sqref="F7:F9 AA1:AA7 A2:A9 AA8:XFD8 B8:B9 L8:O9 AB9:XFD9">
    <cfRule type="cellIs" dxfId="8" priority="65" operator="equal">
      <formula>"null"</formula>
    </cfRule>
  </conditionalFormatting>
  <conditionalFormatting sqref="F7:F9">
    <cfRule type="duplicateValues" dxfId="7" priority="620"/>
    <cfRule type="duplicateValues" dxfId="6" priority="652"/>
    <cfRule type="duplicateValues" dxfId="5" priority="653"/>
    <cfRule type="duplicateValues" dxfId="4" priority="654"/>
    <cfRule type="duplicateValues" dxfId="3" priority="655"/>
    <cfRule type="duplicateValues" dxfId="2" priority="656"/>
    <cfRule type="duplicateValues" dxfId="1" priority="66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5" customHeight="1" x14ac:dyDescent="0.4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G8"/>
  <sheetViews>
    <sheetView tabSelected="1" zoomScale="265" zoomScaleNormal="265" workbookViewId="0">
      <pane ySplit="1" topLeftCell="A2" activePane="bottomLeft" state="frozen"/>
      <selection pane="bottomLeft" activeCell="D3" sqref="D3"/>
    </sheetView>
  </sheetViews>
  <sheetFormatPr defaultColWidth="9.3046875" defaultRowHeight="7.4" customHeight="1" x14ac:dyDescent="0.4"/>
  <cols>
    <col min="1" max="1" width="1.69140625" style="57" bestFit="1" customWidth="1"/>
    <col min="2" max="2" width="5.3046875" style="49" customWidth="1"/>
    <col min="3" max="3" width="7.3828125" style="47" customWidth="1"/>
    <col min="4" max="4" width="7.3046875" style="47" customWidth="1"/>
    <col min="5" max="5" width="5.3046875" style="47" customWidth="1"/>
    <col min="6" max="6" width="3.3046875" style="47" customWidth="1"/>
    <col min="7" max="7" width="2.53515625" style="47" customWidth="1"/>
    <col min="8" max="8" width="3.69140625" style="47" customWidth="1"/>
    <col min="9" max="9" width="14.3828125" style="47" customWidth="1"/>
    <col min="10" max="10" width="6.07421875" style="47" customWidth="1"/>
    <col min="11" max="11" width="8.3046875" style="47" bestFit="1" customWidth="1"/>
    <col min="12" max="12" width="12" style="47" bestFit="1" customWidth="1"/>
    <col min="13" max="13" width="9.84375" style="47" bestFit="1" customWidth="1"/>
    <col min="14" max="14" width="9.3828125" style="47" customWidth="1"/>
    <col min="15" max="15" width="10.69140625" style="47" customWidth="1"/>
    <col min="16" max="16" width="3.3046875" style="47" customWidth="1"/>
    <col min="17" max="17" width="14" style="47" customWidth="1"/>
    <col min="18" max="18" width="5" style="47" customWidth="1"/>
    <col min="19" max="19" width="48.15234375" style="47" customWidth="1"/>
    <col min="20" max="20" width="2.3828125" style="47" bestFit="1" customWidth="1"/>
    <col min="21" max="21" width="1.84375" style="47" bestFit="1" customWidth="1"/>
    <col min="22" max="22" width="2.3828125" style="47" bestFit="1" customWidth="1"/>
    <col min="23" max="23" width="1.84375" style="47" bestFit="1" customWidth="1"/>
    <col min="24" max="24" width="2.3828125" style="47" bestFit="1" customWidth="1"/>
    <col min="25" max="25" width="1.84375" style="47" bestFit="1" customWidth="1"/>
    <col min="26" max="26" width="2.3828125" style="47" bestFit="1" customWidth="1"/>
    <col min="27" max="27" width="1.84375" style="47" bestFit="1" customWidth="1"/>
    <col min="28" max="28" width="2.3828125" style="47" bestFit="1" customWidth="1"/>
    <col min="29" max="29" width="1.84375" style="47" bestFit="1" customWidth="1"/>
    <col min="30" max="30" width="2.3828125" style="47" bestFit="1" customWidth="1"/>
    <col min="31" max="31" width="1.84375" style="47" bestFit="1" customWidth="1"/>
    <col min="32" max="32" width="2.3828125" style="47" bestFit="1" customWidth="1"/>
    <col min="33" max="33" width="1.84375" style="47" bestFit="1" customWidth="1"/>
    <col min="34" max="16384" width="9.3046875" style="47"/>
  </cols>
  <sheetData>
    <row r="1" spans="1:33" ht="20.7" customHeight="1" x14ac:dyDescent="0.4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3" t="s">
        <v>75</v>
      </c>
      <c r="G1" s="23" t="s">
        <v>78</v>
      </c>
      <c r="H1" s="26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  <c r="R1" s="23" t="s">
        <v>75</v>
      </c>
      <c r="S1" s="23" t="s">
        <v>78</v>
      </c>
      <c r="T1" s="23" t="s">
        <v>75</v>
      </c>
      <c r="U1" s="23" t="s">
        <v>78</v>
      </c>
      <c r="V1" s="23" t="s">
        <v>75</v>
      </c>
      <c r="W1" s="23" t="s">
        <v>78</v>
      </c>
      <c r="X1" s="23" t="s">
        <v>75</v>
      </c>
      <c r="Y1" s="23" t="s">
        <v>78</v>
      </c>
      <c r="Z1" s="23" t="s">
        <v>75</v>
      </c>
      <c r="AA1" s="23" t="s">
        <v>78</v>
      </c>
      <c r="AB1" s="23" t="s">
        <v>75</v>
      </c>
      <c r="AC1" s="23" t="s">
        <v>78</v>
      </c>
      <c r="AD1" s="23" t="s">
        <v>75</v>
      </c>
      <c r="AE1" s="23" t="s">
        <v>78</v>
      </c>
      <c r="AF1" s="23" t="s">
        <v>75</v>
      </c>
      <c r="AG1" s="23" t="s">
        <v>78</v>
      </c>
    </row>
    <row r="2" spans="1:33" ht="7.4" customHeight="1" x14ac:dyDescent="0.4">
      <c r="A2" s="56">
        <v>1</v>
      </c>
      <c r="B2" s="48" t="s">
        <v>83</v>
      </c>
      <c r="C2" s="44" t="s">
        <v>108</v>
      </c>
      <c r="D2" s="45" t="s">
        <v>10</v>
      </c>
      <c r="E2" s="46" t="s">
        <v>10</v>
      </c>
      <c r="F2" s="45" t="s">
        <v>10</v>
      </c>
      <c r="G2" s="46" t="s">
        <v>10</v>
      </c>
      <c r="H2" s="32" t="s">
        <v>77</v>
      </c>
      <c r="I2" s="25" t="s">
        <v>84</v>
      </c>
      <c r="J2" s="32" t="s">
        <v>81</v>
      </c>
      <c r="K2" s="25" t="s">
        <v>82</v>
      </c>
      <c r="L2" s="32" t="s">
        <v>10</v>
      </c>
      <c r="M2" s="25" t="s">
        <v>10</v>
      </c>
      <c r="N2" s="32" t="s">
        <v>10</v>
      </c>
      <c r="O2" s="25" t="s">
        <v>10</v>
      </c>
      <c r="P2" s="32" t="s">
        <v>149</v>
      </c>
      <c r="Q2" s="25" t="s">
        <v>110</v>
      </c>
      <c r="R2" s="32" t="s">
        <v>76</v>
      </c>
      <c r="S2" s="24" t="s">
        <v>101</v>
      </c>
      <c r="T2" s="32" t="s">
        <v>10</v>
      </c>
      <c r="U2" s="25" t="s">
        <v>10</v>
      </c>
      <c r="V2" s="32" t="s">
        <v>10</v>
      </c>
      <c r="W2" s="25" t="s">
        <v>10</v>
      </c>
      <c r="X2" s="32" t="s">
        <v>10</v>
      </c>
      <c r="Y2" s="25" t="s">
        <v>10</v>
      </c>
      <c r="Z2" s="32" t="s">
        <v>10</v>
      </c>
      <c r="AA2" s="25" t="s">
        <v>10</v>
      </c>
      <c r="AB2" s="32" t="s">
        <v>10</v>
      </c>
      <c r="AC2" s="25" t="s">
        <v>10</v>
      </c>
      <c r="AD2" s="32" t="s">
        <v>10</v>
      </c>
      <c r="AE2" s="25" t="s">
        <v>10</v>
      </c>
      <c r="AF2" s="32" t="s">
        <v>10</v>
      </c>
      <c r="AG2" s="25" t="s">
        <v>10</v>
      </c>
    </row>
    <row r="3" spans="1:33" ht="7.4" customHeight="1" x14ac:dyDescent="0.4">
      <c r="A3" s="56">
        <v>2</v>
      </c>
      <c r="B3" s="48" t="s">
        <v>116</v>
      </c>
      <c r="C3" s="38" t="s">
        <v>119</v>
      </c>
      <c r="D3" s="45" t="s">
        <v>142</v>
      </c>
      <c r="E3" s="46" t="s">
        <v>83</v>
      </c>
      <c r="F3" s="45" t="s">
        <v>10</v>
      </c>
      <c r="G3" s="46" t="s">
        <v>10</v>
      </c>
      <c r="H3" s="32" t="s">
        <v>77</v>
      </c>
      <c r="I3" s="25" t="s">
        <v>143</v>
      </c>
      <c r="J3" s="32" t="s">
        <v>183</v>
      </c>
      <c r="K3" s="25" t="s">
        <v>148</v>
      </c>
      <c r="L3" s="32" t="s">
        <v>181</v>
      </c>
      <c r="M3" s="25" t="s">
        <v>158</v>
      </c>
      <c r="N3" s="32" t="s">
        <v>182</v>
      </c>
      <c r="O3" s="25" t="s">
        <v>170</v>
      </c>
      <c r="P3" s="32" t="s">
        <v>149</v>
      </c>
      <c r="Q3" s="25" t="s">
        <v>156</v>
      </c>
      <c r="R3" s="32" t="s">
        <v>76</v>
      </c>
      <c r="S3" s="25" t="s">
        <v>160</v>
      </c>
      <c r="T3" s="32" t="s">
        <v>10</v>
      </c>
      <c r="U3" s="25" t="s">
        <v>10</v>
      </c>
      <c r="V3" s="32" t="s">
        <v>10</v>
      </c>
      <c r="W3" s="25" t="s">
        <v>10</v>
      </c>
      <c r="X3" s="32" t="s">
        <v>10</v>
      </c>
      <c r="Y3" s="25" t="s">
        <v>10</v>
      </c>
      <c r="Z3" s="32" t="s">
        <v>10</v>
      </c>
      <c r="AA3" s="25" t="s">
        <v>10</v>
      </c>
      <c r="AB3" s="32" t="s">
        <v>10</v>
      </c>
      <c r="AC3" s="25" t="s">
        <v>10</v>
      </c>
      <c r="AD3" s="32" t="s">
        <v>10</v>
      </c>
      <c r="AE3" s="25" t="s">
        <v>10</v>
      </c>
      <c r="AF3" s="32" t="s">
        <v>10</v>
      </c>
      <c r="AG3" s="25" t="s">
        <v>10</v>
      </c>
    </row>
    <row r="4" spans="1:33" ht="7.4" customHeight="1" x14ac:dyDescent="0.4">
      <c r="A4" s="56">
        <v>3</v>
      </c>
      <c r="B4" s="48" t="s">
        <v>117</v>
      </c>
      <c r="C4" s="38" t="s">
        <v>119</v>
      </c>
      <c r="D4" s="45" t="s">
        <v>142</v>
      </c>
      <c r="E4" s="46" t="s">
        <v>83</v>
      </c>
      <c r="F4" s="45" t="s">
        <v>10</v>
      </c>
      <c r="G4" s="46" t="s">
        <v>10</v>
      </c>
      <c r="H4" s="32" t="s">
        <v>77</v>
      </c>
      <c r="I4" s="25" t="s">
        <v>143</v>
      </c>
      <c r="J4" s="32" t="s">
        <v>183</v>
      </c>
      <c r="K4" s="25" t="s">
        <v>148</v>
      </c>
      <c r="L4" s="32" t="s">
        <v>181</v>
      </c>
      <c r="M4" s="25" t="s">
        <v>159</v>
      </c>
      <c r="N4" s="32" t="s">
        <v>182</v>
      </c>
      <c r="O4" s="25" t="s">
        <v>171</v>
      </c>
      <c r="P4" s="32" t="s">
        <v>149</v>
      </c>
      <c r="Q4" s="25" t="s">
        <v>156</v>
      </c>
      <c r="R4" s="32" t="s">
        <v>76</v>
      </c>
      <c r="S4" s="25" t="s">
        <v>161</v>
      </c>
      <c r="T4" s="32" t="s">
        <v>10</v>
      </c>
      <c r="U4" s="25" t="s">
        <v>10</v>
      </c>
      <c r="V4" s="32" t="s">
        <v>10</v>
      </c>
      <c r="W4" s="25" t="s">
        <v>10</v>
      </c>
      <c r="X4" s="32" t="s">
        <v>10</v>
      </c>
      <c r="Y4" s="25" t="s">
        <v>10</v>
      </c>
      <c r="Z4" s="32" t="s">
        <v>10</v>
      </c>
      <c r="AA4" s="25" t="s">
        <v>10</v>
      </c>
      <c r="AB4" s="32" t="s">
        <v>10</v>
      </c>
      <c r="AC4" s="25" t="s">
        <v>10</v>
      </c>
      <c r="AD4" s="32" t="s">
        <v>10</v>
      </c>
      <c r="AE4" s="25" t="s">
        <v>10</v>
      </c>
      <c r="AF4" s="32" t="s">
        <v>10</v>
      </c>
      <c r="AG4" s="25" t="s">
        <v>10</v>
      </c>
    </row>
    <row r="5" spans="1:33" ht="7.4" customHeight="1" x14ac:dyDescent="0.4">
      <c r="A5" s="56">
        <v>4</v>
      </c>
      <c r="B5" s="48" t="s">
        <v>118</v>
      </c>
      <c r="C5" s="38" t="s">
        <v>119</v>
      </c>
      <c r="D5" s="45" t="s">
        <v>142</v>
      </c>
      <c r="E5" s="46" t="s">
        <v>83</v>
      </c>
      <c r="F5" s="45" t="s">
        <v>10</v>
      </c>
      <c r="G5" s="46" t="s">
        <v>10</v>
      </c>
      <c r="H5" s="32" t="s">
        <v>77</v>
      </c>
      <c r="I5" s="25" t="s">
        <v>143</v>
      </c>
      <c r="J5" s="32" t="s">
        <v>183</v>
      </c>
      <c r="K5" s="25" t="s">
        <v>148</v>
      </c>
      <c r="L5" s="32" t="s">
        <v>181</v>
      </c>
      <c r="M5" s="25" t="s">
        <v>157</v>
      </c>
      <c r="N5" s="32" t="s">
        <v>182</v>
      </c>
      <c r="O5" s="25" t="s">
        <v>172</v>
      </c>
      <c r="P5" s="32" t="s">
        <v>149</v>
      </c>
      <c r="Q5" s="25" t="s">
        <v>156</v>
      </c>
      <c r="R5" s="32" t="s">
        <v>76</v>
      </c>
      <c r="S5" s="25" t="s">
        <v>162</v>
      </c>
      <c r="T5" s="32" t="s">
        <v>10</v>
      </c>
      <c r="U5" s="25" t="s">
        <v>10</v>
      </c>
      <c r="V5" s="32" t="s">
        <v>10</v>
      </c>
      <c r="W5" s="25" t="s">
        <v>10</v>
      </c>
      <c r="X5" s="32" t="s">
        <v>10</v>
      </c>
      <c r="Y5" s="25" t="s">
        <v>10</v>
      </c>
      <c r="Z5" s="32" t="s">
        <v>10</v>
      </c>
      <c r="AA5" s="25" t="s">
        <v>10</v>
      </c>
      <c r="AB5" s="32" t="s">
        <v>10</v>
      </c>
      <c r="AC5" s="25" t="s">
        <v>10</v>
      </c>
      <c r="AD5" s="32" t="s">
        <v>10</v>
      </c>
      <c r="AE5" s="25" t="s">
        <v>10</v>
      </c>
      <c r="AF5" s="32" t="s">
        <v>10</v>
      </c>
      <c r="AG5" s="25" t="s">
        <v>10</v>
      </c>
    </row>
    <row r="6" spans="1:33" ht="7.4" customHeight="1" x14ac:dyDescent="0.4">
      <c r="A6" s="56">
        <v>5</v>
      </c>
      <c r="B6" s="48" t="s">
        <v>151</v>
      </c>
      <c r="C6" s="38" t="s">
        <v>119</v>
      </c>
      <c r="D6" s="45" t="s">
        <v>142</v>
      </c>
      <c r="E6" s="46" t="s">
        <v>83</v>
      </c>
      <c r="F6" s="45" t="s">
        <v>10</v>
      </c>
      <c r="G6" s="46" t="s">
        <v>10</v>
      </c>
      <c r="H6" s="32" t="s">
        <v>77</v>
      </c>
      <c r="I6" s="25" t="s">
        <v>144</v>
      </c>
      <c r="J6" s="32" t="s">
        <v>183</v>
      </c>
      <c r="K6" s="25" t="s">
        <v>146</v>
      </c>
      <c r="L6" s="32" t="s">
        <v>181</v>
      </c>
      <c r="M6" s="25" t="s">
        <v>164</v>
      </c>
      <c r="N6" s="32" t="s">
        <v>182</v>
      </c>
      <c r="O6" s="25" t="s">
        <v>173</v>
      </c>
      <c r="P6" s="32" t="s">
        <v>149</v>
      </c>
      <c r="Q6" s="25" t="s">
        <v>155</v>
      </c>
      <c r="R6" s="32" t="s">
        <v>76</v>
      </c>
      <c r="S6" s="25" t="s">
        <v>165</v>
      </c>
      <c r="T6" s="32" t="s">
        <v>10</v>
      </c>
      <c r="U6" s="25" t="s">
        <v>10</v>
      </c>
      <c r="V6" s="32" t="s">
        <v>10</v>
      </c>
      <c r="W6" s="25" t="s">
        <v>10</v>
      </c>
      <c r="X6" s="32" t="s">
        <v>10</v>
      </c>
      <c r="Y6" s="25" t="s">
        <v>10</v>
      </c>
      <c r="Z6" s="32" t="s">
        <v>10</v>
      </c>
      <c r="AA6" s="25" t="s">
        <v>10</v>
      </c>
      <c r="AB6" s="32" t="s">
        <v>10</v>
      </c>
      <c r="AC6" s="25" t="s">
        <v>10</v>
      </c>
      <c r="AD6" s="32" t="s">
        <v>10</v>
      </c>
      <c r="AE6" s="25" t="s">
        <v>10</v>
      </c>
      <c r="AF6" s="32" t="s">
        <v>10</v>
      </c>
      <c r="AG6" s="25" t="s">
        <v>10</v>
      </c>
    </row>
    <row r="7" spans="1:33" ht="7.4" customHeight="1" x14ac:dyDescent="0.4">
      <c r="A7" s="56">
        <v>6</v>
      </c>
      <c r="B7" s="48" t="s">
        <v>179</v>
      </c>
      <c r="C7" s="38" t="s">
        <v>119</v>
      </c>
      <c r="D7" s="45" t="s">
        <v>142</v>
      </c>
      <c r="E7" s="46" t="s">
        <v>83</v>
      </c>
      <c r="F7" s="45" t="s">
        <v>10</v>
      </c>
      <c r="G7" s="46" t="s">
        <v>10</v>
      </c>
      <c r="H7" s="32" t="s">
        <v>77</v>
      </c>
      <c r="I7" s="25" t="s">
        <v>145</v>
      </c>
      <c r="J7" s="32" t="s">
        <v>183</v>
      </c>
      <c r="K7" s="25" t="s">
        <v>147</v>
      </c>
      <c r="L7" s="32" t="s">
        <v>181</v>
      </c>
      <c r="M7" s="25" t="s">
        <v>163</v>
      </c>
      <c r="N7" s="32" t="s">
        <v>182</v>
      </c>
      <c r="O7" s="25" t="s">
        <v>173</v>
      </c>
      <c r="P7" s="32" t="s">
        <v>149</v>
      </c>
      <c r="Q7" s="25" t="s">
        <v>150</v>
      </c>
      <c r="R7" s="32" t="s">
        <v>76</v>
      </c>
      <c r="S7" s="25" t="s">
        <v>166</v>
      </c>
      <c r="T7" s="32" t="s">
        <v>10</v>
      </c>
      <c r="U7" s="25" t="s">
        <v>10</v>
      </c>
      <c r="V7" s="32" t="s">
        <v>10</v>
      </c>
      <c r="W7" s="25" t="s">
        <v>10</v>
      </c>
      <c r="X7" s="32" t="s">
        <v>10</v>
      </c>
      <c r="Y7" s="25" t="s">
        <v>10</v>
      </c>
      <c r="Z7" s="32" t="s">
        <v>10</v>
      </c>
      <c r="AA7" s="25" t="s">
        <v>10</v>
      </c>
      <c r="AB7" s="32" t="s">
        <v>10</v>
      </c>
      <c r="AC7" s="25" t="s">
        <v>10</v>
      </c>
      <c r="AD7" s="32" t="s">
        <v>10</v>
      </c>
      <c r="AE7" s="25" t="s">
        <v>10</v>
      </c>
      <c r="AF7" s="32" t="s">
        <v>10</v>
      </c>
      <c r="AG7" s="25" t="s">
        <v>10</v>
      </c>
    </row>
    <row r="8" spans="1:33" ht="7.4" customHeight="1" x14ac:dyDescent="0.4">
      <c r="A8" s="56">
        <v>7</v>
      </c>
      <c r="B8" s="48" t="s">
        <v>180</v>
      </c>
      <c r="C8" s="38" t="s">
        <v>119</v>
      </c>
      <c r="D8" s="45" t="s">
        <v>142</v>
      </c>
      <c r="E8" s="46" t="s">
        <v>83</v>
      </c>
      <c r="F8" s="45" t="s">
        <v>10</v>
      </c>
      <c r="G8" s="46" t="s">
        <v>10</v>
      </c>
      <c r="H8" s="32" t="s">
        <v>77</v>
      </c>
      <c r="I8" s="25" t="s">
        <v>152</v>
      </c>
      <c r="J8" s="32" t="s">
        <v>183</v>
      </c>
      <c r="K8" s="25" t="s">
        <v>154</v>
      </c>
      <c r="L8" s="32" t="s">
        <v>10</v>
      </c>
      <c r="M8" s="25" t="s">
        <v>10</v>
      </c>
      <c r="N8" s="32" t="s">
        <v>182</v>
      </c>
      <c r="O8" s="25" t="s">
        <v>169</v>
      </c>
      <c r="P8" s="32" t="s">
        <v>149</v>
      </c>
      <c r="Q8" s="25" t="s">
        <v>153</v>
      </c>
      <c r="R8" s="32" t="s">
        <v>76</v>
      </c>
      <c r="S8" s="25" t="s">
        <v>178</v>
      </c>
      <c r="T8" s="32" t="s">
        <v>10</v>
      </c>
      <c r="U8" s="25" t="s">
        <v>10</v>
      </c>
      <c r="V8" s="32" t="s">
        <v>10</v>
      </c>
      <c r="W8" s="25" t="s">
        <v>10</v>
      </c>
      <c r="X8" s="32" t="s">
        <v>10</v>
      </c>
      <c r="Y8" s="25" t="s">
        <v>10</v>
      </c>
      <c r="Z8" s="32" t="s">
        <v>10</v>
      </c>
      <c r="AA8" s="25" t="s">
        <v>10</v>
      </c>
      <c r="AB8" s="32" t="s">
        <v>10</v>
      </c>
      <c r="AC8" s="25" t="s">
        <v>10</v>
      </c>
      <c r="AD8" s="32" t="s">
        <v>10</v>
      </c>
      <c r="AE8" s="25" t="s">
        <v>10</v>
      </c>
      <c r="AF8" s="32" t="s">
        <v>10</v>
      </c>
      <c r="AG8" s="25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2026-07-10T20:47:50Z</dcterms:modified>
  <dc:language>pt-BR</dc:language>
</cp:coreProperties>
</file>