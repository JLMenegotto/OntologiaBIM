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defaultThemeVersion="202300"/>
  <mc:AlternateContent xmlns:mc="http://schemas.openxmlformats.org/markup-compatibility/2006">
    <mc:Choice Requires="x15">
      <x15ac:absPath xmlns:x15ac="http://schemas.microsoft.com/office/spreadsheetml/2010/11/ac" url="C:\Construtor_Onto\SIS\"/>
    </mc:Choice>
  </mc:AlternateContent>
  <xr:revisionPtr revIDLastSave="0" documentId="13_ncr:1_{B42A9A77-C957-426B-BF5A-431BD26AFBD1}" xr6:coauthVersionLast="47" xr6:coauthVersionMax="47" xr10:uidLastSave="{00000000-0000-0000-0000-000000000000}"/>
  <bookViews>
    <workbookView xWindow="-103" yWindow="-103" windowWidth="22149" windowHeight="13200" tabRatio="520" activeTab="1" xr2:uid="{00000000-000D-0000-FFFF-FFFF00000000}"/>
  </bookViews>
  <sheets>
    <sheet name="Projeto" sheetId="13" r:id="rId1"/>
    <sheet name="Classes" sheetId="17" r:id="rId2"/>
    <sheet name="Disjunt" sheetId="3" r:id="rId3"/>
    <sheet name="Interop" sheetId="16" r:id="rId4"/>
    <sheet name="FatosIn" sheetId="25" r:id="rId5"/>
  </sheets>
  <definedNames>
    <definedName name="_xlnm._FilterDatabase" localSheetId="1" hidden="1">Classes!#REF!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7" l="1"/>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V62" i="17"/>
  <c r="U62" i="17"/>
  <c r="T62" i="17"/>
  <c r="O62" i="17"/>
  <c r="N62" i="17"/>
  <c r="M62" i="17"/>
  <c r="L62" i="17"/>
  <c r="V61" i="17"/>
  <c r="U61" i="17"/>
  <c r="T61" i="17"/>
  <c r="O61" i="17"/>
  <c r="N61" i="17"/>
  <c r="M61" i="17"/>
  <c r="L61" i="17"/>
  <c r="V60" i="17"/>
  <c r="U60" i="17"/>
  <c r="T60" i="17"/>
  <c r="O60" i="17"/>
  <c r="N60" i="17"/>
  <c r="M60" i="17"/>
  <c r="L60" i="17"/>
  <c r="V59" i="17"/>
  <c r="U59" i="17"/>
  <c r="T59" i="17"/>
  <c r="O59" i="17"/>
  <c r="N59" i="17"/>
  <c r="M59" i="17"/>
  <c r="L59" i="17"/>
  <c r="V58" i="17"/>
  <c r="U58" i="17"/>
  <c r="T58" i="17"/>
  <c r="O58" i="17"/>
  <c r="N58" i="17"/>
  <c r="M58" i="17"/>
  <c r="L58" i="17"/>
  <c r="V57" i="17"/>
  <c r="U57" i="17"/>
  <c r="T57" i="17"/>
  <c r="O57" i="17"/>
  <c r="N57" i="17"/>
  <c r="M57" i="17"/>
  <c r="L57" i="17"/>
  <c r="V56" i="17"/>
  <c r="U56" i="17"/>
  <c r="T56" i="17"/>
  <c r="O56" i="17"/>
  <c r="N56" i="17"/>
  <c r="M56" i="17"/>
  <c r="L56" i="17"/>
  <c r="V55" i="17"/>
  <c r="U55" i="17"/>
  <c r="T55" i="17"/>
  <c r="O55" i="17"/>
  <c r="N55" i="17"/>
  <c r="M55" i="17"/>
  <c r="L55" i="17"/>
  <c r="V54" i="17"/>
  <c r="U54" i="17"/>
  <c r="T54" i="17"/>
  <c r="O54" i="17"/>
  <c r="N54" i="17"/>
  <c r="M54" i="17"/>
  <c r="L54" i="17"/>
  <c r="V53" i="17"/>
  <c r="U53" i="17"/>
  <c r="T53" i="17"/>
  <c r="O53" i="17"/>
  <c r="N53" i="17"/>
  <c r="M53" i="17"/>
  <c r="L53" i="17"/>
  <c r="V52" i="17"/>
  <c r="U52" i="17"/>
  <c r="T52" i="17"/>
  <c r="O52" i="17"/>
  <c r="N52" i="17"/>
  <c r="M52" i="17"/>
  <c r="L52" i="17"/>
  <c r="V51" i="17"/>
  <c r="U51" i="17"/>
  <c r="T51" i="17"/>
  <c r="O51" i="17"/>
  <c r="N51" i="17"/>
  <c r="M51" i="17"/>
  <c r="L51" i="17"/>
  <c r="V50" i="17"/>
  <c r="U50" i="17"/>
  <c r="T50" i="17"/>
  <c r="O50" i="17"/>
  <c r="N50" i="17"/>
  <c r="M50" i="17"/>
  <c r="L50" i="17"/>
  <c r="V49" i="17"/>
  <c r="U49" i="17"/>
  <c r="T49" i="17"/>
  <c r="O49" i="17"/>
  <c r="N49" i="17"/>
  <c r="M49" i="17"/>
  <c r="L49" i="17"/>
  <c r="V48" i="17"/>
  <c r="U48" i="17"/>
  <c r="T48" i="17"/>
  <c r="O48" i="17"/>
  <c r="N48" i="17"/>
  <c r="M48" i="17"/>
  <c r="L48" i="17"/>
  <c r="V47" i="17"/>
  <c r="U47" i="17"/>
  <c r="T47" i="17"/>
  <c r="O47" i="17"/>
  <c r="N47" i="17"/>
  <c r="M47" i="17"/>
  <c r="L47" i="17"/>
  <c r="V46" i="17"/>
  <c r="U46" i="17"/>
  <c r="T46" i="17"/>
  <c r="O46" i="17"/>
  <c r="N46" i="17"/>
  <c r="M46" i="17"/>
  <c r="L46" i="17"/>
  <c r="V45" i="17"/>
  <c r="U45" i="17"/>
  <c r="T45" i="17"/>
  <c r="O45" i="17"/>
  <c r="N45" i="17"/>
  <c r="M45" i="17"/>
  <c r="L45" i="17"/>
  <c r="V44" i="17"/>
  <c r="U44" i="17"/>
  <c r="T44" i="17"/>
  <c r="O44" i="17"/>
  <c r="N44" i="17"/>
  <c r="M44" i="17"/>
  <c r="L44" i="17"/>
  <c r="V43" i="17"/>
  <c r="U43" i="17"/>
  <c r="T43" i="17"/>
  <c r="O43" i="17"/>
  <c r="N43" i="17"/>
  <c r="M43" i="17"/>
  <c r="L43" i="17"/>
  <c r="V42" i="17"/>
  <c r="U42" i="17"/>
  <c r="T42" i="17"/>
  <c r="O42" i="17"/>
  <c r="N42" i="17"/>
  <c r="M42" i="17"/>
  <c r="L42" i="17"/>
  <c r="V41" i="17"/>
  <c r="U41" i="17"/>
  <c r="T41" i="17"/>
  <c r="O41" i="17"/>
  <c r="N41" i="17"/>
  <c r="M41" i="17"/>
  <c r="L41" i="17"/>
  <c r="V40" i="17"/>
  <c r="U40" i="17"/>
  <c r="T40" i="17"/>
  <c r="O40" i="17"/>
  <c r="N40" i="17"/>
  <c r="M40" i="17"/>
  <c r="L40" i="17"/>
  <c r="V39" i="17"/>
  <c r="U39" i="17"/>
  <c r="T39" i="17"/>
  <c r="O39" i="17"/>
  <c r="N39" i="17"/>
  <c r="M39" i="17"/>
  <c r="L39" i="17"/>
  <c r="V38" i="17"/>
  <c r="U38" i="17"/>
  <c r="T38" i="17"/>
  <c r="O38" i="17"/>
  <c r="N38" i="17"/>
  <c r="M38" i="17"/>
  <c r="L38" i="17"/>
  <c r="V37" i="17"/>
  <c r="U37" i="17"/>
  <c r="T37" i="17"/>
  <c r="O37" i="17"/>
  <c r="N37" i="17"/>
  <c r="M37" i="17"/>
  <c r="L37" i="17"/>
  <c r="V36" i="17"/>
  <c r="U36" i="17"/>
  <c r="T36" i="17"/>
  <c r="O36" i="17"/>
  <c r="N36" i="17"/>
  <c r="M36" i="17"/>
  <c r="L36" i="17"/>
  <c r="V35" i="17"/>
  <c r="U35" i="17"/>
  <c r="T35" i="17"/>
  <c r="O35" i="17"/>
  <c r="N35" i="17"/>
  <c r="M35" i="17"/>
  <c r="L35" i="17"/>
  <c r="V34" i="17"/>
  <c r="U34" i="17"/>
  <c r="T34" i="17"/>
  <c r="O34" i="17"/>
  <c r="N34" i="17"/>
  <c r="M34" i="17"/>
  <c r="L34" i="17"/>
  <c r="V33" i="17"/>
  <c r="U33" i="17"/>
  <c r="T33" i="17"/>
  <c r="O33" i="17"/>
  <c r="N33" i="17"/>
  <c r="M33" i="17"/>
  <c r="L33" i="17"/>
  <c r="V32" i="17"/>
  <c r="U32" i="17"/>
  <c r="T32" i="17"/>
  <c r="O32" i="17"/>
  <c r="N32" i="17"/>
  <c r="M32" i="17"/>
  <c r="L32" i="17"/>
  <c r="V31" i="17"/>
  <c r="U31" i="17"/>
  <c r="T31" i="17"/>
  <c r="O31" i="17"/>
  <c r="N31" i="17"/>
  <c r="M31" i="17"/>
  <c r="L31" i="17"/>
  <c r="V30" i="17"/>
  <c r="U30" i="17"/>
  <c r="T30" i="17"/>
  <c r="O30" i="17"/>
  <c r="N30" i="17"/>
  <c r="M30" i="17"/>
  <c r="L30" i="17"/>
  <c r="V29" i="17"/>
  <c r="U29" i="17"/>
  <c r="T29" i="17"/>
  <c r="O29" i="17"/>
  <c r="N29" i="17"/>
  <c r="M29" i="17"/>
  <c r="L29" i="17"/>
  <c r="V28" i="17"/>
  <c r="U28" i="17"/>
  <c r="T28" i="17"/>
  <c r="O28" i="17"/>
  <c r="N28" i="17"/>
  <c r="M28" i="17"/>
  <c r="L28" i="17"/>
  <c r="V27" i="17"/>
  <c r="U27" i="17"/>
  <c r="T27" i="17"/>
  <c r="O27" i="17"/>
  <c r="N27" i="17"/>
  <c r="M27" i="17"/>
  <c r="L27" i="17"/>
  <c r="V26" i="17"/>
  <c r="U26" i="17"/>
  <c r="T26" i="17"/>
  <c r="O26" i="17"/>
  <c r="N26" i="17"/>
  <c r="M26" i="17"/>
  <c r="L26" i="17"/>
  <c r="V25" i="17"/>
  <c r="U25" i="17"/>
  <c r="T25" i="17"/>
  <c r="O25" i="17"/>
  <c r="N25" i="17"/>
  <c r="M25" i="17"/>
  <c r="L25" i="17"/>
  <c r="V24" i="17"/>
  <c r="U24" i="17"/>
  <c r="T24" i="17"/>
  <c r="O24" i="17"/>
  <c r="N24" i="17"/>
  <c r="M24" i="17"/>
  <c r="L24" i="17"/>
  <c r="V23" i="17"/>
  <c r="U23" i="17"/>
  <c r="T23" i="17"/>
  <c r="O23" i="17"/>
  <c r="N23" i="17"/>
  <c r="M23" i="17"/>
  <c r="L23" i="17"/>
  <c r="V22" i="17"/>
  <c r="U22" i="17"/>
  <c r="T22" i="17"/>
  <c r="O22" i="17"/>
  <c r="N22" i="17"/>
  <c r="M22" i="17"/>
  <c r="L22" i="17"/>
  <c r="V21" i="17"/>
  <c r="U21" i="17"/>
  <c r="T21" i="17"/>
  <c r="O21" i="17"/>
  <c r="N21" i="17"/>
  <c r="M21" i="17"/>
  <c r="L21" i="17"/>
  <c r="V20" i="17"/>
  <c r="U20" i="17"/>
  <c r="T20" i="17"/>
  <c r="O20" i="17"/>
  <c r="N20" i="17"/>
  <c r="M20" i="17"/>
  <c r="L20" i="17"/>
  <c r="V19" i="17"/>
  <c r="U19" i="17"/>
  <c r="T19" i="17"/>
  <c r="O19" i="17"/>
  <c r="N19" i="17"/>
  <c r="M19" i="17"/>
  <c r="L19" i="17"/>
  <c r="V18" i="17"/>
  <c r="U18" i="17"/>
  <c r="T18" i="17"/>
  <c r="O18" i="17"/>
  <c r="N18" i="17"/>
  <c r="M18" i="17"/>
  <c r="L18" i="17"/>
  <c r="V17" i="17"/>
  <c r="U17" i="17"/>
  <c r="T17" i="17"/>
  <c r="O17" i="17"/>
  <c r="N17" i="17"/>
  <c r="M17" i="17"/>
  <c r="L17" i="17"/>
  <c r="V16" i="17"/>
  <c r="U16" i="17"/>
  <c r="T16" i="17"/>
  <c r="O16" i="17"/>
  <c r="N16" i="17"/>
  <c r="M16" i="17"/>
  <c r="L16" i="17"/>
  <c r="V15" i="17"/>
  <c r="U15" i="17"/>
  <c r="T15" i="17"/>
  <c r="O15" i="17"/>
  <c r="N15" i="17"/>
  <c r="M15" i="17"/>
  <c r="L15" i="17"/>
  <c r="V14" i="17"/>
  <c r="U14" i="17"/>
  <c r="T14" i="17"/>
  <c r="O14" i="17"/>
  <c r="N14" i="17"/>
  <c r="M14" i="17"/>
  <c r="L14" i="17"/>
  <c r="V13" i="17"/>
  <c r="U13" i="17"/>
  <c r="T13" i="17"/>
  <c r="O13" i="17"/>
  <c r="N13" i="17"/>
  <c r="M13" i="17"/>
  <c r="L13" i="17"/>
  <c r="V12" i="17"/>
  <c r="U12" i="17"/>
  <c r="T12" i="17"/>
  <c r="O12" i="17"/>
  <c r="N12" i="17"/>
  <c r="M12" i="17"/>
  <c r="L12" i="17"/>
  <c r="V11" i="17"/>
  <c r="U11" i="17"/>
  <c r="T11" i="17"/>
  <c r="O11" i="17"/>
  <c r="N11" i="17"/>
  <c r="M11" i="17"/>
  <c r="L11" i="17"/>
  <c r="V10" i="17"/>
  <c r="U10" i="17"/>
  <c r="T10" i="17"/>
  <c r="O10" i="17"/>
  <c r="N10" i="17"/>
  <c r="M10" i="17"/>
  <c r="L10" i="17"/>
  <c r="V9" i="17"/>
  <c r="U9" i="17"/>
  <c r="T9" i="17"/>
  <c r="O9" i="17"/>
  <c r="N9" i="17"/>
  <c r="M9" i="17"/>
  <c r="L9" i="17"/>
  <c r="V8" i="17"/>
  <c r="U8" i="17"/>
  <c r="T8" i="17"/>
  <c r="O8" i="17"/>
  <c r="N8" i="17"/>
  <c r="M8" i="17"/>
  <c r="L8" i="17"/>
  <c r="V7" i="17"/>
  <c r="U7" i="17"/>
  <c r="T7" i="17"/>
  <c r="O7" i="17"/>
  <c r="N7" i="17"/>
  <c r="M7" i="17"/>
  <c r="L7" i="17"/>
  <c r="V6" i="17"/>
  <c r="U6" i="17"/>
  <c r="T6" i="17"/>
  <c r="O6" i="17"/>
  <c r="N6" i="17"/>
  <c r="M6" i="17"/>
  <c r="L6" i="17"/>
  <c r="V5" i="17"/>
  <c r="U5" i="17"/>
  <c r="T5" i="17"/>
  <c r="O5" i="17"/>
  <c r="N5" i="17"/>
  <c r="M5" i="17"/>
  <c r="L5" i="17"/>
  <c r="V4" i="17"/>
  <c r="U4" i="17"/>
  <c r="T4" i="17"/>
  <c r="O4" i="17"/>
  <c r="N4" i="17"/>
  <c r="M4" i="17"/>
  <c r="L4" i="17"/>
  <c r="V3" i="17"/>
  <c r="U3" i="17"/>
  <c r="T3" i="17"/>
  <c r="O3" i="17"/>
  <c r="N3" i="17"/>
  <c r="M3" i="17"/>
  <c r="L3" i="17"/>
  <c r="V2" i="17"/>
  <c r="U2" i="17"/>
  <c r="T2" i="17"/>
  <c r="O2" i="17"/>
  <c r="N2" i="17"/>
  <c r="M2" i="17"/>
  <c r="L2" i="17"/>
  <c r="X63" i="17" l="1"/>
  <c r="X64" i="17"/>
  <c r="X65" i="17"/>
  <c r="X66" i="17"/>
  <c r="X67" i="17"/>
  <c r="X68" i="17"/>
  <c r="X69" i="17"/>
  <c r="X70" i="17"/>
  <c r="X71" i="17"/>
  <c r="X72" i="17"/>
  <c r="X73" i="17"/>
  <c r="X74" i="17"/>
  <c r="X75" i="17"/>
  <c r="X76" i="17"/>
  <c r="X77" i="17"/>
  <c r="X78" i="17"/>
  <c r="X79" i="17"/>
  <c r="X80" i="17"/>
  <c r="X81" i="17"/>
  <c r="X82" i="17"/>
  <c r="X83" i="17"/>
  <c r="X84" i="17"/>
  <c r="X85" i="17"/>
  <c r="X86" i="17"/>
  <c r="V86" i="17"/>
  <c r="U86" i="17"/>
  <c r="T86" i="17"/>
  <c r="O86" i="17"/>
  <c r="N86" i="17"/>
  <c r="M86" i="17"/>
  <c r="L86" i="17"/>
  <c r="V85" i="17"/>
  <c r="U85" i="17"/>
  <c r="T85" i="17"/>
  <c r="O85" i="17"/>
  <c r="N85" i="17"/>
  <c r="M85" i="17"/>
  <c r="L85" i="17"/>
  <c r="V84" i="17"/>
  <c r="U84" i="17"/>
  <c r="T84" i="17"/>
  <c r="O84" i="17"/>
  <c r="N84" i="17"/>
  <c r="M84" i="17"/>
  <c r="L84" i="17"/>
  <c r="V83" i="17"/>
  <c r="U83" i="17"/>
  <c r="T83" i="17"/>
  <c r="O83" i="17"/>
  <c r="N83" i="17"/>
  <c r="M83" i="17"/>
  <c r="L83" i="17"/>
  <c r="V82" i="17"/>
  <c r="U82" i="17"/>
  <c r="T82" i="17"/>
  <c r="O82" i="17"/>
  <c r="N82" i="17"/>
  <c r="M82" i="17"/>
  <c r="L82" i="17"/>
  <c r="V81" i="17" l="1"/>
  <c r="U81" i="17"/>
  <c r="T81" i="17"/>
  <c r="O81" i="17"/>
  <c r="N81" i="17"/>
  <c r="M81" i="17"/>
  <c r="L81" i="17"/>
  <c r="V80" i="17"/>
  <c r="U80" i="17"/>
  <c r="T80" i="17"/>
  <c r="O80" i="17"/>
  <c r="N80" i="17"/>
  <c r="M80" i="17"/>
  <c r="L80" i="17"/>
  <c r="V79" i="17"/>
  <c r="U79" i="17"/>
  <c r="T79" i="17"/>
  <c r="O79" i="17"/>
  <c r="N79" i="17"/>
  <c r="M79" i="17"/>
  <c r="L79" i="17"/>
  <c r="V78" i="17"/>
  <c r="U78" i="17"/>
  <c r="T78" i="17"/>
  <c r="O78" i="17"/>
  <c r="N78" i="17"/>
  <c r="M78" i="17"/>
  <c r="L78" i="17"/>
  <c r="V77" i="17"/>
  <c r="U77" i="17"/>
  <c r="T77" i="17"/>
  <c r="O77" i="17"/>
  <c r="N77" i="17"/>
  <c r="M77" i="17"/>
  <c r="L77" i="17"/>
  <c r="V74" i="17"/>
  <c r="U74" i="17"/>
  <c r="T74" i="17"/>
  <c r="O74" i="17"/>
  <c r="N74" i="17"/>
  <c r="M74" i="17"/>
  <c r="L74" i="17"/>
  <c r="V73" i="17"/>
  <c r="U73" i="17"/>
  <c r="T73" i="17"/>
  <c r="O73" i="17"/>
  <c r="N73" i="17"/>
  <c r="M73" i="17"/>
  <c r="L73" i="17"/>
  <c r="V75" i="17"/>
  <c r="U75" i="17"/>
  <c r="T75" i="17"/>
  <c r="O75" i="17"/>
  <c r="N75" i="17"/>
  <c r="M75" i="17"/>
  <c r="L75" i="17"/>
  <c r="V72" i="17"/>
  <c r="U72" i="17"/>
  <c r="T72" i="17"/>
  <c r="O72" i="17"/>
  <c r="N72" i="17"/>
  <c r="M72" i="17"/>
  <c r="L72" i="17"/>
  <c r="V71" i="17"/>
  <c r="U71" i="17"/>
  <c r="T71" i="17"/>
  <c r="O71" i="17"/>
  <c r="N71" i="17"/>
  <c r="M71" i="17"/>
  <c r="L71" i="17"/>
  <c r="V70" i="17"/>
  <c r="U70" i="17"/>
  <c r="T70" i="17"/>
  <c r="O70" i="17"/>
  <c r="N70" i="17"/>
  <c r="M70" i="17"/>
  <c r="L70" i="17"/>
  <c r="V64" i="17"/>
  <c r="V65" i="17"/>
  <c r="V66" i="17"/>
  <c r="V67" i="17"/>
  <c r="V68" i="17"/>
  <c r="V69" i="17"/>
  <c r="V76" i="17"/>
  <c r="U64" i="17"/>
  <c r="U65" i="17"/>
  <c r="U66" i="17"/>
  <c r="U67" i="17"/>
  <c r="U68" i="17"/>
  <c r="U69" i="17"/>
  <c r="U76" i="17"/>
  <c r="T64" i="17"/>
  <c r="T65" i="17"/>
  <c r="T66" i="17"/>
  <c r="T67" i="17"/>
  <c r="T68" i="17"/>
  <c r="T69" i="17"/>
  <c r="T76" i="17"/>
  <c r="O64" i="17"/>
  <c r="O65" i="17"/>
  <c r="O66" i="17"/>
  <c r="O67" i="17"/>
  <c r="O68" i="17"/>
  <c r="O69" i="17"/>
  <c r="O76" i="17"/>
  <c r="O63" i="17"/>
  <c r="N69" i="17"/>
  <c r="M69" i="17"/>
  <c r="L69" i="17"/>
  <c r="N68" i="17"/>
  <c r="M68" i="17"/>
  <c r="L68" i="17"/>
  <c r="N67" i="17"/>
  <c r="M67" i="17"/>
  <c r="L67" i="17"/>
  <c r="N64" i="17"/>
  <c r="M64" i="17"/>
  <c r="L64" i="17"/>
  <c r="N66" i="17"/>
  <c r="M66" i="17"/>
  <c r="L66" i="17"/>
  <c r="N65" i="17"/>
  <c r="M65" i="17"/>
  <c r="L65" i="17"/>
  <c r="V63" i="17"/>
  <c r="U63" i="17"/>
  <c r="T63" i="17"/>
  <c r="N63" i="17"/>
  <c r="M63" i="17"/>
  <c r="L63" i="17"/>
  <c r="N76" i="17" l="1"/>
  <c r="M76" i="17"/>
  <c r="L76" i="17"/>
  <c r="B24" i="13" l="1"/>
  <c r="B18" i="13" l="1"/>
  <c r="B6" i="13"/>
  <c r="B5" i="13"/>
</calcChain>
</file>

<file path=xl/sharedStrings.xml><?xml version="1.0" encoding="utf-8"?>
<sst xmlns="http://schemas.openxmlformats.org/spreadsheetml/2006/main" count="2117" uniqueCount="523">
  <si>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</si>
  <si>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</si>
  <si>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</si>
  <si>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</si>
  <si>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</si>
  <si>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2</t>
  </si>
  <si>
    <t>Anotações 
de ajuda
Classe 3</t>
  </si>
  <si>
    <t>Anotações 
de ajuda
Classe 5</t>
  </si>
  <si>
    <t>Key</t>
  </si>
  <si>
    <t>null</t>
  </si>
  <si>
    <t>N°</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</si>
  <si>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</si>
  <si>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</si>
  <si>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</si>
  <si>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</si>
  <si>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</si>
  <si>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</si>
  <si>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</si>
  <si>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</si>
  <si>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</si>
  <si>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</si>
  <si>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</si>
  <si>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</si>
  <si>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</si>
  <si>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</si>
  <si>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</si>
  <si>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</si>
  <si>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</si>
  <si>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</si>
  <si>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</si>
  <si>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</si>
  <si>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</si>
  <si>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BIM</t>
  </si>
  <si>
    <t>Natureza</t>
  </si>
  <si>
    <t>Disciplina</t>
  </si>
  <si>
    <t>Tema</t>
  </si>
  <si>
    <t>00 Super
Class
5</t>
  </si>
  <si>
    <t>000 Tradução Classe 5</t>
  </si>
  <si>
    <t>Especie</t>
  </si>
  <si>
    <t>00Super
Class
4</t>
  </si>
  <si>
    <t>00Super
Class
2</t>
  </si>
  <si>
    <t>00Super
Class
3</t>
  </si>
  <si>
    <t>00Raiz</t>
  </si>
  <si>
    <t>000 Traducción Classe 5</t>
  </si>
  <si>
    <t>Chave</t>
  </si>
  <si>
    <t>Valor</t>
  </si>
  <si>
    <t>OntologiaPrefixo</t>
  </si>
  <si>
    <t>bim:</t>
  </si>
  <si>
    <t>OntologiaTema</t>
  </si>
  <si>
    <t>RaizClass</t>
  </si>
  <si>
    <t>RaizProp</t>
  </si>
  <si>
    <t>RaizData</t>
  </si>
  <si>
    <t>URI</t>
  </si>
  <si>
    <t>https://github.com/JLMenegotto/RepoOnto#</t>
  </si>
  <si>
    <t>Autor</t>
  </si>
  <si>
    <t>Organização</t>
  </si>
  <si>
    <t>Escola Politécnica da UFRJ</t>
  </si>
  <si>
    <t>NormaNúmero</t>
  </si>
  <si>
    <t>-</t>
  </si>
  <si>
    <t>Edição</t>
  </si>
  <si>
    <t>ISBN</t>
  </si>
  <si>
    <t>NormaEscopo</t>
  </si>
  <si>
    <t>NormaReferência1</t>
  </si>
  <si>
    <t>NormaReferência2</t>
  </si>
  <si>
    <t>NormaReferência3</t>
  </si>
  <si>
    <t>Observações</t>
  </si>
  <si>
    <t>DataHora</t>
  </si>
  <si>
    <t>Advertência1</t>
  </si>
  <si>
    <t>Algumas traduções podem precisar de revisão - Traducción al español incorporada</t>
  </si>
  <si>
    <t>Prédio</t>
  </si>
  <si>
    <t>Cidade</t>
  </si>
  <si>
    <t>Explicação</t>
  </si>
  <si>
    <t>Explicación</t>
  </si>
  <si>
    <t>Indivíduo</t>
  </si>
  <si>
    <t>Classe</t>
  </si>
  <si>
    <t>Fato</t>
  </si>
  <si>
    <t>Fato
(14)</t>
  </si>
  <si>
    <t>descrição</t>
  </si>
  <si>
    <t>Val</t>
  </si>
  <si>
    <t>0-Classe Ifc</t>
  </si>
  <si>
    <t>0-Categoria Equivalente</t>
  </si>
  <si>
    <t>0-CategoriaEquivalente</t>
  </si>
  <si>
    <t>ABNT</t>
  </si>
  <si>
    <t>000 Translate Classe 5</t>
  </si>
  <si>
    <t>Prof. José Luis Menegotto DEG/POLI/UFRJ</t>
  </si>
  <si>
    <t>Explanation</t>
  </si>
  <si>
    <t>Idioma</t>
  </si>
  <si>
    <t>pt</t>
  </si>
  <si>
    <t>es</t>
  </si>
  <si>
    <t>en</t>
  </si>
  <si>
    <t>0</t>
  </si>
  <si>
    <t>Anotações 
de ajuda
Classe 1</t>
  </si>
  <si>
    <t>Interop</t>
  </si>
  <si>
    <t>código.abnt</t>
  </si>
  <si>
    <t>classe.ifc</t>
  </si>
  <si>
    <t>categoria.revit</t>
  </si>
  <si>
    <t>é.pertencente.a</t>
  </si>
  <si>
    <t>modelo</t>
  </si>
  <si>
    <t>[ IfcDiscreteAccessory ]</t>
  </si>
  <si>
    <t>[ IfcMotorConnection ]</t>
  </si>
  <si>
    <t>[ IfcMotorConnectionCOUPLING ]</t>
  </si>
  <si>
    <t>[ IfcMotorConnectionBELTDRIVE ]</t>
  </si>
  <si>
    <t>[ IfcMotorConnectionDIRECTDRIVE ]</t>
  </si>
  <si>
    <t>Motor.de.Acoplamento</t>
  </si>
  <si>
    <t>Motor.de.Acionamento.Direto</t>
  </si>
  <si>
    <t>Motor.de.Acionamento.Correia</t>
  </si>
  <si>
    <t>Motricidade</t>
  </si>
  <si>
    <t>Motor.de.Combustão</t>
  </si>
  <si>
    <t>[ IfcEngine ]</t>
  </si>
  <si>
    <t>[ IfcEngineINTERNALCOMBUSTION ]</t>
  </si>
  <si>
    <t>[ IfcEngineEXTERNALCOMBUSTION ]</t>
  </si>
  <si>
    <t>Máquina.de.Combustão.Externa</t>
  </si>
  <si>
    <t>Máquina.de.Combustão.Interna</t>
  </si>
  <si>
    <t>Máquina.Motriz</t>
  </si>
  <si>
    <t>Motor que converte combustível em energia mecânica por meio da combustão externa</t>
  </si>
  <si>
    <t>Motor que converte combustível em energia mecânica por meio da combustão interna</t>
  </si>
  <si>
    <t>Motor que converte combustível em energia mecânica por meio da combustão</t>
  </si>
  <si>
    <t>Motor de acionamento por correia</t>
  </si>
  <si>
    <t>Motor de acionamento direto</t>
  </si>
  <si>
    <t>Motor de acoplamento</t>
  </si>
  <si>
    <t>Motor de combustão</t>
  </si>
  <si>
    <t>Acessório Mecânico</t>
  </si>
  <si>
    <t>Motor de combustión</t>
  </si>
  <si>
    <t>Motor de acoplamiento</t>
  </si>
  <si>
    <t>Motor de transmisión por correa</t>
  </si>
  <si>
    <t>Motor de accionamiento directo</t>
  </si>
  <si>
    <t>Motor que convierte combustible en energía mecánica mediante combustión</t>
  </si>
  <si>
    <t>Motor que convierte combustible en energía mecánica mediante combustión externa</t>
  </si>
  <si>
    <t>Motor que convierte combustible en energía mecánica mediante combustión interna</t>
  </si>
  <si>
    <t>Accesorio mecánico</t>
  </si>
  <si>
    <t>[ MechanicalEquipment ]</t>
  </si>
  <si>
    <t>Maq_111233</t>
  </si>
  <si>
    <t>Maq_111234</t>
  </si>
  <si>
    <t>Maq_111235</t>
  </si>
  <si>
    <t>Maq_111236</t>
  </si>
  <si>
    <t>Maq_111237</t>
  </si>
  <si>
    <t>Maq_111238</t>
  </si>
  <si>
    <t>Maq_111239</t>
  </si>
  <si>
    <t>Maq_111240</t>
  </si>
  <si>
    <t>"Modelo"</t>
  </si>
  <si>
    <t>Objetos de Sistemas Mecâninos Motrizes</t>
  </si>
  <si>
    <t>Formalizar elementos do projeto BIM. Objetos específicos de Sistemas Mecânicos Motrizes</t>
  </si>
  <si>
    <t>Formalizar elementos de proyecto BIM. Objetos específicos de Sistemas Mecánicos Motrices</t>
  </si>
  <si>
    <t>Objetos_de_Sistemas_Mecânicos_Motrizes</t>
  </si>
  <si>
    <t>[ 3E.56 ]</t>
  </si>
  <si>
    <t>"[ 3E.56 ]"</t>
  </si>
  <si>
    <t>Elevador.MRL</t>
  </si>
  <si>
    <t>Elevador.MR</t>
  </si>
  <si>
    <t>Elevador de tração com casa de máquinas</t>
  </si>
  <si>
    <t>Elevador com roldana de içamento sem casa de máquinas</t>
  </si>
  <si>
    <t>Elevador.Hidráulico</t>
  </si>
  <si>
    <t>Elevador para poucos andares sem transporte de cargas pesadas</t>
  </si>
  <si>
    <t>Plataforma</t>
  </si>
  <si>
    <t>Plataforma.Articulada</t>
  </si>
  <si>
    <t>Plataforma.Cesto</t>
  </si>
  <si>
    <t>Ascensor para pocos pisos sin transporte de cargas pesadas</t>
  </si>
  <si>
    <t>Ascensor con sistema de izamiento mediante roldana y sin sala de máquinas</t>
  </si>
  <si>
    <t>Ascensor de tracción con sala de máquinas</t>
  </si>
  <si>
    <t>Plataforma de elevación con cesto</t>
  </si>
  <si>
    <t>Plataforma de elevación articulada</t>
  </si>
  <si>
    <t>Plataforma de elevação</t>
  </si>
  <si>
    <t>Plataforma de elevação articulada</t>
  </si>
  <si>
    <t>Plataforma de elevação com cesto</t>
  </si>
  <si>
    <t>[ IfcTransportElementELEVATOR ]</t>
  </si>
  <si>
    <t>[ 3E.08.06.06 ]</t>
  </si>
  <si>
    <t>[ 3E.08.06.10.02 ]</t>
  </si>
  <si>
    <t>quem.fabrica</t>
  </si>
  <si>
    <t>"[ OST_MechanicalEquipment ]"</t>
  </si>
  <si>
    <t>"[ IfcEngine ]"</t>
  </si>
  <si>
    <t>"Nome de um fabricante"</t>
  </si>
  <si>
    <t>Conceitos</t>
  </si>
  <si>
    <t>De.Motricidade</t>
  </si>
  <si>
    <t>Projeto</t>
  </si>
  <si>
    <t>[ MechanicalEquipment : OST_VerticalCirculation ]</t>
  </si>
  <si>
    <t>De.Força.Motriz</t>
  </si>
  <si>
    <t>Maquinárias</t>
  </si>
  <si>
    <t>Máquina</t>
  </si>
  <si>
    <t>Bomba</t>
  </si>
  <si>
    <t>Motor</t>
  </si>
  <si>
    <t>Elevador</t>
  </si>
  <si>
    <t>Escada.Rolante</t>
  </si>
  <si>
    <t>Escada Rolante</t>
  </si>
  <si>
    <t>Escalera mecânica</t>
  </si>
  <si>
    <t>Acensor+Q3</t>
  </si>
  <si>
    <t>Máquinas</t>
  </si>
  <si>
    <t>Motorizados</t>
  </si>
  <si>
    <t>Maquinizados</t>
  </si>
  <si>
    <t>Elevadores</t>
  </si>
  <si>
    <t>Elementos.Motrizes</t>
  </si>
  <si>
    <t>Acessórios.Motrizes</t>
  </si>
  <si>
    <t>Acessório.Motriz</t>
  </si>
  <si>
    <t>"Instância de Equipamento Mecânico Motriz Identificado no projeto"</t>
  </si>
  <si>
    <t>Combustion engine</t>
  </si>
  <si>
    <t>Coupling motor</t>
  </si>
  <si>
    <t>Belt drive motor</t>
  </si>
  <si>
    <t>Direct drive motor</t>
  </si>
  <si>
    <t>Engine that converts fuel into mechanical energy through combustion</t>
  </si>
  <si>
    <t>Engine that converts fuel into mechanical energy through external combustion</t>
  </si>
  <si>
    <t>Engine that converts fuel into mechanical energy through internal combustion</t>
  </si>
  <si>
    <t>Elevator to a few floors without carrying heavy loads</t>
  </si>
  <si>
    <t>Traction Elevator with Machine Room</t>
  </si>
  <si>
    <t>Elevator with hoisting pulley without machine room</t>
  </si>
  <si>
    <t>Lifting Platform</t>
  </si>
  <si>
    <t>Articulated lifting platform</t>
  </si>
  <si>
    <t>Basket lifting platform</t>
  </si>
  <si>
    <t>Mechanical Accessory</t>
  </si>
  <si>
    <t>Machine</t>
  </si>
  <si>
    <t>Pump</t>
  </si>
  <si>
    <t>Engine</t>
  </si>
  <si>
    <t>Elevator</t>
  </si>
  <si>
    <t>Escalator</t>
  </si>
  <si>
    <t>Classe IFC</t>
  </si>
  <si>
    <t>Atributo IFC</t>
  </si>
  <si>
    <t>Parâmetro Rvt</t>
  </si>
  <si>
    <t>Categoria Rvt</t>
  </si>
  <si>
    <t>De.API</t>
  </si>
  <si>
    <t>Métodos</t>
  </si>
  <si>
    <t>Macros</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</si>
  <si>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</si>
  <si>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</si>
  <si>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</si>
  <si>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</si>
  <si>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</si>
  <si>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</si>
  <si>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</si>
  <si>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</si>
  <si>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</si>
  <si>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</si>
  <si>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</si>
  <si>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</si>
  <si>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</si>
  <si>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</si>
  <si>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</si>
  <si>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</si>
  <si>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Códigos.Visuais</t>
  </si>
  <si>
    <t>Bloco.de.Código</t>
  </si>
  <si>
    <t>Define um Código escrito em sistemas de programação visual</t>
  </si>
  <si>
    <t>Define un código escrito en sistemas de programación visual</t>
  </si>
  <si>
    <t>Defines a Code written in visual programming systems</t>
  </si>
  <si>
    <t>KML</t>
  </si>
  <si>
    <t>De.Materialidade</t>
  </si>
  <si>
    <t>[ OST_Materials : OST_WireMaterials ]</t>
  </si>
  <si>
    <t>[ IfcMaterial ]</t>
  </si>
  <si>
    <t>[ 0M.20.20 ]</t>
  </si>
  <si>
    <t>Projeto_FM</t>
  </si>
  <si>
    <t>"Força motriz do Projeto Específico FM"</t>
  </si>
  <si>
    <t>Material.Construtivo</t>
  </si>
  <si>
    <t>Argamassas</t>
  </si>
  <si>
    <t>Argamassa.Baritada</t>
  </si>
  <si>
    <t>Material construtivo usado para proteger da emissão de radiação em salas radiológicas de ambientes hospitalares (salas de radioterapia, radiologia, medicina nuclear de centros de saúde).</t>
  </si>
  <si>
    <t>Material de construcción utilizado para proteger contra la emisión de radiación en salas radiológicas en entornos hospitalarios (radioterapia, radiología, salas de medicina nuclear de centros de salud).</t>
  </si>
  <si>
    <t>Construction material used to protect from radiation emission in radiological rooms in hospital environments (radiotherapy, radiology, nuclear medicine rooms of health centers).</t>
  </si>
  <si>
    <t>[ OST_Materials : OST_Parts : OST_WallsSubstrate : OST_FloorsSubstrate : OST_WallsInsulation : OST_FloorsInsulation ]</t>
  </si>
  <si>
    <t>[ IfcCoveringINSULATION ]</t>
  </si>
  <si>
    <t>[ 3E.16.02 ]</t>
  </si>
  <si>
    <t>Argamassa.Colante</t>
  </si>
  <si>
    <t>Material construtivo usado para colar peças cerámicas ou porcelanatos em paredes ou pisos.</t>
  </si>
  <si>
    <t>Material de construcción utilizado para pegar azulejos cerámicos o de porcelana a paredes o suelos.</t>
  </si>
  <si>
    <t>Construction material used to glue ceramic or porcelain tiles to walls or floors.</t>
  </si>
  <si>
    <t>[ IfcCoveringMEMBRANE ]</t>
  </si>
  <si>
    <t>Argamassa.Isolante</t>
  </si>
  <si>
    <t>Material construtivo usado para as camadas com isolamento polimérico.</t>
  </si>
  <si>
    <t>Material de construcción utilizado para las capas con aislamiento polimérico.</t>
  </si>
  <si>
    <t>Construction material used for the layers with polymeric insulation.</t>
  </si>
  <si>
    <t>Argamassa.Lastro</t>
  </si>
  <si>
    <t>Material construtivo usado para a formação de contrapisos ou camadas de lastro em pisos ou nas vias de tránsito e tráfego.</t>
  </si>
  <si>
    <t>Material de construcción utilizado para la formación de subsuelos o capas de lastre en suelos o en tráfico y rutas de tráfico.</t>
  </si>
  <si>
    <t>Construction material used for the formation of subfloors or ballast layers on floors or on traffic and traffic routes.</t>
  </si>
  <si>
    <t>[ 3E.14.02 ]</t>
  </si>
  <si>
    <t>Argamassa.Regular</t>
  </si>
  <si>
    <t>Material construtivo usado para regularizar e acabar as alvenarias. Incluem os chapiscos, emboços e rebocos.</t>
  </si>
  <si>
    <t>Material de construcción utilizado para regularizar y acabar la mampostería. Incluyen fundiciones en bruto, yesos y yesos.</t>
  </si>
  <si>
    <t>Construction material used to regularize and finish the masonry. They include roughcasts, plasters and plasters.</t>
  </si>
  <si>
    <t>Caixas.Metálicas</t>
  </si>
  <si>
    <t>Caixa.Metálica.de.Elétrica</t>
  </si>
  <si>
    <t>Material construtivo usado para terminais metálicos ou caixas metálicas de distribuição de elétrica.</t>
  </si>
  <si>
    <t>Material de construcción utilizado para terminales metálicos o cajas metálicas de distribución eléctrica.</t>
  </si>
  <si>
    <t>Construction material used for metal terminals or metal electrical distribution boxes.</t>
  </si>
  <si>
    <t>Caixa.Metálica.de.Telecom</t>
  </si>
  <si>
    <t>Material construtivo usado para terminais metálicos ou caixas metálicas de distribuição de redes de dados e telecomunicações.</t>
  </si>
  <si>
    <t>Material de construcción utilizado para terminales metálicos o cajas metálicas para la distribución de redes de datos y telecomunicaciones.</t>
  </si>
  <si>
    <t>Construction material used for metal terminals or metal boxes for distribution of data and telecommunications networks.</t>
  </si>
  <si>
    <t>Caixas.Plásticas</t>
  </si>
  <si>
    <t>Caixa.PVC.de.Elétrica</t>
  </si>
  <si>
    <t>Material construtivo usado para terminais plásticos ou caixas de plásticos de distribuição de elétrica.</t>
  </si>
  <si>
    <t>Material de construcción utilizado para terminales de plástico o cajas de distribución eléctrica de plástico.</t>
  </si>
  <si>
    <t>Construction material used for plastic terminals or plastic electrical distribution boxes.</t>
  </si>
  <si>
    <t>Caixa.PVC.de.Telecom</t>
  </si>
  <si>
    <t>Material construtivo usado para terminais plásticos ou caixas de plásticos de distribuição de redes de dados e telecomunicações.</t>
  </si>
  <si>
    <t>Material de construcción utilizado para terminales o cajas de plástico para la distribución de redes de datos y telecomunicaciones.</t>
  </si>
  <si>
    <t>Construction material used for plastic terminals or plastic boxes for distribution of data and telecommunications networks.</t>
  </si>
  <si>
    <t>Calhas.Metálicas</t>
  </si>
  <si>
    <t>Calha.de.Elétrica</t>
  </si>
  <si>
    <t>Material construtivo usado para conduzir a fiação dentro de calhas de calhas de elétrica.</t>
  </si>
  <si>
    <t>Material de construcción utilizado para conducir el cableado dentro de canalones eléctricos.</t>
  </si>
  <si>
    <t>Construction material used to conduct wiring inside electrical gutters.</t>
  </si>
  <si>
    <t>Calha.de.Telecom</t>
  </si>
  <si>
    <t>Material construtivo usado para conduzir a fiação dentro de calhas de rede de dados e telecomunicações.</t>
  </si>
  <si>
    <t>Material de construcción utilizado para realizar cableado dentro de las vías de la red de datos y telecomunicaciones.</t>
  </si>
  <si>
    <t>Construction material used to conduct wiring within data and telecommunications network rails.</t>
  </si>
  <si>
    <t>Calha.Leito.de.Elétrica</t>
  </si>
  <si>
    <t>Material construtivo usado para conduzir a fiação de elétrica.</t>
  </si>
  <si>
    <t>Material de construcción utilizado para conducir el cableado eléctrico.</t>
  </si>
  <si>
    <t>Construction material used to conduct electrical wiring.</t>
  </si>
  <si>
    <t>Calha.Leito.de.Telecom</t>
  </si>
  <si>
    <t>Material construtivo usado para conduzir a fiação das redes de dados e telecomunicações.</t>
  </si>
  <si>
    <t>Material de construcción utilizado para realizar el cableado de redes de datos y telecomunicaciones.</t>
  </si>
  <si>
    <t>Construction material used to conduct the wiring of data and telecommunications networks.</t>
  </si>
  <si>
    <t>Calhas.Plásticas</t>
  </si>
  <si>
    <t>Canaleta.de.Elétrica</t>
  </si>
  <si>
    <t>Material construtivo usado para conduzir canaletas de elétrica.</t>
  </si>
  <si>
    <t>Material de construcción utilizado para accionar canales eléctricos.</t>
  </si>
  <si>
    <t>Construction material used to drive electric channels.</t>
  </si>
  <si>
    <t>Canaleta.de.Telecom</t>
  </si>
  <si>
    <t>Material construtivo usado para conduzir canaletas de rede de dados e telecomunicações.</t>
  </si>
  <si>
    <t>Material de construcción utilizado para realizar canales de datos y redes de telecomunicaciones.</t>
  </si>
  <si>
    <t>Construction material used to conduct data and telecommunications network channels.</t>
  </si>
  <si>
    <t>Conduítes.Flex</t>
  </si>
  <si>
    <t>Conduíte.Flexível.de.Elétrica</t>
  </si>
  <si>
    <t>Material construtivo usado para conduzir a fiação elétrica em eletrodutos flexíveis.</t>
  </si>
  <si>
    <t>Material de construcción utilizado para conducir el cableado eléctrico en conductos flexibles.</t>
  </si>
  <si>
    <t>Construction material used to conduct electrical wiring in flexible conduits.</t>
  </si>
  <si>
    <t>Conduíte.Flexível.de.Telecom</t>
  </si>
  <si>
    <t>Material construtivo usado para conduzir a fiação da rede de dados e telecomunicações em condutos flexíveis.</t>
  </si>
  <si>
    <t>Material de construcción utilizado para conducir el cableado de la red de datos y telecomunicaciones en conductos flexibles.</t>
  </si>
  <si>
    <t>Construction material used to conduct the wiring of the data and telecommunications network in flexible conduits.</t>
  </si>
  <si>
    <t>Conduítes.Rígidos</t>
  </si>
  <si>
    <t>Conduíte.Rígido.de.Elétrica</t>
  </si>
  <si>
    <t>Material construtivo usado para conduzir a fiação elétrica em eletrodutos rígidos.</t>
  </si>
  <si>
    <t>Material de construcción utilizado para conducir el cableado eléctrico en conductos rígidos.</t>
  </si>
  <si>
    <t>Construction material used to conduct electrical wiring in rigid conduits.</t>
  </si>
  <si>
    <t>Conduíte.Rígido.de.Telecom</t>
  </si>
  <si>
    <t>Material construtivo usado para conduzir a fiação de rede de dados e telecomunicações em condutos rígidos.</t>
  </si>
  <si>
    <t>Material de construcción utilizado para realizar el cableado de redes de datos y telecomunicaciones en conductos rígidos.</t>
  </si>
  <si>
    <t>Construction material used to conduct data and telecommunications network wiring in rigid conduits.</t>
  </si>
  <si>
    <t>Fiações.Metálicas</t>
  </si>
  <si>
    <t>Fiação.de.Elétrica</t>
  </si>
  <si>
    <t>Material construtivo usado para a fiação nos cabos de elétrica.</t>
  </si>
  <si>
    <t>Material de construcción utilizado para cablear cables eléctricos.</t>
  </si>
  <si>
    <t>Construction material used for wiring in electrical cables.</t>
  </si>
  <si>
    <t>Fiação.de.Telecom</t>
  </si>
  <si>
    <t>Material construtivo usado para a fiação nos cabos de rede de dados e telecomunicações.</t>
  </si>
  <si>
    <t>Material de construcción utilizado para cablear cables de redes de datos y telecomunicaciones.</t>
  </si>
  <si>
    <t>Construction material used for wiring in data network and telecommunications cables.</t>
  </si>
  <si>
    <t>Ligas.Estruturais</t>
  </si>
  <si>
    <t>Aço.Estrutural</t>
  </si>
  <si>
    <t>Material construtivo usado para a estrutura são ligas de aços estruturais.</t>
  </si>
  <si>
    <t>Material de construcción utilizado para la estructura. Son aleaciones de aceros estructurales.</t>
  </si>
  <si>
    <t>Construction material used for the structure are structural steel alloys.</t>
  </si>
  <si>
    <t>[ OST_Materials : OST_Rebar : OST_AreaRein : OST_StructuralFoundation : OST_StructuralColumns : OST_StructuralFraming : OST_StructuralTendons : OST_StructuralStiffener : OST_StructuralTruss : OST_StructConnectionAnchors : OST_StructConnectionBolts : OST_StructConnectionPlates : OST_StructConnectionShearStuds : OST_HorizontalBracing : OST_VerticalBracing : OST_KickerBracing ]</t>
  </si>
  <si>
    <t>[ IfcMaterial : IfcReinforcingBar : IfcStructuralSurfaceMember : IfcFooting : IfcColumn : IfcBeam : IfcMember : IfcElementAssembly  : IfcMechanicalFastener ]</t>
  </si>
  <si>
    <t>Alumínio.Estrutural</t>
  </si>
  <si>
    <t>Material construtivo usado para a estrutura são ligas de alumínios estruturais.</t>
  </si>
  <si>
    <t>Material de construcción utilizado para la estructura. Son aleaciones de aluminios estructurales.</t>
  </si>
  <si>
    <t>Construction material used for the structure are structural aluminum alloys.</t>
  </si>
  <si>
    <t>Materiais.Adesivos</t>
  </si>
  <si>
    <t>Cola.Espuma</t>
  </si>
  <si>
    <t>Material construtivo usado para aderir espumas.</t>
  </si>
  <si>
    <t>Material de construcción utilizado para adherir espumas.</t>
  </si>
  <si>
    <t>Construction material used to adhere foams.</t>
  </si>
  <si>
    <t>[ OST_Materials : OST_Parts : OST_FloorsSubstrate : OST_WallsSubstrate : OST_CeilingsSubstrate  ]</t>
  </si>
  <si>
    <t>[ IfcFastener ]</t>
  </si>
  <si>
    <t>Cola.Louça</t>
  </si>
  <si>
    <t>Material construtivo usado para aderir louças.</t>
  </si>
  <si>
    <t>Material de construcción utilizado para adherir la vajilla.</t>
  </si>
  <si>
    <t>Construction material used to adhere crockery.</t>
  </si>
  <si>
    <t>Cola.Madeira</t>
  </si>
  <si>
    <t>Material construtivo usado para aderir madeiras.</t>
  </si>
  <si>
    <t>Material de construcción utilizado para adherir madera.</t>
  </si>
  <si>
    <t>Construction material used to adhere wood.</t>
  </si>
  <si>
    <t>Cola.Metal</t>
  </si>
  <si>
    <t>Material construtivo usado para aderir metais.</t>
  </si>
  <si>
    <t>Material de construcción utilizado para adherir metales.</t>
  </si>
  <si>
    <t>Construction material used to adhere metals.</t>
  </si>
  <si>
    <t>Cola.Textil</t>
  </si>
  <si>
    <t>Material construtivo usado para aderir texteis.</t>
  </si>
  <si>
    <t>Material de construcción utilizado para unir textiles.</t>
  </si>
  <si>
    <t>Construction material used to bond textiles.</t>
  </si>
  <si>
    <t>Materiais.Espumados</t>
  </si>
  <si>
    <t>Espuma.Expandida</t>
  </si>
  <si>
    <t>Material construtivo usado para tampar as frestas ou cobrir em tubulações pré-isoladas e impedir a troca de calor.</t>
  </si>
  <si>
    <t>Material de construcción utilizado para tapar huecos o cubrir tuberías preaisladas y evitar el intercambio de calor.</t>
  </si>
  <si>
    <t>Construction material used to plug gaps or cover in pre-insulated pipes and prevent heat exchange.</t>
  </si>
  <si>
    <t>[ OST_Materials : OST_PipeMaterials : OST_DuctInsulations : OST_DuctLinings : OST_FabricationDuctwork ]</t>
  </si>
  <si>
    <t>[ 0M.20.60.07.09 ]</t>
  </si>
  <si>
    <t>Espuma.MPU</t>
  </si>
  <si>
    <t>Material construtivo usado para fazer placas rígidas pré-fabricadas e montadas para formar os dutos de AVAC. Substituem o duto metálico tradicional, agregando isolamento térmico no próprio painel e reduzindo o peso estrutural.</t>
  </si>
  <si>
    <t>Material de construcción utilizado para fabricar placas rígidas prefabricadas y ensambladas para formar conductos HVAC. Sustituyen al conducto metálico tradicional, añadiendo aislamiento térmico al propio panel y reduciendo el peso estructural.</t>
  </si>
  <si>
    <t>Construction material used to make prefabricated and assembled rigid plates to form HVAC ducts. They replace the traditional metal duct, adding thermal insulation to the panel itself and reducing structural weight.</t>
  </si>
  <si>
    <t>Espuma.PIR</t>
  </si>
  <si>
    <t>Material construtivo usado para fazer placas rígidas por poliisocianurato revestidas por lâminas de alumínio em ambas as faces. Para fechamentos como paredes e coberturas.</t>
  </si>
  <si>
    <t>Material de construcción utilizado para fabricar placas rígidas de poliisocianurato recubiertas con láminas de aluminio en ambos lados. Para recintos como paredes y tejados.</t>
  </si>
  <si>
    <t>Construction material used to make rigid polyisocyanurate plates coated with aluminum sheets on both sides. For enclosures such as walls and roofs.</t>
  </si>
  <si>
    <t>Espuma.PUR</t>
  </si>
  <si>
    <t>Material construtivo usado para fazer placas rígidas por poliuretano revestidas por lâminas de alumínio em ambas as faces. Para fechamentos como paredes e coberturas.</t>
  </si>
  <si>
    <t>Material de construcción utilizado para fabricar placas rígidas de poliuretano recubiertas con láminas de aluminio en ambos lados. Para cierres como paredes y tejados.</t>
  </si>
  <si>
    <t>Construction material used to make rigid polyurethane plates coated with aluminum sheets on both sides. For closures such as walls and roofs.</t>
  </si>
  <si>
    <t>Materiais.Isolantes</t>
  </si>
  <si>
    <t xml:space="preserve">Lã.de.Rocha </t>
  </si>
  <si>
    <t>Material construtivo usado para fazer mantas rígidas ou flexíveis aplicadas ao redor de dutos metálicos ou tubulações de grande porte para isolamento térmico e acústico, resistência ao fogo.</t>
  </si>
  <si>
    <t>Material de construcción utilizado para fabricar mantas rígidas o flexibles que se aplican alrededor de conductos metálicos o tuberías grandes para aislamiento térmico y acústico, resistencia al fuego.</t>
  </si>
  <si>
    <t>Construction material used to make rigid or flexible blankets applied around metal ducts or large pipes for thermal and acoustic insulation, fire resistance.</t>
  </si>
  <si>
    <t xml:space="preserve">Lã.de.Vidro </t>
  </si>
  <si>
    <t>Material construtivo usado para cobrir serpentinas de alumínio com lã de vidro e filme plástico externo. Utilizadas nas conexões finais entre os dutos rígidos e os difusores de ar.</t>
  </si>
  <si>
    <t>Material de construcción utilizado para cubrir bobinas de aluminio con lana de vidrio y película plástica externa. Utilizado en las conexiones finales entre conductos rígidos y difusores de aire.</t>
  </si>
  <si>
    <t>Construction material used to cover aluminum coils with glass wool and external plastic film. Used in the final connections between rigid ducts and air diffusers.</t>
  </si>
  <si>
    <t>Borracha.Antivibratória</t>
  </si>
  <si>
    <t>Material construtivo usado para absorver vibrações  dos compressores e ventiladores. Colocado em cantoneiras, tirantes e suportes de fixação impedindo a transmissão de ruído para a estrutura do edifício.</t>
  </si>
  <si>
    <t>Material de construcción utilizado para absorber las vibraciones de compresores y ventiladores. Se colocan en ángulos, barras de dirección y soportes de fijación para evitar la transmisión de ruido a la estructura del edificio.</t>
  </si>
  <si>
    <t>Construction material used to absorb vibrations from compressors and fans. Placed on angles, tie rods and fixing brackets preventing the transmission of noise to the building structure.</t>
  </si>
  <si>
    <t>Borracha.Elastomérica</t>
  </si>
  <si>
    <t>Material construtivo usado para isolar tubulações de refrigerante e água gelada. Material de estrutura celular fechada flexível. Evita a condensação superficial e a perda de eficiência.</t>
  </si>
  <si>
    <t>Material de construcción utilizado para aislar tuberías de refrigerante y agua fría. Material flexible de estructura de celda cerrada. Evita la condensación superficial y la pérdida de eficiencia.</t>
  </si>
  <si>
    <t>Construction material used to insulate refrigerant and chilled water pipes. Flexible closed cell structure material. Avoids surface condensation and loss of efficiency.</t>
  </si>
  <si>
    <t>Materiais.Selantes</t>
  </si>
  <si>
    <t>Vedante.Mastique</t>
  </si>
  <si>
    <t>Material construtivo usado para selar e ser flexível, resistente a temperatura e umidade. Aplicados em junção de dutos e passagens de tubulações para evitar vazamentos de ar.</t>
  </si>
  <si>
    <t>Material de construcción utilizado para sellar y ser flexible, resistente a la temperatura y la humedad. Se aplica en la unión de conductos y conductos de tubería para evitar fugas de aire.</t>
  </si>
  <si>
    <t>Construction material used to seal and be flexible, resistant to temperature and humidity. Applied at the junction of ducts and pipe passages to prevent air leaks.</t>
  </si>
  <si>
    <t>Vedante.Plástico.ABS</t>
  </si>
  <si>
    <t>Material construtivo usado para fabricar grelhas, difusores e tomadas de ar externo pela durabilidade e facilidade de acabamento.</t>
  </si>
  <si>
    <t>Material de construcción utilizado para fabricar rejillas, difusores y tomas de aire externas debido a su durabilidad y facilidad de acabado.</t>
  </si>
  <si>
    <t>Construction material used to manufacture grilles, diffusers and external air intakes due to its durability and ease of finishing.</t>
  </si>
  <si>
    <t>Vedante.de.Silicone</t>
  </si>
  <si>
    <t>Materiais.em.Peças.Metálicas</t>
  </si>
  <si>
    <t>Alumínio.Anodizado</t>
  </si>
  <si>
    <t>Material construtivo usado para fazer grelhas, difusores e tomadas de ar externo pela durabilidade e facilidade de acabamento.</t>
  </si>
  <si>
    <t>Material de construcción utilizado para fabricar rejillas, difusores y tomas de aire exteriores para mayor durabilidad y facilidad de acabado.</t>
  </si>
  <si>
    <t>Construction material used to make grilles, diffusers and external air intakes for durability and ease of finishing.</t>
  </si>
  <si>
    <t>Quadros.Metálicos</t>
  </si>
  <si>
    <t>Quadro.Metálico.Elétrica</t>
  </si>
  <si>
    <t>Material construtivo usado para quadros de passagem ou distribuição metálicos para elétrica.</t>
  </si>
  <si>
    <t>Material de construcción utilizado para pasadizos metálicos a eléctricos o tableros de distribución.</t>
  </si>
  <si>
    <t>Construction material used for metallic to electrical passage or distribution boards.</t>
  </si>
  <si>
    <t>Quadro.Metálico.Telecom</t>
  </si>
  <si>
    <t>Material construtivo usado para quadros de passagem ou distribuição metálicos para rede de dados e telecomunicações.</t>
  </si>
  <si>
    <t>Material de construcción utilizado para pasos metálicos o paneles de distribución para redes de datos y telecomunicaciones.</t>
  </si>
  <si>
    <t>Construction material used for metal passage or distribution boards for data and telecommunications network.</t>
  </si>
  <si>
    <t>Quadros.Plásticos</t>
  </si>
  <si>
    <t>Quadro.PVC.Elétrica</t>
  </si>
  <si>
    <t>Material construtivo usado para quadros de passagem ou distribuição em PVC para elétrica.</t>
  </si>
  <si>
    <t>Material de construcción utilizado para pasajes de PVC o paneles de distribución para electricidad.</t>
  </si>
  <si>
    <t>Construction material used for PVC passage or distribution boards for electrical.</t>
  </si>
  <si>
    <t>Quadro.PVC.Telecom</t>
  </si>
  <si>
    <t>Material construtivo usado para quadros de passagem ou distribuição em PVC para rede de dados e telecomunicações.</t>
  </si>
  <si>
    <t>Material de construcción utilizado para pasaportes de PVC o placas de distribución para redes de datos y telecomunicaciones.</t>
  </si>
  <si>
    <t>Construction material used for PVC passage or distribution boards for data and telecommunications network.</t>
  </si>
  <si>
    <t>Tubos.Compostos</t>
  </si>
  <si>
    <t>Tubo.de.Multicamada</t>
  </si>
  <si>
    <t>Material construtivo usado para conduzir água. Tubos compostos por uma camada interna de plástico (PEX), uma camada intermediária de alumínio contínuo (Al) e uma camada externa de plástico protetor. Tubo flexível conectado por crimpagem.</t>
  </si>
  <si>
    <t>Material de construcción utilizado para conducir agua. Tubos compuestos por una capa interior de plástico (PEX), una capa intermedia de aluminio continuo (Al) y una capa exterior de plástico protector. Tubo flexible conectado mediante crimping.</t>
  </si>
  <si>
    <t>Construction material used to conduct water. Tubes composed of an inner layer of plastic (PEX), an intermediate layer of continuous aluminium (Al) and an outer layer of protective plastic. Flexible tube connected by crimping.</t>
  </si>
  <si>
    <t>Tubos.Metálicos</t>
  </si>
  <si>
    <t>Tubo.de.Aço.Carbono</t>
  </si>
  <si>
    <t>Material construtivo usado para conduzir água gelada e água de condensação em diâmetros maiores, devido ao baixo custo em larga escala e alta resistência mecânica em sistemas de AVAC centralizados e chillers.</t>
  </si>
  <si>
    <t>Material de construcción utilizado para conducir agua fría y agua de condensación en diámetros mayores, debido al bajo coste a gran escala y la alta resistencia mecánica en sistemas centralizados de climatización y enfriadores.</t>
  </si>
  <si>
    <t>Construction material used to conduct chilled water and condensation water in larger diameters, due to the low large-scale cost and high mechanical strength in centralized HVAC systems and chillers.</t>
  </si>
  <si>
    <t>Tubo.de.Aço.Costura</t>
  </si>
  <si>
    <t>Material construtivo usado para canalizações de aço com costura (especificações NBR 5580 ou NBR 5590).</t>
  </si>
  <si>
    <t>Material de construcción utilizado para tuberías de acero soldadas (especificaciones NBR 5580 o NBR 5590).</t>
  </si>
  <si>
    <t>Construction material used for welded steel pipes (NBR 5580 or NBR 5590 specifications).</t>
  </si>
  <si>
    <t>[ 0M.20.20.01.01 ]</t>
  </si>
  <si>
    <t>Tubo.de.Aço.Galvanizado</t>
  </si>
  <si>
    <t>Material construtivo usado para fazer as chapas metálicas para fabricar dutos de distribuição de ar. O revestimento de zinco protege o aço contra ferrugem em ambientes internos padrão.</t>
  </si>
  <si>
    <t>Material de construcción utilizado para fabricar las chapas metálicas para fabricar conductos de distribución de aire. El recubrimiento de zinc protege el acero del óxido en ambientes interiores estándar.</t>
  </si>
  <si>
    <t>Construction material used to make the metal sheets to manufacture air distribution ducts. The zinc coating protects the steel from rust in standard indoor environments.</t>
  </si>
  <si>
    <t>Tubo.de.Aço.Inoxidável</t>
  </si>
  <si>
    <t>Material construtivo usado para as instalações industriais, farmacêuticas ou alimentícias que exigem extrema resistência à corrosão, além de alta higiene e longa durabilidade.</t>
  </si>
  <si>
    <t>Material de construcción utilizado en instalaciones industriales, farmacéuticas o alimentarias que requieren una resistencia extrema a la corrosión, así como alta higiene y larga durabilidad.</t>
  </si>
  <si>
    <t>Construction material used for industrial, pharmaceutical or food facilities that require extreme resistance to corrosion, as well as high hygiene and long durability.</t>
  </si>
  <si>
    <t>Tubo.de.Alumínio</t>
  </si>
  <si>
    <t>Material construtivo usado para proteger os tubos e dutos leves das condições ambientais de maior umidade ou presença de agentes corrosivos (como regiões litorâneas ou laboratórios).</t>
  </si>
  <si>
    <t>Material de construcción utilizado para proteger tuberías y conductos de luz de condiciones ambientales de mayor humedad o de la presencia de agentes corrosivos (como regiones costeras o laboratorios).</t>
  </si>
  <si>
    <t>Construction material used to protect light pipes and ducts from environmental conditions of greater humidity or the presence of corrosive agents (such as coastal regions or laboratories).</t>
  </si>
  <si>
    <t>Tubo.de.Cobre</t>
  </si>
  <si>
    <t>Material construtivo usado para canalizações e redes de água quente ou gás. o cobre também é material de tubulações refrigerantes (linhas de líquido e sucção). Possui excelente condutividade térmica, alta resistência à corrosão interna e boa maleabilidade para dobras e soldagem a prata/foscoper.</t>
  </si>
  <si>
    <t>Material de construcción utilizado para fontanería y redes de agua caliente o gas. El cobre también es un material para tuberías refrigerantes (líquidos y tuberías de succión). Tiene una excelente conductividad térmica, alta resistencia a la corrosión interna y buena maleabilidad para doblar y soldar con plata/fósforo.</t>
  </si>
  <si>
    <t>Construction material used for plumbing and hot water or gas networks. Copper is also a material for refrigerant pipes (liquid and suction lines). It has excellent thermal conductivity, high resistance to internal corrosion and good malleability for bending and silver/phosphor welding.</t>
  </si>
  <si>
    <t>[ 0M.20.20.05 ]</t>
  </si>
  <si>
    <t>Tubo.de.FoFo</t>
  </si>
  <si>
    <t>Material construtivo usado para canalizações de saneamento básico de ferro fundido.</t>
  </si>
  <si>
    <t>Material de construcción utilizado para tuberías básicas de hierro fundido.</t>
  </si>
  <si>
    <t>Construction material used for cast iron basic sanitation pipes.</t>
  </si>
  <si>
    <t>[ 0M.20.20.01.07.03 ]</t>
  </si>
  <si>
    <t>Tubo.de.Latão</t>
  </si>
  <si>
    <t>Material construtivo usado para as redes de água o latão.</t>
  </si>
  <si>
    <t>Material de construcción utilizado en redes de agua: latón.</t>
  </si>
  <si>
    <t>Construction material used for water networks: brass.</t>
  </si>
  <si>
    <t>[ 0M.20.20.05.01 ]</t>
  </si>
  <si>
    <t>Tubos.Plásticos</t>
  </si>
  <si>
    <t>Tubo.de.PVC</t>
  </si>
  <si>
    <t>Material construtivo usado para conduzir as redes de agua e esgoto doméstica. PVC (Policloreto de Vinila).</t>
  </si>
  <si>
    <t>Material de construcción utilizado para conducir redes domésticas de agua y alcantarillado. PVC (cloruro de polivinilo).</t>
  </si>
  <si>
    <t>Construction material used to conduct domestic water and sewage networks. PVC (Polyvinyl Chloride).</t>
  </si>
  <si>
    <t>[ 0M.20.60.07.16 ]</t>
  </si>
  <si>
    <t>Tubo.de.PVCO</t>
  </si>
  <si>
    <t>Material construtivo usado para conduzir as redes de agua e esgoto doméstica. PVC Orientado (Policloreto de Vinila). Material mais resistente que PVC.</t>
  </si>
  <si>
    <t>Material de construcción utilizado para conducir redes de agua y alcantarillado domésticas. PVC orientado (cloruro de polivinilo). Material más resistente que el PVC.</t>
  </si>
  <si>
    <t>Construction material used to conduct domestic water and sewage networks. Oriented PVC (Polyvinyl Chloride). Material more resistant than PVC.</t>
  </si>
  <si>
    <t>Tubos.Termoplásticos</t>
  </si>
  <si>
    <t>Tubo.de.PEAD</t>
  </si>
  <si>
    <t>Material construtivo usado para conduzir redes de água, gás, saneamento, irrigação. Termofusão PEAD (Polietileno de Alta Densidade) é um polímero termoplástico derivado do petróleo.</t>
  </si>
  <si>
    <t>Material de construcción utilizado para conducir agua, gas, saneamiento y redes de riego. La termofusión de HDPE (polietileno de alta densidad) es un polímero termoplástico derivado del petróleo.</t>
  </si>
  <si>
    <t>Construction material used to conduct water, gas, sanitation, irrigation networks. HDPE (High Density Polyethylene) thermofusion is a thermoplastic polymer derived from petroleum.</t>
  </si>
  <si>
    <t>Tubo.de.PEX</t>
  </si>
  <si>
    <t>Material construtivo usado para conduzir água gelada ou quente e em linhas de drenagem de condensado, pois são imunes à corrosão e evitam o incrustamento interno.</t>
  </si>
  <si>
    <t>Material de construcción utilizado para conducir agua fría o caliente y en las tuberías de drenaje de condensados, ya que son inmunes a la corrosión y evitan el ensuciamiento interno.</t>
  </si>
  <si>
    <t>Construction material used to conduct chilled or hot water and in condensate drainage lines, as they are immune to corrosion and prevent internal fouling.</t>
  </si>
  <si>
    <t>Tubo.de.PPR</t>
  </si>
  <si>
    <t>Material.Catalogado</t>
  </si>
  <si>
    <t>Catálogos.de.Materiais</t>
  </si>
  <si>
    <t>Catálogo.de.Fabricante</t>
  </si>
  <si>
    <t>Catálogo de materiais e produtos construtivos usado para explicar os modelos ou produtos produzidos por um fabricante. Normalmente com dados de propriedades técnicas dos produtos.</t>
  </si>
  <si>
    <t>Catálogo de construcción utilizado para explicar los modelos o productos fabricados por un fabricante. Normalmente con datos sobre las propiedades técnicas de los productos.</t>
  </si>
  <si>
    <t>Catalog of material used to explain the models or products produced by a manufacturer. Usually with data on the technical properties of the products.</t>
  </si>
  <si>
    <t>Catálogo.de.Fornecedor</t>
  </si>
  <si>
    <t>Catálogo de materiais e produtos construtivos usado para explicar os modelos ou produtos vendidos por um fornecedor. Pode misturar produtos de vários fabricantes e ter finalidade ilustrativa comercial.</t>
  </si>
  <si>
    <t>Catálogo de construcción utilizado para explicar los modelos o productos vendidos por un proveedor. Puede mezclar productos de varios fabricantes y tener un propósito ilustrativo comercial.</t>
  </si>
  <si>
    <t>Catalog of material used to explain the models or products sold by a supplier. It can mix products from several manufacturers and have a commercial illustrative purpose.</t>
  </si>
  <si>
    <t>Catálogo.de.Construtor</t>
  </si>
  <si>
    <t>Catálogo de materiais e produtos construtivos criado pelo construtor para cadastrar os produtos.</t>
  </si>
  <si>
    <t>Catálogo de materiales y productos constructivos creado por el constructor para cadastrar los productos usados en la obra.</t>
  </si>
  <si>
    <t>Catalog of construction materials and products prepared by the contractor to record all items used in the construction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</si>
</sst>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Aptos Narrow"/>
      <family val="2"/>
      <charset val="1"/>
    </font>
    <font>
      <sz val="8"/>
      <name val="Aptos Narrow"/>
      <family val="2"/>
      <charset val="1"/>
    </font>
    <font>
      <sz val="6"/>
      <color rgb="FF000000"/>
      <name val="Arial Nova Cond Light"/>
      <family val="2"/>
    </font>
    <font>
      <b/>
      <sz val="6"/>
      <color rgb="FF000000"/>
      <name val="Arial Nova Cond Light"/>
      <family val="2"/>
    </font>
    <font>
      <sz val="6"/>
      <name val="Arial Nova Cond Light"/>
      <family val="2"/>
    </font>
    <font>
      <b/>
      <sz val="6"/>
      <name val="Arial Nova Cond Light"/>
      <family val="2"/>
    </font>
    <font>
      <sz val="6"/>
      <color theme="1"/>
      <name val="Arial Nova Cond Light"/>
      <family val="2"/>
    </font>
    <font>
      <i/>
      <sz val="6"/>
      <name val="Arial Nova Cond Light"/>
      <family val="2"/>
    </font>
    <font>
      <b/>
      <sz val="6"/>
      <color theme="1"/>
      <name val="Arial Nova Cond Light"/>
      <family val="2"/>
    </font>
    <font>
      <b/>
      <sz val="5"/>
      <color rgb="FF000000"/>
      <name val="Arial Nova Cond Light"/>
      <family val="2"/>
    </font>
    <font>
      <sz val="8"/>
      <color theme="1"/>
      <name val="Arial Nova Cond"/>
      <family val="2"/>
    </font>
    <font>
      <sz val="8"/>
      <color theme="1"/>
      <name val="Arial Nova Cond Light"/>
      <family val="2"/>
    </font>
    <font>
      <sz val="6"/>
      <color rgb="FF000000"/>
      <name val="Aptos Narrow"/>
      <family val="2"/>
      <charset val="1"/>
    </font>
  </fonts>
  <fills count="25">
    <fill>
      <patternFill patternType="none"/>
    </fill>
    <fill>
      <patternFill patternType="gray125"/>
    </fill>
    <fill>
      <patternFill patternType="solid">
        <fgColor rgb="FFFFC000"/>
        <bgColor rgb="FFFF9900"/>
      </patternFill>
    </fill>
    <fill>
      <patternFill patternType="solid">
        <fgColor rgb="FFF2AA84"/>
        <bgColor rgb="FFF6C6AD"/>
      </patternFill>
    </fill>
    <fill>
      <patternFill patternType="solid">
        <fgColor rgb="FFD9D9D9"/>
        <bgColor rgb="FFD1D1D1"/>
      </patternFill>
    </fill>
    <fill>
      <patternFill patternType="solid">
        <fgColor rgb="FFFBE79D"/>
        <bgColor indexed="64"/>
      </patternFill>
    </fill>
    <fill>
      <patternFill patternType="solid">
        <fgColor rgb="FFAEAAAA"/>
        <bgColor rgb="FF000000"/>
      </patternFill>
    </fill>
    <fill>
      <patternFill patternType="solid">
        <fgColor rgb="FFFFFFFF"/>
        <bgColor rgb="FF000000"/>
      </patternFill>
    </fill>
    <fill>
      <patternFill patternType="solid">
        <fgColor theme="2" tint="-0.249977111117893"/>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9" tint="0.59999389629810485"/>
        <bgColor rgb="FFFEF2CB"/>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rgb="FFFF9900"/>
      </patternFill>
    </fill>
    <fill>
      <patternFill patternType="solid">
        <fgColor theme="5" tint="0.59999389629810485"/>
        <bgColor rgb="FFC0C0C0"/>
      </patternFill>
    </fill>
    <fill>
      <patternFill patternType="solid">
        <fgColor theme="5" tint="0.79998168889431442"/>
        <bgColor indexed="64"/>
      </patternFill>
    </fill>
    <fill>
      <patternFill patternType="solid">
        <fgColor theme="0" tint="-0.14999847407452621"/>
        <bgColor indexed="64"/>
      </patternFill>
    </fill>
    <fill>
      <patternFill patternType="solid">
        <fgColor theme="5" tint="0.79998168889431442"/>
        <bgColor rgb="FFFFC7CE"/>
      </patternFill>
    </fill>
    <fill>
      <patternFill patternType="solid">
        <fgColor theme="8" tint="0.79998168889431442"/>
        <bgColor rgb="FFFFFFCC"/>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34998626667073579"/>
        <bgColor indexed="64"/>
      </patternFill>
    </fill>
    <fill>
      <patternFill patternType="solid">
        <fgColor theme="5" tint="0.79998168889431442"/>
        <bgColor rgb="FFD9F2D0"/>
      </patternFill>
    </fill>
    <fill>
      <patternFill patternType="solid">
        <fgColor theme="5" tint="0.79998168889431442"/>
        <bgColor rgb="FFFEF2CB"/>
      </patternFill>
    </fill>
  </fills>
  <borders count="9">
    <border>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74">
    <xf numFmtId="0" fontId="0" fillId="0" borderId="0" xfId="0"/>
    <xf numFmtId="0" fontId="2" fillId="5" borderId="4" xfId="0" applyFont="1" applyFill="1" applyBorder="1" applyAlignment="1">
      <alignment horizontal="left" vertical="center"/>
    </xf>
    <xf numFmtId="0" fontId="7" fillId="4" borderId="6"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0" borderId="0" xfId="0" applyFont="1" applyAlignment="1">
      <alignment horizontal="left"/>
    </xf>
    <xf numFmtId="0" fontId="5" fillId="4" borderId="3"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4" fillId="2" borderId="4" xfId="0" applyFont="1" applyFill="1" applyBorder="1" applyAlignment="1">
      <alignment vertical="center"/>
    </xf>
    <xf numFmtId="0" fontId="4" fillId="0" borderId="0" xfId="0" applyFont="1"/>
    <xf numFmtId="0" fontId="4" fillId="0" borderId="0" xfId="0" applyFont="1" applyAlignment="1">
      <alignment horizontal="center" vertical="center"/>
    </xf>
    <xf numFmtId="0" fontId="4" fillId="0" borderId="0" xfId="0" applyFont="1" applyAlignment="1">
      <alignment vertical="center"/>
    </xf>
    <xf numFmtId="0" fontId="3" fillId="6" borderId="4" xfId="0" applyFont="1" applyFill="1" applyBorder="1" applyAlignment="1">
      <alignment vertical="center"/>
    </xf>
    <xf numFmtId="0" fontId="2" fillId="7" borderId="4" xfId="0" applyFont="1" applyFill="1" applyBorder="1" applyAlignment="1">
      <alignment vertical="center"/>
    </xf>
    <xf numFmtId="0" fontId="6" fillId="0" borderId="4" xfId="0" applyFont="1" applyBorder="1" applyAlignment="1">
      <alignment vertical="center"/>
    </xf>
    <xf numFmtId="0" fontId="6" fillId="0" borderId="4" xfId="0" applyFont="1" applyBorder="1"/>
    <xf numFmtId="22" fontId="6" fillId="0" borderId="4" xfId="0" applyNumberFormat="1" applyFont="1" applyBorder="1" applyAlignment="1">
      <alignment horizontal="left" vertical="center"/>
    </xf>
    <xf numFmtId="0" fontId="6" fillId="0" borderId="4" xfId="0" applyFont="1" applyBorder="1" applyAlignment="1">
      <alignment vertical="center" wrapText="1"/>
    </xf>
    <xf numFmtId="0" fontId="8" fillId="8" borderId="4" xfId="0" applyFont="1" applyFill="1" applyBorder="1" applyAlignment="1">
      <alignment horizontal="center" vertical="center"/>
    </xf>
    <xf numFmtId="0" fontId="8" fillId="8" borderId="4" xfId="0" applyFont="1" applyFill="1" applyBorder="1" applyAlignment="1">
      <alignment horizontal="left" vertical="center"/>
    </xf>
    <xf numFmtId="0" fontId="8" fillId="8" borderId="4" xfId="0" applyFont="1" applyFill="1" applyBorder="1" applyAlignment="1">
      <alignment vertical="center"/>
    </xf>
    <xf numFmtId="0" fontId="4" fillId="9" borderId="4" xfId="0" applyFont="1" applyFill="1" applyBorder="1" applyAlignment="1">
      <alignment horizontal="center" vertical="center"/>
    </xf>
    <xf numFmtId="0" fontId="2" fillId="10" borderId="4" xfId="0" applyFont="1" applyFill="1" applyBorder="1" applyAlignment="1">
      <alignment vertical="center"/>
    </xf>
    <xf numFmtId="0" fontId="4" fillId="11" borderId="4" xfId="0" applyFont="1" applyFill="1" applyBorder="1" applyAlignment="1">
      <alignment vertical="center"/>
    </xf>
    <xf numFmtId="0" fontId="6" fillId="12" borderId="4" xfId="0" applyFont="1" applyFill="1" applyBorder="1" applyAlignment="1">
      <alignment horizontal="left" vertical="center"/>
    </xf>
    <xf numFmtId="0" fontId="4" fillId="12" borderId="4" xfId="0" applyFont="1" applyFill="1" applyBorder="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3" fillId="14" borderId="4" xfId="0" applyFont="1" applyFill="1" applyBorder="1" applyAlignment="1">
      <alignment horizontal="left" vertical="center" wrapText="1"/>
    </xf>
    <xf numFmtId="0" fontId="3" fillId="15" borderId="4" xfId="0" applyFont="1" applyFill="1" applyBorder="1" applyAlignment="1">
      <alignment horizontal="left" vertical="center" wrapText="1"/>
    </xf>
    <xf numFmtId="0" fontId="2" fillId="16" borderId="4" xfId="0" applyFont="1" applyFill="1" applyBorder="1" applyAlignment="1">
      <alignment horizontal="left" vertical="center" wrapText="1"/>
    </xf>
    <xf numFmtId="0" fontId="2" fillId="16" borderId="4" xfId="0" applyFont="1" applyFill="1" applyBorder="1" applyAlignment="1">
      <alignment horizontal="left" vertical="center"/>
    </xf>
    <xf numFmtId="0" fontId="3" fillId="14" borderId="4" xfId="0" applyFont="1" applyFill="1" applyBorder="1" applyAlignment="1">
      <alignment horizontal="center" vertical="center" wrapText="1"/>
    </xf>
    <xf numFmtId="0" fontId="2" fillId="17" borderId="4" xfId="0" applyFont="1" applyFill="1" applyBorder="1" applyAlignment="1">
      <alignment horizontal="center" vertical="center"/>
    </xf>
    <xf numFmtId="0" fontId="2" fillId="5" borderId="1" xfId="0" applyFont="1" applyFill="1" applyBorder="1" applyAlignment="1">
      <alignment horizontal="left" vertical="center"/>
    </xf>
    <xf numFmtId="0" fontId="2" fillId="18" borderId="4" xfId="0" applyFont="1" applyFill="1" applyBorder="1" applyAlignment="1">
      <alignment horizontal="left" vertical="center"/>
    </xf>
    <xf numFmtId="0" fontId="0" fillId="0" borderId="0" xfId="0" applyAlignment="1">
      <alignment horizontal="center"/>
    </xf>
    <xf numFmtId="0" fontId="2" fillId="19" borderId="4" xfId="0" applyFont="1" applyFill="1" applyBorder="1" applyAlignment="1">
      <alignment vertical="center"/>
    </xf>
    <xf numFmtId="0" fontId="3" fillId="3" borderId="7" xfId="0" applyFont="1" applyFill="1" applyBorder="1" applyAlignment="1">
      <alignment horizontal="left" vertical="center" wrapText="1"/>
    </xf>
    <xf numFmtId="0" fontId="9" fillId="3" borderId="4" xfId="0" applyFont="1" applyFill="1" applyBorder="1" applyAlignment="1">
      <alignment horizontal="left" vertical="center" wrapText="1"/>
    </xf>
    <xf numFmtId="0" fontId="6" fillId="0" borderId="4" xfId="0" applyFont="1" applyBorder="1" applyAlignment="1">
      <alignment horizontal="left" vertical="center"/>
    </xf>
    <xf numFmtId="0" fontId="10" fillId="0" borderId="0" xfId="0" applyFont="1" applyAlignment="1">
      <alignment vertical="center"/>
    </xf>
    <xf numFmtId="0" fontId="8" fillId="22" borderId="4" xfId="0" applyFont="1" applyFill="1" applyBorder="1" applyAlignment="1">
      <alignment horizontal="center" vertical="center"/>
    </xf>
    <xf numFmtId="0" fontId="6" fillId="0" borderId="4" xfId="0" applyFont="1" applyBorder="1" applyAlignment="1">
      <alignment horizontal="center" vertical="center"/>
    </xf>
    <xf numFmtId="0" fontId="11" fillId="0" borderId="0" xfId="0" applyFont="1" applyAlignment="1">
      <alignment vertical="center"/>
    </xf>
    <xf numFmtId="0" fontId="2" fillId="5" borderId="5" xfId="0" applyFont="1" applyFill="1" applyBorder="1" applyAlignment="1">
      <alignment horizontal="left" vertical="center"/>
    </xf>
    <xf numFmtId="0" fontId="3" fillId="2" borderId="7" xfId="0" applyFont="1" applyFill="1" applyBorder="1" applyAlignment="1">
      <alignment horizontal="center" vertical="center" wrapText="1"/>
    </xf>
    <xf numFmtId="0" fontId="3" fillId="2" borderId="7" xfId="0" applyFont="1" applyFill="1" applyBorder="1" applyAlignment="1">
      <alignment horizontal="left" vertical="center" wrapText="1"/>
    </xf>
    <xf numFmtId="0" fontId="5" fillId="2"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2" fillId="10" borderId="4" xfId="0" applyFont="1" applyFill="1" applyBorder="1" applyAlignment="1">
      <alignment vertical="center" wrapText="1"/>
    </xf>
    <xf numFmtId="0" fontId="8" fillId="8" borderId="4" xfId="0" applyFont="1" applyFill="1" applyBorder="1" applyAlignment="1">
      <alignment vertical="center" wrapText="1"/>
    </xf>
    <xf numFmtId="0" fontId="6" fillId="13" borderId="4" xfId="0" applyFont="1" applyFill="1" applyBorder="1" applyAlignment="1">
      <alignment vertical="center"/>
    </xf>
    <xf numFmtId="0" fontId="4" fillId="21" borderId="4" xfId="0" applyFont="1" applyFill="1" applyBorder="1" applyAlignment="1">
      <alignment vertical="center"/>
    </xf>
    <xf numFmtId="0" fontId="4" fillId="20" borderId="4" xfId="0" applyFont="1" applyFill="1" applyBorder="1" applyAlignment="1">
      <alignment vertical="center"/>
    </xf>
    <xf numFmtId="0" fontId="2" fillId="5" borderId="4" xfId="0" applyFont="1" applyFill="1" applyBorder="1" applyAlignment="1">
      <alignment horizontal="left" vertical="center" wrapText="1"/>
    </xf>
    <xf numFmtId="0" fontId="2" fillId="2" borderId="7" xfId="0" applyFont="1" applyFill="1" applyBorder="1" applyAlignment="1">
      <alignment horizontal="left" vertical="center" wrapText="1"/>
    </xf>
    <xf numFmtId="0" fontId="4" fillId="12" borderId="4" xfId="0" applyFont="1" applyFill="1" applyBorder="1" applyAlignment="1">
      <alignment horizontal="center" vertical="center"/>
    </xf>
    <xf numFmtId="0" fontId="2" fillId="17" borderId="4" xfId="0" applyFont="1" applyFill="1" applyBorder="1" applyAlignment="1">
      <alignment horizontal="right" vertical="center"/>
    </xf>
    <xf numFmtId="0" fontId="4" fillId="2" borderId="4" xfId="0" applyFont="1" applyFill="1" applyBorder="1" applyAlignment="1">
      <alignment horizontal="left" vertical="center"/>
    </xf>
    <xf numFmtId="0" fontId="2" fillId="23" borderId="4" xfId="0" applyFont="1" applyFill="1" applyBorder="1" applyAlignment="1">
      <alignment horizontal="left" vertical="center"/>
    </xf>
    <xf numFmtId="0" fontId="0" fillId="0" borderId="0" xfId="0" applyAlignment="1">
      <alignment horizontal="left"/>
    </xf>
    <xf numFmtId="0" fontId="3" fillId="2" borderId="8" xfId="0" applyFont="1" applyFill="1" applyBorder="1" applyAlignment="1">
      <alignment horizontal="left" vertical="center" wrapText="1"/>
    </xf>
    <xf numFmtId="0" fontId="6" fillId="5" borderId="4" xfId="0" applyFont="1" applyFill="1" applyBorder="1" applyAlignment="1">
      <alignment horizontal="left" vertical="center"/>
    </xf>
    <xf numFmtId="0" fontId="4" fillId="2" borderId="1" xfId="0" applyFont="1" applyFill="1" applyBorder="1" applyAlignment="1">
      <alignment horizontal="left" vertical="center"/>
    </xf>
    <xf numFmtId="0" fontId="12" fillId="0" borderId="0" xfId="0" applyFont="1" applyAlignment="1">
      <alignment horizontal="left" vertical="center"/>
    </xf>
    <xf numFmtId="0" fontId="0" fillId="0" borderId="0" xfId="0" applyAlignment="1">
      <alignment horizontal="left" vertical="center"/>
    </xf>
    <xf numFmtId="0" fontId="2" fillId="16" borderId="4" xfId="0" applyFont="1" applyFill="1" applyBorder="1" applyAlignment="1">
      <alignment vertical="center"/>
    </xf>
    <xf numFmtId="0" fontId="4" fillId="24" borderId="4" xfId="0" applyFont="1" applyFill="1" applyBorder="1" applyAlignment="1">
      <alignment horizontal="left" vertical="center"/>
    </xf>
    <xf numFmtId="0" fontId="11" fillId="0" borderId="0" xfId="0" applyFont="1" applyAlignment="1">
      <alignment horizontal="left"/>
    </xf>
    <xf numFmtId="0" fontId="6" fillId="16" borderId="4" xfId="0" applyFont="1" applyFill="1" applyBorder="1" applyAlignment="1">
      <alignment horizontal="left" vertical="center"/>
    </xf>
    <xf numFmtId="0" fontId="2" fillId="5" borderId="4" xfId="0" applyFont="1" applyFill="1" applyBorder="1" applyAlignment="1">
      <alignment vertical="center"/>
    </xf>
    <xf numFmtId="0" fontId="2" fillId="16" borderId="4" xfId="0" applyFont="1" applyFill="1" applyBorder="1" applyAlignment="1">
      <alignment horizontal="center" vertical="center"/>
    </xf>
    <xf numFmtId="0" fontId="2" fillId="0" borderId="0" xfId="0" applyFont="1" applyAlignment="1">
      <alignment vertical="center"/>
    </xf>
    <xf numFmtId="0" fontId="0" fillId="0" borderId="0" xfId="0" applyAlignment="1">
      <alignment vertical="center"/>
    </xf>
  </cellXfs>
  <cellStyles count="1">
    <cellStyle name="Normal" xfId="0" builtinId="0"/>
  </cellStyles>
  <dxfs count="16">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
      <font>
        <b val="0"/>
        <i/>
        <strike val="0"/>
        <color rgb="FFFFFFFF"/>
      </font>
    </dxf>
    <dxf>
      <font>
        <color rgb="FF9C0006"/>
      </font>
      <fill>
        <patternFill>
          <bgColor rgb="FFFFC7CE"/>
        </patternFill>
      </fill>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b val="0"/>
        <i/>
        <strike val="0"/>
        <color theme="0" tint="-0.499984740745262"/>
      </font>
    </dxf>
    <dxf>
      <font>
        <color rgb="FF9C0006"/>
      </font>
      <fill>
        <patternFill>
          <bgColor rgb="FFFFC7CE"/>
        </patternFill>
      </fill>
    </dxf>
    <dxf>
      <font>
        <b val="0"/>
        <i/>
        <strike val="0"/>
        <color theme="0" tint="-0.499984740745262"/>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747474"/>
      <rgbColor rgb="FF9999FF"/>
      <rgbColor rgb="FF993366"/>
      <rgbColor rgb="FFFFCCCC"/>
      <rgbColor rgb="FFDCEAF7"/>
      <rgbColor rgb="FF660066"/>
      <rgbColor rgb="FFF2AA84"/>
      <rgbColor rgb="FF0066CC"/>
      <rgbColor rgb="FFD1D1D1"/>
      <rgbColor rgb="FF000080"/>
      <rgbColor rgb="FFFF00FF"/>
      <rgbColor rgb="FFFFFF00"/>
      <rgbColor rgb="FF00FFFF"/>
      <rgbColor rgb="FF800080"/>
      <rgbColor rgb="FF800000"/>
      <rgbColor rgb="FF008080"/>
      <rgbColor rgb="FF0000FF"/>
      <rgbColor rgb="FF00CCFF"/>
      <rgbColor rgb="FFB4E5A2"/>
      <rgbColor rgb="FFD9F2D0"/>
      <rgbColor rgb="FFF6E896"/>
      <rgbColor rgb="FFA6CAEC"/>
      <rgbColor rgb="FFE59EDD"/>
      <rgbColor rgb="FFFFC7CE"/>
      <rgbColor rgb="FFF6C6AD"/>
      <rgbColor rgb="FF3366FF"/>
      <rgbColor rgb="FF46B1E1"/>
      <rgbColor rgb="FF8ED973"/>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BE79D"/>
      <color rgb="FFFDF2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4" displayName="Tabla4" ref="A1:U2" totalsRowShown="0">
  <tableColumns count="21">
    <tableColumn id="1" xr3:uid="{00000000-0010-0000-0000-000001000000}" name="1"/>
    <tableColumn id="2" xr3:uid="{00000000-0010-0000-0000-000002000000}" name="Disjunta 1"/>
    <tableColumn id="3" xr3:uid="{00000000-0010-0000-0000-000003000000}" name="Disjunta 2"/>
    <tableColumn id="4" xr3:uid="{00000000-0010-0000-0000-000004000000}" name="Disjunta 3"/>
    <tableColumn id="5" xr3:uid="{00000000-0010-0000-0000-000005000000}" name="Disjunta 4"/>
    <tableColumn id="6" xr3:uid="{00000000-0010-0000-0000-000006000000}" name="Disjunta 5"/>
    <tableColumn id="7" xr3:uid="{00000000-0010-0000-0000-000007000000}" name="Disjunta 6"/>
    <tableColumn id="8" xr3:uid="{00000000-0010-0000-0000-000008000000}" name="Disjunta 7"/>
    <tableColumn id="9" xr3:uid="{00000000-0010-0000-0000-000009000000}" name="Disjunta 8"/>
    <tableColumn id="10" xr3:uid="{00000000-0010-0000-0000-00000A000000}" name="Disjunta 9"/>
    <tableColumn id="11" xr3:uid="{00000000-0010-0000-0000-00000B000000}" name="Disjunta 10"/>
    <tableColumn id="12" xr3:uid="{00000000-0010-0000-0000-00000C000000}" name="Disjunta 11"/>
    <tableColumn id="13" xr3:uid="{00000000-0010-0000-0000-00000D000000}" name="Disjunta 12"/>
    <tableColumn id="14" xr3:uid="{00000000-0010-0000-0000-00000E000000}" name="Disjunta 13"/>
    <tableColumn id="15" xr3:uid="{00000000-0010-0000-0000-00000F000000}" name="Disjunta 14"/>
    <tableColumn id="16" xr3:uid="{00000000-0010-0000-0000-000010000000}" name="Disjunta 15"/>
    <tableColumn id="17" xr3:uid="{00000000-0010-0000-0000-000011000000}" name="Disjunta 16"/>
    <tableColumn id="18" xr3:uid="{00000000-0010-0000-0000-000012000000}" name="Disjunta 17"/>
    <tableColumn id="19" xr3:uid="{00000000-0010-0000-0000-000013000000}" name="Disjunta 18"/>
    <tableColumn id="20" xr3:uid="{00000000-0010-0000-0000-000014000000}" name="Disjunta 19"/>
    <tableColumn id="21" xr3:uid="{00000000-0010-0000-0000-000015000000}" name="Disjunta 20"/>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84A63-55AB-497E-9EBD-4681BB9AFAFF}">
  <sheetPr codeName="Planilha1"/>
  <dimension ref="A1:C24"/>
  <sheetViews>
    <sheetView zoomScale="175" zoomScaleNormal="175" workbookViewId="0">
      <pane ySplit="1" topLeftCell="A2" activePane="bottomLeft" state="frozen"/>
      <selection pane="bottomLeft" activeCell="B4" sqref="B4"/>
    </sheetView>
  </sheetViews>
  <sheetFormatPr defaultColWidth="9.15234375" defaultRowHeight="9.75" customHeight="1" x14ac:dyDescent="0.4"/>
  <cols>
    <col min="1" max="1" width="8.69140625" customWidth="1"/>
    <col min="2" max="2" width="47.15234375" customWidth="1"/>
    <col min="3" max="3" width="3.3828125" style="43" bestFit="1" customWidth="1"/>
  </cols>
  <sheetData>
    <row r="1" spans="1:3" ht="20.25" customHeight="1" x14ac:dyDescent="0.4">
      <c r="A1" s="11" t="s">
        <v>44</v>
      </c>
      <c r="B1" s="11" t="s">
        <v>45</v>
      </c>
      <c r="C1" s="41" t="s">
        <v>86</v>
      </c>
    </row>
    <row r="2" spans="1:3" ht="9" customHeight="1" x14ac:dyDescent="0.4">
      <c r="A2" s="12" t="s">
        <v>46</v>
      </c>
      <c r="B2" s="12" t="s">
        <v>47</v>
      </c>
      <c r="C2" s="42" t="s">
        <v>87</v>
      </c>
    </row>
    <row r="3" spans="1:3" ht="9" customHeight="1" x14ac:dyDescent="0.4">
      <c r="A3" s="12" t="s">
        <v>48</v>
      </c>
      <c r="B3" s="12" t="s">
        <v>143</v>
      </c>
      <c r="C3" s="42" t="s">
        <v>87</v>
      </c>
    </row>
    <row r="4" spans="1:3" ht="9" customHeight="1" x14ac:dyDescent="0.4">
      <c r="A4" s="13" t="s">
        <v>49</v>
      </c>
      <c r="B4" s="13" t="s">
        <v>32</v>
      </c>
      <c r="C4" s="42" t="s">
        <v>87</v>
      </c>
    </row>
    <row r="5" spans="1:3" ht="9" customHeight="1" x14ac:dyDescent="0.4">
      <c r="A5" s="13" t="s">
        <v>50</v>
      </c>
      <c r="B5" s="13" t="str">
        <f>_xlfn.CONCAT(B4,"Prop")</f>
        <v>BIMProp</v>
      </c>
      <c r="C5" s="42" t="s">
        <v>87</v>
      </c>
    </row>
    <row r="6" spans="1:3" ht="9" customHeight="1" x14ac:dyDescent="0.4">
      <c r="A6" s="13" t="s">
        <v>51</v>
      </c>
      <c r="B6" s="13" t="str">
        <f>_xlfn.CONCAT(B4,"Data")</f>
        <v>BIMData</v>
      </c>
      <c r="C6" s="42" t="s">
        <v>87</v>
      </c>
    </row>
    <row r="7" spans="1:3" ht="9" customHeight="1" x14ac:dyDescent="0.4">
      <c r="A7" s="13" t="s">
        <v>52</v>
      </c>
      <c r="B7" s="14" t="s">
        <v>53</v>
      </c>
      <c r="C7" s="42" t="s">
        <v>87</v>
      </c>
    </row>
    <row r="8" spans="1:3" s="40" customFormat="1" ht="9" customHeight="1" x14ac:dyDescent="0.4">
      <c r="A8" s="39" t="s">
        <v>54</v>
      </c>
      <c r="B8" s="39" t="s">
        <v>84</v>
      </c>
      <c r="C8" s="42" t="s">
        <v>87</v>
      </c>
    </row>
    <row r="9" spans="1:3" ht="9" customHeight="1" x14ac:dyDescent="0.4">
      <c r="A9" s="13" t="s">
        <v>55</v>
      </c>
      <c r="B9" s="13" t="s">
        <v>56</v>
      </c>
      <c r="C9" s="42" t="s">
        <v>87</v>
      </c>
    </row>
    <row r="10" spans="1:3" ht="9" customHeight="1" x14ac:dyDescent="0.4">
      <c r="A10" s="13" t="s">
        <v>57</v>
      </c>
      <c r="B10" s="13" t="s">
        <v>58</v>
      </c>
      <c r="C10" s="42" t="s">
        <v>87</v>
      </c>
    </row>
    <row r="11" spans="1:3" ht="9" customHeight="1" x14ac:dyDescent="0.4">
      <c r="A11" s="13" t="s">
        <v>59</v>
      </c>
      <c r="B11" s="13" t="s">
        <v>58</v>
      </c>
      <c r="C11" s="42" t="s">
        <v>87</v>
      </c>
    </row>
    <row r="12" spans="1:3" ht="9" customHeight="1" x14ac:dyDescent="0.4">
      <c r="A12" s="13" t="s">
        <v>60</v>
      </c>
      <c r="B12" s="13" t="s">
        <v>58</v>
      </c>
      <c r="C12" s="42" t="s">
        <v>87</v>
      </c>
    </row>
    <row r="13" spans="1:3" ht="9" customHeight="1" x14ac:dyDescent="0.4">
      <c r="A13" s="13" t="s">
        <v>61</v>
      </c>
      <c r="B13" s="13" t="s">
        <v>58</v>
      </c>
      <c r="C13" s="42" t="s">
        <v>87</v>
      </c>
    </row>
    <row r="14" spans="1:3" ht="9" customHeight="1" x14ac:dyDescent="0.4">
      <c r="A14" s="13" t="s">
        <v>62</v>
      </c>
      <c r="B14" s="13" t="s">
        <v>58</v>
      </c>
      <c r="C14" s="42" t="s">
        <v>87</v>
      </c>
    </row>
    <row r="15" spans="1:3" ht="9" customHeight="1" x14ac:dyDescent="0.4">
      <c r="A15" s="13" t="s">
        <v>63</v>
      </c>
      <c r="B15" s="13" t="s">
        <v>58</v>
      </c>
      <c r="C15" s="42" t="s">
        <v>87</v>
      </c>
    </row>
    <row r="16" spans="1:3" ht="9" customHeight="1" x14ac:dyDescent="0.4">
      <c r="A16" s="13" t="s">
        <v>64</v>
      </c>
      <c r="B16" s="13" t="s">
        <v>58</v>
      </c>
      <c r="C16" s="42" t="s">
        <v>87</v>
      </c>
    </row>
    <row r="17" spans="1:3" ht="9" customHeight="1" x14ac:dyDescent="0.4">
      <c r="A17" s="13" t="s">
        <v>65</v>
      </c>
      <c r="B17" s="13" t="s">
        <v>140</v>
      </c>
      <c r="C17" s="42" t="s">
        <v>87</v>
      </c>
    </row>
    <row r="18" spans="1:3" ht="9" customHeight="1" x14ac:dyDescent="0.4">
      <c r="A18" s="13" t="s">
        <v>66</v>
      </c>
      <c r="B18" s="15">
        <f ca="1">NOW()</f>
        <v>46271.539365972225</v>
      </c>
      <c r="C18" s="42" t="s">
        <v>87</v>
      </c>
    </row>
    <row r="19" spans="1:3" ht="9" customHeight="1" x14ac:dyDescent="0.4">
      <c r="A19" s="13" t="s">
        <v>67</v>
      </c>
      <c r="B19" s="15" t="s">
        <v>68</v>
      </c>
      <c r="C19" s="42" t="s">
        <v>87</v>
      </c>
    </row>
    <row r="20" spans="1:3" ht="9" customHeight="1" x14ac:dyDescent="0.4">
      <c r="A20" s="13" t="s">
        <v>69</v>
      </c>
      <c r="B20" s="13" t="s">
        <v>58</v>
      </c>
      <c r="C20" s="42" t="s">
        <v>87</v>
      </c>
    </row>
    <row r="21" spans="1:3" ht="9" customHeight="1" x14ac:dyDescent="0.4">
      <c r="A21" s="13" t="s">
        <v>70</v>
      </c>
      <c r="B21" s="13" t="s">
        <v>58</v>
      </c>
      <c r="C21" s="42" t="s">
        <v>87</v>
      </c>
    </row>
    <row r="22" spans="1:3" ht="9" customHeight="1" x14ac:dyDescent="0.4">
      <c r="A22" s="13" t="s">
        <v>71</v>
      </c>
      <c r="B22" s="16" t="s">
        <v>141</v>
      </c>
      <c r="C22" s="42" t="s">
        <v>87</v>
      </c>
    </row>
    <row r="23" spans="1:3" ht="9" customHeight="1" x14ac:dyDescent="0.4">
      <c r="A23" s="13" t="s">
        <v>72</v>
      </c>
      <c r="B23" s="16" t="s">
        <v>142</v>
      </c>
      <c r="C23" s="42" t="s">
        <v>88</v>
      </c>
    </row>
    <row r="24" spans="1:3" s="40" customFormat="1" ht="9" customHeight="1" x14ac:dyDescent="0.4">
      <c r="A24" s="13" t="s">
        <v>85</v>
      </c>
      <c r="B24" s="16" t="str">
        <f>_xlfn.TRANSLATE(B22,"pt","en")</f>
        <v>Formalize elements of the BIM project. Specific objects of Mechanical Driving Systems</v>
      </c>
      <c r="C24" s="42" t="s">
        <v>89</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2D63-9637-42D9-866B-0BB924A50D8C}">
  <sheetPr codeName="Planilha2"/>
  <dimension ref="A1:AD86"/>
  <sheetViews>
    <sheetView tabSelected="1" topLeftCell="R1" zoomScale="220" zoomScaleNormal="220" workbookViewId="0">
      <pane ySplit="1" topLeftCell="A71" activePane="bottomLeft" state="frozen"/>
      <selection activeCell="A179" sqref="A179:XFD190"/>
      <selection pane="bottomLeft" activeCell="B59" sqref="B59"/>
    </sheetView>
  </sheetViews>
  <sheetFormatPr defaultColWidth="9.15234375" defaultRowHeight="6.65" customHeight="1" x14ac:dyDescent="0.4"/>
  <cols>
    <col min="1" max="1" width="3.15234375" bestFit="1" customWidth="1"/>
    <col min="2" max="2" width="6.3046875" style="60" bestFit="1" customWidth="1"/>
    <col min="3" max="3" width="9.53515625" style="60" bestFit="1" customWidth="1"/>
    <col min="4" max="4" width="11.3046875" style="60" bestFit="1" customWidth="1"/>
    <col min="5" max="5" width="11.84375" style="60" bestFit="1" customWidth="1"/>
    <col min="6" max="6" width="12.53515625" style="64" bestFit="1" customWidth="1"/>
    <col min="7" max="11" width="10.15234375" style="60" bestFit="1" customWidth="1"/>
    <col min="12" max="12" width="9.53515625" style="60" bestFit="1" customWidth="1"/>
    <col min="13" max="13" width="11.3046875" style="60" bestFit="1" customWidth="1"/>
    <col min="14" max="14" width="11.84375" style="60" bestFit="1" customWidth="1"/>
    <col min="15" max="15" width="17.69140625" style="60" bestFit="1" customWidth="1"/>
    <col min="16" max="16" width="46" style="60" bestFit="1" customWidth="1"/>
    <col min="17" max="17" width="44.84375" style="60" bestFit="1" customWidth="1"/>
    <col min="18" max="18" width="41.15234375" style="60" bestFit="1" customWidth="1"/>
    <col min="19" max="19" width="3.69140625" style="60" bestFit="1" customWidth="1"/>
    <col min="20" max="20" width="9.53515625" style="60" bestFit="1" customWidth="1"/>
    <col min="21" max="21" width="11.3046875" style="60" bestFit="1" customWidth="1"/>
    <col min="22" max="22" width="11.84375" style="60" bestFit="1" customWidth="1"/>
    <col min="23" max="23" width="9.53515625" style="60" bestFit="1" customWidth="1"/>
    <col min="24" max="24" width="8.15234375" style="60" bestFit="1" customWidth="1"/>
    <col min="25" max="25" width="157.15234375" style="60" bestFit="1" customWidth="1"/>
    <col min="26" max="26" width="6.84375" style="60" bestFit="1" customWidth="1"/>
    <col min="27" max="27" width="18.3046875" style="65" customWidth="1"/>
    <col min="28" max="28" width="6" style="60" bestFit="1" customWidth="1"/>
    <col min="29" max="29" width="10.3828125" style="60" bestFit="1" customWidth="1"/>
    <col min="30" max="16384" width="9.15234375" style="60"/>
  </cols>
  <sheetData>
    <row r="1" spans="1:30" ht="35.700000000000003" customHeight="1" x14ac:dyDescent="0.4">
      <c r="A1" s="45" t="s">
        <v>90</v>
      </c>
      <c r="B1" s="46" t="s">
        <v>42</v>
      </c>
      <c r="C1" s="46" t="s">
        <v>40</v>
      </c>
      <c r="D1" s="46" t="s">
        <v>41</v>
      </c>
      <c r="E1" s="46" t="s">
        <v>39</v>
      </c>
      <c r="F1" s="55" t="s">
        <v>36</v>
      </c>
      <c r="G1" s="47" t="s">
        <v>0</v>
      </c>
      <c r="H1" s="47" t="s">
        <v>1</v>
      </c>
      <c r="I1" s="47" t="s">
        <v>2</v>
      </c>
      <c r="J1" s="47" t="s">
        <v>3</v>
      </c>
      <c r="K1" s="47" t="s">
        <v>4</v>
      </c>
      <c r="L1" s="37" t="s">
        <v>91</v>
      </c>
      <c r="M1" s="37" t="s">
        <v>5</v>
      </c>
      <c r="N1" s="37" t="s">
        <v>6</v>
      </c>
      <c r="O1" s="37" t="s">
        <v>7</v>
      </c>
      <c r="P1" s="37" t="s">
        <v>37</v>
      </c>
      <c r="Q1" s="37" t="s">
        <v>43</v>
      </c>
      <c r="R1" s="38" t="s">
        <v>83</v>
      </c>
      <c r="S1" s="37" t="s">
        <v>92</v>
      </c>
      <c r="T1" s="37" t="s">
        <v>33</v>
      </c>
      <c r="U1" s="37" t="s">
        <v>38</v>
      </c>
      <c r="V1" s="48" t="s">
        <v>35</v>
      </c>
      <c r="W1" s="37" t="s">
        <v>34</v>
      </c>
      <c r="X1" s="61" t="s">
        <v>8</v>
      </c>
      <c r="Y1" s="37" t="s">
        <v>214</v>
      </c>
      <c r="Z1" s="37" t="s">
        <v>213</v>
      </c>
      <c r="AA1" s="37" t="s">
        <v>211</v>
      </c>
      <c r="AB1" s="37" t="s">
        <v>212</v>
      </c>
      <c r="AC1" s="37" t="s">
        <v>82</v>
      </c>
      <c r="AD1" s="37" t="s">
        <v>239</v>
      </c>
    </row>
    <row r="2" spans="1:30" s="65" customFormat="1" ht="6" customHeight="1" x14ac:dyDescent="0.4">
      <c r="A2" s="57">
        <v>2</v>
      </c>
      <c r="B2" s="1" t="s">
        <v>170</v>
      </c>
      <c r="C2" s="1" t="s">
        <v>240</v>
      </c>
      <c r="D2" s="1" t="s">
        <v>246</v>
      </c>
      <c r="E2" s="1" t="s">
        <v>247</v>
      </c>
      <c r="F2" s="70" t="s">
        <v>248</v>
      </c>
      <c r="G2" s="7" t="s">
        <v>9</v>
      </c>
      <c r="H2" s="7" t="s">
        <v>9</v>
      </c>
      <c r="I2" s="7" t="s">
        <v>9</v>
      </c>
      <c r="J2" s="7" t="s">
        <v>9</v>
      </c>
      <c r="K2" s="7" t="s">
        <v>9</v>
      </c>
      <c r="L2" s="34" t="str">
        <f t="shared" ref="L2:M6" si="0">CONCATENATE("", C2)</f>
        <v>De.Materialidade</v>
      </c>
      <c r="M2" s="34" t="str">
        <f t="shared" si="0"/>
        <v>Material.Construtivo</v>
      </c>
      <c r="N2" s="34" t="str">
        <f t="shared" ref="N2:O6" si="1">(SUBSTITUTE(SUBSTITUTE(CONCATENATE("",E2),"."," ")," De "," de "))</f>
        <v>Argamassas</v>
      </c>
      <c r="O2" s="34" t="str">
        <f t="shared" si="1"/>
        <v>Argamassa Baritada</v>
      </c>
      <c r="P2" s="66" t="s">
        <v>249</v>
      </c>
      <c r="Q2" s="69" t="s">
        <v>250</v>
      </c>
      <c r="R2" s="69" t="s">
        <v>251</v>
      </c>
      <c r="S2" s="71" t="s">
        <v>9</v>
      </c>
      <c r="T2" s="66" t="str">
        <f t="shared" ref="T2:V17" si="2">SUBSTITUTE(C2, ".", " ")</f>
        <v>De Materialidade</v>
      </c>
      <c r="U2" s="66" t="str">
        <f t="shared" si="2"/>
        <v>Material Construtivo</v>
      </c>
      <c r="V2" s="66" t="str">
        <f t="shared" si="2"/>
        <v>Argamassas</v>
      </c>
      <c r="W2" s="30" t="s">
        <v>106</v>
      </c>
      <c r="X2" s="59" t="str">
        <f t="shared" ref="X2:X62" si="3">CONCATENATE("Key-FMOT-",A2)</f>
        <v>Key-FMOT-2</v>
      </c>
      <c r="Y2" s="30" t="s">
        <v>252</v>
      </c>
      <c r="Z2" s="66" t="s">
        <v>9</v>
      </c>
      <c r="AA2" s="66" t="s">
        <v>253</v>
      </c>
      <c r="AB2" s="66" t="s">
        <v>9</v>
      </c>
      <c r="AC2" s="66" t="s">
        <v>254</v>
      </c>
      <c r="AD2" s="66" t="s">
        <v>9</v>
      </c>
    </row>
    <row r="3" spans="1:30" s="65" customFormat="1" ht="6" customHeight="1" x14ac:dyDescent="0.4">
      <c r="A3" s="57">
        <v>3</v>
      </c>
      <c r="B3" s="1" t="s">
        <v>170</v>
      </c>
      <c r="C3" s="1" t="s">
        <v>240</v>
      </c>
      <c r="D3" s="1" t="s">
        <v>246</v>
      </c>
      <c r="E3" s="1" t="s">
        <v>247</v>
      </c>
      <c r="F3" s="54" t="s">
        <v>255</v>
      </c>
      <c r="G3" s="7" t="s">
        <v>9</v>
      </c>
      <c r="H3" s="7" t="s">
        <v>9</v>
      </c>
      <c r="I3" s="7" t="s">
        <v>9</v>
      </c>
      <c r="J3" s="7" t="s">
        <v>9</v>
      </c>
      <c r="K3" s="7" t="s">
        <v>9</v>
      </c>
      <c r="L3" s="34" t="str">
        <f t="shared" si="0"/>
        <v>De.Materialidade</v>
      </c>
      <c r="M3" s="34" t="str">
        <f t="shared" si="0"/>
        <v>Material.Construtivo</v>
      </c>
      <c r="N3" s="34" t="str">
        <f t="shared" si="1"/>
        <v>Argamassas</v>
      </c>
      <c r="O3" s="34" t="str">
        <f t="shared" si="1"/>
        <v>Argamassa Colante</v>
      </c>
      <c r="P3" s="29" t="s">
        <v>256</v>
      </c>
      <c r="Q3" s="69" t="s">
        <v>257</v>
      </c>
      <c r="R3" s="69" t="s">
        <v>258</v>
      </c>
      <c r="S3" s="71" t="s">
        <v>9</v>
      </c>
      <c r="T3" s="66" t="str">
        <f t="shared" si="2"/>
        <v>De Materialidade</v>
      </c>
      <c r="U3" s="66" t="str">
        <f t="shared" si="2"/>
        <v>Material Construtivo</v>
      </c>
      <c r="V3" s="66" t="str">
        <f t="shared" si="2"/>
        <v>Argamassas</v>
      </c>
      <c r="W3" s="30" t="s">
        <v>106</v>
      </c>
      <c r="X3" s="59" t="str">
        <f t="shared" si="3"/>
        <v>Key-FMOT-3</v>
      </c>
      <c r="Y3" s="30" t="s">
        <v>252</v>
      </c>
      <c r="Z3" s="66" t="s">
        <v>9</v>
      </c>
      <c r="AA3" s="66" t="s">
        <v>259</v>
      </c>
      <c r="AB3" s="66" t="s">
        <v>9</v>
      </c>
      <c r="AC3" s="66" t="s">
        <v>254</v>
      </c>
      <c r="AD3" s="66" t="s">
        <v>9</v>
      </c>
    </row>
    <row r="4" spans="1:30" s="65" customFormat="1" ht="6" customHeight="1" x14ac:dyDescent="0.4">
      <c r="A4" s="57">
        <v>4</v>
      </c>
      <c r="B4" s="1" t="s">
        <v>170</v>
      </c>
      <c r="C4" s="1" t="s">
        <v>240</v>
      </c>
      <c r="D4" s="1" t="s">
        <v>246</v>
      </c>
      <c r="E4" s="1" t="s">
        <v>247</v>
      </c>
      <c r="F4" s="70" t="s">
        <v>260</v>
      </c>
      <c r="G4" s="7" t="s">
        <v>9</v>
      </c>
      <c r="H4" s="7" t="s">
        <v>9</v>
      </c>
      <c r="I4" s="7" t="s">
        <v>9</v>
      </c>
      <c r="J4" s="7" t="s">
        <v>9</v>
      </c>
      <c r="K4" s="7" t="s">
        <v>9</v>
      </c>
      <c r="L4" s="34" t="str">
        <f t="shared" si="0"/>
        <v>De.Materialidade</v>
      </c>
      <c r="M4" s="34" t="str">
        <f t="shared" si="0"/>
        <v>Material.Construtivo</v>
      </c>
      <c r="N4" s="34" t="str">
        <f t="shared" si="1"/>
        <v>Argamassas</v>
      </c>
      <c r="O4" s="34" t="str">
        <f t="shared" si="1"/>
        <v>Argamassa Isolante</v>
      </c>
      <c r="P4" s="66" t="s">
        <v>261</v>
      </c>
      <c r="Q4" s="69" t="s">
        <v>262</v>
      </c>
      <c r="R4" s="69" t="s">
        <v>263</v>
      </c>
      <c r="S4" s="71" t="s">
        <v>9</v>
      </c>
      <c r="T4" s="66" t="str">
        <f t="shared" si="2"/>
        <v>De Materialidade</v>
      </c>
      <c r="U4" s="66" t="str">
        <f t="shared" si="2"/>
        <v>Material Construtivo</v>
      </c>
      <c r="V4" s="66" t="str">
        <f t="shared" si="2"/>
        <v>Argamassas</v>
      </c>
      <c r="W4" s="30" t="s">
        <v>106</v>
      </c>
      <c r="X4" s="59" t="str">
        <f t="shared" si="3"/>
        <v>Key-FMOT-4</v>
      </c>
      <c r="Y4" s="30" t="s">
        <v>252</v>
      </c>
      <c r="Z4" s="66" t="s">
        <v>9</v>
      </c>
      <c r="AA4" s="66" t="s">
        <v>253</v>
      </c>
      <c r="AB4" s="66" t="s">
        <v>9</v>
      </c>
      <c r="AC4" s="66" t="s">
        <v>254</v>
      </c>
      <c r="AD4" s="66" t="s">
        <v>9</v>
      </c>
    </row>
    <row r="5" spans="1:30" s="65" customFormat="1" ht="6" customHeight="1" x14ac:dyDescent="0.4">
      <c r="A5" s="57">
        <v>5</v>
      </c>
      <c r="B5" s="1" t="s">
        <v>170</v>
      </c>
      <c r="C5" s="1" t="s">
        <v>240</v>
      </c>
      <c r="D5" s="1" t="s">
        <v>246</v>
      </c>
      <c r="E5" s="1" t="s">
        <v>247</v>
      </c>
      <c r="F5" s="1" t="s">
        <v>264</v>
      </c>
      <c r="G5" s="7" t="s">
        <v>9</v>
      </c>
      <c r="H5" s="7" t="s">
        <v>9</v>
      </c>
      <c r="I5" s="7" t="s">
        <v>9</v>
      </c>
      <c r="J5" s="7" t="s">
        <v>9</v>
      </c>
      <c r="K5" s="7" t="s">
        <v>9</v>
      </c>
      <c r="L5" s="34" t="str">
        <f t="shared" si="0"/>
        <v>De.Materialidade</v>
      </c>
      <c r="M5" s="34" t="str">
        <f t="shared" si="0"/>
        <v>Material.Construtivo</v>
      </c>
      <c r="N5" s="34" t="str">
        <f t="shared" si="1"/>
        <v>Argamassas</v>
      </c>
      <c r="O5" s="34" t="str">
        <f t="shared" si="1"/>
        <v>Argamassa Lastro</v>
      </c>
      <c r="P5" s="30" t="s">
        <v>265</v>
      </c>
      <c r="Q5" s="69" t="s">
        <v>266</v>
      </c>
      <c r="R5" s="69" t="s">
        <v>267</v>
      </c>
      <c r="S5" s="71" t="s">
        <v>9</v>
      </c>
      <c r="T5" s="66" t="str">
        <f t="shared" si="2"/>
        <v>De Materialidade</v>
      </c>
      <c r="U5" s="66" t="str">
        <f t="shared" si="2"/>
        <v>Material Construtivo</v>
      </c>
      <c r="V5" s="66" t="str">
        <f t="shared" si="2"/>
        <v>Argamassas</v>
      </c>
      <c r="W5" s="30" t="s">
        <v>106</v>
      </c>
      <c r="X5" s="59" t="str">
        <f t="shared" si="3"/>
        <v>Key-FMOT-5</v>
      </c>
      <c r="Y5" s="30" t="s">
        <v>252</v>
      </c>
      <c r="Z5" s="66" t="s">
        <v>9</v>
      </c>
      <c r="AA5" s="66" t="s">
        <v>259</v>
      </c>
      <c r="AB5" s="66" t="s">
        <v>9</v>
      </c>
      <c r="AC5" s="66" t="s">
        <v>268</v>
      </c>
      <c r="AD5" s="66" t="s">
        <v>9</v>
      </c>
    </row>
    <row r="6" spans="1:30" s="65" customFormat="1" ht="6" customHeight="1" x14ac:dyDescent="0.4">
      <c r="A6" s="57">
        <v>6</v>
      </c>
      <c r="B6" s="1" t="s">
        <v>170</v>
      </c>
      <c r="C6" s="1" t="s">
        <v>240</v>
      </c>
      <c r="D6" s="1" t="s">
        <v>246</v>
      </c>
      <c r="E6" s="1" t="s">
        <v>247</v>
      </c>
      <c r="F6" s="70" t="s">
        <v>269</v>
      </c>
      <c r="G6" s="7" t="s">
        <v>9</v>
      </c>
      <c r="H6" s="7" t="s">
        <v>9</v>
      </c>
      <c r="I6" s="7" t="s">
        <v>9</v>
      </c>
      <c r="J6" s="7" t="s">
        <v>9</v>
      </c>
      <c r="K6" s="7" t="s">
        <v>9</v>
      </c>
      <c r="L6" s="34" t="str">
        <f t="shared" si="0"/>
        <v>De.Materialidade</v>
      </c>
      <c r="M6" s="34" t="str">
        <f t="shared" si="0"/>
        <v>Material.Construtivo</v>
      </c>
      <c r="N6" s="34" t="str">
        <f t="shared" si="1"/>
        <v>Argamassas</v>
      </c>
      <c r="O6" s="34" t="str">
        <f t="shared" si="1"/>
        <v>Argamassa Regular</v>
      </c>
      <c r="P6" s="66" t="s">
        <v>270</v>
      </c>
      <c r="Q6" s="69" t="s">
        <v>271</v>
      </c>
      <c r="R6" s="69" t="s">
        <v>272</v>
      </c>
      <c r="S6" s="71" t="s">
        <v>9</v>
      </c>
      <c r="T6" s="66" t="str">
        <f t="shared" si="2"/>
        <v>De Materialidade</v>
      </c>
      <c r="U6" s="66" t="str">
        <f t="shared" si="2"/>
        <v>Material Construtivo</v>
      </c>
      <c r="V6" s="66" t="str">
        <f t="shared" si="2"/>
        <v>Argamassas</v>
      </c>
      <c r="W6" s="30" t="s">
        <v>106</v>
      </c>
      <c r="X6" s="59" t="str">
        <f t="shared" si="3"/>
        <v>Key-FMOT-6</v>
      </c>
      <c r="Y6" s="30" t="s">
        <v>252</v>
      </c>
      <c r="Z6" s="66" t="s">
        <v>9</v>
      </c>
      <c r="AA6" s="66" t="s">
        <v>253</v>
      </c>
      <c r="AB6" s="66" t="s">
        <v>9</v>
      </c>
      <c r="AC6" s="66" t="s">
        <v>254</v>
      </c>
      <c r="AD6" s="66" t="s">
        <v>9</v>
      </c>
    </row>
    <row r="7" spans="1:30" s="65" customFormat="1" ht="6" customHeight="1" x14ac:dyDescent="0.4">
      <c r="A7" s="57">
        <v>7</v>
      </c>
      <c r="B7" s="1" t="s">
        <v>170</v>
      </c>
      <c r="C7" s="1" t="s">
        <v>240</v>
      </c>
      <c r="D7" s="1" t="s">
        <v>246</v>
      </c>
      <c r="E7" s="1" t="s">
        <v>273</v>
      </c>
      <c r="F7" s="54" t="s">
        <v>274</v>
      </c>
      <c r="G7" s="58" t="s">
        <v>9</v>
      </c>
      <c r="H7" s="58" t="s">
        <v>9</v>
      </c>
      <c r="I7" s="58" t="s">
        <v>9</v>
      </c>
      <c r="J7" s="58" t="s">
        <v>9</v>
      </c>
      <c r="K7" s="58" t="s">
        <v>9</v>
      </c>
      <c r="L7" s="34" t="str">
        <f t="shared" ref="L7:O22" si="4">SUBSTITUTE(CONCATENATE("", C7), ".", " ")</f>
        <v>De Materialidade</v>
      </c>
      <c r="M7" s="34" t="str">
        <f t="shared" si="4"/>
        <v>Material Construtivo</v>
      </c>
      <c r="N7" s="34" t="str">
        <f t="shared" si="4"/>
        <v>Caixas Metálicas</v>
      </c>
      <c r="O7" s="34" t="str">
        <f t="shared" si="4"/>
        <v>Caixa Metálica de Elétrica</v>
      </c>
      <c r="P7" s="69" t="s">
        <v>275</v>
      </c>
      <c r="Q7" s="69" t="s">
        <v>276</v>
      </c>
      <c r="R7" s="69" t="s">
        <v>277</v>
      </c>
      <c r="S7" s="71" t="s">
        <v>9</v>
      </c>
      <c r="T7" s="30" t="str">
        <f t="shared" si="2"/>
        <v>De Materialidade</v>
      </c>
      <c r="U7" s="30" t="str">
        <f t="shared" si="2"/>
        <v>Material Construtivo</v>
      </c>
      <c r="V7" s="30" t="str">
        <f t="shared" si="2"/>
        <v>Caixas Metálicas</v>
      </c>
      <c r="W7" s="30" t="s">
        <v>106</v>
      </c>
      <c r="X7" s="59" t="str">
        <f t="shared" si="3"/>
        <v>Key-FMOT-7</v>
      </c>
      <c r="Y7" s="30" t="s">
        <v>241</v>
      </c>
      <c r="Z7" s="67" t="s">
        <v>9</v>
      </c>
      <c r="AA7" s="30" t="s">
        <v>242</v>
      </c>
      <c r="AB7" s="67" t="s">
        <v>9</v>
      </c>
      <c r="AC7" s="30" t="s">
        <v>243</v>
      </c>
      <c r="AD7" s="67" t="s">
        <v>9</v>
      </c>
    </row>
    <row r="8" spans="1:30" s="65" customFormat="1" ht="6" customHeight="1" x14ac:dyDescent="0.4">
      <c r="A8" s="57">
        <v>8</v>
      </c>
      <c r="B8" s="1" t="s">
        <v>170</v>
      </c>
      <c r="C8" s="1" t="s">
        <v>240</v>
      </c>
      <c r="D8" s="1" t="s">
        <v>246</v>
      </c>
      <c r="E8" s="1" t="s">
        <v>273</v>
      </c>
      <c r="F8" s="54" t="s">
        <v>278</v>
      </c>
      <c r="G8" s="58" t="s">
        <v>9</v>
      </c>
      <c r="H8" s="58" t="s">
        <v>9</v>
      </c>
      <c r="I8" s="58" t="s">
        <v>9</v>
      </c>
      <c r="J8" s="58" t="s">
        <v>9</v>
      </c>
      <c r="K8" s="58" t="s">
        <v>9</v>
      </c>
      <c r="L8" s="34" t="str">
        <f t="shared" si="4"/>
        <v>De Materialidade</v>
      </c>
      <c r="M8" s="34" t="str">
        <f t="shared" si="4"/>
        <v>Material Construtivo</v>
      </c>
      <c r="N8" s="34" t="str">
        <f t="shared" si="4"/>
        <v>Caixas Metálicas</v>
      </c>
      <c r="O8" s="34" t="str">
        <f t="shared" si="4"/>
        <v>Caixa Metálica de Telecom</v>
      </c>
      <c r="P8" s="69" t="s">
        <v>279</v>
      </c>
      <c r="Q8" s="69" t="s">
        <v>280</v>
      </c>
      <c r="R8" s="69" t="s">
        <v>281</v>
      </c>
      <c r="S8" s="71" t="s">
        <v>9</v>
      </c>
      <c r="T8" s="30" t="str">
        <f t="shared" si="2"/>
        <v>De Materialidade</v>
      </c>
      <c r="U8" s="30" t="str">
        <f t="shared" si="2"/>
        <v>Material Construtivo</v>
      </c>
      <c r="V8" s="30" t="str">
        <f t="shared" si="2"/>
        <v>Caixas Metálicas</v>
      </c>
      <c r="W8" s="30" t="s">
        <v>106</v>
      </c>
      <c r="X8" s="59" t="str">
        <f t="shared" si="3"/>
        <v>Key-FMOT-8</v>
      </c>
      <c r="Y8" s="30" t="s">
        <v>241</v>
      </c>
      <c r="Z8" s="67" t="s">
        <v>9</v>
      </c>
      <c r="AA8" s="30" t="s">
        <v>242</v>
      </c>
      <c r="AB8" s="67" t="s">
        <v>9</v>
      </c>
      <c r="AC8" s="30" t="s">
        <v>243</v>
      </c>
      <c r="AD8" s="67" t="s">
        <v>9</v>
      </c>
    </row>
    <row r="9" spans="1:30" s="65" customFormat="1" ht="6" customHeight="1" x14ac:dyDescent="0.4">
      <c r="A9" s="57">
        <v>9</v>
      </c>
      <c r="B9" s="1" t="s">
        <v>170</v>
      </c>
      <c r="C9" s="1" t="s">
        <v>240</v>
      </c>
      <c r="D9" s="1" t="s">
        <v>246</v>
      </c>
      <c r="E9" s="1" t="s">
        <v>282</v>
      </c>
      <c r="F9" s="54" t="s">
        <v>283</v>
      </c>
      <c r="G9" s="58" t="s">
        <v>9</v>
      </c>
      <c r="H9" s="58" t="s">
        <v>9</v>
      </c>
      <c r="I9" s="58" t="s">
        <v>9</v>
      </c>
      <c r="J9" s="58" t="s">
        <v>9</v>
      </c>
      <c r="K9" s="58" t="s">
        <v>9</v>
      </c>
      <c r="L9" s="34" t="str">
        <f t="shared" si="4"/>
        <v>De Materialidade</v>
      </c>
      <c r="M9" s="34" t="str">
        <f t="shared" si="4"/>
        <v>Material Construtivo</v>
      </c>
      <c r="N9" s="34" t="str">
        <f t="shared" si="4"/>
        <v>Caixas Plásticas</v>
      </c>
      <c r="O9" s="34" t="str">
        <f t="shared" si="4"/>
        <v>Caixa PVC de Elétrica</v>
      </c>
      <c r="P9" s="69" t="s">
        <v>284</v>
      </c>
      <c r="Q9" s="69" t="s">
        <v>285</v>
      </c>
      <c r="R9" s="69" t="s">
        <v>286</v>
      </c>
      <c r="S9" s="71" t="s">
        <v>9</v>
      </c>
      <c r="T9" s="30" t="str">
        <f t="shared" si="2"/>
        <v>De Materialidade</v>
      </c>
      <c r="U9" s="30" t="str">
        <f t="shared" si="2"/>
        <v>Material Construtivo</v>
      </c>
      <c r="V9" s="30" t="str">
        <f t="shared" si="2"/>
        <v>Caixas Plásticas</v>
      </c>
      <c r="W9" s="30" t="s">
        <v>106</v>
      </c>
      <c r="X9" s="59" t="str">
        <f t="shared" si="3"/>
        <v>Key-FMOT-9</v>
      </c>
      <c r="Y9" s="30" t="s">
        <v>241</v>
      </c>
      <c r="Z9" s="67" t="s">
        <v>9</v>
      </c>
      <c r="AA9" s="30" t="s">
        <v>242</v>
      </c>
      <c r="AB9" s="67" t="s">
        <v>9</v>
      </c>
      <c r="AC9" s="30" t="s">
        <v>243</v>
      </c>
      <c r="AD9" s="67" t="s">
        <v>9</v>
      </c>
    </row>
    <row r="10" spans="1:30" s="65" customFormat="1" ht="6" customHeight="1" x14ac:dyDescent="0.4">
      <c r="A10" s="57">
        <v>10</v>
      </c>
      <c r="B10" s="1" t="s">
        <v>170</v>
      </c>
      <c r="C10" s="1" t="s">
        <v>240</v>
      </c>
      <c r="D10" s="1" t="s">
        <v>246</v>
      </c>
      <c r="E10" s="1" t="s">
        <v>282</v>
      </c>
      <c r="F10" s="54" t="s">
        <v>287</v>
      </c>
      <c r="G10" s="58" t="s">
        <v>9</v>
      </c>
      <c r="H10" s="58" t="s">
        <v>9</v>
      </c>
      <c r="I10" s="58" t="s">
        <v>9</v>
      </c>
      <c r="J10" s="58" t="s">
        <v>9</v>
      </c>
      <c r="K10" s="58" t="s">
        <v>9</v>
      </c>
      <c r="L10" s="34" t="str">
        <f t="shared" si="4"/>
        <v>De Materialidade</v>
      </c>
      <c r="M10" s="34" t="str">
        <f t="shared" si="4"/>
        <v>Material Construtivo</v>
      </c>
      <c r="N10" s="34" t="str">
        <f t="shared" si="4"/>
        <v>Caixas Plásticas</v>
      </c>
      <c r="O10" s="34" t="str">
        <f t="shared" si="4"/>
        <v>Caixa PVC de Telecom</v>
      </c>
      <c r="P10" s="69" t="s">
        <v>288</v>
      </c>
      <c r="Q10" s="69" t="s">
        <v>289</v>
      </c>
      <c r="R10" s="69" t="s">
        <v>290</v>
      </c>
      <c r="S10" s="71" t="s">
        <v>9</v>
      </c>
      <c r="T10" s="30" t="str">
        <f t="shared" si="2"/>
        <v>De Materialidade</v>
      </c>
      <c r="U10" s="30" t="str">
        <f t="shared" si="2"/>
        <v>Material Construtivo</v>
      </c>
      <c r="V10" s="30" t="str">
        <f t="shared" si="2"/>
        <v>Caixas Plásticas</v>
      </c>
      <c r="W10" s="30" t="s">
        <v>106</v>
      </c>
      <c r="X10" s="59" t="str">
        <f t="shared" si="3"/>
        <v>Key-FMOT-10</v>
      </c>
      <c r="Y10" s="30" t="s">
        <v>241</v>
      </c>
      <c r="Z10" s="67" t="s">
        <v>9</v>
      </c>
      <c r="AA10" s="30" t="s">
        <v>242</v>
      </c>
      <c r="AB10" s="67" t="s">
        <v>9</v>
      </c>
      <c r="AC10" s="30" t="s">
        <v>243</v>
      </c>
      <c r="AD10" s="67" t="s">
        <v>9</v>
      </c>
    </row>
    <row r="11" spans="1:30" s="65" customFormat="1" ht="6" customHeight="1" x14ac:dyDescent="0.4">
      <c r="A11" s="57">
        <v>11</v>
      </c>
      <c r="B11" s="1" t="s">
        <v>170</v>
      </c>
      <c r="C11" s="1" t="s">
        <v>240</v>
      </c>
      <c r="D11" s="1" t="s">
        <v>246</v>
      </c>
      <c r="E11" s="1" t="s">
        <v>291</v>
      </c>
      <c r="F11" s="54" t="s">
        <v>292</v>
      </c>
      <c r="G11" s="58" t="s">
        <v>9</v>
      </c>
      <c r="H11" s="58" t="s">
        <v>9</v>
      </c>
      <c r="I11" s="58" t="s">
        <v>9</v>
      </c>
      <c r="J11" s="58" t="s">
        <v>9</v>
      </c>
      <c r="K11" s="58" t="s">
        <v>9</v>
      </c>
      <c r="L11" s="34" t="str">
        <f t="shared" si="4"/>
        <v>De Materialidade</v>
      </c>
      <c r="M11" s="34" t="str">
        <f t="shared" si="4"/>
        <v>Material Construtivo</v>
      </c>
      <c r="N11" s="34" t="str">
        <f t="shared" si="4"/>
        <v>Calhas Metálicas</v>
      </c>
      <c r="O11" s="34" t="str">
        <f t="shared" si="4"/>
        <v>Calha de Elétrica</v>
      </c>
      <c r="P11" s="69" t="s">
        <v>293</v>
      </c>
      <c r="Q11" s="69" t="s">
        <v>294</v>
      </c>
      <c r="R11" s="69" t="s">
        <v>295</v>
      </c>
      <c r="S11" s="71" t="s">
        <v>9</v>
      </c>
      <c r="T11" s="30" t="str">
        <f t="shared" si="2"/>
        <v>De Materialidade</v>
      </c>
      <c r="U11" s="30" t="str">
        <f t="shared" si="2"/>
        <v>Material Construtivo</v>
      </c>
      <c r="V11" s="30" t="str">
        <f t="shared" si="2"/>
        <v>Calhas Metálicas</v>
      </c>
      <c r="W11" s="30" t="s">
        <v>106</v>
      </c>
      <c r="X11" s="59" t="str">
        <f t="shared" si="3"/>
        <v>Key-FMOT-11</v>
      </c>
      <c r="Y11" s="30" t="s">
        <v>241</v>
      </c>
      <c r="Z11" s="67" t="s">
        <v>9</v>
      </c>
      <c r="AA11" s="30" t="s">
        <v>242</v>
      </c>
      <c r="AB11" s="67" t="s">
        <v>9</v>
      </c>
      <c r="AC11" s="30" t="s">
        <v>243</v>
      </c>
      <c r="AD11" s="67" t="s">
        <v>9</v>
      </c>
    </row>
    <row r="12" spans="1:30" s="65" customFormat="1" ht="6" customHeight="1" x14ac:dyDescent="0.4">
      <c r="A12" s="57">
        <v>12</v>
      </c>
      <c r="B12" s="1" t="s">
        <v>170</v>
      </c>
      <c r="C12" s="1" t="s">
        <v>240</v>
      </c>
      <c r="D12" s="1" t="s">
        <v>246</v>
      </c>
      <c r="E12" s="1" t="s">
        <v>291</v>
      </c>
      <c r="F12" s="54" t="s">
        <v>296</v>
      </c>
      <c r="G12" s="58" t="s">
        <v>9</v>
      </c>
      <c r="H12" s="58" t="s">
        <v>9</v>
      </c>
      <c r="I12" s="58" t="s">
        <v>9</v>
      </c>
      <c r="J12" s="58" t="s">
        <v>9</v>
      </c>
      <c r="K12" s="58" t="s">
        <v>9</v>
      </c>
      <c r="L12" s="34" t="str">
        <f t="shared" si="4"/>
        <v>De Materialidade</v>
      </c>
      <c r="M12" s="34" t="str">
        <f t="shared" si="4"/>
        <v>Material Construtivo</v>
      </c>
      <c r="N12" s="34" t="str">
        <f t="shared" si="4"/>
        <v>Calhas Metálicas</v>
      </c>
      <c r="O12" s="34" t="str">
        <f t="shared" si="4"/>
        <v>Calha de Telecom</v>
      </c>
      <c r="P12" s="69" t="s">
        <v>297</v>
      </c>
      <c r="Q12" s="69" t="s">
        <v>298</v>
      </c>
      <c r="R12" s="69" t="s">
        <v>299</v>
      </c>
      <c r="S12" s="71" t="s">
        <v>9</v>
      </c>
      <c r="T12" s="30" t="str">
        <f t="shared" si="2"/>
        <v>De Materialidade</v>
      </c>
      <c r="U12" s="30" t="str">
        <f t="shared" si="2"/>
        <v>Material Construtivo</v>
      </c>
      <c r="V12" s="30" t="str">
        <f t="shared" si="2"/>
        <v>Calhas Metálicas</v>
      </c>
      <c r="W12" s="30" t="s">
        <v>106</v>
      </c>
      <c r="X12" s="59" t="str">
        <f t="shared" si="3"/>
        <v>Key-FMOT-12</v>
      </c>
      <c r="Y12" s="30" t="s">
        <v>241</v>
      </c>
      <c r="Z12" s="67" t="s">
        <v>9</v>
      </c>
      <c r="AA12" s="30" t="s">
        <v>242</v>
      </c>
      <c r="AB12" s="67" t="s">
        <v>9</v>
      </c>
      <c r="AC12" s="30" t="s">
        <v>243</v>
      </c>
      <c r="AD12" s="67" t="s">
        <v>9</v>
      </c>
    </row>
    <row r="13" spans="1:30" s="65" customFormat="1" ht="6" customHeight="1" x14ac:dyDescent="0.4">
      <c r="A13" s="57">
        <v>13</v>
      </c>
      <c r="B13" s="1" t="s">
        <v>170</v>
      </c>
      <c r="C13" s="1" t="s">
        <v>240</v>
      </c>
      <c r="D13" s="1" t="s">
        <v>246</v>
      </c>
      <c r="E13" s="1" t="s">
        <v>291</v>
      </c>
      <c r="F13" s="54" t="s">
        <v>300</v>
      </c>
      <c r="G13" s="58" t="s">
        <v>9</v>
      </c>
      <c r="H13" s="58" t="s">
        <v>9</v>
      </c>
      <c r="I13" s="58" t="s">
        <v>9</v>
      </c>
      <c r="J13" s="58" t="s">
        <v>9</v>
      </c>
      <c r="K13" s="58" t="s">
        <v>9</v>
      </c>
      <c r="L13" s="34" t="str">
        <f t="shared" si="4"/>
        <v>De Materialidade</v>
      </c>
      <c r="M13" s="34" t="str">
        <f t="shared" si="4"/>
        <v>Material Construtivo</v>
      </c>
      <c r="N13" s="34" t="str">
        <f t="shared" si="4"/>
        <v>Calhas Metálicas</v>
      </c>
      <c r="O13" s="34" t="str">
        <f t="shared" si="4"/>
        <v>Calha Leito de Elétrica</v>
      </c>
      <c r="P13" s="69" t="s">
        <v>301</v>
      </c>
      <c r="Q13" s="69" t="s">
        <v>302</v>
      </c>
      <c r="R13" s="69" t="s">
        <v>303</v>
      </c>
      <c r="S13" s="71" t="s">
        <v>9</v>
      </c>
      <c r="T13" s="30" t="str">
        <f t="shared" si="2"/>
        <v>De Materialidade</v>
      </c>
      <c r="U13" s="30" t="str">
        <f t="shared" si="2"/>
        <v>Material Construtivo</v>
      </c>
      <c r="V13" s="30" t="str">
        <f t="shared" si="2"/>
        <v>Calhas Metálicas</v>
      </c>
      <c r="W13" s="30" t="s">
        <v>106</v>
      </c>
      <c r="X13" s="59" t="str">
        <f t="shared" si="3"/>
        <v>Key-FMOT-13</v>
      </c>
      <c r="Y13" s="30" t="s">
        <v>241</v>
      </c>
      <c r="Z13" s="67" t="s">
        <v>9</v>
      </c>
      <c r="AA13" s="30" t="s">
        <v>242</v>
      </c>
      <c r="AB13" s="67" t="s">
        <v>9</v>
      </c>
      <c r="AC13" s="30" t="s">
        <v>243</v>
      </c>
      <c r="AD13" s="67" t="s">
        <v>9</v>
      </c>
    </row>
    <row r="14" spans="1:30" s="65" customFormat="1" ht="6" customHeight="1" x14ac:dyDescent="0.4">
      <c r="A14" s="57">
        <v>14</v>
      </c>
      <c r="B14" s="1" t="s">
        <v>170</v>
      </c>
      <c r="C14" s="1" t="s">
        <v>240</v>
      </c>
      <c r="D14" s="1" t="s">
        <v>246</v>
      </c>
      <c r="E14" s="1" t="s">
        <v>291</v>
      </c>
      <c r="F14" s="54" t="s">
        <v>304</v>
      </c>
      <c r="G14" s="58" t="s">
        <v>9</v>
      </c>
      <c r="H14" s="58" t="s">
        <v>9</v>
      </c>
      <c r="I14" s="58" t="s">
        <v>9</v>
      </c>
      <c r="J14" s="58" t="s">
        <v>9</v>
      </c>
      <c r="K14" s="58" t="s">
        <v>9</v>
      </c>
      <c r="L14" s="34" t="str">
        <f t="shared" si="4"/>
        <v>De Materialidade</v>
      </c>
      <c r="M14" s="34" t="str">
        <f t="shared" si="4"/>
        <v>Material Construtivo</v>
      </c>
      <c r="N14" s="34" t="str">
        <f t="shared" si="4"/>
        <v>Calhas Metálicas</v>
      </c>
      <c r="O14" s="34" t="str">
        <f t="shared" si="4"/>
        <v>Calha Leito de Telecom</v>
      </c>
      <c r="P14" s="69" t="s">
        <v>305</v>
      </c>
      <c r="Q14" s="69" t="s">
        <v>306</v>
      </c>
      <c r="R14" s="69" t="s">
        <v>307</v>
      </c>
      <c r="S14" s="71" t="s">
        <v>9</v>
      </c>
      <c r="T14" s="30" t="str">
        <f t="shared" si="2"/>
        <v>De Materialidade</v>
      </c>
      <c r="U14" s="30" t="str">
        <f t="shared" si="2"/>
        <v>Material Construtivo</v>
      </c>
      <c r="V14" s="30" t="str">
        <f t="shared" si="2"/>
        <v>Calhas Metálicas</v>
      </c>
      <c r="W14" s="30" t="s">
        <v>106</v>
      </c>
      <c r="X14" s="59" t="str">
        <f t="shared" si="3"/>
        <v>Key-FMOT-14</v>
      </c>
      <c r="Y14" s="30" t="s">
        <v>241</v>
      </c>
      <c r="Z14" s="67" t="s">
        <v>9</v>
      </c>
      <c r="AA14" s="30" t="s">
        <v>242</v>
      </c>
      <c r="AB14" s="67" t="s">
        <v>9</v>
      </c>
      <c r="AC14" s="30" t="s">
        <v>243</v>
      </c>
      <c r="AD14" s="67" t="s">
        <v>9</v>
      </c>
    </row>
    <row r="15" spans="1:30" s="65" customFormat="1" ht="6" customHeight="1" x14ac:dyDescent="0.4">
      <c r="A15" s="57">
        <v>15</v>
      </c>
      <c r="B15" s="1" t="s">
        <v>170</v>
      </c>
      <c r="C15" s="1" t="s">
        <v>240</v>
      </c>
      <c r="D15" s="1" t="s">
        <v>246</v>
      </c>
      <c r="E15" s="1" t="s">
        <v>308</v>
      </c>
      <c r="F15" s="54" t="s">
        <v>309</v>
      </c>
      <c r="G15" s="58" t="s">
        <v>9</v>
      </c>
      <c r="H15" s="58" t="s">
        <v>9</v>
      </c>
      <c r="I15" s="58" t="s">
        <v>9</v>
      </c>
      <c r="J15" s="58" t="s">
        <v>9</v>
      </c>
      <c r="K15" s="58" t="s">
        <v>9</v>
      </c>
      <c r="L15" s="34" t="str">
        <f t="shared" si="4"/>
        <v>De Materialidade</v>
      </c>
      <c r="M15" s="34" t="str">
        <f t="shared" si="4"/>
        <v>Material Construtivo</v>
      </c>
      <c r="N15" s="34" t="str">
        <f t="shared" si="4"/>
        <v>Calhas Plásticas</v>
      </c>
      <c r="O15" s="34" t="str">
        <f t="shared" si="4"/>
        <v>Canaleta de Elétrica</v>
      </c>
      <c r="P15" s="69" t="s">
        <v>310</v>
      </c>
      <c r="Q15" s="69" t="s">
        <v>311</v>
      </c>
      <c r="R15" s="69" t="s">
        <v>312</v>
      </c>
      <c r="S15" s="71" t="s">
        <v>9</v>
      </c>
      <c r="T15" s="30" t="str">
        <f t="shared" si="2"/>
        <v>De Materialidade</v>
      </c>
      <c r="U15" s="30" t="str">
        <f t="shared" si="2"/>
        <v>Material Construtivo</v>
      </c>
      <c r="V15" s="30" t="str">
        <f t="shared" si="2"/>
        <v>Calhas Plásticas</v>
      </c>
      <c r="W15" s="30" t="s">
        <v>106</v>
      </c>
      <c r="X15" s="59" t="str">
        <f t="shared" si="3"/>
        <v>Key-FMOT-15</v>
      </c>
      <c r="Y15" s="30" t="s">
        <v>241</v>
      </c>
      <c r="Z15" s="67" t="s">
        <v>9</v>
      </c>
      <c r="AA15" s="30" t="s">
        <v>242</v>
      </c>
      <c r="AB15" s="67" t="s">
        <v>9</v>
      </c>
      <c r="AC15" s="30" t="s">
        <v>243</v>
      </c>
      <c r="AD15" s="67" t="s">
        <v>9</v>
      </c>
    </row>
    <row r="16" spans="1:30" s="65" customFormat="1" ht="6" customHeight="1" x14ac:dyDescent="0.4">
      <c r="A16" s="57">
        <v>16</v>
      </c>
      <c r="B16" s="1" t="s">
        <v>170</v>
      </c>
      <c r="C16" s="1" t="s">
        <v>240</v>
      </c>
      <c r="D16" s="1" t="s">
        <v>246</v>
      </c>
      <c r="E16" s="1" t="s">
        <v>308</v>
      </c>
      <c r="F16" s="54" t="s">
        <v>313</v>
      </c>
      <c r="G16" s="58" t="s">
        <v>9</v>
      </c>
      <c r="H16" s="58" t="s">
        <v>9</v>
      </c>
      <c r="I16" s="58" t="s">
        <v>9</v>
      </c>
      <c r="J16" s="58" t="s">
        <v>9</v>
      </c>
      <c r="K16" s="58" t="s">
        <v>9</v>
      </c>
      <c r="L16" s="34" t="str">
        <f t="shared" si="4"/>
        <v>De Materialidade</v>
      </c>
      <c r="M16" s="34" t="str">
        <f t="shared" si="4"/>
        <v>Material Construtivo</v>
      </c>
      <c r="N16" s="34" t="str">
        <f t="shared" si="4"/>
        <v>Calhas Plásticas</v>
      </c>
      <c r="O16" s="34" t="str">
        <f t="shared" si="4"/>
        <v>Canaleta de Telecom</v>
      </c>
      <c r="P16" s="69" t="s">
        <v>314</v>
      </c>
      <c r="Q16" s="69" t="s">
        <v>315</v>
      </c>
      <c r="R16" s="69" t="s">
        <v>316</v>
      </c>
      <c r="S16" s="71" t="s">
        <v>9</v>
      </c>
      <c r="T16" s="30" t="str">
        <f t="shared" si="2"/>
        <v>De Materialidade</v>
      </c>
      <c r="U16" s="30" t="str">
        <f t="shared" si="2"/>
        <v>Material Construtivo</v>
      </c>
      <c r="V16" s="30" t="str">
        <f t="shared" si="2"/>
        <v>Calhas Plásticas</v>
      </c>
      <c r="W16" s="30" t="s">
        <v>106</v>
      </c>
      <c r="X16" s="59" t="str">
        <f t="shared" si="3"/>
        <v>Key-FMOT-16</v>
      </c>
      <c r="Y16" s="30" t="s">
        <v>241</v>
      </c>
      <c r="Z16" s="67" t="s">
        <v>9</v>
      </c>
      <c r="AA16" s="30" t="s">
        <v>242</v>
      </c>
      <c r="AB16" s="67" t="s">
        <v>9</v>
      </c>
      <c r="AC16" s="30" t="s">
        <v>243</v>
      </c>
      <c r="AD16" s="67" t="s">
        <v>9</v>
      </c>
    </row>
    <row r="17" spans="1:30" s="65" customFormat="1" ht="6" customHeight="1" x14ac:dyDescent="0.4">
      <c r="A17" s="57">
        <v>17</v>
      </c>
      <c r="B17" s="1" t="s">
        <v>170</v>
      </c>
      <c r="C17" s="1" t="s">
        <v>240</v>
      </c>
      <c r="D17" s="1" t="s">
        <v>246</v>
      </c>
      <c r="E17" s="1" t="s">
        <v>317</v>
      </c>
      <c r="F17" s="54" t="s">
        <v>318</v>
      </c>
      <c r="G17" s="58" t="s">
        <v>9</v>
      </c>
      <c r="H17" s="58" t="s">
        <v>9</v>
      </c>
      <c r="I17" s="58" t="s">
        <v>9</v>
      </c>
      <c r="J17" s="58" t="s">
        <v>9</v>
      </c>
      <c r="K17" s="58" t="s">
        <v>9</v>
      </c>
      <c r="L17" s="34" t="str">
        <f t="shared" si="4"/>
        <v>De Materialidade</v>
      </c>
      <c r="M17" s="34" t="str">
        <f t="shared" si="4"/>
        <v>Material Construtivo</v>
      </c>
      <c r="N17" s="34" t="str">
        <f t="shared" si="4"/>
        <v>Conduítes Flex</v>
      </c>
      <c r="O17" s="34" t="str">
        <f t="shared" si="4"/>
        <v>Conduíte Flexível de Elétrica</v>
      </c>
      <c r="P17" s="69" t="s">
        <v>319</v>
      </c>
      <c r="Q17" s="69" t="s">
        <v>320</v>
      </c>
      <c r="R17" s="69" t="s">
        <v>321</v>
      </c>
      <c r="S17" s="71" t="s">
        <v>9</v>
      </c>
      <c r="T17" s="30" t="str">
        <f t="shared" si="2"/>
        <v>De Materialidade</v>
      </c>
      <c r="U17" s="30" t="str">
        <f t="shared" si="2"/>
        <v>Material Construtivo</v>
      </c>
      <c r="V17" s="30" t="str">
        <f t="shared" si="2"/>
        <v>Conduítes Flex</v>
      </c>
      <c r="W17" s="30" t="s">
        <v>106</v>
      </c>
      <c r="X17" s="59" t="str">
        <f t="shared" si="3"/>
        <v>Key-FMOT-17</v>
      </c>
      <c r="Y17" s="30" t="s">
        <v>241</v>
      </c>
      <c r="Z17" s="67" t="s">
        <v>9</v>
      </c>
      <c r="AA17" s="30" t="s">
        <v>242</v>
      </c>
      <c r="AB17" s="67" t="s">
        <v>9</v>
      </c>
      <c r="AC17" s="30" t="s">
        <v>243</v>
      </c>
      <c r="AD17" s="67" t="s">
        <v>9</v>
      </c>
    </row>
    <row r="18" spans="1:30" s="65" customFormat="1" ht="6" customHeight="1" x14ac:dyDescent="0.4">
      <c r="A18" s="57">
        <v>18</v>
      </c>
      <c r="B18" s="1" t="s">
        <v>170</v>
      </c>
      <c r="C18" s="1" t="s">
        <v>240</v>
      </c>
      <c r="D18" s="1" t="s">
        <v>246</v>
      </c>
      <c r="E18" s="1" t="s">
        <v>317</v>
      </c>
      <c r="F18" s="54" t="s">
        <v>322</v>
      </c>
      <c r="G18" s="58" t="s">
        <v>9</v>
      </c>
      <c r="H18" s="58" t="s">
        <v>9</v>
      </c>
      <c r="I18" s="58" t="s">
        <v>9</v>
      </c>
      <c r="J18" s="58" t="s">
        <v>9</v>
      </c>
      <c r="K18" s="58" t="s">
        <v>9</v>
      </c>
      <c r="L18" s="34" t="str">
        <f t="shared" si="4"/>
        <v>De Materialidade</v>
      </c>
      <c r="M18" s="34" t="str">
        <f t="shared" si="4"/>
        <v>Material Construtivo</v>
      </c>
      <c r="N18" s="34" t="str">
        <f t="shared" si="4"/>
        <v>Conduítes Flex</v>
      </c>
      <c r="O18" s="34" t="str">
        <f t="shared" si="4"/>
        <v>Conduíte Flexível de Telecom</v>
      </c>
      <c r="P18" s="69" t="s">
        <v>323</v>
      </c>
      <c r="Q18" s="69" t="s">
        <v>324</v>
      </c>
      <c r="R18" s="69" t="s">
        <v>325</v>
      </c>
      <c r="S18" s="71" t="s">
        <v>9</v>
      </c>
      <c r="T18" s="30" t="str">
        <f t="shared" ref="T18:V49" si="5">SUBSTITUTE(C18, ".", " ")</f>
        <v>De Materialidade</v>
      </c>
      <c r="U18" s="30" t="str">
        <f t="shared" si="5"/>
        <v>Material Construtivo</v>
      </c>
      <c r="V18" s="30" t="str">
        <f t="shared" si="5"/>
        <v>Conduítes Flex</v>
      </c>
      <c r="W18" s="30" t="s">
        <v>106</v>
      </c>
      <c r="X18" s="59" t="str">
        <f t="shared" si="3"/>
        <v>Key-FMOT-18</v>
      </c>
      <c r="Y18" s="30" t="s">
        <v>241</v>
      </c>
      <c r="Z18" s="67" t="s">
        <v>9</v>
      </c>
      <c r="AA18" s="30" t="s">
        <v>242</v>
      </c>
      <c r="AB18" s="67" t="s">
        <v>9</v>
      </c>
      <c r="AC18" s="30" t="s">
        <v>243</v>
      </c>
      <c r="AD18" s="67" t="s">
        <v>9</v>
      </c>
    </row>
    <row r="19" spans="1:30" s="65" customFormat="1" ht="6" customHeight="1" x14ac:dyDescent="0.4">
      <c r="A19" s="57">
        <v>19</v>
      </c>
      <c r="B19" s="1" t="s">
        <v>170</v>
      </c>
      <c r="C19" s="1" t="s">
        <v>240</v>
      </c>
      <c r="D19" s="1" t="s">
        <v>246</v>
      </c>
      <c r="E19" s="1" t="s">
        <v>326</v>
      </c>
      <c r="F19" s="54" t="s">
        <v>327</v>
      </c>
      <c r="G19" s="58" t="s">
        <v>9</v>
      </c>
      <c r="H19" s="58" t="s">
        <v>9</v>
      </c>
      <c r="I19" s="58" t="s">
        <v>9</v>
      </c>
      <c r="J19" s="58" t="s">
        <v>9</v>
      </c>
      <c r="K19" s="58" t="s">
        <v>9</v>
      </c>
      <c r="L19" s="34" t="str">
        <f t="shared" si="4"/>
        <v>De Materialidade</v>
      </c>
      <c r="M19" s="34" t="str">
        <f t="shared" si="4"/>
        <v>Material Construtivo</v>
      </c>
      <c r="N19" s="34" t="str">
        <f t="shared" si="4"/>
        <v>Conduítes Rígidos</v>
      </c>
      <c r="O19" s="34" t="str">
        <f t="shared" si="4"/>
        <v>Conduíte Rígido de Elétrica</v>
      </c>
      <c r="P19" s="69" t="s">
        <v>328</v>
      </c>
      <c r="Q19" s="69" t="s">
        <v>329</v>
      </c>
      <c r="R19" s="69" t="s">
        <v>330</v>
      </c>
      <c r="S19" s="71" t="s">
        <v>9</v>
      </c>
      <c r="T19" s="30" t="str">
        <f t="shared" si="5"/>
        <v>De Materialidade</v>
      </c>
      <c r="U19" s="30" t="str">
        <f t="shared" si="5"/>
        <v>Material Construtivo</v>
      </c>
      <c r="V19" s="30" t="str">
        <f t="shared" si="5"/>
        <v>Conduítes Rígidos</v>
      </c>
      <c r="W19" s="30" t="s">
        <v>106</v>
      </c>
      <c r="X19" s="59" t="str">
        <f t="shared" si="3"/>
        <v>Key-FMOT-19</v>
      </c>
      <c r="Y19" s="30" t="s">
        <v>241</v>
      </c>
      <c r="Z19" s="67" t="s">
        <v>9</v>
      </c>
      <c r="AA19" s="30" t="s">
        <v>242</v>
      </c>
      <c r="AB19" s="67" t="s">
        <v>9</v>
      </c>
      <c r="AC19" s="30" t="s">
        <v>243</v>
      </c>
      <c r="AD19" s="67" t="s">
        <v>9</v>
      </c>
    </row>
    <row r="20" spans="1:30" s="65" customFormat="1" ht="6" customHeight="1" x14ac:dyDescent="0.4">
      <c r="A20" s="57">
        <v>20</v>
      </c>
      <c r="B20" s="1" t="s">
        <v>170</v>
      </c>
      <c r="C20" s="1" t="s">
        <v>240</v>
      </c>
      <c r="D20" s="1" t="s">
        <v>246</v>
      </c>
      <c r="E20" s="1" t="s">
        <v>326</v>
      </c>
      <c r="F20" s="54" t="s">
        <v>331</v>
      </c>
      <c r="G20" s="58" t="s">
        <v>9</v>
      </c>
      <c r="H20" s="58" t="s">
        <v>9</v>
      </c>
      <c r="I20" s="58" t="s">
        <v>9</v>
      </c>
      <c r="J20" s="58" t="s">
        <v>9</v>
      </c>
      <c r="K20" s="58" t="s">
        <v>9</v>
      </c>
      <c r="L20" s="34" t="str">
        <f t="shared" si="4"/>
        <v>De Materialidade</v>
      </c>
      <c r="M20" s="34" t="str">
        <f t="shared" si="4"/>
        <v>Material Construtivo</v>
      </c>
      <c r="N20" s="34" t="str">
        <f t="shared" si="4"/>
        <v>Conduítes Rígidos</v>
      </c>
      <c r="O20" s="34" t="str">
        <f t="shared" si="4"/>
        <v>Conduíte Rígido de Telecom</v>
      </c>
      <c r="P20" s="69" t="s">
        <v>332</v>
      </c>
      <c r="Q20" s="69" t="s">
        <v>333</v>
      </c>
      <c r="R20" s="69" t="s">
        <v>334</v>
      </c>
      <c r="S20" s="71" t="s">
        <v>9</v>
      </c>
      <c r="T20" s="30" t="str">
        <f t="shared" si="5"/>
        <v>De Materialidade</v>
      </c>
      <c r="U20" s="30" t="str">
        <f t="shared" si="5"/>
        <v>Material Construtivo</v>
      </c>
      <c r="V20" s="30" t="str">
        <f t="shared" si="5"/>
        <v>Conduítes Rígidos</v>
      </c>
      <c r="W20" s="30" t="s">
        <v>106</v>
      </c>
      <c r="X20" s="59" t="str">
        <f t="shared" si="3"/>
        <v>Key-FMOT-20</v>
      </c>
      <c r="Y20" s="30" t="s">
        <v>241</v>
      </c>
      <c r="Z20" s="67" t="s">
        <v>9</v>
      </c>
      <c r="AA20" s="30" t="s">
        <v>242</v>
      </c>
      <c r="AB20" s="67" t="s">
        <v>9</v>
      </c>
      <c r="AC20" s="30" t="s">
        <v>243</v>
      </c>
      <c r="AD20" s="67" t="s">
        <v>9</v>
      </c>
    </row>
    <row r="21" spans="1:30" s="65" customFormat="1" ht="6" customHeight="1" x14ac:dyDescent="0.4">
      <c r="A21" s="57">
        <v>21</v>
      </c>
      <c r="B21" s="1" t="s">
        <v>170</v>
      </c>
      <c r="C21" s="1" t="s">
        <v>240</v>
      </c>
      <c r="D21" s="1" t="s">
        <v>246</v>
      </c>
      <c r="E21" s="1" t="s">
        <v>335</v>
      </c>
      <c r="F21" s="54" t="s">
        <v>336</v>
      </c>
      <c r="G21" s="58" t="s">
        <v>9</v>
      </c>
      <c r="H21" s="58" t="s">
        <v>9</v>
      </c>
      <c r="I21" s="58" t="s">
        <v>9</v>
      </c>
      <c r="J21" s="58" t="s">
        <v>9</v>
      </c>
      <c r="K21" s="58" t="s">
        <v>9</v>
      </c>
      <c r="L21" s="34" t="str">
        <f t="shared" si="4"/>
        <v>De Materialidade</v>
      </c>
      <c r="M21" s="34" t="str">
        <f t="shared" si="4"/>
        <v>Material Construtivo</v>
      </c>
      <c r="N21" s="34" t="str">
        <f t="shared" si="4"/>
        <v>Fiações Metálicas</v>
      </c>
      <c r="O21" s="34" t="str">
        <f t="shared" si="4"/>
        <v>Fiação de Elétrica</v>
      </c>
      <c r="P21" s="69" t="s">
        <v>337</v>
      </c>
      <c r="Q21" s="69" t="s">
        <v>338</v>
      </c>
      <c r="R21" s="69" t="s">
        <v>339</v>
      </c>
      <c r="S21" s="71" t="s">
        <v>9</v>
      </c>
      <c r="T21" s="30" t="str">
        <f t="shared" si="5"/>
        <v>De Materialidade</v>
      </c>
      <c r="U21" s="30" t="str">
        <f t="shared" si="5"/>
        <v>Material Construtivo</v>
      </c>
      <c r="V21" s="30" t="str">
        <f t="shared" si="5"/>
        <v>Fiações Metálicas</v>
      </c>
      <c r="W21" s="30" t="s">
        <v>106</v>
      </c>
      <c r="X21" s="59" t="str">
        <f t="shared" si="3"/>
        <v>Key-FMOT-21</v>
      </c>
      <c r="Y21" s="30" t="s">
        <v>241</v>
      </c>
      <c r="Z21" s="67" t="s">
        <v>9</v>
      </c>
      <c r="AA21" s="30" t="s">
        <v>242</v>
      </c>
      <c r="AB21" s="67" t="s">
        <v>9</v>
      </c>
      <c r="AC21" s="30" t="s">
        <v>243</v>
      </c>
      <c r="AD21" s="67" t="s">
        <v>9</v>
      </c>
    </row>
    <row r="22" spans="1:30" s="65" customFormat="1" ht="6" customHeight="1" x14ac:dyDescent="0.4">
      <c r="A22" s="57">
        <v>22</v>
      </c>
      <c r="B22" s="1" t="s">
        <v>170</v>
      </c>
      <c r="C22" s="1" t="s">
        <v>240</v>
      </c>
      <c r="D22" s="1" t="s">
        <v>246</v>
      </c>
      <c r="E22" s="1" t="s">
        <v>335</v>
      </c>
      <c r="F22" s="54" t="s">
        <v>340</v>
      </c>
      <c r="G22" s="58" t="s">
        <v>9</v>
      </c>
      <c r="H22" s="58" t="s">
        <v>9</v>
      </c>
      <c r="I22" s="58" t="s">
        <v>9</v>
      </c>
      <c r="J22" s="58" t="s">
        <v>9</v>
      </c>
      <c r="K22" s="58" t="s">
        <v>9</v>
      </c>
      <c r="L22" s="34" t="str">
        <f t="shared" si="4"/>
        <v>De Materialidade</v>
      </c>
      <c r="M22" s="34" t="str">
        <f t="shared" si="4"/>
        <v>Material Construtivo</v>
      </c>
      <c r="N22" s="34" t="str">
        <f t="shared" si="4"/>
        <v>Fiações Metálicas</v>
      </c>
      <c r="O22" s="34" t="str">
        <f t="shared" si="4"/>
        <v>Fiação de Telecom</v>
      </c>
      <c r="P22" s="69" t="s">
        <v>341</v>
      </c>
      <c r="Q22" s="69" t="s">
        <v>342</v>
      </c>
      <c r="R22" s="69" t="s">
        <v>343</v>
      </c>
      <c r="S22" s="71" t="s">
        <v>9</v>
      </c>
      <c r="T22" s="30" t="str">
        <f t="shared" si="5"/>
        <v>De Materialidade</v>
      </c>
      <c r="U22" s="30" t="str">
        <f t="shared" si="5"/>
        <v>Material Construtivo</v>
      </c>
      <c r="V22" s="30" t="str">
        <f t="shared" si="5"/>
        <v>Fiações Metálicas</v>
      </c>
      <c r="W22" s="30" t="s">
        <v>106</v>
      </c>
      <c r="X22" s="59" t="str">
        <f t="shared" si="3"/>
        <v>Key-FMOT-22</v>
      </c>
      <c r="Y22" s="30" t="s">
        <v>241</v>
      </c>
      <c r="Z22" s="67" t="s">
        <v>9</v>
      </c>
      <c r="AA22" s="30" t="s">
        <v>242</v>
      </c>
      <c r="AB22" s="67" t="s">
        <v>9</v>
      </c>
      <c r="AC22" s="30" t="s">
        <v>243</v>
      </c>
      <c r="AD22" s="67" t="s">
        <v>9</v>
      </c>
    </row>
    <row r="23" spans="1:30" s="65" customFormat="1" ht="6" customHeight="1" x14ac:dyDescent="0.4">
      <c r="A23" s="57">
        <v>23</v>
      </c>
      <c r="B23" s="1" t="s">
        <v>170</v>
      </c>
      <c r="C23" s="1" t="s">
        <v>240</v>
      </c>
      <c r="D23" s="1" t="s">
        <v>246</v>
      </c>
      <c r="E23" s="1" t="s">
        <v>344</v>
      </c>
      <c r="F23" s="62" t="s">
        <v>345</v>
      </c>
      <c r="G23" s="58" t="s">
        <v>9</v>
      </c>
      <c r="H23" s="58" t="s">
        <v>9</v>
      </c>
      <c r="I23" s="58" t="s">
        <v>9</v>
      </c>
      <c r="J23" s="58" t="s">
        <v>9</v>
      </c>
      <c r="K23" s="58" t="s">
        <v>9</v>
      </c>
      <c r="L23" s="69" t="str">
        <f>_xlfn.CONCAT(SUBSTITUTE(C23,"1.",""))</f>
        <v>De.Materialidade</v>
      </c>
      <c r="M23" s="69" t="str">
        <f t="shared" ref="M23:O24" si="6">_xlfn.CONCAT(SUBSTITUTE(D23,"."," "))</f>
        <v>Material Construtivo</v>
      </c>
      <c r="N23" s="69" t="str">
        <f t="shared" si="6"/>
        <v>Ligas Estruturais</v>
      </c>
      <c r="O23" s="69" t="str">
        <f t="shared" si="6"/>
        <v>Aço Estrutural</v>
      </c>
      <c r="P23" s="69" t="s">
        <v>346</v>
      </c>
      <c r="Q23" s="69" t="s">
        <v>347</v>
      </c>
      <c r="R23" s="69" t="s">
        <v>348</v>
      </c>
      <c r="S23" s="71" t="s">
        <v>9</v>
      </c>
      <c r="T23" s="30" t="str">
        <f t="shared" si="5"/>
        <v>De Materialidade</v>
      </c>
      <c r="U23" s="30" t="str">
        <f t="shared" si="5"/>
        <v>Material Construtivo</v>
      </c>
      <c r="V23" s="30" t="str">
        <f t="shared" si="5"/>
        <v>Ligas Estruturais</v>
      </c>
      <c r="W23" s="30" t="s">
        <v>106</v>
      </c>
      <c r="X23" s="59" t="str">
        <f t="shared" si="3"/>
        <v>Key-FMOT-23</v>
      </c>
      <c r="Y23" s="30" t="s">
        <v>349</v>
      </c>
      <c r="Z23" s="67" t="s">
        <v>9</v>
      </c>
      <c r="AA23" s="30" t="s">
        <v>350</v>
      </c>
      <c r="AB23" s="67" t="s">
        <v>9</v>
      </c>
      <c r="AC23" s="30" t="s">
        <v>9</v>
      </c>
      <c r="AD23" s="30" t="s">
        <v>9</v>
      </c>
    </row>
    <row r="24" spans="1:30" s="65" customFormat="1" ht="6" customHeight="1" x14ac:dyDescent="0.4">
      <c r="A24" s="57">
        <v>24</v>
      </c>
      <c r="B24" s="1" t="s">
        <v>170</v>
      </c>
      <c r="C24" s="1" t="s">
        <v>240</v>
      </c>
      <c r="D24" s="1" t="s">
        <v>246</v>
      </c>
      <c r="E24" s="1" t="s">
        <v>344</v>
      </c>
      <c r="F24" s="62" t="s">
        <v>351</v>
      </c>
      <c r="G24" s="58" t="s">
        <v>9</v>
      </c>
      <c r="H24" s="58" t="s">
        <v>9</v>
      </c>
      <c r="I24" s="58" t="s">
        <v>9</v>
      </c>
      <c r="J24" s="58" t="s">
        <v>9</v>
      </c>
      <c r="K24" s="58" t="s">
        <v>9</v>
      </c>
      <c r="L24" s="69" t="str">
        <f>_xlfn.CONCAT(SUBSTITUTE(C24,"1.",""))</f>
        <v>De.Materialidade</v>
      </c>
      <c r="M24" s="69" t="str">
        <f t="shared" si="6"/>
        <v>Material Construtivo</v>
      </c>
      <c r="N24" s="69" t="str">
        <f t="shared" si="6"/>
        <v>Ligas Estruturais</v>
      </c>
      <c r="O24" s="69" t="str">
        <f t="shared" si="6"/>
        <v>Alumínio Estrutural</v>
      </c>
      <c r="P24" s="69" t="s">
        <v>352</v>
      </c>
      <c r="Q24" s="69" t="s">
        <v>353</v>
      </c>
      <c r="R24" s="69" t="s">
        <v>354</v>
      </c>
      <c r="S24" s="71" t="s">
        <v>9</v>
      </c>
      <c r="T24" s="30" t="str">
        <f t="shared" si="5"/>
        <v>De Materialidade</v>
      </c>
      <c r="U24" s="30" t="str">
        <f t="shared" si="5"/>
        <v>Material Construtivo</v>
      </c>
      <c r="V24" s="30" t="str">
        <f t="shared" si="5"/>
        <v>Ligas Estruturais</v>
      </c>
      <c r="W24" s="30" t="s">
        <v>106</v>
      </c>
      <c r="X24" s="59" t="str">
        <f t="shared" si="3"/>
        <v>Key-FMOT-24</v>
      </c>
      <c r="Y24" s="30" t="s">
        <v>349</v>
      </c>
      <c r="Z24" s="67" t="s">
        <v>9</v>
      </c>
      <c r="AA24" s="30" t="s">
        <v>350</v>
      </c>
      <c r="AB24" s="67" t="s">
        <v>9</v>
      </c>
      <c r="AC24" s="30" t="s">
        <v>9</v>
      </c>
      <c r="AD24" s="30" t="s">
        <v>9</v>
      </c>
    </row>
    <row r="25" spans="1:30" s="65" customFormat="1" ht="6" customHeight="1" x14ac:dyDescent="0.4">
      <c r="A25" s="57">
        <v>25</v>
      </c>
      <c r="B25" s="1" t="s">
        <v>170</v>
      </c>
      <c r="C25" s="1" t="s">
        <v>240</v>
      </c>
      <c r="D25" s="1" t="s">
        <v>246</v>
      </c>
      <c r="E25" s="1" t="s">
        <v>355</v>
      </c>
      <c r="F25" s="54" t="s">
        <v>356</v>
      </c>
      <c r="G25" s="7" t="s">
        <v>9</v>
      </c>
      <c r="H25" s="7" t="s">
        <v>9</v>
      </c>
      <c r="I25" s="7" t="s">
        <v>9</v>
      </c>
      <c r="J25" s="7" t="s">
        <v>9</v>
      </c>
      <c r="K25" s="7" t="s">
        <v>9</v>
      </c>
      <c r="L25" s="34" t="str">
        <f t="shared" ref="L25:M29" si="7">CONCATENATE("", C25)</f>
        <v>De.Materialidade</v>
      </c>
      <c r="M25" s="34" t="str">
        <f t="shared" si="7"/>
        <v>Material.Construtivo</v>
      </c>
      <c r="N25" s="34" t="str">
        <f t="shared" ref="N25:O29" si="8">(SUBSTITUTE(SUBSTITUTE(CONCATENATE("",E25),"."," ")," De "," de "))</f>
        <v>Materiais Adesivos</v>
      </c>
      <c r="O25" s="34" t="str">
        <f t="shared" si="8"/>
        <v>Cola Espuma</v>
      </c>
      <c r="P25" s="29" t="s">
        <v>357</v>
      </c>
      <c r="Q25" s="69" t="s">
        <v>358</v>
      </c>
      <c r="R25" s="69" t="s">
        <v>359</v>
      </c>
      <c r="S25" s="71" t="s">
        <v>9</v>
      </c>
      <c r="T25" s="66" t="str">
        <f t="shared" si="5"/>
        <v>De Materialidade</v>
      </c>
      <c r="U25" s="66" t="str">
        <f t="shared" si="5"/>
        <v>Material Construtivo</v>
      </c>
      <c r="V25" s="66" t="str">
        <f t="shared" si="5"/>
        <v>Materiais Adesivos</v>
      </c>
      <c r="W25" s="30" t="s">
        <v>106</v>
      </c>
      <c r="X25" s="59" t="str">
        <f t="shared" si="3"/>
        <v>Key-FMOT-25</v>
      </c>
      <c r="Y25" s="30" t="s">
        <v>360</v>
      </c>
      <c r="Z25" s="66" t="s">
        <v>9</v>
      </c>
      <c r="AA25" s="66" t="s">
        <v>361</v>
      </c>
      <c r="AB25" s="66" t="s">
        <v>9</v>
      </c>
      <c r="AC25" s="66" t="s">
        <v>254</v>
      </c>
      <c r="AD25" s="66" t="s">
        <v>9</v>
      </c>
    </row>
    <row r="26" spans="1:30" s="65" customFormat="1" ht="6" customHeight="1" x14ac:dyDescent="0.4">
      <c r="A26" s="57">
        <v>26</v>
      </c>
      <c r="B26" s="1" t="s">
        <v>170</v>
      </c>
      <c r="C26" s="1" t="s">
        <v>240</v>
      </c>
      <c r="D26" s="1" t="s">
        <v>246</v>
      </c>
      <c r="E26" s="1" t="s">
        <v>355</v>
      </c>
      <c r="F26" s="54" t="s">
        <v>362</v>
      </c>
      <c r="G26" s="7" t="s">
        <v>9</v>
      </c>
      <c r="H26" s="7" t="s">
        <v>9</v>
      </c>
      <c r="I26" s="7" t="s">
        <v>9</v>
      </c>
      <c r="J26" s="7" t="s">
        <v>9</v>
      </c>
      <c r="K26" s="7" t="s">
        <v>9</v>
      </c>
      <c r="L26" s="34" t="str">
        <f t="shared" si="7"/>
        <v>De.Materialidade</v>
      </c>
      <c r="M26" s="34" t="str">
        <f t="shared" si="7"/>
        <v>Material.Construtivo</v>
      </c>
      <c r="N26" s="34" t="str">
        <f t="shared" si="8"/>
        <v>Materiais Adesivos</v>
      </c>
      <c r="O26" s="34" t="str">
        <f t="shared" si="8"/>
        <v>Cola Louça</v>
      </c>
      <c r="P26" s="29" t="s">
        <v>363</v>
      </c>
      <c r="Q26" s="69" t="s">
        <v>364</v>
      </c>
      <c r="R26" s="69" t="s">
        <v>365</v>
      </c>
      <c r="S26" s="71" t="s">
        <v>9</v>
      </c>
      <c r="T26" s="66" t="str">
        <f t="shared" si="5"/>
        <v>De Materialidade</v>
      </c>
      <c r="U26" s="66" t="str">
        <f t="shared" si="5"/>
        <v>Material Construtivo</v>
      </c>
      <c r="V26" s="66" t="str">
        <f t="shared" si="5"/>
        <v>Materiais Adesivos</v>
      </c>
      <c r="W26" s="30" t="s">
        <v>106</v>
      </c>
      <c r="X26" s="59" t="str">
        <f t="shared" si="3"/>
        <v>Key-FMOT-26</v>
      </c>
      <c r="Y26" s="30" t="s">
        <v>360</v>
      </c>
      <c r="Z26" s="66" t="s">
        <v>9</v>
      </c>
      <c r="AA26" s="66" t="s">
        <v>361</v>
      </c>
      <c r="AB26" s="66" t="s">
        <v>9</v>
      </c>
      <c r="AC26" s="66" t="s">
        <v>254</v>
      </c>
      <c r="AD26" s="66" t="s">
        <v>9</v>
      </c>
    </row>
    <row r="27" spans="1:30" s="65" customFormat="1" ht="6" customHeight="1" x14ac:dyDescent="0.4">
      <c r="A27" s="57">
        <v>27</v>
      </c>
      <c r="B27" s="1" t="s">
        <v>170</v>
      </c>
      <c r="C27" s="1" t="s">
        <v>240</v>
      </c>
      <c r="D27" s="1" t="s">
        <v>246</v>
      </c>
      <c r="E27" s="1" t="s">
        <v>355</v>
      </c>
      <c r="F27" s="54" t="s">
        <v>366</v>
      </c>
      <c r="G27" s="7" t="s">
        <v>9</v>
      </c>
      <c r="H27" s="7" t="s">
        <v>9</v>
      </c>
      <c r="I27" s="7" t="s">
        <v>9</v>
      </c>
      <c r="J27" s="7" t="s">
        <v>9</v>
      </c>
      <c r="K27" s="7" t="s">
        <v>9</v>
      </c>
      <c r="L27" s="34" t="str">
        <f t="shared" si="7"/>
        <v>De.Materialidade</v>
      </c>
      <c r="M27" s="34" t="str">
        <f t="shared" si="7"/>
        <v>Material.Construtivo</v>
      </c>
      <c r="N27" s="34" t="str">
        <f t="shared" si="8"/>
        <v>Materiais Adesivos</v>
      </c>
      <c r="O27" s="34" t="str">
        <f t="shared" si="8"/>
        <v>Cola Madeira</v>
      </c>
      <c r="P27" s="29" t="s">
        <v>367</v>
      </c>
      <c r="Q27" s="69" t="s">
        <v>368</v>
      </c>
      <c r="R27" s="69" t="s">
        <v>369</v>
      </c>
      <c r="S27" s="71" t="s">
        <v>9</v>
      </c>
      <c r="T27" s="66" t="str">
        <f t="shared" si="5"/>
        <v>De Materialidade</v>
      </c>
      <c r="U27" s="66" t="str">
        <f t="shared" si="5"/>
        <v>Material Construtivo</v>
      </c>
      <c r="V27" s="66" t="str">
        <f t="shared" si="5"/>
        <v>Materiais Adesivos</v>
      </c>
      <c r="W27" s="30" t="s">
        <v>106</v>
      </c>
      <c r="X27" s="59" t="str">
        <f t="shared" si="3"/>
        <v>Key-FMOT-27</v>
      </c>
      <c r="Y27" s="30" t="s">
        <v>360</v>
      </c>
      <c r="Z27" s="66" t="s">
        <v>9</v>
      </c>
      <c r="AA27" s="66" t="s">
        <v>361</v>
      </c>
      <c r="AB27" s="66" t="s">
        <v>9</v>
      </c>
      <c r="AC27" s="66" t="s">
        <v>254</v>
      </c>
      <c r="AD27" s="66" t="s">
        <v>9</v>
      </c>
    </row>
    <row r="28" spans="1:30" s="65" customFormat="1" ht="6" customHeight="1" x14ac:dyDescent="0.4">
      <c r="A28" s="57">
        <v>28</v>
      </c>
      <c r="B28" s="1" t="s">
        <v>170</v>
      </c>
      <c r="C28" s="1" t="s">
        <v>240</v>
      </c>
      <c r="D28" s="1" t="s">
        <v>246</v>
      </c>
      <c r="E28" s="1" t="s">
        <v>355</v>
      </c>
      <c r="F28" s="54" t="s">
        <v>370</v>
      </c>
      <c r="G28" s="7" t="s">
        <v>9</v>
      </c>
      <c r="H28" s="7" t="s">
        <v>9</v>
      </c>
      <c r="I28" s="7" t="s">
        <v>9</v>
      </c>
      <c r="J28" s="7" t="s">
        <v>9</v>
      </c>
      <c r="K28" s="7" t="s">
        <v>9</v>
      </c>
      <c r="L28" s="34" t="str">
        <f t="shared" si="7"/>
        <v>De.Materialidade</v>
      </c>
      <c r="M28" s="34" t="str">
        <f t="shared" si="7"/>
        <v>Material.Construtivo</v>
      </c>
      <c r="N28" s="34" t="str">
        <f t="shared" si="8"/>
        <v>Materiais Adesivos</v>
      </c>
      <c r="O28" s="34" t="str">
        <f t="shared" si="8"/>
        <v>Cola Metal</v>
      </c>
      <c r="P28" s="29" t="s">
        <v>371</v>
      </c>
      <c r="Q28" s="69" t="s">
        <v>372</v>
      </c>
      <c r="R28" s="69" t="s">
        <v>373</v>
      </c>
      <c r="S28" s="71" t="s">
        <v>9</v>
      </c>
      <c r="T28" s="66" t="str">
        <f t="shared" si="5"/>
        <v>De Materialidade</v>
      </c>
      <c r="U28" s="66" t="str">
        <f t="shared" si="5"/>
        <v>Material Construtivo</v>
      </c>
      <c r="V28" s="66" t="str">
        <f t="shared" si="5"/>
        <v>Materiais Adesivos</v>
      </c>
      <c r="W28" s="30" t="s">
        <v>106</v>
      </c>
      <c r="X28" s="59" t="str">
        <f t="shared" si="3"/>
        <v>Key-FMOT-28</v>
      </c>
      <c r="Y28" s="30" t="s">
        <v>360</v>
      </c>
      <c r="Z28" s="66" t="s">
        <v>9</v>
      </c>
      <c r="AA28" s="66" t="s">
        <v>361</v>
      </c>
      <c r="AB28" s="66" t="s">
        <v>9</v>
      </c>
      <c r="AC28" s="66" t="s">
        <v>254</v>
      </c>
      <c r="AD28" s="66" t="s">
        <v>9</v>
      </c>
    </row>
    <row r="29" spans="1:30" s="72" customFormat="1" ht="6" customHeight="1" x14ac:dyDescent="0.4">
      <c r="A29" s="57">
        <v>29</v>
      </c>
      <c r="B29" s="1" t="s">
        <v>170</v>
      </c>
      <c r="C29" s="1" t="s">
        <v>240</v>
      </c>
      <c r="D29" s="1" t="s">
        <v>246</v>
      </c>
      <c r="E29" s="1" t="s">
        <v>355</v>
      </c>
      <c r="F29" s="54" t="s">
        <v>374</v>
      </c>
      <c r="G29" s="7" t="s">
        <v>9</v>
      </c>
      <c r="H29" s="7" t="s">
        <v>9</v>
      </c>
      <c r="I29" s="7" t="s">
        <v>9</v>
      </c>
      <c r="J29" s="7" t="s">
        <v>9</v>
      </c>
      <c r="K29" s="7" t="s">
        <v>9</v>
      </c>
      <c r="L29" s="34" t="str">
        <f t="shared" si="7"/>
        <v>De.Materialidade</v>
      </c>
      <c r="M29" s="34" t="str">
        <f t="shared" si="7"/>
        <v>Material.Construtivo</v>
      </c>
      <c r="N29" s="34" t="str">
        <f t="shared" si="8"/>
        <v>Materiais Adesivos</v>
      </c>
      <c r="O29" s="34" t="str">
        <f t="shared" si="8"/>
        <v>Cola Textil</v>
      </c>
      <c r="P29" s="29" t="s">
        <v>375</v>
      </c>
      <c r="Q29" s="69" t="s">
        <v>376</v>
      </c>
      <c r="R29" s="69" t="s">
        <v>377</v>
      </c>
      <c r="S29" s="71" t="s">
        <v>9</v>
      </c>
      <c r="T29" s="66" t="str">
        <f t="shared" si="5"/>
        <v>De Materialidade</v>
      </c>
      <c r="U29" s="66" t="str">
        <f t="shared" si="5"/>
        <v>Material Construtivo</v>
      </c>
      <c r="V29" s="66" t="str">
        <f t="shared" si="5"/>
        <v>Materiais Adesivos</v>
      </c>
      <c r="W29" s="30" t="s">
        <v>106</v>
      </c>
      <c r="X29" s="59" t="str">
        <f t="shared" si="3"/>
        <v>Key-FMOT-29</v>
      </c>
      <c r="Y29" s="30" t="s">
        <v>360</v>
      </c>
      <c r="Z29" s="66" t="s">
        <v>9</v>
      </c>
      <c r="AA29" s="66" t="s">
        <v>361</v>
      </c>
      <c r="AB29" s="66" t="s">
        <v>9</v>
      </c>
      <c r="AC29" s="66" t="s">
        <v>254</v>
      </c>
      <c r="AD29" s="66" t="s">
        <v>9</v>
      </c>
    </row>
    <row r="30" spans="1:30" s="72" customFormat="1" ht="6" customHeight="1" x14ac:dyDescent="0.4">
      <c r="A30" s="57">
        <v>30</v>
      </c>
      <c r="B30" s="1" t="s">
        <v>170</v>
      </c>
      <c r="C30" s="1" t="s">
        <v>240</v>
      </c>
      <c r="D30" s="1" t="s">
        <v>246</v>
      </c>
      <c r="E30" s="1" t="s">
        <v>378</v>
      </c>
      <c r="F30" s="70" t="s">
        <v>379</v>
      </c>
      <c r="G30" s="58" t="s">
        <v>9</v>
      </c>
      <c r="H30" s="58" t="s">
        <v>9</v>
      </c>
      <c r="I30" s="58" t="s">
        <v>9</v>
      </c>
      <c r="J30" s="58" t="s">
        <v>9</v>
      </c>
      <c r="K30" s="58" t="s">
        <v>9</v>
      </c>
      <c r="L30" s="34" t="str">
        <f t="shared" ref="L30:O62" si="9">SUBSTITUTE(CONCATENATE("", C30), ".", " ")</f>
        <v>De Materialidade</v>
      </c>
      <c r="M30" s="34" t="str">
        <f t="shared" si="9"/>
        <v>Material Construtivo</v>
      </c>
      <c r="N30" s="34" t="str">
        <f t="shared" si="9"/>
        <v>Materiais Espumados</v>
      </c>
      <c r="O30" s="34" t="str">
        <f t="shared" si="9"/>
        <v>Espuma Expandida</v>
      </c>
      <c r="P30" s="66" t="s">
        <v>380</v>
      </c>
      <c r="Q30" s="69" t="s">
        <v>381</v>
      </c>
      <c r="R30" s="69" t="s">
        <v>382</v>
      </c>
      <c r="S30" s="71" t="s">
        <v>9</v>
      </c>
      <c r="T30" s="30" t="str">
        <f t="shared" si="5"/>
        <v>De Materialidade</v>
      </c>
      <c r="U30" s="30" t="str">
        <f t="shared" si="5"/>
        <v>Material Construtivo</v>
      </c>
      <c r="V30" s="30" t="str">
        <f t="shared" si="5"/>
        <v>Materiais Espumados</v>
      </c>
      <c r="W30" s="30" t="s">
        <v>106</v>
      </c>
      <c r="X30" s="59" t="str">
        <f t="shared" si="3"/>
        <v>Key-FMOT-30</v>
      </c>
      <c r="Y30" s="30" t="s">
        <v>383</v>
      </c>
      <c r="Z30" s="67" t="s">
        <v>9</v>
      </c>
      <c r="AA30" s="30" t="s">
        <v>242</v>
      </c>
      <c r="AB30" s="67" t="s">
        <v>9</v>
      </c>
      <c r="AC30" s="30" t="s">
        <v>384</v>
      </c>
      <c r="AD30" s="67" t="s">
        <v>9</v>
      </c>
    </row>
    <row r="31" spans="1:30" s="72" customFormat="1" ht="6" customHeight="1" x14ac:dyDescent="0.4">
      <c r="A31" s="57">
        <v>31</v>
      </c>
      <c r="B31" s="1" t="s">
        <v>170</v>
      </c>
      <c r="C31" s="1" t="s">
        <v>240</v>
      </c>
      <c r="D31" s="1" t="s">
        <v>246</v>
      </c>
      <c r="E31" s="1" t="s">
        <v>378</v>
      </c>
      <c r="F31" s="70" t="s">
        <v>385</v>
      </c>
      <c r="G31" s="58" t="s">
        <v>9</v>
      </c>
      <c r="H31" s="58" t="s">
        <v>9</v>
      </c>
      <c r="I31" s="58" t="s">
        <v>9</v>
      </c>
      <c r="J31" s="58" t="s">
        <v>9</v>
      </c>
      <c r="K31" s="58" t="s">
        <v>9</v>
      </c>
      <c r="L31" s="34" t="str">
        <f t="shared" si="9"/>
        <v>De Materialidade</v>
      </c>
      <c r="M31" s="34" t="str">
        <f t="shared" si="9"/>
        <v>Material Construtivo</v>
      </c>
      <c r="N31" s="34" t="str">
        <f t="shared" si="9"/>
        <v>Materiais Espumados</v>
      </c>
      <c r="O31" s="34" t="str">
        <f t="shared" si="9"/>
        <v>Espuma MPU</v>
      </c>
      <c r="P31" s="66" t="s">
        <v>386</v>
      </c>
      <c r="Q31" s="69" t="s">
        <v>387</v>
      </c>
      <c r="R31" s="69" t="s">
        <v>388</v>
      </c>
      <c r="S31" s="71" t="s">
        <v>9</v>
      </c>
      <c r="T31" s="30" t="str">
        <f t="shared" si="5"/>
        <v>De Materialidade</v>
      </c>
      <c r="U31" s="30" t="str">
        <f t="shared" si="5"/>
        <v>Material Construtivo</v>
      </c>
      <c r="V31" s="30" t="str">
        <f t="shared" si="5"/>
        <v>Materiais Espumados</v>
      </c>
      <c r="W31" s="30" t="s">
        <v>106</v>
      </c>
      <c r="X31" s="59" t="str">
        <f t="shared" si="3"/>
        <v>Key-FMOT-31</v>
      </c>
      <c r="Y31" s="30" t="s">
        <v>383</v>
      </c>
      <c r="Z31" s="67" t="s">
        <v>9</v>
      </c>
      <c r="AA31" s="30" t="s">
        <v>242</v>
      </c>
      <c r="AB31" s="67" t="s">
        <v>9</v>
      </c>
      <c r="AC31" s="30" t="s">
        <v>384</v>
      </c>
      <c r="AD31" s="67" t="s">
        <v>9</v>
      </c>
    </row>
    <row r="32" spans="1:30" s="72" customFormat="1" ht="6" customHeight="1" x14ac:dyDescent="0.4">
      <c r="A32" s="57">
        <v>32</v>
      </c>
      <c r="B32" s="1" t="s">
        <v>170</v>
      </c>
      <c r="C32" s="1" t="s">
        <v>240</v>
      </c>
      <c r="D32" s="1" t="s">
        <v>246</v>
      </c>
      <c r="E32" s="1" t="s">
        <v>378</v>
      </c>
      <c r="F32" s="70" t="s">
        <v>389</v>
      </c>
      <c r="G32" s="58" t="s">
        <v>9</v>
      </c>
      <c r="H32" s="58" t="s">
        <v>9</v>
      </c>
      <c r="I32" s="58" t="s">
        <v>9</v>
      </c>
      <c r="J32" s="58" t="s">
        <v>9</v>
      </c>
      <c r="K32" s="58" t="s">
        <v>9</v>
      </c>
      <c r="L32" s="34" t="str">
        <f t="shared" si="9"/>
        <v>De Materialidade</v>
      </c>
      <c r="M32" s="34" t="str">
        <f t="shared" si="9"/>
        <v>Material Construtivo</v>
      </c>
      <c r="N32" s="34" t="str">
        <f t="shared" si="9"/>
        <v>Materiais Espumados</v>
      </c>
      <c r="O32" s="34" t="str">
        <f t="shared" si="9"/>
        <v>Espuma PIR</v>
      </c>
      <c r="P32" s="66" t="s">
        <v>390</v>
      </c>
      <c r="Q32" s="69" t="s">
        <v>391</v>
      </c>
      <c r="R32" s="69" t="s">
        <v>392</v>
      </c>
      <c r="S32" s="71" t="s">
        <v>9</v>
      </c>
      <c r="T32" s="30" t="str">
        <f t="shared" si="5"/>
        <v>De Materialidade</v>
      </c>
      <c r="U32" s="30" t="str">
        <f t="shared" si="5"/>
        <v>Material Construtivo</v>
      </c>
      <c r="V32" s="30" t="str">
        <f t="shared" si="5"/>
        <v>Materiais Espumados</v>
      </c>
      <c r="W32" s="30" t="s">
        <v>106</v>
      </c>
      <c r="X32" s="59" t="str">
        <f t="shared" si="3"/>
        <v>Key-FMOT-32</v>
      </c>
      <c r="Y32" s="30" t="s">
        <v>383</v>
      </c>
      <c r="Z32" s="67" t="s">
        <v>9</v>
      </c>
      <c r="AA32" s="30" t="s">
        <v>242</v>
      </c>
      <c r="AB32" s="67" t="s">
        <v>9</v>
      </c>
      <c r="AC32" s="30" t="s">
        <v>384</v>
      </c>
      <c r="AD32" s="67" t="s">
        <v>9</v>
      </c>
    </row>
    <row r="33" spans="1:30" s="72" customFormat="1" ht="6" customHeight="1" x14ac:dyDescent="0.4">
      <c r="A33" s="57">
        <v>33</v>
      </c>
      <c r="B33" s="1" t="s">
        <v>170</v>
      </c>
      <c r="C33" s="1" t="s">
        <v>240</v>
      </c>
      <c r="D33" s="1" t="s">
        <v>246</v>
      </c>
      <c r="E33" s="1" t="s">
        <v>378</v>
      </c>
      <c r="F33" s="70" t="s">
        <v>393</v>
      </c>
      <c r="G33" s="58" t="s">
        <v>9</v>
      </c>
      <c r="H33" s="58" t="s">
        <v>9</v>
      </c>
      <c r="I33" s="58" t="s">
        <v>9</v>
      </c>
      <c r="J33" s="58" t="s">
        <v>9</v>
      </c>
      <c r="K33" s="58" t="s">
        <v>9</v>
      </c>
      <c r="L33" s="34" t="str">
        <f t="shared" si="9"/>
        <v>De Materialidade</v>
      </c>
      <c r="M33" s="34" t="str">
        <f t="shared" si="9"/>
        <v>Material Construtivo</v>
      </c>
      <c r="N33" s="34" t="str">
        <f t="shared" si="9"/>
        <v>Materiais Espumados</v>
      </c>
      <c r="O33" s="34" t="str">
        <f t="shared" si="9"/>
        <v>Espuma PUR</v>
      </c>
      <c r="P33" s="66" t="s">
        <v>394</v>
      </c>
      <c r="Q33" s="69" t="s">
        <v>395</v>
      </c>
      <c r="R33" s="69" t="s">
        <v>396</v>
      </c>
      <c r="S33" s="71" t="s">
        <v>9</v>
      </c>
      <c r="T33" s="30" t="str">
        <f t="shared" si="5"/>
        <v>De Materialidade</v>
      </c>
      <c r="U33" s="30" t="str">
        <f t="shared" si="5"/>
        <v>Material Construtivo</v>
      </c>
      <c r="V33" s="30" t="str">
        <f t="shared" si="5"/>
        <v>Materiais Espumados</v>
      </c>
      <c r="W33" s="30" t="s">
        <v>106</v>
      </c>
      <c r="X33" s="59" t="str">
        <f t="shared" si="3"/>
        <v>Key-FMOT-33</v>
      </c>
      <c r="Y33" s="30" t="s">
        <v>383</v>
      </c>
      <c r="Z33" s="67" t="s">
        <v>9</v>
      </c>
      <c r="AA33" s="30" t="s">
        <v>242</v>
      </c>
      <c r="AB33" s="67" t="s">
        <v>9</v>
      </c>
      <c r="AC33" s="30" t="s">
        <v>384</v>
      </c>
      <c r="AD33" s="67" t="s">
        <v>9</v>
      </c>
    </row>
    <row r="34" spans="1:30" s="72" customFormat="1" ht="6" customHeight="1" x14ac:dyDescent="0.4">
      <c r="A34" s="57">
        <v>34</v>
      </c>
      <c r="B34" s="1" t="s">
        <v>170</v>
      </c>
      <c r="C34" s="1" t="s">
        <v>240</v>
      </c>
      <c r="D34" s="1" t="s">
        <v>246</v>
      </c>
      <c r="E34" s="1" t="s">
        <v>397</v>
      </c>
      <c r="F34" s="70" t="s">
        <v>398</v>
      </c>
      <c r="G34" s="58" t="s">
        <v>9</v>
      </c>
      <c r="H34" s="58" t="s">
        <v>9</v>
      </c>
      <c r="I34" s="58" t="s">
        <v>9</v>
      </c>
      <c r="J34" s="58" t="s">
        <v>9</v>
      </c>
      <c r="K34" s="58" t="s">
        <v>9</v>
      </c>
      <c r="L34" s="34" t="str">
        <f t="shared" si="9"/>
        <v>De Materialidade</v>
      </c>
      <c r="M34" s="34" t="str">
        <f t="shared" si="9"/>
        <v>Material Construtivo</v>
      </c>
      <c r="N34" s="34" t="str">
        <f t="shared" si="9"/>
        <v>Materiais Isolantes</v>
      </c>
      <c r="O34" s="34" t="str">
        <f t="shared" si="9"/>
        <v xml:space="preserve">Lã de Rocha </v>
      </c>
      <c r="P34" s="66" t="s">
        <v>399</v>
      </c>
      <c r="Q34" s="69" t="s">
        <v>400</v>
      </c>
      <c r="R34" s="69" t="s">
        <v>401</v>
      </c>
      <c r="S34" s="71" t="s">
        <v>9</v>
      </c>
      <c r="T34" s="30" t="str">
        <f t="shared" si="5"/>
        <v>De Materialidade</v>
      </c>
      <c r="U34" s="30" t="str">
        <f t="shared" si="5"/>
        <v>Material Construtivo</v>
      </c>
      <c r="V34" s="30" t="str">
        <f t="shared" si="5"/>
        <v>Materiais Isolantes</v>
      </c>
      <c r="W34" s="30" t="s">
        <v>106</v>
      </c>
      <c r="X34" s="59" t="str">
        <f t="shared" si="3"/>
        <v>Key-FMOT-34</v>
      </c>
      <c r="Y34" s="30" t="s">
        <v>383</v>
      </c>
      <c r="Z34" s="67" t="s">
        <v>9</v>
      </c>
      <c r="AA34" s="30" t="s">
        <v>242</v>
      </c>
      <c r="AB34" s="67" t="s">
        <v>9</v>
      </c>
      <c r="AC34" s="30" t="s">
        <v>384</v>
      </c>
      <c r="AD34" s="67" t="s">
        <v>9</v>
      </c>
    </row>
    <row r="35" spans="1:30" s="72" customFormat="1" ht="6" customHeight="1" x14ac:dyDescent="0.4">
      <c r="A35" s="57">
        <v>35</v>
      </c>
      <c r="B35" s="1" t="s">
        <v>170</v>
      </c>
      <c r="C35" s="1" t="s">
        <v>240</v>
      </c>
      <c r="D35" s="1" t="s">
        <v>246</v>
      </c>
      <c r="E35" s="1" t="s">
        <v>397</v>
      </c>
      <c r="F35" s="70" t="s">
        <v>402</v>
      </c>
      <c r="G35" s="58" t="s">
        <v>9</v>
      </c>
      <c r="H35" s="58" t="s">
        <v>9</v>
      </c>
      <c r="I35" s="58" t="s">
        <v>9</v>
      </c>
      <c r="J35" s="58" t="s">
        <v>9</v>
      </c>
      <c r="K35" s="58" t="s">
        <v>9</v>
      </c>
      <c r="L35" s="34" t="str">
        <f t="shared" si="9"/>
        <v>De Materialidade</v>
      </c>
      <c r="M35" s="34" t="str">
        <f t="shared" si="9"/>
        <v>Material Construtivo</v>
      </c>
      <c r="N35" s="34" t="str">
        <f t="shared" si="9"/>
        <v>Materiais Isolantes</v>
      </c>
      <c r="O35" s="34" t="str">
        <f t="shared" si="9"/>
        <v xml:space="preserve">Lã de Vidro </v>
      </c>
      <c r="P35" s="66" t="s">
        <v>403</v>
      </c>
      <c r="Q35" s="69" t="s">
        <v>404</v>
      </c>
      <c r="R35" s="69" t="s">
        <v>405</v>
      </c>
      <c r="S35" s="71" t="s">
        <v>9</v>
      </c>
      <c r="T35" s="30" t="str">
        <f t="shared" si="5"/>
        <v>De Materialidade</v>
      </c>
      <c r="U35" s="30" t="str">
        <f t="shared" si="5"/>
        <v>Material Construtivo</v>
      </c>
      <c r="V35" s="30" t="str">
        <f t="shared" si="5"/>
        <v>Materiais Isolantes</v>
      </c>
      <c r="W35" s="30" t="s">
        <v>106</v>
      </c>
      <c r="X35" s="59" t="str">
        <f t="shared" si="3"/>
        <v>Key-FMOT-35</v>
      </c>
      <c r="Y35" s="30" t="s">
        <v>383</v>
      </c>
      <c r="Z35" s="67" t="s">
        <v>9</v>
      </c>
      <c r="AA35" s="30" t="s">
        <v>242</v>
      </c>
      <c r="AB35" s="67" t="s">
        <v>9</v>
      </c>
      <c r="AC35" s="30" t="s">
        <v>384</v>
      </c>
      <c r="AD35" s="67" t="s">
        <v>9</v>
      </c>
    </row>
    <row r="36" spans="1:30" s="72" customFormat="1" ht="6" customHeight="1" x14ac:dyDescent="0.4">
      <c r="A36" s="57">
        <v>36</v>
      </c>
      <c r="B36" s="1" t="s">
        <v>170</v>
      </c>
      <c r="C36" s="1" t="s">
        <v>240</v>
      </c>
      <c r="D36" s="1" t="s">
        <v>246</v>
      </c>
      <c r="E36" s="1" t="s">
        <v>397</v>
      </c>
      <c r="F36" s="70" t="s">
        <v>406</v>
      </c>
      <c r="G36" s="58" t="s">
        <v>9</v>
      </c>
      <c r="H36" s="58" t="s">
        <v>9</v>
      </c>
      <c r="I36" s="58" t="s">
        <v>9</v>
      </c>
      <c r="J36" s="58" t="s">
        <v>9</v>
      </c>
      <c r="K36" s="58" t="s">
        <v>9</v>
      </c>
      <c r="L36" s="34" t="str">
        <f t="shared" si="9"/>
        <v>De Materialidade</v>
      </c>
      <c r="M36" s="34" t="str">
        <f t="shared" si="9"/>
        <v>Material Construtivo</v>
      </c>
      <c r="N36" s="34" t="str">
        <f t="shared" si="9"/>
        <v>Materiais Isolantes</v>
      </c>
      <c r="O36" s="34" t="str">
        <f t="shared" si="9"/>
        <v>Borracha Antivibratória</v>
      </c>
      <c r="P36" s="66" t="s">
        <v>407</v>
      </c>
      <c r="Q36" s="69" t="s">
        <v>408</v>
      </c>
      <c r="R36" s="69" t="s">
        <v>409</v>
      </c>
      <c r="S36" s="71" t="s">
        <v>9</v>
      </c>
      <c r="T36" s="30" t="str">
        <f t="shared" si="5"/>
        <v>De Materialidade</v>
      </c>
      <c r="U36" s="30" t="str">
        <f t="shared" si="5"/>
        <v>Material Construtivo</v>
      </c>
      <c r="V36" s="30" t="str">
        <f t="shared" si="5"/>
        <v>Materiais Isolantes</v>
      </c>
      <c r="W36" s="30" t="s">
        <v>106</v>
      </c>
      <c r="X36" s="59" t="str">
        <f t="shared" si="3"/>
        <v>Key-FMOT-36</v>
      </c>
      <c r="Y36" s="30" t="s">
        <v>383</v>
      </c>
      <c r="Z36" s="67" t="s">
        <v>9</v>
      </c>
      <c r="AA36" s="30" t="s">
        <v>242</v>
      </c>
      <c r="AB36" s="67" t="s">
        <v>9</v>
      </c>
      <c r="AC36" s="30" t="s">
        <v>384</v>
      </c>
      <c r="AD36" s="67" t="s">
        <v>9</v>
      </c>
    </row>
    <row r="37" spans="1:30" s="72" customFormat="1" ht="6" customHeight="1" x14ac:dyDescent="0.4">
      <c r="A37" s="57">
        <v>37</v>
      </c>
      <c r="B37" s="1" t="s">
        <v>170</v>
      </c>
      <c r="C37" s="1" t="s">
        <v>240</v>
      </c>
      <c r="D37" s="1" t="s">
        <v>246</v>
      </c>
      <c r="E37" s="1" t="s">
        <v>397</v>
      </c>
      <c r="F37" s="70" t="s">
        <v>410</v>
      </c>
      <c r="G37" s="58" t="s">
        <v>9</v>
      </c>
      <c r="H37" s="58" t="s">
        <v>9</v>
      </c>
      <c r="I37" s="58" t="s">
        <v>9</v>
      </c>
      <c r="J37" s="58" t="s">
        <v>9</v>
      </c>
      <c r="K37" s="58" t="s">
        <v>9</v>
      </c>
      <c r="L37" s="34" t="str">
        <f t="shared" si="9"/>
        <v>De Materialidade</v>
      </c>
      <c r="M37" s="34" t="str">
        <f t="shared" si="9"/>
        <v>Material Construtivo</v>
      </c>
      <c r="N37" s="34" t="str">
        <f t="shared" si="9"/>
        <v>Materiais Isolantes</v>
      </c>
      <c r="O37" s="34" t="str">
        <f t="shared" si="9"/>
        <v>Borracha Elastomérica</v>
      </c>
      <c r="P37" s="66" t="s">
        <v>411</v>
      </c>
      <c r="Q37" s="69" t="s">
        <v>412</v>
      </c>
      <c r="R37" s="69" t="s">
        <v>413</v>
      </c>
      <c r="S37" s="71" t="s">
        <v>9</v>
      </c>
      <c r="T37" s="30" t="str">
        <f t="shared" si="5"/>
        <v>De Materialidade</v>
      </c>
      <c r="U37" s="30" t="str">
        <f t="shared" si="5"/>
        <v>Material Construtivo</v>
      </c>
      <c r="V37" s="30" t="str">
        <f t="shared" si="5"/>
        <v>Materiais Isolantes</v>
      </c>
      <c r="W37" s="30" t="s">
        <v>106</v>
      </c>
      <c r="X37" s="59" t="str">
        <f t="shared" si="3"/>
        <v>Key-FMOT-37</v>
      </c>
      <c r="Y37" s="30" t="s">
        <v>383</v>
      </c>
      <c r="Z37" s="67" t="s">
        <v>9</v>
      </c>
      <c r="AA37" s="30" t="s">
        <v>242</v>
      </c>
      <c r="AB37" s="67" t="s">
        <v>9</v>
      </c>
      <c r="AC37" s="30" t="s">
        <v>384</v>
      </c>
      <c r="AD37" s="67" t="s">
        <v>9</v>
      </c>
    </row>
    <row r="38" spans="1:30" s="72" customFormat="1" ht="6" customHeight="1" x14ac:dyDescent="0.4">
      <c r="A38" s="57">
        <v>38</v>
      </c>
      <c r="B38" s="1" t="s">
        <v>170</v>
      </c>
      <c r="C38" s="1" t="s">
        <v>240</v>
      </c>
      <c r="D38" s="1" t="s">
        <v>246</v>
      </c>
      <c r="E38" s="1" t="s">
        <v>414</v>
      </c>
      <c r="F38" s="70" t="s">
        <v>415</v>
      </c>
      <c r="G38" s="58" t="s">
        <v>9</v>
      </c>
      <c r="H38" s="58" t="s">
        <v>9</v>
      </c>
      <c r="I38" s="58" t="s">
        <v>9</v>
      </c>
      <c r="J38" s="58" t="s">
        <v>9</v>
      </c>
      <c r="K38" s="58" t="s">
        <v>9</v>
      </c>
      <c r="L38" s="34" t="str">
        <f t="shared" si="9"/>
        <v>De Materialidade</v>
      </c>
      <c r="M38" s="34" t="str">
        <f t="shared" si="9"/>
        <v>Material Construtivo</v>
      </c>
      <c r="N38" s="34" t="str">
        <f t="shared" si="9"/>
        <v>Materiais Selantes</v>
      </c>
      <c r="O38" s="34" t="str">
        <f t="shared" si="9"/>
        <v>Vedante Mastique</v>
      </c>
      <c r="P38" s="66" t="s">
        <v>416</v>
      </c>
      <c r="Q38" s="69" t="s">
        <v>417</v>
      </c>
      <c r="R38" s="69" t="s">
        <v>418</v>
      </c>
      <c r="S38" s="71" t="s">
        <v>9</v>
      </c>
      <c r="T38" s="30" t="str">
        <f t="shared" si="5"/>
        <v>De Materialidade</v>
      </c>
      <c r="U38" s="30" t="str">
        <f t="shared" si="5"/>
        <v>Material Construtivo</v>
      </c>
      <c r="V38" s="30" t="str">
        <f t="shared" si="5"/>
        <v>Materiais Selantes</v>
      </c>
      <c r="W38" s="30" t="s">
        <v>106</v>
      </c>
      <c r="X38" s="59" t="str">
        <f t="shared" si="3"/>
        <v>Key-FMOT-38</v>
      </c>
      <c r="Y38" s="30" t="s">
        <v>383</v>
      </c>
      <c r="Z38" s="67" t="s">
        <v>9</v>
      </c>
      <c r="AA38" s="30" t="s">
        <v>242</v>
      </c>
      <c r="AB38" s="67" t="s">
        <v>9</v>
      </c>
      <c r="AC38" s="30" t="s">
        <v>384</v>
      </c>
      <c r="AD38" s="67" t="s">
        <v>9</v>
      </c>
    </row>
    <row r="39" spans="1:30" s="72" customFormat="1" ht="6" customHeight="1" x14ac:dyDescent="0.4">
      <c r="A39" s="57">
        <v>39</v>
      </c>
      <c r="B39" s="1" t="s">
        <v>170</v>
      </c>
      <c r="C39" s="1" t="s">
        <v>240</v>
      </c>
      <c r="D39" s="1" t="s">
        <v>246</v>
      </c>
      <c r="E39" s="1" t="s">
        <v>414</v>
      </c>
      <c r="F39" s="70" t="s">
        <v>419</v>
      </c>
      <c r="G39" s="58" t="s">
        <v>9</v>
      </c>
      <c r="H39" s="58" t="s">
        <v>9</v>
      </c>
      <c r="I39" s="58" t="s">
        <v>9</v>
      </c>
      <c r="J39" s="58" t="s">
        <v>9</v>
      </c>
      <c r="K39" s="58" t="s">
        <v>9</v>
      </c>
      <c r="L39" s="34" t="str">
        <f t="shared" si="9"/>
        <v>De Materialidade</v>
      </c>
      <c r="M39" s="34" t="str">
        <f t="shared" si="9"/>
        <v>Material Construtivo</v>
      </c>
      <c r="N39" s="34" t="str">
        <f t="shared" si="9"/>
        <v>Materiais Selantes</v>
      </c>
      <c r="O39" s="34" t="str">
        <f t="shared" si="9"/>
        <v>Vedante Plástico ABS</v>
      </c>
      <c r="P39" s="66" t="s">
        <v>420</v>
      </c>
      <c r="Q39" s="69" t="s">
        <v>421</v>
      </c>
      <c r="R39" s="69" t="s">
        <v>422</v>
      </c>
      <c r="S39" s="71" t="s">
        <v>9</v>
      </c>
      <c r="T39" s="30" t="str">
        <f t="shared" si="5"/>
        <v>De Materialidade</v>
      </c>
      <c r="U39" s="30" t="str">
        <f t="shared" si="5"/>
        <v>Material Construtivo</v>
      </c>
      <c r="V39" s="30" t="str">
        <f t="shared" si="5"/>
        <v>Materiais Selantes</v>
      </c>
      <c r="W39" s="30" t="s">
        <v>106</v>
      </c>
      <c r="X39" s="59" t="str">
        <f t="shared" si="3"/>
        <v>Key-FMOT-39</v>
      </c>
      <c r="Y39" s="30" t="s">
        <v>383</v>
      </c>
      <c r="Z39" s="67" t="s">
        <v>9</v>
      </c>
      <c r="AA39" s="30" t="s">
        <v>242</v>
      </c>
      <c r="AB39" s="67" t="s">
        <v>9</v>
      </c>
      <c r="AC39" s="30" t="s">
        <v>384</v>
      </c>
      <c r="AD39" s="67" t="s">
        <v>9</v>
      </c>
    </row>
    <row r="40" spans="1:30" s="72" customFormat="1" ht="6" customHeight="1" x14ac:dyDescent="0.4">
      <c r="A40" s="57">
        <v>40</v>
      </c>
      <c r="B40" s="1" t="s">
        <v>170</v>
      </c>
      <c r="C40" s="1" t="s">
        <v>240</v>
      </c>
      <c r="D40" s="1" t="s">
        <v>246</v>
      </c>
      <c r="E40" s="1" t="s">
        <v>414</v>
      </c>
      <c r="F40" s="70" t="s">
        <v>423</v>
      </c>
      <c r="G40" s="58" t="s">
        <v>9</v>
      </c>
      <c r="H40" s="58" t="s">
        <v>9</v>
      </c>
      <c r="I40" s="58" t="s">
        <v>9</v>
      </c>
      <c r="J40" s="58" t="s">
        <v>9</v>
      </c>
      <c r="K40" s="58" t="s">
        <v>9</v>
      </c>
      <c r="L40" s="34" t="str">
        <f t="shared" si="9"/>
        <v>De Materialidade</v>
      </c>
      <c r="M40" s="34" t="str">
        <f t="shared" si="9"/>
        <v>Material Construtivo</v>
      </c>
      <c r="N40" s="34" t="str">
        <f t="shared" si="9"/>
        <v>Materiais Selantes</v>
      </c>
      <c r="O40" s="34" t="str">
        <f t="shared" si="9"/>
        <v>Vedante de Silicone</v>
      </c>
      <c r="P40" s="66" t="s">
        <v>416</v>
      </c>
      <c r="Q40" s="69" t="s">
        <v>417</v>
      </c>
      <c r="R40" s="69" t="s">
        <v>418</v>
      </c>
      <c r="S40" s="71" t="s">
        <v>9</v>
      </c>
      <c r="T40" s="30" t="str">
        <f t="shared" si="5"/>
        <v>De Materialidade</v>
      </c>
      <c r="U40" s="30" t="str">
        <f t="shared" si="5"/>
        <v>Material Construtivo</v>
      </c>
      <c r="V40" s="30" t="str">
        <f t="shared" si="5"/>
        <v>Materiais Selantes</v>
      </c>
      <c r="W40" s="30" t="s">
        <v>106</v>
      </c>
      <c r="X40" s="59" t="str">
        <f t="shared" si="3"/>
        <v>Key-FMOT-40</v>
      </c>
      <c r="Y40" s="30" t="s">
        <v>383</v>
      </c>
      <c r="Z40" s="67" t="s">
        <v>9</v>
      </c>
      <c r="AA40" s="30" t="s">
        <v>242</v>
      </c>
      <c r="AB40" s="67" t="s">
        <v>9</v>
      </c>
      <c r="AC40" s="30" t="s">
        <v>384</v>
      </c>
      <c r="AD40" s="67" t="s">
        <v>9</v>
      </c>
    </row>
    <row r="41" spans="1:30" s="72" customFormat="1" ht="6" customHeight="1" x14ac:dyDescent="0.4">
      <c r="A41" s="57">
        <v>41</v>
      </c>
      <c r="B41" s="1" t="s">
        <v>170</v>
      </c>
      <c r="C41" s="1" t="s">
        <v>240</v>
      </c>
      <c r="D41" s="1" t="s">
        <v>246</v>
      </c>
      <c r="E41" s="1" t="s">
        <v>424</v>
      </c>
      <c r="F41" s="70" t="s">
        <v>425</v>
      </c>
      <c r="G41" s="58" t="s">
        <v>9</v>
      </c>
      <c r="H41" s="58" t="s">
        <v>9</v>
      </c>
      <c r="I41" s="58" t="s">
        <v>9</v>
      </c>
      <c r="J41" s="58" t="s">
        <v>9</v>
      </c>
      <c r="K41" s="58" t="s">
        <v>9</v>
      </c>
      <c r="L41" s="34" t="str">
        <f t="shared" si="9"/>
        <v>De Materialidade</v>
      </c>
      <c r="M41" s="34" t="str">
        <f t="shared" si="9"/>
        <v>Material Construtivo</v>
      </c>
      <c r="N41" s="34" t="str">
        <f t="shared" si="9"/>
        <v>Materiais em Peças Metálicas</v>
      </c>
      <c r="O41" s="34" t="str">
        <f t="shared" si="9"/>
        <v>Alumínio Anodizado</v>
      </c>
      <c r="P41" s="66" t="s">
        <v>426</v>
      </c>
      <c r="Q41" s="69" t="s">
        <v>427</v>
      </c>
      <c r="R41" s="69" t="s">
        <v>428</v>
      </c>
      <c r="S41" s="71" t="s">
        <v>9</v>
      </c>
      <c r="T41" s="30" t="str">
        <f t="shared" si="5"/>
        <v>De Materialidade</v>
      </c>
      <c r="U41" s="30" t="str">
        <f t="shared" si="5"/>
        <v>Material Construtivo</v>
      </c>
      <c r="V41" s="30" t="str">
        <f t="shared" si="5"/>
        <v>Materiais em Peças Metálicas</v>
      </c>
      <c r="W41" s="30" t="s">
        <v>106</v>
      </c>
      <c r="X41" s="59" t="str">
        <f t="shared" si="3"/>
        <v>Key-FMOT-41</v>
      </c>
      <c r="Y41" s="30" t="s">
        <v>383</v>
      </c>
      <c r="Z41" s="67" t="s">
        <v>9</v>
      </c>
      <c r="AA41" s="30" t="s">
        <v>242</v>
      </c>
      <c r="AB41" s="67" t="s">
        <v>9</v>
      </c>
      <c r="AC41" s="30" t="s">
        <v>384</v>
      </c>
      <c r="AD41" s="67" t="s">
        <v>9</v>
      </c>
    </row>
    <row r="42" spans="1:30" s="72" customFormat="1" ht="6" customHeight="1" x14ac:dyDescent="0.4">
      <c r="A42" s="57">
        <v>42</v>
      </c>
      <c r="B42" s="1" t="s">
        <v>170</v>
      </c>
      <c r="C42" s="1" t="s">
        <v>240</v>
      </c>
      <c r="D42" s="1" t="s">
        <v>246</v>
      </c>
      <c r="E42" s="1" t="s">
        <v>429</v>
      </c>
      <c r="F42" s="54" t="s">
        <v>430</v>
      </c>
      <c r="G42" s="58" t="s">
        <v>9</v>
      </c>
      <c r="H42" s="58" t="s">
        <v>9</v>
      </c>
      <c r="I42" s="58" t="s">
        <v>9</v>
      </c>
      <c r="J42" s="58" t="s">
        <v>9</v>
      </c>
      <c r="K42" s="58" t="s">
        <v>9</v>
      </c>
      <c r="L42" s="34" t="str">
        <f t="shared" si="9"/>
        <v>De Materialidade</v>
      </c>
      <c r="M42" s="34" t="str">
        <f t="shared" si="9"/>
        <v>Material Construtivo</v>
      </c>
      <c r="N42" s="34" t="str">
        <f t="shared" si="9"/>
        <v>Quadros Metálicos</v>
      </c>
      <c r="O42" s="34" t="str">
        <f t="shared" si="9"/>
        <v>Quadro Metálico Elétrica</v>
      </c>
      <c r="P42" s="69" t="s">
        <v>431</v>
      </c>
      <c r="Q42" s="69" t="s">
        <v>432</v>
      </c>
      <c r="R42" s="69" t="s">
        <v>433</v>
      </c>
      <c r="S42" s="71" t="s">
        <v>9</v>
      </c>
      <c r="T42" s="30" t="str">
        <f t="shared" si="5"/>
        <v>De Materialidade</v>
      </c>
      <c r="U42" s="30" t="str">
        <f t="shared" si="5"/>
        <v>Material Construtivo</v>
      </c>
      <c r="V42" s="30" t="str">
        <f t="shared" si="5"/>
        <v>Quadros Metálicos</v>
      </c>
      <c r="W42" s="30" t="s">
        <v>106</v>
      </c>
      <c r="X42" s="59" t="str">
        <f t="shared" si="3"/>
        <v>Key-FMOT-42</v>
      </c>
      <c r="Y42" s="30" t="s">
        <v>241</v>
      </c>
      <c r="Z42" s="67" t="s">
        <v>9</v>
      </c>
      <c r="AA42" s="30" t="s">
        <v>242</v>
      </c>
      <c r="AB42" s="67" t="s">
        <v>9</v>
      </c>
      <c r="AC42" s="30" t="s">
        <v>243</v>
      </c>
      <c r="AD42" s="67" t="s">
        <v>9</v>
      </c>
    </row>
    <row r="43" spans="1:30" s="72" customFormat="1" ht="6" customHeight="1" x14ac:dyDescent="0.4">
      <c r="A43" s="57">
        <v>43</v>
      </c>
      <c r="B43" s="1" t="s">
        <v>170</v>
      </c>
      <c r="C43" s="1" t="s">
        <v>240</v>
      </c>
      <c r="D43" s="1" t="s">
        <v>246</v>
      </c>
      <c r="E43" s="1" t="s">
        <v>429</v>
      </c>
      <c r="F43" s="54" t="s">
        <v>434</v>
      </c>
      <c r="G43" s="58" t="s">
        <v>9</v>
      </c>
      <c r="H43" s="58" t="s">
        <v>9</v>
      </c>
      <c r="I43" s="58" t="s">
        <v>9</v>
      </c>
      <c r="J43" s="58" t="s">
        <v>9</v>
      </c>
      <c r="K43" s="58" t="s">
        <v>9</v>
      </c>
      <c r="L43" s="34" t="str">
        <f t="shared" si="9"/>
        <v>De Materialidade</v>
      </c>
      <c r="M43" s="34" t="str">
        <f t="shared" si="9"/>
        <v>Material Construtivo</v>
      </c>
      <c r="N43" s="34" t="str">
        <f t="shared" si="9"/>
        <v>Quadros Metálicos</v>
      </c>
      <c r="O43" s="34" t="str">
        <f t="shared" si="9"/>
        <v>Quadro Metálico Telecom</v>
      </c>
      <c r="P43" s="69" t="s">
        <v>435</v>
      </c>
      <c r="Q43" s="69" t="s">
        <v>436</v>
      </c>
      <c r="R43" s="69" t="s">
        <v>437</v>
      </c>
      <c r="S43" s="71" t="s">
        <v>9</v>
      </c>
      <c r="T43" s="30" t="str">
        <f t="shared" si="5"/>
        <v>De Materialidade</v>
      </c>
      <c r="U43" s="30" t="str">
        <f t="shared" si="5"/>
        <v>Material Construtivo</v>
      </c>
      <c r="V43" s="30" t="str">
        <f t="shared" si="5"/>
        <v>Quadros Metálicos</v>
      </c>
      <c r="W43" s="30" t="s">
        <v>106</v>
      </c>
      <c r="X43" s="59" t="str">
        <f t="shared" si="3"/>
        <v>Key-FMOT-43</v>
      </c>
      <c r="Y43" s="30" t="s">
        <v>241</v>
      </c>
      <c r="Z43" s="67" t="s">
        <v>9</v>
      </c>
      <c r="AA43" s="30" t="s">
        <v>242</v>
      </c>
      <c r="AB43" s="67" t="s">
        <v>9</v>
      </c>
      <c r="AC43" s="30" t="s">
        <v>243</v>
      </c>
      <c r="AD43" s="67" t="s">
        <v>9</v>
      </c>
    </row>
    <row r="44" spans="1:30" s="72" customFormat="1" ht="6" customHeight="1" x14ac:dyDescent="0.4">
      <c r="A44" s="57">
        <v>44</v>
      </c>
      <c r="B44" s="1" t="s">
        <v>170</v>
      </c>
      <c r="C44" s="1" t="s">
        <v>240</v>
      </c>
      <c r="D44" s="1" t="s">
        <v>246</v>
      </c>
      <c r="E44" s="1" t="s">
        <v>438</v>
      </c>
      <c r="F44" s="54" t="s">
        <v>439</v>
      </c>
      <c r="G44" s="58" t="s">
        <v>9</v>
      </c>
      <c r="H44" s="58" t="s">
        <v>9</v>
      </c>
      <c r="I44" s="58" t="s">
        <v>9</v>
      </c>
      <c r="J44" s="58" t="s">
        <v>9</v>
      </c>
      <c r="K44" s="58" t="s">
        <v>9</v>
      </c>
      <c r="L44" s="34" t="str">
        <f t="shared" si="9"/>
        <v>De Materialidade</v>
      </c>
      <c r="M44" s="34" t="str">
        <f t="shared" si="9"/>
        <v>Material Construtivo</v>
      </c>
      <c r="N44" s="34" t="str">
        <f t="shared" si="9"/>
        <v>Quadros Plásticos</v>
      </c>
      <c r="O44" s="34" t="str">
        <f t="shared" si="9"/>
        <v>Quadro PVC Elétrica</v>
      </c>
      <c r="P44" s="69" t="s">
        <v>440</v>
      </c>
      <c r="Q44" s="69" t="s">
        <v>441</v>
      </c>
      <c r="R44" s="69" t="s">
        <v>442</v>
      </c>
      <c r="S44" s="71" t="s">
        <v>9</v>
      </c>
      <c r="T44" s="30" t="str">
        <f t="shared" si="5"/>
        <v>De Materialidade</v>
      </c>
      <c r="U44" s="30" t="str">
        <f t="shared" si="5"/>
        <v>Material Construtivo</v>
      </c>
      <c r="V44" s="30" t="str">
        <f t="shared" si="5"/>
        <v>Quadros Plásticos</v>
      </c>
      <c r="W44" s="30" t="s">
        <v>106</v>
      </c>
      <c r="X44" s="59" t="str">
        <f t="shared" si="3"/>
        <v>Key-FMOT-44</v>
      </c>
      <c r="Y44" s="30" t="s">
        <v>241</v>
      </c>
      <c r="Z44" s="67" t="s">
        <v>9</v>
      </c>
      <c r="AA44" s="30" t="s">
        <v>242</v>
      </c>
      <c r="AB44" s="67" t="s">
        <v>9</v>
      </c>
      <c r="AC44" s="30" t="s">
        <v>243</v>
      </c>
      <c r="AD44" s="67" t="s">
        <v>9</v>
      </c>
    </row>
    <row r="45" spans="1:30" s="65" customFormat="1" ht="6" customHeight="1" x14ac:dyDescent="0.4">
      <c r="A45" s="57">
        <v>45</v>
      </c>
      <c r="B45" s="1" t="s">
        <v>170</v>
      </c>
      <c r="C45" s="1" t="s">
        <v>240</v>
      </c>
      <c r="D45" s="1" t="s">
        <v>246</v>
      </c>
      <c r="E45" s="1" t="s">
        <v>438</v>
      </c>
      <c r="F45" s="54" t="s">
        <v>443</v>
      </c>
      <c r="G45" s="58" t="s">
        <v>9</v>
      </c>
      <c r="H45" s="58" t="s">
        <v>9</v>
      </c>
      <c r="I45" s="58" t="s">
        <v>9</v>
      </c>
      <c r="J45" s="58" t="s">
        <v>9</v>
      </c>
      <c r="K45" s="58" t="s">
        <v>9</v>
      </c>
      <c r="L45" s="34" t="str">
        <f t="shared" si="9"/>
        <v>De Materialidade</v>
      </c>
      <c r="M45" s="34" t="str">
        <f t="shared" si="9"/>
        <v>Material Construtivo</v>
      </c>
      <c r="N45" s="34" t="str">
        <f t="shared" si="9"/>
        <v>Quadros Plásticos</v>
      </c>
      <c r="O45" s="34" t="str">
        <f t="shared" si="9"/>
        <v>Quadro PVC Telecom</v>
      </c>
      <c r="P45" s="69" t="s">
        <v>444</v>
      </c>
      <c r="Q45" s="69" t="s">
        <v>445</v>
      </c>
      <c r="R45" s="69" t="s">
        <v>446</v>
      </c>
      <c r="S45" s="71" t="s">
        <v>9</v>
      </c>
      <c r="T45" s="30" t="str">
        <f t="shared" si="5"/>
        <v>De Materialidade</v>
      </c>
      <c r="U45" s="30" t="str">
        <f t="shared" si="5"/>
        <v>Material Construtivo</v>
      </c>
      <c r="V45" s="30" t="str">
        <f t="shared" si="5"/>
        <v>Quadros Plásticos</v>
      </c>
      <c r="W45" s="30" t="s">
        <v>106</v>
      </c>
      <c r="X45" s="59" t="str">
        <f t="shared" si="3"/>
        <v>Key-FMOT-45</v>
      </c>
      <c r="Y45" s="30" t="s">
        <v>241</v>
      </c>
      <c r="Z45" s="67" t="s">
        <v>9</v>
      </c>
      <c r="AA45" s="30" t="s">
        <v>242</v>
      </c>
      <c r="AB45" s="67" t="s">
        <v>9</v>
      </c>
      <c r="AC45" s="30" t="s">
        <v>243</v>
      </c>
      <c r="AD45" s="67" t="s">
        <v>9</v>
      </c>
    </row>
    <row r="46" spans="1:30" s="65" customFormat="1" ht="6" customHeight="1" x14ac:dyDescent="0.4">
      <c r="A46" s="57">
        <v>46</v>
      </c>
      <c r="B46" s="1" t="s">
        <v>170</v>
      </c>
      <c r="C46" s="1" t="s">
        <v>240</v>
      </c>
      <c r="D46" s="1" t="s">
        <v>246</v>
      </c>
      <c r="E46" s="1" t="s">
        <v>447</v>
      </c>
      <c r="F46" s="54" t="s">
        <v>448</v>
      </c>
      <c r="G46" s="58" t="s">
        <v>9</v>
      </c>
      <c r="H46" s="58" t="s">
        <v>9</v>
      </c>
      <c r="I46" s="58" t="s">
        <v>9</v>
      </c>
      <c r="J46" s="58" t="s">
        <v>9</v>
      </c>
      <c r="K46" s="58" t="s">
        <v>9</v>
      </c>
      <c r="L46" s="34" t="str">
        <f t="shared" si="9"/>
        <v>De Materialidade</v>
      </c>
      <c r="M46" s="34" t="str">
        <f t="shared" si="9"/>
        <v>Material Construtivo</v>
      </c>
      <c r="N46" s="34" t="str">
        <f t="shared" si="9"/>
        <v>Tubos Compostos</v>
      </c>
      <c r="O46" s="34" t="str">
        <f t="shared" si="9"/>
        <v>Tubo de Multicamada</v>
      </c>
      <c r="P46" s="69" t="s">
        <v>449</v>
      </c>
      <c r="Q46" s="69" t="s">
        <v>450</v>
      </c>
      <c r="R46" s="69" t="s">
        <v>451</v>
      </c>
      <c r="S46" s="71" t="s">
        <v>9</v>
      </c>
      <c r="T46" s="30" t="str">
        <f t="shared" si="5"/>
        <v>De Materialidade</v>
      </c>
      <c r="U46" s="30" t="str">
        <f t="shared" si="5"/>
        <v>Material Construtivo</v>
      </c>
      <c r="V46" s="30" t="str">
        <f t="shared" si="5"/>
        <v>Tubos Compostos</v>
      </c>
      <c r="W46" s="30" t="s">
        <v>106</v>
      </c>
      <c r="X46" s="59" t="str">
        <f t="shared" si="3"/>
        <v>Key-FMOT-46</v>
      </c>
      <c r="Y46" s="30" t="s">
        <v>383</v>
      </c>
      <c r="Z46" s="67" t="s">
        <v>9</v>
      </c>
      <c r="AA46" s="30" t="s">
        <v>242</v>
      </c>
      <c r="AB46" s="67" t="s">
        <v>9</v>
      </c>
      <c r="AC46" s="30" t="s">
        <v>384</v>
      </c>
      <c r="AD46" s="67" t="s">
        <v>9</v>
      </c>
    </row>
    <row r="47" spans="1:30" s="65" customFormat="1" ht="6" customHeight="1" x14ac:dyDescent="0.4">
      <c r="A47" s="57">
        <v>47</v>
      </c>
      <c r="B47" s="1" t="s">
        <v>170</v>
      </c>
      <c r="C47" s="1" t="s">
        <v>240</v>
      </c>
      <c r="D47" s="1" t="s">
        <v>246</v>
      </c>
      <c r="E47" s="1" t="s">
        <v>452</v>
      </c>
      <c r="F47" s="70" t="s">
        <v>453</v>
      </c>
      <c r="G47" s="58" t="s">
        <v>9</v>
      </c>
      <c r="H47" s="58" t="s">
        <v>9</v>
      </c>
      <c r="I47" s="58" t="s">
        <v>9</v>
      </c>
      <c r="J47" s="58" t="s">
        <v>9</v>
      </c>
      <c r="K47" s="58" t="s">
        <v>9</v>
      </c>
      <c r="L47" s="34" t="str">
        <f t="shared" si="9"/>
        <v>De Materialidade</v>
      </c>
      <c r="M47" s="34" t="str">
        <f t="shared" si="9"/>
        <v>Material Construtivo</v>
      </c>
      <c r="N47" s="34" t="str">
        <f t="shared" si="9"/>
        <v>Tubos Metálicos</v>
      </c>
      <c r="O47" s="34" t="str">
        <f t="shared" si="9"/>
        <v>Tubo de Aço Carbono</v>
      </c>
      <c r="P47" s="66" t="s">
        <v>454</v>
      </c>
      <c r="Q47" s="69" t="s">
        <v>455</v>
      </c>
      <c r="R47" s="69" t="s">
        <v>456</v>
      </c>
      <c r="S47" s="71" t="s">
        <v>9</v>
      </c>
      <c r="T47" s="30" t="str">
        <f t="shared" si="5"/>
        <v>De Materialidade</v>
      </c>
      <c r="U47" s="30" t="str">
        <f t="shared" si="5"/>
        <v>Material Construtivo</v>
      </c>
      <c r="V47" s="30" t="str">
        <f t="shared" si="5"/>
        <v>Tubos Metálicos</v>
      </c>
      <c r="W47" s="30" t="s">
        <v>106</v>
      </c>
      <c r="X47" s="59" t="str">
        <f t="shared" si="3"/>
        <v>Key-FMOT-47</v>
      </c>
      <c r="Y47" s="30" t="s">
        <v>383</v>
      </c>
      <c r="Z47" s="67" t="s">
        <v>9</v>
      </c>
      <c r="AA47" s="30" t="s">
        <v>242</v>
      </c>
      <c r="AB47" s="67" t="s">
        <v>9</v>
      </c>
      <c r="AC47" s="30" t="s">
        <v>384</v>
      </c>
      <c r="AD47" s="67" t="s">
        <v>9</v>
      </c>
    </row>
    <row r="48" spans="1:30" s="65" customFormat="1" ht="6" customHeight="1" x14ac:dyDescent="0.4">
      <c r="A48" s="57">
        <v>48</v>
      </c>
      <c r="B48" s="1" t="s">
        <v>170</v>
      </c>
      <c r="C48" s="1" t="s">
        <v>240</v>
      </c>
      <c r="D48" s="1" t="s">
        <v>246</v>
      </c>
      <c r="E48" s="1" t="s">
        <v>452</v>
      </c>
      <c r="F48" s="54" t="s">
        <v>457</v>
      </c>
      <c r="G48" s="58" t="s">
        <v>9</v>
      </c>
      <c r="H48" s="58" t="s">
        <v>9</v>
      </c>
      <c r="I48" s="58" t="s">
        <v>9</v>
      </c>
      <c r="J48" s="58" t="s">
        <v>9</v>
      </c>
      <c r="K48" s="58" t="s">
        <v>9</v>
      </c>
      <c r="L48" s="34" t="str">
        <f t="shared" si="9"/>
        <v>De Materialidade</v>
      </c>
      <c r="M48" s="34" t="str">
        <f t="shared" si="9"/>
        <v>Material Construtivo</v>
      </c>
      <c r="N48" s="34" t="str">
        <f t="shared" si="9"/>
        <v>Tubos Metálicos</v>
      </c>
      <c r="O48" s="34" t="str">
        <f t="shared" si="9"/>
        <v>Tubo de Aço Costura</v>
      </c>
      <c r="P48" s="69" t="s">
        <v>458</v>
      </c>
      <c r="Q48" s="69" t="s">
        <v>459</v>
      </c>
      <c r="R48" s="69" t="s">
        <v>460</v>
      </c>
      <c r="S48" s="71" t="s">
        <v>9</v>
      </c>
      <c r="T48" s="30" t="str">
        <f t="shared" si="5"/>
        <v>De Materialidade</v>
      </c>
      <c r="U48" s="30" t="str">
        <f t="shared" si="5"/>
        <v>Material Construtivo</v>
      </c>
      <c r="V48" s="30" t="str">
        <f t="shared" si="5"/>
        <v>Tubos Metálicos</v>
      </c>
      <c r="W48" s="30" t="s">
        <v>106</v>
      </c>
      <c r="X48" s="59" t="str">
        <f t="shared" si="3"/>
        <v>Key-FMOT-48</v>
      </c>
      <c r="Y48" s="30" t="s">
        <v>383</v>
      </c>
      <c r="Z48" s="67" t="s">
        <v>9</v>
      </c>
      <c r="AA48" s="30" t="s">
        <v>242</v>
      </c>
      <c r="AB48" s="67" t="s">
        <v>9</v>
      </c>
      <c r="AC48" s="30" t="s">
        <v>461</v>
      </c>
      <c r="AD48" s="67" t="s">
        <v>9</v>
      </c>
    </row>
    <row r="49" spans="1:30" s="65" customFormat="1" ht="6" customHeight="1" x14ac:dyDescent="0.4">
      <c r="A49" s="57">
        <v>49</v>
      </c>
      <c r="B49" s="1" t="s">
        <v>170</v>
      </c>
      <c r="C49" s="1" t="s">
        <v>240</v>
      </c>
      <c r="D49" s="1" t="s">
        <v>246</v>
      </c>
      <c r="E49" s="1" t="s">
        <v>452</v>
      </c>
      <c r="F49" s="70" t="s">
        <v>462</v>
      </c>
      <c r="G49" s="58" t="s">
        <v>9</v>
      </c>
      <c r="H49" s="58" t="s">
        <v>9</v>
      </c>
      <c r="I49" s="58" t="s">
        <v>9</v>
      </c>
      <c r="J49" s="58" t="s">
        <v>9</v>
      </c>
      <c r="K49" s="58" t="s">
        <v>9</v>
      </c>
      <c r="L49" s="34" t="str">
        <f t="shared" si="9"/>
        <v>De Materialidade</v>
      </c>
      <c r="M49" s="34" t="str">
        <f t="shared" si="9"/>
        <v>Material Construtivo</v>
      </c>
      <c r="N49" s="34" t="str">
        <f t="shared" si="9"/>
        <v>Tubos Metálicos</v>
      </c>
      <c r="O49" s="34" t="str">
        <f t="shared" si="9"/>
        <v>Tubo de Aço Galvanizado</v>
      </c>
      <c r="P49" s="66" t="s">
        <v>463</v>
      </c>
      <c r="Q49" s="69" t="s">
        <v>464</v>
      </c>
      <c r="R49" s="69" t="s">
        <v>465</v>
      </c>
      <c r="S49" s="71" t="s">
        <v>9</v>
      </c>
      <c r="T49" s="30" t="str">
        <f t="shared" si="5"/>
        <v>De Materialidade</v>
      </c>
      <c r="U49" s="30" t="str">
        <f t="shared" si="5"/>
        <v>Material Construtivo</v>
      </c>
      <c r="V49" s="30" t="str">
        <f t="shared" si="5"/>
        <v>Tubos Metálicos</v>
      </c>
      <c r="W49" s="30" t="s">
        <v>106</v>
      </c>
      <c r="X49" s="59" t="str">
        <f t="shared" si="3"/>
        <v>Key-FMOT-49</v>
      </c>
      <c r="Y49" s="30" t="s">
        <v>383</v>
      </c>
      <c r="Z49" s="67" t="s">
        <v>9</v>
      </c>
      <c r="AA49" s="30" t="s">
        <v>242</v>
      </c>
      <c r="AB49" s="67" t="s">
        <v>9</v>
      </c>
      <c r="AC49" s="30" t="s">
        <v>384</v>
      </c>
      <c r="AD49" s="67" t="s">
        <v>9</v>
      </c>
    </row>
    <row r="50" spans="1:30" s="65" customFormat="1" ht="6" customHeight="1" x14ac:dyDescent="0.4">
      <c r="A50" s="57">
        <v>50</v>
      </c>
      <c r="B50" s="1" t="s">
        <v>170</v>
      </c>
      <c r="C50" s="1" t="s">
        <v>240</v>
      </c>
      <c r="D50" s="1" t="s">
        <v>246</v>
      </c>
      <c r="E50" s="1" t="s">
        <v>452</v>
      </c>
      <c r="F50" s="70" t="s">
        <v>466</v>
      </c>
      <c r="G50" s="58" t="s">
        <v>9</v>
      </c>
      <c r="H50" s="58" t="s">
        <v>9</v>
      </c>
      <c r="I50" s="58" t="s">
        <v>9</v>
      </c>
      <c r="J50" s="58" t="s">
        <v>9</v>
      </c>
      <c r="K50" s="58" t="s">
        <v>9</v>
      </c>
      <c r="L50" s="34" t="str">
        <f t="shared" si="9"/>
        <v>De Materialidade</v>
      </c>
      <c r="M50" s="34" t="str">
        <f t="shared" si="9"/>
        <v>Material Construtivo</v>
      </c>
      <c r="N50" s="34" t="str">
        <f t="shared" si="9"/>
        <v>Tubos Metálicos</v>
      </c>
      <c r="O50" s="34" t="str">
        <f t="shared" si="9"/>
        <v>Tubo de Aço Inoxidável</v>
      </c>
      <c r="P50" s="66" t="s">
        <v>467</v>
      </c>
      <c r="Q50" s="69" t="s">
        <v>468</v>
      </c>
      <c r="R50" s="69" t="s">
        <v>469</v>
      </c>
      <c r="S50" s="71" t="s">
        <v>9</v>
      </c>
      <c r="T50" s="30" t="str">
        <f t="shared" ref="T50:V62" si="10">SUBSTITUTE(C50, ".", " ")</f>
        <v>De Materialidade</v>
      </c>
      <c r="U50" s="30" t="str">
        <f t="shared" si="10"/>
        <v>Material Construtivo</v>
      </c>
      <c r="V50" s="30" t="str">
        <f t="shared" si="10"/>
        <v>Tubos Metálicos</v>
      </c>
      <c r="W50" s="30" t="s">
        <v>106</v>
      </c>
      <c r="X50" s="59" t="str">
        <f t="shared" si="3"/>
        <v>Key-FMOT-50</v>
      </c>
      <c r="Y50" s="30" t="s">
        <v>383</v>
      </c>
      <c r="Z50" s="67" t="s">
        <v>9</v>
      </c>
      <c r="AA50" s="30" t="s">
        <v>242</v>
      </c>
      <c r="AB50" s="67" t="s">
        <v>9</v>
      </c>
      <c r="AC50" s="30" t="s">
        <v>384</v>
      </c>
      <c r="AD50" s="67" t="s">
        <v>9</v>
      </c>
    </row>
    <row r="51" spans="1:30" s="73" customFormat="1" ht="6" customHeight="1" x14ac:dyDescent="0.4">
      <c r="A51" s="57">
        <v>51</v>
      </c>
      <c r="B51" s="1" t="s">
        <v>170</v>
      </c>
      <c r="C51" s="1" t="s">
        <v>240</v>
      </c>
      <c r="D51" s="1" t="s">
        <v>246</v>
      </c>
      <c r="E51" s="1" t="s">
        <v>452</v>
      </c>
      <c r="F51" s="70" t="s">
        <v>470</v>
      </c>
      <c r="G51" s="58" t="s">
        <v>9</v>
      </c>
      <c r="H51" s="58" t="s">
        <v>9</v>
      </c>
      <c r="I51" s="58" t="s">
        <v>9</v>
      </c>
      <c r="J51" s="58" t="s">
        <v>9</v>
      </c>
      <c r="K51" s="58" t="s">
        <v>9</v>
      </c>
      <c r="L51" s="34" t="str">
        <f t="shared" si="9"/>
        <v>De Materialidade</v>
      </c>
      <c r="M51" s="34" t="str">
        <f t="shared" si="9"/>
        <v>Material Construtivo</v>
      </c>
      <c r="N51" s="34" t="str">
        <f t="shared" si="9"/>
        <v>Tubos Metálicos</v>
      </c>
      <c r="O51" s="34" t="str">
        <f t="shared" si="9"/>
        <v>Tubo de Alumínio</v>
      </c>
      <c r="P51" s="66" t="s">
        <v>471</v>
      </c>
      <c r="Q51" s="69" t="s">
        <v>472</v>
      </c>
      <c r="R51" s="69" t="s">
        <v>473</v>
      </c>
      <c r="S51" s="71" t="s">
        <v>9</v>
      </c>
      <c r="T51" s="30" t="str">
        <f t="shared" si="10"/>
        <v>De Materialidade</v>
      </c>
      <c r="U51" s="30" t="str">
        <f t="shared" si="10"/>
        <v>Material Construtivo</v>
      </c>
      <c r="V51" s="30" t="str">
        <f t="shared" si="10"/>
        <v>Tubos Metálicos</v>
      </c>
      <c r="W51" s="30" t="s">
        <v>106</v>
      </c>
      <c r="X51" s="59" t="str">
        <f t="shared" si="3"/>
        <v>Key-FMOT-51</v>
      </c>
      <c r="Y51" s="30" t="s">
        <v>383</v>
      </c>
      <c r="Z51" s="67" t="s">
        <v>9</v>
      </c>
      <c r="AA51" s="30" t="s">
        <v>242</v>
      </c>
      <c r="AB51" s="67" t="s">
        <v>9</v>
      </c>
      <c r="AC51" s="30" t="s">
        <v>384</v>
      </c>
      <c r="AD51" s="67" t="s">
        <v>9</v>
      </c>
    </row>
    <row r="52" spans="1:30" s="73" customFormat="1" ht="6" customHeight="1" x14ac:dyDescent="0.4">
      <c r="A52" s="57">
        <v>52</v>
      </c>
      <c r="B52" s="1" t="s">
        <v>170</v>
      </c>
      <c r="C52" s="1" t="s">
        <v>240</v>
      </c>
      <c r="D52" s="1" t="s">
        <v>246</v>
      </c>
      <c r="E52" s="1" t="s">
        <v>452</v>
      </c>
      <c r="F52" s="54" t="s">
        <v>474</v>
      </c>
      <c r="G52" s="58" t="s">
        <v>9</v>
      </c>
      <c r="H52" s="58" t="s">
        <v>9</v>
      </c>
      <c r="I52" s="58" t="s">
        <v>9</v>
      </c>
      <c r="J52" s="58" t="s">
        <v>9</v>
      </c>
      <c r="K52" s="58" t="s">
        <v>9</v>
      </c>
      <c r="L52" s="34" t="str">
        <f t="shared" si="9"/>
        <v>De Materialidade</v>
      </c>
      <c r="M52" s="34" t="str">
        <f t="shared" si="9"/>
        <v>Material Construtivo</v>
      </c>
      <c r="N52" s="34" t="str">
        <f t="shared" si="9"/>
        <v>Tubos Metálicos</v>
      </c>
      <c r="O52" s="34" t="str">
        <f t="shared" si="9"/>
        <v>Tubo de Cobre</v>
      </c>
      <c r="P52" s="69" t="s">
        <v>475</v>
      </c>
      <c r="Q52" s="69" t="s">
        <v>476</v>
      </c>
      <c r="R52" s="69" t="s">
        <v>477</v>
      </c>
      <c r="S52" s="71" t="s">
        <v>9</v>
      </c>
      <c r="T52" s="30" t="str">
        <f t="shared" si="10"/>
        <v>De Materialidade</v>
      </c>
      <c r="U52" s="30" t="str">
        <f t="shared" si="10"/>
        <v>Material Construtivo</v>
      </c>
      <c r="V52" s="30" t="str">
        <f t="shared" si="10"/>
        <v>Tubos Metálicos</v>
      </c>
      <c r="W52" s="30" t="s">
        <v>106</v>
      </c>
      <c r="X52" s="59" t="str">
        <f t="shared" si="3"/>
        <v>Key-FMOT-52</v>
      </c>
      <c r="Y52" s="30" t="s">
        <v>383</v>
      </c>
      <c r="Z52" s="67" t="s">
        <v>9</v>
      </c>
      <c r="AA52" s="30" t="s">
        <v>242</v>
      </c>
      <c r="AB52" s="67" t="s">
        <v>9</v>
      </c>
      <c r="AC52" s="30" t="s">
        <v>478</v>
      </c>
      <c r="AD52" s="67" t="s">
        <v>9</v>
      </c>
    </row>
    <row r="53" spans="1:30" s="73" customFormat="1" ht="6" customHeight="1" x14ac:dyDescent="0.4">
      <c r="A53" s="57">
        <v>53</v>
      </c>
      <c r="B53" s="1" t="s">
        <v>170</v>
      </c>
      <c r="C53" s="1" t="s">
        <v>240</v>
      </c>
      <c r="D53" s="1" t="s">
        <v>246</v>
      </c>
      <c r="E53" s="1" t="s">
        <v>452</v>
      </c>
      <c r="F53" s="54" t="s">
        <v>479</v>
      </c>
      <c r="G53" s="58" t="s">
        <v>9</v>
      </c>
      <c r="H53" s="58" t="s">
        <v>9</v>
      </c>
      <c r="I53" s="58" t="s">
        <v>9</v>
      </c>
      <c r="J53" s="58" t="s">
        <v>9</v>
      </c>
      <c r="K53" s="58" t="s">
        <v>9</v>
      </c>
      <c r="L53" s="34" t="str">
        <f t="shared" si="9"/>
        <v>De Materialidade</v>
      </c>
      <c r="M53" s="34" t="str">
        <f t="shared" si="9"/>
        <v>Material Construtivo</v>
      </c>
      <c r="N53" s="34" t="str">
        <f t="shared" si="9"/>
        <v>Tubos Metálicos</v>
      </c>
      <c r="O53" s="34" t="str">
        <f t="shared" si="9"/>
        <v>Tubo de FoFo</v>
      </c>
      <c r="P53" s="69" t="s">
        <v>480</v>
      </c>
      <c r="Q53" s="69" t="s">
        <v>481</v>
      </c>
      <c r="R53" s="69" t="s">
        <v>482</v>
      </c>
      <c r="S53" s="71" t="s">
        <v>9</v>
      </c>
      <c r="T53" s="30" t="str">
        <f t="shared" si="10"/>
        <v>De Materialidade</v>
      </c>
      <c r="U53" s="30" t="str">
        <f t="shared" si="10"/>
        <v>Material Construtivo</v>
      </c>
      <c r="V53" s="30" t="str">
        <f t="shared" si="10"/>
        <v>Tubos Metálicos</v>
      </c>
      <c r="W53" s="30" t="s">
        <v>106</v>
      </c>
      <c r="X53" s="59" t="str">
        <f t="shared" si="3"/>
        <v>Key-FMOT-53</v>
      </c>
      <c r="Y53" s="30" t="s">
        <v>383</v>
      </c>
      <c r="Z53" s="67" t="s">
        <v>9</v>
      </c>
      <c r="AA53" s="30" t="s">
        <v>242</v>
      </c>
      <c r="AB53" s="67" t="s">
        <v>9</v>
      </c>
      <c r="AC53" s="30" t="s">
        <v>483</v>
      </c>
      <c r="AD53" s="67" t="s">
        <v>9</v>
      </c>
    </row>
    <row r="54" spans="1:30" s="73" customFormat="1" ht="6" customHeight="1" x14ac:dyDescent="0.4">
      <c r="A54" s="57">
        <v>54</v>
      </c>
      <c r="B54" s="1" t="s">
        <v>170</v>
      </c>
      <c r="C54" s="1" t="s">
        <v>240</v>
      </c>
      <c r="D54" s="1" t="s">
        <v>246</v>
      </c>
      <c r="E54" s="1" t="s">
        <v>452</v>
      </c>
      <c r="F54" s="54" t="s">
        <v>484</v>
      </c>
      <c r="G54" s="58" t="s">
        <v>9</v>
      </c>
      <c r="H54" s="58" t="s">
        <v>9</v>
      </c>
      <c r="I54" s="58" t="s">
        <v>9</v>
      </c>
      <c r="J54" s="58" t="s">
        <v>9</v>
      </c>
      <c r="K54" s="58" t="s">
        <v>9</v>
      </c>
      <c r="L54" s="34" t="str">
        <f t="shared" si="9"/>
        <v>De Materialidade</v>
      </c>
      <c r="M54" s="34" t="str">
        <f t="shared" si="9"/>
        <v>Material Construtivo</v>
      </c>
      <c r="N54" s="34" t="str">
        <f t="shared" si="9"/>
        <v>Tubos Metálicos</v>
      </c>
      <c r="O54" s="34" t="str">
        <f t="shared" si="9"/>
        <v>Tubo de Latão</v>
      </c>
      <c r="P54" s="69" t="s">
        <v>485</v>
      </c>
      <c r="Q54" s="69" t="s">
        <v>486</v>
      </c>
      <c r="R54" s="69" t="s">
        <v>487</v>
      </c>
      <c r="S54" s="71" t="s">
        <v>9</v>
      </c>
      <c r="T54" s="30" t="str">
        <f t="shared" si="10"/>
        <v>De Materialidade</v>
      </c>
      <c r="U54" s="30" t="str">
        <f t="shared" si="10"/>
        <v>Material Construtivo</v>
      </c>
      <c r="V54" s="30" t="str">
        <f t="shared" si="10"/>
        <v>Tubos Metálicos</v>
      </c>
      <c r="W54" s="30" t="s">
        <v>106</v>
      </c>
      <c r="X54" s="59" t="str">
        <f t="shared" si="3"/>
        <v>Key-FMOT-54</v>
      </c>
      <c r="Y54" s="30" t="s">
        <v>383</v>
      </c>
      <c r="Z54" s="67" t="s">
        <v>9</v>
      </c>
      <c r="AA54" s="30" t="s">
        <v>242</v>
      </c>
      <c r="AB54" s="67" t="s">
        <v>9</v>
      </c>
      <c r="AC54" s="30" t="s">
        <v>488</v>
      </c>
      <c r="AD54" s="67" t="s">
        <v>9</v>
      </c>
    </row>
    <row r="55" spans="1:30" s="73" customFormat="1" ht="6" customHeight="1" x14ac:dyDescent="0.4">
      <c r="A55" s="57">
        <v>55</v>
      </c>
      <c r="B55" s="1" t="s">
        <v>170</v>
      </c>
      <c r="C55" s="1" t="s">
        <v>240</v>
      </c>
      <c r="D55" s="1" t="s">
        <v>246</v>
      </c>
      <c r="E55" s="1" t="s">
        <v>489</v>
      </c>
      <c r="F55" s="54" t="s">
        <v>490</v>
      </c>
      <c r="G55" s="58" t="s">
        <v>9</v>
      </c>
      <c r="H55" s="58" t="s">
        <v>9</v>
      </c>
      <c r="I55" s="58" t="s">
        <v>9</v>
      </c>
      <c r="J55" s="58" t="s">
        <v>9</v>
      </c>
      <c r="K55" s="58" t="s">
        <v>9</v>
      </c>
      <c r="L55" s="34" t="str">
        <f t="shared" si="9"/>
        <v>De Materialidade</v>
      </c>
      <c r="M55" s="34" t="str">
        <f t="shared" si="9"/>
        <v>Material Construtivo</v>
      </c>
      <c r="N55" s="34" t="str">
        <f t="shared" si="9"/>
        <v>Tubos Plásticos</v>
      </c>
      <c r="O55" s="34" t="str">
        <f t="shared" si="9"/>
        <v>Tubo de PVC</v>
      </c>
      <c r="P55" s="69" t="s">
        <v>491</v>
      </c>
      <c r="Q55" s="69" t="s">
        <v>492</v>
      </c>
      <c r="R55" s="69" t="s">
        <v>493</v>
      </c>
      <c r="S55" s="71" t="s">
        <v>9</v>
      </c>
      <c r="T55" s="30" t="str">
        <f t="shared" si="10"/>
        <v>De Materialidade</v>
      </c>
      <c r="U55" s="30" t="str">
        <f t="shared" si="10"/>
        <v>Material Construtivo</v>
      </c>
      <c r="V55" s="30" t="str">
        <f t="shared" si="10"/>
        <v>Tubos Plásticos</v>
      </c>
      <c r="W55" s="30" t="s">
        <v>106</v>
      </c>
      <c r="X55" s="59" t="str">
        <f t="shared" si="3"/>
        <v>Key-FMOT-55</v>
      </c>
      <c r="Y55" s="30" t="s">
        <v>383</v>
      </c>
      <c r="Z55" s="67" t="s">
        <v>9</v>
      </c>
      <c r="AA55" s="30" t="s">
        <v>242</v>
      </c>
      <c r="AB55" s="67" t="s">
        <v>9</v>
      </c>
      <c r="AC55" s="30" t="s">
        <v>494</v>
      </c>
      <c r="AD55" s="67" t="s">
        <v>9</v>
      </c>
    </row>
    <row r="56" spans="1:30" s="73" customFormat="1" ht="6" customHeight="1" x14ac:dyDescent="0.4">
      <c r="A56" s="57">
        <v>56</v>
      </c>
      <c r="B56" s="1" t="s">
        <v>170</v>
      </c>
      <c r="C56" s="1" t="s">
        <v>240</v>
      </c>
      <c r="D56" s="1" t="s">
        <v>246</v>
      </c>
      <c r="E56" s="1" t="s">
        <v>489</v>
      </c>
      <c r="F56" s="54" t="s">
        <v>495</v>
      </c>
      <c r="G56" s="58" t="s">
        <v>9</v>
      </c>
      <c r="H56" s="58" t="s">
        <v>9</v>
      </c>
      <c r="I56" s="58" t="s">
        <v>9</v>
      </c>
      <c r="J56" s="58" t="s">
        <v>9</v>
      </c>
      <c r="K56" s="58" t="s">
        <v>9</v>
      </c>
      <c r="L56" s="34" t="str">
        <f t="shared" si="9"/>
        <v>De Materialidade</v>
      </c>
      <c r="M56" s="34" t="str">
        <f t="shared" si="9"/>
        <v>Material Construtivo</v>
      </c>
      <c r="N56" s="34" t="str">
        <f t="shared" si="9"/>
        <v>Tubos Plásticos</v>
      </c>
      <c r="O56" s="34" t="str">
        <f t="shared" si="9"/>
        <v>Tubo de PVCO</v>
      </c>
      <c r="P56" s="69" t="s">
        <v>496</v>
      </c>
      <c r="Q56" s="69" t="s">
        <v>497</v>
      </c>
      <c r="R56" s="69" t="s">
        <v>498</v>
      </c>
      <c r="S56" s="71" t="s">
        <v>9</v>
      </c>
      <c r="T56" s="30" t="str">
        <f t="shared" si="10"/>
        <v>De Materialidade</v>
      </c>
      <c r="U56" s="30" t="str">
        <f t="shared" si="10"/>
        <v>Material Construtivo</v>
      </c>
      <c r="V56" s="30" t="str">
        <f t="shared" si="10"/>
        <v>Tubos Plásticos</v>
      </c>
      <c r="W56" s="30" t="s">
        <v>106</v>
      </c>
      <c r="X56" s="59" t="str">
        <f t="shared" si="3"/>
        <v>Key-FMOT-56</v>
      </c>
      <c r="Y56" s="30" t="s">
        <v>383</v>
      </c>
      <c r="Z56" s="67" t="s">
        <v>9</v>
      </c>
      <c r="AA56" s="30" t="s">
        <v>242</v>
      </c>
      <c r="AB56" s="67" t="s">
        <v>9</v>
      </c>
      <c r="AC56" s="30" t="s">
        <v>494</v>
      </c>
      <c r="AD56" s="67" t="s">
        <v>9</v>
      </c>
    </row>
    <row r="57" spans="1:30" s="73" customFormat="1" ht="6" customHeight="1" x14ac:dyDescent="0.4">
      <c r="A57" s="57">
        <v>57</v>
      </c>
      <c r="B57" s="1" t="s">
        <v>170</v>
      </c>
      <c r="C57" s="1" t="s">
        <v>240</v>
      </c>
      <c r="D57" s="1" t="s">
        <v>246</v>
      </c>
      <c r="E57" s="1" t="s">
        <v>499</v>
      </c>
      <c r="F57" s="54" t="s">
        <v>500</v>
      </c>
      <c r="G57" s="58" t="s">
        <v>9</v>
      </c>
      <c r="H57" s="58" t="s">
        <v>9</v>
      </c>
      <c r="I57" s="58" t="s">
        <v>9</v>
      </c>
      <c r="J57" s="58" t="s">
        <v>9</v>
      </c>
      <c r="K57" s="58" t="s">
        <v>9</v>
      </c>
      <c r="L57" s="34" t="str">
        <f t="shared" si="9"/>
        <v>De Materialidade</v>
      </c>
      <c r="M57" s="34" t="str">
        <f t="shared" si="9"/>
        <v>Material Construtivo</v>
      </c>
      <c r="N57" s="34" t="str">
        <f t="shared" si="9"/>
        <v>Tubos Termoplásticos</v>
      </c>
      <c r="O57" s="34" t="str">
        <f t="shared" si="9"/>
        <v>Tubo de PEAD</v>
      </c>
      <c r="P57" s="69" t="s">
        <v>501</v>
      </c>
      <c r="Q57" s="69" t="s">
        <v>502</v>
      </c>
      <c r="R57" s="69" t="s">
        <v>503</v>
      </c>
      <c r="S57" s="71" t="s">
        <v>9</v>
      </c>
      <c r="T57" s="30" t="str">
        <f t="shared" si="10"/>
        <v>De Materialidade</v>
      </c>
      <c r="U57" s="30" t="str">
        <f t="shared" si="10"/>
        <v>Material Construtivo</v>
      </c>
      <c r="V57" s="30" t="str">
        <f t="shared" si="10"/>
        <v>Tubos Termoplásticos</v>
      </c>
      <c r="W57" s="30" t="s">
        <v>106</v>
      </c>
      <c r="X57" s="59" t="str">
        <f t="shared" si="3"/>
        <v>Key-FMOT-57</v>
      </c>
      <c r="Y57" s="30" t="s">
        <v>383</v>
      </c>
      <c r="Z57" s="67" t="s">
        <v>9</v>
      </c>
      <c r="AA57" s="30" t="s">
        <v>242</v>
      </c>
      <c r="AB57" s="67" t="s">
        <v>9</v>
      </c>
      <c r="AC57" s="30" t="s">
        <v>384</v>
      </c>
      <c r="AD57" s="67" t="s">
        <v>9</v>
      </c>
    </row>
    <row r="58" spans="1:30" s="73" customFormat="1" ht="6" customHeight="1" x14ac:dyDescent="0.4">
      <c r="A58" s="57">
        <v>58</v>
      </c>
      <c r="B58" s="1" t="s">
        <v>170</v>
      </c>
      <c r="C58" s="1" t="s">
        <v>240</v>
      </c>
      <c r="D58" s="1" t="s">
        <v>246</v>
      </c>
      <c r="E58" s="1" t="s">
        <v>499</v>
      </c>
      <c r="F58" s="70" t="s">
        <v>504</v>
      </c>
      <c r="G58" s="58" t="s">
        <v>9</v>
      </c>
      <c r="H58" s="58" t="s">
        <v>9</v>
      </c>
      <c r="I58" s="58" t="s">
        <v>9</v>
      </c>
      <c r="J58" s="58" t="s">
        <v>9</v>
      </c>
      <c r="K58" s="58" t="s">
        <v>9</v>
      </c>
      <c r="L58" s="34" t="str">
        <f t="shared" si="9"/>
        <v>De Materialidade</v>
      </c>
      <c r="M58" s="34" t="str">
        <f t="shared" si="9"/>
        <v>Material Construtivo</v>
      </c>
      <c r="N58" s="34" t="str">
        <f t="shared" si="9"/>
        <v>Tubos Termoplásticos</v>
      </c>
      <c r="O58" s="34" t="str">
        <f t="shared" si="9"/>
        <v>Tubo de PEX</v>
      </c>
      <c r="P58" s="66" t="s">
        <v>505</v>
      </c>
      <c r="Q58" s="69" t="s">
        <v>506</v>
      </c>
      <c r="R58" s="69" t="s">
        <v>507</v>
      </c>
      <c r="S58" s="71" t="s">
        <v>9</v>
      </c>
      <c r="T58" s="30" t="str">
        <f t="shared" si="10"/>
        <v>De Materialidade</v>
      </c>
      <c r="U58" s="30" t="str">
        <f t="shared" si="10"/>
        <v>Material Construtivo</v>
      </c>
      <c r="V58" s="30" t="str">
        <f t="shared" si="10"/>
        <v>Tubos Termoplásticos</v>
      </c>
      <c r="W58" s="30" t="s">
        <v>106</v>
      </c>
      <c r="X58" s="59" t="str">
        <f t="shared" si="3"/>
        <v>Key-FMOT-58</v>
      </c>
      <c r="Y58" s="30" t="s">
        <v>383</v>
      </c>
      <c r="Z58" s="67" t="s">
        <v>9</v>
      </c>
      <c r="AA58" s="30" t="s">
        <v>242</v>
      </c>
      <c r="AB58" s="67" t="s">
        <v>9</v>
      </c>
      <c r="AC58" s="30" t="s">
        <v>384</v>
      </c>
      <c r="AD58" s="67" t="s">
        <v>9</v>
      </c>
    </row>
    <row r="59" spans="1:30" s="73" customFormat="1" ht="6" customHeight="1" x14ac:dyDescent="0.4">
      <c r="A59" s="57">
        <v>59</v>
      </c>
      <c r="B59" s="1" t="s">
        <v>170</v>
      </c>
      <c r="C59" s="1" t="s">
        <v>240</v>
      </c>
      <c r="D59" s="1" t="s">
        <v>246</v>
      </c>
      <c r="E59" s="1" t="s">
        <v>499</v>
      </c>
      <c r="F59" s="70" t="s">
        <v>508</v>
      </c>
      <c r="G59" s="58" t="s">
        <v>9</v>
      </c>
      <c r="H59" s="58" t="s">
        <v>9</v>
      </c>
      <c r="I59" s="58" t="s">
        <v>9</v>
      </c>
      <c r="J59" s="58" t="s">
        <v>9</v>
      </c>
      <c r="K59" s="58" t="s">
        <v>9</v>
      </c>
      <c r="L59" s="34" t="str">
        <f t="shared" si="9"/>
        <v>De Materialidade</v>
      </c>
      <c r="M59" s="34" t="str">
        <f t="shared" si="9"/>
        <v>Material Construtivo</v>
      </c>
      <c r="N59" s="34" t="str">
        <f t="shared" si="9"/>
        <v>Tubos Termoplásticos</v>
      </c>
      <c r="O59" s="34" t="str">
        <f t="shared" si="9"/>
        <v>Tubo de PPR</v>
      </c>
      <c r="P59" s="66" t="s">
        <v>505</v>
      </c>
      <c r="Q59" s="69" t="s">
        <v>506</v>
      </c>
      <c r="R59" s="69" t="s">
        <v>507</v>
      </c>
      <c r="S59" s="71" t="s">
        <v>9</v>
      </c>
      <c r="T59" s="30" t="str">
        <f t="shared" si="10"/>
        <v>De Materialidade</v>
      </c>
      <c r="U59" s="30" t="str">
        <f t="shared" si="10"/>
        <v>Material Construtivo</v>
      </c>
      <c r="V59" s="30" t="str">
        <f t="shared" si="10"/>
        <v>Tubos Termoplásticos</v>
      </c>
      <c r="W59" s="30" t="s">
        <v>106</v>
      </c>
      <c r="X59" s="59" t="str">
        <f t="shared" si="3"/>
        <v>Key-FMOT-59</v>
      </c>
      <c r="Y59" s="30" t="s">
        <v>383</v>
      </c>
      <c r="Z59" s="67" t="s">
        <v>9</v>
      </c>
      <c r="AA59" s="30" t="s">
        <v>242</v>
      </c>
      <c r="AB59" s="67" t="s">
        <v>9</v>
      </c>
      <c r="AC59" s="30" t="s">
        <v>384</v>
      </c>
      <c r="AD59" s="67" t="s">
        <v>9</v>
      </c>
    </row>
    <row r="60" spans="1:30" s="73" customFormat="1" ht="6" customHeight="1" x14ac:dyDescent="0.4">
      <c r="A60" s="57">
        <v>60</v>
      </c>
      <c r="B60" s="1" t="s">
        <v>170</v>
      </c>
      <c r="C60" s="1" t="s">
        <v>240</v>
      </c>
      <c r="D60" s="1" t="s">
        <v>509</v>
      </c>
      <c r="E60" s="1" t="s">
        <v>510</v>
      </c>
      <c r="F60" s="70" t="s">
        <v>511</v>
      </c>
      <c r="G60" s="58" t="s">
        <v>9</v>
      </c>
      <c r="H60" s="58" t="s">
        <v>9</v>
      </c>
      <c r="I60" s="58" t="s">
        <v>9</v>
      </c>
      <c r="J60" s="58" t="s">
        <v>9</v>
      </c>
      <c r="K60" s="58" t="s">
        <v>9</v>
      </c>
      <c r="L60" s="34" t="str">
        <f t="shared" si="9"/>
        <v>De Materialidade</v>
      </c>
      <c r="M60" s="34" t="str">
        <f t="shared" si="9"/>
        <v>Material Catalogado</v>
      </c>
      <c r="N60" s="34" t="str">
        <f t="shared" si="9"/>
        <v>Catálogos de Materiais</v>
      </c>
      <c r="O60" s="34" t="str">
        <f t="shared" si="9"/>
        <v>Catálogo de Fabricante</v>
      </c>
      <c r="P60" s="66" t="s">
        <v>512</v>
      </c>
      <c r="Q60" s="69" t="s">
        <v>513</v>
      </c>
      <c r="R60" s="69" t="s">
        <v>514</v>
      </c>
      <c r="S60" s="71" t="s">
        <v>9</v>
      </c>
      <c r="T60" s="30" t="str">
        <f t="shared" si="10"/>
        <v>De Materialidade</v>
      </c>
      <c r="U60" s="30" t="str">
        <f t="shared" si="10"/>
        <v>Material Catalogado</v>
      </c>
      <c r="V60" s="30" t="str">
        <f t="shared" si="10"/>
        <v>Catálogos de Materiais</v>
      </c>
      <c r="W60" s="30" t="s">
        <v>106</v>
      </c>
      <c r="X60" s="59" t="str">
        <f t="shared" si="3"/>
        <v>Key-FMOT-60</v>
      </c>
      <c r="Y60" s="30" t="s">
        <v>383</v>
      </c>
      <c r="Z60" s="67" t="s">
        <v>9</v>
      </c>
      <c r="AA60" s="30" t="s">
        <v>242</v>
      </c>
      <c r="AB60" s="67" t="s">
        <v>9</v>
      </c>
      <c r="AC60" s="30" t="s">
        <v>384</v>
      </c>
      <c r="AD60" s="67" t="s">
        <v>9</v>
      </c>
    </row>
    <row r="61" spans="1:30" s="73" customFormat="1" ht="6" customHeight="1" x14ac:dyDescent="0.4">
      <c r="A61" s="57">
        <v>61</v>
      </c>
      <c r="B61" s="1" t="s">
        <v>170</v>
      </c>
      <c r="C61" s="1" t="s">
        <v>240</v>
      </c>
      <c r="D61" s="1" t="s">
        <v>509</v>
      </c>
      <c r="E61" s="1" t="s">
        <v>510</v>
      </c>
      <c r="F61" s="70" t="s">
        <v>515</v>
      </c>
      <c r="G61" s="58" t="s">
        <v>9</v>
      </c>
      <c r="H61" s="58" t="s">
        <v>9</v>
      </c>
      <c r="I61" s="58" t="s">
        <v>9</v>
      </c>
      <c r="J61" s="58" t="s">
        <v>9</v>
      </c>
      <c r="K61" s="58" t="s">
        <v>9</v>
      </c>
      <c r="L61" s="34" t="str">
        <f t="shared" si="9"/>
        <v>De Materialidade</v>
      </c>
      <c r="M61" s="34" t="str">
        <f t="shared" si="9"/>
        <v>Material Catalogado</v>
      </c>
      <c r="N61" s="34" t="str">
        <f t="shared" si="9"/>
        <v>Catálogos de Materiais</v>
      </c>
      <c r="O61" s="34" t="str">
        <f t="shared" si="9"/>
        <v>Catálogo de Fornecedor</v>
      </c>
      <c r="P61" s="66" t="s">
        <v>516</v>
      </c>
      <c r="Q61" s="69" t="s">
        <v>517</v>
      </c>
      <c r="R61" s="69" t="s">
        <v>518</v>
      </c>
      <c r="S61" s="71" t="s">
        <v>9</v>
      </c>
      <c r="T61" s="30" t="str">
        <f t="shared" si="10"/>
        <v>De Materialidade</v>
      </c>
      <c r="U61" s="30" t="str">
        <f t="shared" si="10"/>
        <v>Material Catalogado</v>
      </c>
      <c r="V61" s="30" t="str">
        <f t="shared" si="10"/>
        <v>Catálogos de Materiais</v>
      </c>
      <c r="W61" s="30" t="s">
        <v>106</v>
      </c>
      <c r="X61" s="59" t="str">
        <f t="shared" si="3"/>
        <v>Key-FMOT-61</v>
      </c>
      <c r="Y61" s="30" t="s">
        <v>383</v>
      </c>
      <c r="Z61" s="67" t="s">
        <v>9</v>
      </c>
      <c r="AA61" s="30" t="s">
        <v>242</v>
      </c>
      <c r="AB61" s="67" t="s">
        <v>9</v>
      </c>
      <c r="AC61" s="30" t="s">
        <v>384</v>
      </c>
      <c r="AD61" s="67" t="s">
        <v>9</v>
      </c>
    </row>
    <row r="62" spans="1:30" s="73" customFormat="1" ht="6" customHeight="1" x14ac:dyDescent="0.4">
      <c r="A62" s="57">
        <v>62</v>
      </c>
      <c r="B62" s="1" t="s">
        <v>170</v>
      </c>
      <c r="C62" s="1" t="s">
        <v>240</v>
      </c>
      <c r="D62" s="1" t="s">
        <v>509</v>
      </c>
      <c r="E62" s="1" t="s">
        <v>510</v>
      </c>
      <c r="F62" s="70" t="s">
        <v>519</v>
      </c>
      <c r="G62" s="58" t="s">
        <v>9</v>
      </c>
      <c r="H62" s="58" t="s">
        <v>9</v>
      </c>
      <c r="I62" s="58" t="s">
        <v>9</v>
      </c>
      <c r="J62" s="58" t="s">
        <v>9</v>
      </c>
      <c r="K62" s="58" t="s">
        <v>9</v>
      </c>
      <c r="L62" s="34" t="str">
        <f t="shared" si="9"/>
        <v>De Materialidade</v>
      </c>
      <c r="M62" s="34" t="str">
        <f t="shared" si="9"/>
        <v>Material Catalogado</v>
      </c>
      <c r="N62" s="34" t="str">
        <f t="shared" si="9"/>
        <v>Catálogos de Materiais</v>
      </c>
      <c r="O62" s="34" t="str">
        <f t="shared" si="9"/>
        <v>Catálogo de Construtor</v>
      </c>
      <c r="P62" s="66" t="s">
        <v>520</v>
      </c>
      <c r="Q62" s="66" t="s">
        <v>521</v>
      </c>
      <c r="R62" s="69" t="s">
        <v>522</v>
      </c>
      <c r="S62" s="71" t="s">
        <v>9</v>
      </c>
      <c r="T62" s="30" t="str">
        <f t="shared" si="10"/>
        <v>De Materialidade</v>
      </c>
      <c r="U62" s="30" t="str">
        <f t="shared" si="10"/>
        <v>Material Catalogado</v>
      </c>
      <c r="V62" s="30" t="str">
        <f t="shared" si="10"/>
        <v>Catálogos de Materiais</v>
      </c>
      <c r="W62" s="30" t="s">
        <v>106</v>
      </c>
      <c r="X62" s="59" t="str">
        <f t="shared" si="3"/>
        <v>Key-FMOT-62</v>
      </c>
      <c r="Y62" s="30" t="s">
        <v>383</v>
      </c>
      <c r="Z62" s="67" t="s">
        <v>9</v>
      </c>
      <c r="AA62" s="30" t="s">
        <v>242</v>
      </c>
      <c r="AB62" s="67" t="s">
        <v>9</v>
      </c>
      <c r="AC62" s="30" t="s">
        <v>384</v>
      </c>
      <c r="AD62" s="67" t="s">
        <v>9</v>
      </c>
    </row>
    <row r="63" spans="1:30" ht="6.65" customHeight="1" x14ac:dyDescent="0.4">
      <c r="A63" s="57">
        <v>63</v>
      </c>
      <c r="B63" s="1" t="s">
        <v>170</v>
      </c>
      <c r="C63" s="33" t="s">
        <v>171</v>
      </c>
      <c r="D63" s="1" t="s">
        <v>188</v>
      </c>
      <c r="E63" s="1" t="s">
        <v>185</v>
      </c>
      <c r="F63" s="54" t="s">
        <v>107</v>
      </c>
      <c r="G63" s="58" t="s">
        <v>9</v>
      </c>
      <c r="H63" s="58" t="s">
        <v>9</v>
      </c>
      <c r="I63" s="58" t="s">
        <v>9</v>
      </c>
      <c r="J63" s="58" t="s">
        <v>9</v>
      </c>
      <c r="K63" s="58" t="s">
        <v>9</v>
      </c>
      <c r="L63" s="34" t="str">
        <f t="shared" ref="L63:L65" si="11">CONCATENATE("", C63)</f>
        <v>De.Motricidade</v>
      </c>
      <c r="M63" s="34" t="str">
        <f t="shared" ref="M63:M65" si="12">CONCATENATE("", D63)</f>
        <v>Elementos.Motrizes</v>
      </c>
      <c r="N63" s="34" t="str">
        <f t="shared" ref="N63:N65" si="13">(SUBSTITUTE(SUBSTITUTE(CONCATENATE("",E63),"."," ")," De "," de "))</f>
        <v>Motorizados</v>
      </c>
      <c r="O63" s="30" t="str">
        <f>IF(ISNUMBER(FIND("Ifc",F63)),CONCATENATE("Classe IFC:   ",F63),F63)</f>
        <v>Motor.de.Combustão</v>
      </c>
      <c r="P63" s="30" t="s">
        <v>120</v>
      </c>
      <c r="Q63" s="30" t="s">
        <v>122</v>
      </c>
      <c r="R63" s="30" t="s">
        <v>192</v>
      </c>
      <c r="S63" s="30" t="s">
        <v>9</v>
      </c>
      <c r="T63" s="30" t="str">
        <f t="shared" ref="T63:T76" si="14">SUBSTITUTE(C63, "_", " ")</f>
        <v>De.Motricidade</v>
      </c>
      <c r="U63" s="30" t="str">
        <f t="shared" ref="U63:U76" si="15">SUBSTITUTE(D63, "_", " ")</f>
        <v>Elementos.Motrizes</v>
      </c>
      <c r="V63" s="30" t="str">
        <f t="shared" ref="V63:V76" si="16">SUBSTITUTE(E63, "_", " ")</f>
        <v>Motorizados</v>
      </c>
      <c r="W63" s="30" t="s">
        <v>106</v>
      </c>
      <c r="X63" s="59" t="str">
        <f t="shared" ref="X63:X86" si="17">CONCATENATE("Key-FMOT-",A63)</f>
        <v>Key-FMOT-63</v>
      </c>
      <c r="Y63" s="30" t="s">
        <v>130</v>
      </c>
      <c r="Z63" s="67" t="s">
        <v>9</v>
      </c>
      <c r="AA63" s="29" t="s">
        <v>99</v>
      </c>
      <c r="AB63" s="67" t="s">
        <v>9</v>
      </c>
      <c r="AC63" s="30" t="s">
        <v>144</v>
      </c>
      <c r="AD63" s="67" t="s">
        <v>9</v>
      </c>
    </row>
    <row r="64" spans="1:30" ht="6.65" customHeight="1" x14ac:dyDescent="0.4">
      <c r="A64" s="57">
        <v>64</v>
      </c>
      <c r="B64" s="1" t="s">
        <v>170</v>
      </c>
      <c r="C64" s="33" t="s">
        <v>171</v>
      </c>
      <c r="D64" s="1" t="s">
        <v>188</v>
      </c>
      <c r="E64" s="1" t="s">
        <v>185</v>
      </c>
      <c r="F64" s="54" t="s">
        <v>103</v>
      </c>
      <c r="G64" s="58" t="s">
        <v>9</v>
      </c>
      <c r="H64" s="58" t="s">
        <v>9</v>
      </c>
      <c r="I64" s="58" t="s">
        <v>9</v>
      </c>
      <c r="J64" s="58" t="s">
        <v>9</v>
      </c>
      <c r="K64" s="58" t="s">
        <v>9</v>
      </c>
      <c r="L64" s="34" t="str">
        <f t="shared" ref="L64" si="18">CONCATENATE("", C64)</f>
        <v>De.Motricidade</v>
      </c>
      <c r="M64" s="34" t="str">
        <f t="shared" ref="M64" si="19">CONCATENATE("", D64)</f>
        <v>Elementos.Motrizes</v>
      </c>
      <c r="N64" s="34" t="str">
        <f t="shared" ref="N64" si="20">(SUBSTITUTE(SUBSTITUTE(CONCATENATE("",E64),"."," ")," De "," de "))</f>
        <v>Motorizados</v>
      </c>
      <c r="O64" s="30" t="str">
        <f t="shared" ref="O64:O76" si="21">IF(ISNUMBER(FIND("Ifc",F64)),CONCATENATE("Classe IFC:   ",F64),F64)</f>
        <v>Motor.de.Acoplamento</v>
      </c>
      <c r="P64" s="30" t="s">
        <v>119</v>
      </c>
      <c r="Q64" s="30" t="s">
        <v>123</v>
      </c>
      <c r="R64" s="30" t="s">
        <v>193</v>
      </c>
      <c r="S64" s="30" t="s">
        <v>9</v>
      </c>
      <c r="T64" s="30" t="str">
        <f t="shared" si="14"/>
        <v>De.Motricidade</v>
      </c>
      <c r="U64" s="30" t="str">
        <f t="shared" si="15"/>
        <v>Elementos.Motrizes</v>
      </c>
      <c r="V64" s="30" t="str">
        <f t="shared" si="16"/>
        <v>Motorizados</v>
      </c>
      <c r="W64" s="30" t="s">
        <v>106</v>
      </c>
      <c r="X64" s="59" t="str">
        <f t="shared" si="17"/>
        <v>Key-FMOT-64</v>
      </c>
      <c r="Y64" s="30" t="s">
        <v>130</v>
      </c>
      <c r="Z64" s="67" t="s">
        <v>9</v>
      </c>
      <c r="AA64" s="29" t="s">
        <v>100</v>
      </c>
      <c r="AB64" s="67" t="s">
        <v>9</v>
      </c>
      <c r="AC64" s="30" t="s">
        <v>144</v>
      </c>
      <c r="AD64" s="67" t="s">
        <v>9</v>
      </c>
    </row>
    <row r="65" spans="1:30" ht="6.65" customHeight="1" x14ac:dyDescent="0.4">
      <c r="A65" s="57">
        <v>65</v>
      </c>
      <c r="B65" s="1" t="s">
        <v>170</v>
      </c>
      <c r="C65" s="33" t="s">
        <v>171</v>
      </c>
      <c r="D65" s="1" t="s">
        <v>188</v>
      </c>
      <c r="E65" s="1" t="s">
        <v>185</v>
      </c>
      <c r="F65" s="54" t="s">
        <v>105</v>
      </c>
      <c r="G65" s="58" t="s">
        <v>9</v>
      </c>
      <c r="H65" s="58" t="s">
        <v>9</v>
      </c>
      <c r="I65" s="58" t="s">
        <v>9</v>
      </c>
      <c r="J65" s="58" t="s">
        <v>9</v>
      </c>
      <c r="K65" s="58" t="s">
        <v>9</v>
      </c>
      <c r="L65" s="34" t="str">
        <f t="shared" si="11"/>
        <v>De.Motricidade</v>
      </c>
      <c r="M65" s="34" t="str">
        <f t="shared" si="12"/>
        <v>Elementos.Motrizes</v>
      </c>
      <c r="N65" s="34" t="str">
        <f t="shared" si="13"/>
        <v>Motorizados</v>
      </c>
      <c r="O65" s="30" t="str">
        <f t="shared" si="21"/>
        <v>Motor.de.Acionamento.Correia</v>
      </c>
      <c r="P65" s="30" t="s">
        <v>117</v>
      </c>
      <c r="Q65" s="30" t="s">
        <v>124</v>
      </c>
      <c r="R65" s="30" t="s">
        <v>194</v>
      </c>
      <c r="S65" s="30" t="s">
        <v>9</v>
      </c>
      <c r="T65" s="30" t="str">
        <f t="shared" si="14"/>
        <v>De.Motricidade</v>
      </c>
      <c r="U65" s="30" t="str">
        <f t="shared" si="15"/>
        <v>Elementos.Motrizes</v>
      </c>
      <c r="V65" s="30" t="str">
        <f t="shared" si="16"/>
        <v>Motorizados</v>
      </c>
      <c r="W65" s="30" t="s">
        <v>106</v>
      </c>
      <c r="X65" s="59" t="str">
        <f t="shared" si="17"/>
        <v>Key-FMOT-65</v>
      </c>
      <c r="Y65" s="30" t="s">
        <v>130</v>
      </c>
      <c r="Z65" s="67" t="s">
        <v>9</v>
      </c>
      <c r="AA65" s="29" t="s">
        <v>101</v>
      </c>
      <c r="AB65" s="67" t="s">
        <v>9</v>
      </c>
      <c r="AC65" s="30" t="s">
        <v>144</v>
      </c>
      <c r="AD65" s="67" t="s">
        <v>9</v>
      </c>
    </row>
    <row r="66" spans="1:30" ht="6.65" customHeight="1" x14ac:dyDescent="0.4">
      <c r="A66" s="57">
        <v>66</v>
      </c>
      <c r="B66" s="1" t="s">
        <v>170</v>
      </c>
      <c r="C66" s="33" t="s">
        <v>171</v>
      </c>
      <c r="D66" s="1" t="s">
        <v>188</v>
      </c>
      <c r="E66" s="1" t="s">
        <v>185</v>
      </c>
      <c r="F66" s="54" t="s">
        <v>104</v>
      </c>
      <c r="G66" s="58" t="s">
        <v>9</v>
      </c>
      <c r="H66" s="58" t="s">
        <v>9</v>
      </c>
      <c r="I66" s="58" t="s">
        <v>9</v>
      </c>
      <c r="J66" s="58" t="s">
        <v>9</v>
      </c>
      <c r="K66" s="58" t="s">
        <v>9</v>
      </c>
      <c r="L66" s="34" t="str">
        <f t="shared" ref="L66" si="22">CONCATENATE("", C66)</f>
        <v>De.Motricidade</v>
      </c>
      <c r="M66" s="34" t="str">
        <f t="shared" ref="M66" si="23">CONCATENATE("", D66)</f>
        <v>Elementos.Motrizes</v>
      </c>
      <c r="N66" s="34" t="str">
        <f t="shared" ref="N66" si="24">(SUBSTITUTE(SUBSTITUTE(CONCATENATE("",E66),"."," ")," De "," de "))</f>
        <v>Motorizados</v>
      </c>
      <c r="O66" s="30" t="str">
        <f t="shared" si="21"/>
        <v>Motor.de.Acionamento.Direto</v>
      </c>
      <c r="P66" s="30" t="s">
        <v>118</v>
      </c>
      <c r="Q66" s="30" t="s">
        <v>125</v>
      </c>
      <c r="R66" s="30" t="s">
        <v>195</v>
      </c>
      <c r="S66" s="30" t="s">
        <v>9</v>
      </c>
      <c r="T66" s="30" t="str">
        <f t="shared" si="14"/>
        <v>De.Motricidade</v>
      </c>
      <c r="U66" s="30" t="str">
        <f t="shared" si="15"/>
        <v>Elementos.Motrizes</v>
      </c>
      <c r="V66" s="30" t="str">
        <f t="shared" si="16"/>
        <v>Motorizados</v>
      </c>
      <c r="W66" s="30" t="s">
        <v>106</v>
      </c>
      <c r="X66" s="59" t="str">
        <f t="shared" si="17"/>
        <v>Key-FMOT-66</v>
      </c>
      <c r="Y66" s="30" t="s">
        <v>130</v>
      </c>
      <c r="Z66" s="67" t="s">
        <v>9</v>
      </c>
      <c r="AA66" s="29" t="s">
        <v>102</v>
      </c>
      <c r="AB66" s="67" t="s">
        <v>9</v>
      </c>
      <c r="AC66" s="30" t="s">
        <v>144</v>
      </c>
      <c r="AD66" s="67" t="s">
        <v>9</v>
      </c>
    </row>
    <row r="67" spans="1:30" ht="6.65" customHeight="1" x14ac:dyDescent="0.4">
      <c r="A67" s="57">
        <v>67</v>
      </c>
      <c r="B67" s="1" t="s">
        <v>170</v>
      </c>
      <c r="C67" s="33" t="s">
        <v>171</v>
      </c>
      <c r="D67" s="1" t="s">
        <v>188</v>
      </c>
      <c r="E67" s="1" t="s">
        <v>186</v>
      </c>
      <c r="F67" s="54" t="s">
        <v>113</v>
      </c>
      <c r="G67" s="58" t="s">
        <v>9</v>
      </c>
      <c r="H67" s="58" t="s">
        <v>9</v>
      </c>
      <c r="I67" s="58" t="s">
        <v>9</v>
      </c>
      <c r="J67" s="58" t="s">
        <v>9</v>
      </c>
      <c r="K67" s="58" t="s">
        <v>9</v>
      </c>
      <c r="L67" s="34" t="str">
        <f t="shared" ref="L67:M74" si="25">CONCATENATE("", C67)</f>
        <v>De.Motricidade</v>
      </c>
      <c r="M67" s="34" t="str">
        <f t="shared" si="25"/>
        <v>Elementos.Motrizes</v>
      </c>
      <c r="N67" s="34" t="str">
        <f>(SUBSTITUTE(SUBSTITUTE(CONCATENATE("",E67),"."," ")," De "," de "))</f>
        <v>Maquinizados</v>
      </c>
      <c r="O67" s="30" t="str">
        <f t="shared" si="21"/>
        <v>Máquina.Motriz</v>
      </c>
      <c r="P67" s="30" t="s">
        <v>116</v>
      </c>
      <c r="Q67" s="30" t="s">
        <v>126</v>
      </c>
      <c r="R67" s="30" t="s">
        <v>196</v>
      </c>
      <c r="S67" s="30" t="s">
        <v>9</v>
      </c>
      <c r="T67" s="30" t="str">
        <f t="shared" si="14"/>
        <v>De.Motricidade</v>
      </c>
      <c r="U67" s="30" t="str">
        <f t="shared" si="15"/>
        <v>Elementos.Motrizes</v>
      </c>
      <c r="V67" s="30" t="str">
        <f t="shared" si="16"/>
        <v>Maquinizados</v>
      </c>
      <c r="W67" s="30" t="s">
        <v>106</v>
      </c>
      <c r="X67" s="59" t="str">
        <f t="shared" si="17"/>
        <v>Key-FMOT-67</v>
      </c>
      <c r="Y67" s="30" t="s">
        <v>130</v>
      </c>
      <c r="Z67" s="67" t="s">
        <v>9</v>
      </c>
      <c r="AA67" s="29" t="s">
        <v>108</v>
      </c>
      <c r="AB67" s="67" t="s">
        <v>9</v>
      </c>
      <c r="AC67" s="30" t="s">
        <v>144</v>
      </c>
      <c r="AD67" s="67" t="s">
        <v>9</v>
      </c>
    </row>
    <row r="68" spans="1:30" ht="6.65" customHeight="1" x14ac:dyDescent="0.4">
      <c r="A68" s="57">
        <v>68</v>
      </c>
      <c r="B68" s="1" t="s">
        <v>170</v>
      </c>
      <c r="C68" s="33" t="s">
        <v>171</v>
      </c>
      <c r="D68" s="1" t="s">
        <v>188</v>
      </c>
      <c r="E68" s="1" t="s">
        <v>186</v>
      </c>
      <c r="F68" s="54" t="s">
        <v>111</v>
      </c>
      <c r="G68" s="58" t="s">
        <v>9</v>
      </c>
      <c r="H68" s="58" t="s">
        <v>9</v>
      </c>
      <c r="I68" s="58" t="s">
        <v>9</v>
      </c>
      <c r="J68" s="58" t="s">
        <v>9</v>
      </c>
      <c r="K68" s="58" t="s">
        <v>9</v>
      </c>
      <c r="L68" s="34" t="str">
        <f t="shared" si="25"/>
        <v>De.Motricidade</v>
      </c>
      <c r="M68" s="34" t="str">
        <f t="shared" si="25"/>
        <v>Elementos.Motrizes</v>
      </c>
      <c r="N68" s="34" t="str">
        <f>(SUBSTITUTE(SUBSTITUTE(CONCATENATE("",E68),"."," ")," De "," de "))</f>
        <v>Maquinizados</v>
      </c>
      <c r="O68" s="30" t="str">
        <f t="shared" si="21"/>
        <v>Máquina.de.Combustão.Externa</v>
      </c>
      <c r="P68" s="30" t="s">
        <v>114</v>
      </c>
      <c r="Q68" s="30" t="s">
        <v>127</v>
      </c>
      <c r="R68" s="30" t="s">
        <v>197</v>
      </c>
      <c r="S68" s="30" t="s">
        <v>9</v>
      </c>
      <c r="T68" s="30" t="str">
        <f t="shared" si="14"/>
        <v>De.Motricidade</v>
      </c>
      <c r="U68" s="30" t="str">
        <f t="shared" si="15"/>
        <v>Elementos.Motrizes</v>
      </c>
      <c r="V68" s="30" t="str">
        <f t="shared" si="16"/>
        <v>Maquinizados</v>
      </c>
      <c r="W68" s="30" t="s">
        <v>106</v>
      </c>
      <c r="X68" s="59" t="str">
        <f t="shared" si="17"/>
        <v>Key-FMOT-68</v>
      </c>
      <c r="Y68" s="30" t="s">
        <v>130</v>
      </c>
      <c r="Z68" s="67" t="s">
        <v>9</v>
      </c>
      <c r="AA68" s="29" t="s">
        <v>110</v>
      </c>
      <c r="AB68" s="67" t="s">
        <v>9</v>
      </c>
      <c r="AC68" s="30" t="s">
        <v>144</v>
      </c>
      <c r="AD68" s="67" t="s">
        <v>9</v>
      </c>
    </row>
    <row r="69" spans="1:30" ht="6.65" customHeight="1" x14ac:dyDescent="0.4">
      <c r="A69" s="57">
        <v>69</v>
      </c>
      <c r="B69" s="1" t="s">
        <v>170</v>
      </c>
      <c r="C69" s="33" t="s">
        <v>171</v>
      </c>
      <c r="D69" s="1" t="s">
        <v>188</v>
      </c>
      <c r="E69" s="1" t="s">
        <v>186</v>
      </c>
      <c r="F69" s="54" t="s">
        <v>112</v>
      </c>
      <c r="G69" s="58" t="s">
        <v>9</v>
      </c>
      <c r="H69" s="58" t="s">
        <v>9</v>
      </c>
      <c r="I69" s="58" t="s">
        <v>9</v>
      </c>
      <c r="J69" s="58" t="s">
        <v>9</v>
      </c>
      <c r="K69" s="58" t="s">
        <v>9</v>
      </c>
      <c r="L69" s="34" t="str">
        <f t="shared" si="25"/>
        <v>De.Motricidade</v>
      </c>
      <c r="M69" s="34" t="str">
        <f t="shared" si="25"/>
        <v>Elementos.Motrizes</v>
      </c>
      <c r="N69" s="34" t="str">
        <f>(SUBSTITUTE(SUBSTITUTE(CONCATENATE("",E69),"."," ")," De "," de "))</f>
        <v>Maquinizados</v>
      </c>
      <c r="O69" s="30" t="str">
        <f t="shared" si="21"/>
        <v>Máquina.de.Combustão.Interna</v>
      </c>
      <c r="P69" s="30" t="s">
        <v>115</v>
      </c>
      <c r="Q69" s="30" t="s">
        <v>128</v>
      </c>
      <c r="R69" s="30" t="s">
        <v>198</v>
      </c>
      <c r="S69" s="30" t="s">
        <v>9</v>
      </c>
      <c r="T69" s="30" t="str">
        <f t="shared" si="14"/>
        <v>De.Motricidade</v>
      </c>
      <c r="U69" s="30" t="str">
        <f t="shared" si="15"/>
        <v>Elementos.Motrizes</v>
      </c>
      <c r="V69" s="30" t="str">
        <f t="shared" si="16"/>
        <v>Maquinizados</v>
      </c>
      <c r="W69" s="30" t="s">
        <v>106</v>
      </c>
      <c r="X69" s="59" t="str">
        <f t="shared" si="17"/>
        <v>Key-FMOT-69</v>
      </c>
      <c r="Y69" s="30" t="s">
        <v>130</v>
      </c>
      <c r="Z69" s="67" t="s">
        <v>9</v>
      </c>
      <c r="AA69" s="29" t="s">
        <v>109</v>
      </c>
      <c r="AB69" s="67" t="s">
        <v>9</v>
      </c>
      <c r="AC69" s="30" t="s">
        <v>144</v>
      </c>
      <c r="AD69" s="67" t="s">
        <v>9</v>
      </c>
    </row>
    <row r="70" spans="1:30" ht="6.65" customHeight="1" x14ac:dyDescent="0.4">
      <c r="A70" s="57">
        <v>70</v>
      </c>
      <c r="B70" s="1" t="s">
        <v>170</v>
      </c>
      <c r="C70" s="33" t="s">
        <v>171</v>
      </c>
      <c r="D70" s="1" t="s">
        <v>188</v>
      </c>
      <c r="E70" s="1" t="s">
        <v>187</v>
      </c>
      <c r="F70" s="54" t="s">
        <v>150</v>
      </c>
      <c r="G70" s="58" t="s">
        <v>9</v>
      </c>
      <c r="H70" s="58" t="s">
        <v>9</v>
      </c>
      <c r="I70" s="58" t="s">
        <v>9</v>
      </c>
      <c r="J70" s="58" t="s">
        <v>9</v>
      </c>
      <c r="K70" s="58" t="s">
        <v>9</v>
      </c>
      <c r="L70" s="34" t="str">
        <f t="shared" si="25"/>
        <v>De.Motricidade</v>
      </c>
      <c r="M70" s="34" t="str">
        <f t="shared" si="25"/>
        <v>Elementos.Motrizes</v>
      </c>
      <c r="N70" s="34" t="str">
        <f t="shared" ref="N70:N72" si="26">(SUBSTITUTE(SUBSTITUTE(CONCATENATE("",E70),"."," ")," De "," de "))</f>
        <v>Elevadores</v>
      </c>
      <c r="O70" s="30" t="str">
        <f>IF(ISNUMBER(FIND("Ifc",F70)),CONCATENATE("Classe IFC:   ",F70),F70)</f>
        <v>Elevador.Hidráulico</v>
      </c>
      <c r="P70" s="30" t="s">
        <v>151</v>
      </c>
      <c r="Q70" s="30" t="s">
        <v>155</v>
      </c>
      <c r="R70" s="30" t="s">
        <v>199</v>
      </c>
      <c r="S70" s="30" t="s">
        <v>9</v>
      </c>
      <c r="T70" s="30" t="str">
        <f t="shared" ref="T70:T75" si="27">SUBSTITUTE(C70, "_", " ")</f>
        <v>De.Motricidade</v>
      </c>
      <c r="U70" s="30" t="str">
        <f t="shared" ref="U70:U75" si="28">SUBSTITUTE(D70, "_", " ")</f>
        <v>Elementos.Motrizes</v>
      </c>
      <c r="V70" s="30" t="str">
        <f t="shared" ref="V70:V75" si="29">SUBSTITUTE(E70, "_", " ")</f>
        <v>Elevadores</v>
      </c>
      <c r="W70" s="30" t="s">
        <v>106</v>
      </c>
      <c r="X70" s="59" t="str">
        <f t="shared" si="17"/>
        <v>Key-FMOT-70</v>
      </c>
      <c r="Y70" s="30" t="s">
        <v>173</v>
      </c>
      <c r="Z70" s="67" t="s">
        <v>9</v>
      </c>
      <c r="AA70" s="29" t="s">
        <v>163</v>
      </c>
      <c r="AB70" s="67" t="s">
        <v>9</v>
      </c>
      <c r="AC70" s="30" t="s">
        <v>164</v>
      </c>
      <c r="AD70" s="67" t="s">
        <v>9</v>
      </c>
    </row>
    <row r="71" spans="1:30" ht="6.65" customHeight="1" x14ac:dyDescent="0.4">
      <c r="A71" s="57">
        <v>71</v>
      </c>
      <c r="B71" s="1" t="s">
        <v>170</v>
      </c>
      <c r="C71" s="33" t="s">
        <v>171</v>
      </c>
      <c r="D71" s="1" t="s">
        <v>188</v>
      </c>
      <c r="E71" s="1" t="s">
        <v>187</v>
      </c>
      <c r="F71" s="54" t="s">
        <v>147</v>
      </c>
      <c r="G71" s="58" t="s">
        <v>9</v>
      </c>
      <c r="H71" s="58" t="s">
        <v>9</v>
      </c>
      <c r="I71" s="58" t="s">
        <v>9</v>
      </c>
      <c r="J71" s="58" t="s">
        <v>9</v>
      </c>
      <c r="K71" s="58" t="s">
        <v>9</v>
      </c>
      <c r="L71" s="34" t="str">
        <f t="shared" si="25"/>
        <v>De.Motricidade</v>
      </c>
      <c r="M71" s="34" t="str">
        <f t="shared" si="25"/>
        <v>Elementos.Motrizes</v>
      </c>
      <c r="N71" s="34" t="str">
        <f t="shared" si="26"/>
        <v>Elevadores</v>
      </c>
      <c r="O71" s="30" t="str">
        <f t="shared" ref="O71:O75" si="30">IF(ISNUMBER(FIND("Ifc",F71)),CONCATENATE("Classe IFC:   ",F71),F71)</f>
        <v>Elevador.MR</v>
      </c>
      <c r="P71" s="30" t="s">
        <v>148</v>
      </c>
      <c r="Q71" s="30" t="s">
        <v>157</v>
      </c>
      <c r="R71" s="30" t="s">
        <v>200</v>
      </c>
      <c r="S71" s="30" t="s">
        <v>9</v>
      </c>
      <c r="T71" s="30" t="str">
        <f t="shared" si="27"/>
        <v>De.Motricidade</v>
      </c>
      <c r="U71" s="30" t="str">
        <f t="shared" si="28"/>
        <v>Elementos.Motrizes</v>
      </c>
      <c r="V71" s="30" t="str">
        <f t="shared" si="29"/>
        <v>Elevadores</v>
      </c>
      <c r="W71" s="30" t="s">
        <v>106</v>
      </c>
      <c r="X71" s="59" t="str">
        <f t="shared" si="17"/>
        <v>Key-FMOT-71</v>
      </c>
      <c r="Y71" s="30" t="s">
        <v>173</v>
      </c>
      <c r="Z71" s="67" t="s">
        <v>9</v>
      </c>
      <c r="AA71" s="29" t="s">
        <v>163</v>
      </c>
      <c r="AB71" s="67" t="s">
        <v>9</v>
      </c>
      <c r="AC71" s="30" t="s">
        <v>164</v>
      </c>
      <c r="AD71" s="67" t="s">
        <v>9</v>
      </c>
    </row>
    <row r="72" spans="1:30" ht="6.65" customHeight="1" x14ac:dyDescent="0.4">
      <c r="A72" s="57">
        <v>72</v>
      </c>
      <c r="B72" s="1" t="s">
        <v>170</v>
      </c>
      <c r="C72" s="33" t="s">
        <v>171</v>
      </c>
      <c r="D72" s="1" t="s">
        <v>188</v>
      </c>
      <c r="E72" s="1" t="s">
        <v>187</v>
      </c>
      <c r="F72" s="54" t="s">
        <v>146</v>
      </c>
      <c r="G72" s="58" t="s">
        <v>9</v>
      </c>
      <c r="H72" s="58" t="s">
        <v>9</v>
      </c>
      <c r="I72" s="58" t="s">
        <v>9</v>
      </c>
      <c r="J72" s="58" t="s">
        <v>9</v>
      </c>
      <c r="K72" s="58" t="s">
        <v>9</v>
      </c>
      <c r="L72" s="34" t="str">
        <f t="shared" si="25"/>
        <v>De.Motricidade</v>
      </c>
      <c r="M72" s="34" t="str">
        <f t="shared" si="25"/>
        <v>Elementos.Motrizes</v>
      </c>
      <c r="N72" s="34" t="str">
        <f t="shared" si="26"/>
        <v>Elevadores</v>
      </c>
      <c r="O72" s="30" t="str">
        <f t="shared" si="30"/>
        <v>Elevador.MRL</v>
      </c>
      <c r="P72" s="30" t="s">
        <v>149</v>
      </c>
      <c r="Q72" s="30" t="s">
        <v>156</v>
      </c>
      <c r="R72" s="30" t="s">
        <v>201</v>
      </c>
      <c r="S72" s="30" t="s">
        <v>9</v>
      </c>
      <c r="T72" s="30" t="str">
        <f t="shared" si="27"/>
        <v>De.Motricidade</v>
      </c>
      <c r="U72" s="30" t="str">
        <f t="shared" si="28"/>
        <v>Elementos.Motrizes</v>
      </c>
      <c r="V72" s="30" t="str">
        <f t="shared" si="29"/>
        <v>Elevadores</v>
      </c>
      <c r="W72" s="30" t="s">
        <v>106</v>
      </c>
      <c r="X72" s="59" t="str">
        <f t="shared" si="17"/>
        <v>Key-FMOT-72</v>
      </c>
      <c r="Y72" s="30" t="s">
        <v>173</v>
      </c>
      <c r="Z72" s="67" t="s">
        <v>9</v>
      </c>
      <c r="AA72" s="29" t="s">
        <v>163</v>
      </c>
      <c r="AB72" s="67" t="s">
        <v>9</v>
      </c>
      <c r="AC72" s="30" t="s">
        <v>164</v>
      </c>
      <c r="AD72" s="67" t="s">
        <v>9</v>
      </c>
    </row>
    <row r="73" spans="1:30" ht="6.65" customHeight="1" x14ac:dyDescent="0.4">
      <c r="A73" s="57">
        <v>73</v>
      </c>
      <c r="B73" s="1" t="s">
        <v>170</v>
      </c>
      <c r="C73" s="33" t="s">
        <v>171</v>
      </c>
      <c r="D73" s="1" t="s">
        <v>188</v>
      </c>
      <c r="E73" s="1" t="s">
        <v>187</v>
      </c>
      <c r="F73" s="54" t="s">
        <v>152</v>
      </c>
      <c r="G73" s="58" t="s">
        <v>9</v>
      </c>
      <c r="H73" s="58" t="s">
        <v>9</v>
      </c>
      <c r="I73" s="58" t="s">
        <v>9</v>
      </c>
      <c r="J73" s="58" t="s">
        <v>9</v>
      </c>
      <c r="K73" s="58" t="s">
        <v>9</v>
      </c>
      <c r="L73" s="34" t="str">
        <f t="shared" si="25"/>
        <v>De.Motricidade</v>
      </c>
      <c r="M73" s="34" t="str">
        <f t="shared" si="25"/>
        <v>Elementos.Motrizes</v>
      </c>
      <c r="N73" s="34" t="str">
        <f>(SUBSTITUTE(SUBSTITUTE(CONCATENATE("",E73),"."," ")," De "," de "))</f>
        <v>Elevadores</v>
      </c>
      <c r="O73" s="30" t="str">
        <f t="shared" ref="O73:O74" si="31">IF(ISNUMBER(FIND("Ifc",F73)),CONCATENATE("Classe IFC:   ",F73),F73)</f>
        <v>Plataforma</v>
      </c>
      <c r="P73" s="30" t="s">
        <v>160</v>
      </c>
      <c r="Q73" s="30" t="s">
        <v>152</v>
      </c>
      <c r="R73" s="30" t="s">
        <v>202</v>
      </c>
      <c r="S73" s="30" t="s">
        <v>9</v>
      </c>
      <c r="T73" s="30" t="str">
        <f t="shared" ref="T73:T74" si="32">SUBSTITUTE(C73, "_", " ")</f>
        <v>De.Motricidade</v>
      </c>
      <c r="U73" s="30" t="str">
        <f t="shared" ref="U73:U74" si="33">SUBSTITUTE(D73, "_", " ")</f>
        <v>Elementos.Motrizes</v>
      </c>
      <c r="V73" s="30" t="str">
        <f t="shared" ref="V73:V74" si="34">SUBSTITUTE(E73, "_", " ")</f>
        <v>Elevadores</v>
      </c>
      <c r="W73" s="30" t="s">
        <v>106</v>
      </c>
      <c r="X73" s="59" t="str">
        <f t="shared" si="17"/>
        <v>Key-FMOT-73</v>
      </c>
      <c r="Y73" s="30" t="s">
        <v>173</v>
      </c>
      <c r="Z73" s="67" t="s">
        <v>9</v>
      </c>
      <c r="AA73" s="29" t="s">
        <v>163</v>
      </c>
      <c r="AB73" s="67" t="s">
        <v>9</v>
      </c>
      <c r="AC73" s="30" t="s">
        <v>165</v>
      </c>
      <c r="AD73" s="67" t="s">
        <v>9</v>
      </c>
    </row>
    <row r="74" spans="1:30" ht="6.65" customHeight="1" x14ac:dyDescent="0.4">
      <c r="A74" s="57">
        <v>74</v>
      </c>
      <c r="B74" s="1" t="s">
        <v>170</v>
      </c>
      <c r="C74" s="33" t="s">
        <v>171</v>
      </c>
      <c r="D74" s="1" t="s">
        <v>188</v>
      </c>
      <c r="E74" s="1" t="s">
        <v>187</v>
      </c>
      <c r="F74" s="54" t="s">
        <v>153</v>
      </c>
      <c r="G74" s="58" t="s">
        <v>9</v>
      </c>
      <c r="H74" s="58" t="s">
        <v>9</v>
      </c>
      <c r="I74" s="58" t="s">
        <v>9</v>
      </c>
      <c r="J74" s="58" t="s">
        <v>9</v>
      </c>
      <c r="K74" s="58" t="s">
        <v>9</v>
      </c>
      <c r="L74" s="34" t="str">
        <f t="shared" si="25"/>
        <v>De.Motricidade</v>
      </c>
      <c r="M74" s="34" t="str">
        <f t="shared" si="25"/>
        <v>Elementos.Motrizes</v>
      </c>
      <c r="N74" s="34" t="str">
        <f>(SUBSTITUTE(SUBSTITUTE(CONCATENATE("",E74),"."," ")," De "," de "))</f>
        <v>Elevadores</v>
      </c>
      <c r="O74" s="30" t="str">
        <f t="shared" si="31"/>
        <v>Plataforma.Articulada</v>
      </c>
      <c r="P74" s="30" t="s">
        <v>161</v>
      </c>
      <c r="Q74" s="30" t="s">
        <v>159</v>
      </c>
      <c r="R74" s="30" t="s">
        <v>203</v>
      </c>
      <c r="S74" s="30" t="s">
        <v>9</v>
      </c>
      <c r="T74" s="30" t="str">
        <f t="shared" si="32"/>
        <v>De.Motricidade</v>
      </c>
      <c r="U74" s="30" t="str">
        <f t="shared" si="33"/>
        <v>Elementos.Motrizes</v>
      </c>
      <c r="V74" s="30" t="str">
        <f t="shared" si="34"/>
        <v>Elevadores</v>
      </c>
      <c r="W74" s="30" t="s">
        <v>106</v>
      </c>
      <c r="X74" s="59" t="str">
        <f t="shared" si="17"/>
        <v>Key-FMOT-74</v>
      </c>
      <c r="Y74" s="30" t="s">
        <v>173</v>
      </c>
      <c r="Z74" s="67" t="s">
        <v>9</v>
      </c>
      <c r="AA74" s="29" t="s">
        <v>163</v>
      </c>
      <c r="AB74" s="67" t="s">
        <v>9</v>
      </c>
      <c r="AC74" s="30" t="s">
        <v>165</v>
      </c>
      <c r="AD74" s="67" t="s">
        <v>9</v>
      </c>
    </row>
    <row r="75" spans="1:30" ht="6.65" customHeight="1" x14ac:dyDescent="0.4">
      <c r="A75" s="57">
        <v>75</v>
      </c>
      <c r="B75" s="1" t="s">
        <v>170</v>
      </c>
      <c r="C75" s="33" t="s">
        <v>171</v>
      </c>
      <c r="D75" s="1" t="s">
        <v>188</v>
      </c>
      <c r="E75" s="1" t="s">
        <v>187</v>
      </c>
      <c r="F75" s="54" t="s">
        <v>154</v>
      </c>
      <c r="G75" s="58" t="s">
        <v>9</v>
      </c>
      <c r="H75" s="58" t="s">
        <v>9</v>
      </c>
      <c r="I75" s="58" t="s">
        <v>9</v>
      </c>
      <c r="J75" s="58" t="s">
        <v>9</v>
      </c>
      <c r="K75" s="58" t="s">
        <v>9</v>
      </c>
      <c r="L75" s="34" t="str">
        <f t="shared" ref="L75" si="35">CONCATENATE("", C75)</f>
        <v>De.Motricidade</v>
      </c>
      <c r="M75" s="34" t="str">
        <f t="shared" ref="M75" si="36">CONCATENATE("", D75)</f>
        <v>Elementos.Motrizes</v>
      </c>
      <c r="N75" s="34" t="str">
        <f>(SUBSTITUTE(SUBSTITUTE(CONCATENATE("",E75),"."," ")," De "," de "))</f>
        <v>Elevadores</v>
      </c>
      <c r="O75" s="30" t="str">
        <f t="shared" si="30"/>
        <v>Plataforma.Cesto</v>
      </c>
      <c r="P75" s="30" t="s">
        <v>162</v>
      </c>
      <c r="Q75" s="30" t="s">
        <v>158</v>
      </c>
      <c r="R75" s="30" t="s">
        <v>204</v>
      </c>
      <c r="S75" s="30" t="s">
        <v>9</v>
      </c>
      <c r="T75" s="30" t="str">
        <f t="shared" si="27"/>
        <v>De.Motricidade</v>
      </c>
      <c r="U75" s="30" t="str">
        <f t="shared" si="28"/>
        <v>Elementos.Motrizes</v>
      </c>
      <c r="V75" s="30" t="str">
        <f t="shared" si="29"/>
        <v>Elevadores</v>
      </c>
      <c r="W75" s="30" t="s">
        <v>106</v>
      </c>
      <c r="X75" s="59" t="str">
        <f t="shared" si="17"/>
        <v>Key-FMOT-75</v>
      </c>
      <c r="Y75" s="30" t="s">
        <v>173</v>
      </c>
      <c r="Z75" s="67" t="s">
        <v>9</v>
      </c>
      <c r="AA75" s="29" t="s">
        <v>163</v>
      </c>
      <c r="AB75" s="67" t="s">
        <v>9</v>
      </c>
      <c r="AC75" s="30" t="s">
        <v>165</v>
      </c>
      <c r="AD75" s="67" t="s">
        <v>9</v>
      </c>
    </row>
    <row r="76" spans="1:30" ht="6.65" customHeight="1" x14ac:dyDescent="0.4">
      <c r="A76" s="57">
        <v>76</v>
      </c>
      <c r="B76" s="1" t="s">
        <v>170</v>
      </c>
      <c r="C76" s="33" t="s">
        <v>171</v>
      </c>
      <c r="D76" s="1" t="s">
        <v>188</v>
      </c>
      <c r="E76" s="44" t="s">
        <v>189</v>
      </c>
      <c r="F76" s="62" t="s">
        <v>190</v>
      </c>
      <c r="G76" s="63" t="s">
        <v>9</v>
      </c>
      <c r="H76" s="58" t="s">
        <v>9</v>
      </c>
      <c r="I76" s="58" t="s">
        <v>9</v>
      </c>
      <c r="J76" s="58" t="s">
        <v>9</v>
      </c>
      <c r="K76" s="58" t="s">
        <v>9</v>
      </c>
      <c r="L76" s="34" t="str">
        <f t="shared" ref="L76:M76" si="37">CONCATENATE("", C76)</f>
        <v>De.Motricidade</v>
      </c>
      <c r="M76" s="34" t="str">
        <f t="shared" si="37"/>
        <v>Elementos.Motrizes</v>
      </c>
      <c r="N76" s="34" t="str">
        <f t="shared" ref="N76" si="38">(SUBSTITUTE(SUBSTITUTE(CONCATENATE("",E76),"."," ")," De "," de "))</f>
        <v>Acessórios Motrizes</v>
      </c>
      <c r="O76" s="30" t="str">
        <f t="shared" si="21"/>
        <v>Acessório.Motriz</v>
      </c>
      <c r="P76" s="30" t="s">
        <v>121</v>
      </c>
      <c r="Q76" s="30" t="s">
        <v>129</v>
      </c>
      <c r="R76" s="30" t="s">
        <v>205</v>
      </c>
      <c r="S76" s="30" t="s">
        <v>9</v>
      </c>
      <c r="T76" s="30" t="str">
        <f t="shared" si="14"/>
        <v>De.Motricidade</v>
      </c>
      <c r="U76" s="30" t="str">
        <f t="shared" si="15"/>
        <v>Elementos.Motrizes</v>
      </c>
      <c r="V76" s="30" t="str">
        <f t="shared" si="16"/>
        <v>Acessórios.Motrizes</v>
      </c>
      <c r="W76" s="30" t="s">
        <v>106</v>
      </c>
      <c r="X76" s="59" t="str">
        <f t="shared" si="17"/>
        <v>Key-FMOT-76</v>
      </c>
      <c r="Y76" s="30" t="s">
        <v>130</v>
      </c>
      <c r="Z76" s="67" t="s">
        <v>9</v>
      </c>
      <c r="AA76" s="29" t="s">
        <v>98</v>
      </c>
      <c r="AB76" s="67" t="s">
        <v>9</v>
      </c>
      <c r="AC76" s="30" t="s">
        <v>144</v>
      </c>
      <c r="AD76" s="67" t="s">
        <v>9</v>
      </c>
    </row>
    <row r="77" spans="1:30" ht="6.65" customHeight="1" x14ac:dyDescent="0.4">
      <c r="A77" s="57">
        <v>77</v>
      </c>
      <c r="B77" s="1" t="s">
        <v>172</v>
      </c>
      <c r="C77" s="33" t="s">
        <v>174</v>
      </c>
      <c r="D77" s="1" t="s">
        <v>175</v>
      </c>
      <c r="E77" s="44" t="s">
        <v>184</v>
      </c>
      <c r="F77" s="62" t="s">
        <v>176</v>
      </c>
      <c r="G77" s="63" t="s">
        <v>9</v>
      </c>
      <c r="H77" s="58" t="s">
        <v>9</v>
      </c>
      <c r="I77" s="58" t="s">
        <v>9</v>
      </c>
      <c r="J77" s="58" t="s">
        <v>9</v>
      </c>
      <c r="K77" s="58" t="s">
        <v>9</v>
      </c>
      <c r="L77" s="34" t="str">
        <f t="shared" ref="L77" si="39">CONCATENATE("", C77)</f>
        <v>De.Força.Motriz</v>
      </c>
      <c r="M77" s="34" t="str">
        <f t="shared" ref="M77" si="40">CONCATENATE("", D77)</f>
        <v>Maquinárias</v>
      </c>
      <c r="N77" s="34" t="str">
        <f t="shared" ref="N77" si="41">(SUBSTITUTE(SUBSTITUTE(CONCATENATE("",E77),"."," ")," De "," de "))</f>
        <v>Máquinas</v>
      </c>
      <c r="O77" s="30" t="str">
        <f t="shared" ref="O77" si="42">IF(ISNUMBER(FIND("Ifc",F77)),CONCATENATE("Classe IFC:   ",F77),F77)</f>
        <v>Máquina</v>
      </c>
      <c r="P77" s="30" t="s">
        <v>176</v>
      </c>
      <c r="Q77" s="30" t="s">
        <v>176</v>
      </c>
      <c r="R77" s="30" t="s">
        <v>206</v>
      </c>
      <c r="S77" s="30" t="s">
        <v>9</v>
      </c>
      <c r="T77" s="30" t="str">
        <f t="shared" ref="T77" si="43">SUBSTITUTE(C77, "_", " ")</f>
        <v>De.Força.Motriz</v>
      </c>
      <c r="U77" s="30" t="str">
        <f t="shared" ref="U77" si="44">SUBSTITUTE(D77, "_", " ")</f>
        <v>Maquinárias</v>
      </c>
      <c r="V77" s="30" t="str">
        <f t="shared" ref="V77" si="45">SUBSTITUTE(E77, "_", " ")</f>
        <v>Máquinas</v>
      </c>
      <c r="W77" s="30" t="s">
        <v>106</v>
      </c>
      <c r="X77" s="59" t="str">
        <f t="shared" si="17"/>
        <v>Key-FMOT-77</v>
      </c>
      <c r="Y77" s="30" t="s">
        <v>130</v>
      </c>
      <c r="Z77" s="67" t="s">
        <v>9</v>
      </c>
      <c r="AA77" s="29" t="s">
        <v>98</v>
      </c>
      <c r="AB77" s="67" t="s">
        <v>9</v>
      </c>
      <c r="AC77" s="30" t="s">
        <v>144</v>
      </c>
      <c r="AD77" s="67" t="s">
        <v>9</v>
      </c>
    </row>
    <row r="78" spans="1:30" ht="6.65" customHeight="1" x14ac:dyDescent="0.4">
      <c r="A78" s="57">
        <v>78</v>
      </c>
      <c r="B78" s="1" t="s">
        <v>172</v>
      </c>
      <c r="C78" s="33" t="s">
        <v>174</v>
      </c>
      <c r="D78" s="1" t="s">
        <v>175</v>
      </c>
      <c r="E78" s="44" t="s">
        <v>184</v>
      </c>
      <c r="F78" s="62" t="s">
        <v>177</v>
      </c>
      <c r="G78" s="63" t="s">
        <v>9</v>
      </c>
      <c r="H78" s="58" t="s">
        <v>9</v>
      </c>
      <c r="I78" s="58" t="s">
        <v>9</v>
      </c>
      <c r="J78" s="58" t="s">
        <v>9</v>
      </c>
      <c r="K78" s="58" t="s">
        <v>9</v>
      </c>
      <c r="L78" s="34" t="str">
        <f t="shared" ref="L78:L79" si="46">CONCATENATE("", C78)</f>
        <v>De.Força.Motriz</v>
      </c>
      <c r="M78" s="34" t="str">
        <f t="shared" ref="M78:M79" si="47">CONCATENATE("", D78)</f>
        <v>Maquinárias</v>
      </c>
      <c r="N78" s="34" t="str">
        <f t="shared" ref="N78:N79" si="48">(SUBSTITUTE(SUBSTITUTE(CONCATENATE("",E78),"."," ")," De "," de "))</f>
        <v>Máquinas</v>
      </c>
      <c r="O78" s="30" t="str">
        <f t="shared" ref="O78:O79" si="49">IF(ISNUMBER(FIND("Ifc",F78)),CONCATENATE("Classe IFC:   ",F78),F78)</f>
        <v>Bomba</v>
      </c>
      <c r="P78" s="30" t="s">
        <v>177</v>
      </c>
      <c r="Q78" s="30" t="s">
        <v>177</v>
      </c>
      <c r="R78" s="30" t="s">
        <v>207</v>
      </c>
      <c r="S78" s="30" t="s">
        <v>9</v>
      </c>
      <c r="T78" s="30" t="str">
        <f t="shared" ref="T78:T79" si="50">SUBSTITUTE(C78, "_", " ")</f>
        <v>De.Força.Motriz</v>
      </c>
      <c r="U78" s="30" t="str">
        <f t="shared" ref="U78:U79" si="51">SUBSTITUTE(D78, "_", " ")</f>
        <v>Maquinárias</v>
      </c>
      <c r="V78" s="30" t="str">
        <f t="shared" ref="V78:V79" si="52">SUBSTITUTE(E78, "_", " ")</f>
        <v>Máquinas</v>
      </c>
      <c r="W78" s="30" t="s">
        <v>106</v>
      </c>
      <c r="X78" s="59" t="str">
        <f t="shared" si="17"/>
        <v>Key-FMOT-78</v>
      </c>
      <c r="Y78" s="30" t="s">
        <v>130</v>
      </c>
      <c r="Z78" s="67" t="s">
        <v>9</v>
      </c>
      <c r="AA78" s="29" t="s">
        <v>98</v>
      </c>
      <c r="AB78" s="67" t="s">
        <v>9</v>
      </c>
      <c r="AC78" s="30" t="s">
        <v>144</v>
      </c>
      <c r="AD78" s="67" t="s">
        <v>9</v>
      </c>
    </row>
    <row r="79" spans="1:30" ht="6.65" customHeight="1" x14ac:dyDescent="0.4">
      <c r="A79" s="57">
        <v>79</v>
      </c>
      <c r="B79" s="1" t="s">
        <v>172</v>
      </c>
      <c r="C79" s="33" t="s">
        <v>174</v>
      </c>
      <c r="D79" s="1" t="s">
        <v>175</v>
      </c>
      <c r="E79" s="44" t="s">
        <v>184</v>
      </c>
      <c r="F79" s="62" t="s">
        <v>178</v>
      </c>
      <c r="G79" s="63" t="s">
        <v>9</v>
      </c>
      <c r="H79" s="58" t="s">
        <v>9</v>
      </c>
      <c r="I79" s="58" t="s">
        <v>9</v>
      </c>
      <c r="J79" s="58" t="s">
        <v>9</v>
      </c>
      <c r="K79" s="58" t="s">
        <v>9</v>
      </c>
      <c r="L79" s="34" t="str">
        <f t="shared" si="46"/>
        <v>De.Força.Motriz</v>
      </c>
      <c r="M79" s="34" t="str">
        <f t="shared" si="47"/>
        <v>Maquinárias</v>
      </c>
      <c r="N79" s="34" t="str">
        <f t="shared" si="48"/>
        <v>Máquinas</v>
      </c>
      <c r="O79" s="30" t="str">
        <f t="shared" si="49"/>
        <v>Motor</v>
      </c>
      <c r="P79" s="30" t="s">
        <v>178</v>
      </c>
      <c r="Q79" s="30" t="s">
        <v>178</v>
      </c>
      <c r="R79" s="30" t="s">
        <v>208</v>
      </c>
      <c r="S79" s="30" t="s">
        <v>9</v>
      </c>
      <c r="T79" s="30" t="str">
        <f t="shared" si="50"/>
        <v>De.Força.Motriz</v>
      </c>
      <c r="U79" s="30" t="str">
        <f t="shared" si="51"/>
        <v>Maquinárias</v>
      </c>
      <c r="V79" s="30" t="str">
        <f t="shared" si="52"/>
        <v>Máquinas</v>
      </c>
      <c r="W79" s="30" t="s">
        <v>106</v>
      </c>
      <c r="X79" s="59" t="str">
        <f t="shared" si="17"/>
        <v>Key-FMOT-79</v>
      </c>
      <c r="Y79" s="30" t="s">
        <v>130</v>
      </c>
      <c r="Z79" s="67" t="s">
        <v>9</v>
      </c>
      <c r="AA79" s="29" t="s">
        <v>98</v>
      </c>
      <c r="AB79" s="67" t="s">
        <v>9</v>
      </c>
      <c r="AC79" s="30" t="s">
        <v>144</v>
      </c>
      <c r="AD79" s="67" t="s">
        <v>9</v>
      </c>
    </row>
    <row r="80" spans="1:30" ht="6.65" customHeight="1" x14ac:dyDescent="0.4">
      <c r="A80" s="57">
        <v>80</v>
      </c>
      <c r="B80" s="1" t="s">
        <v>172</v>
      </c>
      <c r="C80" s="33" t="s">
        <v>174</v>
      </c>
      <c r="D80" s="1" t="s">
        <v>175</v>
      </c>
      <c r="E80" s="44" t="s">
        <v>184</v>
      </c>
      <c r="F80" s="62" t="s">
        <v>179</v>
      </c>
      <c r="G80" s="63" t="s">
        <v>9</v>
      </c>
      <c r="H80" s="58" t="s">
        <v>9</v>
      </c>
      <c r="I80" s="58" t="s">
        <v>9</v>
      </c>
      <c r="J80" s="58" t="s">
        <v>9</v>
      </c>
      <c r="K80" s="58" t="s">
        <v>9</v>
      </c>
      <c r="L80" s="34" t="str">
        <f t="shared" ref="L80" si="53">CONCATENATE("", C80)</f>
        <v>De.Força.Motriz</v>
      </c>
      <c r="M80" s="34" t="str">
        <f t="shared" ref="M80" si="54">CONCATENATE("", D80)</f>
        <v>Maquinárias</v>
      </c>
      <c r="N80" s="34" t="str">
        <f t="shared" ref="N80" si="55">(SUBSTITUTE(SUBSTITUTE(CONCATENATE("",E80),"."," ")," De "," de "))</f>
        <v>Máquinas</v>
      </c>
      <c r="O80" s="30" t="str">
        <f t="shared" ref="O80" si="56">IF(ISNUMBER(FIND("Ifc",F80)),CONCATENATE("Classe IFC:   ",F80),F80)</f>
        <v>Elevador</v>
      </c>
      <c r="P80" s="30" t="s">
        <v>179</v>
      </c>
      <c r="Q80" s="30" t="s">
        <v>183</v>
      </c>
      <c r="R80" s="30" t="s">
        <v>209</v>
      </c>
      <c r="S80" s="30" t="s">
        <v>9</v>
      </c>
      <c r="T80" s="30" t="str">
        <f t="shared" ref="T80" si="57">SUBSTITUTE(C80, "_", " ")</f>
        <v>De.Força.Motriz</v>
      </c>
      <c r="U80" s="30" t="str">
        <f t="shared" ref="U80" si="58">SUBSTITUTE(D80, "_", " ")</f>
        <v>Maquinárias</v>
      </c>
      <c r="V80" s="30" t="str">
        <f t="shared" ref="V80" si="59">SUBSTITUTE(E80, "_", " ")</f>
        <v>Máquinas</v>
      </c>
      <c r="W80" s="30" t="s">
        <v>106</v>
      </c>
      <c r="X80" s="59" t="str">
        <f t="shared" si="17"/>
        <v>Key-FMOT-80</v>
      </c>
      <c r="Y80" s="30" t="s">
        <v>130</v>
      </c>
      <c r="Z80" s="67" t="s">
        <v>9</v>
      </c>
      <c r="AA80" s="29" t="s">
        <v>98</v>
      </c>
      <c r="AB80" s="67" t="s">
        <v>9</v>
      </c>
      <c r="AC80" s="30" t="s">
        <v>144</v>
      </c>
      <c r="AD80" s="67" t="s">
        <v>9</v>
      </c>
    </row>
    <row r="81" spans="1:30" ht="6.65" customHeight="1" x14ac:dyDescent="0.4">
      <c r="A81" s="57">
        <v>81</v>
      </c>
      <c r="B81" s="1" t="s">
        <v>172</v>
      </c>
      <c r="C81" s="33" t="s">
        <v>174</v>
      </c>
      <c r="D81" s="1" t="s">
        <v>175</v>
      </c>
      <c r="E81" s="44" t="s">
        <v>184</v>
      </c>
      <c r="F81" s="62" t="s">
        <v>180</v>
      </c>
      <c r="G81" s="63" t="s">
        <v>9</v>
      </c>
      <c r="H81" s="58" t="s">
        <v>9</v>
      </c>
      <c r="I81" s="58" t="s">
        <v>9</v>
      </c>
      <c r="J81" s="58" t="s">
        <v>9</v>
      </c>
      <c r="K81" s="58" t="s">
        <v>9</v>
      </c>
      <c r="L81" s="34" t="str">
        <f t="shared" ref="L81" si="60">CONCATENATE("", C81)</f>
        <v>De.Força.Motriz</v>
      </c>
      <c r="M81" s="34" t="str">
        <f t="shared" ref="M81" si="61">CONCATENATE("", D81)</f>
        <v>Maquinárias</v>
      </c>
      <c r="N81" s="34" t="str">
        <f t="shared" ref="N81" si="62">(SUBSTITUTE(SUBSTITUTE(CONCATENATE("",E81),"."," ")," De "," de "))</f>
        <v>Máquinas</v>
      </c>
      <c r="O81" s="30" t="str">
        <f t="shared" ref="O81" si="63">IF(ISNUMBER(FIND("Ifc",F81)),CONCATENATE("Classe IFC:   ",F81),F81)</f>
        <v>Escada.Rolante</v>
      </c>
      <c r="P81" s="30" t="s">
        <v>181</v>
      </c>
      <c r="Q81" s="30" t="s">
        <v>182</v>
      </c>
      <c r="R81" s="30" t="s">
        <v>210</v>
      </c>
      <c r="S81" s="30" t="s">
        <v>9</v>
      </c>
      <c r="T81" s="30" t="str">
        <f t="shared" ref="T81" si="64">SUBSTITUTE(C81, "_", " ")</f>
        <v>De.Força.Motriz</v>
      </c>
      <c r="U81" s="30" t="str">
        <f t="shared" ref="U81" si="65">SUBSTITUTE(D81, "_", " ")</f>
        <v>Maquinárias</v>
      </c>
      <c r="V81" s="30" t="str">
        <f t="shared" ref="V81" si="66">SUBSTITUTE(E81, "_", " ")</f>
        <v>Máquinas</v>
      </c>
      <c r="W81" s="30" t="s">
        <v>106</v>
      </c>
      <c r="X81" s="59" t="str">
        <f t="shared" si="17"/>
        <v>Key-FMOT-81</v>
      </c>
      <c r="Y81" s="30" t="s">
        <v>130</v>
      </c>
      <c r="Z81" s="67" t="s">
        <v>9</v>
      </c>
      <c r="AA81" s="29" t="s">
        <v>98</v>
      </c>
      <c r="AB81" s="67" t="s">
        <v>9</v>
      </c>
      <c r="AC81" s="30" t="s">
        <v>144</v>
      </c>
      <c r="AD81" s="67" t="s">
        <v>9</v>
      </c>
    </row>
    <row r="82" spans="1:30" s="68" customFormat="1" ht="6.75" customHeight="1" x14ac:dyDescent="0.25">
      <c r="A82" s="57">
        <v>82</v>
      </c>
      <c r="B82" s="1" t="s">
        <v>172</v>
      </c>
      <c r="C82" s="62" t="s">
        <v>215</v>
      </c>
      <c r="D82" s="62" t="s">
        <v>217</v>
      </c>
      <c r="E82" s="62" t="s">
        <v>216</v>
      </c>
      <c r="F82" s="62" t="s">
        <v>218</v>
      </c>
      <c r="G82" s="58" t="s">
        <v>9</v>
      </c>
      <c r="H82" s="58" t="s">
        <v>9</v>
      </c>
      <c r="I82" s="58" t="s">
        <v>9</v>
      </c>
      <c r="J82" s="58" t="s">
        <v>9</v>
      </c>
      <c r="K82" s="58" t="s">
        <v>9</v>
      </c>
      <c r="L82" s="34" t="str">
        <f t="shared" ref="L82:O86" si="67">SUBSTITUTE(CONCATENATE("", C82), ".", " ")</f>
        <v>De API</v>
      </c>
      <c r="M82" s="34" t="str">
        <f t="shared" si="67"/>
        <v>Macros</v>
      </c>
      <c r="N82" s="34" t="str">
        <f t="shared" si="67"/>
        <v>Métodos</v>
      </c>
      <c r="O82" s="34" t="str">
        <f t="shared" si="67"/>
        <v>Função Auxiliar</v>
      </c>
      <c r="P82" s="30" t="s">
        <v>219</v>
      </c>
      <c r="Q82" s="30" t="s">
        <v>220</v>
      </c>
      <c r="R82" s="30" t="s">
        <v>221</v>
      </c>
      <c r="S82" s="30" t="s">
        <v>9</v>
      </c>
      <c r="T82" s="30" t="str">
        <f t="shared" ref="T82:V86" si="68">SUBSTITUTE(C82, ".", " ")</f>
        <v>De API</v>
      </c>
      <c r="U82" s="30" t="str">
        <f t="shared" si="68"/>
        <v>Macros</v>
      </c>
      <c r="V82" s="66" t="str">
        <f t="shared" si="68"/>
        <v>Métodos</v>
      </c>
      <c r="W82" s="30" t="s">
        <v>106</v>
      </c>
      <c r="X82" s="59" t="str">
        <f t="shared" si="17"/>
        <v>Key-FMOT-82</v>
      </c>
      <c r="Y82" s="67" t="s">
        <v>9</v>
      </c>
      <c r="Z82" s="67" t="s">
        <v>9</v>
      </c>
      <c r="AA82" s="67" t="s">
        <v>9</v>
      </c>
      <c r="AB82" s="67" t="s">
        <v>9</v>
      </c>
      <c r="AC82" s="67" t="s">
        <v>9</v>
      </c>
      <c r="AD82" s="67" t="s">
        <v>9</v>
      </c>
    </row>
    <row r="83" spans="1:30" s="68" customFormat="1" ht="6.75" customHeight="1" x14ac:dyDescent="0.25">
      <c r="A83" s="57">
        <v>83</v>
      </c>
      <c r="B83" s="1" t="s">
        <v>172</v>
      </c>
      <c r="C83" s="62" t="s">
        <v>215</v>
      </c>
      <c r="D83" s="62" t="s">
        <v>217</v>
      </c>
      <c r="E83" s="62" t="s">
        <v>216</v>
      </c>
      <c r="F83" s="62" t="s">
        <v>222</v>
      </c>
      <c r="G83" s="58" t="s">
        <v>9</v>
      </c>
      <c r="H83" s="58" t="s">
        <v>9</v>
      </c>
      <c r="I83" s="58" t="s">
        <v>9</v>
      </c>
      <c r="J83" s="58" t="s">
        <v>9</v>
      </c>
      <c r="K83" s="58" t="s">
        <v>9</v>
      </c>
      <c r="L83" s="34" t="str">
        <f t="shared" si="67"/>
        <v>De API</v>
      </c>
      <c r="M83" s="34" t="str">
        <f t="shared" si="67"/>
        <v>Macros</v>
      </c>
      <c r="N83" s="34" t="str">
        <f t="shared" si="67"/>
        <v>Métodos</v>
      </c>
      <c r="O83" s="34" t="str">
        <f t="shared" si="67"/>
        <v>Função Global</v>
      </c>
      <c r="P83" s="30" t="s">
        <v>223</v>
      </c>
      <c r="Q83" s="30" t="s">
        <v>224</v>
      </c>
      <c r="R83" s="30" t="s">
        <v>225</v>
      </c>
      <c r="S83" s="30" t="s">
        <v>9</v>
      </c>
      <c r="T83" s="30" t="str">
        <f t="shared" si="68"/>
        <v>De API</v>
      </c>
      <c r="U83" s="30" t="str">
        <f t="shared" si="68"/>
        <v>Macros</v>
      </c>
      <c r="V83" s="66" t="str">
        <f t="shared" si="68"/>
        <v>Métodos</v>
      </c>
      <c r="W83" s="30" t="s">
        <v>106</v>
      </c>
      <c r="X83" s="59" t="str">
        <f t="shared" si="17"/>
        <v>Key-FMOT-83</v>
      </c>
      <c r="Y83" s="67" t="s">
        <v>9</v>
      </c>
      <c r="Z83" s="67" t="s">
        <v>9</v>
      </c>
      <c r="AA83" s="67" t="s">
        <v>9</v>
      </c>
      <c r="AB83" s="67" t="s">
        <v>9</v>
      </c>
      <c r="AC83" s="67" t="s">
        <v>9</v>
      </c>
      <c r="AD83" s="67" t="s">
        <v>9</v>
      </c>
    </row>
    <row r="84" spans="1:30" s="68" customFormat="1" ht="6.75" customHeight="1" x14ac:dyDescent="0.25">
      <c r="A84" s="57">
        <v>84</v>
      </c>
      <c r="B84" s="1" t="s">
        <v>172</v>
      </c>
      <c r="C84" s="62" t="s">
        <v>215</v>
      </c>
      <c r="D84" s="62" t="s">
        <v>217</v>
      </c>
      <c r="E84" s="62" t="s">
        <v>216</v>
      </c>
      <c r="F84" s="62" t="s">
        <v>226</v>
      </c>
      <c r="G84" s="58" t="s">
        <v>9</v>
      </c>
      <c r="H84" s="58" t="s">
        <v>9</v>
      </c>
      <c r="I84" s="58" t="s">
        <v>9</v>
      </c>
      <c r="J84" s="58" t="s">
        <v>9</v>
      </c>
      <c r="K84" s="58" t="s">
        <v>9</v>
      </c>
      <c r="L84" s="34" t="str">
        <f t="shared" si="67"/>
        <v>De API</v>
      </c>
      <c r="M84" s="34" t="str">
        <f t="shared" si="67"/>
        <v>Macros</v>
      </c>
      <c r="N84" s="34" t="str">
        <f t="shared" si="67"/>
        <v>Métodos</v>
      </c>
      <c r="O84" s="34" t="str">
        <f t="shared" si="67"/>
        <v>Função Local</v>
      </c>
      <c r="P84" s="30" t="s">
        <v>227</v>
      </c>
      <c r="Q84" s="30" t="s">
        <v>228</v>
      </c>
      <c r="R84" s="30" t="s">
        <v>229</v>
      </c>
      <c r="S84" s="30" t="s">
        <v>9</v>
      </c>
      <c r="T84" s="30" t="str">
        <f t="shared" si="68"/>
        <v>De API</v>
      </c>
      <c r="U84" s="30" t="str">
        <f t="shared" si="68"/>
        <v>Macros</v>
      </c>
      <c r="V84" s="66" t="str">
        <f t="shared" si="68"/>
        <v>Métodos</v>
      </c>
      <c r="W84" s="30" t="s">
        <v>106</v>
      </c>
      <c r="X84" s="59" t="str">
        <f t="shared" si="17"/>
        <v>Key-FMOT-84</v>
      </c>
      <c r="Y84" s="67" t="s">
        <v>9</v>
      </c>
      <c r="Z84" s="67" t="s">
        <v>9</v>
      </c>
      <c r="AA84" s="67" t="s">
        <v>9</v>
      </c>
      <c r="AB84" s="67" t="s">
        <v>9</v>
      </c>
      <c r="AC84" s="67" t="s">
        <v>9</v>
      </c>
      <c r="AD84" s="67" t="s">
        <v>9</v>
      </c>
    </row>
    <row r="85" spans="1:30" s="68" customFormat="1" ht="6.75" customHeight="1" x14ac:dyDescent="0.25">
      <c r="A85" s="57">
        <v>85</v>
      </c>
      <c r="B85" s="1" t="s">
        <v>172</v>
      </c>
      <c r="C85" s="62" t="s">
        <v>215</v>
      </c>
      <c r="D85" s="62" t="s">
        <v>217</v>
      </c>
      <c r="E85" s="62" t="s">
        <v>216</v>
      </c>
      <c r="F85" s="62" t="s">
        <v>230</v>
      </c>
      <c r="G85" s="58" t="s">
        <v>9</v>
      </c>
      <c r="H85" s="58" t="s">
        <v>9</v>
      </c>
      <c r="I85" s="58" t="s">
        <v>9</v>
      </c>
      <c r="J85" s="58" t="s">
        <v>9</v>
      </c>
      <c r="K85" s="58" t="s">
        <v>9</v>
      </c>
      <c r="L85" s="34" t="str">
        <f t="shared" si="67"/>
        <v>De API</v>
      </c>
      <c r="M85" s="34" t="str">
        <f t="shared" si="67"/>
        <v>Macros</v>
      </c>
      <c r="N85" s="34" t="str">
        <f t="shared" si="67"/>
        <v>Métodos</v>
      </c>
      <c r="O85" s="34" t="str">
        <f t="shared" si="67"/>
        <v>Função Filtro</v>
      </c>
      <c r="P85" s="30" t="s">
        <v>231</v>
      </c>
      <c r="Q85" s="30" t="s">
        <v>232</v>
      </c>
      <c r="R85" s="30" t="s">
        <v>233</v>
      </c>
      <c r="S85" s="30" t="s">
        <v>9</v>
      </c>
      <c r="T85" s="30" t="str">
        <f t="shared" si="68"/>
        <v>De API</v>
      </c>
      <c r="U85" s="30" t="str">
        <f t="shared" si="68"/>
        <v>Macros</v>
      </c>
      <c r="V85" s="66" t="str">
        <f t="shared" si="68"/>
        <v>Métodos</v>
      </c>
      <c r="W85" s="30" t="s">
        <v>106</v>
      </c>
      <c r="X85" s="59" t="str">
        <f t="shared" si="17"/>
        <v>Key-FMOT-85</v>
      </c>
      <c r="Y85" s="67" t="s">
        <v>9</v>
      </c>
      <c r="Z85" s="67" t="s">
        <v>9</v>
      </c>
      <c r="AA85" s="67" t="s">
        <v>9</v>
      </c>
      <c r="AB85" s="67" t="s">
        <v>9</v>
      </c>
      <c r="AC85" s="67" t="s">
        <v>9</v>
      </c>
      <c r="AD85" s="67" t="s">
        <v>9</v>
      </c>
    </row>
    <row r="86" spans="1:30" s="68" customFormat="1" ht="6.75" customHeight="1" x14ac:dyDescent="0.25">
      <c r="A86" s="57">
        <v>86</v>
      </c>
      <c r="B86" s="1" t="s">
        <v>172</v>
      </c>
      <c r="C86" s="62" t="s">
        <v>215</v>
      </c>
      <c r="D86" s="62" t="s">
        <v>217</v>
      </c>
      <c r="E86" s="62" t="s">
        <v>234</v>
      </c>
      <c r="F86" s="62" t="s">
        <v>235</v>
      </c>
      <c r="G86" s="58" t="s">
        <v>9</v>
      </c>
      <c r="H86" s="58" t="s">
        <v>9</v>
      </c>
      <c r="I86" s="58" t="s">
        <v>9</v>
      </c>
      <c r="J86" s="58" t="s">
        <v>9</v>
      </c>
      <c r="K86" s="58" t="s">
        <v>9</v>
      </c>
      <c r="L86" s="34" t="str">
        <f t="shared" si="67"/>
        <v>De API</v>
      </c>
      <c r="M86" s="34" t="str">
        <f t="shared" si="67"/>
        <v>Macros</v>
      </c>
      <c r="N86" s="34" t="str">
        <f t="shared" si="67"/>
        <v>Códigos Visuais</v>
      </c>
      <c r="O86" s="34" t="str">
        <f t="shared" si="67"/>
        <v>Bloco de Código</v>
      </c>
      <c r="P86" s="30" t="s">
        <v>236</v>
      </c>
      <c r="Q86" s="30" t="s">
        <v>237</v>
      </c>
      <c r="R86" s="30" t="s">
        <v>238</v>
      </c>
      <c r="S86" s="30" t="s">
        <v>9</v>
      </c>
      <c r="T86" s="30" t="str">
        <f t="shared" si="68"/>
        <v>De API</v>
      </c>
      <c r="U86" s="30" t="str">
        <f t="shared" si="68"/>
        <v>Macros</v>
      </c>
      <c r="V86" s="66" t="str">
        <f t="shared" si="68"/>
        <v>Códigos Visuais</v>
      </c>
      <c r="W86" s="30" t="s">
        <v>106</v>
      </c>
      <c r="X86" s="59" t="str">
        <f t="shared" si="17"/>
        <v>Key-FMOT-86</v>
      </c>
      <c r="Y86" s="67" t="s">
        <v>9</v>
      </c>
      <c r="Z86" s="67" t="s">
        <v>9</v>
      </c>
      <c r="AA86" s="67" t="s">
        <v>9</v>
      </c>
      <c r="AB86" s="67" t="s">
        <v>9</v>
      </c>
      <c r="AC86" s="67" t="s">
        <v>9</v>
      </c>
      <c r="AD86" s="67" t="s">
        <v>9</v>
      </c>
    </row>
  </sheetData>
  <sortState xmlns:xlrd2="http://schemas.microsoft.com/office/spreadsheetml/2017/richdata2" ref="A63:AC801">
    <sortCondition ref="F63:F801"/>
  </sortState>
  <phoneticPr fontId="1" type="noConversion"/>
  <conditionalFormatting sqref="A1:E1 S1:Y1 AC1:AD1 G1:O1 B63:B86">
    <cfRule type="cellIs" dxfId="15" priority="258" operator="equal">
      <formula>"null"</formula>
    </cfRule>
  </conditionalFormatting>
  <conditionalFormatting sqref="E86">
    <cfRule type="duplicateValues" dxfId="14" priority="15"/>
  </conditionalFormatting>
  <conditionalFormatting sqref="R63:R75">
    <cfRule type="cellIs" dxfId="13" priority="28" operator="equal">
      <formula>"null"</formula>
    </cfRule>
  </conditionalFormatting>
  <conditionalFormatting sqref="Y63:Y81">
    <cfRule type="containsText" dxfId="12" priority="85" operator="containsText" text="null">
      <formula>NOT(ISERROR(SEARCH("null",Y63)))</formula>
    </cfRule>
  </conditionalFormatting>
  <conditionalFormatting sqref="Q62">
    <cfRule type="cellIs" dxfId="11" priority="3" operator="equal">
      <formula>"null"</formula>
    </cfRule>
  </conditionalFormatting>
  <conditionalFormatting sqref="Y2:Y26 AA2:AA26 AC2:AC26 Q2:R61 A2:B62 R62 A63:A86">
    <cfRule type="cellIs" dxfId="0" priority="5" operator="equal">
      <formula>"null"</formula>
    </cfRule>
  </conditionalFormatting>
  <conditionalFormatting sqref="Y29:Y50 AC29:AC50">
    <cfRule type="cellIs" dxfId="10" priority="7" operator="equal">
      <formula>"null"</formula>
    </cfRule>
  </conditionalFormatting>
  <conditionalFormatting sqref="AA29:AA62 E51:E62 L51:P62 T51:V62 AE51:XFD62">
    <cfRule type="cellIs" dxfId="9" priority="6" operator="equal">
      <formula>"null"</formula>
    </cfRule>
  </conditionalFormatting>
  <conditionalFormatting sqref="F1:F1048576">
    <cfRule type="duplicateValues" dxfId="8" priority="1"/>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3"/>
  <dimension ref="A1:U2"/>
  <sheetViews>
    <sheetView zoomScale="180" zoomScaleNormal="180" workbookViewId="0">
      <selection activeCell="A3" sqref="A3:XFD3"/>
    </sheetView>
  </sheetViews>
  <sheetFormatPr defaultColWidth="11.15234375" defaultRowHeight="7.75" x14ac:dyDescent="0.2"/>
  <cols>
    <col min="1" max="1" width="2.84375" style="9" customWidth="1"/>
    <col min="2" max="10" width="6.53515625" style="10" customWidth="1"/>
    <col min="11" max="21" width="6.53515625" style="8" customWidth="1"/>
    <col min="22" max="16384" width="11.15234375" style="8"/>
  </cols>
  <sheetData>
    <row r="1" spans="1:21" s="4" customFormat="1" x14ac:dyDescent="0.2">
      <c r="A1" s="2" t="s">
        <v>11</v>
      </c>
      <c r="B1" s="3" t="s">
        <v>12</v>
      </c>
      <c r="C1" s="3" t="s">
        <v>13</v>
      </c>
      <c r="D1" s="3" t="s">
        <v>14</v>
      </c>
      <c r="E1" s="3" t="s">
        <v>15</v>
      </c>
      <c r="F1" s="3" t="s">
        <v>16</v>
      </c>
      <c r="G1" s="3" t="s">
        <v>17</v>
      </c>
      <c r="H1" s="3" t="s">
        <v>18</v>
      </c>
      <c r="I1" s="3" t="s">
        <v>19</v>
      </c>
      <c r="J1" s="3" t="s">
        <v>20</v>
      </c>
      <c r="K1" s="3" t="s">
        <v>21</v>
      </c>
      <c r="L1" s="3" t="s">
        <v>22</v>
      </c>
      <c r="M1" s="3" t="s">
        <v>23</v>
      </c>
      <c r="N1" s="3" t="s">
        <v>24</v>
      </c>
      <c r="O1" s="3" t="s">
        <v>25</v>
      </c>
      <c r="P1" s="3" t="s">
        <v>26</v>
      </c>
      <c r="Q1" s="3" t="s">
        <v>27</v>
      </c>
      <c r="R1" s="3" t="s">
        <v>28</v>
      </c>
      <c r="S1" s="3" t="s">
        <v>29</v>
      </c>
      <c r="T1" s="3" t="s">
        <v>30</v>
      </c>
      <c r="U1" s="5" t="s">
        <v>31</v>
      </c>
    </row>
    <row r="2" spans="1:21" s="4" customFormat="1" ht="10.5" customHeight="1" x14ac:dyDescent="0.2">
      <c r="A2" s="6">
        <v>2</v>
      </c>
      <c r="B2" s="7" t="s">
        <v>9</v>
      </c>
      <c r="C2" s="7" t="s">
        <v>9</v>
      </c>
      <c r="D2" s="7" t="s">
        <v>9</v>
      </c>
      <c r="E2" s="7" t="s">
        <v>9</v>
      </c>
      <c r="F2" s="7" t="s">
        <v>9</v>
      </c>
      <c r="G2" s="7" t="s">
        <v>9</v>
      </c>
      <c r="H2" s="7" t="s">
        <v>9</v>
      </c>
      <c r="I2" s="7" t="s">
        <v>9</v>
      </c>
      <c r="J2" s="7" t="s">
        <v>9</v>
      </c>
      <c r="K2" s="7" t="s">
        <v>9</v>
      </c>
      <c r="L2" s="7" t="s">
        <v>9</v>
      </c>
      <c r="M2" s="7" t="s">
        <v>9</v>
      </c>
      <c r="N2" s="7" t="s">
        <v>9</v>
      </c>
      <c r="O2" s="7" t="s">
        <v>9</v>
      </c>
      <c r="P2" s="7" t="s">
        <v>9</v>
      </c>
      <c r="Q2" s="7" t="s">
        <v>9</v>
      </c>
      <c r="R2" s="7" t="s">
        <v>9</v>
      </c>
      <c r="S2" s="7" t="s">
        <v>9</v>
      </c>
      <c r="T2" s="7" t="s">
        <v>9</v>
      </c>
      <c r="U2" s="7" t="s">
        <v>9</v>
      </c>
    </row>
  </sheetData>
  <conditionalFormatting sqref="A1:XFD1048576">
    <cfRule type="cellIs" dxfId="7" priority="2" operator="equal">
      <formula>"null"</formula>
    </cfRule>
  </conditionalFormatting>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E5EC8-1387-4A67-960C-C64BD1326958}">
  <sheetPr codeName="Planilha5"/>
  <dimension ref="A1:G2"/>
  <sheetViews>
    <sheetView zoomScale="280" zoomScaleNormal="280" workbookViewId="0">
      <pane ySplit="1" topLeftCell="A2" activePane="bottomLeft" state="frozen"/>
      <selection activeCell="B1" sqref="B1"/>
      <selection pane="bottomLeft" activeCell="E7" sqref="E7"/>
    </sheetView>
  </sheetViews>
  <sheetFormatPr defaultColWidth="9.15234375" defaultRowHeight="8.25" customHeight="1" x14ac:dyDescent="0.4"/>
  <cols>
    <col min="1" max="1" width="2.15234375" style="26" customWidth="1"/>
    <col min="2" max="2" width="5.84375" style="25" bestFit="1" customWidth="1"/>
    <col min="3" max="3" width="11.3046875" style="25" bestFit="1" customWidth="1"/>
    <col min="4" max="7" width="10.84375" style="25" bestFit="1" customWidth="1"/>
  </cols>
  <sheetData>
    <row r="1" spans="1:7" ht="33" customHeight="1" x14ac:dyDescent="0.4">
      <c r="A1" s="31">
        <v>0</v>
      </c>
      <c r="B1" s="27" t="s">
        <v>79</v>
      </c>
      <c r="C1" s="28" t="s">
        <v>80</v>
      </c>
      <c r="D1" s="28" t="s">
        <v>81</v>
      </c>
      <c r="E1" s="28" t="s">
        <v>81</v>
      </c>
      <c r="F1" s="28" t="s">
        <v>81</v>
      </c>
      <c r="G1" s="28" t="s">
        <v>81</v>
      </c>
    </row>
    <row r="2" spans="1:7" ht="8.25" customHeight="1" x14ac:dyDescent="0.4">
      <c r="A2" s="32">
        <v>2</v>
      </c>
      <c r="B2" s="30" t="s">
        <v>9</v>
      </c>
      <c r="C2" s="30" t="s">
        <v>9</v>
      </c>
      <c r="D2" s="30" t="s">
        <v>9</v>
      </c>
      <c r="E2" s="30" t="s">
        <v>9</v>
      </c>
      <c r="F2" s="30" t="s">
        <v>9</v>
      </c>
      <c r="G2" s="30" t="s">
        <v>9</v>
      </c>
    </row>
  </sheetData>
  <sortState xmlns:xlrd2="http://schemas.microsoft.com/office/spreadsheetml/2017/richdata2" ref="A2:G2">
    <sortCondition ref="A1:A2"/>
  </sortState>
  <phoneticPr fontId="1" type="noConversion"/>
  <conditionalFormatting sqref="A1:G1 B3:G1048576">
    <cfRule type="containsText" dxfId="6" priority="5" operator="containsText" text="null">
      <formula>NOT(ISERROR(SEARCH("null",A1)))</formula>
    </cfRule>
  </conditionalFormatting>
  <conditionalFormatting sqref="B2">
    <cfRule type="duplicateValues" dxfId="5" priority="1449"/>
    <cfRule type="duplicateValues" dxfId="4" priority="1450"/>
  </conditionalFormatting>
  <conditionalFormatting sqref="B3:B1048576 A1:B1">
    <cfRule type="duplicateValues" dxfId="3" priority="6"/>
  </conditionalFormatting>
  <conditionalFormatting sqref="B3:B1048576 B1">
    <cfRule type="duplicateValues" dxfId="2" priority="4"/>
  </conditionalFormatting>
  <conditionalFormatting sqref="B2:G2">
    <cfRule type="containsText" dxfId="1" priority="2" operator="containsText" text="null">
      <formula>NOT(ISERROR(SEARCH("null",B2)))</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B0525-EDFB-44CB-9009-6752AEDD7340}">
  <sheetPr codeName="Planilha4"/>
  <dimension ref="A1:S10"/>
  <sheetViews>
    <sheetView zoomScale="205" zoomScaleNormal="205" workbookViewId="0">
      <selection activeCell="C2" sqref="C2"/>
    </sheetView>
  </sheetViews>
  <sheetFormatPr defaultColWidth="11.53515625" defaultRowHeight="7.5" customHeight="1" x14ac:dyDescent="0.4"/>
  <cols>
    <col min="1" max="1" width="2.53515625" bestFit="1" customWidth="1"/>
    <col min="2" max="2" width="9.3046875" bestFit="1" customWidth="1"/>
    <col min="3" max="3" width="7.765625" customWidth="1"/>
    <col min="4" max="4" width="7.53515625" customWidth="1"/>
    <col min="5" max="5" width="5.921875" customWidth="1"/>
    <col min="6" max="6" width="4.07421875" bestFit="1" customWidth="1"/>
    <col min="7" max="7" width="27.69140625" customWidth="1"/>
    <col min="8" max="8" width="6.69140625" customWidth="1"/>
    <col min="9" max="9" width="11.84375" customWidth="1"/>
    <col min="10" max="10" width="4.84375" bestFit="1" customWidth="1"/>
    <col min="11" max="11" width="5.53515625" customWidth="1"/>
    <col min="12" max="12" width="3" customWidth="1"/>
    <col min="13" max="13" width="2.84375" customWidth="1"/>
    <col min="14" max="14" width="7.3046875" customWidth="1"/>
    <col min="15" max="15" width="13.84375" customWidth="1"/>
    <col min="16" max="16" width="5.69140625" bestFit="1" customWidth="1"/>
    <col min="17" max="17" width="8.3046875" bestFit="1" customWidth="1"/>
    <col min="18" max="18" width="6" customWidth="1"/>
    <col min="19" max="19" width="6.53515625" style="35" bestFit="1" customWidth="1"/>
  </cols>
  <sheetData>
    <row r="1" spans="1:19" ht="17.25" customHeight="1" x14ac:dyDescent="0.4">
      <c r="A1" s="17" t="s">
        <v>10</v>
      </c>
      <c r="B1" s="18" t="s">
        <v>73</v>
      </c>
      <c r="C1" s="18" t="s">
        <v>74</v>
      </c>
      <c r="D1" s="19" t="s">
        <v>75</v>
      </c>
      <c r="E1" s="19" t="s">
        <v>78</v>
      </c>
      <c r="F1" s="19" t="s">
        <v>75</v>
      </c>
      <c r="G1" s="19" t="s">
        <v>78</v>
      </c>
      <c r="H1" s="50" t="s">
        <v>76</v>
      </c>
      <c r="I1" s="19" t="s">
        <v>78</v>
      </c>
      <c r="J1" s="19" t="s">
        <v>75</v>
      </c>
      <c r="K1" s="19" t="s">
        <v>78</v>
      </c>
      <c r="L1" s="19" t="s">
        <v>75</v>
      </c>
      <c r="M1" s="19" t="s">
        <v>78</v>
      </c>
      <c r="N1" s="19" t="s">
        <v>75</v>
      </c>
      <c r="O1" s="19" t="s">
        <v>78</v>
      </c>
      <c r="P1" s="19" t="s">
        <v>75</v>
      </c>
      <c r="Q1" s="19" t="s">
        <v>78</v>
      </c>
      <c r="R1" s="19" t="s">
        <v>75</v>
      </c>
      <c r="S1" s="17" t="s">
        <v>78</v>
      </c>
    </row>
    <row r="2" spans="1:19" ht="7.5" customHeight="1" x14ac:dyDescent="0.4">
      <c r="A2" s="20">
        <v>2</v>
      </c>
      <c r="B2" s="21" t="s">
        <v>244</v>
      </c>
      <c r="C2" s="33" t="s">
        <v>174</v>
      </c>
      <c r="D2" s="52" t="s">
        <v>9</v>
      </c>
      <c r="E2" s="53" t="s">
        <v>9</v>
      </c>
      <c r="F2" s="22" t="s">
        <v>77</v>
      </c>
      <c r="G2" s="23" t="s">
        <v>245</v>
      </c>
      <c r="H2" s="51" t="s">
        <v>9</v>
      </c>
      <c r="I2" s="24" t="s">
        <v>9</v>
      </c>
      <c r="J2" s="51" t="s">
        <v>9</v>
      </c>
      <c r="K2" s="24" t="s">
        <v>9</v>
      </c>
      <c r="L2" s="51" t="s">
        <v>9</v>
      </c>
      <c r="M2" s="24" t="s">
        <v>9</v>
      </c>
      <c r="N2" s="51" t="s">
        <v>9</v>
      </c>
      <c r="O2" s="24" t="s">
        <v>9</v>
      </c>
      <c r="P2" s="51" t="s">
        <v>9</v>
      </c>
      <c r="Q2" s="24" t="s">
        <v>9</v>
      </c>
      <c r="R2" s="51" t="s">
        <v>9</v>
      </c>
      <c r="S2" s="56" t="s">
        <v>9</v>
      </c>
    </row>
    <row r="3" spans="1:19" ht="7.5" customHeight="1" x14ac:dyDescent="0.4">
      <c r="A3" s="20">
        <v>3</v>
      </c>
      <c r="B3" s="49" t="s">
        <v>131</v>
      </c>
      <c r="C3" s="62" t="s">
        <v>176</v>
      </c>
      <c r="D3" s="52" t="s">
        <v>96</v>
      </c>
      <c r="E3" s="36" t="s">
        <v>244</v>
      </c>
      <c r="F3" s="22" t="s">
        <v>77</v>
      </c>
      <c r="G3" s="23" t="s">
        <v>191</v>
      </c>
      <c r="H3" s="51" t="s">
        <v>166</v>
      </c>
      <c r="I3" s="24" t="s">
        <v>169</v>
      </c>
      <c r="J3" s="51" t="s">
        <v>97</v>
      </c>
      <c r="K3" s="24" t="s">
        <v>139</v>
      </c>
      <c r="L3" s="51" t="s">
        <v>9</v>
      </c>
      <c r="M3" s="24" t="s">
        <v>9</v>
      </c>
      <c r="N3" s="51" t="s">
        <v>95</v>
      </c>
      <c r="O3" s="24" t="s">
        <v>167</v>
      </c>
      <c r="P3" s="51" t="s">
        <v>94</v>
      </c>
      <c r="Q3" s="24" t="s">
        <v>168</v>
      </c>
      <c r="R3" s="51" t="s">
        <v>93</v>
      </c>
      <c r="S3" s="56" t="s">
        <v>145</v>
      </c>
    </row>
    <row r="4" spans="1:19" ht="7.5" customHeight="1" x14ac:dyDescent="0.4">
      <c r="A4" s="20">
        <v>4</v>
      </c>
      <c r="B4" s="49" t="s">
        <v>132</v>
      </c>
      <c r="C4" s="62" t="s">
        <v>176</v>
      </c>
      <c r="D4" s="52" t="s">
        <v>96</v>
      </c>
      <c r="E4" s="36" t="s">
        <v>244</v>
      </c>
      <c r="F4" s="22" t="s">
        <v>77</v>
      </c>
      <c r="G4" s="23" t="s">
        <v>191</v>
      </c>
      <c r="H4" s="51" t="s">
        <v>166</v>
      </c>
      <c r="I4" s="24" t="s">
        <v>169</v>
      </c>
      <c r="J4" s="51" t="s">
        <v>97</v>
      </c>
      <c r="K4" s="24" t="s">
        <v>139</v>
      </c>
      <c r="L4" s="51" t="s">
        <v>9</v>
      </c>
      <c r="M4" s="24" t="s">
        <v>9</v>
      </c>
      <c r="N4" s="51" t="s">
        <v>95</v>
      </c>
      <c r="O4" s="24" t="s">
        <v>167</v>
      </c>
      <c r="P4" s="51" t="s">
        <v>94</v>
      </c>
      <c r="Q4" s="24" t="s">
        <v>168</v>
      </c>
      <c r="R4" s="51" t="s">
        <v>93</v>
      </c>
      <c r="S4" s="56" t="s">
        <v>145</v>
      </c>
    </row>
    <row r="5" spans="1:19" ht="7.5" customHeight="1" x14ac:dyDescent="0.4">
      <c r="A5" s="20">
        <v>5</v>
      </c>
      <c r="B5" s="49" t="s">
        <v>133</v>
      </c>
      <c r="C5" s="62" t="s">
        <v>176</v>
      </c>
      <c r="D5" s="52" t="s">
        <v>96</v>
      </c>
      <c r="E5" s="36" t="s">
        <v>244</v>
      </c>
      <c r="F5" s="22" t="s">
        <v>77</v>
      </c>
      <c r="G5" s="23" t="s">
        <v>191</v>
      </c>
      <c r="H5" s="51" t="s">
        <v>166</v>
      </c>
      <c r="I5" s="24" t="s">
        <v>169</v>
      </c>
      <c r="J5" s="51" t="s">
        <v>97</v>
      </c>
      <c r="K5" s="24" t="s">
        <v>139</v>
      </c>
      <c r="L5" s="51" t="s">
        <v>9</v>
      </c>
      <c r="M5" s="24" t="s">
        <v>9</v>
      </c>
      <c r="N5" s="51" t="s">
        <v>95</v>
      </c>
      <c r="O5" s="24" t="s">
        <v>167</v>
      </c>
      <c r="P5" s="51" t="s">
        <v>94</v>
      </c>
      <c r="Q5" s="24" t="s">
        <v>168</v>
      </c>
      <c r="R5" s="51" t="s">
        <v>93</v>
      </c>
      <c r="S5" s="56" t="s">
        <v>145</v>
      </c>
    </row>
    <row r="6" spans="1:19" ht="7.5" customHeight="1" x14ac:dyDescent="0.4">
      <c r="A6" s="20">
        <v>6</v>
      </c>
      <c r="B6" s="49" t="s">
        <v>134</v>
      </c>
      <c r="C6" s="62" t="s">
        <v>176</v>
      </c>
      <c r="D6" s="52" t="s">
        <v>96</v>
      </c>
      <c r="E6" s="36" t="s">
        <v>244</v>
      </c>
      <c r="F6" s="22" t="s">
        <v>77</v>
      </c>
      <c r="G6" s="23" t="s">
        <v>191</v>
      </c>
      <c r="H6" s="51" t="s">
        <v>166</v>
      </c>
      <c r="I6" s="24" t="s">
        <v>169</v>
      </c>
      <c r="J6" s="51" t="s">
        <v>97</v>
      </c>
      <c r="K6" s="24" t="s">
        <v>139</v>
      </c>
      <c r="L6" s="51" t="s">
        <v>9</v>
      </c>
      <c r="M6" s="24" t="s">
        <v>9</v>
      </c>
      <c r="N6" s="51" t="s">
        <v>95</v>
      </c>
      <c r="O6" s="24" t="s">
        <v>167</v>
      </c>
      <c r="P6" s="51" t="s">
        <v>94</v>
      </c>
      <c r="Q6" s="24" t="s">
        <v>168</v>
      </c>
      <c r="R6" s="51" t="s">
        <v>93</v>
      </c>
      <c r="S6" s="56" t="s">
        <v>145</v>
      </c>
    </row>
    <row r="7" spans="1:19" ht="7.5" customHeight="1" x14ac:dyDescent="0.4">
      <c r="A7" s="20">
        <v>7</v>
      </c>
      <c r="B7" s="49" t="s">
        <v>135</v>
      </c>
      <c r="C7" s="62" t="s">
        <v>176</v>
      </c>
      <c r="D7" s="52" t="s">
        <v>96</v>
      </c>
      <c r="E7" s="36" t="s">
        <v>244</v>
      </c>
      <c r="F7" s="22" t="s">
        <v>77</v>
      </c>
      <c r="G7" s="23" t="s">
        <v>191</v>
      </c>
      <c r="H7" s="51" t="s">
        <v>166</v>
      </c>
      <c r="I7" s="24" t="s">
        <v>169</v>
      </c>
      <c r="J7" s="51" t="s">
        <v>97</v>
      </c>
      <c r="K7" s="24" t="s">
        <v>139</v>
      </c>
      <c r="L7" s="51" t="s">
        <v>9</v>
      </c>
      <c r="M7" s="24" t="s">
        <v>9</v>
      </c>
      <c r="N7" s="51" t="s">
        <v>95</v>
      </c>
      <c r="O7" s="24" t="s">
        <v>167</v>
      </c>
      <c r="P7" s="51" t="s">
        <v>94</v>
      </c>
      <c r="Q7" s="24" t="s">
        <v>168</v>
      </c>
      <c r="R7" s="51" t="s">
        <v>93</v>
      </c>
      <c r="S7" s="56" t="s">
        <v>145</v>
      </c>
    </row>
    <row r="8" spans="1:19" ht="7.5" customHeight="1" x14ac:dyDescent="0.4">
      <c r="A8" s="20">
        <v>8</v>
      </c>
      <c r="B8" s="49" t="s">
        <v>136</v>
      </c>
      <c r="C8" s="62" t="s">
        <v>176</v>
      </c>
      <c r="D8" s="52" t="s">
        <v>96</v>
      </c>
      <c r="E8" s="36" t="s">
        <v>244</v>
      </c>
      <c r="F8" s="22" t="s">
        <v>77</v>
      </c>
      <c r="G8" s="23" t="s">
        <v>191</v>
      </c>
      <c r="H8" s="51" t="s">
        <v>166</v>
      </c>
      <c r="I8" s="24" t="s">
        <v>169</v>
      </c>
      <c r="J8" s="51" t="s">
        <v>97</v>
      </c>
      <c r="K8" s="24" t="s">
        <v>139</v>
      </c>
      <c r="L8" s="51" t="s">
        <v>9</v>
      </c>
      <c r="M8" s="24" t="s">
        <v>9</v>
      </c>
      <c r="N8" s="51" t="s">
        <v>95</v>
      </c>
      <c r="O8" s="24" t="s">
        <v>167</v>
      </c>
      <c r="P8" s="51" t="s">
        <v>94</v>
      </c>
      <c r="Q8" s="24" t="s">
        <v>168</v>
      </c>
      <c r="R8" s="51" t="s">
        <v>93</v>
      </c>
      <c r="S8" s="56" t="s">
        <v>145</v>
      </c>
    </row>
    <row r="9" spans="1:19" ht="7.5" customHeight="1" x14ac:dyDescent="0.4">
      <c r="A9" s="20">
        <v>9</v>
      </c>
      <c r="B9" s="49" t="s">
        <v>137</v>
      </c>
      <c r="C9" s="62" t="s">
        <v>176</v>
      </c>
      <c r="D9" s="52" t="s">
        <v>96</v>
      </c>
      <c r="E9" s="36" t="s">
        <v>244</v>
      </c>
      <c r="F9" s="22" t="s">
        <v>77</v>
      </c>
      <c r="G9" s="23" t="s">
        <v>191</v>
      </c>
      <c r="H9" s="51" t="s">
        <v>166</v>
      </c>
      <c r="I9" s="24" t="s">
        <v>169</v>
      </c>
      <c r="J9" s="51" t="s">
        <v>97</v>
      </c>
      <c r="K9" s="24" t="s">
        <v>139</v>
      </c>
      <c r="L9" s="51" t="s">
        <v>9</v>
      </c>
      <c r="M9" s="24" t="s">
        <v>9</v>
      </c>
      <c r="N9" s="51" t="s">
        <v>95</v>
      </c>
      <c r="O9" s="24" t="s">
        <v>167</v>
      </c>
      <c r="P9" s="51" t="s">
        <v>94</v>
      </c>
      <c r="Q9" s="24" t="s">
        <v>168</v>
      </c>
      <c r="R9" s="51" t="s">
        <v>93</v>
      </c>
      <c r="S9" s="56" t="s">
        <v>145</v>
      </c>
    </row>
    <row r="10" spans="1:19" ht="7.5" customHeight="1" x14ac:dyDescent="0.4">
      <c r="A10" s="20">
        <v>10</v>
      </c>
      <c r="B10" s="49" t="s">
        <v>138</v>
      </c>
      <c r="C10" s="62" t="s">
        <v>176</v>
      </c>
      <c r="D10" s="52" t="s">
        <v>96</v>
      </c>
      <c r="E10" s="36" t="s">
        <v>244</v>
      </c>
      <c r="F10" s="22" t="s">
        <v>77</v>
      </c>
      <c r="G10" s="23" t="s">
        <v>191</v>
      </c>
      <c r="H10" s="51" t="s">
        <v>166</v>
      </c>
      <c r="I10" s="24" t="s">
        <v>169</v>
      </c>
      <c r="J10" s="51" t="s">
        <v>97</v>
      </c>
      <c r="K10" s="24" t="s">
        <v>139</v>
      </c>
      <c r="L10" s="51" t="s">
        <v>9</v>
      </c>
      <c r="M10" s="24" t="s">
        <v>9</v>
      </c>
      <c r="N10" s="51" t="s">
        <v>95</v>
      </c>
      <c r="O10" s="24" t="s">
        <v>167</v>
      </c>
      <c r="P10" s="51" t="s">
        <v>94</v>
      </c>
      <c r="Q10" s="24" t="s">
        <v>168</v>
      </c>
      <c r="R10" s="51" t="s">
        <v>93</v>
      </c>
      <c r="S10" s="56" t="s">
        <v>145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411</TotalTime>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Luis Menegotto</dc:creator>
  <dc:description/>
  <cp:lastModifiedBy>José Luis Menegotto</cp:lastModifiedBy>
  <cp:revision>26</cp:revision>
  <dcterms:created xsi:type="dcterms:W3CDTF">2024-12-02T13:09:25Z</dcterms:created>
  <dcterms:modified xsi:type="dcterms:W3CDTF">2026-09-06T16:00:50Z</dcterms:modified>
  <dc:language>pt-BR</dc:language>
</cp:coreProperties>
</file>