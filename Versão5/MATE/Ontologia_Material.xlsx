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EstaPastaDeTrabalho" defaultThemeVersion="166925"/>
  <mc:AlternateContent xmlns:mc="http://schemas.openxmlformats.org/markup-compatibility/2006">
    <mc:Choice Requires="x15">
      <x15ac:absPath xmlns:x15ac="http://schemas.microsoft.com/office/spreadsheetml/2010/11/ac" url="C:\Construtor_Onto\MATE\"/>
    </mc:Choice>
  </mc:AlternateContent>
  <xr:revisionPtr revIDLastSave="0" documentId="13_ncr:1_{8EB3C3DE-8B94-4D59-901E-E357E0A7D0B6}" xr6:coauthVersionLast="47" xr6:coauthVersionMax="47" xr10:uidLastSave="{00000000-0000-0000-0000-000000000000}"/>
  <bookViews>
    <workbookView xWindow="-120" yWindow="-120" windowWidth="24240" windowHeight="13290" tabRatio="577" activeTab="1" xr2:uid="{6AA21774-678E-47D1-B8DD-6444A2CEB00E}"/>
  </bookViews>
  <sheets>
    <sheet name="Projeto" sheetId="26" r:id="rId1"/>
    <sheet name="Classes" sheetId="37" r:id="rId2"/>
    <sheet name="Disjunt" sheetId="3" r:id="rId3"/>
    <sheet name="Interop" sheetId="27" r:id="rId4"/>
    <sheet name="FatosIn" sheetId="3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87" i="37" l="1"/>
  <c r="U287" i="37"/>
  <c r="T287" i="37"/>
  <c r="S287" i="37"/>
  <c r="O287" i="37"/>
  <c r="N287" i="37"/>
  <c r="M287" i="37"/>
  <c r="L287" i="37"/>
  <c r="W2" i="37"/>
  <c r="W3" i="37"/>
  <c r="W4" i="37"/>
  <c r="W5" i="37"/>
  <c r="W6" i="37"/>
  <c r="W7" i="37"/>
  <c r="W8" i="37"/>
  <c r="W9" i="37"/>
  <c r="W10" i="37"/>
  <c r="W11" i="37"/>
  <c r="W12" i="37"/>
  <c r="W13" i="37"/>
  <c r="W14" i="37"/>
  <c r="W15" i="37"/>
  <c r="W16" i="37"/>
  <c r="W17" i="37"/>
  <c r="W18" i="37"/>
  <c r="W19" i="37"/>
  <c r="W20" i="37"/>
  <c r="W21" i="37"/>
  <c r="W22" i="37"/>
  <c r="W23" i="37"/>
  <c r="W24" i="37"/>
  <c r="W25" i="37"/>
  <c r="W26" i="37"/>
  <c r="W27" i="37"/>
  <c r="W28" i="37"/>
  <c r="W29" i="37"/>
  <c r="W30" i="37"/>
  <c r="W31" i="37"/>
  <c r="W32" i="37"/>
  <c r="W33" i="37"/>
  <c r="W34" i="37"/>
  <c r="W35" i="37"/>
  <c r="W36" i="37"/>
  <c r="W37" i="37"/>
  <c r="W38" i="37"/>
  <c r="W39" i="37"/>
  <c r="W40" i="37"/>
  <c r="W41" i="37"/>
  <c r="W42" i="37"/>
  <c r="W43" i="37"/>
  <c r="W44" i="37"/>
  <c r="W45" i="37"/>
  <c r="W46" i="37"/>
  <c r="W47" i="37"/>
  <c r="W48" i="37"/>
  <c r="W49" i="37"/>
  <c r="W50" i="37"/>
  <c r="W51" i="37"/>
  <c r="W52" i="37"/>
  <c r="W53" i="37"/>
  <c r="W54" i="37"/>
  <c r="W55" i="37"/>
  <c r="W56" i="37"/>
  <c r="W57" i="37"/>
  <c r="W58" i="37"/>
  <c r="W59" i="37"/>
  <c r="W60" i="37"/>
  <c r="W61" i="37"/>
  <c r="W62" i="37"/>
  <c r="W63" i="37"/>
  <c r="W64" i="37"/>
  <c r="W65" i="37"/>
  <c r="W66" i="37"/>
  <c r="W67" i="37"/>
  <c r="W68" i="37"/>
  <c r="W69" i="37"/>
  <c r="W70" i="37"/>
  <c r="W71" i="37"/>
  <c r="W72" i="37"/>
  <c r="W73" i="37"/>
  <c r="W74" i="37"/>
  <c r="W75" i="37"/>
  <c r="W76" i="37"/>
  <c r="W77" i="37"/>
  <c r="W78" i="37"/>
  <c r="W79" i="37"/>
  <c r="W80" i="37"/>
  <c r="W81" i="37"/>
  <c r="W82" i="37"/>
  <c r="W83" i="37"/>
  <c r="W84" i="37"/>
  <c r="W85" i="37"/>
  <c r="W86" i="37"/>
  <c r="W87" i="37"/>
  <c r="W88" i="37"/>
  <c r="W89" i="37"/>
  <c r="W90" i="37"/>
  <c r="W91" i="37"/>
  <c r="W92" i="37"/>
  <c r="W93" i="37"/>
  <c r="W94" i="37"/>
  <c r="W95" i="37"/>
  <c r="W96" i="37"/>
  <c r="W97" i="37"/>
  <c r="W98" i="37"/>
  <c r="W99" i="37"/>
  <c r="W100" i="37"/>
  <c r="W101" i="37"/>
  <c r="W102" i="37"/>
  <c r="W103" i="37"/>
  <c r="W104" i="37"/>
  <c r="W105" i="37"/>
  <c r="W106" i="37"/>
  <c r="W107" i="37"/>
  <c r="W108" i="37"/>
  <c r="W109" i="37"/>
  <c r="W110" i="37"/>
  <c r="W111" i="37"/>
  <c r="W112" i="37"/>
  <c r="W113" i="37"/>
  <c r="W114" i="37"/>
  <c r="W115" i="37"/>
  <c r="W116" i="37"/>
  <c r="W117" i="37"/>
  <c r="W118" i="37"/>
  <c r="W119" i="37"/>
  <c r="W120" i="37"/>
  <c r="W121" i="37"/>
  <c r="W122" i="37"/>
  <c r="W123" i="37"/>
  <c r="W124" i="37"/>
  <c r="W125" i="37"/>
  <c r="W126" i="37"/>
  <c r="W127" i="37"/>
  <c r="W128" i="37"/>
  <c r="W129" i="37"/>
  <c r="W130" i="37"/>
  <c r="W131" i="37"/>
  <c r="W132" i="37"/>
  <c r="W133" i="37"/>
  <c r="W134" i="37"/>
  <c r="W135" i="37"/>
  <c r="W136" i="37"/>
  <c r="W137" i="37"/>
  <c r="W138" i="37"/>
  <c r="W139" i="37"/>
  <c r="W140" i="37"/>
  <c r="W141" i="37"/>
  <c r="W142" i="37"/>
  <c r="W143" i="37"/>
  <c r="W144" i="37"/>
  <c r="W145" i="37"/>
  <c r="W146" i="37"/>
  <c r="W147" i="37"/>
  <c r="W148" i="37"/>
  <c r="W149" i="37"/>
  <c r="W150" i="37"/>
  <c r="W151" i="37"/>
  <c r="W152" i="37"/>
  <c r="W153" i="37"/>
  <c r="W154" i="37"/>
  <c r="W155" i="37"/>
  <c r="W156" i="37"/>
  <c r="W157" i="37"/>
  <c r="W158" i="37"/>
  <c r="W159" i="37"/>
  <c r="W160" i="37"/>
  <c r="W161" i="37"/>
  <c r="W162" i="37"/>
  <c r="W163" i="37"/>
  <c r="W164" i="37"/>
  <c r="W165" i="37"/>
  <c r="W166" i="37"/>
  <c r="W167" i="37"/>
  <c r="W168" i="37"/>
  <c r="W169" i="37"/>
  <c r="W170" i="37"/>
  <c r="W171" i="37"/>
  <c r="W172" i="37"/>
  <c r="W173" i="37"/>
  <c r="W174" i="37"/>
  <c r="W175" i="37"/>
  <c r="W176" i="37"/>
  <c r="W177" i="37"/>
  <c r="W178" i="37"/>
  <c r="W179" i="37"/>
  <c r="W180" i="37"/>
  <c r="W181" i="37"/>
  <c r="W182" i="37"/>
  <c r="W183" i="37"/>
  <c r="W184" i="37"/>
  <c r="W185" i="37"/>
  <c r="W186" i="37"/>
  <c r="W187" i="37"/>
  <c r="W188" i="37"/>
  <c r="W189" i="37"/>
  <c r="W190" i="37"/>
  <c r="W191" i="37"/>
  <c r="W192" i="37"/>
  <c r="W193" i="37"/>
  <c r="W194" i="37"/>
  <c r="W195" i="37"/>
  <c r="W196" i="37"/>
  <c r="W197" i="37"/>
  <c r="W198" i="37"/>
  <c r="W199" i="37"/>
  <c r="W200" i="37"/>
  <c r="W201" i="37"/>
  <c r="W202" i="37"/>
  <c r="W203" i="37"/>
  <c r="W204" i="37"/>
  <c r="W205" i="37"/>
  <c r="W206" i="37"/>
  <c r="W207" i="37"/>
  <c r="W208" i="37"/>
  <c r="W209" i="37"/>
  <c r="W210" i="37"/>
  <c r="W211" i="37"/>
  <c r="W212" i="37"/>
  <c r="W213" i="37"/>
  <c r="W214" i="37"/>
  <c r="W215" i="37"/>
  <c r="W216" i="37"/>
  <c r="W217" i="37"/>
  <c r="W218" i="37"/>
  <c r="W219" i="37"/>
  <c r="W220" i="37"/>
  <c r="W221" i="37"/>
  <c r="W222" i="37"/>
  <c r="W223" i="37"/>
  <c r="W224" i="37"/>
  <c r="W225" i="37"/>
  <c r="W226" i="37"/>
  <c r="W227" i="37"/>
  <c r="W228" i="37"/>
  <c r="W229" i="37"/>
  <c r="W230" i="37"/>
  <c r="W231" i="37"/>
  <c r="W232" i="37"/>
  <c r="W233" i="37"/>
  <c r="W234" i="37"/>
  <c r="W235" i="37"/>
  <c r="W236" i="37"/>
  <c r="W237" i="37"/>
  <c r="W238" i="37"/>
  <c r="W239" i="37"/>
  <c r="W240" i="37"/>
  <c r="W241" i="37"/>
  <c r="W242" i="37"/>
  <c r="W243" i="37"/>
  <c r="W244" i="37"/>
  <c r="W245" i="37"/>
  <c r="W246" i="37"/>
  <c r="W247" i="37"/>
  <c r="W248" i="37"/>
  <c r="W249" i="37"/>
  <c r="W250" i="37"/>
  <c r="W251" i="37"/>
  <c r="W252" i="37"/>
  <c r="W253" i="37"/>
  <c r="W254" i="37"/>
  <c r="W255" i="37"/>
  <c r="W256" i="37"/>
  <c r="W257" i="37"/>
  <c r="W258" i="37"/>
  <c r="W259" i="37"/>
  <c r="W260" i="37"/>
  <c r="W261" i="37"/>
  <c r="W262" i="37"/>
  <c r="W263" i="37"/>
  <c r="W264" i="37"/>
  <c r="W265" i="37"/>
  <c r="W266" i="37"/>
  <c r="W267" i="37"/>
  <c r="W268" i="37"/>
  <c r="W269" i="37"/>
  <c r="W270" i="37"/>
  <c r="W271" i="37"/>
  <c r="W272" i="37"/>
  <c r="W273" i="37"/>
  <c r="W274" i="37"/>
  <c r="W275" i="37"/>
  <c r="W276" i="37"/>
  <c r="W277" i="37"/>
  <c r="W278" i="37"/>
  <c r="W279" i="37"/>
  <c r="W280" i="37"/>
  <c r="W281" i="37"/>
  <c r="W282" i="37"/>
  <c r="W283" i="37"/>
  <c r="W284" i="37"/>
  <c r="W285" i="37"/>
  <c r="W286" i="37"/>
  <c r="U124" i="37"/>
  <c r="T124" i="37"/>
  <c r="S124" i="37"/>
  <c r="O124" i="37"/>
  <c r="N124" i="37"/>
  <c r="M124" i="37"/>
  <c r="L124" i="37"/>
  <c r="U123" i="37"/>
  <c r="T123" i="37"/>
  <c r="S123" i="37"/>
  <c r="O123" i="37"/>
  <c r="N123" i="37"/>
  <c r="M123" i="37"/>
  <c r="L123" i="37"/>
  <c r="U122" i="37"/>
  <c r="T122" i="37"/>
  <c r="S122" i="37"/>
  <c r="O122" i="37"/>
  <c r="N122" i="37"/>
  <c r="M122" i="37"/>
  <c r="L122" i="37"/>
  <c r="AA287" i="37"/>
  <c r="Q287" i="37"/>
  <c r="AA198" i="37"/>
  <c r="AA123" i="37"/>
  <c r="AA57" i="37"/>
  <c r="Q220" i="37"/>
  <c r="AA239" i="37"/>
  <c r="AA28" i="37"/>
  <c r="Q222" i="37"/>
  <c r="Q122" i="37"/>
  <c r="Q233" i="37"/>
  <c r="AA120" i="37"/>
  <c r="AA22" i="37"/>
  <c r="AA134" i="37"/>
  <c r="AA142" i="37"/>
  <c r="Q124" i="37"/>
  <c r="AA66" i="37"/>
  <c r="AA216" i="37"/>
  <c r="AA3" i="37"/>
  <c r="AA21" i="37"/>
  <c r="AA241" i="37"/>
  <c r="Q133" i="37"/>
  <c r="Q172" i="37"/>
  <c r="AA140" i="37"/>
  <c r="AA8" i="37"/>
  <c r="Q228" i="37"/>
  <c r="AA26" i="37"/>
  <c r="AA55" i="37"/>
  <c r="AA5" i="37"/>
  <c r="AA83" i="37"/>
  <c r="Q20" i="37"/>
  <c r="AA63" i="37"/>
  <c r="AA132" i="37"/>
  <c r="AA119" i="37"/>
  <c r="Q231" i="37"/>
  <c r="Q216" i="37"/>
  <c r="AA124" i="37"/>
  <c r="AA244" i="37"/>
  <c r="AA143" i="37"/>
  <c r="Q125" i="37"/>
  <c r="AA85" i="37"/>
  <c r="AA86" i="37"/>
  <c r="Q44" i="37"/>
  <c r="AA53" i="37"/>
  <c r="AA7" i="37"/>
  <c r="AA235" i="37"/>
  <c r="AA138" i="37"/>
  <c r="Q123" i="37"/>
  <c r="AA23" i="37"/>
  <c r="AA2" i="37"/>
  <c r="AA133" i="37"/>
  <c r="Q234" i="37"/>
  <c r="AA10" i="37"/>
  <c r="AA14" i="37"/>
  <c r="AA279" i="37"/>
  <c r="AA6" i="37"/>
  <c r="Q30" i="37"/>
  <c r="AA19" i="37"/>
  <c r="AA58" i="37"/>
  <c r="AA151" i="37"/>
  <c r="AA243" i="37"/>
  <c r="AA16" i="37"/>
  <c r="AA144" i="37"/>
  <c r="AA56" i="37"/>
  <c r="AA197" i="37"/>
  <c r="AA54" i="37"/>
  <c r="AA25" i="37"/>
  <c r="AA135" i="37"/>
  <c r="AA17" i="37"/>
  <c r="AA187" i="37"/>
  <c r="Q229" i="37"/>
  <c r="Q232" i="37"/>
  <c r="AA67" i="37"/>
  <c r="Q227" i="37"/>
  <c r="AA59" i="37"/>
  <c r="AA65" i="37"/>
  <c r="AA122" i="37"/>
  <c r="AA64" i="37"/>
  <c r="Q208" i="37"/>
  <c r="Q155" i="37"/>
  <c r="AA12" i="37"/>
  <c r="Q218" i="37"/>
  <c r="Q215" i="37"/>
  <c r="Q225" i="37"/>
  <c r="AA27" i="37"/>
  <c r="AA24" i="37"/>
  <c r="AA217" i="37"/>
  <c r="AA139" i="37"/>
  <c r="Q31" i="37"/>
  <c r="AA9" i="37"/>
  <c r="AA60" i="37"/>
  <c r="AA186" i="37"/>
  <c r="AA61" i="37"/>
  <c r="AA152" i="37"/>
  <c r="AA84" i="37"/>
  <c r="AA20" i="37"/>
  <c r="AA68" i="37"/>
  <c r="Q224" i="37"/>
  <c r="AA62" i="37"/>
  <c r="Q226" i="37"/>
  <c r="AA136" i="37"/>
  <c r="AA4" i="37"/>
  <c r="AA15" i="37"/>
  <c r="AA137" i="37"/>
  <c r="Q207" i="37"/>
  <c r="AA76" i="37"/>
  <c r="AA240" i="37"/>
  <c r="AA188" i="37"/>
  <c r="AA13" i="37"/>
  <c r="Q217" i="37"/>
  <c r="AA121" i="37"/>
  <c r="AA18" i="37"/>
  <c r="Q245" i="37"/>
  <c r="Q223" i="37"/>
  <c r="AA153" i="37"/>
  <c r="Q230" i="37"/>
  <c r="Q219" i="37"/>
  <c r="AA242" i="37"/>
  <c r="AA11" i="37"/>
  <c r="Q134" i="37"/>
  <c r="AA125" i="37"/>
  <c r="AA199" i="37"/>
  <c r="Q221" i="37"/>
  <c r="AA141" i="37"/>
  <c r="U243" i="37" l="1"/>
  <c r="T243" i="37"/>
  <c r="S243" i="37"/>
  <c r="O243" i="37"/>
  <c r="N243" i="37"/>
  <c r="M243" i="37"/>
  <c r="L243" i="37"/>
  <c r="U242" i="37"/>
  <c r="T242" i="37"/>
  <c r="S242" i="37"/>
  <c r="O242" i="37"/>
  <c r="N242" i="37"/>
  <c r="M242" i="37"/>
  <c r="L242" i="37"/>
  <c r="U241" i="37"/>
  <c r="T241" i="37"/>
  <c r="S241" i="37"/>
  <c r="O241" i="37"/>
  <c r="N241" i="37"/>
  <c r="M241" i="37"/>
  <c r="L241" i="37"/>
  <c r="U240" i="37"/>
  <c r="T240" i="37"/>
  <c r="S240" i="37"/>
  <c r="O240" i="37"/>
  <c r="N240" i="37"/>
  <c r="M240" i="37"/>
  <c r="L240" i="37"/>
  <c r="U239" i="37"/>
  <c r="T239" i="37"/>
  <c r="S239" i="37"/>
  <c r="O239" i="37"/>
  <c r="N239" i="37"/>
  <c r="M239" i="37"/>
  <c r="L239" i="37"/>
  <c r="U238" i="37"/>
  <c r="T238" i="37"/>
  <c r="S238" i="37"/>
  <c r="O238" i="37"/>
  <c r="N238" i="37"/>
  <c r="M238" i="37"/>
  <c r="L238" i="37"/>
  <c r="U237" i="37"/>
  <c r="T237" i="37"/>
  <c r="S237" i="37"/>
  <c r="O237" i="37"/>
  <c r="N237" i="37"/>
  <c r="M237" i="37"/>
  <c r="L237" i="37"/>
  <c r="U236" i="37"/>
  <c r="T236" i="37"/>
  <c r="S236" i="37"/>
  <c r="O236" i="37"/>
  <c r="N236" i="37"/>
  <c r="M236" i="37"/>
  <c r="L236" i="37"/>
  <c r="U235" i="37"/>
  <c r="T235" i="37"/>
  <c r="S235" i="37"/>
  <c r="O235" i="37"/>
  <c r="N235" i="37"/>
  <c r="M235" i="37"/>
  <c r="L235" i="37"/>
  <c r="U234" i="37"/>
  <c r="T234" i="37"/>
  <c r="S234" i="37"/>
  <c r="O234" i="37"/>
  <c r="N234" i="37"/>
  <c r="M234" i="37"/>
  <c r="L234" i="37"/>
  <c r="U233" i="37"/>
  <c r="T233" i="37"/>
  <c r="S233" i="37"/>
  <c r="O233" i="37"/>
  <c r="N233" i="37"/>
  <c r="M233" i="37"/>
  <c r="L233" i="37"/>
  <c r="U232" i="37"/>
  <c r="T232" i="37"/>
  <c r="S232" i="37"/>
  <c r="O232" i="37"/>
  <c r="N232" i="37"/>
  <c r="M232" i="37"/>
  <c r="L232" i="37"/>
  <c r="U231" i="37"/>
  <c r="T231" i="37"/>
  <c r="S231" i="37"/>
  <c r="O231" i="37"/>
  <c r="N231" i="37"/>
  <c r="M231" i="37"/>
  <c r="L231" i="37"/>
  <c r="U230" i="37"/>
  <c r="T230" i="37"/>
  <c r="S230" i="37"/>
  <c r="O230" i="37"/>
  <c r="N230" i="37"/>
  <c r="M230" i="37"/>
  <c r="L230" i="37"/>
  <c r="U229" i="37"/>
  <c r="T229" i="37"/>
  <c r="S229" i="37"/>
  <c r="O229" i="37"/>
  <c r="N229" i="37"/>
  <c r="M229" i="37"/>
  <c r="L229" i="37"/>
  <c r="U228" i="37"/>
  <c r="T228" i="37"/>
  <c r="S228" i="37"/>
  <c r="O228" i="37"/>
  <c r="N228" i="37"/>
  <c r="M228" i="37"/>
  <c r="L228" i="37"/>
  <c r="U227" i="37"/>
  <c r="T227" i="37"/>
  <c r="S227" i="37"/>
  <c r="O227" i="37"/>
  <c r="N227" i="37"/>
  <c r="M227" i="37"/>
  <c r="L227" i="37"/>
  <c r="U226" i="37"/>
  <c r="T226" i="37"/>
  <c r="S226" i="37"/>
  <c r="O226" i="37"/>
  <c r="N226" i="37"/>
  <c r="M226" i="37"/>
  <c r="L226" i="37"/>
  <c r="U225" i="37"/>
  <c r="T225" i="37"/>
  <c r="S225" i="37"/>
  <c r="O225" i="37"/>
  <c r="N225" i="37"/>
  <c r="M225" i="37"/>
  <c r="L225" i="37"/>
  <c r="U224" i="37"/>
  <c r="T224" i="37"/>
  <c r="S224" i="37"/>
  <c r="O224" i="37"/>
  <c r="N224" i="37"/>
  <c r="M224" i="37"/>
  <c r="L224" i="37"/>
  <c r="U223" i="37"/>
  <c r="T223" i="37"/>
  <c r="S223" i="37"/>
  <c r="O223" i="37"/>
  <c r="N223" i="37"/>
  <c r="M223" i="37"/>
  <c r="L223" i="37"/>
  <c r="U222" i="37"/>
  <c r="T222" i="37"/>
  <c r="S222" i="37"/>
  <c r="O222" i="37"/>
  <c r="N222" i="37"/>
  <c r="M222" i="37"/>
  <c r="L222" i="37"/>
  <c r="U221" i="37"/>
  <c r="T221" i="37"/>
  <c r="S221" i="37"/>
  <c r="O221" i="37"/>
  <c r="N221" i="37"/>
  <c r="M221" i="37"/>
  <c r="L221" i="37"/>
  <c r="U220" i="37"/>
  <c r="T220" i="37"/>
  <c r="S220" i="37"/>
  <c r="O220" i="37"/>
  <c r="N220" i="37"/>
  <c r="M220" i="37"/>
  <c r="L220" i="37"/>
  <c r="U219" i="37"/>
  <c r="T219" i="37"/>
  <c r="S219" i="37"/>
  <c r="O219" i="37"/>
  <c r="N219" i="37"/>
  <c r="M219" i="37"/>
  <c r="L219" i="37"/>
  <c r="U218" i="37"/>
  <c r="T218" i="37"/>
  <c r="S218" i="37"/>
  <c r="O218" i="37"/>
  <c r="N218" i="37"/>
  <c r="M218" i="37"/>
  <c r="L218" i="37"/>
  <c r="U217" i="37"/>
  <c r="T217" i="37"/>
  <c r="S217" i="37"/>
  <c r="O217" i="37"/>
  <c r="N217" i="37"/>
  <c r="M217" i="37"/>
  <c r="L217" i="37"/>
  <c r="U216" i="37"/>
  <c r="T216" i="37"/>
  <c r="S216" i="37"/>
  <c r="O216" i="37"/>
  <c r="N216" i="37"/>
  <c r="M216" i="37"/>
  <c r="L216" i="37"/>
  <c r="U215" i="37"/>
  <c r="T215" i="37"/>
  <c r="S215" i="37"/>
  <c r="O215" i="37"/>
  <c r="N215" i="37"/>
  <c r="M215" i="37"/>
  <c r="L215" i="37"/>
  <c r="U214" i="37"/>
  <c r="T214" i="37"/>
  <c r="S214" i="37"/>
  <c r="O214" i="37"/>
  <c r="N214" i="37"/>
  <c r="M214" i="37"/>
  <c r="L214" i="37"/>
  <c r="U213" i="37"/>
  <c r="T213" i="37"/>
  <c r="S213" i="37"/>
  <c r="O213" i="37"/>
  <c r="N213" i="37"/>
  <c r="M213" i="37"/>
  <c r="L213" i="37"/>
  <c r="U212" i="37"/>
  <c r="T212" i="37"/>
  <c r="S212" i="37"/>
  <c r="O212" i="37"/>
  <c r="N212" i="37"/>
  <c r="M212" i="37"/>
  <c r="L212" i="37"/>
  <c r="U211" i="37"/>
  <c r="T211" i="37"/>
  <c r="S211" i="37"/>
  <c r="O211" i="37"/>
  <c r="N211" i="37"/>
  <c r="M211" i="37"/>
  <c r="L211" i="37"/>
  <c r="U210" i="37"/>
  <c r="T210" i="37"/>
  <c r="S210" i="37"/>
  <c r="O210" i="37"/>
  <c r="N210" i="37"/>
  <c r="M210" i="37"/>
  <c r="L210" i="37"/>
  <c r="U209" i="37"/>
  <c r="T209" i="37"/>
  <c r="S209" i="37"/>
  <c r="O209" i="37"/>
  <c r="N209" i="37"/>
  <c r="M209" i="37"/>
  <c r="L209" i="37"/>
  <c r="U208" i="37"/>
  <c r="T208" i="37"/>
  <c r="S208" i="37"/>
  <c r="O208" i="37"/>
  <c r="N208" i="37"/>
  <c r="M208" i="37"/>
  <c r="L208" i="37"/>
  <c r="U207" i="37"/>
  <c r="T207" i="37"/>
  <c r="S207" i="37"/>
  <c r="O207" i="37"/>
  <c r="N207" i="37"/>
  <c r="M207" i="37"/>
  <c r="L207" i="37"/>
  <c r="U140" i="37"/>
  <c r="T140" i="37"/>
  <c r="S140" i="37"/>
  <c r="O140" i="37"/>
  <c r="N140" i="37"/>
  <c r="M140" i="37"/>
  <c r="L140" i="37"/>
  <c r="U139" i="37"/>
  <c r="T139" i="37"/>
  <c r="S139" i="37"/>
  <c r="O139" i="37"/>
  <c r="N139" i="37"/>
  <c r="M139" i="37"/>
  <c r="L139" i="37"/>
  <c r="U138" i="37"/>
  <c r="T138" i="37"/>
  <c r="S138" i="37"/>
  <c r="O138" i="37"/>
  <c r="N138" i="37"/>
  <c r="M138" i="37"/>
  <c r="L138" i="37"/>
  <c r="U137" i="37"/>
  <c r="T137" i="37"/>
  <c r="S137" i="37"/>
  <c r="O137" i="37"/>
  <c r="N137" i="37"/>
  <c r="M137" i="37"/>
  <c r="L137" i="37"/>
  <c r="U136" i="37"/>
  <c r="T136" i="37"/>
  <c r="S136" i="37"/>
  <c r="O136" i="37"/>
  <c r="N136" i="37"/>
  <c r="M136" i="37"/>
  <c r="L136" i="37"/>
  <c r="U135" i="37"/>
  <c r="T135" i="37"/>
  <c r="S135" i="37"/>
  <c r="O135" i="37"/>
  <c r="N135" i="37"/>
  <c r="M135" i="37"/>
  <c r="L135" i="37"/>
  <c r="U134" i="37"/>
  <c r="T134" i="37"/>
  <c r="S134" i="37"/>
  <c r="O134" i="37"/>
  <c r="N134" i="37"/>
  <c r="M134" i="37"/>
  <c r="L134" i="37"/>
  <c r="U133" i="37"/>
  <c r="T133" i="37"/>
  <c r="S133" i="37"/>
  <c r="O133" i="37"/>
  <c r="N133" i="37"/>
  <c r="M133" i="37"/>
  <c r="L133" i="37"/>
  <c r="U286" i="37"/>
  <c r="T286" i="37"/>
  <c r="S286" i="37"/>
  <c r="O286" i="37"/>
  <c r="N286" i="37"/>
  <c r="M286" i="37"/>
  <c r="L286" i="37"/>
  <c r="U284" i="37"/>
  <c r="T284" i="37"/>
  <c r="S284" i="37"/>
  <c r="O284" i="37"/>
  <c r="N284" i="37"/>
  <c r="M284" i="37"/>
  <c r="L284" i="37"/>
  <c r="U283" i="37"/>
  <c r="T283" i="37"/>
  <c r="S283" i="37"/>
  <c r="O283" i="37"/>
  <c r="N283" i="37"/>
  <c r="M283" i="37"/>
  <c r="L283" i="37"/>
  <c r="U282" i="37"/>
  <c r="T282" i="37"/>
  <c r="S282" i="37"/>
  <c r="O282" i="37"/>
  <c r="N282" i="37"/>
  <c r="M282" i="37"/>
  <c r="L282" i="37"/>
  <c r="U246" i="37"/>
  <c r="T246" i="37"/>
  <c r="S246" i="37"/>
  <c r="O246" i="37"/>
  <c r="N246" i="37"/>
  <c r="M246" i="37"/>
  <c r="L246" i="37"/>
  <c r="U245" i="37"/>
  <c r="T245" i="37"/>
  <c r="S245" i="37"/>
  <c r="O245" i="37"/>
  <c r="N245" i="37"/>
  <c r="M245" i="37"/>
  <c r="L245" i="37"/>
  <c r="U244" i="37"/>
  <c r="T244" i="37"/>
  <c r="S244" i="37"/>
  <c r="O244" i="37"/>
  <c r="N244" i="37"/>
  <c r="M244" i="37"/>
  <c r="L244" i="37"/>
  <c r="U179" i="37"/>
  <c r="T179" i="37"/>
  <c r="S179" i="37"/>
  <c r="O179" i="37"/>
  <c r="N179" i="37"/>
  <c r="M179" i="37"/>
  <c r="L179" i="37"/>
  <c r="U178" i="37"/>
  <c r="T178" i="37"/>
  <c r="S178" i="37"/>
  <c r="O178" i="37"/>
  <c r="N178" i="37"/>
  <c r="M178" i="37"/>
  <c r="L178" i="37"/>
  <c r="U177" i="37"/>
  <c r="T177" i="37"/>
  <c r="S177" i="37"/>
  <c r="O177" i="37"/>
  <c r="N177" i="37"/>
  <c r="M177" i="37"/>
  <c r="L177" i="37"/>
  <c r="U176" i="37"/>
  <c r="T176" i="37"/>
  <c r="S176" i="37"/>
  <c r="O176" i="37"/>
  <c r="N176" i="37"/>
  <c r="M176" i="37"/>
  <c r="L176" i="37"/>
  <c r="U175" i="37"/>
  <c r="T175" i="37"/>
  <c r="S175" i="37"/>
  <c r="O175" i="37"/>
  <c r="N175" i="37"/>
  <c r="M175" i="37"/>
  <c r="L175" i="37"/>
  <c r="U156" i="37"/>
  <c r="T156" i="37"/>
  <c r="S156" i="37"/>
  <c r="O156" i="37"/>
  <c r="N156" i="37"/>
  <c r="M156" i="37"/>
  <c r="L156" i="37"/>
  <c r="U155" i="37"/>
  <c r="T155" i="37"/>
  <c r="S155" i="37"/>
  <c r="O155" i="37"/>
  <c r="N155" i="37"/>
  <c r="M155" i="37"/>
  <c r="L155" i="37"/>
  <c r="U154" i="37"/>
  <c r="T154" i="37"/>
  <c r="S154" i="37"/>
  <c r="O154" i="37"/>
  <c r="N154" i="37"/>
  <c r="M154" i="37"/>
  <c r="L154" i="37"/>
  <c r="U153" i="37"/>
  <c r="T153" i="37"/>
  <c r="S153" i="37"/>
  <c r="O153" i="37"/>
  <c r="N153" i="37"/>
  <c r="M153" i="37"/>
  <c r="L153" i="37"/>
  <c r="U121" i="37"/>
  <c r="T121" i="37"/>
  <c r="S121" i="37"/>
  <c r="O121" i="37"/>
  <c r="N121" i="37"/>
  <c r="M121" i="37"/>
  <c r="L121" i="37"/>
  <c r="U120" i="37"/>
  <c r="T120" i="37"/>
  <c r="S120" i="37"/>
  <c r="O120" i="37"/>
  <c r="N120" i="37"/>
  <c r="M120" i="37"/>
  <c r="L120" i="37"/>
  <c r="U119" i="37"/>
  <c r="T119" i="37"/>
  <c r="S119" i="37"/>
  <c r="O119" i="37"/>
  <c r="N119" i="37"/>
  <c r="M119" i="37"/>
  <c r="L119" i="37"/>
  <c r="U101" i="37"/>
  <c r="T101" i="37"/>
  <c r="S101" i="37"/>
  <c r="O101" i="37"/>
  <c r="N101" i="37"/>
  <c r="M101" i="37"/>
  <c r="L101" i="37"/>
  <c r="U100" i="37"/>
  <c r="T100" i="37"/>
  <c r="S100" i="37"/>
  <c r="O100" i="37"/>
  <c r="N100" i="37"/>
  <c r="M100" i="37"/>
  <c r="L100" i="37"/>
  <c r="U46" i="37"/>
  <c r="T46" i="37"/>
  <c r="S46" i="37"/>
  <c r="O46" i="37"/>
  <c r="N46" i="37"/>
  <c r="M46" i="37"/>
  <c r="L46" i="37"/>
  <c r="U45" i="37"/>
  <c r="T45" i="37"/>
  <c r="S45" i="37"/>
  <c r="O45" i="37"/>
  <c r="N45" i="37"/>
  <c r="M45" i="37"/>
  <c r="L45" i="37"/>
  <c r="U44" i="37"/>
  <c r="T44" i="37"/>
  <c r="S44" i="37"/>
  <c r="O44" i="37"/>
  <c r="N44" i="37"/>
  <c r="M44" i="37"/>
  <c r="L44" i="37"/>
  <c r="U43" i="37"/>
  <c r="T43" i="37"/>
  <c r="S43" i="37"/>
  <c r="O43" i="37"/>
  <c r="N43" i="37"/>
  <c r="M43" i="37"/>
  <c r="L43" i="37"/>
  <c r="U110" i="37"/>
  <c r="T110" i="37"/>
  <c r="S110" i="37"/>
  <c r="O110" i="37"/>
  <c r="N110" i="37"/>
  <c r="M110" i="37"/>
  <c r="L110" i="37"/>
  <c r="U114" i="37"/>
  <c r="T114" i="37"/>
  <c r="S114" i="37"/>
  <c r="O114" i="37"/>
  <c r="N114" i="37"/>
  <c r="M114" i="37"/>
  <c r="L114" i="37"/>
  <c r="U113" i="37"/>
  <c r="T113" i="37"/>
  <c r="S113" i="37"/>
  <c r="O113" i="37"/>
  <c r="N113" i="37"/>
  <c r="M113" i="37"/>
  <c r="L113" i="37"/>
  <c r="U112" i="37"/>
  <c r="T112" i="37"/>
  <c r="S112" i="37"/>
  <c r="O112" i="37"/>
  <c r="N112" i="37"/>
  <c r="M112" i="37"/>
  <c r="L112" i="37"/>
  <c r="U111" i="37"/>
  <c r="T111" i="37"/>
  <c r="S111" i="37"/>
  <c r="O111" i="37"/>
  <c r="N111" i="37"/>
  <c r="M111" i="37"/>
  <c r="L111" i="37"/>
  <c r="U274" i="37"/>
  <c r="T274" i="37"/>
  <c r="S274" i="37"/>
  <c r="O274" i="37"/>
  <c r="N274" i="37"/>
  <c r="M274" i="37"/>
  <c r="L274" i="37"/>
  <c r="U42" i="37"/>
  <c r="T42" i="37"/>
  <c r="S42" i="37"/>
  <c r="O42" i="37"/>
  <c r="N42" i="37"/>
  <c r="M42" i="37"/>
  <c r="L42" i="37"/>
  <c r="U41" i="37"/>
  <c r="T41" i="37"/>
  <c r="S41" i="37"/>
  <c r="O41" i="37"/>
  <c r="N41" i="37"/>
  <c r="M41" i="37"/>
  <c r="L41" i="37"/>
  <c r="U40" i="37"/>
  <c r="T40" i="37"/>
  <c r="S40" i="37"/>
  <c r="O40" i="37"/>
  <c r="N40" i="37"/>
  <c r="M40" i="37"/>
  <c r="L40" i="37"/>
  <c r="U39" i="37"/>
  <c r="T39" i="37"/>
  <c r="S39" i="37"/>
  <c r="O39" i="37"/>
  <c r="N39" i="37"/>
  <c r="M39" i="37"/>
  <c r="L39" i="37"/>
  <c r="U38" i="37"/>
  <c r="T38" i="37"/>
  <c r="S38" i="37"/>
  <c r="O38" i="37"/>
  <c r="N38" i="37"/>
  <c r="M38" i="37"/>
  <c r="L38" i="37"/>
  <c r="U37" i="37"/>
  <c r="T37" i="37"/>
  <c r="S37" i="37"/>
  <c r="O37" i="37"/>
  <c r="N37" i="37"/>
  <c r="M37" i="37"/>
  <c r="L37" i="37"/>
  <c r="U36" i="37"/>
  <c r="T36" i="37"/>
  <c r="S36" i="37"/>
  <c r="O36" i="37"/>
  <c r="N36" i="37"/>
  <c r="M36" i="37"/>
  <c r="L36" i="37"/>
  <c r="U35" i="37"/>
  <c r="T35" i="37"/>
  <c r="S35" i="37"/>
  <c r="O35" i="37"/>
  <c r="N35" i="37"/>
  <c r="M35" i="37"/>
  <c r="L35" i="37"/>
  <c r="U34" i="37"/>
  <c r="T34" i="37"/>
  <c r="S34" i="37"/>
  <c r="O34" i="37"/>
  <c r="N34" i="37"/>
  <c r="M34" i="37"/>
  <c r="L34" i="37"/>
  <c r="U33" i="37"/>
  <c r="T33" i="37"/>
  <c r="S33" i="37"/>
  <c r="O33" i="37"/>
  <c r="N33" i="37"/>
  <c r="M33" i="37"/>
  <c r="L33" i="37"/>
  <c r="U32" i="37"/>
  <c r="T32" i="37"/>
  <c r="S32" i="37"/>
  <c r="O32" i="37"/>
  <c r="N32" i="37"/>
  <c r="M32" i="37"/>
  <c r="L32" i="37"/>
  <c r="U31" i="37"/>
  <c r="T31" i="37"/>
  <c r="S31" i="37"/>
  <c r="O31" i="37"/>
  <c r="N31" i="37"/>
  <c r="M31" i="37"/>
  <c r="L31" i="37"/>
  <c r="U30" i="37"/>
  <c r="T30" i="37"/>
  <c r="S30" i="37"/>
  <c r="O30" i="37"/>
  <c r="N30" i="37"/>
  <c r="M30" i="37"/>
  <c r="L30" i="37"/>
  <c r="U29" i="37"/>
  <c r="T29" i="37"/>
  <c r="S29" i="37"/>
  <c r="O29" i="37"/>
  <c r="N29" i="37"/>
  <c r="M29" i="37"/>
  <c r="L29" i="37"/>
  <c r="U28" i="37"/>
  <c r="T28" i="37"/>
  <c r="S28" i="37"/>
  <c r="O28" i="37"/>
  <c r="N28" i="37"/>
  <c r="M28" i="37"/>
  <c r="L28" i="37"/>
  <c r="U27" i="37"/>
  <c r="T27" i="37"/>
  <c r="S27" i="37"/>
  <c r="O27" i="37"/>
  <c r="N27" i="37"/>
  <c r="M27" i="37"/>
  <c r="L27" i="37"/>
  <c r="U26" i="37"/>
  <c r="T26" i="37"/>
  <c r="S26" i="37"/>
  <c r="O26" i="37"/>
  <c r="N26" i="37"/>
  <c r="M26" i="37"/>
  <c r="L26" i="37"/>
  <c r="U25" i="37"/>
  <c r="T25" i="37"/>
  <c r="S25" i="37"/>
  <c r="O25" i="37"/>
  <c r="N25" i="37"/>
  <c r="M25" i="37"/>
  <c r="L25" i="37"/>
  <c r="U24" i="37"/>
  <c r="T24" i="37"/>
  <c r="S24" i="37"/>
  <c r="O24" i="37"/>
  <c r="N24" i="37"/>
  <c r="M24" i="37"/>
  <c r="L24" i="37"/>
  <c r="U23" i="37"/>
  <c r="T23" i="37"/>
  <c r="S23" i="37"/>
  <c r="O23" i="37"/>
  <c r="N23" i="37"/>
  <c r="M23" i="37"/>
  <c r="L23" i="37"/>
  <c r="U22" i="37"/>
  <c r="T22" i="37"/>
  <c r="S22" i="37"/>
  <c r="O22" i="37"/>
  <c r="N22" i="37"/>
  <c r="M22" i="37"/>
  <c r="L22" i="37"/>
  <c r="U21" i="37"/>
  <c r="T21" i="37"/>
  <c r="S21" i="37"/>
  <c r="O21" i="37"/>
  <c r="N21" i="37"/>
  <c r="M21" i="37"/>
  <c r="L21" i="37"/>
  <c r="U20" i="37"/>
  <c r="T20" i="37"/>
  <c r="S20" i="37"/>
  <c r="O20" i="37"/>
  <c r="N20" i="37"/>
  <c r="M20" i="37"/>
  <c r="L20" i="37"/>
  <c r="U19" i="37"/>
  <c r="T19" i="37"/>
  <c r="S19" i="37"/>
  <c r="O19" i="37"/>
  <c r="N19" i="37"/>
  <c r="M19" i="37"/>
  <c r="L19" i="37"/>
  <c r="U18" i="37"/>
  <c r="T18" i="37"/>
  <c r="S18" i="37"/>
  <c r="O18" i="37"/>
  <c r="N18" i="37"/>
  <c r="M18" i="37"/>
  <c r="L18" i="37"/>
  <c r="U17" i="37"/>
  <c r="T17" i="37"/>
  <c r="S17" i="37"/>
  <c r="O17" i="37"/>
  <c r="N17" i="37"/>
  <c r="M17" i="37"/>
  <c r="L17" i="37"/>
  <c r="U16" i="37"/>
  <c r="T16" i="37"/>
  <c r="S16" i="37"/>
  <c r="O16" i="37"/>
  <c r="N16" i="37"/>
  <c r="M16" i="37"/>
  <c r="L16" i="37"/>
  <c r="U15" i="37"/>
  <c r="T15" i="37"/>
  <c r="S15" i="37"/>
  <c r="O15" i="37"/>
  <c r="N15" i="37"/>
  <c r="M15" i="37"/>
  <c r="L15" i="37"/>
  <c r="U14" i="37"/>
  <c r="T14" i="37"/>
  <c r="S14" i="37"/>
  <c r="O14" i="37"/>
  <c r="N14" i="37"/>
  <c r="M14" i="37"/>
  <c r="L14" i="37"/>
  <c r="U13" i="37"/>
  <c r="T13" i="37"/>
  <c r="S13" i="37"/>
  <c r="O13" i="37"/>
  <c r="N13" i="37"/>
  <c r="M13" i="37"/>
  <c r="L13" i="37"/>
  <c r="U12" i="37"/>
  <c r="T12" i="37"/>
  <c r="S12" i="37"/>
  <c r="O12" i="37"/>
  <c r="N12" i="37"/>
  <c r="M12" i="37"/>
  <c r="L12" i="37"/>
  <c r="U11" i="37"/>
  <c r="T11" i="37"/>
  <c r="S11" i="37"/>
  <c r="O11" i="37"/>
  <c r="N11" i="37"/>
  <c r="M11" i="37"/>
  <c r="L11" i="37"/>
  <c r="U10" i="37"/>
  <c r="T10" i="37"/>
  <c r="S10" i="37"/>
  <c r="O10" i="37"/>
  <c r="N10" i="37"/>
  <c r="M10" i="37"/>
  <c r="L10" i="37"/>
  <c r="U9" i="37"/>
  <c r="T9" i="37"/>
  <c r="S9" i="37"/>
  <c r="O9" i="37"/>
  <c r="N9" i="37"/>
  <c r="M9" i="37"/>
  <c r="L9" i="37"/>
  <c r="U8" i="37"/>
  <c r="T8" i="37"/>
  <c r="S8" i="37"/>
  <c r="O8" i="37"/>
  <c r="N8" i="37"/>
  <c r="M8" i="37"/>
  <c r="L8" i="37"/>
  <c r="U7" i="37"/>
  <c r="T7" i="37"/>
  <c r="S7" i="37"/>
  <c r="O7" i="37"/>
  <c r="N7" i="37"/>
  <c r="M7" i="37"/>
  <c r="L7" i="37"/>
  <c r="U6" i="37"/>
  <c r="T6" i="37"/>
  <c r="S6" i="37"/>
  <c r="O6" i="37"/>
  <c r="N6" i="37"/>
  <c r="M6" i="37"/>
  <c r="L6" i="37"/>
  <c r="U5" i="37"/>
  <c r="T5" i="37"/>
  <c r="S5" i="37"/>
  <c r="O5" i="37"/>
  <c r="N5" i="37"/>
  <c r="M5" i="37"/>
  <c r="L5" i="37"/>
  <c r="U4" i="37"/>
  <c r="T4" i="37"/>
  <c r="S4" i="37"/>
  <c r="O4" i="37"/>
  <c r="N4" i="37"/>
  <c r="M4" i="37"/>
  <c r="L4" i="37"/>
  <c r="U3" i="37"/>
  <c r="T3" i="37"/>
  <c r="S3" i="37"/>
  <c r="O3" i="37"/>
  <c r="N3" i="37"/>
  <c r="M3" i="37"/>
  <c r="L3" i="37"/>
  <c r="U2" i="37"/>
  <c r="T2" i="37"/>
  <c r="S2" i="37"/>
  <c r="O2" i="37"/>
  <c r="N2" i="37"/>
  <c r="M2" i="37"/>
  <c r="L2" i="37"/>
  <c r="U118" i="37"/>
  <c r="T118" i="37"/>
  <c r="S118" i="37"/>
  <c r="O118" i="37"/>
  <c r="N118" i="37"/>
  <c r="M118" i="37"/>
  <c r="L118" i="37"/>
  <c r="U117" i="37"/>
  <c r="T117" i="37"/>
  <c r="S117" i="37"/>
  <c r="O117" i="37"/>
  <c r="N117" i="37"/>
  <c r="M117" i="37"/>
  <c r="L117" i="37"/>
  <c r="U116" i="37"/>
  <c r="T116" i="37"/>
  <c r="S116" i="37"/>
  <c r="O116" i="37"/>
  <c r="N116" i="37"/>
  <c r="M116" i="37"/>
  <c r="L116" i="37"/>
  <c r="U115" i="37"/>
  <c r="T115" i="37"/>
  <c r="S115" i="37"/>
  <c r="O115" i="37"/>
  <c r="N115" i="37"/>
  <c r="M115" i="37"/>
  <c r="L115" i="37"/>
  <c r="U109" i="37"/>
  <c r="T109" i="37"/>
  <c r="S109" i="37"/>
  <c r="O109" i="37"/>
  <c r="N109" i="37"/>
  <c r="M109" i="37"/>
  <c r="L109" i="37"/>
  <c r="U108" i="37"/>
  <c r="T108" i="37"/>
  <c r="S108" i="37"/>
  <c r="O108" i="37"/>
  <c r="N108" i="37"/>
  <c r="M108" i="37"/>
  <c r="L108" i="37"/>
  <c r="U107" i="37"/>
  <c r="T107" i="37"/>
  <c r="S107" i="37"/>
  <c r="O107" i="37"/>
  <c r="N107" i="37"/>
  <c r="M107" i="37"/>
  <c r="L107" i="37"/>
  <c r="U106" i="37"/>
  <c r="T106" i="37"/>
  <c r="S106" i="37"/>
  <c r="O106" i="37"/>
  <c r="N106" i="37"/>
  <c r="M106" i="37"/>
  <c r="L106" i="37"/>
  <c r="U105" i="37"/>
  <c r="T105" i="37"/>
  <c r="S105" i="37"/>
  <c r="O105" i="37"/>
  <c r="N105" i="37"/>
  <c r="M105" i="37"/>
  <c r="L105" i="37"/>
  <c r="U104" i="37"/>
  <c r="T104" i="37"/>
  <c r="S104" i="37"/>
  <c r="O104" i="37"/>
  <c r="N104" i="37"/>
  <c r="M104" i="37"/>
  <c r="L104" i="37"/>
  <c r="U103" i="37"/>
  <c r="T103" i="37"/>
  <c r="S103" i="37"/>
  <c r="O103" i="37"/>
  <c r="N103" i="37"/>
  <c r="M103" i="37"/>
  <c r="L103" i="37"/>
  <c r="U102" i="37"/>
  <c r="T102" i="37"/>
  <c r="S102" i="37"/>
  <c r="O102" i="37"/>
  <c r="N102" i="37"/>
  <c r="M102" i="37"/>
  <c r="L102" i="37"/>
  <c r="U174" i="37"/>
  <c r="T174" i="37"/>
  <c r="S174" i="37"/>
  <c r="O174" i="37"/>
  <c r="N174" i="37"/>
  <c r="M174" i="37"/>
  <c r="L174" i="37"/>
  <c r="U173" i="37"/>
  <c r="T173" i="37"/>
  <c r="S173" i="37"/>
  <c r="O173" i="37"/>
  <c r="N173" i="37"/>
  <c r="M173" i="37"/>
  <c r="L173" i="37"/>
  <c r="U172" i="37"/>
  <c r="T172" i="37"/>
  <c r="S172" i="37"/>
  <c r="O172" i="37"/>
  <c r="N172" i="37"/>
  <c r="M172" i="37"/>
  <c r="L172" i="37"/>
  <c r="U143" i="37"/>
  <c r="T143" i="37"/>
  <c r="S143" i="37"/>
  <c r="O143" i="37"/>
  <c r="N143" i="37"/>
  <c r="M143" i="37"/>
  <c r="L143" i="37"/>
  <c r="U142" i="37"/>
  <c r="T142" i="37"/>
  <c r="S142" i="37"/>
  <c r="O142" i="37"/>
  <c r="N142" i="37"/>
  <c r="M142" i="37"/>
  <c r="L142" i="37"/>
  <c r="U141" i="37"/>
  <c r="T141" i="37"/>
  <c r="S141" i="37"/>
  <c r="O141" i="37"/>
  <c r="N141" i="37"/>
  <c r="M141" i="37"/>
  <c r="L141" i="37"/>
  <c r="U144" i="37"/>
  <c r="T144" i="37"/>
  <c r="S144" i="37"/>
  <c r="O144" i="37"/>
  <c r="N144" i="37"/>
  <c r="M144" i="37"/>
  <c r="L144" i="37"/>
  <c r="U148" i="37"/>
  <c r="T148" i="37"/>
  <c r="S148" i="37"/>
  <c r="O148" i="37"/>
  <c r="N148" i="37"/>
  <c r="M148" i="37"/>
  <c r="L148" i="37"/>
  <c r="U147" i="37"/>
  <c r="T147" i="37"/>
  <c r="S147" i="37"/>
  <c r="O147" i="37"/>
  <c r="N147" i="37"/>
  <c r="M147" i="37"/>
  <c r="L147" i="37"/>
  <c r="U146" i="37"/>
  <c r="T146" i="37"/>
  <c r="S146" i="37"/>
  <c r="O146" i="37"/>
  <c r="N146" i="37"/>
  <c r="M146" i="37"/>
  <c r="L146" i="37"/>
  <c r="U145" i="37"/>
  <c r="T145" i="37"/>
  <c r="S145" i="37"/>
  <c r="O145" i="37"/>
  <c r="N145" i="37"/>
  <c r="M145" i="37"/>
  <c r="L145" i="37"/>
  <c r="U189" i="37"/>
  <c r="T189" i="37"/>
  <c r="S189" i="37"/>
  <c r="O189" i="37"/>
  <c r="N189" i="37"/>
  <c r="M189" i="37"/>
  <c r="L189" i="37"/>
  <c r="U188" i="37"/>
  <c r="T188" i="37"/>
  <c r="S188" i="37"/>
  <c r="O188" i="37"/>
  <c r="N188" i="37"/>
  <c r="M188" i="37"/>
  <c r="L188" i="37"/>
  <c r="U187" i="37"/>
  <c r="T187" i="37"/>
  <c r="S187" i="37"/>
  <c r="O187" i="37"/>
  <c r="N187" i="37"/>
  <c r="M187" i="37"/>
  <c r="L187" i="37"/>
  <c r="U186" i="37"/>
  <c r="T186" i="37"/>
  <c r="S186" i="37"/>
  <c r="O186" i="37"/>
  <c r="N186" i="37"/>
  <c r="M186" i="37"/>
  <c r="L186" i="37"/>
  <c r="U205" i="37"/>
  <c r="T205" i="37"/>
  <c r="S205" i="37"/>
  <c r="O205" i="37"/>
  <c r="N205" i="37"/>
  <c r="M205" i="37"/>
  <c r="L205" i="37"/>
  <c r="U204" i="37"/>
  <c r="T204" i="37"/>
  <c r="S204" i="37"/>
  <c r="O204" i="37"/>
  <c r="N204" i="37"/>
  <c r="M204" i="37"/>
  <c r="L204" i="37"/>
  <c r="U203" i="37"/>
  <c r="T203" i="37"/>
  <c r="S203" i="37"/>
  <c r="O203" i="37"/>
  <c r="N203" i="37"/>
  <c r="M203" i="37"/>
  <c r="L203" i="37"/>
  <c r="U202" i="37"/>
  <c r="T202" i="37"/>
  <c r="S202" i="37"/>
  <c r="O202" i="37"/>
  <c r="N202" i="37"/>
  <c r="M202" i="37"/>
  <c r="L202" i="37"/>
  <c r="U201" i="37"/>
  <c r="T201" i="37"/>
  <c r="S201" i="37"/>
  <c r="O201" i="37"/>
  <c r="N201" i="37"/>
  <c r="M201" i="37"/>
  <c r="L201" i="37"/>
  <c r="AA229" i="37"/>
  <c r="Q4" i="37"/>
  <c r="AA178" i="37"/>
  <c r="Q22" i="37"/>
  <c r="AA171" i="37"/>
  <c r="AA112" i="37"/>
  <c r="AA71" i="37"/>
  <c r="AA94" i="37"/>
  <c r="AA286" i="37"/>
  <c r="AA160" i="37"/>
  <c r="Q119" i="37"/>
  <c r="Q117" i="37"/>
  <c r="Q104" i="37"/>
  <c r="Q188" i="37"/>
  <c r="AA225" i="37"/>
  <c r="AA87" i="37"/>
  <c r="AA246" i="37"/>
  <c r="AA40" i="37"/>
  <c r="AA127" i="37"/>
  <c r="AA193" i="37"/>
  <c r="AA109" i="37"/>
  <c r="Q148" i="37"/>
  <c r="AA69" i="37"/>
  <c r="AA96" i="37"/>
  <c r="AA72" i="37"/>
  <c r="AA158" i="37"/>
  <c r="Q135" i="37"/>
  <c r="Q237" i="37"/>
  <c r="AA280" i="37"/>
  <c r="AA189" i="37"/>
  <c r="AA221" i="37"/>
  <c r="AA77" i="37"/>
  <c r="AA98" i="37"/>
  <c r="AA194" i="37"/>
  <c r="AA224" i="37"/>
  <c r="AA214" i="37"/>
  <c r="AA169" i="37"/>
  <c r="AA50" i="37"/>
  <c r="AA111" i="37"/>
  <c r="Q120" i="37"/>
  <c r="AA167" i="37"/>
  <c r="AA285" i="37"/>
  <c r="AA115" i="37"/>
  <c r="AA113" i="37"/>
  <c r="Q187" i="37"/>
  <c r="Q241" i="37"/>
  <c r="AA103" i="37"/>
  <c r="Q2" i="37"/>
  <c r="Q179" i="37"/>
  <c r="AA278" i="37"/>
  <c r="Q284" i="37"/>
  <c r="Q210" i="37"/>
  <c r="Q111" i="37"/>
  <c r="AA172" i="37"/>
  <c r="AA73" i="37"/>
  <c r="Q102" i="37"/>
  <c r="AA99" i="37"/>
  <c r="AA78" i="37"/>
  <c r="AA181" i="37"/>
  <c r="Q174" i="37"/>
  <c r="AA185" i="37"/>
  <c r="Q25" i="37"/>
  <c r="Q18" i="37"/>
  <c r="Q145" i="37"/>
  <c r="AA215" i="37"/>
  <c r="AA52" i="37"/>
  <c r="AA211" i="37"/>
  <c r="AA277" i="37"/>
  <c r="Q40" i="37"/>
  <c r="Q203" i="37"/>
  <c r="AA92" i="37"/>
  <c r="Q282" i="37"/>
  <c r="AA35" i="37"/>
  <c r="AA219" i="37"/>
  <c r="AA129" i="37"/>
  <c r="Q118" i="37"/>
  <c r="Q213" i="37"/>
  <c r="AA81" i="37"/>
  <c r="AA39" i="37"/>
  <c r="Q100" i="37"/>
  <c r="Q201" i="37"/>
  <c r="Q143" i="37"/>
  <c r="AA30" i="37"/>
  <c r="Q109" i="37"/>
  <c r="Q19" i="37"/>
  <c r="Q41" i="37"/>
  <c r="Q33" i="37"/>
  <c r="AA80" i="37"/>
  <c r="AA106" i="37"/>
  <c r="AA184" i="37"/>
  <c r="AA232" i="37"/>
  <c r="AA49" i="37"/>
  <c r="AA91" i="37"/>
  <c r="AA283" i="37"/>
  <c r="AA150" i="37"/>
  <c r="Q113" i="37"/>
  <c r="Q138" i="37"/>
  <c r="AA70" i="37"/>
  <c r="Q14" i="37"/>
  <c r="AA174" i="37"/>
  <c r="Q244" i="37"/>
  <c r="Q238" i="37"/>
  <c r="Q136" i="37"/>
  <c r="AA231" i="37"/>
  <c r="AA154" i="37"/>
  <c r="Q42" i="37"/>
  <c r="AA116" i="37"/>
  <c r="AA233" i="37"/>
  <c r="Q39" i="37"/>
  <c r="Q7" i="37"/>
  <c r="AA275" i="37"/>
  <c r="AA196" i="37"/>
  <c r="AA213" i="37"/>
  <c r="AA128" i="37"/>
  <c r="Q27" i="37"/>
  <c r="Q28" i="37"/>
  <c r="Q121" i="37"/>
  <c r="AA131" i="37"/>
  <c r="AA164" i="37"/>
  <c r="AA126" i="37"/>
  <c r="Q15" i="37"/>
  <c r="AA223" i="37"/>
  <c r="AA105" i="37"/>
  <c r="AA159" i="37"/>
  <c r="AA161" i="37"/>
  <c r="AA180" i="37"/>
  <c r="AA148" i="37"/>
  <c r="Q29" i="37"/>
  <c r="AA29" i="37"/>
  <c r="AA48" i="37"/>
  <c r="Q108" i="37"/>
  <c r="AA227" i="37"/>
  <c r="Q146" i="37"/>
  <c r="Q101" i="37"/>
  <c r="AA146" i="37"/>
  <c r="AA110" i="37"/>
  <c r="AA31" i="37"/>
  <c r="AA247" i="37"/>
  <c r="Q105" i="37"/>
  <c r="AA156" i="37"/>
  <c r="AA201" i="37"/>
  <c r="Q274" i="37"/>
  <c r="Q176" i="37"/>
  <c r="AA101" i="37"/>
  <c r="AA207" i="37"/>
  <c r="Q9" i="37"/>
  <c r="AA75" i="37"/>
  <c r="AA222" i="37"/>
  <c r="AA226" i="37"/>
  <c r="Q205" i="37"/>
  <c r="AA230" i="37"/>
  <c r="Q12" i="37"/>
  <c r="AA36" i="37"/>
  <c r="AA192" i="37"/>
  <c r="AA209" i="37"/>
  <c r="AA51" i="37"/>
  <c r="Q107" i="37"/>
  <c r="Q137" i="37"/>
  <c r="AA89" i="37"/>
  <c r="Q24" i="37"/>
  <c r="AA42" i="37"/>
  <c r="AA157" i="37"/>
  <c r="AA191" i="37"/>
  <c r="AA163" i="37"/>
  <c r="AA41" i="37"/>
  <c r="AA166" i="37"/>
  <c r="AA107" i="37"/>
  <c r="AA32" i="37"/>
  <c r="AA165" i="37"/>
  <c r="AA228" i="37"/>
  <c r="Q214" i="37"/>
  <c r="AA205" i="37"/>
  <c r="AA195" i="37"/>
  <c r="Q13" i="37"/>
  <c r="Q154" i="37"/>
  <c r="AA130" i="37"/>
  <c r="AA183" i="37"/>
  <c r="Q283" i="37"/>
  <c r="AA95" i="37"/>
  <c r="Q35" i="37"/>
  <c r="AA274" i="37"/>
  <c r="AA93" i="37"/>
  <c r="Q286" i="37"/>
  <c r="AA176" i="37"/>
  <c r="AA162" i="37"/>
  <c r="Q43" i="37"/>
  <c r="Q21" i="37"/>
  <c r="AA102" i="37"/>
  <c r="AA177" i="37"/>
  <c r="Q186" i="37"/>
  <c r="AA90" i="37"/>
  <c r="Q178" i="37"/>
  <c r="Q202" i="37"/>
  <c r="Q103" i="37"/>
  <c r="AA218" i="37"/>
  <c r="Q240" i="37"/>
  <c r="Q212" i="37"/>
  <c r="AA190" i="37"/>
  <c r="AA206" i="37"/>
  <c r="AA114" i="37"/>
  <c r="Q46" i="37"/>
  <c r="AA237" i="37"/>
  <c r="AA117" i="37"/>
  <c r="Q139" i="37"/>
  <c r="Q156" i="37"/>
  <c r="Q236" i="37"/>
  <c r="AA100" i="37"/>
  <c r="AA173" i="37"/>
  <c r="AA182" i="37"/>
  <c r="AA245" i="37"/>
  <c r="AA212" i="37"/>
  <c r="AA47" i="37"/>
  <c r="AA238" i="37"/>
  <c r="Q235" i="37"/>
  <c r="AA37" i="37"/>
  <c r="Q211" i="37"/>
  <c r="Q3" i="37"/>
  <c r="Q204" i="37"/>
  <c r="AA79" i="37"/>
  <c r="AA97" i="37"/>
  <c r="Q242" i="37"/>
  <c r="Q173" i="37"/>
  <c r="AA168" i="37"/>
  <c r="Q177" i="37"/>
  <c r="AA74" i="37"/>
  <c r="AA284" i="37"/>
  <c r="Q112" i="37"/>
  <c r="Q37" i="37"/>
  <c r="Q110" i="37"/>
  <c r="Q153" i="37"/>
  <c r="AA204" i="37"/>
  <c r="AA82" i="37"/>
  <c r="Q142" i="37"/>
  <c r="Q189" i="37"/>
  <c r="Q36" i="37"/>
  <c r="AA145" i="37"/>
  <c r="AA46" i="37"/>
  <c r="Q115" i="37"/>
  <c r="AA200" i="37"/>
  <c r="Q114" i="37"/>
  <c r="AA34" i="37"/>
  <c r="AA43" i="37"/>
  <c r="Q246" i="37"/>
  <c r="Q175" i="37"/>
  <c r="Q23" i="37"/>
  <c r="AA208" i="37"/>
  <c r="Q45" i="37"/>
  <c r="AA220" i="37"/>
  <c r="AA104" i="37"/>
  <c r="AA276" i="37"/>
  <c r="Q16" i="37"/>
  <c r="AA108" i="37"/>
  <c r="AA175" i="37"/>
  <c r="AA202" i="37"/>
  <c r="Q8" i="37"/>
  <c r="AA234" i="37"/>
  <c r="AA210" i="37"/>
  <c r="AA282" i="37"/>
  <c r="AA118" i="37"/>
  <c r="Q11" i="37"/>
  <c r="Q6" i="37"/>
  <c r="AA33" i="37"/>
  <c r="Q32" i="37"/>
  <c r="Q17" i="37"/>
  <c r="Q243" i="37"/>
  <c r="AA179" i="37"/>
  <c r="AA155" i="37"/>
  <c r="AA45" i="37"/>
  <c r="AA170" i="37"/>
  <c r="Q140" i="37"/>
  <c r="Q38" i="37"/>
  <c r="Q239" i="37"/>
  <c r="AA88" i="37"/>
  <c r="AA281" i="37"/>
  <c r="Q209" i="37"/>
  <c r="AA147" i="37"/>
  <c r="AA44" i="37"/>
  <c r="AA203" i="37"/>
  <c r="Q5" i="37"/>
  <c r="AA149" i="37"/>
  <c r="Q147" i="37"/>
  <c r="Q34" i="37"/>
  <c r="Q26" i="37"/>
  <c r="Q10" i="37"/>
  <c r="AA38" i="37"/>
  <c r="AA236" i="37"/>
  <c r="Q106" i="37"/>
  <c r="U281" i="37" l="1"/>
  <c r="T281" i="37"/>
  <c r="S281" i="37"/>
  <c r="O281" i="37"/>
  <c r="N281" i="37"/>
  <c r="M281" i="37"/>
  <c r="L281" i="37"/>
  <c r="U280" i="37"/>
  <c r="T280" i="37"/>
  <c r="S280" i="37"/>
  <c r="O280" i="37"/>
  <c r="N280" i="37"/>
  <c r="M280" i="37"/>
  <c r="L280" i="37"/>
  <c r="U279" i="37"/>
  <c r="T279" i="37"/>
  <c r="S279" i="37"/>
  <c r="O279" i="37"/>
  <c r="N279" i="37"/>
  <c r="M279" i="37"/>
  <c r="L279" i="37"/>
  <c r="U278" i="37"/>
  <c r="T278" i="37"/>
  <c r="S278" i="37"/>
  <c r="O278" i="37"/>
  <c r="N278" i="37"/>
  <c r="M278" i="37"/>
  <c r="L278" i="37"/>
  <c r="U277" i="37"/>
  <c r="T277" i="37"/>
  <c r="S277" i="37"/>
  <c r="O277" i="37"/>
  <c r="N277" i="37"/>
  <c r="M277" i="37"/>
  <c r="L277" i="37"/>
  <c r="U167" i="37"/>
  <c r="T167" i="37"/>
  <c r="S167" i="37"/>
  <c r="O167" i="37"/>
  <c r="N167" i="37"/>
  <c r="M167" i="37"/>
  <c r="L167" i="37"/>
  <c r="U166" i="37"/>
  <c r="T166" i="37"/>
  <c r="S166" i="37"/>
  <c r="O166" i="37"/>
  <c r="N166" i="37"/>
  <c r="M166" i="37"/>
  <c r="L166" i="37"/>
  <c r="U165" i="37"/>
  <c r="T165" i="37"/>
  <c r="S165" i="37"/>
  <c r="O165" i="37"/>
  <c r="N165" i="37"/>
  <c r="M165" i="37"/>
  <c r="L165" i="37"/>
  <c r="U164" i="37"/>
  <c r="T164" i="37"/>
  <c r="S164" i="37"/>
  <c r="O164" i="37"/>
  <c r="N164" i="37"/>
  <c r="M164" i="37"/>
  <c r="L164" i="37"/>
  <c r="U163" i="37"/>
  <c r="T163" i="37"/>
  <c r="S163" i="37"/>
  <c r="O163" i="37"/>
  <c r="N163" i="37"/>
  <c r="M163" i="37"/>
  <c r="L163" i="37"/>
  <c r="U162" i="37"/>
  <c r="T162" i="37"/>
  <c r="S162" i="37"/>
  <c r="O162" i="37"/>
  <c r="N162" i="37"/>
  <c r="M162" i="37"/>
  <c r="L162" i="37"/>
  <c r="U161" i="37"/>
  <c r="T161" i="37"/>
  <c r="S161" i="37"/>
  <c r="O161" i="37"/>
  <c r="N161" i="37"/>
  <c r="M161" i="37"/>
  <c r="L161" i="37"/>
  <c r="U160" i="37"/>
  <c r="T160" i="37"/>
  <c r="S160" i="37"/>
  <c r="O160" i="37"/>
  <c r="N160" i="37"/>
  <c r="M160" i="37"/>
  <c r="L160" i="37"/>
  <c r="U159" i="37"/>
  <c r="T159" i="37"/>
  <c r="S159" i="37"/>
  <c r="O159" i="37"/>
  <c r="N159" i="37"/>
  <c r="M159" i="37"/>
  <c r="L159" i="37"/>
  <c r="U158" i="37"/>
  <c r="T158" i="37"/>
  <c r="S158" i="37"/>
  <c r="O158" i="37"/>
  <c r="N158" i="37"/>
  <c r="M158" i="37"/>
  <c r="L158" i="37"/>
  <c r="U157" i="37"/>
  <c r="T157" i="37"/>
  <c r="S157" i="37"/>
  <c r="O157" i="37"/>
  <c r="N157" i="37"/>
  <c r="M157" i="37"/>
  <c r="L157" i="37"/>
  <c r="U129" i="37"/>
  <c r="T129" i="37"/>
  <c r="S129" i="37"/>
  <c r="O129" i="37"/>
  <c r="N129" i="37"/>
  <c r="M129" i="37"/>
  <c r="L129" i="37"/>
  <c r="U128" i="37"/>
  <c r="T128" i="37"/>
  <c r="S128" i="37"/>
  <c r="O128" i="37"/>
  <c r="N128" i="37"/>
  <c r="M128" i="37"/>
  <c r="L128" i="37"/>
  <c r="U130" i="37"/>
  <c r="T130" i="37"/>
  <c r="S130" i="37"/>
  <c r="O130" i="37"/>
  <c r="N130" i="37"/>
  <c r="M130" i="37"/>
  <c r="L130" i="37"/>
  <c r="U96" i="37"/>
  <c r="U97" i="37"/>
  <c r="U98" i="37"/>
  <c r="U99" i="37"/>
  <c r="S96" i="37"/>
  <c r="T96" i="37"/>
  <c r="S97" i="37"/>
  <c r="T97" i="37"/>
  <c r="S98" i="37"/>
  <c r="T98" i="37"/>
  <c r="S99" i="37"/>
  <c r="T99" i="37"/>
  <c r="L98" i="37"/>
  <c r="M98" i="37"/>
  <c r="N98" i="37"/>
  <c r="O98" i="37"/>
  <c r="L99" i="37"/>
  <c r="M99" i="37"/>
  <c r="N99" i="37"/>
  <c r="O99" i="37"/>
  <c r="L96" i="37"/>
  <c r="M96" i="37"/>
  <c r="N96" i="37"/>
  <c r="O96" i="37"/>
  <c r="L97" i="37"/>
  <c r="M97" i="37"/>
  <c r="N97" i="37"/>
  <c r="O97" i="37"/>
  <c r="S76" i="37"/>
  <c r="T76" i="37"/>
  <c r="U76" i="37"/>
  <c r="S77" i="37"/>
  <c r="T77" i="37"/>
  <c r="U77" i="37"/>
  <c r="S78" i="37"/>
  <c r="T78" i="37"/>
  <c r="U78" i="37"/>
  <c r="S79" i="37"/>
  <c r="T79" i="37"/>
  <c r="U79" i="37"/>
  <c r="S80" i="37"/>
  <c r="T80" i="37"/>
  <c r="U80" i="37"/>
  <c r="S81" i="37"/>
  <c r="T81" i="37"/>
  <c r="U81" i="37"/>
  <c r="S82" i="37"/>
  <c r="T82" i="37"/>
  <c r="U82" i="37"/>
  <c r="S83" i="37"/>
  <c r="T83" i="37"/>
  <c r="U83" i="37"/>
  <c r="S84" i="37"/>
  <c r="T84" i="37"/>
  <c r="U84" i="37"/>
  <c r="S85" i="37"/>
  <c r="T85" i="37"/>
  <c r="U85" i="37"/>
  <c r="S86" i="37"/>
  <c r="T86" i="37"/>
  <c r="U86" i="37"/>
  <c r="S87" i="37"/>
  <c r="T87" i="37"/>
  <c r="U87" i="37"/>
  <c r="S88" i="37"/>
  <c r="T88" i="37"/>
  <c r="U88" i="37"/>
  <c r="S89" i="37"/>
  <c r="T89" i="37"/>
  <c r="U89" i="37"/>
  <c r="S90" i="37"/>
  <c r="T90" i="37"/>
  <c r="U90" i="37"/>
  <c r="S91" i="37"/>
  <c r="T91" i="37"/>
  <c r="U91" i="37"/>
  <c r="S92" i="37"/>
  <c r="T92" i="37"/>
  <c r="U92" i="37"/>
  <c r="S93" i="37"/>
  <c r="T93" i="37"/>
  <c r="U93" i="37"/>
  <c r="S94" i="37"/>
  <c r="T94" i="37"/>
  <c r="U94" i="37"/>
  <c r="S95" i="37"/>
  <c r="T95" i="37"/>
  <c r="U95" i="37"/>
  <c r="L76" i="37"/>
  <c r="M76" i="37"/>
  <c r="N76" i="37"/>
  <c r="O76" i="37"/>
  <c r="L77" i="37"/>
  <c r="M77" i="37"/>
  <c r="N77" i="37"/>
  <c r="O77" i="37"/>
  <c r="L78" i="37"/>
  <c r="M78" i="37"/>
  <c r="N78" i="37"/>
  <c r="O78" i="37"/>
  <c r="L79" i="37"/>
  <c r="M79" i="37"/>
  <c r="N79" i="37"/>
  <c r="O79" i="37"/>
  <c r="L80" i="37"/>
  <c r="M80" i="37"/>
  <c r="N80" i="37"/>
  <c r="O80" i="37"/>
  <c r="L81" i="37"/>
  <c r="M81" i="37"/>
  <c r="N81" i="37"/>
  <c r="O81" i="37"/>
  <c r="L82" i="37"/>
  <c r="M82" i="37"/>
  <c r="N82" i="37"/>
  <c r="O82" i="37"/>
  <c r="L83" i="37"/>
  <c r="M83" i="37"/>
  <c r="N83" i="37"/>
  <c r="O83" i="37"/>
  <c r="L84" i="37"/>
  <c r="M84" i="37"/>
  <c r="N84" i="37"/>
  <c r="O84" i="37"/>
  <c r="L85" i="37"/>
  <c r="M85" i="37"/>
  <c r="N85" i="37"/>
  <c r="O85" i="37"/>
  <c r="L86" i="37"/>
  <c r="M86" i="37"/>
  <c r="N86" i="37"/>
  <c r="O86" i="37"/>
  <c r="L87" i="37"/>
  <c r="M87" i="37"/>
  <c r="N87" i="37"/>
  <c r="O87" i="37"/>
  <c r="L88" i="37"/>
  <c r="M88" i="37"/>
  <c r="N88" i="37"/>
  <c r="O88" i="37"/>
  <c r="L89" i="37"/>
  <c r="M89" i="37"/>
  <c r="N89" i="37"/>
  <c r="O89" i="37"/>
  <c r="L90" i="37"/>
  <c r="M90" i="37"/>
  <c r="N90" i="37"/>
  <c r="O90" i="37"/>
  <c r="L91" i="37"/>
  <c r="M91" i="37"/>
  <c r="N91" i="37"/>
  <c r="O91" i="37"/>
  <c r="L92" i="37"/>
  <c r="M92" i="37"/>
  <c r="N92" i="37"/>
  <c r="O92" i="37"/>
  <c r="L93" i="37"/>
  <c r="M93" i="37"/>
  <c r="N93" i="37"/>
  <c r="O93" i="37"/>
  <c r="L94" i="37"/>
  <c r="M94" i="37"/>
  <c r="N94" i="37"/>
  <c r="O94" i="37"/>
  <c r="L95" i="37"/>
  <c r="M95" i="37"/>
  <c r="N95" i="37"/>
  <c r="O95" i="37"/>
  <c r="S248" i="37"/>
  <c r="T248" i="37"/>
  <c r="U248" i="37"/>
  <c r="S249" i="37"/>
  <c r="T249" i="37"/>
  <c r="U249" i="37"/>
  <c r="S250" i="37"/>
  <c r="T250" i="37"/>
  <c r="U250" i="37"/>
  <c r="S251" i="37"/>
  <c r="T251" i="37"/>
  <c r="U251" i="37"/>
  <c r="S252" i="37"/>
  <c r="T252" i="37"/>
  <c r="U252" i="37"/>
  <c r="S253" i="37"/>
  <c r="T253" i="37"/>
  <c r="U253" i="37"/>
  <c r="S254" i="37"/>
  <c r="T254" i="37"/>
  <c r="U254" i="37"/>
  <c r="S255" i="37"/>
  <c r="T255" i="37"/>
  <c r="U255" i="37"/>
  <c r="S256" i="37"/>
  <c r="T256" i="37"/>
  <c r="U256" i="37"/>
  <c r="S257" i="37"/>
  <c r="T257" i="37"/>
  <c r="U257" i="37"/>
  <c r="S258" i="37"/>
  <c r="T258" i="37"/>
  <c r="U258" i="37"/>
  <c r="S259" i="37"/>
  <c r="T259" i="37"/>
  <c r="U259" i="37"/>
  <c r="S260" i="37"/>
  <c r="T260" i="37"/>
  <c r="U260" i="37"/>
  <c r="S261" i="37"/>
  <c r="T261" i="37"/>
  <c r="U261" i="37"/>
  <c r="S262" i="37"/>
  <c r="T262" i="37"/>
  <c r="U262" i="37"/>
  <c r="S263" i="37"/>
  <c r="T263" i="37"/>
  <c r="U263" i="37"/>
  <c r="S264" i="37"/>
  <c r="T264" i="37"/>
  <c r="U264" i="37"/>
  <c r="S265" i="37"/>
  <c r="T265" i="37"/>
  <c r="U265" i="37"/>
  <c r="S266" i="37"/>
  <c r="T266" i="37"/>
  <c r="U266" i="37"/>
  <c r="S267" i="37"/>
  <c r="T267" i="37"/>
  <c r="U267" i="37"/>
  <c r="S268" i="37"/>
  <c r="T268" i="37"/>
  <c r="U268" i="37"/>
  <c r="S269" i="37"/>
  <c r="T269" i="37"/>
  <c r="U269" i="37"/>
  <c r="S270" i="37"/>
  <c r="T270" i="37"/>
  <c r="U270" i="37"/>
  <c r="S271" i="37"/>
  <c r="T271" i="37"/>
  <c r="U271" i="37"/>
  <c r="S272" i="37"/>
  <c r="T272" i="37"/>
  <c r="U272" i="37"/>
  <c r="S273" i="37"/>
  <c r="T273" i="37"/>
  <c r="U273" i="37"/>
  <c r="L248" i="37"/>
  <c r="M248" i="37"/>
  <c r="N248" i="37"/>
  <c r="O248" i="37"/>
  <c r="P248" i="37" s="1"/>
  <c r="L249" i="37"/>
  <c r="M249" i="37"/>
  <c r="N249" i="37"/>
  <c r="O249" i="37"/>
  <c r="P249" i="37" s="1"/>
  <c r="L250" i="37"/>
  <c r="M250" i="37"/>
  <c r="N250" i="37"/>
  <c r="O250" i="37"/>
  <c r="P250" i="37" s="1"/>
  <c r="L251" i="37"/>
  <c r="M251" i="37"/>
  <c r="N251" i="37"/>
  <c r="O251" i="37"/>
  <c r="P251" i="37" s="1"/>
  <c r="L252" i="37"/>
  <c r="M252" i="37"/>
  <c r="N252" i="37"/>
  <c r="O252" i="37"/>
  <c r="P252" i="37" s="1"/>
  <c r="L253" i="37"/>
  <c r="M253" i="37"/>
  <c r="N253" i="37"/>
  <c r="O253" i="37"/>
  <c r="P253" i="37" s="1"/>
  <c r="L254" i="37"/>
  <c r="M254" i="37"/>
  <c r="N254" i="37"/>
  <c r="O254" i="37"/>
  <c r="P254" i="37" s="1"/>
  <c r="L255" i="37"/>
  <c r="M255" i="37"/>
  <c r="N255" i="37"/>
  <c r="O255" i="37"/>
  <c r="P255" i="37" s="1"/>
  <c r="L256" i="37"/>
  <c r="M256" i="37"/>
  <c r="N256" i="37"/>
  <c r="O256" i="37"/>
  <c r="P256" i="37" s="1"/>
  <c r="L257" i="37"/>
  <c r="M257" i="37"/>
  <c r="N257" i="37"/>
  <c r="O257" i="37"/>
  <c r="P257" i="37" s="1"/>
  <c r="L258" i="37"/>
  <c r="M258" i="37"/>
  <c r="N258" i="37"/>
  <c r="O258" i="37"/>
  <c r="P258" i="37" s="1"/>
  <c r="L259" i="37"/>
  <c r="M259" i="37"/>
  <c r="N259" i="37"/>
  <c r="O259" i="37"/>
  <c r="P259" i="37" s="1"/>
  <c r="L260" i="37"/>
  <c r="M260" i="37"/>
  <c r="N260" i="37"/>
  <c r="O260" i="37"/>
  <c r="P260" i="37" s="1"/>
  <c r="L261" i="37"/>
  <c r="M261" i="37"/>
  <c r="N261" i="37"/>
  <c r="O261" i="37"/>
  <c r="P261" i="37" s="1"/>
  <c r="L262" i="37"/>
  <c r="M262" i="37"/>
  <c r="N262" i="37"/>
  <c r="O262" i="37"/>
  <c r="P262" i="37" s="1"/>
  <c r="L263" i="37"/>
  <c r="M263" i="37"/>
  <c r="N263" i="37"/>
  <c r="O263" i="37"/>
  <c r="P263" i="37" s="1"/>
  <c r="L264" i="37"/>
  <c r="M264" i="37"/>
  <c r="N264" i="37"/>
  <c r="O264" i="37"/>
  <c r="P264" i="37" s="1"/>
  <c r="L265" i="37"/>
  <c r="M265" i="37"/>
  <c r="N265" i="37"/>
  <c r="O265" i="37"/>
  <c r="P265" i="37" s="1"/>
  <c r="L266" i="37"/>
  <c r="M266" i="37"/>
  <c r="N266" i="37"/>
  <c r="O266" i="37"/>
  <c r="P266" i="37" s="1"/>
  <c r="L267" i="37"/>
  <c r="M267" i="37"/>
  <c r="N267" i="37"/>
  <c r="O267" i="37"/>
  <c r="P267" i="37" s="1"/>
  <c r="L268" i="37"/>
  <c r="M268" i="37"/>
  <c r="N268" i="37"/>
  <c r="O268" i="37"/>
  <c r="P268" i="37" s="1"/>
  <c r="L269" i="37"/>
  <c r="M269" i="37"/>
  <c r="N269" i="37"/>
  <c r="O269" i="37"/>
  <c r="P269" i="37" s="1"/>
  <c r="L270" i="37"/>
  <c r="M270" i="37"/>
  <c r="N270" i="37"/>
  <c r="O270" i="37"/>
  <c r="P270" i="37" s="1"/>
  <c r="L271" i="37"/>
  <c r="M271" i="37"/>
  <c r="N271" i="37"/>
  <c r="O271" i="37"/>
  <c r="P271" i="37" s="1"/>
  <c r="L272" i="37"/>
  <c r="M272" i="37"/>
  <c r="N272" i="37"/>
  <c r="O272" i="37"/>
  <c r="P272" i="37" s="1"/>
  <c r="L273" i="37"/>
  <c r="M273" i="37"/>
  <c r="N273" i="37"/>
  <c r="O273" i="37"/>
  <c r="P273" i="37" s="1"/>
  <c r="U276" i="37"/>
  <c r="T276" i="37"/>
  <c r="S276" i="37"/>
  <c r="O276" i="37"/>
  <c r="N276" i="37"/>
  <c r="M276" i="37"/>
  <c r="L276" i="37"/>
  <c r="U275" i="37"/>
  <c r="T275" i="37"/>
  <c r="S275" i="37"/>
  <c r="O275" i="37"/>
  <c r="N275" i="37"/>
  <c r="M275" i="37"/>
  <c r="L275" i="37"/>
  <c r="U58" i="37"/>
  <c r="T58" i="37"/>
  <c r="S58" i="37"/>
  <c r="O58" i="37"/>
  <c r="N58" i="37"/>
  <c r="M58" i="37"/>
  <c r="L58" i="37"/>
  <c r="U59" i="37"/>
  <c r="T59" i="37"/>
  <c r="S59" i="37"/>
  <c r="O59" i="37"/>
  <c r="N59" i="37"/>
  <c r="M59" i="37"/>
  <c r="L59" i="37"/>
  <c r="U185" i="37"/>
  <c r="T185" i="37"/>
  <c r="S185" i="37"/>
  <c r="O185" i="37"/>
  <c r="N185" i="37"/>
  <c r="M185" i="37"/>
  <c r="L185" i="37"/>
  <c r="U184" i="37"/>
  <c r="T184" i="37"/>
  <c r="S184" i="37"/>
  <c r="O184" i="37"/>
  <c r="N184" i="37"/>
  <c r="M184" i="37"/>
  <c r="L184" i="37"/>
  <c r="U183" i="37"/>
  <c r="T183" i="37"/>
  <c r="S183" i="37"/>
  <c r="O183" i="37"/>
  <c r="N183" i="37"/>
  <c r="M183" i="37"/>
  <c r="L183" i="37"/>
  <c r="U182" i="37"/>
  <c r="T182" i="37"/>
  <c r="S182" i="37"/>
  <c r="O182" i="37"/>
  <c r="N182" i="37"/>
  <c r="M182" i="37"/>
  <c r="L182" i="37"/>
  <c r="U181" i="37"/>
  <c r="T181" i="37"/>
  <c r="S181" i="37"/>
  <c r="O181" i="37"/>
  <c r="N181" i="37"/>
  <c r="M181" i="37"/>
  <c r="L181" i="37"/>
  <c r="U180" i="37"/>
  <c r="T180" i="37"/>
  <c r="S180" i="37"/>
  <c r="O180" i="37"/>
  <c r="N180" i="37"/>
  <c r="M180" i="37"/>
  <c r="L180" i="37"/>
  <c r="B22" i="26"/>
  <c r="B21" i="26"/>
  <c r="U206" i="37"/>
  <c r="T206" i="37"/>
  <c r="S206" i="37"/>
  <c r="O206" i="37"/>
  <c r="N206" i="37"/>
  <c r="M206" i="37"/>
  <c r="L206" i="37"/>
  <c r="U75" i="37"/>
  <c r="T75" i="37"/>
  <c r="S75" i="37"/>
  <c r="O75" i="37"/>
  <c r="N75" i="37"/>
  <c r="M75" i="37"/>
  <c r="L75" i="37"/>
  <c r="U74" i="37"/>
  <c r="T74" i="37"/>
  <c r="S74" i="37"/>
  <c r="O74" i="37"/>
  <c r="N74" i="37"/>
  <c r="M74" i="37"/>
  <c r="L74" i="37"/>
  <c r="U170" i="37"/>
  <c r="T170" i="37"/>
  <c r="S170" i="37"/>
  <c r="O170" i="37"/>
  <c r="N170" i="37"/>
  <c r="M170" i="37"/>
  <c r="L170" i="37"/>
  <c r="U169" i="37"/>
  <c r="T169" i="37"/>
  <c r="S169" i="37"/>
  <c r="O169" i="37"/>
  <c r="N169" i="37"/>
  <c r="M169" i="37"/>
  <c r="L169" i="37"/>
  <c r="O57" i="37"/>
  <c r="O48" i="37"/>
  <c r="O47" i="37"/>
  <c r="S47" i="37"/>
  <c r="T47" i="37"/>
  <c r="U47" i="37"/>
  <c r="S48" i="37"/>
  <c r="T48" i="37"/>
  <c r="U48" i="37"/>
  <c r="S49" i="37"/>
  <c r="T49" i="37"/>
  <c r="U49" i="37"/>
  <c r="S50" i="37"/>
  <c r="T50" i="37"/>
  <c r="U50" i="37"/>
  <c r="S51" i="37"/>
  <c r="T51" i="37"/>
  <c r="U51" i="37"/>
  <c r="S52" i="37"/>
  <c r="T52" i="37"/>
  <c r="U52" i="37"/>
  <c r="S53" i="37"/>
  <c r="T53" i="37"/>
  <c r="U53" i="37"/>
  <c r="S54" i="37"/>
  <c r="T54" i="37"/>
  <c r="U54" i="37"/>
  <c r="S55" i="37"/>
  <c r="T55" i="37"/>
  <c r="U55" i="37"/>
  <c r="S56" i="37"/>
  <c r="T56" i="37"/>
  <c r="U56" i="37"/>
  <c r="S57" i="37"/>
  <c r="T57" i="37"/>
  <c r="U57" i="37"/>
  <c r="S60" i="37"/>
  <c r="T60" i="37"/>
  <c r="U60" i="37"/>
  <c r="O53" i="37"/>
  <c r="N53" i="37"/>
  <c r="M53" i="37"/>
  <c r="L53" i="37"/>
  <c r="O52" i="37"/>
  <c r="N52" i="37"/>
  <c r="M52" i="37"/>
  <c r="L52" i="37"/>
  <c r="O51" i="37"/>
  <c r="N51" i="37"/>
  <c r="M51" i="37"/>
  <c r="L51" i="37"/>
  <c r="O49" i="37"/>
  <c r="N49" i="37"/>
  <c r="M49" i="37"/>
  <c r="L49" i="37"/>
  <c r="N48" i="37"/>
  <c r="M48" i="37"/>
  <c r="L48" i="37"/>
  <c r="N47" i="37"/>
  <c r="M47" i="37"/>
  <c r="L47" i="37"/>
  <c r="O60" i="37"/>
  <c r="N60" i="37"/>
  <c r="M60" i="37"/>
  <c r="L60" i="37"/>
  <c r="N57" i="37"/>
  <c r="M57" i="37"/>
  <c r="L57" i="37"/>
  <c r="O56" i="37"/>
  <c r="N56" i="37"/>
  <c r="M56" i="37"/>
  <c r="L56" i="37"/>
  <c r="O55" i="37"/>
  <c r="N55" i="37"/>
  <c r="M55" i="37"/>
  <c r="L55" i="37"/>
  <c r="O54" i="37"/>
  <c r="N54" i="37"/>
  <c r="M54" i="37"/>
  <c r="L54" i="37"/>
  <c r="O50" i="37"/>
  <c r="N50" i="37"/>
  <c r="M50" i="37"/>
  <c r="L50" i="37"/>
  <c r="S149" i="37"/>
  <c r="T149" i="37"/>
  <c r="U149" i="37"/>
  <c r="S150" i="37"/>
  <c r="T150" i="37"/>
  <c r="U150" i="37"/>
  <c r="S151" i="37"/>
  <c r="T151" i="37"/>
  <c r="U151" i="37"/>
  <c r="S152" i="37"/>
  <c r="T152" i="37"/>
  <c r="U152" i="37"/>
  <c r="S61" i="37"/>
  <c r="T61" i="37"/>
  <c r="U61" i="37"/>
  <c r="S62" i="37"/>
  <c r="T62" i="37"/>
  <c r="U62" i="37"/>
  <c r="S63" i="37"/>
  <c r="T63" i="37"/>
  <c r="U63" i="37"/>
  <c r="S64" i="37"/>
  <c r="T64" i="37"/>
  <c r="U64" i="37"/>
  <c r="S65" i="37"/>
  <c r="T65" i="37"/>
  <c r="U65" i="37"/>
  <c r="S66" i="37"/>
  <c r="T66" i="37"/>
  <c r="U66" i="37"/>
  <c r="S67" i="37"/>
  <c r="T67" i="37"/>
  <c r="U67" i="37"/>
  <c r="S68" i="37"/>
  <c r="T68" i="37"/>
  <c r="U68" i="37"/>
  <c r="S69" i="37"/>
  <c r="T69" i="37"/>
  <c r="U69" i="37"/>
  <c r="S70" i="37"/>
  <c r="T70" i="37"/>
  <c r="U70" i="37"/>
  <c r="S71" i="37"/>
  <c r="T71" i="37"/>
  <c r="U71" i="37"/>
  <c r="S72" i="37"/>
  <c r="T72" i="37"/>
  <c r="U72" i="37"/>
  <c r="S73" i="37"/>
  <c r="T73" i="37"/>
  <c r="U73" i="37"/>
  <c r="O61" i="37"/>
  <c r="O62" i="37"/>
  <c r="O63" i="37"/>
  <c r="O64" i="37"/>
  <c r="O65" i="37"/>
  <c r="O66" i="37"/>
  <c r="O67" i="37"/>
  <c r="O68" i="37"/>
  <c r="O69" i="37"/>
  <c r="O70" i="37"/>
  <c r="O71" i="37"/>
  <c r="O72" i="37"/>
  <c r="O73" i="37"/>
  <c r="N61" i="37"/>
  <c r="N62" i="37"/>
  <c r="N63" i="37"/>
  <c r="N64" i="37"/>
  <c r="N65" i="37"/>
  <c r="N66" i="37"/>
  <c r="N67" i="37"/>
  <c r="N68" i="37"/>
  <c r="N69" i="37"/>
  <c r="N70" i="37"/>
  <c r="N71" i="37"/>
  <c r="N72" i="37"/>
  <c r="N73" i="37"/>
  <c r="M61" i="37"/>
  <c r="M62" i="37"/>
  <c r="M63" i="37"/>
  <c r="M64" i="37"/>
  <c r="M65" i="37"/>
  <c r="M66" i="37"/>
  <c r="M67" i="37"/>
  <c r="M68" i="37"/>
  <c r="M69" i="37"/>
  <c r="M70" i="37"/>
  <c r="M71" i="37"/>
  <c r="M72" i="37"/>
  <c r="M73" i="37"/>
  <c r="L61" i="37"/>
  <c r="L62" i="37"/>
  <c r="L63" i="37"/>
  <c r="L64" i="37"/>
  <c r="L65" i="37"/>
  <c r="L66" i="37"/>
  <c r="L67" i="37"/>
  <c r="L68" i="37"/>
  <c r="L69" i="37"/>
  <c r="L70" i="37"/>
  <c r="L71" i="37"/>
  <c r="L72" i="37"/>
  <c r="L73" i="37"/>
  <c r="L149" i="37"/>
  <c r="M149" i="37"/>
  <c r="L150" i="37"/>
  <c r="M150" i="37"/>
  <c r="L151" i="37"/>
  <c r="M151" i="37"/>
  <c r="L152" i="37"/>
  <c r="M152" i="37"/>
  <c r="N150" i="37"/>
  <c r="N151" i="37"/>
  <c r="N152" i="37"/>
  <c r="O152" i="37"/>
  <c r="O151" i="37"/>
  <c r="O150" i="37"/>
  <c r="O149" i="37"/>
  <c r="N149" i="37"/>
  <c r="S190" i="37"/>
  <c r="T190" i="37"/>
  <c r="U190" i="37"/>
  <c r="S191" i="37"/>
  <c r="T191" i="37"/>
  <c r="U191" i="37"/>
  <c r="S192" i="37"/>
  <c r="T192" i="37"/>
  <c r="U192" i="37"/>
  <c r="S193" i="37"/>
  <c r="T193" i="37"/>
  <c r="U193" i="37"/>
  <c r="S194" i="37"/>
  <c r="T194" i="37"/>
  <c r="U194" i="37"/>
  <c r="S195" i="37"/>
  <c r="T195" i="37"/>
  <c r="U195" i="37"/>
  <c r="S196" i="37"/>
  <c r="T196" i="37"/>
  <c r="U196" i="37"/>
  <c r="S197" i="37"/>
  <c r="T197" i="37"/>
  <c r="U197" i="37"/>
  <c r="S198" i="37"/>
  <c r="T198" i="37"/>
  <c r="U198" i="37"/>
  <c r="S199" i="37"/>
  <c r="T199" i="37"/>
  <c r="U199" i="37"/>
  <c r="S200" i="37"/>
  <c r="T200" i="37"/>
  <c r="U200" i="37"/>
  <c r="S125" i="37"/>
  <c r="T125" i="37"/>
  <c r="U125" i="37"/>
  <c r="S126" i="37"/>
  <c r="T126" i="37"/>
  <c r="U126" i="37"/>
  <c r="S127" i="37"/>
  <c r="T127" i="37"/>
  <c r="U127" i="37"/>
  <c r="S131" i="37"/>
  <c r="T131" i="37"/>
  <c r="U131" i="37"/>
  <c r="S132" i="37"/>
  <c r="T132" i="37"/>
  <c r="U132" i="37"/>
  <c r="S168" i="37"/>
  <c r="T168" i="37"/>
  <c r="U168" i="37"/>
  <c r="S171" i="37"/>
  <c r="T171" i="37"/>
  <c r="U171" i="37"/>
  <c r="S247" i="37"/>
  <c r="T247" i="37"/>
  <c r="U247" i="37"/>
  <c r="S285" i="37"/>
  <c r="T285" i="37"/>
  <c r="U285" i="37"/>
  <c r="O190" i="37"/>
  <c r="O191" i="37"/>
  <c r="O192" i="37"/>
  <c r="O193" i="37"/>
  <c r="O194" i="37"/>
  <c r="O195" i="37"/>
  <c r="O196" i="37"/>
  <c r="O197" i="37"/>
  <c r="O198" i="37"/>
  <c r="O199" i="37"/>
  <c r="O200" i="37"/>
  <c r="O125" i="37"/>
  <c r="O126" i="37"/>
  <c r="O127" i="37"/>
  <c r="O131" i="37"/>
  <c r="O132" i="37"/>
  <c r="O168" i="37"/>
  <c r="O171" i="37"/>
  <c r="O247" i="37"/>
  <c r="O285" i="37"/>
  <c r="N190" i="37"/>
  <c r="N191" i="37"/>
  <c r="N192" i="37"/>
  <c r="N193" i="37"/>
  <c r="N194" i="37"/>
  <c r="N195" i="37"/>
  <c r="N196" i="37"/>
  <c r="N197" i="37"/>
  <c r="N198" i="37"/>
  <c r="N199" i="37"/>
  <c r="N200" i="37"/>
  <c r="N125" i="37"/>
  <c r="N126" i="37"/>
  <c r="N127" i="37"/>
  <c r="N131" i="37"/>
  <c r="N132" i="37"/>
  <c r="N168" i="37"/>
  <c r="N171" i="37"/>
  <c r="N247" i="37"/>
  <c r="N285" i="37"/>
  <c r="M190" i="37"/>
  <c r="M191" i="37"/>
  <c r="M192" i="37"/>
  <c r="M193" i="37"/>
  <c r="M194" i="37"/>
  <c r="M195" i="37"/>
  <c r="M196" i="37"/>
  <c r="M197" i="37"/>
  <c r="M198" i="37"/>
  <c r="M199" i="37"/>
  <c r="M200" i="37"/>
  <c r="M125" i="37"/>
  <c r="M126" i="37"/>
  <c r="M127" i="37"/>
  <c r="M131" i="37"/>
  <c r="M132" i="37"/>
  <c r="M168" i="37"/>
  <c r="M171" i="37"/>
  <c r="M247" i="37"/>
  <c r="M285" i="37"/>
  <c r="L190" i="37"/>
  <c r="L191" i="37"/>
  <c r="L192" i="37"/>
  <c r="L193" i="37"/>
  <c r="L194" i="37"/>
  <c r="L195" i="37"/>
  <c r="L196" i="37"/>
  <c r="L197" i="37"/>
  <c r="L198" i="37"/>
  <c r="L199" i="37"/>
  <c r="L200" i="37"/>
  <c r="L125" i="37"/>
  <c r="L126" i="37"/>
  <c r="L127" i="37"/>
  <c r="L131" i="37"/>
  <c r="L132" i="37"/>
  <c r="L168" i="37"/>
  <c r="L171" i="37"/>
  <c r="L247" i="37"/>
  <c r="L285" i="37"/>
  <c r="Q69" i="37"/>
  <c r="Q83" i="37"/>
  <c r="Q74" i="37"/>
  <c r="Q47" i="37"/>
  <c r="Q64" i="37"/>
  <c r="Q285" i="37"/>
  <c r="Q258" i="37"/>
  <c r="Q164" i="37"/>
  <c r="Q86" i="37"/>
  <c r="Q151" i="37"/>
  <c r="Q80" i="37"/>
  <c r="Q254" i="37"/>
  <c r="Q248" i="37"/>
  <c r="AA253" i="37"/>
  <c r="Q168" i="37"/>
  <c r="AA267" i="37"/>
  <c r="AA272" i="37"/>
  <c r="Q169" i="37"/>
  <c r="Q89" i="37"/>
  <c r="Q275" i="37"/>
  <c r="Q163" i="37"/>
  <c r="Q251" i="37"/>
  <c r="Q49" i="37"/>
  <c r="Q247" i="37"/>
  <c r="Q81" i="37"/>
  <c r="Q167" i="37"/>
  <c r="Q65" i="37"/>
  <c r="Q56" i="37"/>
  <c r="Q263" i="37"/>
  <c r="AA252" i="37"/>
  <c r="Q260" i="37"/>
  <c r="Q269" i="37"/>
  <c r="AA268" i="37"/>
  <c r="Q82" i="37"/>
  <c r="AA263" i="37"/>
  <c r="AA262" i="37"/>
  <c r="Q252" i="37"/>
  <c r="Q183" i="37"/>
  <c r="Q276" i="37"/>
  <c r="Q132" i="37"/>
  <c r="AA260" i="37"/>
  <c r="Q60" i="37"/>
  <c r="AA264" i="37"/>
  <c r="Q99" i="37"/>
  <c r="Q62" i="37"/>
  <c r="Q91" i="37"/>
  <c r="Q273" i="37"/>
  <c r="Q90" i="37"/>
  <c r="AA265" i="37"/>
  <c r="Q76" i="37"/>
  <c r="Q50" i="37"/>
  <c r="AA258" i="37"/>
  <c r="Q185" i="37"/>
  <c r="Q181" i="37"/>
  <c r="Q255" i="37"/>
  <c r="Q160" i="37"/>
  <c r="AA251" i="37"/>
  <c r="Q95" i="37"/>
  <c r="AA257" i="37"/>
  <c r="AA259" i="37"/>
  <c r="Q75" i="37"/>
  <c r="Q277" i="37"/>
  <c r="Q53" i="37"/>
  <c r="AA249" i="37"/>
  <c r="Q171" i="37"/>
  <c r="Q70" i="37"/>
  <c r="Q158" i="37"/>
  <c r="Q150" i="37"/>
  <c r="Q67" i="37"/>
  <c r="Q149" i="37"/>
  <c r="AA254" i="37"/>
  <c r="Q88" i="37"/>
  <c r="Q77" i="37"/>
  <c r="Q152" i="37"/>
  <c r="Q128" i="37"/>
  <c r="Q58" i="37"/>
  <c r="Q206" i="37"/>
  <c r="Q157" i="37"/>
  <c r="Q78" i="37"/>
  <c r="Q54" i="37"/>
  <c r="Q182" i="37"/>
  <c r="Q87" i="37"/>
  <c r="Q281" i="37"/>
  <c r="Q63" i="37"/>
  <c r="Q66" i="37"/>
  <c r="Q166" i="37"/>
  <c r="AA271" i="37"/>
  <c r="Q261" i="37"/>
  <c r="Q94" i="37"/>
  <c r="Q73" i="37"/>
  <c r="AA270" i="37"/>
  <c r="AA266" i="37"/>
  <c r="AA250" i="37"/>
  <c r="Q79" i="37"/>
  <c r="Q159" i="37"/>
  <c r="Q48" i="37"/>
  <c r="Q71" i="37"/>
  <c r="Q266" i="37"/>
  <c r="Q165" i="37"/>
  <c r="Q55" i="37"/>
  <c r="Q93" i="37"/>
  <c r="Q278" i="37"/>
  <c r="Q264" i="37"/>
  <c r="Q130" i="37"/>
  <c r="Q161" i="37"/>
  <c r="Q68" i="37"/>
  <c r="Q270" i="37"/>
  <c r="Q59" i="37"/>
  <c r="Q170" i="37"/>
  <c r="AA256" i="37"/>
  <c r="Q57" i="37"/>
  <c r="Q280" i="37"/>
  <c r="Q96" i="37"/>
  <c r="Q52" i="37"/>
  <c r="Q84" i="37"/>
  <c r="Q97" i="37"/>
  <c r="Q92" i="37"/>
  <c r="Q129" i="37"/>
  <c r="Q51" i="37"/>
  <c r="Q98" i="37"/>
  <c r="Q262" i="37"/>
  <c r="Q127" i="37"/>
  <c r="Q85" i="37"/>
  <c r="Q61" i="37"/>
  <c r="AA248" i="37"/>
  <c r="Q279" i="37"/>
  <c r="Q131" i="37"/>
  <c r="Q144" i="37"/>
  <c r="Q184" i="37"/>
  <c r="Q116" i="37"/>
  <c r="AA255" i="37"/>
  <c r="Q180" i="37"/>
  <c r="Q72" i="37"/>
  <c r="Q259" i="37"/>
  <c r="Q141" i="37"/>
  <c r="Q162" i="37"/>
  <c r="B26" i="26" l="1"/>
  <c r="B27" i="26"/>
  <c r="Q268" i="37"/>
  <c r="Q249" i="37"/>
  <c r="AA273" i="37"/>
  <c r="Q257" i="37"/>
  <c r="Q250" i="37"/>
  <c r="Q253" i="37"/>
  <c r="Q267" i="37"/>
  <c r="Q271" i="37"/>
  <c r="AA261" i="37"/>
  <c r="Q256" i="37"/>
  <c r="AA269" i="37"/>
  <c r="Q272" i="37"/>
  <c r="Q126" i="37"/>
  <c r="Q265" i="37"/>
  <c r="B18" i="26" l="1"/>
  <c r="B6" i="26" l="1"/>
  <c r="B5" i="26"/>
  <c r="Q195" i="37"/>
  <c r="Q196" i="37"/>
  <c r="Q200" i="37"/>
  <c r="Q199" i="37"/>
  <c r="Q192" i="37"/>
  <c r="Q193" i="37"/>
  <c r="Q198" i="37"/>
  <c r="Q197" i="37"/>
  <c r="Q190" i="37"/>
  <c r="Q194" i="37"/>
  <c r="Q191" i="37"/>
</calcChain>
</file>

<file path=xl/sharedStrings.xml><?xml version="1.0" encoding="utf-8"?>
<sst xmlns="http://schemas.openxmlformats.org/spreadsheetml/2006/main" count="4847" uniqueCount="868">
  <si>
    <t>Key</t>
  </si>
  <si>
    <t>null</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</si>
  <si>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</si>
  <si>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</si>
  <si>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</si>
  <si>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</si>
  <si>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</si>
  <si>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</si>
  <si>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</si>
  <si>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</si>
  <si>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</si>
  <si>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</si>
  <si>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</si>
  <si>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</si>
  <si>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</si>
  <si>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</si>
  <si>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</si>
  <si>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</si>
  <si>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</si>
  <si>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</si>
  <si>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</si>
  <si>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</si>
  <si>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1</t>
  </si>
  <si>
    <t>-</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</si>
  <si>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</si>
  <si>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</si>
  <si>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</si>
  <si>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</si>
  <si>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</si>
  <si>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5</t>
  </si>
  <si>
    <t>Anotações 
de ajuda
Classe 3</t>
  </si>
  <si>
    <t>Anotações 
de ajuda
Classe 1</t>
  </si>
  <si>
    <t>Anotações 
de ajuda
Classe 2</t>
  </si>
  <si>
    <t>Fato</t>
  </si>
  <si>
    <t>Valor</t>
  </si>
  <si>
    <t>Chave</t>
  </si>
  <si>
    <t>RaizClass</t>
  </si>
  <si>
    <t>RaizProp</t>
  </si>
  <si>
    <t>RaizData</t>
  </si>
  <si>
    <t>URI</t>
  </si>
  <si>
    <t>Autor</t>
  </si>
  <si>
    <t>Edição</t>
  </si>
  <si>
    <t>ISBN</t>
  </si>
  <si>
    <t>Observações</t>
  </si>
  <si>
    <t>OntologiaPrefixo</t>
  </si>
  <si>
    <t>OntologiaTema</t>
  </si>
  <si>
    <t>BIM</t>
  </si>
  <si>
    <t>https://github.com/JLMenegotto/RepoOnto#</t>
  </si>
  <si>
    <t>Organização</t>
  </si>
  <si>
    <t>Escola Politécnica da UFRJ</t>
  </si>
  <si>
    <t>NormaNúmero</t>
  </si>
  <si>
    <t>NormaEscopo</t>
  </si>
  <si>
    <t>NormaReferência1</t>
  </si>
  <si>
    <t>NormaReferência2</t>
  </si>
  <si>
    <t>NormaReferência3</t>
  </si>
  <si>
    <t>DataHora</t>
  </si>
  <si>
    <t>Prédio</t>
  </si>
  <si>
    <t>Cidade</t>
  </si>
  <si>
    <t>Explicação</t>
  </si>
  <si>
    <t>Explicación</t>
  </si>
  <si>
    <t>bim:</t>
  </si>
  <si>
    <t>Natureza</t>
  </si>
  <si>
    <t>Disciplina</t>
  </si>
  <si>
    <t>Tema</t>
  </si>
  <si>
    <t>00Raiz</t>
  </si>
  <si>
    <t>00Super
Class
2</t>
  </si>
  <si>
    <t>00Super
Class
3</t>
  </si>
  <si>
    <t>00Super
Class
4</t>
  </si>
  <si>
    <t>00 Super
Class
5</t>
  </si>
  <si>
    <t>000 Tradução Classe 5</t>
  </si>
  <si>
    <t>000 Traducción Classe 5</t>
  </si>
  <si>
    <t>Interop</t>
  </si>
  <si>
    <t>Especie</t>
  </si>
  <si>
    <t>Classe</t>
  </si>
  <si>
    <t>Equivalente a</t>
  </si>
  <si>
    <t>ClasseIFC</t>
  </si>
  <si>
    <t>CategoriaRvt</t>
  </si>
  <si>
    <t>Tipo</t>
  </si>
  <si>
    <t>descrição</t>
  </si>
  <si>
    <t>AA.Indivíduo</t>
  </si>
  <si>
    <t>Fonte.Consultada.1</t>
  </si>
  <si>
    <t>0 Val</t>
  </si>
  <si>
    <t>Bambu</t>
  </si>
  <si>
    <t>ABNT</t>
  </si>
  <si>
    <t>000 Translate Classe 5</t>
  </si>
  <si>
    <t>Explanation</t>
  </si>
  <si>
    <t>Prof. José Luis Menegotto DEG/POLI/UFRJ</t>
  </si>
  <si>
    <t>Idioma</t>
  </si>
  <si>
    <t>pt</t>
  </si>
  <si>
    <t>es</t>
  </si>
  <si>
    <t>en</t>
  </si>
  <si>
    <t>Aviso</t>
  </si>
  <si>
    <t>categoria.revit</t>
  </si>
  <si>
    <t>classe.ifc</t>
  </si>
  <si>
    <t>Advertência</t>
  </si>
  <si>
    <t>Alert</t>
  </si>
  <si>
    <t>Material</t>
  </si>
  <si>
    <t>Conceitos de elementos de materialidade.</t>
  </si>
  <si>
    <t>Formalizar conceitos de materialidade.</t>
  </si>
  <si>
    <t>Gesso</t>
  </si>
  <si>
    <t>Madeira</t>
  </si>
  <si>
    <t>Madeiras</t>
  </si>
  <si>
    <t>Pedras</t>
  </si>
  <si>
    <t>Zinco</t>
  </si>
  <si>
    <t>Alumínio</t>
  </si>
  <si>
    <t>Plástico</t>
  </si>
  <si>
    <t>Granito</t>
  </si>
  <si>
    <t>Cal</t>
  </si>
  <si>
    <t>"OST_Material"</t>
  </si>
  <si>
    <t>"IfcMaterial"</t>
  </si>
  <si>
    <t>Latão</t>
  </si>
  <si>
    <t>Juta</t>
  </si>
  <si>
    <t>Cortiça</t>
  </si>
  <si>
    <t>Vídro</t>
  </si>
  <si>
    <t>Bronzes</t>
  </si>
  <si>
    <t>Cobres</t>
  </si>
  <si>
    <t>Ferros</t>
  </si>
  <si>
    <t>Latões</t>
  </si>
  <si>
    <t>Borrachas.Naturais</t>
  </si>
  <si>
    <t>Borracha.Sintética</t>
  </si>
  <si>
    <t>Mármore</t>
  </si>
  <si>
    <t>Ardósia</t>
  </si>
  <si>
    <t xml:space="preserve">Travertino </t>
  </si>
  <si>
    <t>Elementos.Químicos</t>
  </si>
  <si>
    <t>CP.I</t>
  </si>
  <si>
    <t>CP.III</t>
  </si>
  <si>
    <t>CP.IV</t>
  </si>
  <si>
    <t>Argila.Vermelha</t>
  </si>
  <si>
    <t>Argila.Refratária</t>
  </si>
  <si>
    <t>Argilas</t>
  </si>
  <si>
    <t>Quartzo</t>
  </si>
  <si>
    <t>Feldspato</t>
  </si>
  <si>
    <t>Carbonato</t>
  </si>
  <si>
    <t>Óxido.Metálico</t>
  </si>
  <si>
    <t>Complementa aumentando a resistência mecânica e térmica.</t>
  </si>
  <si>
    <t>Complementa atuando como fundente, reduz a temperatura de fusão.</t>
  </si>
  <si>
    <t>Complementa controlando a retração e estabilidade.</t>
  </si>
  <si>
    <t>Complementa influenciando a cor e outras propriedades.</t>
  </si>
  <si>
    <t>Defloculante</t>
  </si>
  <si>
    <t>Pigmento</t>
  </si>
  <si>
    <t>Usado para melhorar a trabalhabilidade do material.</t>
  </si>
  <si>
    <t>Usado para alterar as propriedades cromáticas.</t>
  </si>
  <si>
    <t>Portland Comum. Puro, sem adições além do gesso. Aplicações Comuns.</t>
  </si>
  <si>
    <t>Portland Comum com Adição. Até 5% de material pozolânico. Obras simples, sem exposição agressiva.</t>
  </si>
  <si>
    <t>Portland com Escória. Escória granulada de alto-forno (6–34%). Estruturas com menor permeabilidade.</t>
  </si>
  <si>
    <t>Portland com Pozolana. 6–14% de pozolana. Estruturas que exigem menor calor de hidratação.</t>
  </si>
  <si>
    <t>Portland com Fíler. Adição de fíler calcário (até 10%). Obras marítimas, subterrâneas e industriais.</t>
  </si>
  <si>
    <t>Portland de Alto-Forno. Alta proporção de escória (35–70%). Uso geral, mais econômico.</t>
  </si>
  <si>
    <t>Portland Pozolânico. Alta durabilidade e impermeabilidade. Obras de grande porte, barragens.</t>
  </si>
  <si>
    <t>Alta Resistência Inicial. Resistência rápida em poucos dias. Obras expostas à água e ambientes agressivos.</t>
  </si>
  <si>
    <t>Baixo Calor de Hidratação. Libera menos calor durante a cura. Obras em contato com solos ou águas sulfatadas.</t>
  </si>
  <si>
    <t>Portland Branco. Cor clara, estética diferenciada. Estruturas massivas como barragens.</t>
  </si>
  <si>
    <t>Resistente a Sulfatos. Proteção contra ataque químico. Usado em pré-moldados.</t>
  </si>
  <si>
    <t>Cerâmicas.Vermelhas</t>
  </si>
  <si>
    <t>Cerâmicas.Brancas</t>
  </si>
  <si>
    <t>Cerâmicas.Técnicas</t>
  </si>
  <si>
    <t>Tijolo</t>
  </si>
  <si>
    <t>Telha</t>
  </si>
  <si>
    <t>Bloco.Cerâmico</t>
  </si>
  <si>
    <t>Tubo.Cerâmico</t>
  </si>
  <si>
    <t>Peça.Revestimento</t>
  </si>
  <si>
    <t>Peça.Decorativa</t>
  </si>
  <si>
    <t>Peça.Isolante</t>
  </si>
  <si>
    <t>Peça.Eletrônica</t>
  </si>
  <si>
    <t>Peça.Biomédica</t>
  </si>
  <si>
    <t>Peça.de.Porcelana</t>
  </si>
  <si>
    <t>Peça.Sanitária</t>
  </si>
  <si>
    <t>Peça.Acabamento</t>
  </si>
  <si>
    <t>Peça.Refratária</t>
  </si>
  <si>
    <t>Bloco Cerâmico</t>
  </si>
  <si>
    <t>Tubo Cerâmico</t>
  </si>
  <si>
    <t>Peça de Porcelana</t>
  </si>
  <si>
    <t>Peça Sanitária</t>
  </si>
  <si>
    <t>Peça Acabamento</t>
  </si>
  <si>
    <t>Peça Revestimento</t>
  </si>
  <si>
    <t>Peça Decorativa</t>
  </si>
  <si>
    <t>Peça Refratária</t>
  </si>
  <si>
    <t>Peça Isolante</t>
  </si>
  <si>
    <t>Peça Eletrônica</t>
  </si>
  <si>
    <t>Peça Biomédica</t>
  </si>
  <si>
    <t>EQ.Sólidos</t>
  </si>
  <si>
    <t>EQ.Gasosos</t>
  </si>
  <si>
    <t>Seiva extraída da seringueira (Hevea brasiliensis), base da borracha natural</t>
  </si>
  <si>
    <t>Borracha natural em forma de lâminas finas (crepe pálido, castanho, etc.)</t>
  </si>
  <si>
    <t>Borracha natural padrão da Malásia</t>
  </si>
  <si>
    <t>Borracha natural padrão da Indonésia</t>
  </si>
  <si>
    <t>Borracha natural padrão da Tailândia</t>
  </si>
  <si>
    <t>Borracha natural padrão genérica</t>
  </si>
  <si>
    <t>Borracha natural padrão do Vietnã</t>
  </si>
  <si>
    <t>Borracha natural desproteinada</t>
  </si>
  <si>
    <t>Borracha natural líquida</t>
  </si>
  <si>
    <t>Borracha natural de processamento superior</t>
  </si>
  <si>
    <t>Borracha natural de viscosidade controlada</t>
  </si>
  <si>
    <t>Borracha natural epoxidada</t>
  </si>
  <si>
    <t>Borracha natural enxertada com metacrilato</t>
  </si>
  <si>
    <t>Borracha natural estendida com óleo</t>
  </si>
  <si>
    <t>Borracha natural termoplástica</t>
  </si>
  <si>
    <t>Poliuretano com alta resistência à abrasão</t>
  </si>
  <si>
    <t>Folhas fumadas de borracha natural</t>
  </si>
  <si>
    <t>Folhas secas ao ar</t>
  </si>
  <si>
    <t>Borracha.Látex</t>
  </si>
  <si>
    <t>Borracha.ADS</t>
  </si>
  <si>
    <t>Borracha.SMR</t>
  </si>
  <si>
    <t>Borracha.SIR</t>
  </si>
  <si>
    <t>Borracha.STR</t>
  </si>
  <si>
    <t>Borracha.SR</t>
  </si>
  <si>
    <t>Borracha.SVR</t>
  </si>
  <si>
    <t>Borracha.DPNR</t>
  </si>
  <si>
    <t>Borracha.LNR</t>
  </si>
  <si>
    <t>Borracha.SP</t>
  </si>
  <si>
    <t>Borracha.CV</t>
  </si>
  <si>
    <t>Borracha.ENR</t>
  </si>
  <si>
    <t>Borracha.MGNR</t>
  </si>
  <si>
    <t>Borracha.OENR</t>
  </si>
  <si>
    <t>Borracha.TPNR</t>
  </si>
  <si>
    <t>Borracha.SBR</t>
  </si>
  <si>
    <t>Borracha.NBR</t>
  </si>
  <si>
    <t>Borracha.EPDM</t>
  </si>
  <si>
    <t>Borracha.CR</t>
  </si>
  <si>
    <t>Borracha.IIR</t>
  </si>
  <si>
    <t>Borracha.PU</t>
  </si>
  <si>
    <t>Borracha.Folha</t>
  </si>
  <si>
    <t>Borracha.Crepe</t>
  </si>
  <si>
    <t>Arenito</t>
  </si>
  <si>
    <t>Basalto</t>
  </si>
  <si>
    <t>Originada em argila ou xisto submetidos a metamorfismo de baixo grau. Composta por quartzo, mica, clorita. De granulação fina, clivagem em lâminas finas, cores escuras. Usada e telhados, pisos, fachadas, mesas e lousas escolares.</t>
  </si>
  <si>
    <t>Originada em rocha magmática intrusiva formada pelo resfriamento lento do magma. Composta por Quartzo, mica e feldspato. Muito dura, resistente, cores variadas (cinza, rosa, preto)Usada em bancadas, pisos, revestimentos, fachadas e monumentos.</t>
  </si>
  <si>
    <t>Originada em compactação e cimentação de grãos de areia. Composta principalmente por quartzo e feldspato, cimentados por sílica, carbonato ou óxidos de ferro. É porosa e com cores variadas. Usada em revestimentos e reservatórios de água e petróleo.</t>
  </si>
  <si>
    <t>Originada em lava vulcânica resfriada rapidamente. Composta por silicatos de ferro e magnésio. Cor escura textura fina, muito resistente. Usada em brita para concreto, pavimentação e revestimentos.</t>
  </si>
  <si>
    <t>Originado em precipitação de carbonato de cálcio em ambientes de águas termais e cavernas. Composta por calcita, aragonita e limonita. Porosa com veios marcantes, tons bege a marrom. Usada para valorizar revestimentos internos e externos, pisos, escadas, colunas.</t>
  </si>
  <si>
    <t>Originada em calcários submetidos a altas pressões e temperaturas. Composto principalmente por calcita. Textura cristalina, veios decorativos, mais poroso que o granito. Usada em bancadas, pisos, revestimentos.</t>
  </si>
  <si>
    <t>CP.VARI</t>
  </si>
  <si>
    <t>CP.IS</t>
  </si>
  <si>
    <t>CP.IIE</t>
  </si>
  <si>
    <t>CP.IIZ</t>
  </si>
  <si>
    <t>CP.IIF</t>
  </si>
  <si>
    <t>CP.RS</t>
  </si>
  <si>
    <t>CP.BC</t>
  </si>
  <si>
    <t>CP.B</t>
  </si>
  <si>
    <t>Borracha sintética de estireno-butadieno (pneus)</t>
  </si>
  <si>
    <t>Borracha sintética de etileno-propileno-dieno (resistente ao ozônio)</t>
  </si>
  <si>
    <t>Borracha sintética de acrilonitrila-butadieno (resistente a óleos)</t>
  </si>
  <si>
    <t>Borracha sintética de cloropreno (Neoprene)</t>
  </si>
  <si>
    <t>Borracha sintética butílica impermeável</t>
  </si>
  <si>
    <t>Borrachas.Derivadas</t>
  </si>
  <si>
    <t>Argila.Caulim</t>
  </si>
  <si>
    <t>Argila.Bentonita</t>
  </si>
  <si>
    <t>Argila.Expansiva</t>
  </si>
  <si>
    <t>Argila.Ilita</t>
  </si>
  <si>
    <t>Resiste a altas temperaturas. Usada para tijolos refratários e fornos.</t>
  </si>
  <si>
    <t>Rica em óxidos de ferro, coloração avermelhada.</t>
  </si>
  <si>
    <t>Rica em caulinita, coloração branca. Usada em porcelana, papel e cimento.</t>
  </si>
  <si>
    <t>Usada em perfuração de poços, selagem e impermeabilização.</t>
  </si>
  <si>
    <t>Boa plasticidade e retenção de água. Alta capacidade de absorção e expansão.</t>
  </si>
  <si>
    <t>Contém mica, boa resistência mecânica, usada em cerâmica vermelha.</t>
  </si>
  <si>
    <t>EQ.Liquidos</t>
  </si>
  <si>
    <t>Madeira.Resinosa</t>
  </si>
  <si>
    <t>Madeira.de.Pinus</t>
  </si>
  <si>
    <t>Madeira.de.Peroba</t>
  </si>
  <si>
    <t>Madeira.de.Mogno</t>
  </si>
  <si>
    <t>Madeira.de.Cedro.Vermelho.Ocidental</t>
  </si>
  <si>
    <t>Madeira.de.Angelim.Pedra</t>
  </si>
  <si>
    <t>Madeira.de.Cedro</t>
  </si>
  <si>
    <t>Madeira.de.Cerejeira</t>
  </si>
  <si>
    <t>Madeira.de.Pau.Marfim</t>
  </si>
  <si>
    <t>Madeira.de.Pequiá</t>
  </si>
  <si>
    <t>Madeira.de.Sucupira</t>
  </si>
  <si>
    <t>Madeira.de.Madeira.de.Lei</t>
  </si>
  <si>
    <t>Madeira.de.Carvalho.Branco</t>
  </si>
  <si>
    <t>Madeira.de.Carvalho.Vermelho</t>
  </si>
  <si>
    <t>Madeira.de.Bordo</t>
  </si>
  <si>
    <t>Madeira.de.Curupixá</t>
  </si>
  <si>
    <t>Madeira.de.Goiabão</t>
  </si>
  <si>
    <t>Madeira.de.Ipê</t>
  </si>
  <si>
    <t>Madeira.de.Jatobá</t>
  </si>
  <si>
    <t>Madeira.de.Louro.Vermelho</t>
  </si>
  <si>
    <t>Madeira.de.Marupá</t>
  </si>
  <si>
    <t>Madeira.de.Massaranduba</t>
  </si>
  <si>
    <t>Madeira.de.Muiracatira</t>
  </si>
  <si>
    <t>Madeira.de.Pau.Amarelo</t>
  </si>
  <si>
    <t>Madeira.de.Cumarú</t>
  </si>
  <si>
    <t>Madeira.de.Jacarandá</t>
  </si>
  <si>
    <t>Material extraído de árvores.</t>
  </si>
  <si>
    <t>Propano</t>
  </si>
  <si>
    <t>GLP</t>
  </si>
  <si>
    <t>Triclorofluorometano (CFC-11)</t>
  </si>
  <si>
    <t>Diclorodifluorometano (CFC-12)</t>
  </si>
  <si>
    <t>Clorotrifluorometano (CFC-13)</t>
  </si>
  <si>
    <t>Clorodifluorometano  (HCFC-22)</t>
  </si>
  <si>
    <t>Trifluorometano (HFC-23)</t>
  </si>
  <si>
    <t>Triclorotrifluoretano (CFC-113)</t>
  </si>
  <si>
    <t>Diclorotetrafluoretano (CFC-114)</t>
  </si>
  <si>
    <t>Cloropentafluoretano (CFC-115)</t>
  </si>
  <si>
    <t>Hexafluoroetano (CFC-116)</t>
  </si>
  <si>
    <t>Tetrafluoroetano (HFC-134a)</t>
  </si>
  <si>
    <t>Heptafluoropropano (HFC-227ea)</t>
  </si>
  <si>
    <t>Halon</t>
  </si>
  <si>
    <t>Bromoclorodifluorometano (Halon 1211)</t>
  </si>
  <si>
    <t>Bromotrifluorometano (Halon 1301)</t>
  </si>
  <si>
    <t>Hidrocarboneto</t>
  </si>
  <si>
    <t>Gas.Butano</t>
  </si>
  <si>
    <t>Gas.Refrigerante</t>
  </si>
  <si>
    <t>Fluorocarbono</t>
  </si>
  <si>
    <t>CFC-11</t>
  </si>
  <si>
    <t>CFC-13</t>
  </si>
  <si>
    <t>CFC-12</t>
  </si>
  <si>
    <t>HCFC-22</t>
  </si>
  <si>
    <t>HFC-23</t>
  </si>
  <si>
    <t>CFC-113</t>
  </si>
  <si>
    <t>CFC-114</t>
  </si>
  <si>
    <t>CFC-115</t>
  </si>
  <si>
    <t>CFC-116</t>
  </si>
  <si>
    <t>HFC-134a</t>
  </si>
  <si>
    <t>HFC-227ea</t>
  </si>
  <si>
    <t>Halon1211</t>
  </si>
  <si>
    <t>Halon1301</t>
  </si>
  <si>
    <t>Gas Halon</t>
  </si>
  <si>
    <t>Ar.Natural</t>
  </si>
  <si>
    <t>Dióxido.de.Carbono</t>
  </si>
  <si>
    <t>Monóxido.de.Carbono</t>
  </si>
  <si>
    <t>Vapor.de.Água</t>
  </si>
  <si>
    <t>Ar Natural</t>
  </si>
  <si>
    <t>Dióxido de Carbono</t>
  </si>
  <si>
    <t>Monóxido de Carbono</t>
  </si>
  <si>
    <t>Vapor de Água</t>
  </si>
  <si>
    <t>Ferro.Fundido</t>
  </si>
  <si>
    <t>Ferro.Forjado</t>
  </si>
  <si>
    <t>Ferro.Fundido.Dúctil</t>
  </si>
  <si>
    <t>Ferro.Maleável</t>
  </si>
  <si>
    <t>Ferro Fundido</t>
  </si>
  <si>
    <t>Ferro Forjado</t>
  </si>
  <si>
    <t>Ferro Fundido Dúctil</t>
  </si>
  <si>
    <t>Ferro Maleável</t>
  </si>
  <si>
    <t>Zamac</t>
  </si>
  <si>
    <t>Alumínios</t>
  </si>
  <si>
    <t>Gas.Propano</t>
  </si>
  <si>
    <t>Gas.GLP</t>
  </si>
  <si>
    <t>Pedra Mineira</t>
  </si>
  <si>
    <t>Pedra Goiás</t>
  </si>
  <si>
    <t>Pedra Miracema</t>
  </si>
  <si>
    <t>Pedra Lagoa Santa</t>
  </si>
  <si>
    <t>Pedra Cariri</t>
  </si>
  <si>
    <t>Pedra.Luminária</t>
  </si>
  <si>
    <t>Pedra.Mineira</t>
  </si>
  <si>
    <t>Pedra.Goiás</t>
  </si>
  <si>
    <t>Pedra.Miracema</t>
  </si>
  <si>
    <t>Pedra.Madeira</t>
  </si>
  <si>
    <t>Pedra.Sabão</t>
  </si>
  <si>
    <t>Pedra.Lagoa.Santa</t>
  </si>
  <si>
    <t>Pedra.Cariri</t>
  </si>
  <si>
    <t>Rochas.de.Quarlzo</t>
  </si>
  <si>
    <t>Pedra Luminária</t>
  </si>
  <si>
    <t>Pedra Madeira</t>
  </si>
  <si>
    <t>Pedra Sabão</t>
  </si>
  <si>
    <t>Rochas de Quarlzo</t>
  </si>
  <si>
    <t>Grama</t>
  </si>
  <si>
    <t>Linho</t>
  </si>
  <si>
    <t>Vime</t>
  </si>
  <si>
    <t>Palha</t>
  </si>
  <si>
    <t>Mat.Cimentos</t>
  </si>
  <si>
    <t>Mat.Cerâmicos</t>
  </si>
  <si>
    <t>Mat.Madeiras</t>
  </si>
  <si>
    <t>Mat.Vidros</t>
  </si>
  <si>
    <t>Mat.Plásticos</t>
  </si>
  <si>
    <t>é.pertencente.a</t>
  </si>
  <si>
    <t>Combustível</t>
  </si>
  <si>
    <t>A lista de maiteriais considera a norma ABNT 15965, tabela 0M</t>
  </si>
  <si>
    <t>Cal.Virgem</t>
  </si>
  <si>
    <t>Cal.Extinta</t>
  </si>
  <si>
    <t>Cal.Hidratada</t>
  </si>
  <si>
    <t>Cal.Hidráulica</t>
  </si>
  <si>
    <t>Asfalto</t>
  </si>
  <si>
    <t>Parafina</t>
  </si>
  <si>
    <t>Asfalto Modificado por Polímero</t>
  </si>
  <si>
    <t>Alcatrão de Carvão</t>
  </si>
  <si>
    <t>Breu Alcatrão de Carvão</t>
  </si>
  <si>
    <t>Cal Virgem</t>
  </si>
  <si>
    <t>Cal Extinta</t>
  </si>
  <si>
    <t>Cal Hidratada</t>
  </si>
  <si>
    <t>Cal Hidráulica</t>
  </si>
  <si>
    <t>Crisotila</t>
  </si>
  <si>
    <t>Grafite</t>
  </si>
  <si>
    <t>Preto.de.Carbono</t>
  </si>
  <si>
    <t>Cloreto.de.Sódio</t>
  </si>
  <si>
    <t>Preto de Carbono</t>
  </si>
  <si>
    <t>Cloreto de Sódio</t>
  </si>
  <si>
    <t>Areia</t>
  </si>
  <si>
    <t>Solos</t>
  </si>
  <si>
    <t>Magnésia</t>
  </si>
  <si>
    <t>Silicato.de.Cálcio</t>
  </si>
  <si>
    <t>Epóxi</t>
  </si>
  <si>
    <t>Poliamida</t>
  </si>
  <si>
    <t>Policarbonato</t>
  </si>
  <si>
    <t>Poliester</t>
  </si>
  <si>
    <t>Polipropileno</t>
  </si>
  <si>
    <t>Poliestireno</t>
  </si>
  <si>
    <t>Poliuretano</t>
  </si>
  <si>
    <t>Fenólico</t>
  </si>
  <si>
    <t>Polibutileno.PB</t>
  </si>
  <si>
    <t>Polietileno.PE</t>
  </si>
  <si>
    <t>Polietileno.Reticulado.PEX</t>
  </si>
  <si>
    <t>Poli.Isocianurato</t>
  </si>
  <si>
    <t>Polipropileno.Copolímero.Random.PPR</t>
  </si>
  <si>
    <t>Cloreto.de.Polivinil.PVC</t>
  </si>
  <si>
    <t>Cloreto.de.Polivinil.Não.Plastificado.UPVC</t>
  </si>
  <si>
    <t>Policloreto.de.Vinila.Clorado.CPVC</t>
  </si>
  <si>
    <t>Fluoreto.de.Polivinilideno</t>
  </si>
  <si>
    <t>Ureia.Formaldeido</t>
  </si>
  <si>
    <t>Acrilico.Polimetilmetacrilato</t>
  </si>
  <si>
    <t>ABE Acrilonitrila Butadieno Estireno ABE</t>
  </si>
  <si>
    <t>Acrilico Polimetilmetacrilato</t>
  </si>
  <si>
    <t>Polibutileno PB</t>
  </si>
  <si>
    <t>Polietileno PE</t>
  </si>
  <si>
    <t>Polietileno Reticulado PEX</t>
  </si>
  <si>
    <t>Poli Isocianurato</t>
  </si>
  <si>
    <t>Polipropileno Copolímero Random PPR</t>
  </si>
  <si>
    <t>Cloreto de Polivinil PVC</t>
  </si>
  <si>
    <t>Cloreto de Polivinil Não Plastificado UPVC</t>
  </si>
  <si>
    <t>Policloreto de Vinila Clorado CPVC</t>
  </si>
  <si>
    <t>Fluoreto de Polivinilideno</t>
  </si>
  <si>
    <t>Ureia Formaldeido</t>
  </si>
  <si>
    <t>Vinil</t>
  </si>
  <si>
    <t>Cera</t>
  </si>
  <si>
    <t>Asfálticas</t>
  </si>
  <si>
    <t>Cimenticias</t>
  </si>
  <si>
    <t>Cimenticias.Aereas</t>
  </si>
  <si>
    <t>Plásticas</t>
  </si>
  <si>
    <t>Aditivas</t>
  </si>
  <si>
    <t>Matéria.Complementar</t>
  </si>
  <si>
    <t>Gases</t>
  </si>
  <si>
    <t>Água.Doce</t>
  </si>
  <si>
    <t>Água.da.Chuva</t>
  </si>
  <si>
    <t>Água.Mineral</t>
  </si>
  <si>
    <t>Água.Destilada</t>
  </si>
  <si>
    <t>Água.Deionizada</t>
  </si>
  <si>
    <t>Água.Dura</t>
  </si>
  <si>
    <t>Água.de.Reuso</t>
  </si>
  <si>
    <t>Água.Salgada</t>
  </si>
  <si>
    <t>Água.do.Mar</t>
  </si>
  <si>
    <t>Aguas</t>
  </si>
  <si>
    <t>Água Doce</t>
  </si>
  <si>
    <t>Água da Chuva</t>
  </si>
  <si>
    <t>Água Mineral</t>
  </si>
  <si>
    <t>Água Destilada</t>
  </si>
  <si>
    <t>Água Deionizada</t>
  </si>
  <si>
    <t>Água Dura</t>
  </si>
  <si>
    <t>Água de Reuso</t>
  </si>
  <si>
    <t>Água Salgada</t>
  </si>
  <si>
    <t>Água do Mar</t>
  </si>
  <si>
    <t>Refinados</t>
  </si>
  <si>
    <t>Solução.a.Base.de.Água</t>
  </si>
  <si>
    <t>Solução.Alcalina</t>
  </si>
  <si>
    <t>Solução.Ácida</t>
  </si>
  <si>
    <t>Solução.Base.Água</t>
  </si>
  <si>
    <t>Solução Base Água</t>
  </si>
  <si>
    <t>Solução Ácida</t>
  </si>
  <si>
    <t>Solução Alcalina</t>
  </si>
  <si>
    <t>Solução a Base de Água</t>
  </si>
  <si>
    <t>Soluções</t>
  </si>
  <si>
    <t>Carbono</t>
  </si>
  <si>
    <t>Silício</t>
  </si>
  <si>
    <t>Fósforo</t>
  </si>
  <si>
    <t>Enxofre</t>
  </si>
  <si>
    <t>Cálcio</t>
  </si>
  <si>
    <t>Iodo</t>
  </si>
  <si>
    <t>Boro</t>
  </si>
  <si>
    <t>Magnêsio</t>
  </si>
  <si>
    <t>Aluminio</t>
  </si>
  <si>
    <t>Potássio</t>
  </si>
  <si>
    <t>Titânio</t>
  </si>
  <si>
    <t>Vanádio</t>
  </si>
  <si>
    <t>Crômio</t>
  </si>
  <si>
    <t>Manganês</t>
  </si>
  <si>
    <t>Feno</t>
  </si>
  <si>
    <t>Cobalto</t>
  </si>
  <si>
    <t>Níquel</t>
  </si>
  <si>
    <t>Arsênico</t>
  </si>
  <si>
    <t>Molibdênio</t>
  </si>
  <si>
    <t>Prata</t>
  </si>
  <si>
    <t>Cádmio</t>
  </si>
  <si>
    <t>Estanho</t>
  </si>
  <si>
    <t>Antimônio</t>
  </si>
  <si>
    <t>Tungstênio</t>
  </si>
  <si>
    <t>Ouro</t>
  </si>
  <si>
    <t>Chumbo</t>
  </si>
  <si>
    <t>Bismuto</t>
  </si>
  <si>
    <t>Bronze</t>
  </si>
  <si>
    <t>Cobre</t>
  </si>
  <si>
    <t>Cobre.Q</t>
  </si>
  <si>
    <t>Hidrogênio</t>
  </si>
  <si>
    <t>Hélio</t>
  </si>
  <si>
    <t>Nitrogênio</t>
  </si>
  <si>
    <t>Oxigênio</t>
  </si>
  <si>
    <t>Flúor</t>
  </si>
  <si>
    <t>Neônio</t>
  </si>
  <si>
    <t>Cloro</t>
  </si>
  <si>
    <t>Argônio</t>
  </si>
  <si>
    <t>Criptônio</t>
  </si>
  <si>
    <t>Xenônio</t>
  </si>
  <si>
    <t>Radônio</t>
  </si>
  <si>
    <t>Mercúrio</t>
  </si>
  <si>
    <t>Borracha.Natural</t>
  </si>
  <si>
    <t>Borracha Natural</t>
  </si>
  <si>
    <t>Algodão</t>
  </si>
  <si>
    <t>Líquido.Vegetal</t>
  </si>
  <si>
    <t>Oleo.Vegetal</t>
  </si>
  <si>
    <t>Líquido.Animal</t>
  </si>
  <si>
    <t>Oleo.de.Peixe</t>
  </si>
  <si>
    <t>Líquido Vegetal</t>
  </si>
  <si>
    <t>Oleo Vegetal</t>
  </si>
  <si>
    <t>Líquido Animal</t>
  </si>
  <si>
    <t>Oleo de Peixe</t>
  </si>
  <si>
    <t>Liquidos</t>
  </si>
  <si>
    <t>Silicato de Cálcio</t>
  </si>
  <si>
    <t>Lá</t>
  </si>
  <si>
    <t>Crina</t>
  </si>
  <si>
    <t>Couro</t>
  </si>
  <si>
    <t>Sebo</t>
  </si>
  <si>
    <t>Seda</t>
  </si>
  <si>
    <t>Sais</t>
  </si>
  <si>
    <t>Neoprene</t>
  </si>
  <si>
    <t>Silicone</t>
  </si>
  <si>
    <t>Polisulfato</t>
  </si>
  <si>
    <t>Gasolina</t>
  </si>
  <si>
    <t>Querosene</t>
  </si>
  <si>
    <t>Amonia</t>
  </si>
  <si>
    <t>Celulose</t>
  </si>
  <si>
    <t>Têxteis</t>
  </si>
  <si>
    <t>Mazac</t>
  </si>
  <si>
    <t>Teme</t>
  </si>
  <si>
    <t>Cermet</t>
  </si>
  <si>
    <t>Cera.de.Abelha</t>
  </si>
  <si>
    <t>Acido</t>
  </si>
  <si>
    <t>Álcalis</t>
  </si>
  <si>
    <t>Oleo.Diesel</t>
  </si>
  <si>
    <t>Oleo.Combustível</t>
  </si>
  <si>
    <t>Oleo.Mineral</t>
  </si>
  <si>
    <t>Alcóol</t>
  </si>
  <si>
    <t>Lubrificante</t>
  </si>
  <si>
    <t>Liga.Chumbo.Estanho</t>
  </si>
  <si>
    <t>Liga.Zinco.Chumbo</t>
  </si>
  <si>
    <t>Liga.Zinco</t>
  </si>
  <si>
    <t>Liga.Chumbo</t>
  </si>
  <si>
    <t>Porcelana.Esmaltada</t>
  </si>
  <si>
    <t>Cinza.Mineral</t>
  </si>
  <si>
    <t>Fibra.de.Carbono</t>
  </si>
  <si>
    <t>Carboneto.de.Silício</t>
  </si>
  <si>
    <t>Papel</t>
  </si>
  <si>
    <t>Têxtil</t>
  </si>
  <si>
    <t>Produto.Animal</t>
  </si>
  <si>
    <t>Produto.Inseto</t>
  </si>
  <si>
    <t>Ácidos</t>
  </si>
  <si>
    <t>Álcali</t>
  </si>
  <si>
    <t>Borracha.Butilica</t>
  </si>
  <si>
    <t>Borracha</t>
  </si>
  <si>
    <t>Cera de Abelha</t>
  </si>
  <si>
    <t>Borracha Butilica</t>
  </si>
  <si>
    <t>Oleo Diesel</t>
  </si>
  <si>
    <t>Oleo Combustível</t>
  </si>
  <si>
    <t>Oleo Mineral</t>
  </si>
  <si>
    <t>Liga Zinco</t>
  </si>
  <si>
    <t>Liga Zinco Chumbo</t>
  </si>
  <si>
    <t>Liga Chumbo</t>
  </si>
  <si>
    <t>Liga Chumbo Estanho</t>
  </si>
  <si>
    <t>Porcelana Esmaltada</t>
  </si>
  <si>
    <t>Cinza Mineral</t>
  </si>
  <si>
    <t>Fibra de Carbono</t>
  </si>
  <si>
    <t>Carboneto de Silício</t>
  </si>
  <si>
    <t>Líquidos</t>
  </si>
  <si>
    <t>Ligas.Metálicas</t>
  </si>
  <si>
    <t>Sais.Sintéticas</t>
  </si>
  <si>
    <t>Acrilonitrila.Butadieno.Estireno.ABE</t>
  </si>
  <si>
    <t>Gramíneas</t>
  </si>
  <si>
    <t>Vítrificados</t>
  </si>
  <si>
    <t>Zincado</t>
  </si>
  <si>
    <t>Asfalto.Polímerizado</t>
  </si>
  <si>
    <t>Alcatrão</t>
  </si>
  <si>
    <t>Alcatrão.Breu</t>
  </si>
  <si>
    <t>Aços</t>
  </si>
  <si>
    <t>Aço.Carbono</t>
  </si>
  <si>
    <t>Aço.Inox</t>
  </si>
  <si>
    <t>Aço.Liga</t>
  </si>
  <si>
    <t>Aço Carbono</t>
  </si>
  <si>
    <t>Aço Inox</t>
  </si>
  <si>
    <t>Aço Liga</t>
  </si>
  <si>
    <t>Lã</t>
  </si>
  <si>
    <t>[ OST_Material ]</t>
  </si>
  <si>
    <t>[ IfcMaterial ]</t>
  </si>
  <si>
    <t>[ 0M.10.10.01 ]</t>
  </si>
  <si>
    <t>[ 0M.10.10.03 ]</t>
  </si>
  <si>
    <t>[ 0M.10.10.05 ]</t>
  </si>
  <si>
    <t>[ 0M.10.10.07 ]</t>
  </si>
  <si>
    <t>[ 0M.10.10.09 ]</t>
  </si>
  <si>
    <t>[ 0M.10.10.11 ]</t>
  </si>
  <si>
    <t>[ 0M.10.10.13 ]</t>
  </si>
  <si>
    <t>[ 0M.10.10.15 ]</t>
  </si>
  <si>
    <t>[ 0M.10.10.17 ]</t>
  </si>
  <si>
    <t>[ 0M.10.10.19 ]</t>
  </si>
  <si>
    <t>[ 0M.10.10.21 ]</t>
  </si>
  <si>
    <t>[ 0M.10.10.23 ]</t>
  </si>
  <si>
    <t>[ 0M.10.10.25 ]</t>
  </si>
  <si>
    <t>[ 0M.10.10.27 ]</t>
  </si>
  <si>
    <t>[ 0M.10.10.29 ]</t>
  </si>
  <si>
    <t>[ 0M.10.10.31 ]</t>
  </si>
  <si>
    <t>[ 0M.10.10.33 ]</t>
  </si>
  <si>
    <t>[ 0M.10.10.35 ]</t>
  </si>
  <si>
    <t>[ 0M.10.10.37 ]</t>
  </si>
  <si>
    <t>[ 0M.10.10.39 ]</t>
  </si>
  <si>
    <t>[ 0M.10.10.41 ]</t>
  </si>
  <si>
    <t>[ 0M.10.10.43 ]</t>
  </si>
  <si>
    <t>[ 0M.10.10.45 ]</t>
  </si>
  <si>
    <t>[ 0M.10.10.47 ]</t>
  </si>
  <si>
    <t>[ 0M.10.10.49 ]</t>
  </si>
  <si>
    <t>[ 0M.10.10.51 ]</t>
  </si>
  <si>
    <t>[ 0M.10.10.53 ]</t>
  </si>
  <si>
    <t>[ 0M.10.10.55 ]</t>
  </si>
  <si>
    <t>[ 0M.10.10.57 ]</t>
  </si>
  <si>
    <t>[ 0M.10.30.01 ]</t>
  </si>
  <si>
    <t>[ 0M.10.40.01 ]</t>
  </si>
  <si>
    <t>[ 0M.10.40.03 ]</t>
  </si>
  <si>
    <t>[ 0M.10.40.05 ]</t>
  </si>
  <si>
    <t>[ 0M.10.40.07 ]</t>
  </si>
  <si>
    <t>[ 0M.10.40.09 ]</t>
  </si>
  <si>
    <t>[ 0M.10.40.11 ]</t>
  </si>
  <si>
    <t>[ 0M.10.40.13 ]</t>
  </si>
  <si>
    <t>[ 0M.10.40.15 ]</t>
  </si>
  <si>
    <t>[ 0M.10.40.17 ]</t>
  </si>
  <si>
    <t>[ 0M.10.40.19 ]</t>
  </si>
  <si>
    <t>[ 0M.10.40.21 ]</t>
  </si>
  <si>
    <t>[ 0M.20.50.01.01.01 ]</t>
  </si>
  <si>
    <t>[ 0M.20.50.01.01.02 ]</t>
  </si>
  <si>
    <t>[ 0M.20.50.01.03.01 ]</t>
  </si>
  <si>
    <t>[ 0M.20.50.01.03.02 ]</t>
  </si>
  <si>
    <t>[ 0M.20.60.09 ]</t>
  </si>
  <si>
    <t>[ 0M.20.60.09.01 ]</t>
  </si>
  <si>
    <t>[ 0M.20.60.09.02 ]</t>
  </si>
  <si>
    <t>[ 0M.20.10.03.09 ]</t>
  </si>
  <si>
    <t>[ 0M.20.10.03.09.07 ]</t>
  </si>
  <si>
    <t>[ 0M.20.10.03.09.09 ]</t>
  </si>
  <si>
    <t>[ 0M.40.20 ]</t>
  </si>
  <si>
    <t>[ 0M.40.20.01 ]</t>
  </si>
  <si>
    <t>[ 0M.40.20.03 ]</t>
  </si>
  <si>
    <t>[ 0M.40.20.05 ]</t>
  </si>
  <si>
    <t>[ 0M.40.30 ]</t>
  </si>
  <si>
    <t>[ 0M.40.30.01 ]</t>
  </si>
  <si>
    <t>[ 0M.40.30.01.01 ]</t>
  </si>
  <si>
    <t>[ 0M.40.30.01.02 ]</t>
  </si>
  <si>
    <t>[ 0M.40.30.01.03 ]</t>
  </si>
  <si>
    <t>[ 0M.40.30.01.04 ]</t>
  </si>
  <si>
    <t>[ 0M.40.30.01.05 ]</t>
  </si>
  <si>
    <t>[ 0M.40.30.01.06 ]</t>
  </si>
  <si>
    <t>[ 0M.40.30.01.07 ]</t>
  </si>
  <si>
    <t>[ 0M.40.30.01.08 ]</t>
  </si>
  <si>
    <t>[ 0M.40.30.01.09 ]</t>
  </si>
  <si>
    <t>[ 0M.40.30.01.10 ]</t>
  </si>
  <si>
    <t>[ 0M.40.30.01.11 ]</t>
  </si>
  <si>
    <t>[ 0M.40.40.01 ]</t>
  </si>
  <si>
    <t>[ 0M.40.40.01.01 ]</t>
  </si>
  <si>
    <t>[ 0M.40.40.01.02 ]</t>
  </si>
  <si>
    <t>[ 0M.40.10.01 ]</t>
  </si>
  <si>
    <t>[ 0M.40.10.03 ]</t>
  </si>
  <si>
    <t>[ 0M.40.10.05 ]</t>
  </si>
  <si>
    <t>[ 0M.40.10.07 ]</t>
  </si>
  <si>
    <t>[ 0M.20.50.03.01 ]</t>
  </si>
  <si>
    <t>[ 0M.20.50.03.02 ]</t>
  </si>
  <si>
    <t>[ 0M.30.10.01 ]</t>
  </si>
  <si>
    <t>[ 0M.30.10.01.01 ]</t>
  </si>
  <si>
    <t>[ 0M.30.10.01.02 ]</t>
  </si>
  <si>
    <t>[ 0M.30.10.01.03 ]</t>
  </si>
  <si>
    <t>[ 0M.30.10.01.04 ]</t>
  </si>
  <si>
    <t>[ 0M.30.10.01.05 ]</t>
  </si>
  <si>
    <t>[ 0M.30.10.01.06 ]</t>
  </si>
  <si>
    <t>[ 0M.30.10.03 ]</t>
  </si>
  <si>
    <t>[ 0M.30.10.03.01 ]</t>
  </si>
  <si>
    <t>[ 0M.30.40 ]</t>
  </si>
  <si>
    <t>[ 0M.30.40.01 ]</t>
  </si>
  <si>
    <t>[ 0M.30.50 ]</t>
  </si>
  <si>
    <t>[ 0M.30.50.01 ]</t>
  </si>
  <si>
    <t>[ 0M.30.20 ]</t>
  </si>
  <si>
    <t>[ 0M.30.20.01 ]</t>
  </si>
  <si>
    <t>[ 0M.30.20.03 ]</t>
  </si>
  <si>
    <t>[ 0M.30.20.05 ]</t>
  </si>
  <si>
    <t>[ 0M.30.60.01 ]</t>
  </si>
  <si>
    <t>[ 0M.30.60.03 ]</t>
  </si>
  <si>
    <t>[ 0M.30.60.05 ]</t>
  </si>
  <si>
    <t>[ 0M.20.20.01.01 ]</t>
  </si>
  <si>
    <t>[ 0M.20.20.01.03 ]</t>
  </si>
  <si>
    <t>[ 0M.20.20.01.05 ]</t>
  </si>
  <si>
    <t>[ 0M.20.20.03 ]</t>
  </si>
  <si>
    <t>[ 0M.20.20.05.03 ]</t>
  </si>
  <si>
    <t>[ 0M.20.20.05 ]</t>
  </si>
  <si>
    <t>[ 0M.20.20.01.07.01 ]</t>
  </si>
  <si>
    <t>[ 0M.20.20.01.07.02 ]</t>
  </si>
  <si>
    <t>[ 0M.20.20.01.07.03 ]</t>
  </si>
  <si>
    <t>[ 0M.20.20.01.07.04 ]</t>
  </si>
  <si>
    <t>[ 0M.20.20.05.01 ]</t>
  </si>
  <si>
    <t>[ 0M.20.20.07 ]</t>
  </si>
  <si>
    <t>[ 0M.20.20.07.01 ]</t>
  </si>
  <si>
    <t>[ 0M.20.20.07.01.01 ]</t>
  </si>
  <si>
    <t>[ 0M.20.20.07.03.01 ]</t>
  </si>
  <si>
    <t>[ 0M.20.20.09 ]</t>
  </si>
  <si>
    <t>[ 0M.20.20.09.01 ]</t>
  </si>
  <si>
    <t>[ 0M.20.20.09.01.01 ]</t>
  </si>
  <si>
    <t>[ 0M.20.10.05.01 ]</t>
  </si>
  <si>
    <t>[ 0M.20.10.05.09 ]</t>
  </si>
  <si>
    <t>[ 0M.20.10.05.11 ]</t>
  </si>
  <si>
    <t>[ 0M.20.10.01.50.05 ]</t>
  </si>
  <si>
    <t>[ 0M.20.10.09.01 ]</t>
  </si>
  <si>
    <t>[ 0M.20.10.09.03 ]</t>
  </si>
  <si>
    <t>[ 0M.20.10.09.05 ]</t>
  </si>
  <si>
    <t>[ 0M.20.10.09.07 ]</t>
  </si>
  <si>
    <t>[ 0M.20.10.01.50.01 ]</t>
  </si>
  <si>
    <t>[ 0M.20.10.11.03.01 ]</t>
  </si>
  <si>
    <t>[ 0M.20.10.11.03.02 ]</t>
  </si>
  <si>
    <t>[ 0M.20.10.11.03.03 ]</t>
  </si>
  <si>
    <t>[ 0M.20.10.11.03.04 ]</t>
  </si>
  <si>
    <t>[ 0M.20.10.01.01 ]</t>
  </si>
  <si>
    <t>[ 0M.20.10.01.03 ]</t>
  </si>
  <si>
    <t>[ 0M.20.10.01.05 ]</t>
  </si>
  <si>
    <t>[ 0M.20.10.01.07 ]</t>
  </si>
  <si>
    <t>[ 0M.20.10.01.09 ]</t>
  </si>
  <si>
    <t>[ 0M.20.10.01.11 ]</t>
  </si>
  <si>
    <t>[ 0M.20.10.01.13 ]</t>
  </si>
  <si>
    <t>[ 0M.20.10.01.15 ]</t>
  </si>
  <si>
    <t>[ 0M.20.10.01.17 ]</t>
  </si>
  <si>
    <t>[ 0M.20.10.01.19 ]</t>
  </si>
  <si>
    <t>[ 0M.20.10.01.50 ]</t>
  </si>
  <si>
    <t>[ 0M.20.10.01.50.03 ]</t>
  </si>
  <si>
    <t>[ 0M.20.10.01 ]</t>
  </si>
  <si>
    <t>[ 0M.20.60.11.01 ]</t>
  </si>
  <si>
    <t>[ 0M.20.60.11.02 ]</t>
  </si>
  <si>
    <t>[ 0M.30.30.01.01 ]</t>
  </si>
  <si>
    <t>[ 0M.30.30.01.04 ]</t>
  </si>
  <si>
    <t>[ 0M.30.30.01.02 ]</t>
  </si>
  <si>
    <t>[ 0M.30.30.01.03 ]</t>
  </si>
  <si>
    <t>[ 0M.30.30.03 ]</t>
  </si>
  <si>
    <t>[ 0M.20.10.03.03 ]</t>
  </si>
  <si>
    <t>[ 0M.20.10.03.05 ]</t>
  </si>
  <si>
    <t>[ 0M.20.10.03.07 ]</t>
  </si>
  <si>
    <t>[ 0M.20.10.03.09.03 ]</t>
  </si>
  <si>
    <t>[ 0M.20.10.07.01.01 ]</t>
  </si>
  <si>
    <t>[ 0M.20.10.07.01.02 ]</t>
  </si>
  <si>
    <t>[ 0M.20.10.07.03 ]</t>
  </si>
  <si>
    <t>[ 0M.20.10.07.03.01 ]</t>
  </si>
  <si>
    <t>[ 0M.20.10.05.03.01 ]</t>
  </si>
  <si>
    <t>[ 0M.20.10.05.03.01.01 ]</t>
  </si>
  <si>
    <t>[ 0M.20.10.05.03.01.02 ]</t>
  </si>
  <si>
    <t>[ 0M.20.10.05.03.03 ]</t>
  </si>
  <si>
    <t>[ 0M.20.10.05.03.03.01 ]</t>
  </si>
  <si>
    <t>[ 0M.20.10.05.03.03.02 ]</t>
  </si>
  <si>
    <t>[ 0M.20.10.05.03.03.03 ]</t>
  </si>
  <si>
    <t>[ 0M.20.10.05.03.05 ]</t>
  </si>
  <si>
    <t>[ 0M.20.10.05.03.07 ]</t>
  </si>
  <si>
    <t>[ 0M.20.10.05.03.09 ]</t>
  </si>
  <si>
    <t>[ 0M.20.10.05.03.11 ]</t>
  </si>
  <si>
    <t>[ 0M.20.10.05.05.01 ]</t>
  </si>
  <si>
    <t>[ 0M.20.10.05.05.02 ]</t>
  </si>
  <si>
    <t>[ 0M.20.10.05.05.03 ]</t>
  </si>
  <si>
    <t>[ 0M.20.10.05.05.04 ]</t>
  </si>
  <si>
    <t>[ 0M.20.10.05.05.05 ]</t>
  </si>
  <si>
    <t>[ 0M.20.10.05.07 ]</t>
  </si>
  <si>
    <t>[ 0M.20.60.09.03 ]</t>
  </si>
  <si>
    <t>[ 0M.20.60.09.04 ]</t>
  </si>
  <si>
    <t>[ 0M.20.60.07 ]</t>
  </si>
  <si>
    <t>[ 0M.20.60.07.01 ]</t>
  </si>
  <si>
    <t>[ 0M.20.60.07.02 ]</t>
  </si>
  <si>
    <t>[ 0M.20.60.07.03 ]</t>
  </si>
  <si>
    <t>[ 0M.20.60.07.04 ]</t>
  </si>
  <si>
    <t>[ 0M.20.60.07.05 ]</t>
  </si>
  <si>
    <t>[ 0M.20.60.07.06 ]</t>
  </si>
  <si>
    <t>[ 0M.20.60.07.07 ]</t>
  </si>
  <si>
    <t>[ 0M.20.60.07.08 ]</t>
  </si>
  <si>
    <t>[ 0M.20.60.07.09 ]</t>
  </si>
  <si>
    <t>[ 0M.20.60.07.10 ]</t>
  </si>
  <si>
    <t>[ 0M.20.60.07.11 ]</t>
  </si>
  <si>
    <t>[ 0M.20.60.07.12 ]</t>
  </si>
  <si>
    <t>[ 0M.20.60.07.13 ]</t>
  </si>
  <si>
    <t>[ 0M.20.60.07.14 ]</t>
  </si>
  <si>
    <t>[ 0M.20.60.07.15 ]</t>
  </si>
  <si>
    <t>[ 0M.20.60.07.16 ]</t>
  </si>
  <si>
    <t>[ 0M.20.60.07.17 ]</t>
  </si>
  <si>
    <t>[ 0M.20.60.07.18 ]</t>
  </si>
  <si>
    <t>[ 0M.20.60.07.19 ]</t>
  </si>
  <si>
    <t>[ 0M.20.60.07.20 ]</t>
  </si>
  <si>
    <t>[ 0M.20.60.07.21 ]</t>
  </si>
  <si>
    <t>[ 0M.20.60.01 ]</t>
  </si>
  <si>
    <t>[ 0M.20.60.03 ]</t>
  </si>
  <si>
    <t>[ 0M.20.60.05 ]</t>
  </si>
  <si>
    <t>[ 0M.20.30.03.01 ]</t>
  </si>
  <si>
    <t>[ 0M.20.30.03.01.01 ]</t>
  </si>
  <si>
    <t>[ 0M.20.30.03.01.01.01 ]</t>
  </si>
  <si>
    <t>[ 0M.20.30.03.01.01.02 ]</t>
  </si>
  <si>
    <t>[ 0M.20.30.03.01.01.03 ]</t>
  </si>
  <si>
    <t>[ 0M.20.30.03.01.01.04 ]</t>
  </si>
  <si>
    <t>[ 0M.20.30.03.01.01.05 ]</t>
  </si>
  <si>
    <t>[ 0M.20.30.03.01.01.06 ]</t>
  </si>
  <si>
    <t>[ 0M.20.30.03.01.01.07 ]</t>
  </si>
  <si>
    <t>[ 0M.20.30.03.01.01.08 ]</t>
  </si>
  <si>
    <t>[ 0M.20.30.03.01.01.09 ]</t>
  </si>
  <si>
    <t>[ 0M.20.30.03.01.01.10 ]</t>
  </si>
  <si>
    <t>[ 0M.20.30.03.01.03 ]</t>
  </si>
  <si>
    <t>[ 0M.20.30.03.01.03.01 ]</t>
  </si>
  <si>
    <t>[ 0M.20.30.03.01.03.02 ]</t>
  </si>
  <si>
    <t>[ 0M.20.30.03.01.03.03 ]</t>
  </si>
  <si>
    <t>[ 0M.20.30.03.01.03.04 ]</t>
  </si>
  <si>
    <t>[ 0M.20.30.03.01.03.05 ]</t>
  </si>
  <si>
    <t>[ 0M.20.30.03.01.03.06 ]</t>
  </si>
  <si>
    <t>[ 0M.20.30.03.01.03.07 ]</t>
  </si>
  <si>
    <t>[ 0M.20.30.03.01.03.08 ]</t>
  </si>
  <si>
    <t>[ 0M.20.30.03.01.03.09 ]</t>
  </si>
  <si>
    <t>[ 0M.20.30.03.01.03.10 ]</t>
  </si>
  <si>
    <t>[ 0M.20.30.03.01.03.11 ]</t>
  </si>
  <si>
    <t>[ 0M.20.30.03.01.03.12 ]</t>
  </si>
  <si>
    <t>[ 0M.20.30.03.01.03.13 ]</t>
  </si>
  <si>
    <t>[ 0M.20.30.03.01.03.14 ]</t>
  </si>
  <si>
    <t>[ 0M.20.40.03 ]</t>
  </si>
  <si>
    <t>[ 0M.20.40.05 ]</t>
  </si>
  <si>
    <t>[ 0M.20.40.07 ]</t>
  </si>
  <si>
    <t>[ 0M.20.30.05.01 ]</t>
  </si>
  <si>
    <t>[ 0M.20.30.05.02 ]</t>
  </si>
  <si>
    <t>[ 0M.20.30.05.03 ]</t>
  </si>
  <si>
    <t>[ 0M.20.30.05.04 ]</t>
  </si>
  <si>
    <t>[ 0M.20.30.05.05 ]</t>
  </si>
  <si>
    <t>[ 0M.20.30.01.01 ]</t>
  </si>
  <si>
    <t>[ 0M.20.30.01.03 ]</t>
  </si>
  <si>
    <t>[ 0M.20.30.01.05 ]</t>
  </si>
  <si>
    <t>[ 0M.20.10.11.01.01 ]</t>
  </si>
  <si>
    <t>[ 0M.20.10.11.01.02 ]</t>
  </si>
  <si>
    <t>[ 0M ]</t>
  </si>
  <si>
    <t>código.abnt</t>
  </si>
  <si>
    <t>"[ 0M.20.10.05 ]"</t>
  </si>
  <si>
    <t>"[ 0M.20.10.03.09 ]"</t>
  </si>
  <si>
    <t>"[ 0M.20.30.03.01 ]"</t>
  </si>
  <si>
    <t>"[ 0M.20.10.11.01 ]"</t>
  </si>
  <si>
    <t>"[ 0M.20.60.07 ]"</t>
  </si>
  <si>
    <t>Interdisciplinar</t>
  </si>
  <si>
    <t>Projeto_A</t>
  </si>
  <si>
    <t>Mat.Projeto_A</t>
  </si>
  <si>
    <t>Conceitos</t>
  </si>
  <si>
    <t>Materialidades</t>
  </si>
  <si>
    <t>Materiais.de.Borrachas</t>
  </si>
  <si>
    <t>Materiais.de.Animais</t>
  </si>
  <si>
    <t>Materiais.Cerâmicos</t>
  </si>
  <si>
    <t>Materiais.de.Aditivos</t>
  </si>
  <si>
    <t>Materiais.de.Insumos</t>
  </si>
  <si>
    <t>Materiais.de.Insetos</t>
  </si>
  <si>
    <t>Materiais.Líquidos</t>
  </si>
  <si>
    <t>Materiais.Metálicos</t>
  </si>
  <si>
    <t>Materiais.Minerais</t>
  </si>
  <si>
    <t>Materiais.Pétreos</t>
  </si>
  <si>
    <t>Materiais.Petroquímicos</t>
  </si>
  <si>
    <t>Matérias.Primas</t>
  </si>
  <si>
    <t>Materiais.Sintéticos</t>
  </si>
  <si>
    <t>Materiais.Vegetais</t>
  </si>
  <si>
    <t>Materiais.Vítreos</t>
  </si>
  <si>
    <t>Projeto</t>
  </si>
  <si>
    <t>"Projeto A"</t>
  </si>
  <si>
    <t>"Materiais usados no Projeto A"</t>
  </si>
  <si>
    <t>"Cimentos usados no Projeto A"</t>
  </si>
  <si>
    <t>"Cerâmicas usadas no Projeto A"</t>
  </si>
  <si>
    <t>"Madeiras usadas no Projeto A"</t>
  </si>
  <si>
    <t>"Vidros usados no Projeto A"</t>
  </si>
  <si>
    <t>"Plásticos usados no Projeto A"</t>
  </si>
  <si>
    <t>Catalogação</t>
  </si>
  <si>
    <t>Material.Catalogado</t>
  </si>
  <si>
    <t>Materiais.Catalogados</t>
  </si>
  <si>
    <t>Catálogos.de.Materiais</t>
  </si>
  <si>
    <t>Material Catalogado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</si>
</sst>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8"/>
      <name val="Calibri"/>
      <family val="2"/>
      <scheme val="minor"/>
    </font>
    <font>
      <sz val="6"/>
      <name val="Arial Nova Cond"/>
      <family val="2"/>
    </font>
    <font>
      <b/>
      <sz val="6"/>
      <name val="Arial Nova Cond"/>
      <family val="2"/>
    </font>
    <font>
      <i/>
      <sz val="6"/>
      <name val="Arial Nova Cond"/>
      <family val="2"/>
    </font>
    <font>
      <sz val="8"/>
      <color theme="1"/>
      <name val="Arial Nova Cond"/>
      <family val="2"/>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sz val="6"/>
      <color rgb="FF000000"/>
      <name val="Arial Nova Cond Light"/>
      <family val="2"/>
    </font>
    <font>
      <sz val="6"/>
      <name val="Arial Nova Cond Light"/>
      <family val="2"/>
    </font>
    <font>
      <b/>
      <i/>
      <sz val="6"/>
      <name val="Arial Nova Cond Light"/>
      <family val="2"/>
    </font>
    <font>
      <b/>
      <sz val="5"/>
      <color rgb="FF000000"/>
      <name val="Arial Nova Cond Light"/>
      <family val="2"/>
    </font>
    <font>
      <sz val="8"/>
      <color theme="1"/>
      <name val="Arial Nova Cond Light"/>
      <family val="2"/>
    </font>
  </fonts>
  <fills count="25">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99FF"/>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rgb="FFFFC000"/>
        <bgColor rgb="FFFF9900"/>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2"/>
        <bgColor indexed="64"/>
      </patternFill>
    </fill>
    <fill>
      <patternFill patternType="solid">
        <fgColor rgb="FFFFC000"/>
        <bgColor rgb="FFD9F2D0"/>
      </patternFill>
    </fill>
    <fill>
      <patternFill patternType="solid">
        <fgColor theme="7" tint="0.59999389629810485"/>
        <bgColor rgb="FFD9F2D0"/>
      </patternFill>
    </fill>
    <fill>
      <patternFill patternType="solid">
        <fgColor rgb="FFFFCCFF"/>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79998168889431442"/>
        <bgColor rgb="FFFEF2CB"/>
      </patternFill>
    </fill>
    <fill>
      <patternFill patternType="solid">
        <fgColor theme="5" tint="0.79998168889431442"/>
        <bgColor rgb="FFD9F2D0"/>
      </patternFill>
    </fill>
    <fill>
      <patternFill patternType="solid">
        <fgColor rgb="FFFBE79D"/>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auto="1"/>
      </right>
      <top style="thin">
        <color auto="1"/>
      </top>
      <bottom style="thin">
        <color auto="1"/>
      </bottom>
      <diagonal/>
    </border>
  </borders>
  <cellStyleXfs count="1">
    <xf numFmtId="0" fontId="0" fillId="0" borderId="0"/>
  </cellStyleXfs>
  <cellXfs count="65">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xf>
    <xf numFmtId="0" fontId="2" fillId="3" borderId="1" xfId="0" applyFont="1" applyFill="1" applyBorder="1" applyAlignment="1">
      <alignment vertical="center"/>
    </xf>
    <xf numFmtId="0" fontId="2" fillId="0" borderId="0" xfId="0" applyFont="1"/>
    <xf numFmtId="0" fontId="5" fillId="0" borderId="0" xfId="0" applyFont="1" applyAlignment="1">
      <alignment vertical="center"/>
    </xf>
    <xf numFmtId="0" fontId="6" fillId="10" borderId="1" xfId="0" applyFont="1" applyFill="1" applyBorder="1" applyAlignment="1">
      <alignment horizontal="left" vertical="center"/>
    </xf>
    <xf numFmtId="0" fontId="7" fillId="0" borderId="1" xfId="0" applyFont="1" applyBorder="1" applyAlignment="1">
      <alignment horizontal="left" vertical="center"/>
    </xf>
    <xf numFmtId="0" fontId="8" fillId="9" borderId="1" xfId="0" applyFont="1" applyFill="1" applyBorder="1" applyAlignment="1">
      <alignment vertical="center"/>
    </xf>
    <xf numFmtId="0" fontId="7" fillId="0" borderId="1" xfId="0" applyFont="1" applyBorder="1" applyAlignment="1">
      <alignment vertical="center"/>
    </xf>
    <xf numFmtId="0" fontId="7" fillId="0" borderId="1" xfId="0" applyFont="1" applyBorder="1" applyAlignment="1">
      <alignment vertical="center" wrapText="1"/>
    </xf>
    <xf numFmtId="0" fontId="9" fillId="11" borderId="1" xfId="0" applyFont="1" applyFill="1" applyBorder="1" applyAlignment="1">
      <alignment horizontal="center" vertical="center" wrapText="1"/>
    </xf>
    <xf numFmtId="0" fontId="11" fillId="13" borderId="3" xfId="0" applyFont="1" applyFill="1" applyBorder="1" applyAlignment="1">
      <alignment horizontal="center" vertical="center" wrapText="1"/>
    </xf>
    <xf numFmtId="0" fontId="11" fillId="13" borderId="3" xfId="0" applyFont="1" applyFill="1" applyBorder="1" applyAlignment="1">
      <alignment horizontal="left" vertical="center" wrapText="1"/>
    </xf>
    <xf numFmtId="0" fontId="11" fillId="12" borderId="3" xfId="0" applyFont="1" applyFill="1" applyBorder="1" applyAlignment="1">
      <alignment horizontal="left" vertical="center" wrapText="1"/>
    </xf>
    <xf numFmtId="0" fontId="11" fillId="12" borderId="2" xfId="0" applyFont="1" applyFill="1" applyBorder="1" applyAlignment="1">
      <alignment horizontal="left" vertical="center" wrapText="1"/>
    </xf>
    <xf numFmtId="0" fontId="6" fillId="6" borderId="1" xfId="0" applyFont="1" applyFill="1" applyBorder="1" applyAlignment="1">
      <alignment horizontal="left" vertical="center"/>
    </xf>
    <xf numFmtId="0" fontId="13" fillId="11" borderId="1" xfId="0" applyFont="1" applyFill="1" applyBorder="1" applyAlignment="1">
      <alignment horizontal="center" vertical="center" wrapText="1"/>
    </xf>
    <xf numFmtId="0" fontId="13" fillId="11"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6" fillId="10" borderId="1" xfId="0" applyFont="1" applyFill="1" applyBorder="1" applyAlignment="1">
      <alignment horizontal="center" vertical="center"/>
    </xf>
    <xf numFmtId="0" fontId="8" fillId="14" borderId="1" xfId="0" applyFont="1" applyFill="1" applyBorder="1" applyAlignment="1">
      <alignment horizontal="left" vertical="center"/>
    </xf>
    <xf numFmtId="0" fontId="8" fillId="15" borderId="1" xfId="0" applyFont="1" applyFill="1" applyBorder="1" applyAlignment="1">
      <alignment horizontal="left" vertical="center"/>
    </xf>
    <xf numFmtId="0" fontId="12" fillId="8" borderId="1" xfId="0" applyFont="1" applyFill="1" applyBorder="1" applyAlignment="1">
      <alignment horizontal="left" vertical="center"/>
    </xf>
    <xf numFmtId="0" fontId="7" fillId="5" borderId="1" xfId="0" applyFont="1" applyFill="1" applyBorder="1" applyAlignment="1">
      <alignment vertical="center"/>
    </xf>
    <xf numFmtId="0" fontId="12" fillId="4" borderId="1" xfId="0" applyFont="1" applyFill="1" applyBorder="1" applyAlignment="1">
      <alignment horizontal="left" vertical="center"/>
    </xf>
    <xf numFmtId="0" fontId="7" fillId="0" borderId="0" xfId="0" applyFont="1"/>
    <xf numFmtId="0" fontId="12" fillId="16" borderId="1" xfId="0" applyFont="1" applyFill="1" applyBorder="1" applyAlignment="1">
      <alignment horizontal="center" vertical="center"/>
    </xf>
    <xf numFmtId="2" fontId="12" fillId="8" borderId="1" xfId="0" applyNumberFormat="1" applyFont="1" applyFill="1" applyBorder="1" applyAlignment="1">
      <alignment horizontal="left" vertical="center"/>
    </xf>
    <xf numFmtId="0" fontId="7" fillId="7" borderId="1" xfId="0" applyFont="1" applyFill="1" applyBorder="1" applyAlignment="1">
      <alignment horizontal="left" vertical="center"/>
    </xf>
    <xf numFmtId="1" fontId="12" fillId="8" borderId="1" xfId="0" applyNumberFormat="1" applyFont="1" applyFill="1" applyBorder="1" applyAlignment="1">
      <alignment horizontal="left" vertical="center"/>
    </xf>
    <xf numFmtId="0" fontId="8" fillId="17" borderId="1" xfId="0" applyFont="1" applyFill="1" applyBorder="1" applyAlignment="1">
      <alignment horizontal="left" vertical="center" wrapText="1"/>
    </xf>
    <xf numFmtId="0" fontId="8" fillId="18" borderId="1" xfId="0" applyFont="1" applyFill="1" applyBorder="1" applyAlignment="1">
      <alignment horizontal="left" vertical="center" wrapText="1"/>
    </xf>
    <xf numFmtId="0" fontId="12" fillId="4" borderId="1" xfId="0" applyFont="1" applyFill="1" applyBorder="1" applyAlignment="1">
      <alignment vertical="center"/>
    </xf>
    <xf numFmtId="0" fontId="7" fillId="19" borderId="1" xfId="0" applyFont="1" applyFill="1" applyBorder="1" applyAlignment="1">
      <alignment horizontal="left" vertical="center"/>
    </xf>
    <xf numFmtId="2" fontId="6" fillId="6" borderId="1" xfId="0" applyNumberFormat="1" applyFont="1" applyFill="1" applyBorder="1" applyAlignment="1">
      <alignment horizontal="center" vertical="center"/>
    </xf>
    <xf numFmtId="0" fontId="6" fillId="6" borderId="1" xfId="0" applyFont="1" applyFill="1" applyBorder="1" applyAlignment="1">
      <alignment vertical="center"/>
    </xf>
    <xf numFmtId="0" fontId="7" fillId="0" borderId="1" xfId="0" applyFont="1" applyBorder="1"/>
    <xf numFmtId="22" fontId="12" fillId="20" borderId="1" xfId="0" applyNumberFormat="1" applyFont="1" applyFill="1" applyBorder="1" applyAlignment="1">
      <alignment horizontal="left" vertical="center"/>
    </xf>
    <xf numFmtId="0" fontId="7" fillId="0" borderId="1" xfId="0" applyFont="1" applyBorder="1" applyAlignment="1">
      <alignment horizontal="left" vertical="center" wrapText="1"/>
    </xf>
    <xf numFmtId="0" fontId="6" fillId="6" borderId="3" xfId="0" applyFont="1" applyFill="1" applyBorder="1" applyAlignment="1">
      <alignment vertical="center"/>
    </xf>
    <xf numFmtId="0" fontId="6" fillId="6" borderId="4" xfId="0" applyFont="1" applyFill="1" applyBorder="1" applyAlignment="1">
      <alignment horizontal="left" vertical="center"/>
    </xf>
    <xf numFmtId="0" fontId="12" fillId="19" borderId="1" xfId="0" applyFont="1" applyFill="1" applyBorder="1" applyAlignment="1">
      <alignment horizontal="left" vertical="center" wrapText="1"/>
    </xf>
    <xf numFmtId="2" fontId="6" fillId="6" borderId="1" xfId="0" applyNumberFormat="1" applyFont="1" applyFill="1" applyBorder="1" applyAlignment="1">
      <alignment horizontal="left" vertical="center"/>
    </xf>
    <xf numFmtId="0" fontId="14" fillId="12" borderId="1" xfId="0" applyFont="1" applyFill="1" applyBorder="1" applyAlignment="1">
      <alignment horizontal="left" vertical="center" wrapText="1"/>
    </xf>
    <xf numFmtId="0" fontId="7" fillId="0" borderId="1" xfId="0" applyFont="1" applyBorder="1" applyAlignment="1">
      <alignment horizontal="center" vertical="center"/>
    </xf>
    <xf numFmtId="0" fontId="15" fillId="0" borderId="0" xfId="0" applyFont="1" applyAlignment="1">
      <alignment vertical="center"/>
    </xf>
    <xf numFmtId="0" fontId="12" fillId="21" borderId="1" xfId="0" applyFont="1" applyFill="1" applyBorder="1" applyAlignment="1">
      <alignment vertical="center"/>
    </xf>
    <xf numFmtId="0" fontId="7" fillId="15" borderId="1" xfId="0" applyFont="1" applyFill="1" applyBorder="1" applyAlignment="1">
      <alignment horizontal="left" vertical="center"/>
    </xf>
    <xf numFmtId="0" fontId="7" fillId="0" borderId="0" xfId="0" applyFont="1" applyAlignment="1">
      <alignment horizontal="left" vertical="center"/>
    </xf>
    <xf numFmtId="0" fontId="0" fillId="0" borderId="0" xfId="0" applyAlignment="1">
      <alignment vertical="center"/>
    </xf>
    <xf numFmtId="0" fontId="7" fillId="5" borderId="1" xfId="0" applyFont="1" applyFill="1" applyBorder="1" applyAlignment="1">
      <alignment horizontal="left" vertical="center"/>
    </xf>
    <xf numFmtId="0" fontId="0" fillId="0" borderId="0" xfId="0" applyAlignment="1">
      <alignment horizontal="left"/>
    </xf>
    <xf numFmtId="0" fontId="8" fillId="2" borderId="1" xfId="0" applyFont="1" applyFill="1" applyBorder="1" applyAlignment="1">
      <alignment horizontal="right" vertical="center"/>
    </xf>
    <xf numFmtId="0" fontId="8" fillId="24" borderId="1" xfId="0" applyFont="1" applyFill="1" applyBorder="1" applyAlignment="1">
      <alignment horizontal="left" vertical="center"/>
    </xf>
    <xf numFmtId="0" fontId="12" fillId="13" borderId="1" xfId="0" applyFont="1" applyFill="1" applyBorder="1" applyAlignment="1">
      <alignment horizontal="left" vertical="center"/>
    </xf>
    <xf numFmtId="0" fontId="8" fillId="23" borderId="1" xfId="0" applyFont="1" applyFill="1" applyBorder="1" applyAlignment="1">
      <alignment horizontal="left" vertical="center"/>
    </xf>
    <xf numFmtId="0" fontId="10" fillId="13" borderId="3" xfId="0" applyFont="1" applyFill="1" applyBorder="1" applyAlignment="1">
      <alignment horizontal="left" vertical="center" wrapText="1"/>
    </xf>
    <xf numFmtId="0" fontId="11" fillId="13" borderId="2" xfId="0" applyFont="1" applyFill="1" applyBorder="1" applyAlignment="1">
      <alignment horizontal="left" vertical="center" wrapText="1"/>
    </xf>
    <xf numFmtId="0" fontId="0" fillId="0" borderId="0" xfId="0" applyAlignment="1">
      <alignment horizontal="left" vertical="center"/>
    </xf>
    <xf numFmtId="0" fontId="7" fillId="5" borderId="1" xfId="0" applyFont="1" applyFill="1" applyBorder="1" applyAlignment="1">
      <alignment horizontal="left" vertical="center" wrapText="1"/>
    </xf>
    <xf numFmtId="0" fontId="12" fillId="22" borderId="1" xfId="0" applyFont="1" applyFill="1" applyBorder="1" applyAlignment="1">
      <alignment horizontal="left" vertical="center"/>
    </xf>
    <xf numFmtId="0" fontId="15" fillId="0" borderId="0" xfId="0" applyFont="1" applyAlignment="1">
      <alignment horizontal="left"/>
    </xf>
  </cellXfs>
  <cellStyles count="1">
    <cellStyle name="Normal" xfId="0" builtinId="0"/>
  </cellStyles>
  <dxfs count="16">
    <dxf>
      <font>
        <b val="0"/>
        <i/>
        <strike val="0"/>
        <color theme="0" tint="-0.499984740745262"/>
      </font>
    </dxf>
    <dxf>
      <font>
        <b val="0"/>
        <i/>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rgb="FFFFFFFF"/>
      </font>
    </dxf>
    <dxf>
      <font>
        <b val="0"/>
        <i/>
        <strike val="0"/>
        <color theme="0"/>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color rgb="FF9C0006"/>
      </font>
      <fill>
        <patternFill>
          <bgColor rgb="FFFFC7CE"/>
        </patternFill>
      </fill>
    </dxf>
    <dxf>
      <font>
        <b val="0"/>
        <i/>
        <color theme="0" tint="-0.499984740745262"/>
      </font>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13C-8B96-43A0-BB50-A45AC26373E3}">
  <sheetPr codeName="Planilha1"/>
  <dimension ref="A1:C27"/>
  <sheetViews>
    <sheetView zoomScale="220" zoomScaleNormal="220" workbookViewId="0">
      <pane ySplit="1" topLeftCell="A2" activePane="bottomLeft" state="frozen"/>
      <selection activeCell="C18" sqref="C18"/>
      <selection pane="bottomLeft" sqref="A1:XFD1"/>
    </sheetView>
  </sheetViews>
  <sheetFormatPr defaultColWidth="3.28515625" defaultRowHeight="7.9" customHeight="1" x14ac:dyDescent="0.25"/>
  <cols>
    <col min="1" max="1" width="10" style="6" customWidth="1"/>
    <col min="2" max="2" width="25.85546875" style="6" bestFit="1" customWidth="1"/>
    <col min="3" max="3" width="3.42578125" style="48" bestFit="1" customWidth="1"/>
    <col min="4" max="16384" width="3.28515625" style="6"/>
  </cols>
  <sheetData>
    <row r="1" spans="1:3" ht="14.65" customHeight="1" x14ac:dyDescent="0.25">
      <c r="A1" s="7" t="s">
        <v>35</v>
      </c>
      <c r="B1" s="7" t="s">
        <v>34</v>
      </c>
      <c r="C1" s="22" t="s">
        <v>87</v>
      </c>
    </row>
    <row r="2" spans="1:3" ht="7.9" customHeight="1" x14ac:dyDescent="0.25">
      <c r="A2" s="8" t="s">
        <v>44</v>
      </c>
      <c r="B2" s="8" t="s">
        <v>60</v>
      </c>
      <c r="C2" s="47" t="s">
        <v>88</v>
      </c>
    </row>
    <row r="3" spans="1:3" ht="7.9" customHeight="1" x14ac:dyDescent="0.25">
      <c r="A3" s="8" t="s">
        <v>45</v>
      </c>
      <c r="B3" s="9" t="s">
        <v>96</v>
      </c>
      <c r="C3" s="47" t="s">
        <v>88</v>
      </c>
    </row>
    <row r="4" spans="1:3" ht="7.9" customHeight="1" x14ac:dyDescent="0.25">
      <c r="A4" s="8" t="s">
        <v>36</v>
      </c>
      <c r="B4" s="8" t="s">
        <v>46</v>
      </c>
      <c r="C4" s="47" t="s">
        <v>88</v>
      </c>
    </row>
    <row r="5" spans="1:3" ht="7.9" customHeight="1" x14ac:dyDescent="0.25">
      <c r="A5" s="8" t="s">
        <v>37</v>
      </c>
      <c r="B5" s="8" t="str">
        <f>_xlfn.CONCAT(B4,"Prop")</f>
        <v>BIMProp</v>
      </c>
      <c r="C5" s="47" t="s">
        <v>88</v>
      </c>
    </row>
    <row r="6" spans="1:3" ht="7.9" customHeight="1" x14ac:dyDescent="0.25">
      <c r="A6" s="8" t="s">
        <v>38</v>
      </c>
      <c r="B6" s="8" t="str">
        <f>_xlfn.CONCAT(B4,"Data")</f>
        <v>BIMData</v>
      </c>
      <c r="C6" s="47" t="s">
        <v>88</v>
      </c>
    </row>
    <row r="7" spans="1:3" ht="7.9" customHeight="1" x14ac:dyDescent="0.25">
      <c r="A7" s="8" t="s">
        <v>39</v>
      </c>
      <c r="B7" s="8" t="s">
        <v>47</v>
      </c>
      <c r="C7" s="47" t="s">
        <v>88</v>
      </c>
    </row>
    <row r="8" spans="1:3" ht="7.9" customHeight="1" x14ac:dyDescent="0.25">
      <c r="A8" s="8" t="s">
        <v>40</v>
      </c>
      <c r="B8" s="8" t="s">
        <v>86</v>
      </c>
      <c r="C8" s="47" t="s">
        <v>88</v>
      </c>
    </row>
    <row r="9" spans="1:3" ht="7.9" customHeight="1" x14ac:dyDescent="0.25">
      <c r="A9" s="8" t="s">
        <v>48</v>
      </c>
      <c r="B9" s="8" t="s">
        <v>49</v>
      </c>
      <c r="C9" s="47" t="s">
        <v>88</v>
      </c>
    </row>
    <row r="10" spans="1:3" ht="7.9" customHeight="1" x14ac:dyDescent="0.25">
      <c r="A10" s="8" t="s">
        <v>50</v>
      </c>
      <c r="B10" s="8" t="s">
        <v>23</v>
      </c>
      <c r="C10" s="47" t="s">
        <v>88</v>
      </c>
    </row>
    <row r="11" spans="1:3" ht="7.9" customHeight="1" x14ac:dyDescent="0.25">
      <c r="A11" s="8" t="s">
        <v>41</v>
      </c>
      <c r="B11" s="8" t="s">
        <v>23</v>
      </c>
      <c r="C11" s="47" t="s">
        <v>88</v>
      </c>
    </row>
    <row r="12" spans="1:3" ht="7.9" customHeight="1" x14ac:dyDescent="0.25">
      <c r="A12" s="8" t="s">
        <v>42</v>
      </c>
      <c r="B12" s="8" t="s">
        <v>23</v>
      </c>
      <c r="C12" s="47" t="s">
        <v>88</v>
      </c>
    </row>
    <row r="13" spans="1:3" ht="7.9" customHeight="1" x14ac:dyDescent="0.25">
      <c r="A13" s="8" t="s">
        <v>51</v>
      </c>
      <c r="B13" s="8" t="s">
        <v>23</v>
      </c>
      <c r="C13" s="47" t="s">
        <v>88</v>
      </c>
    </row>
    <row r="14" spans="1:3" ht="7.9" customHeight="1" x14ac:dyDescent="0.25">
      <c r="A14" s="8" t="s">
        <v>52</v>
      </c>
      <c r="B14" s="8" t="s">
        <v>23</v>
      </c>
      <c r="C14" s="47" t="s">
        <v>88</v>
      </c>
    </row>
    <row r="15" spans="1:3" ht="7.9" customHeight="1" x14ac:dyDescent="0.25">
      <c r="A15" s="8" t="s">
        <v>53</v>
      </c>
      <c r="B15" s="8" t="s">
        <v>23</v>
      </c>
      <c r="C15" s="47" t="s">
        <v>88</v>
      </c>
    </row>
    <row r="16" spans="1:3" ht="7.9" customHeight="1" x14ac:dyDescent="0.25">
      <c r="A16" s="8" t="s">
        <v>54</v>
      </c>
      <c r="B16" s="8" t="s">
        <v>23</v>
      </c>
      <c r="C16" s="47" t="s">
        <v>88</v>
      </c>
    </row>
    <row r="17" spans="1:3" ht="7.9" customHeight="1" x14ac:dyDescent="0.25">
      <c r="A17" s="8" t="s">
        <v>43</v>
      </c>
      <c r="B17" s="10" t="s">
        <v>97</v>
      </c>
      <c r="C17" s="47" t="s">
        <v>88</v>
      </c>
    </row>
    <row r="18" spans="1:3" ht="7.9" customHeight="1" x14ac:dyDescent="0.25">
      <c r="A18" s="8" t="s">
        <v>55</v>
      </c>
      <c r="B18" s="40">
        <f ca="1">NOW()</f>
        <v>46244.661578472223</v>
      </c>
      <c r="C18" s="47" t="s">
        <v>88</v>
      </c>
    </row>
    <row r="19" spans="1:3" ht="7.9" customHeight="1" x14ac:dyDescent="0.15">
      <c r="A19" s="8" t="s">
        <v>80</v>
      </c>
      <c r="B19" s="39" t="s">
        <v>23</v>
      </c>
      <c r="C19" s="47" t="s">
        <v>88</v>
      </c>
    </row>
    <row r="20" spans="1:3" ht="7.9" customHeight="1" x14ac:dyDescent="0.25">
      <c r="A20" s="8" t="s">
        <v>94</v>
      </c>
      <c r="B20" s="41" t="s">
        <v>366</v>
      </c>
      <c r="C20" s="47" t="s">
        <v>88</v>
      </c>
    </row>
    <row r="21" spans="1:3" ht="7.9" customHeight="1" x14ac:dyDescent="0.25">
      <c r="A21" s="8" t="s">
        <v>91</v>
      </c>
      <c r="B21" s="41" t="str">
        <f xml:space="preserve"> _xlfn.TRANSLATE(B20,"pt","es")</f>
        <v>La lista de materiales considera la norma ABNT 15965, tabla 0M</v>
      </c>
      <c r="C21" s="47" t="s">
        <v>89</v>
      </c>
    </row>
    <row r="22" spans="1:3" ht="7.9" customHeight="1" x14ac:dyDescent="0.25">
      <c r="A22" s="8" t="s">
        <v>95</v>
      </c>
      <c r="B22" s="41" t="str">
        <f xml:space="preserve"> _xlfn.TRANSLATE(B20,"pt","en")</f>
        <v>The list of materials considers the ABNT 15965 standard, table 0M</v>
      </c>
      <c r="C22" s="47" t="s">
        <v>90</v>
      </c>
    </row>
    <row r="23" spans="1:3" ht="7.9" customHeight="1" x14ac:dyDescent="0.25">
      <c r="A23" s="8" t="s">
        <v>56</v>
      </c>
      <c r="B23" s="8" t="s">
        <v>23</v>
      </c>
      <c r="C23" s="47" t="s">
        <v>88</v>
      </c>
    </row>
    <row r="24" spans="1:3" ht="7.9" customHeight="1" x14ac:dyDescent="0.25">
      <c r="A24" s="8" t="s">
        <v>57</v>
      </c>
      <c r="B24" s="8" t="s">
        <v>23</v>
      </c>
      <c r="C24" s="47" t="s">
        <v>88</v>
      </c>
    </row>
    <row r="25" spans="1:3" ht="7.9" customHeight="1" x14ac:dyDescent="0.25">
      <c r="A25" s="10" t="s">
        <v>58</v>
      </c>
      <c r="B25" s="11" t="s">
        <v>98</v>
      </c>
      <c r="C25" s="47" t="s">
        <v>88</v>
      </c>
    </row>
    <row r="26" spans="1:3" ht="7.9" customHeight="1" x14ac:dyDescent="0.25">
      <c r="A26" s="10" t="s">
        <v>59</v>
      </c>
      <c r="B26" s="11" t="str">
        <f>_xlfn.TRANSLATE(B25,"pt","es")</f>
        <v>Formalizar los conceptos de materialidad.</v>
      </c>
      <c r="C26" s="47" t="s">
        <v>89</v>
      </c>
    </row>
    <row r="27" spans="1:3" ht="7.9" customHeight="1" x14ac:dyDescent="0.25">
      <c r="A27" s="10" t="s">
        <v>85</v>
      </c>
      <c r="B27" s="11" t="str">
        <f>_xlfn.TRANSLATE(B25,"pt","en")</f>
        <v>Formalize concepts of materiality.</v>
      </c>
      <c r="C27" s="47" t="s">
        <v>90</v>
      </c>
    </row>
  </sheetData>
  <phoneticPr fontId="1" type="noConversion"/>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EFDB4-A2AF-4159-99A7-D6958B699B1B}">
  <sheetPr codeName="Planilha2"/>
  <dimension ref="A1:AA287"/>
  <sheetViews>
    <sheetView tabSelected="1" zoomScale="250" zoomScaleNormal="250" workbookViewId="0">
      <selection activeCell="Q287" sqref="Q287"/>
    </sheetView>
  </sheetViews>
  <sheetFormatPr defaultColWidth="14" defaultRowHeight="6.75" customHeight="1" x14ac:dyDescent="0.25"/>
  <cols>
    <col min="1" max="1" width="3.140625" style="52" bestFit="1" customWidth="1"/>
    <col min="2" max="2" width="5.85546875" style="61" bestFit="1" customWidth="1"/>
    <col min="3" max="3" width="7.140625" style="61" customWidth="1"/>
    <col min="4" max="4" width="11.28515625" style="61" customWidth="1"/>
    <col min="5" max="5" width="10.42578125" style="61" customWidth="1"/>
    <col min="6" max="6" width="23.7109375" style="61" bestFit="1" customWidth="1"/>
    <col min="7" max="11" width="8.5703125" style="61" bestFit="1" customWidth="1"/>
    <col min="12" max="12" width="8.140625" style="61" bestFit="1" customWidth="1"/>
    <col min="13" max="13" width="12.140625" style="61" bestFit="1" customWidth="1"/>
    <col min="14" max="14" width="12.7109375" style="61" bestFit="1" customWidth="1"/>
    <col min="15" max="15" width="23.7109375" style="61" bestFit="1" customWidth="1"/>
    <col min="16" max="16" width="142.28515625" style="61" bestFit="1" customWidth="1"/>
    <col min="17" max="17" width="146.140625" style="61" bestFit="1" customWidth="1"/>
    <col min="18" max="18" width="3.7109375" style="61" bestFit="1" customWidth="1"/>
    <col min="19" max="19" width="8.140625" style="61" bestFit="1" customWidth="1"/>
    <col min="20" max="20" width="12.140625" style="61" bestFit="1" customWidth="1"/>
    <col min="21" max="21" width="12.7109375" style="61" bestFit="1" customWidth="1"/>
    <col min="22" max="23" width="8.5703125" style="61" bestFit="1" customWidth="1"/>
    <col min="24" max="24" width="9.7109375" style="61" bestFit="1" customWidth="1"/>
    <col min="25" max="25" width="8" style="61" bestFit="1" customWidth="1"/>
    <col min="26" max="26" width="14.42578125" style="61" bestFit="1" customWidth="1"/>
    <col min="27" max="27" width="131.7109375" style="61" bestFit="1" customWidth="1"/>
    <col min="28" max="16384" width="14" style="61"/>
  </cols>
  <sheetData>
    <row r="1" spans="1:27" ht="48.75" customHeight="1" x14ac:dyDescent="0.25">
      <c r="A1" s="13">
        <v>1</v>
      </c>
      <c r="B1" s="14" t="s">
        <v>64</v>
      </c>
      <c r="C1" s="14" t="s">
        <v>65</v>
      </c>
      <c r="D1" s="14" t="s">
        <v>66</v>
      </c>
      <c r="E1" s="14" t="s">
        <v>67</v>
      </c>
      <c r="F1" s="14" t="s">
        <v>68</v>
      </c>
      <c r="G1" s="59" t="s">
        <v>24</v>
      </c>
      <c r="H1" s="59" t="s">
        <v>25</v>
      </c>
      <c r="I1" s="59" t="s">
        <v>26</v>
      </c>
      <c r="J1" s="59" t="s">
        <v>27</v>
      </c>
      <c r="K1" s="59" t="s">
        <v>28</v>
      </c>
      <c r="L1" s="15" t="s">
        <v>31</v>
      </c>
      <c r="M1" s="15" t="s">
        <v>32</v>
      </c>
      <c r="N1" s="15" t="s">
        <v>30</v>
      </c>
      <c r="O1" s="15" t="s">
        <v>29</v>
      </c>
      <c r="P1" s="15" t="s">
        <v>69</v>
      </c>
      <c r="Q1" s="15" t="s">
        <v>70</v>
      </c>
      <c r="R1" s="15" t="s">
        <v>71</v>
      </c>
      <c r="S1" s="15" t="s">
        <v>61</v>
      </c>
      <c r="T1" s="15" t="s">
        <v>72</v>
      </c>
      <c r="U1" s="16" t="s">
        <v>63</v>
      </c>
      <c r="V1" s="15" t="s">
        <v>62</v>
      </c>
      <c r="W1" s="60" t="s">
        <v>0</v>
      </c>
      <c r="X1" s="16" t="s">
        <v>76</v>
      </c>
      <c r="Y1" s="15" t="s">
        <v>75</v>
      </c>
      <c r="Z1" s="15" t="s">
        <v>83</v>
      </c>
      <c r="AA1" s="46" t="s">
        <v>84</v>
      </c>
    </row>
    <row r="2" spans="1:27" ht="6.75" customHeight="1" x14ac:dyDescent="0.25">
      <c r="A2" s="55">
        <v>2</v>
      </c>
      <c r="B2" s="56" t="s">
        <v>838</v>
      </c>
      <c r="C2" s="53" t="s">
        <v>839</v>
      </c>
      <c r="D2" s="62" t="s">
        <v>123</v>
      </c>
      <c r="E2" s="62" t="s">
        <v>180</v>
      </c>
      <c r="F2" s="53" t="s">
        <v>459</v>
      </c>
      <c r="G2" s="57" t="s">
        <v>1</v>
      </c>
      <c r="H2" s="57" t="s">
        <v>1</v>
      </c>
      <c r="I2" s="57" t="s">
        <v>1</v>
      </c>
      <c r="J2" s="57" t="s">
        <v>1</v>
      </c>
      <c r="K2" s="57" t="s">
        <v>1</v>
      </c>
      <c r="L2" s="23" t="str">
        <f t="shared" ref="L2:L64" si="0">SUBSTITUTE(CONCATENATE("", C2), ".", " ")</f>
        <v>Materialidades</v>
      </c>
      <c r="M2" s="23" t="str">
        <f t="shared" ref="M2:M64" si="1">SUBSTITUTE(CONCATENATE("", D2), ".", " ")</f>
        <v>Elementos Químicos</v>
      </c>
      <c r="N2" s="23" t="str">
        <f t="shared" ref="N2:N64" si="2">SUBSTITUTE(CONCATENATE("", E2), ".", " ")</f>
        <v>EQ Sólidos</v>
      </c>
      <c r="O2" s="23" t="str">
        <f t="shared" ref="O2:O64" si="3">SUBSTITUTE(CONCATENATE("", F2), ".", " ")</f>
        <v>Carbono</v>
      </c>
      <c r="P2" s="50" t="s">
        <v>459</v>
      </c>
      <c r="Q2" s="50" t="str">
        <f t="shared" ref="Q2:Q64" si="4">_xlfn.TRANSLATE(P2,"pt","es")</f>
        <v>Carbono</v>
      </c>
      <c r="R2" s="24" t="s">
        <v>1</v>
      </c>
      <c r="S2" s="24" t="str">
        <f t="shared" ref="S2:S64" si="5">SUBSTITUTE(C2, ".", " ")</f>
        <v>Materialidades</v>
      </c>
      <c r="T2" s="24" t="str">
        <f t="shared" ref="T2:T64" si="6">SUBSTITUTE(D2, ".", " ")</f>
        <v>Elementos Químicos</v>
      </c>
      <c r="U2" s="24" t="str">
        <f t="shared" ref="U2:U64" si="7">SUBSTITUTE(E2, ".", " ")</f>
        <v>EQ Sólidos</v>
      </c>
      <c r="V2" s="24" t="s">
        <v>835</v>
      </c>
      <c r="W2" s="58" t="str">
        <f t="shared" ref="W2:W64" si="8">CONCATENATE("Key-MAT-",A2)</f>
        <v>Key-MAT-2</v>
      </c>
      <c r="X2" s="24" t="s">
        <v>586</v>
      </c>
      <c r="Y2" s="24" t="s">
        <v>587</v>
      </c>
      <c r="Z2" s="63" t="s">
        <v>588</v>
      </c>
      <c r="AA2" s="24" t="str">
        <f t="shared" ref="AA2:AA28" si="9">_xlfn.TRANSLATE(P2,"pt","en")</f>
        <v>Carbon</v>
      </c>
    </row>
    <row r="3" spans="1:27" ht="6.75" customHeight="1" x14ac:dyDescent="0.25">
      <c r="A3" s="55">
        <v>3</v>
      </c>
      <c r="B3" s="56" t="s">
        <v>838</v>
      </c>
      <c r="C3" s="53" t="s">
        <v>839</v>
      </c>
      <c r="D3" s="62" t="s">
        <v>123</v>
      </c>
      <c r="E3" s="62" t="s">
        <v>180</v>
      </c>
      <c r="F3" s="53" t="s">
        <v>460</v>
      </c>
      <c r="G3" s="57" t="s">
        <v>1</v>
      </c>
      <c r="H3" s="57" t="s">
        <v>1</v>
      </c>
      <c r="I3" s="57" t="s">
        <v>1</v>
      </c>
      <c r="J3" s="57" t="s">
        <v>1</v>
      </c>
      <c r="K3" s="57" t="s">
        <v>1</v>
      </c>
      <c r="L3" s="23" t="str">
        <f t="shared" si="0"/>
        <v>Materialidades</v>
      </c>
      <c r="M3" s="23" t="str">
        <f t="shared" si="1"/>
        <v>Elementos Químicos</v>
      </c>
      <c r="N3" s="23" t="str">
        <f t="shared" si="2"/>
        <v>EQ Sólidos</v>
      </c>
      <c r="O3" s="23" t="str">
        <f t="shared" si="3"/>
        <v>Silício</v>
      </c>
      <c r="P3" s="50" t="s">
        <v>460</v>
      </c>
      <c r="Q3" s="50" t="str">
        <f t="shared" si="4"/>
        <v>Silicio</v>
      </c>
      <c r="R3" s="24" t="s">
        <v>1</v>
      </c>
      <c r="S3" s="24" t="str">
        <f t="shared" si="5"/>
        <v>Materialidades</v>
      </c>
      <c r="T3" s="24" t="str">
        <f t="shared" si="6"/>
        <v>Elementos Químicos</v>
      </c>
      <c r="U3" s="24" t="str">
        <f t="shared" si="7"/>
        <v>EQ Sólidos</v>
      </c>
      <c r="V3" s="24" t="s">
        <v>835</v>
      </c>
      <c r="W3" s="58" t="str">
        <f t="shared" si="8"/>
        <v>Key-MAT-3</v>
      </c>
      <c r="X3" s="24" t="s">
        <v>586</v>
      </c>
      <c r="Y3" s="24" t="s">
        <v>587</v>
      </c>
      <c r="Z3" s="63" t="s">
        <v>589</v>
      </c>
      <c r="AA3" s="24" t="str">
        <f t="shared" si="9"/>
        <v>Silicon</v>
      </c>
    </row>
    <row r="4" spans="1:27" ht="6.75" customHeight="1" x14ac:dyDescent="0.25">
      <c r="A4" s="55">
        <v>4</v>
      </c>
      <c r="B4" s="56" t="s">
        <v>838</v>
      </c>
      <c r="C4" s="53" t="s">
        <v>839</v>
      </c>
      <c r="D4" s="62" t="s">
        <v>123</v>
      </c>
      <c r="E4" s="62" t="s">
        <v>180</v>
      </c>
      <c r="F4" s="53" t="s">
        <v>461</v>
      </c>
      <c r="G4" s="57" t="s">
        <v>1</v>
      </c>
      <c r="H4" s="57" t="s">
        <v>1</v>
      </c>
      <c r="I4" s="57" t="s">
        <v>1</v>
      </c>
      <c r="J4" s="57" t="s">
        <v>1</v>
      </c>
      <c r="K4" s="57" t="s">
        <v>1</v>
      </c>
      <c r="L4" s="23" t="str">
        <f t="shared" si="0"/>
        <v>Materialidades</v>
      </c>
      <c r="M4" s="23" t="str">
        <f t="shared" si="1"/>
        <v>Elementos Químicos</v>
      </c>
      <c r="N4" s="23" t="str">
        <f t="shared" si="2"/>
        <v>EQ Sólidos</v>
      </c>
      <c r="O4" s="23" t="str">
        <f t="shared" si="3"/>
        <v>Fósforo</v>
      </c>
      <c r="P4" s="50" t="s">
        <v>461</v>
      </c>
      <c r="Q4" s="50" t="str">
        <f t="shared" si="4"/>
        <v>Fósforo</v>
      </c>
      <c r="R4" s="24" t="s">
        <v>1</v>
      </c>
      <c r="S4" s="24" t="str">
        <f t="shared" si="5"/>
        <v>Materialidades</v>
      </c>
      <c r="T4" s="24" t="str">
        <f t="shared" si="6"/>
        <v>Elementos Químicos</v>
      </c>
      <c r="U4" s="24" t="str">
        <f t="shared" si="7"/>
        <v>EQ Sólidos</v>
      </c>
      <c r="V4" s="24" t="s">
        <v>835</v>
      </c>
      <c r="W4" s="58" t="str">
        <f t="shared" si="8"/>
        <v>Key-MAT-4</v>
      </c>
      <c r="X4" s="24" t="s">
        <v>586</v>
      </c>
      <c r="Y4" s="24" t="s">
        <v>587</v>
      </c>
      <c r="Z4" s="63" t="s">
        <v>590</v>
      </c>
      <c r="AA4" s="24" t="str">
        <f t="shared" si="9"/>
        <v>Phosphorus</v>
      </c>
    </row>
    <row r="5" spans="1:27" ht="6.75" customHeight="1" x14ac:dyDescent="0.25">
      <c r="A5" s="55">
        <v>5</v>
      </c>
      <c r="B5" s="56" t="s">
        <v>838</v>
      </c>
      <c r="C5" s="53" t="s">
        <v>839</v>
      </c>
      <c r="D5" s="62" t="s">
        <v>123</v>
      </c>
      <c r="E5" s="62" t="s">
        <v>180</v>
      </c>
      <c r="F5" s="53" t="s">
        <v>462</v>
      </c>
      <c r="G5" s="57" t="s">
        <v>1</v>
      </c>
      <c r="H5" s="57" t="s">
        <v>1</v>
      </c>
      <c r="I5" s="57" t="s">
        <v>1</v>
      </c>
      <c r="J5" s="57" t="s">
        <v>1</v>
      </c>
      <c r="K5" s="57" t="s">
        <v>1</v>
      </c>
      <c r="L5" s="23" t="str">
        <f t="shared" si="0"/>
        <v>Materialidades</v>
      </c>
      <c r="M5" s="23" t="str">
        <f t="shared" si="1"/>
        <v>Elementos Químicos</v>
      </c>
      <c r="N5" s="23" t="str">
        <f t="shared" si="2"/>
        <v>EQ Sólidos</v>
      </c>
      <c r="O5" s="23" t="str">
        <f t="shared" si="3"/>
        <v>Enxofre</v>
      </c>
      <c r="P5" s="50" t="s">
        <v>462</v>
      </c>
      <c r="Q5" s="50" t="str">
        <f t="shared" si="4"/>
        <v>Sulfuro</v>
      </c>
      <c r="R5" s="24" t="s">
        <v>1</v>
      </c>
      <c r="S5" s="24" t="str">
        <f t="shared" si="5"/>
        <v>Materialidades</v>
      </c>
      <c r="T5" s="24" t="str">
        <f t="shared" si="6"/>
        <v>Elementos Químicos</v>
      </c>
      <c r="U5" s="24" t="str">
        <f t="shared" si="7"/>
        <v>EQ Sólidos</v>
      </c>
      <c r="V5" s="24" t="s">
        <v>835</v>
      </c>
      <c r="W5" s="58" t="str">
        <f t="shared" si="8"/>
        <v>Key-MAT-5</v>
      </c>
      <c r="X5" s="24" t="s">
        <v>586</v>
      </c>
      <c r="Y5" s="24" t="s">
        <v>587</v>
      </c>
      <c r="Z5" s="63" t="s">
        <v>591</v>
      </c>
      <c r="AA5" s="24" t="str">
        <f t="shared" si="9"/>
        <v>Sulfur</v>
      </c>
    </row>
    <row r="6" spans="1:27" ht="6.75" customHeight="1" x14ac:dyDescent="0.25">
      <c r="A6" s="55">
        <v>6</v>
      </c>
      <c r="B6" s="56" t="s">
        <v>838</v>
      </c>
      <c r="C6" s="53" t="s">
        <v>839</v>
      </c>
      <c r="D6" s="62" t="s">
        <v>123</v>
      </c>
      <c r="E6" s="62" t="s">
        <v>180</v>
      </c>
      <c r="F6" s="53" t="s">
        <v>463</v>
      </c>
      <c r="G6" s="57" t="s">
        <v>1</v>
      </c>
      <c r="H6" s="57" t="s">
        <v>1</v>
      </c>
      <c r="I6" s="57" t="s">
        <v>1</v>
      </c>
      <c r="J6" s="57" t="s">
        <v>1</v>
      </c>
      <c r="K6" s="57" t="s">
        <v>1</v>
      </c>
      <c r="L6" s="23" t="str">
        <f t="shared" si="0"/>
        <v>Materialidades</v>
      </c>
      <c r="M6" s="23" t="str">
        <f t="shared" si="1"/>
        <v>Elementos Químicos</v>
      </c>
      <c r="N6" s="23" t="str">
        <f t="shared" si="2"/>
        <v>EQ Sólidos</v>
      </c>
      <c r="O6" s="23" t="str">
        <f t="shared" si="3"/>
        <v>Cálcio</v>
      </c>
      <c r="P6" s="50" t="s">
        <v>463</v>
      </c>
      <c r="Q6" s="50" t="str">
        <f t="shared" si="4"/>
        <v>Calcio</v>
      </c>
      <c r="R6" s="24" t="s">
        <v>1</v>
      </c>
      <c r="S6" s="24" t="str">
        <f t="shared" si="5"/>
        <v>Materialidades</v>
      </c>
      <c r="T6" s="24" t="str">
        <f t="shared" si="6"/>
        <v>Elementos Químicos</v>
      </c>
      <c r="U6" s="24" t="str">
        <f t="shared" si="7"/>
        <v>EQ Sólidos</v>
      </c>
      <c r="V6" s="24" t="s">
        <v>835</v>
      </c>
      <c r="W6" s="58" t="str">
        <f t="shared" si="8"/>
        <v>Key-MAT-6</v>
      </c>
      <c r="X6" s="24" t="s">
        <v>586</v>
      </c>
      <c r="Y6" s="24" t="s">
        <v>587</v>
      </c>
      <c r="Z6" s="63" t="s">
        <v>592</v>
      </c>
      <c r="AA6" s="24" t="str">
        <f t="shared" si="9"/>
        <v>Calcium</v>
      </c>
    </row>
    <row r="7" spans="1:27" ht="6.75" customHeight="1" x14ac:dyDescent="0.25">
      <c r="A7" s="55">
        <v>7</v>
      </c>
      <c r="B7" s="56" t="s">
        <v>838</v>
      </c>
      <c r="C7" s="53" t="s">
        <v>839</v>
      </c>
      <c r="D7" s="62" t="s">
        <v>123</v>
      </c>
      <c r="E7" s="62" t="s">
        <v>180</v>
      </c>
      <c r="F7" s="53" t="s">
        <v>464</v>
      </c>
      <c r="G7" s="57" t="s">
        <v>1</v>
      </c>
      <c r="H7" s="57" t="s">
        <v>1</v>
      </c>
      <c r="I7" s="57" t="s">
        <v>1</v>
      </c>
      <c r="J7" s="57" t="s">
        <v>1</v>
      </c>
      <c r="K7" s="57" t="s">
        <v>1</v>
      </c>
      <c r="L7" s="23" t="str">
        <f t="shared" si="0"/>
        <v>Materialidades</v>
      </c>
      <c r="M7" s="23" t="str">
        <f t="shared" si="1"/>
        <v>Elementos Químicos</v>
      </c>
      <c r="N7" s="23" t="str">
        <f t="shared" si="2"/>
        <v>EQ Sólidos</v>
      </c>
      <c r="O7" s="23" t="str">
        <f t="shared" si="3"/>
        <v>Iodo</v>
      </c>
      <c r="P7" s="50" t="s">
        <v>464</v>
      </c>
      <c r="Q7" s="50" t="str">
        <f t="shared" si="4"/>
        <v>Yodo</v>
      </c>
      <c r="R7" s="24" t="s">
        <v>1</v>
      </c>
      <c r="S7" s="24" t="str">
        <f t="shared" si="5"/>
        <v>Materialidades</v>
      </c>
      <c r="T7" s="24" t="str">
        <f t="shared" si="6"/>
        <v>Elementos Químicos</v>
      </c>
      <c r="U7" s="24" t="str">
        <f t="shared" si="7"/>
        <v>EQ Sólidos</v>
      </c>
      <c r="V7" s="24" t="s">
        <v>835</v>
      </c>
      <c r="W7" s="58" t="str">
        <f t="shared" si="8"/>
        <v>Key-MAT-7</v>
      </c>
      <c r="X7" s="24" t="s">
        <v>586</v>
      </c>
      <c r="Y7" s="24" t="s">
        <v>587</v>
      </c>
      <c r="Z7" s="63" t="s">
        <v>593</v>
      </c>
      <c r="AA7" s="24" t="str">
        <f t="shared" si="9"/>
        <v>Iodine</v>
      </c>
    </row>
    <row r="8" spans="1:27" ht="6.75" customHeight="1" x14ac:dyDescent="0.25">
      <c r="A8" s="55">
        <v>8</v>
      </c>
      <c r="B8" s="56" t="s">
        <v>838</v>
      </c>
      <c r="C8" s="53" t="s">
        <v>839</v>
      </c>
      <c r="D8" s="62" t="s">
        <v>123</v>
      </c>
      <c r="E8" s="62" t="s">
        <v>180</v>
      </c>
      <c r="F8" s="53" t="s">
        <v>465</v>
      </c>
      <c r="G8" s="57" t="s">
        <v>1</v>
      </c>
      <c r="H8" s="57" t="s">
        <v>1</v>
      </c>
      <c r="I8" s="57" t="s">
        <v>1</v>
      </c>
      <c r="J8" s="57" t="s">
        <v>1</v>
      </c>
      <c r="K8" s="57" t="s">
        <v>1</v>
      </c>
      <c r="L8" s="23" t="str">
        <f t="shared" si="0"/>
        <v>Materialidades</v>
      </c>
      <c r="M8" s="23" t="str">
        <f t="shared" si="1"/>
        <v>Elementos Químicos</v>
      </c>
      <c r="N8" s="23" t="str">
        <f t="shared" si="2"/>
        <v>EQ Sólidos</v>
      </c>
      <c r="O8" s="23" t="str">
        <f t="shared" si="3"/>
        <v>Boro</v>
      </c>
      <c r="P8" s="50" t="s">
        <v>465</v>
      </c>
      <c r="Q8" s="50" t="str">
        <f t="shared" si="4"/>
        <v>Boro</v>
      </c>
      <c r="R8" s="24" t="s">
        <v>1</v>
      </c>
      <c r="S8" s="24" t="str">
        <f t="shared" si="5"/>
        <v>Materialidades</v>
      </c>
      <c r="T8" s="24" t="str">
        <f t="shared" si="6"/>
        <v>Elementos Químicos</v>
      </c>
      <c r="U8" s="24" t="str">
        <f t="shared" si="7"/>
        <v>EQ Sólidos</v>
      </c>
      <c r="V8" s="24" t="s">
        <v>835</v>
      </c>
      <c r="W8" s="58" t="str">
        <f t="shared" si="8"/>
        <v>Key-MAT-8</v>
      </c>
      <c r="X8" s="24" t="s">
        <v>586</v>
      </c>
      <c r="Y8" s="24" t="s">
        <v>587</v>
      </c>
      <c r="Z8" s="63" t="s">
        <v>594</v>
      </c>
      <c r="AA8" s="24" t="str">
        <f t="shared" si="9"/>
        <v>Boron</v>
      </c>
    </row>
    <row r="9" spans="1:27" ht="6.75" customHeight="1" x14ac:dyDescent="0.25">
      <c r="A9" s="55">
        <v>9</v>
      </c>
      <c r="B9" s="56" t="s">
        <v>838</v>
      </c>
      <c r="C9" s="53" t="s">
        <v>839</v>
      </c>
      <c r="D9" s="62" t="s">
        <v>123</v>
      </c>
      <c r="E9" s="62" t="s">
        <v>180</v>
      </c>
      <c r="F9" s="53" t="s">
        <v>466</v>
      </c>
      <c r="G9" s="57" t="s">
        <v>1</v>
      </c>
      <c r="H9" s="57" t="s">
        <v>1</v>
      </c>
      <c r="I9" s="57" t="s">
        <v>1</v>
      </c>
      <c r="J9" s="57" t="s">
        <v>1</v>
      </c>
      <c r="K9" s="57" t="s">
        <v>1</v>
      </c>
      <c r="L9" s="23" t="str">
        <f t="shared" si="0"/>
        <v>Materialidades</v>
      </c>
      <c r="M9" s="23" t="str">
        <f t="shared" si="1"/>
        <v>Elementos Químicos</v>
      </c>
      <c r="N9" s="23" t="str">
        <f t="shared" si="2"/>
        <v>EQ Sólidos</v>
      </c>
      <c r="O9" s="23" t="str">
        <f t="shared" si="3"/>
        <v>Magnêsio</v>
      </c>
      <c r="P9" s="50" t="s">
        <v>466</v>
      </c>
      <c r="Q9" s="50" t="str">
        <f t="shared" si="4"/>
        <v>Magnesius</v>
      </c>
      <c r="R9" s="24" t="s">
        <v>1</v>
      </c>
      <c r="S9" s="24" t="str">
        <f t="shared" si="5"/>
        <v>Materialidades</v>
      </c>
      <c r="T9" s="24" t="str">
        <f t="shared" si="6"/>
        <v>Elementos Químicos</v>
      </c>
      <c r="U9" s="24" t="str">
        <f t="shared" si="7"/>
        <v>EQ Sólidos</v>
      </c>
      <c r="V9" s="24" t="s">
        <v>835</v>
      </c>
      <c r="W9" s="58" t="str">
        <f t="shared" si="8"/>
        <v>Key-MAT-9</v>
      </c>
      <c r="X9" s="24" t="s">
        <v>586</v>
      </c>
      <c r="Y9" s="24" t="s">
        <v>587</v>
      </c>
      <c r="Z9" s="63" t="s">
        <v>595</v>
      </c>
      <c r="AA9" s="24" t="str">
        <f t="shared" si="9"/>
        <v>Magnesius</v>
      </c>
    </row>
    <row r="10" spans="1:27" ht="6.75" customHeight="1" x14ac:dyDescent="0.25">
      <c r="A10" s="55">
        <v>10</v>
      </c>
      <c r="B10" s="56" t="s">
        <v>838</v>
      </c>
      <c r="C10" s="53" t="s">
        <v>839</v>
      </c>
      <c r="D10" s="62" t="s">
        <v>123</v>
      </c>
      <c r="E10" s="62" t="s">
        <v>180</v>
      </c>
      <c r="F10" s="53" t="s">
        <v>467</v>
      </c>
      <c r="G10" s="57" t="s">
        <v>1</v>
      </c>
      <c r="H10" s="57" t="s">
        <v>1</v>
      </c>
      <c r="I10" s="57" t="s">
        <v>1</v>
      </c>
      <c r="J10" s="57" t="s">
        <v>1</v>
      </c>
      <c r="K10" s="57" t="s">
        <v>1</v>
      </c>
      <c r="L10" s="23" t="str">
        <f t="shared" si="0"/>
        <v>Materialidades</v>
      </c>
      <c r="M10" s="23" t="str">
        <f t="shared" si="1"/>
        <v>Elementos Químicos</v>
      </c>
      <c r="N10" s="23" t="str">
        <f t="shared" si="2"/>
        <v>EQ Sólidos</v>
      </c>
      <c r="O10" s="23" t="str">
        <f t="shared" si="3"/>
        <v>Aluminio</v>
      </c>
      <c r="P10" s="50" t="s">
        <v>467</v>
      </c>
      <c r="Q10" s="50" t="str">
        <f t="shared" si="4"/>
        <v>Aluminio</v>
      </c>
      <c r="R10" s="24" t="s">
        <v>1</v>
      </c>
      <c r="S10" s="24" t="str">
        <f t="shared" si="5"/>
        <v>Materialidades</v>
      </c>
      <c r="T10" s="24" t="str">
        <f t="shared" si="6"/>
        <v>Elementos Químicos</v>
      </c>
      <c r="U10" s="24" t="str">
        <f t="shared" si="7"/>
        <v>EQ Sólidos</v>
      </c>
      <c r="V10" s="24" t="s">
        <v>835</v>
      </c>
      <c r="W10" s="58" t="str">
        <f t="shared" si="8"/>
        <v>Key-MAT-10</v>
      </c>
      <c r="X10" s="24" t="s">
        <v>586</v>
      </c>
      <c r="Y10" s="24" t="s">
        <v>587</v>
      </c>
      <c r="Z10" s="63" t="s">
        <v>596</v>
      </c>
      <c r="AA10" s="24" t="str">
        <f t="shared" si="9"/>
        <v>Aluminum</v>
      </c>
    </row>
    <row r="11" spans="1:27" ht="6.75" customHeight="1" x14ac:dyDescent="0.25">
      <c r="A11" s="55">
        <v>11</v>
      </c>
      <c r="B11" s="56" t="s">
        <v>838</v>
      </c>
      <c r="C11" s="53" t="s">
        <v>839</v>
      </c>
      <c r="D11" s="62" t="s">
        <v>123</v>
      </c>
      <c r="E11" s="62" t="s">
        <v>180</v>
      </c>
      <c r="F11" s="53" t="s">
        <v>468</v>
      </c>
      <c r="G11" s="57" t="s">
        <v>1</v>
      </c>
      <c r="H11" s="57" t="s">
        <v>1</v>
      </c>
      <c r="I11" s="57" t="s">
        <v>1</v>
      </c>
      <c r="J11" s="57" t="s">
        <v>1</v>
      </c>
      <c r="K11" s="57" t="s">
        <v>1</v>
      </c>
      <c r="L11" s="23" t="str">
        <f t="shared" si="0"/>
        <v>Materialidades</v>
      </c>
      <c r="M11" s="23" t="str">
        <f t="shared" si="1"/>
        <v>Elementos Químicos</v>
      </c>
      <c r="N11" s="23" t="str">
        <f t="shared" si="2"/>
        <v>EQ Sólidos</v>
      </c>
      <c r="O11" s="23" t="str">
        <f t="shared" si="3"/>
        <v>Potássio</v>
      </c>
      <c r="P11" s="50" t="s">
        <v>468</v>
      </c>
      <c r="Q11" s="50" t="str">
        <f t="shared" si="4"/>
        <v>Potasio</v>
      </c>
      <c r="R11" s="24" t="s">
        <v>1</v>
      </c>
      <c r="S11" s="24" t="str">
        <f t="shared" si="5"/>
        <v>Materialidades</v>
      </c>
      <c r="T11" s="24" t="str">
        <f t="shared" si="6"/>
        <v>Elementos Químicos</v>
      </c>
      <c r="U11" s="24" t="str">
        <f t="shared" si="7"/>
        <v>EQ Sólidos</v>
      </c>
      <c r="V11" s="24" t="s">
        <v>835</v>
      </c>
      <c r="W11" s="58" t="str">
        <f t="shared" si="8"/>
        <v>Key-MAT-11</v>
      </c>
      <c r="X11" s="24" t="s">
        <v>586</v>
      </c>
      <c r="Y11" s="24" t="s">
        <v>587</v>
      </c>
      <c r="Z11" s="63" t="s">
        <v>597</v>
      </c>
      <c r="AA11" s="24" t="str">
        <f t="shared" si="9"/>
        <v>Potassium</v>
      </c>
    </row>
    <row r="12" spans="1:27" ht="6.75" customHeight="1" x14ac:dyDescent="0.25">
      <c r="A12" s="55">
        <v>12</v>
      </c>
      <c r="B12" s="56" t="s">
        <v>838</v>
      </c>
      <c r="C12" s="53" t="s">
        <v>839</v>
      </c>
      <c r="D12" s="62" t="s">
        <v>123</v>
      </c>
      <c r="E12" s="62" t="s">
        <v>180</v>
      </c>
      <c r="F12" s="53" t="s">
        <v>469</v>
      </c>
      <c r="G12" s="57" t="s">
        <v>1</v>
      </c>
      <c r="H12" s="57" t="s">
        <v>1</v>
      </c>
      <c r="I12" s="57" t="s">
        <v>1</v>
      </c>
      <c r="J12" s="57" t="s">
        <v>1</v>
      </c>
      <c r="K12" s="57" t="s">
        <v>1</v>
      </c>
      <c r="L12" s="23" t="str">
        <f t="shared" si="0"/>
        <v>Materialidades</v>
      </c>
      <c r="M12" s="23" t="str">
        <f t="shared" si="1"/>
        <v>Elementos Químicos</v>
      </c>
      <c r="N12" s="23" t="str">
        <f t="shared" si="2"/>
        <v>EQ Sólidos</v>
      </c>
      <c r="O12" s="23" t="str">
        <f t="shared" si="3"/>
        <v>Titânio</v>
      </c>
      <c r="P12" s="50" t="s">
        <v>469</v>
      </c>
      <c r="Q12" s="50" t="str">
        <f t="shared" si="4"/>
        <v>Titanio</v>
      </c>
      <c r="R12" s="24" t="s">
        <v>1</v>
      </c>
      <c r="S12" s="24" t="str">
        <f t="shared" si="5"/>
        <v>Materialidades</v>
      </c>
      <c r="T12" s="24" t="str">
        <f t="shared" si="6"/>
        <v>Elementos Químicos</v>
      </c>
      <c r="U12" s="24" t="str">
        <f t="shared" si="7"/>
        <v>EQ Sólidos</v>
      </c>
      <c r="V12" s="24" t="s">
        <v>835</v>
      </c>
      <c r="W12" s="58" t="str">
        <f t="shared" si="8"/>
        <v>Key-MAT-12</v>
      </c>
      <c r="X12" s="24" t="s">
        <v>586</v>
      </c>
      <c r="Y12" s="24" t="s">
        <v>587</v>
      </c>
      <c r="Z12" s="63" t="s">
        <v>598</v>
      </c>
      <c r="AA12" s="24" t="str">
        <f t="shared" si="9"/>
        <v>Titanium</v>
      </c>
    </row>
    <row r="13" spans="1:27" ht="6.75" customHeight="1" x14ac:dyDescent="0.25">
      <c r="A13" s="55">
        <v>13</v>
      </c>
      <c r="B13" s="56" t="s">
        <v>838</v>
      </c>
      <c r="C13" s="53" t="s">
        <v>839</v>
      </c>
      <c r="D13" s="62" t="s">
        <v>123</v>
      </c>
      <c r="E13" s="62" t="s">
        <v>180</v>
      </c>
      <c r="F13" s="53" t="s">
        <v>470</v>
      </c>
      <c r="G13" s="57" t="s">
        <v>1</v>
      </c>
      <c r="H13" s="57" t="s">
        <v>1</v>
      </c>
      <c r="I13" s="57" t="s">
        <v>1</v>
      </c>
      <c r="J13" s="57" t="s">
        <v>1</v>
      </c>
      <c r="K13" s="57" t="s">
        <v>1</v>
      </c>
      <c r="L13" s="23" t="str">
        <f t="shared" si="0"/>
        <v>Materialidades</v>
      </c>
      <c r="M13" s="23" t="str">
        <f t="shared" si="1"/>
        <v>Elementos Químicos</v>
      </c>
      <c r="N13" s="23" t="str">
        <f t="shared" si="2"/>
        <v>EQ Sólidos</v>
      </c>
      <c r="O13" s="23" t="str">
        <f t="shared" si="3"/>
        <v>Vanádio</v>
      </c>
      <c r="P13" s="50" t="s">
        <v>470</v>
      </c>
      <c r="Q13" s="50" t="str">
        <f t="shared" si="4"/>
        <v>Vanadio</v>
      </c>
      <c r="R13" s="24" t="s">
        <v>1</v>
      </c>
      <c r="S13" s="24" t="str">
        <f t="shared" si="5"/>
        <v>Materialidades</v>
      </c>
      <c r="T13" s="24" t="str">
        <f t="shared" si="6"/>
        <v>Elementos Químicos</v>
      </c>
      <c r="U13" s="24" t="str">
        <f t="shared" si="7"/>
        <v>EQ Sólidos</v>
      </c>
      <c r="V13" s="24" t="s">
        <v>835</v>
      </c>
      <c r="W13" s="58" t="str">
        <f t="shared" si="8"/>
        <v>Key-MAT-13</v>
      </c>
      <c r="X13" s="24" t="s">
        <v>586</v>
      </c>
      <c r="Y13" s="24" t="s">
        <v>587</v>
      </c>
      <c r="Z13" s="63" t="s">
        <v>599</v>
      </c>
      <c r="AA13" s="24" t="str">
        <f t="shared" si="9"/>
        <v>Vanadium</v>
      </c>
    </row>
    <row r="14" spans="1:27" ht="6.75" customHeight="1" x14ac:dyDescent="0.25">
      <c r="A14" s="55">
        <v>14</v>
      </c>
      <c r="B14" s="56" t="s">
        <v>838</v>
      </c>
      <c r="C14" s="53" t="s">
        <v>839</v>
      </c>
      <c r="D14" s="62" t="s">
        <v>123</v>
      </c>
      <c r="E14" s="62" t="s">
        <v>180</v>
      </c>
      <c r="F14" s="53" t="s">
        <v>471</v>
      </c>
      <c r="G14" s="57" t="s">
        <v>1</v>
      </c>
      <c r="H14" s="57" t="s">
        <v>1</v>
      </c>
      <c r="I14" s="57" t="s">
        <v>1</v>
      </c>
      <c r="J14" s="57" t="s">
        <v>1</v>
      </c>
      <c r="K14" s="57" t="s">
        <v>1</v>
      </c>
      <c r="L14" s="23" t="str">
        <f t="shared" si="0"/>
        <v>Materialidades</v>
      </c>
      <c r="M14" s="23" t="str">
        <f t="shared" si="1"/>
        <v>Elementos Químicos</v>
      </c>
      <c r="N14" s="23" t="str">
        <f t="shared" si="2"/>
        <v>EQ Sólidos</v>
      </c>
      <c r="O14" s="23" t="str">
        <f t="shared" si="3"/>
        <v>Crômio</v>
      </c>
      <c r="P14" s="50" t="s">
        <v>471</v>
      </c>
      <c r="Q14" s="50" t="str">
        <f t="shared" si="4"/>
        <v>Cromo</v>
      </c>
      <c r="R14" s="24" t="s">
        <v>1</v>
      </c>
      <c r="S14" s="24" t="str">
        <f t="shared" si="5"/>
        <v>Materialidades</v>
      </c>
      <c r="T14" s="24" t="str">
        <f t="shared" si="6"/>
        <v>Elementos Químicos</v>
      </c>
      <c r="U14" s="24" t="str">
        <f t="shared" si="7"/>
        <v>EQ Sólidos</v>
      </c>
      <c r="V14" s="24" t="s">
        <v>835</v>
      </c>
      <c r="W14" s="58" t="str">
        <f t="shared" si="8"/>
        <v>Key-MAT-14</v>
      </c>
      <c r="X14" s="24" t="s">
        <v>586</v>
      </c>
      <c r="Y14" s="24" t="s">
        <v>587</v>
      </c>
      <c r="Z14" s="63" t="s">
        <v>600</v>
      </c>
      <c r="AA14" s="24" t="str">
        <f t="shared" si="9"/>
        <v>Chromium</v>
      </c>
    </row>
    <row r="15" spans="1:27" ht="6.75" customHeight="1" x14ac:dyDescent="0.25">
      <c r="A15" s="55">
        <v>15</v>
      </c>
      <c r="B15" s="56" t="s">
        <v>838</v>
      </c>
      <c r="C15" s="53" t="s">
        <v>839</v>
      </c>
      <c r="D15" s="62" t="s">
        <v>123</v>
      </c>
      <c r="E15" s="62" t="s">
        <v>180</v>
      </c>
      <c r="F15" s="53" t="s">
        <v>472</v>
      </c>
      <c r="G15" s="57" t="s">
        <v>1</v>
      </c>
      <c r="H15" s="57" t="s">
        <v>1</v>
      </c>
      <c r="I15" s="57" t="s">
        <v>1</v>
      </c>
      <c r="J15" s="57" t="s">
        <v>1</v>
      </c>
      <c r="K15" s="57" t="s">
        <v>1</v>
      </c>
      <c r="L15" s="23" t="str">
        <f t="shared" si="0"/>
        <v>Materialidades</v>
      </c>
      <c r="M15" s="23" t="str">
        <f t="shared" si="1"/>
        <v>Elementos Químicos</v>
      </c>
      <c r="N15" s="23" t="str">
        <f t="shared" si="2"/>
        <v>EQ Sólidos</v>
      </c>
      <c r="O15" s="23" t="str">
        <f t="shared" si="3"/>
        <v>Manganês</v>
      </c>
      <c r="P15" s="50" t="s">
        <v>472</v>
      </c>
      <c r="Q15" s="50" t="str">
        <f t="shared" si="4"/>
        <v>Manganeso</v>
      </c>
      <c r="R15" s="24" t="s">
        <v>1</v>
      </c>
      <c r="S15" s="24" t="str">
        <f t="shared" si="5"/>
        <v>Materialidades</v>
      </c>
      <c r="T15" s="24" t="str">
        <f t="shared" si="6"/>
        <v>Elementos Químicos</v>
      </c>
      <c r="U15" s="24" t="str">
        <f t="shared" si="7"/>
        <v>EQ Sólidos</v>
      </c>
      <c r="V15" s="24" t="s">
        <v>835</v>
      </c>
      <c r="W15" s="58" t="str">
        <f t="shared" si="8"/>
        <v>Key-MAT-15</v>
      </c>
      <c r="X15" s="24" t="s">
        <v>586</v>
      </c>
      <c r="Y15" s="24" t="s">
        <v>587</v>
      </c>
      <c r="Z15" s="63" t="s">
        <v>601</v>
      </c>
      <c r="AA15" s="24" t="str">
        <f t="shared" si="9"/>
        <v>Manganese</v>
      </c>
    </row>
    <row r="16" spans="1:27" ht="6.75" customHeight="1" x14ac:dyDescent="0.25">
      <c r="A16" s="55">
        <v>16</v>
      </c>
      <c r="B16" s="56" t="s">
        <v>838</v>
      </c>
      <c r="C16" s="53" t="s">
        <v>839</v>
      </c>
      <c r="D16" s="62" t="s">
        <v>123</v>
      </c>
      <c r="E16" s="62" t="s">
        <v>180</v>
      </c>
      <c r="F16" s="53" t="s">
        <v>473</v>
      </c>
      <c r="G16" s="57" t="s">
        <v>1</v>
      </c>
      <c r="H16" s="57" t="s">
        <v>1</v>
      </c>
      <c r="I16" s="57" t="s">
        <v>1</v>
      </c>
      <c r="J16" s="57" t="s">
        <v>1</v>
      </c>
      <c r="K16" s="57" t="s">
        <v>1</v>
      </c>
      <c r="L16" s="23" t="str">
        <f t="shared" si="0"/>
        <v>Materialidades</v>
      </c>
      <c r="M16" s="23" t="str">
        <f t="shared" si="1"/>
        <v>Elementos Químicos</v>
      </c>
      <c r="N16" s="23" t="str">
        <f t="shared" si="2"/>
        <v>EQ Sólidos</v>
      </c>
      <c r="O16" s="23" t="str">
        <f t="shared" si="3"/>
        <v>Feno</v>
      </c>
      <c r="P16" s="50" t="s">
        <v>473</v>
      </c>
      <c r="Q16" s="50" t="str">
        <f t="shared" si="4"/>
        <v>Heno</v>
      </c>
      <c r="R16" s="24" t="s">
        <v>1</v>
      </c>
      <c r="S16" s="24" t="str">
        <f t="shared" si="5"/>
        <v>Materialidades</v>
      </c>
      <c r="T16" s="24" t="str">
        <f t="shared" si="6"/>
        <v>Elementos Químicos</v>
      </c>
      <c r="U16" s="24" t="str">
        <f t="shared" si="7"/>
        <v>EQ Sólidos</v>
      </c>
      <c r="V16" s="24" t="s">
        <v>835</v>
      </c>
      <c r="W16" s="58" t="str">
        <f t="shared" si="8"/>
        <v>Key-MAT-16</v>
      </c>
      <c r="X16" s="24" t="s">
        <v>586</v>
      </c>
      <c r="Y16" s="24" t="s">
        <v>587</v>
      </c>
      <c r="Z16" s="63" t="s">
        <v>602</v>
      </c>
      <c r="AA16" s="24" t="str">
        <f t="shared" si="9"/>
        <v>Hay</v>
      </c>
    </row>
    <row r="17" spans="1:27" ht="6.75" customHeight="1" x14ac:dyDescent="0.25">
      <c r="A17" s="55">
        <v>17</v>
      </c>
      <c r="B17" s="56" t="s">
        <v>838</v>
      </c>
      <c r="C17" s="53" t="s">
        <v>839</v>
      </c>
      <c r="D17" s="62" t="s">
        <v>123</v>
      </c>
      <c r="E17" s="62" t="s">
        <v>180</v>
      </c>
      <c r="F17" s="53" t="s">
        <v>474</v>
      </c>
      <c r="G17" s="57" t="s">
        <v>1</v>
      </c>
      <c r="H17" s="57" t="s">
        <v>1</v>
      </c>
      <c r="I17" s="57" t="s">
        <v>1</v>
      </c>
      <c r="J17" s="57" t="s">
        <v>1</v>
      </c>
      <c r="K17" s="57" t="s">
        <v>1</v>
      </c>
      <c r="L17" s="23" t="str">
        <f t="shared" si="0"/>
        <v>Materialidades</v>
      </c>
      <c r="M17" s="23" t="str">
        <f t="shared" si="1"/>
        <v>Elementos Químicos</v>
      </c>
      <c r="N17" s="23" t="str">
        <f t="shared" si="2"/>
        <v>EQ Sólidos</v>
      </c>
      <c r="O17" s="23" t="str">
        <f t="shared" si="3"/>
        <v>Cobalto</v>
      </c>
      <c r="P17" s="50" t="s">
        <v>474</v>
      </c>
      <c r="Q17" s="50" t="str">
        <f t="shared" si="4"/>
        <v>Cobalto</v>
      </c>
      <c r="R17" s="24" t="s">
        <v>1</v>
      </c>
      <c r="S17" s="24" t="str">
        <f t="shared" si="5"/>
        <v>Materialidades</v>
      </c>
      <c r="T17" s="24" t="str">
        <f t="shared" si="6"/>
        <v>Elementos Químicos</v>
      </c>
      <c r="U17" s="24" t="str">
        <f t="shared" si="7"/>
        <v>EQ Sólidos</v>
      </c>
      <c r="V17" s="24" t="s">
        <v>835</v>
      </c>
      <c r="W17" s="58" t="str">
        <f t="shared" si="8"/>
        <v>Key-MAT-17</v>
      </c>
      <c r="X17" s="24" t="s">
        <v>586</v>
      </c>
      <c r="Y17" s="24" t="s">
        <v>587</v>
      </c>
      <c r="Z17" s="63" t="s">
        <v>603</v>
      </c>
      <c r="AA17" s="24" t="str">
        <f t="shared" si="9"/>
        <v>Cobalt</v>
      </c>
    </row>
    <row r="18" spans="1:27" ht="6.75" customHeight="1" x14ac:dyDescent="0.25">
      <c r="A18" s="55">
        <v>18</v>
      </c>
      <c r="B18" s="56" t="s">
        <v>838</v>
      </c>
      <c r="C18" s="53" t="s">
        <v>839</v>
      </c>
      <c r="D18" s="62" t="s">
        <v>123</v>
      </c>
      <c r="E18" s="62" t="s">
        <v>180</v>
      </c>
      <c r="F18" s="53" t="s">
        <v>475</v>
      </c>
      <c r="G18" s="57" t="s">
        <v>1</v>
      </c>
      <c r="H18" s="57" t="s">
        <v>1</v>
      </c>
      <c r="I18" s="57" t="s">
        <v>1</v>
      </c>
      <c r="J18" s="57" t="s">
        <v>1</v>
      </c>
      <c r="K18" s="57" t="s">
        <v>1</v>
      </c>
      <c r="L18" s="23" t="str">
        <f t="shared" si="0"/>
        <v>Materialidades</v>
      </c>
      <c r="M18" s="23" t="str">
        <f t="shared" si="1"/>
        <v>Elementos Químicos</v>
      </c>
      <c r="N18" s="23" t="str">
        <f t="shared" si="2"/>
        <v>EQ Sólidos</v>
      </c>
      <c r="O18" s="23" t="str">
        <f t="shared" si="3"/>
        <v>Níquel</v>
      </c>
      <c r="P18" s="50" t="s">
        <v>475</v>
      </c>
      <c r="Q18" s="50" t="str">
        <f t="shared" si="4"/>
        <v>Níquel</v>
      </c>
      <c r="R18" s="24" t="s">
        <v>1</v>
      </c>
      <c r="S18" s="24" t="str">
        <f t="shared" si="5"/>
        <v>Materialidades</v>
      </c>
      <c r="T18" s="24" t="str">
        <f t="shared" si="6"/>
        <v>Elementos Químicos</v>
      </c>
      <c r="U18" s="24" t="str">
        <f t="shared" si="7"/>
        <v>EQ Sólidos</v>
      </c>
      <c r="V18" s="24" t="s">
        <v>835</v>
      </c>
      <c r="W18" s="58" t="str">
        <f t="shared" si="8"/>
        <v>Key-MAT-18</v>
      </c>
      <c r="X18" s="24" t="s">
        <v>586</v>
      </c>
      <c r="Y18" s="24" t="s">
        <v>587</v>
      </c>
      <c r="Z18" s="63" t="s">
        <v>604</v>
      </c>
      <c r="AA18" s="24" t="str">
        <f t="shared" si="9"/>
        <v>Nickel</v>
      </c>
    </row>
    <row r="19" spans="1:27" ht="6.75" customHeight="1" x14ac:dyDescent="0.25">
      <c r="A19" s="55">
        <v>19</v>
      </c>
      <c r="B19" s="56" t="s">
        <v>838</v>
      </c>
      <c r="C19" s="53" t="s">
        <v>839</v>
      </c>
      <c r="D19" s="62" t="s">
        <v>123</v>
      </c>
      <c r="E19" s="62" t="s">
        <v>180</v>
      </c>
      <c r="F19" s="53" t="s">
        <v>488</v>
      </c>
      <c r="G19" s="57" t="s">
        <v>1</v>
      </c>
      <c r="H19" s="57" t="s">
        <v>1</v>
      </c>
      <c r="I19" s="57" t="s">
        <v>1</v>
      </c>
      <c r="J19" s="57" t="s">
        <v>1</v>
      </c>
      <c r="K19" s="57" t="s">
        <v>1</v>
      </c>
      <c r="L19" s="23" t="str">
        <f t="shared" si="0"/>
        <v>Materialidades</v>
      </c>
      <c r="M19" s="23" t="str">
        <f t="shared" si="1"/>
        <v>Elementos Químicos</v>
      </c>
      <c r="N19" s="23" t="str">
        <f t="shared" si="2"/>
        <v>EQ Sólidos</v>
      </c>
      <c r="O19" s="23" t="str">
        <f t="shared" si="3"/>
        <v>Cobre Q</v>
      </c>
      <c r="P19" s="50" t="s">
        <v>487</v>
      </c>
      <c r="Q19" s="50" t="str">
        <f t="shared" si="4"/>
        <v>Cobre</v>
      </c>
      <c r="R19" s="24" t="s">
        <v>1</v>
      </c>
      <c r="S19" s="24" t="str">
        <f t="shared" si="5"/>
        <v>Materialidades</v>
      </c>
      <c r="T19" s="24" t="str">
        <f t="shared" si="6"/>
        <v>Elementos Químicos</v>
      </c>
      <c r="U19" s="24" t="str">
        <f t="shared" si="7"/>
        <v>EQ Sólidos</v>
      </c>
      <c r="V19" s="24" t="s">
        <v>835</v>
      </c>
      <c r="W19" s="58" t="str">
        <f t="shared" si="8"/>
        <v>Key-MAT-19</v>
      </c>
      <c r="X19" s="24" t="s">
        <v>586</v>
      </c>
      <c r="Y19" s="24" t="s">
        <v>587</v>
      </c>
      <c r="Z19" s="63" t="s">
        <v>605</v>
      </c>
      <c r="AA19" s="24" t="str">
        <f t="shared" si="9"/>
        <v>Copper</v>
      </c>
    </row>
    <row r="20" spans="1:27" ht="6.75" customHeight="1" x14ac:dyDescent="0.25">
      <c r="A20" s="55">
        <v>20</v>
      </c>
      <c r="B20" s="56" t="s">
        <v>838</v>
      </c>
      <c r="C20" s="53" t="s">
        <v>839</v>
      </c>
      <c r="D20" s="62" t="s">
        <v>123</v>
      </c>
      <c r="E20" s="62" t="s">
        <v>180</v>
      </c>
      <c r="F20" s="53" t="s">
        <v>103</v>
      </c>
      <c r="G20" s="57" t="s">
        <v>1</v>
      </c>
      <c r="H20" s="57" t="s">
        <v>1</v>
      </c>
      <c r="I20" s="57" t="s">
        <v>1</v>
      </c>
      <c r="J20" s="57" t="s">
        <v>1</v>
      </c>
      <c r="K20" s="57" t="s">
        <v>1</v>
      </c>
      <c r="L20" s="23" t="str">
        <f t="shared" si="0"/>
        <v>Materialidades</v>
      </c>
      <c r="M20" s="23" t="str">
        <f t="shared" si="1"/>
        <v>Elementos Químicos</v>
      </c>
      <c r="N20" s="23" t="str">
        <f t="shared" si="2"/>
        <v>EQ Sólidos</v>
      </c>
      <c r="O20" s="23" t="str">
        <f t="shared" si="3"/>
        <v>Zinco</v>
      </c>
      <c r="P20" s="50" t="s">
        <v>103</v>
      </c>
      <c r="Q20" s="50" t="str">
        <f t="shared" si="4"/>
        <v>Zinc</v>
      </c>
      <c r="R20" s="24" t="s">
        <v>1</v>
      </c>
      <c r="S20" s="24" t="str">
        <f t="shared" si="5"/>
        <v>Materialidades</v>
      </c>
      <c r="T20" s="24" t="str">
        <f t="shared" si="6"/>
        <v>Elementos Químicos</v>
      </c>
      <c r="U20" s="24" t="str">
        <f t="shared" si="7"/>
        <v>EQ Sólidos</v>
      </c>
      <c r="V20" s="24" t="s">
        <v>835</v>
      </c>
      <c r="W20" s="58" t="str">
        <f t="shared" si="8"/>
        <v>Key-MAT-20</v>
      </c>
      <c r="X20" s="24" t="s">
        <v>586</v>
      </c>
      <c r="Y20" s="24" t="s">
        <v>587</v>
      </c>
      <c r="Z20" s="63" t="s">
        <v>606</v>
      </c>
      <c r="AA20" s="24" t="str">
        <f t="shared" si="9"/>
        <v>Zinc</v>
      </c>
    </row>
    <row r="21" spans="1:27" ht="6.75" customHeight="1" x14ac:dyDescent="0.25">
      <c r="A21" s="55">
        <v>21</v>
      </c>
      <c r="B21" s="56" t="s">
        <v>838</v>
      </c>
      <c r="C21" s="53" t="s">
        <v>839</v>
      </c>
      <c r="D21" s="62" t="s">
        <v>123</v>
      </c>
      <c r="E21" s="62" t="s">
        <v>180</v>
      </c>
      <c r="F21" s="53" t="s">
        <v>476</v>
      </c>
      <c r="G21" s="57" t="s">
        <v>1</v>
      </c>
      <c r="H21" s="57" t="s">
        <v>1</v>
      </c>
      <c r="I21" s="57" t="s">
        <v>1</v>
      </c>
      <c r="J21" s="57" t="s">
        <v>1</v>
      </c>
      <c r="K21" s="57" t="s">
        <v>1</v>
      </c>
      <c r="L21" s="23" t="str">
        <f t="shared" si="0"/>
        <v>Materialidades</v>
      </c>
      <c r="M21" s="23" t="str">
        <f t="shared" si="1"/>
        <v>Elementos Químicos</v>
      </c>
      <c r="N21" s="23" t="str">
        <f t="shared" si="2"/>
        <v>EQ Sólidos</v>
      </c>
      <c r="O21" s="23" t="str">
        <f t="shared" si="3"/>
        <v>Arsênico</v>
      </c>
      <c r="P21" s="50" t="s">
        <v>476</v>
      </c>
      <c r="Q21" s="50" t="str">
        <f t="shared" si="4"/>
        <v>Arsénico</v>
      </c>
      <c r="R21" s="24" t="s">
        <v>1</v>
      </c>
      <c r="S21" s="24" t="str">
        <f t="shared" si="5"/>
        <v>Materialidades</v>
      </c>
      <c r="T21" s="24" t="str">
        <f t="shared" si="6"/>
        <v>Elementos Químicos</v>
      </c>
      <c r="U21" s="24" t="str">
        <f t="shared" si="7"/>
        <v>EQ Sólidos</v>
      </c>
      <c r="V21" s="24" t="s">
        <v>835</v>
      </c>
      <c r="W21" s="58" t="str">
        <f t="shared" si="8"/>
        <v>Key-MAT-21</v>
      </c>
      <c r="X21" s="24" t="s">
        <v>586</v>
      </c>
      <c r="Y21" s="24" t="s">
        <v>587</v>
      </c>
      <c r="Z21" s="63" t="s">
        <v>607</v>
      </c>
      <c r="AA21" s="24" t="str">
        <f t="shared" si="9"/>
        <v>Arsenic</v>
      </c>
    </row>
    <row r="22" spans="1:27" ht="6.75" customHeight="1" x14ac:dyDescent="0.25">
      <c r="A22" s="55">
        <v>22</v>
      </c>
      <c r="B22" s="56" t="s">
        <v>838</v>
      </c>
      <c r="C22" s="53" t="s">
        <v>839</v>
      </c>
      <c r="D22" s="62" t="s">
        <v>123</v>
      </c>
      <c r="E22" s="62" t="s">
        <v>180</v>
      </c>
      <c r="F22" s="53" t="s">
        <v>477</v>
      </c>
      <c r="G22" s="57" t="s">
        <v>1</v>
      </c>
      <c r="H22" s="57" t="s">
        <v>1</v>
      </c>
      <c r="I22" s="57" t="s">
        <v>1</v>
      </c>
      <c r="J22" s="57" t="s">
        <v>1</v>
      </c>
      <c r="K22" s="57" t="s">
        <v>1</v>
      </c>
      <c r="L22" s="23" t="str">
        <f t="shared" si="0"/>
        <v>Materialidades</v>
      </c>
      <c r="M22" s="23" t="str">
        <f t="shared" si="1"/>
        <v>Elementos Químicos</v>
      </c>
      <c r="N22" s="23" t="str">
        <f t="shared" si="2"/>
        <v>EQ Sólidos</v>
      </c>
      <c r="O22" s="23" t="str">
        <f t="shared" si="3"/>
        <v>Molibdênio</v>
      </c>
      <c r="P22" s="50" t="s">
        <v>477</v>
      </c>
      <c r="Q22" s="50" t="str">
        <f t="shared" si="4"/>
        <v>Molibdeno</v>
      </c>
      <c r="R22" s="24" t="s">
        <v>1</v>
      </c>
      <c r="S22" s="24" t="str">
        <f t="shared" si="5"/>
        <v>Materialidades</v>
      </c>
      <c r="T22" s="24" t="str">
        <f t="shared" si="6"/>
        <v>Elementos Químicos</v>
      </c>
      <c r="U22" s="24" t="str">
        <f t="shared" si="7"/>
        <v>EQ Sólidos</v>
      </c>
      <c r="V22" s="24" t="s">
        <v>835</v>
      </c>
      <c r="W22" s="58" t="str">
        <f t="shared" si="8"/>
        <v>Key-MAT-22</v>
      </c>
      <c r="X22" s="24" t="s">
        <v>586</v>
      </c>
      <c r="Y22" s="24" t="s">
        <v>587</v>
      </c>
      <c r="Z22" s="63" t="s">
        <v>608</v>
      </c>
      <c r="AA22" s="24" t="str">
        <f t="shared" si="9"/>
        <v>Molybdenum</v>
      </c>
    </row>
    <row r="23" spans="1:27" ht="6.75" customHeight="1" x14ac:dyDescent="0.25">
      <c r="A23" s="55">
        <v>23</v>
      </c>
      <c r="B23" s="56" t="s">
        <v>838</v>
      </c>
      <c r="C23" s="53" t="s">
        <v>839</v>
      </c>
      <c r="D23" s="62" t="s">
        <v>123</v>
      </c>
      <c r="E23" s="62" t="s">
        <v>180</v>
      </c>
      <c r="F23" s="53" t="s">
        <v>478</v>
      </c>
      <c r="G23" s="57" t="s">
        <v>1</v>
      </c>
      <c r="H23" s="57" t="s">
        <v>1</v>
      </c>
      <c r="I23" s="57" t="s">
        <v>1</v>
      </c>
      <c r="J23" s="57" t="s">
        <v>1</v>
      </c>
      <c r="K23" s="57" t="s">
        <v>1</v>
      </c>
      <c r="L23" s="23" t="str">
        <f t="shared" si="0"/>
        <v>Materialidades</v>
      </c>
      <c r="M23" s="23" t="str">
        <f t="shared" si="1"/>
        <v>Elementos Químicos</v>
      </c>
      <c r="N23" s="23" t="str">
        <f t="shared" si="2"/>
        <v>EQ Sólidos</v>
      </c>
      <c r="O23" s="23" t="str">
        <f t="shared" si="3"/>
        <v>Prata</v>
      </c>
      <c r="P23" s="50" t="s">
        <v>478</v>
      </c>
      <c r="Q23" s="50" t="str">
        <f t="shared" si="4"/>
        <v>Plata</v>
      </c>
      <c r="R23" s="24" t="s">
        <v>1</v>
      </c>
      <c r="S23" s="24" t="str">
        <f t="shared" si="5"/>
        <v>Materialidades</v>
      </c>
      <c r="T23" s="24" t="str">
        <f t="shared" si="6"/>
        <v>Elementos Químicos</v>
      </c>
      <c r="U23" s="24" t="str">
        <f t="shared" si="7"/>
        <v>EQ Sólidos</v>
      </c>
      <c r="V23" s="24" t="s">
        <v>835</v>
      </c>
      <c r="W23" s="58" t="str">
        <f t="shared" si="8"/>
        <v>Key-MAT-23</v>
      </c>
      <c r="X23" s="24" t="s">
        <v>586</v>
      </c>
      <c r="Y23" s="24" t="s">
        <v>587</v>
      </c>
      <c r="Z23" s="63" t="s">
        <v>609</v>
      </c>
      <c r="AA23" s="24" t="str">
        <f t="shared" si="9"/>
        <v>Silver</v>
      </c>
    </row>
    <row r="24" spans="1:27" ht="6.75" customHeight="1" x14ac:dyDescent="0.25">
      <c r="A24" s="55">
        <v>24</v>
      </c>
      <c r="B24" s="56" t="s">
        <v>838</v>
      </c>
      <c r="C24" s="53" t="s">
        <v>839</v>
      </c>
      <c r="D24" s="62" t="s">
        <v>123</v>
      </c>
      <c r="E24" s="62" t="s">
        <v>180</v>
      </c>
      <c r="F24" s="53" t="s">
        <v>479</v>
      </c>
      <c r="G24" s="57" t="s">
        <v>1</v>
      </c>
      <c r="H24" s="57" t="s">
        <v>1</v>
      </c>
      <c r="I24" s="57" t="s">
        <v>1</v>
      </c>
      <c r="J24" s="57" t="s">
        <v>1</v>
      </c>
      <c r="K24" s="57" t="s">
        <v>1</v>
      </c>
      <c r="L24" s="23" t="str">
        <f t="shared" si="0"/>
        <v>Materialidades</v>
      </c>
      <c r="M24" s="23" t="str">
        <f t="shared" si="1"/>
        <v>Elementos Químicos</v>
      </c>
      <c r="N24" s="23" t="str">
        <f t="shared" si="2"/>
        <v>EQ Sólidos</v>
      </c>
      <c r="O24" s="23" t="str">
        <f t="shared" si="3"/>
        <v>Cádmio</v>
      </c>
      <c r="P24" s="50" t="s">
        <v>479</v>
      </c>
      <c r="Q24" s="50" t="str">
        <f t="shared" si="4"/>
        <v>Cadmio</v>
      </c>
      <c r="R24" s="24" t="s">
        <v>1</v>
      </c>
      <c r="S24" s="24" t="str">
        <f t="shared" si="5"/>
        <v>Materialidades</v>
      </c>
      <c r="T24" s="24" t="str">
        <f t="shared" si="6"/>
        <v>Elementos Químicos</v>
      </c>
      <c r="U24" s="24" t="str">
        <f t="shared" si="7"/>
        <v>EQ Sólidos</v>
      </c>
      <c r="V24" s="24" t="s">
        <v>835</v>
      </c>
      <c r="W24" s="58" t="str">
        <f t="shared" si="8"/>
        <v>Key-MAT-24</v>
      </c>
      <c r="X24" s="24" t="s">
        <v>586</v>
      </c>
      <c r="Y24" s="24" t="s">
        <v>587</v>
      </c>
      <c r="Z24" s="63" t="s">
        <v>610</v>
      </c>
      <c r="AA24" s="24" t="str">
        <f t="shared" si="9"/>
        <v>Cadmium</v>
      </c>
    </row>
    <row r="25" spans="1:27" ht="6.75" customHeight="1" x14ac:dyDescent="0.25">
      <c r="A25" s="55">
        <v>25</v>
      </c>
      <c r="B25" s="56" t="s">
        <v>838</v>
      </c>
      <c r="C25" s="53" t="s">
        <v>839</v>
      </c>
      <c r="D25" s="62" t="s">
        <v>123</v>
      </c>
      <c r="E25" s="62" t="s">
        <v>180</v>
      </c>
      <c r="F25" s="53" t="s">
        <v>480</v>
      </c>
      <c r="G25" s="57" t="s">
        <v>1</v>
      </c>
      <c r="H25" s="57" t="s">
        <v>1</v>
      </c>
      <c r="I25" s="57" t="s">
        <v>1</v>
      </c>
      <c r="J25" s="57" t="s">
        <v>1</v>
      </c>
      <c r="K25" s="57" t="s">
        <v>1</v>
      </c>
      <c r="L25" s="23" t="str">
        <f t="shared" si="0"/>
        <v>Materialidades</v>
      </c>
      <c r="M25" s="23" t="str">
        <f t="shared" si="1"/>
        <v>Elementos Químicos</v>
      </c>
      <c r="N25" s="23" t="str">
        <f t="shared" si="2"/>
        <v>EQ Sólidos</v>
      </c>
      <c r="O25" s="23" t="str">
        <f t="shared" si="3"/>
        <v>Estanho</v>
      </c>
      <c r="P25" s="50" t="s">
        <v>480</v>
      </c>
      <c r="Q25" s="50" t="str">
        <f t="shared" si="4"/>
        <v>Estaño</v>
      </c>
      <c r="R25" s="24" t="s">
        <v>1</v>
      </c>
      <c r="S25" s="24" t="str">
        <f t="shared" si="5"/>
        <v>Materialidades</v>
      </c>
      <c r="T25" s="24" t="str">
        <f t="shared" si="6"/>
        <v>Elementos Químicos</v>
      </c>
      <c r="U25" s="24" t="str">
        <f t="shared" si="7"/>
        <v>EQ Sólidos</v>
      </c>
      <c r="V25" s="24" t="s">
        <v>835</v>
      </c>
      <c r="W25" s="58" t="str">
        <f t="shared" si="8"/>
        <v>Key-MAT-25</v>
      </c>
      <c r="X25" s="24" t="s">
        <v>586</v>
      </c>
      <c r="Y25" s="24" t="s">
        <v>587</v>
      </c>
      <c r="Z25" s="63" t="s">
        <v>611</v>
      </c>
      <c r="AA25" s="24" t="str">
        <f t="shared" si="9"/>
        <v>Tin</v>
      </c>
    </row>
    <row r="26" spans="1:27" ht="6.75" customHeight="1" x14ac:dyDescent="0.25">
      <c r="A26" s="55">
        <v>26</v>
      </c>
      <c r="B26" s="56" t="s">
        <v>838</v>
      </c>
      <c r="C26" s="53" t="s">
        <v>839</v>
      </c>
      <c r="D26" s="62" t="s">
        <v>123</v>
      </c>
      <c r="E26" s="62" t="s">
        <v>180</v>
      </c>
      <c r="F26" s="53" t="s">
        <v>481</v>
      </c>
      <c r="G26" s="57" t="s">
        <v>1</v>
      </c>
      <c r="H26" s="57" t="s">
        <v>1</v>
      </c>
      <c r="I26" s="57" t="s">
        <v>1</v>
      </c>
      <c r="J26" s="57" t="s">
        <v>1</v>
      </c>
      <c r="K26" s="57" t="s">
        <v>1</v>
      </c>
      <c r="L26" s="23" t="str">
        <f t="shared" si="0"/>
        <v>Materialidades</v>
      </c>
      <c r="M26" s="23" t="str">
        <f t="shared" si="1"/>
        <v>Elementos Químicos</v>
      </c>
      <c r="N26" s="23" t="str">
        <f t="shared" si="2"/>
        <v>EQ Sólidos</v>
      </c>
      <c r="O26" s="23" t="str">
        <f t="shared" si="3"/>
        <v>Antimônio</v>
      </c>
      <c r="P26" s="50" t="s">
        <v>481</v>
      </c>
      <c r="Q26" s="50" t="str">
        <f t="shared" si="4"/>
        <v>Antimonio</v>
      </c>
      <c r="R26" s="24" t="s">
        <v>1</v>
      </c>
      <c r="S26" s="24" t="str">
        <f t="shared" si="5"/>
        <v>Materialidades</v>
      </c>
      <c r="T26" s="24" t="str">
        <f t="shared" si="6"/>
        <v>Elementos Químicos</v>
      </c>
      <c r="U26" s="24" t="str">
        <f t="shared" si="7"/>
        <v>EQ Sólidos</v>
      </c>
      <c r="V26" s="24" t="s">
        <v>835</v>
      </c>
      <c r="W26" s="58" t="str">
        <f t="shared" si="8"/>
        <v>Key-MAT-26</v>
      </c>
      <c r="X26" s="24" t="s">
        <v>586</v>
      </c>
      <c r="Y26" s="24" t="s">
        <v>587</v>
      </c>
      <c r="Z26" s="63" t="s">
        <v>612</v>
      </c>
      <c r="AA26" s="24" t="str">
        <f t="shared" si="9"/>
        <v>Antimony</v>
      </c>
    </row>
    <row r="27" spans="1:27" ht="6.75" customHeight="1" x14ac:dyDescent="0.25">
      <c r="A27" s="55">
        <v>27</v>
      </c>
      <c r="B27" s="56" t="s">
        <v>838</v>
      </c>
      <c r="C27" s="53" t="s">
        <v>839</v>
      </c>
      <c r="D27" s="62" t="s">
        <v>123</v>
      </c>
      <c r="E27" s="62" t="s">
        <v>180</v>
      </c>
      <c r="F27" s="53" t="s">
        <v>482</v>
      </c>
      <c r="G27" s="57" t="s">
        <v>1</v>
      </c>
      <c r="H27" s="57" t="s">
        <v>1</v>
      </c>
      <c r="I27" s="57" t="s">
        <v>1</v>
      </c>
      <c r="J27" s="57" t="s">
        <v>1</v>
      </c>
      <c r="K27" s="57" t="s">
        <v>1</v>
      </c>
      <c r="L27" s="23" t="str">
        <f t="shared" si="0"/>
        <v>Materialidades</v>
      </c>
      <c r="M27" s="23" t="str">
        <f t="shared" si="1"/>
        <v>Elementos Químicos</v>
      </c>
      <c r="N27" s="23" t="str">
        <f t="shared" si="2"/>
        <v>EQ Sólidos</v>
      </c>
      <c r="O27" s="23" t="str">
        <f t="shared" si="3"/>
        <v>Tungstênio</v>
      </c>
      <c r="P27" s="50" t="s">
        <v>482</v>
      </c>
      <c r="Q27" s="50" t="str">
        <f t="shared" si="4"/>
        <v>Tungsteno</v>
      </c>
      <c r="R27" s="24" t="s">
        <v>1</v>
      </c>
      <c r="S27" s="24" t="str">
        <f t="shared" si="5"/>
        <v>Materialidades</v>
      </c>
      <c r="T27" s="24" t="str">
        <f t="shared" si="6"/>
        <v>Elementos Químicos</v>
      </c>
      <c r="U27" s="24" t="str">
        <f t="shared" si="7"/>
        <v>EQ Sólidos</v>
      </c>
      <c r="V27" s="24" t="s">
        <v>835</v>
      </c>
      <c r="W27" s="58" t="str">
        <f t="shared" si="8"/>
        <v>Key-MAT-27</v>
      </c>
      <c r="X27" s="24" t="s">
        <v>586</v>
      </c>
      <c r="Y27" s="24" t="s">
        <v>587</v>
      </c>
      <c r="Z27" s="63" t="s">
        <v>613</v>
      </c>
      <c r="AA27" s="24" t="str">
        <f t="shared" si="9"/>
        <v>Tungsten</v>
      </c>
    </row>
    <row r="28" spans="1:27" ht="6.75" customHeight="1" x14ac:dyDescent="0.25">
      <c r="A28" s="55">
        <v>28</v>
      </c>
      <c r="B28" s="56" t="s">
        <v>838</v>
      </c>
      <c r="C28" s="53" t="s">
        <v>839</v>
      </c>
      <c r="D28" s="62" t="s">
        <v>123</v>
      </c>
      <c r="E28" s="62" t="s">
        <v>180</v>
      </c>
      <c r="F28" s="53" t="s">
        <v>483</v>
      </c>
      <c r="G28" s="57" t="s">
        <v>1</v>
      </c>
      <c r="H28" s="57" t="s">
        <v>1</v>
      </c>
      <c r="I28" s="57" t="s">
        <v>1</v>
      </c>
      <c r="J28" s="57" t="s">
        <v>1</v>
      </c>
      <c r="K28" s="57" t="s">
        <v>1</v>
      </c>
      <c r="L28" s="23" t="str">
        <f t="shared" si="0"/>
        <v>Materialidades</v>
      </c>
      <c r="M28" s="23" t="str">
        <f t="shared" si="1"/>
        <v>Elementos Químicos</v>
      </c>
      <c r="N28" s="23" t="str">
        <f t="shared" si="2"/>
        <v>EQ Sólidos</v>
      </c>
      <c r="O28" s="23" t="str">
        <f t="shared" si="3"/>
        <v>Ouro</v>
      </c>
      <c r="P28" s="50" t="s">
        <v>483</v>
      </c>
      <c r="Q28" s="50" t="str">
        <f t="shared" si="4"/>
        <v>Oro</v>
      </c>
      <c r="R28" s="24" t="s">
        <v>1</v>
      </c>
      <c r="S28" s="24" t="str">
        <f t="shared" si="5"/>
        <v>Materialidades</v>
      </c>
      <c r="T28" s="24" t="str">
        <f t="shared" si="6"/>
        <v>Elementos Químicos</v>
      </c>
      <c r="U28" s="24" t="str">
        <f t="shared" si="7"/>
        <v>EQ Sólidos</v>
      </c>
      <c r="V28" s="24" t="s">
        <v>835</v>
      </c>
      <c r="W28" s="58" t="str">
        <f t="shared" si="8"/>
        <v>Key-MAT-28</v>
      </c>
      <c r="X28" s="24" t="s">
        <v>586</v>
      </c>
      <c r="Y28" s="24" t="s">
        <v>587</v>
      </c>
      <c r="Z28" s="63" t="s">
        <v>614</v>
      </c>
      <c r="AA28" s="24" t="str">
        <f t="shared" si="9"/>
        <v>Gold</v>
      </c>
    </row>
    <row r="29" spans="1:27" ht="6.75" customHeight="1" x14ac:dyDescent="0.25">
      <c r="A29" s="55">
        <v>29</v>
      </c>
      <c r="B29" s="56" t="s">
        <v>838</v>
      </c>
      <c r="C29" s="53" t="s">
        <v>839</v>
      </c>
      <c r="D29" s="62" t="s">
        <v>123</v>
      </c>
      <c r="E29" s="62" t="s">
        <v>180</v>
      </c>
      <c r="F29" s="53" t="s">
        <v>484</v>
      </c>
      <c r="G29" s="57" t="s">
        <v>1</v>
      </c>
      <c r="H29" s="57" t="s">
        <v>1</v>
      </c>
      <c r="I29" s="57" t="s">
        <v>1</v>
      </c>
      <c r="J29" s="57" t="s">
        <v>1</v>
      </c>
      <c r="K29" s="57" t="s">
        <v>1</v>
      </c>
      <c r="L29" s="23" t="str">
        <f t="shared" si="0"/>
        <v>Materialidades</v>
      </c>
      <c r="M29" s="23" t="str">
        <f t="shared" si="1"/>
        <v>Elementos Químicos</v>
      </c>
      <c r="N29" s="23" t="str">
        <f t="shared" si="2"/>
        <v>EQ Sólidos</v>
      </c>
      <c r="O29" s="23" t="str">
        <f t="shared" si="3"/>
        <v>Chumbo</v>
      </c>
      <c r="P29" s="50" t="s">
        <v>484</v>
      </c>
      <c r="Q29" s="50" t="str">
        <f t="shared" si="4"/>
        <v>Conducir</v>
      </c>
      <c r="R29" s="24" t="s">
        <v>1</v>
      </c>
      <c r="S29" s="24" t="str">
        <f t="shared" si="5"/>
        <v>Materialidades</v>
      </c>
      <c r="T29" s="24" t="str">
        <f t="shared" si="6"/>
        <v>Elementos Químicos</v>
      </c>
      <c r="U29" s="24" t="str">
        <f t="shared" si="7"/>
        <v>EQ Sólidos</v>
      </c>
      <c r="V29" s="24" t="s">
        <v>835</v>
      </c>
      <c r="W29" s="58" t="str">
        <f t="shared" si="8"/>
        <v>Key-MAT-29</v>
      </c>
      <c r="X29" s="24" t="s">
        <v>586</v>
      </c>
      <c r="Y29" s="24" t="s">
        <v>587</v>
      </c>
      <c r="Z29" s="63" t="s">
        <v>615</v>
      </c>
      <c r="AA29" s="24" t="str">
        <f t="shared" ref="AA29:AA65" si="10">_xlfn.TRANSLATE(P29,"pt","en")</f>
        <v>Lead</v>
      </c>
    </row>
    <row r="30" spans="1:27" ht="6.75" customHeight="1" x14ac:dyDescent="0.25">
      <c r="A30" s="55">
        <v>30</v>
      </c>
      <c r="B30" s="56" t="s">
        <v>838</v>
      </c>
      <c r="C30" s="53" t="s">
        <v>839</v>
      </c>
      <c r="D30" s="62" t="s">
        <v>123</v>
      </c>
      <c r="E30" s="62" t="s">
        <v>180</v>
      </c>
      <c r="F30" s="53" t="s">
        <v>485</v>
      </c>
      <c r="G30" s="57" t="s">
        <v>1</v>
      </c>
      <c r="H30" s="57" t="s">
        <v>1</v>
      </c>
      <c r="I30" s="57" t="s">
        <v>1</v>
      </c>
      <c r="J30" s="57" t="s">
        <v>1</v>
      </c>
      <c r="K30" s="57" t="s">
        <v>1</v>
      </c>
      <c r="L30" s="23" t="str">
        <f t="shared" si="0"/>
        <v>Materialidades</v>
      </c>
      <c r="M30" s="23" t="str">
        <f t="shared" si="1"/>
        <v>Elementos Químicos</v>
      </c>
      <c r="N30" s="23" t="str">
        <f t="shared" si="2"/>
        <v>EQ Sólidos</v>
      </c>
      <c r="O30" s="23" t="str">
        <f t="shared" si="3"/>
        <v>Bismuto</v>
      </c>
      <c r="P30" s="50" t="s">
        <v>485</v>
      </c>
      <c r="Q30" s="50" t="str">
        <f t="shared" si="4"/>
        <v>Bismuto</v>
      </c>
      <c r="R30" s="24" t="s">
        <v>1</v>
      </c>
      <c r="S30" s="24" t="str">
        <f t="shared" si="5"/>
        <v>Materialidades</v>
      </c>
      <c r="T30" s="24" t="str">
        <f t="shared" si="6"/>
        <v>Elementos Químicos</v>
      </c>
      <c r="U30" s="24" t="str">
        <f t="shared" si="7"/>
        <v>EQ Sólidos</v>
      </c>
      <c r="V30" s="24" t="s">
        <v>835</v>
      </c>
      <c r="W30" s="58" t="str">
        <f t="shared" si="8"/>
        <v>Key-MAT-30</v>
      </c>
      <c r="X30" s="24" t="s">
        <v>586</v>
      </c>
      <c r="Y30" s="24" t="s">
        <v>587</v>
      </c>
      <c r="Z30" s="63" t="s">
        <v>616</v>
      </c>
      <c r="AA30" s="24" t="str">
        <f t="shared" si="10"/>
        <v>Bismuth</v>
      </c>
    </row>
    <row r="31" spans="1:27" ht="6.75" customHeight="1" x14ac:dyDescent="0.25">
      <c r="A31" s="55">
        <v>31</v>
      </c>
      <c r="B31" s="56" t="s">
        <v>838</v>
      </c>
      <c r="C31" s="53" t="s">
        <v>839</v>
      </c>
      <c r="D31" s="62" t="s">
        <v>123</v>
      </c>
      <c r="E31" s="62" t="s">
        <v>255</v>
      </c>
      <c r="F31" s="53" t="s">
        <v>500</v>
      </c>
      <c r="G31" s="57" t="s">
        <v>1</v>
      </c>
      <c r="H31" s="57" t="s">
        <v>1</v>
      </c>
      <c r="I31" s="57" t="s">
        <v>1</v>
      </c>
      <c r="J31" s="57" t="s">
        <v>1</v>
      </c>
      <c r="K31" s="57" t="s">
        <v>1</v>
      </c>
      <c r="L31" s="23" t="str">
        <f t="shared" si="0"/>
        <v>Materialidades</v>
      </c>
      <c r="M31" s="23" t="str">
        <f t="shared" si="1"/>
        <v>Elementos Químicos</v>
      </c>
      <c r="N31" s="23" t="str">
        <f t="shared" si="2"/>
        <v>EQ Liquidos</v>
      </c>
      <c r="O31" s="23" t="str">
        <f t="shared" si="3"/>
        <v>Mercúrio</v>
      </c>
      <c r="P31" s="24" t="s">
        <v>500</v>
      </c>
      <c r="Q31" s="50" t="str">
        <f t="shared" si="4"/>
        <v>Mercurio</v>
      </c>
      <c r="R31" s="24" t="s">
        <v>1</v>
      </c>
      <c r="S31" s="24" t="str">
        <f t="shared" si="5"/>
        <v>Materialidades</v>
      </c>
      <c r="T31" s="24" t="str">
        <f t="shared" si="6"/>
        <v>Elementos Químicos</v>
      </c>
      <c r="U31" s="24" t="str">
        <f t="shared" si="7"/>
        <v>EQ Liquidos</v>
      </c>
      <c r="V31" s="24" t="s">
        <v>835</v>
      </c>
      <c r="W31" s="58" t="str">
        <f t="shared" si="8"/>
        <v>Key-MAT-31</v>
      </c>
      <c r="X31" s="24" t="s">
        <v>586</v>
      </c>
      <c r="Y31" s="24" t="s">
        <v>587</v>
      </c>
      <c r="Z31" s="63" t="s">
        <v>617</v>
      </c>
      <c r="AA31" s="24" t="str">
        <f t="shared" si="10"/>
        <v>Mercury</v>
      </c>
    </row>
    <row r="32" spans="1:27" ht="6.75" customHeight="1" x14ac:dyDescent="0.25">
      <c r="A32" s="55">
        <v>32</v>
      </c>
      <c r="B32" s="56" t="s">
        <v>838</v>
      </c>
      <c r="C32" s="53" t="s">
        <v>839</v>
      </c>
      <c r="D32" s="62" t="s">
        <v>123</v>
      </c>
      <c r="E32" s="62" t="s">
        <v>181</v>
      </c>
      <c r="F32" s="53" t="s">
        <v>489</v>
      </c>
      <c r="G32" s="57" t="s">
        <v>1</v>
      </c>
      <c r="H32" s="57" t="s">
        <v>1</v>
      </c>
      <c r="I32" s="57" t="s">
        <v>1</v>
      </c>
      <c r="J32" s="57" t="s">
        <v>1</v>
      </c>
      <c r="K32" s="57" t="s">
        <v>1</v>
      </c>
      <c r="L32" s="23" t="str">
        <f t="shared" si="0"/>
        <v>Materialidades</v>
      </c>
      <c r="M32" s="23" t="str">
        <f t="shared" si="1"/>
        <v>Elementos Químicos</v>
      </c>
      <c r="N32" s="23" t="str">
        <f t="shared" si="2"/>
        <v>EQ Gasosos</v>
      </c>
      <c r="O32" s="23" t="str">
        <f t="shared" si="3"/>
        <v>Hidrogênio</v>
      </c>
      <c r="P32" s="24" t="s">
        <v>489</v>
      </c>
      <c r="Q32" s="50" t="str">
        <f t="shared" si="4"/>
        <v>Hidrógeno</v>
      </c>
      <c r="R32" s="24" t="s">
        <v>1</v>
      </c>
      <c r="S32" s="24" t="str">
        <f t="shared" si="5"/>
        <v>Materialidades</v>
      </c>
      <c r="T32" s="24" t="str">
        <f t="shared" si="6"/>
        <v>Elementos Químicos</v>
      </c>
      <c r="U32" s="24" t="str">
        <f t="shared" si="7"/>
        <v>EQ Gasosos</v>
      </c>
      <c r="V32" s="24" t="s">
        <v>835</v>
      </c>
      <c r="W32" s="58" t="str">
        <f t="shared" si="8"/>
        <v>Key-MAT-32</v>
      </c>
      <c r="X32" s="24" t="s">
        <v>586</v>
      </c>
      <c r="Y32" s="24" t="s">
        <v>587</v>
      </c>
      <c r="Z32" s="63" t="s">
        <v>618</v>
      </c>
      <c r="AA32" s="24" t="str">
        <f t="shared" si="10"/>
        <v>Hydrogen</v>
      </c>
    </row>
    <row r="33" spans="1:27" ht="6.75" customHeight="1" x14ac:dyDescent="0.25">
      <c r="A33" s="55">
        <v>33</v>
      </c>
      <c r="B33" s="56" t="s">
        <v>838</v>
      </c>
      <c r="C33" s="53" t="s">
        <v>839</v>
      </c>
      <c r="D33" s="62" t="s">
        <v>123</v>
      </c>
      <c r="E33" s="62" t="s">
        <v>181</v>
      </c>
      <c r="F33" s="53" t="s">
        <v>490</v>
      </c>
      <c r="G33" s="57" t="s">
        <v>1</v>
      </c>
      <c r="H33" s="57" t="s">
        <v>1</v>
      </c>
      <c r="I33" s="57" t="s">
        <v>1</v>
      </c>
      <c r="J33" s="57" t="s">
        <v>1</v>
      </c>
      <c r="K33" s="57" t="s">
        <v>1</v>
      </c>
      <c r="L33" s="23" t="str">
        <f t="shared" si="0"/>
        <v>Materialidades</v>
      </c>
      <c r="M33" s="23" t="str">
        <f t="shared" si="1"/>
        <v>Elementos Químicos</v>
      </c>
      <c r="N33" s="23" t="str">
        <f t="shared" si="2"/>
        <v>EQ Gasosos</v>
      </c>
      <c r="O33" s="23" t="str">
        <f t="shared" si="3"/>
        <v>Hélio</v>
      </c>
      <c r="P33" s="24" t="s">
        <v>490</v>
      </c>
      <c r="Q33" s="50" t="str">
        <f t="shared" si="4"/>
        <v>Helio</v>
      </c>
      <c r="R33" s="24" t="s">
        <v>1</v>
      </c>
      <c r="S33" s="24" t="str">
        <f t="shared" si="5"/>
        <v>Materialidades</v>
      </c>
      <c r="T33" s="24" t="str">
        <f t="shared" si="6"/>
        <v>Elementos Químicos</v>
      </c>
      <c r="U33" s="24" t="str">
        <f t="shared" si="7"/>
        <v>EQ Gasosos</v>
      </c>
      <c r="V33" s="24" t="s">
        <v>835</v>
      </c>
      <c r="W33" s="58" t="str">
        <f t="shared" si="8"/>
        <v>Key-MAT-33</v>
      </c>
      <c r="X33" s="24" t="s">
        <v>586</v>
      </c>
      <c r="Y33" s="24" t="s">
        <v>587</v>
      </c>
      <c r="Z33" s="63" t="s">
        <v>619</v>
      </c>
      <c r="AA33" s="24" t="str">
        <f t="shared" si="10"/>
        <v>Helium</v>
      </c>
    </row>
    <row r="34" spans="1:27" ht="6.75" customHeight="1" x14ac:dyDescent="0.25">
      <c r="A34" s="55">
        <v>34</v>
      </c>
      <c r="B34" s="56" t="s">
        <v>838</v>
      </c>
      <c r="C34" s="53" t="s">
        <v>839</v>
      </c>
      <c r="D34" s="62" t="s">
        <v>123</v>
      </c>
      <c r="E34" s="62" t="s">
        <v>181</v>
      </c>
      <c r="F34" s="53" t="s">
        <v>491</v>
      </c>
      <c r="G34" s="57" t="s">
        <v>1</v>
      </c>
      <c r="H34" s="57" t="s">
        <v>1</v>
      </c>
      <c r="I34" s="57" t="s">
        <v>1</v>
      </c>
      <c r="J34" s="57" t="s">
        <v>1</v>
      </c>
      <c r="K34" s="57" t="s">
        <v>1</v>
      </c>
      <c r="L34" s="23" t="str">
        <f t="shared" si="0"/>
        <v>Materialidades</v>
      </c>
      <c r="M34" s="23" t="str">
        <f t="shared" si="1"/>
        <v>Elementos Químicos</v>
      </c>
      <c r="N34" s="23" t="str">
        <f t="shared" si="2"/>
        <v>EQ Gasosos</v>
      </c>
      <c r="O34" s="23" t="str">
        <f t="shared" si="3"/>
        <v>Nitrogênio</v>
      </c>
      <c r="P34" s="24" t="s">
        <v>491</v>
      </c>
      <c r="Q34" s="50" t="str">
        <f t="shared" si="4"/>
        <v>Nitrógeno</v>
      </c>
      <c r="R34" s="24" t="s">
        <v>1</v>
      </c>
      <c r="S34" s="24" t="str">
        <f t="shared" si="5"/>
        <v>Materialidades</v>
      </c>
      <c r="T34" s="24" t="str">
        <f t="shared" si="6"/>
        <v>Elementos Químicos</v>
      </c>
      <c r="U34" s="24" t="str">
        <f t="shared" si="7"/>
        <v>EQ Gasosos</v>
      </c>
      <c r="V34" s="24" t="s">
        <v>835</v>
      </c>
      <c r="W34" s="58" t="str">
        <f t="shared" si="8"/>
        <v>Key-MAT-34</v>
      </c>
      <c r="X34" s="24" t="s">
        <v>586</v>
      </c>
      <c r="Y34" s="24" t="s">
        <v>587</v>
      </c>
      <c r="Z34" s="63" t="s">
        <v>620</v>
      </c>
      <c r="AA34" s="24" t="str">
        <f t="shared" si="10"/>
        <v>Nitrogen</v>
      </c>
    </row>
    <row r="35" spans="1:27" ht="6.75" customHeight="1" x14ac:dyDescent="0.25">
      <c r="A35" s="55">
        <v>35</v>
      </c>
      <c r="B35" s="56" t="s">
        <v>838</v>
      </c>
      <c r="C35" s="53" t="s">
        <v>839</v>
      </c>
      <c r="D35" s="62" t="s">
        <v>123</v>
      </c>
      <c r="E35" s="62" t="s">
        <v>181</v>
      </c>
      <c r="F35" s="53" t="s">
        <v>492</v>
      </c>
      <c r="G35" s="57" t="s">
        <v>1</v>
      </c>
      <c r="H35" s="57" t="s">
        <v>1</v>
      </c>
      <c r="I35" s="57" t="s">
        <v>1</v>
      </c>
      <c r="J35" s="57" t="s">
        <v>1</v>
      </c>
      <c r="K35" s="57" t="s">
        <v>1</v>
      </c>
      <c r="L35" s="23" t="str">
        <f t="shared" si="0"/>
        <v>Materialidades</v>
      </c>
      <c r="M35" s="23" t="str">
        <f t="shared" si="1"/>
        <v>Elementos Químicos</v>
      </c>
      <c r="N35" s="23" t="str">
        <f t="shared" si="2"/>
        <v>EQ Gasosos</v>
      </c>
      <c r="O35" s="23" t="str">
        <f t="shared" si="3"/>
        <v>Oxigênio</v>
      </c>
      <c r="P35" s="24" t="s">
        <v>492</v>
      </c>
      <c r="Q35" s="50" t="str">
        <f t="shared" si="4"/>
        <v>Oxígeno</v>
      </c>
      <c r="R35" s="24" t="s">
        <v>1</v>
      </c>
      <c r="S35" s="24" t="str">
        <f t="shared" si="5"/>
        <v>Materialidades</v>
      </c>
      <c r="T35" s="24" t="str">
        <f t="shared" si="6"/>
        <v>Elementos Químicos</v>
      </c>
      <c r="U35" s="24" t="str">
        <f t="shared" si="7"/>
        <v>EQ Gasosos</v>
      </c>
      <c r="V35" s="24" t="s">
        <v>835</v>
      </c>
      <c r="W35" s="58" t="str">
        <f t="shared" si="8"/>
        <v>Key-MAT-35</v>
      </c>
      <c r="X35" s="24" t="s">
        <v>586</v>
      </c>
      <c r="Y35" s="24" t="s">
        <v>587</v>
      </c>
      <c r="Z35" s="63" t="s">
        <v>621</v>
      </c>
      <c r="AA35" s="24" t="str">
        <f t="shared" si="10"/>
        <v>Oxygen</v>
      </c>
    </row>
    <row r="36" spans="1:27" ht="6.75" customHeight="1" x14ac:dyDescent="0.25">
      <c r="A36" s="55">
        <v>36</v>
      </c>
      <c r="B36" s="56" t="s">
        <v>838</v>
      </c>
      <c r="C36" s="53" t="s">
        <v>839</v>
      </c>
      <c r="D36" s="62" t="s">
        <v>123</v>
      </c>
      <c r="E36" s="62" t="s">
        <v>181</v>
      </c>
      <c r="F36" s="53" t="s">
        <v>493</v>
      </c>
      <c r="G36" s="57" t="s">
        <v>1</v>
      </c>
      <c r="H36" s="57" t="s">
        <v>1</v>
      </c>
      <c r="I36" s="57" t="s">
        <v>1</v>
      </c>
      <c r="J36" s="57" t="s">
        <v>1</v>
      </c>
      <c r="K36" s="57" t="s">
        <v>1</v>
      </c>
      <c r="L36" s="23" t="str">
        <f t="shared" si="0"/>
        <v>Materialidades</v>
      </c>
      <c r="M36" s="23" t="str">
        <f t="shared" si="1"/>
        <v>Elementos Químicos</v>
      </c>
      <c r="N36" s="23" t="str">
        <f t="shared" si="2"/>
        <v>EQ Gasosos</v>
      </c>
      <c r="O36" s="23" t="str">
        <f t="shared" si="3"/>
        <v>Flúor</v>
      </c>
      <c r="P36" s="24" t="s">
        <v>493</v>
      </c>
      <c r="Q36" s="50" t="str">
        <f t="shared" si="4"/>
        <v>Flúor</v>
      </c>
      <c r="R36" s="24" t="s">
        <v>1</v>
      </c>
      <c r="S36" s="24" t="str">
        <f t="shared" si="5"/>
        <v>Materialidades</v>
      </c>
      <c r="T36" s="24" t="str">
        <f t="shared" si="6"/>
        <v>Elementos Químicos</v>
      </c>
      <c r="U36" s="24" t="str">
        <f t="shared" si="7"/>
        <v>EQ Gasosos</v>
      </c>
      <c r="V36" s="24" t="s">
        <v>835</v>
      </c>
      <c r="W36" s="58" t="str">
        <f t="shared" si="8"/>
        <v>Key-MAT-36</v>
      </c>
      <c r="X36" s="24" t="s">
        <v>586</v>
      </c>
      <c r="Y36" s="24" t="s">
        <v>587</v>
      </c>
      <c r="Z36" s="63" t="s">
        <v>622</v>
      </c>
      <c r="AA36" s="24" t="str">
        <f t="shared" si="10"/>
        <v>Fluoride</v>
      </c>
    </row>
    <row r="37" spans="1:27" ht="6.75" customHeight="1" x14ac:dyDescent="0.25">
      <c r="A37" s="55">
        <v>37</v>
      </c>
      <c r="B37" s="56" t="s">
        <v>838</v>
      </c>
      <c r="C37" s="53" t="s">
        <v>839</v>
      </c>
      <c r="D37" s="62" t="s">
        <v>123</v>
      </c>
      <c r="E37" s="62" t="s">
        <v>181</v>
      </c>
      <c r="F37" s="53" t="s">
        <v>494</v>
      </c>
      <c r="G37" s="57" t="s">
        <v>1</v>
      </c>
      <c r="H37" s="57" t="s">
        <v>1</v>
      </c>
      <c r="I37" s="57" t="s">
        <v>1</v>
      </c>
      <c r="J37" s="57" t="s">
        <v>1</v>
      </c>
      <c r="K37" s="57" t="s">
        <v>1</v>
      </c>
      <c r="L37" s="23" t="str">
        <f t="shared" si="0"/>
        <v>Materialidades</v>
      </c>
      <c r="M37" s="23" t="str">
        <f t="shared" si="1"/>
        <v>Elementos Químicos</v>
      </c>
      <c r="N37" s="23" t="str">
        <f t="shared" si="2"/>
        <v>EQ Gasosos</v>
      </c>
      <c r="O37" s="23" t="str">
        <f t="shared" si="3"/>
        <v>Neônio</v>
      </c>
      <c r="P37" s="24" t="s">
        <v>494</v>
      </c>
      <c r="Q37" s="50" t="str">
        <f t="shared" si="4"/>
        <v>Neón</v>
      </c>
      <c r="R37" s="24" t="s">
        <v>1</v>
      </c>
      <c r="S37" s="24" t="str">
        <f t="shared" si="5"/>
        <v>Materialidades</v>
      </c>
      <c r="T37" s="24" t="str">
        <f t="shared" si="6"/>
        <v>Elementos Químicos</v>
      </c>
      <c r="U37" s="24" t="str">
        <f t="shared" si="7"/>
        <v>EQ Gasosos</v>
      </c>
      <c r="V37" s="24" t="s">
        <v>835</v>
      </c>
      <c r="W37" s="58" t="str">
        <f t="shared" si="8"/>
        <v>Key-MAT-37</v>
      </c>
      <c r="X37" s="24" t="s">
        <v>586</v>
      </c>
      <c r="Y37" s="24" t="s">
        <v>587</v>
      </c>
      <c r="Z37" s="63" t="s">
        <v>623</v>
      </c>
      <c r="AA37" s="24" t="str">
        <f t="shared" si="10"/>
        <v>Neon</v>
      </c>
    </row>
    <row r="38" spans="1:27" ht="6.75" customHeight="1" x14ac:dyDescent="0.25">
      <c r="A38" s="55">
        <v>38</v>
      </c>
      <c r="B38" s="56" t="s">
        <v>838</v>
      </c>
      <c r="C38" s="53" t="s">
        <v>839</v>
      </c>
      <c r="D38" s="62" t="s">
        <v>123</v>
      </c>
      <c r="E38" s="62" t="s">
        <v>181</v>
      </c>
      <c r="F38" s="53" t="s">
        <v>495</v>
      </c>
      <c r="G38" s="57" t="s">
        <v>1</v>
      </c>
      <c r="H38" s="57" t="s">
        <v>1</v>
      </c>
      <c r="I38" s="57" t="s">
        <v>1</v>
      </c>
      <c r="J38" s="57" t="s">
        <v>1</v>
      </c>
      <c r="K38" s="57" t="s">
        <v>1</v>
      </c>
      <c r="L38" s="23" t="str">
        <f t="shared" si="0"/>
        <v>Materialidades</v>
      </c>
      <c r="M38" s="23" t="str">
        <f t="shared" si="1"/>
        <v>Elementos Químicos</v>
      </c>
      <c r="N38" s="23" t="str">
        <f t="shared" si="2"/>
        <v>EQ Gasosos</v>
      </c>
      <c r="O38" s="23" t="str">
        <f t="shared" si="3"/>
        <v>Cloro</v>
      </c>
      <c r="P38" s="24" t="s">
        <v>495</v>
      </c>
      <c r="Q38" s="50" t="str">
        <f t="shared" si="4"/>
        <v>Cloro</v>
      </c>
      <c r="R38" s="24" t="s">
        <v>1</v>
      </c>
      <c r="S38" s="24" t="str">
        <f t="shared" si="5"/>
        <v>Materialidades</v>
      </c>
      <c r="T38" s="24" t="str">
        <f t="shared" si="6"/>
        <v>Elementos Químicos</v>
      </c>
      <c r="U38" s="24" t="str">
        <f t="shared" si="7"/>
        <v>EQ Gasosos</v>
      </c>
      <c r="V38" s="24" t="s">
        <v>835</v>
      </c>
      <c r="W38" s="58" t="str">
        <f t="shared" si="8"/>
        <v>Key-MAT-38</v>
      </c>
      <c r="X38" s="24" t="s">
        <v>586</v>
      </c>
      <c r="Y38" s="24" t="s">
        <v>587</v>
      </c>
      <c r="Z38" s="63" t="s">
        <v>624</v>
      </c>
      <c r="AA38" s="24" t="str">
        <f t="shared" si="10"/>
        <v>Chlorine</v>
      </c>
    </row>
    <row r="39" spans="1:27" ht="6.75" customHeight="1" x14ac:dyDescent="0.25">
      <c r="A39" s="55">
        <v>39</v>
      </c>
      <c r="B39" s="56" t="s">
        <v>838</v>
      </c>
      <c r="C39" s="53" t="s">
        <v>839</v>
      </c>
      <c r="D39" s="62" t="s">
        <v>123</v>
      </c>
      <c r="E39" s="62" t="s">
        <v>181</v>
      </c>
      <c r="F39" s="53" t="s">
        <v>496</v>
      </c>
      <c r="G39" s="57" t="s">
        <v>1</v>
      </c>
      <c r="H39" s="57" t="s">
        <v>1</v>
      </c>
      <c r="I39" s="57" t="s">
        <v>1</v>
      </c>
      <c r="J39" s="57" t="s">
        <v>1</v>
      </c>
      <c r="K39" s="57" t="s">
        <v>1</v>
      </c>
      <c r="L39" s="23" t="str">
        <f t="shared" si="0"/>
        <v>Materialidades</v>
      </c>
      <c r="M39" s="23" t="str">
        <f t="shared" si="1"/>
        <v>Elementos Químicos</v>
      </c>
      <c r="N39" s="23" t="str">
        <f t="shared" si="2"/>
        <v>EQ Gasosos</v>
      </c>
      <c r="O39" s="23" t="str">
        <f t="shared" si="3"/>
        <v>Argônio</v>
      </c>
      <c r="P39" s="24" t="s">
        <v>496</v>
      </c>
      <c r="Q39" s="50" t="str">
        <f t="shared" si="4"/>
        <v>Argón</v>
      </c>
      <c r="R39" s="24" t="s">
        <v>1</v>
      </c>
      <c r="S39" s="24" t="str">
        <f t="shared" si="5"/>
        <v>Materialidades</v>
      </c>
      <c r="T39" s="24" t="str">
        <f t="shared" si="6"/>
        <v>Elementos Químicos</v>
      </c>
      <c r="U39" s="24" t="str">
        <f t="shared" si="7"/>
        <v>EQ Gasosos</v>
      </c>
      <c r="V39" s="24" t="s">
        <v>835</v>
      </c>
      <c r="W39" s="58" t="str">
        <f t="shared" si="8"/>
        <v>Key-MAT-39</v>
      </c>
      <c r="X39" s="24" t="s">
        <v>586</v>
      </c>
      <c r="Y39" s="24" t="s">
        <v>587</v>
      </c>
      <c r="Z39" s="63" t="s">
        <v>625</v>
      </c>
      <c r="AA39" s="24" t="str">
        <f t="shared" si="10"/>
        <v>Argon</v>
      </c>
    </row>
    <row r="40" spans="1:27" ht="6.75" customHeight="1" x14ac:dyDescent="0.25">
      <c r="A40" s="55">
        <v>40</v>
      </c>
      <c r="B40" s="56" t="s">
        <v>838</v>
      </c>
      <c r="C40" s="53" t="s">
        <v>839</v>
      </c>
      <c r="D40" s="62" t="s">
        <v>123</v>
      </c>
      <c r="E40" s="62" t="s">
        <v>181</v>
      </c>
      <c r="F40" s="53" t="s">
        <v>497</v>
      </c>
      <c r="G40" s="57" t="s">
        <v>1</v>
      </c>
      <c r="H40" s="57" t="s">
        <v>1</v>
      </c>
      <c r="I40" s="57" t="s">
        <v>1</v>
      </c>
      <c r="J40" s="57" t="s">
        <v>1</v>
      </c>
      <c r="K40" s="57" t="s">
        <v>1</v>
      </c>
      <c r="L40" s="23" t="str">
        <f t="shared" si="0"/>
        <v>Materialidades</v>
      </c>
      <c r="M40" s="23" t="str">
        <f t="shared" si="1"/>
        <v>Elementos Químicos</v>
      </c>
      <c r="N40" s="23" t="str">
        <f t="shared" si="2"/>
        <v>EQ Gasosos</v>
      </c>
      <c r="O40" s="23" t="str">
        <f t="shared" si="3"/>
        <v>Criptônio</v>
      </c>
      <c r="P40" s="24" t="s">
        <v>497</v>
      </c>
      <c r="Q40" s="50" t="str">
        <f t="shared" si="4"/>
        <v>Krypton</v>
      </c>
      <c r="R40" s="24" t="s">
        <v>1</v>
      </c>
      <c r="S40" s="24" t="str">
        <f t="shared" si="5"/>
        <v>Materialidades</v>
      </c>
      <c r="T40" s="24" t="str">
        <f t="shared" si="6"/>
        <v>Elementos Químicos</v>
      </c>
      <c r="U40" s="24" t="str">
        <f t="shared" si="7"/>
        <v>EQ Gasosos</v>
      </c>
      <c r="V40" s="24" t="s">
        <v>835</v>
      </c>
      <c r="W40" s="58" t="str">
        <f t="shared" si="8"/>
        <v>Key-MAT-40</v>
      </c>
      <c r="X40" s="24" t="s">
        <v>586</v>
      </c>
      <c r="Y40" s="24" t="s">
        <v>587</v>
      </c>
      <c r="Z40" s="63" t="s">
        <v>626</v>
      </c>
      <c r="AA40" s="24" t="str">
        <f t="shared" si="10"/>
        <v>Krypton</v>
      </c>
    </row>
    <row r="41" spans="1:27" ht="6.75" customHeight="1" x14ac:dyDescent="0.25">
      <c r="A41" s="55">
        <v>41</v>
      </c>
      <c r="B41" s="56" t="s">
        <v>838</v>
      </c>
      <c r="C41" s="53" t="s">
        <v>839</v>
      </c>
      <c r="D41" s="62" t="s">
        <v>123</v>
      </c>
      <c r="E41" s="62" t="s">
        <v>181</v>
      </c>
      <c r="F41" s="53" t="s">
        <v>498</v>
      </c>
      <c r="G41" s="57" t="s">
        <v>1</v>
      </c>
      <c r="H41" s="57" t="s">
        <v>1</v>
      </c>
      <c r="I41" s="57" t="s">
        <v>1</v>
      </c>
      <c r="J41" s="57" t="s">
        <v>1</v>
      </c>
      <c r="K41" s="57" t="s">
        <v>1</v>
      </c>
      <c r="L41" s="23" t="str">
        <f t="shared" si="0"/>
        <v>Materialidades</v>
      </c>
      <c r="M41" s="23" t="str">
        <f t="shared" si="1"/>
        <v>Elementos Químicos</v>
      </c>
      <c r="N41" s="23" t="str">
        <f t="shared" si="2"/>
        <v>EQ Gasosos</v>
      </c>
      <c r="O41" s="23" t="str">
        <f t="shared" si="3"/>
        <v>Xenônio</v>
      </c>
      <c r="P41" s="24" t="s">
        <v>498</v>
      </c>
      <c r="Q41" s="50" t="str">
        <f t="shared" si="4"/>
        <v>Xenón</v>
      </c>
      <c r="R41" s="24" t="s">
        <v>1</v>
      </c>
      <c r="S41" s="24" t="str">
        <f t="shared" si="5"/>
        <v>Materialidades</v>
      </c>
      <c r="T41" s="24" t="str">
        <f t="shared" si="6"/>
        <v>Elementos Químicos</v>
      </c>
      <c r="U41" s="24" t="str">
        <f t="shared" si="7"/>
        <v>EQ Gasosos</v>
      </c>
      <c r="V41" s="24" t="s">
        <v>835</v>
      </c>
      <c r="W41" s="58" t="str">
        <f t="shared" si="8"/>
        <v>Key-MAT-41</v>
      </c>
      <c r="X41" s="24" t="s">
        <v>586</v>
      </c>
      <c r="Y41" s="24" t="s">
        <v>587</v>
      </c>
      <c r="Z41" s="63" t="s">
        <v>627</v>
      </c>
      <c r="AA41" s="24" t="str">
        <f t="shared" si="10"/>
        <v>Xenon</v>
      </c>
    </row>
    <row r="42" spans="1:27" ht="6.75" customHeight="1" x14ac:dyDescent="0.25">
      <c r="A42" s="55">
        <v>42</v>
      </c>
      <c r="B42" s="56" t="s">
        <v>838</v>
      </c>
      <c r="C42" s="53" t="s">
        <v>839</v>
      </c>
      <c r="D42" s="62" t="s">
        <v>123</v>
      </c>
      <c r="E42" s="62" t="s">
        <v>181</v>
      </c>
      <c r="F42" s="53" t="s">
        <v>499</v>
      </c>
      <c r="G42" s="57" t="s">
        <v>1</v>
      </c>
      <c r="H42" s="57" t="s">
        <v>1</v>
      </c>
      <c r="I42" s="57" t="s">
        <v>1</v>
      </c>
      <c r="J42" s="57" t="s">
        <v>1</v>
      </c>
      <c r="K42" s="57" t="s">
        <v>1</v>
      </c>
      <c r="L42" s="23" t="str">
        <f t="shared" si="0"/>
        <v>Materialidades</v>
      </c>
      <c r="M42" s="23" t="str">
        <f t="shared" si="1"/>
        <v>Elementos Químicos</v>
      </c>
      <c r="N42" s="23" t="str">
        <f t="shared" si="2"/>
        <v>EQ Gasosos</v>
      </c>
      <c r="O42" s="23" t="str">
        <f t="shared" si="3"/>
        <v>Radônio</v>
      </c>
      <c r="P42" s="24" t="s">
        <v>499</v>
      </c>
      <c r="Q42" s="50" t="str">
        <f t="shared" si="4"/>
        <v>Radón</v>
      </c>
      <c r="R42" s="24" t="s">
        <v>1</v>
      </c>
      <c r="S42" s="24" t="str">
        <f t="shared" si="5"/>
        <v>Materialidades</v>
      </c>
      <c r="T42" s="24" t="str">
        <f t="shared" si="6"/>
        <v>Elementos Químicos</v>
      </c>
      <c r="U42" s="24" t="str">
        <f t="shared" si="7"/>
        <v>EQ Gasosos</v>
      </c>
      <c r="V42" s="24" t="s">
        <v>835</v>
      </c>
      <c r="W42" s="58" t="str">
        <f t="shared" si="8"/>
        <v>Key-MAT-42</v>
      </c>
      <c r="X42" s="24" t="s">
        <v>586</v>
      </c>
      <c r="Y42" s="24" t="s">
        <v>587</v>
      </c>
      <c r="Z42" s="63" t="s">
        <v>628</v>
      </c>
      <c r="AA42" s="24" t="str">
        <f t="shared" si="10"/>
        <v>Radon</v>
      </c>
    </row>
    <row r="43" spans="1:27" ht="6.75" customHeight="1" x14ac:dyDescent="0.25">
      <c r="A43" s="55">
        <v>43</v>
      </c>
      <c r="B43" s="56" t="s">
        <v>838</v>
      </c>
      <c r="C43" s="53" t="s">
        <v>839</v>
      </c>
      <c r="D43" s="62" t="s">
        <v>841</v>
      </c>
      <c r="E43" s="62" t="s">
        <v>549</v>
      </c>
      <c r="F43" s="53" t="s">
        <v>514</v>
      </c>
      <c r="G43" s="57" t="s">
        <v>1</v>
      </c>
      <c r="H43" s="57" t="s">
        <v>1</v>
      </c>
      <c r="I43" s="57" t="s">
        <v>1</v>
      </c>
      <c r="J43" s="57" t="s">
        <v>1</v>
      </c>
      <c r="K43" s="57" t="s">
        <v>1</v>
      </c>
      <c r="L43" s="23" t="str">
        <f t="shared" si="0"/>
        <v>Materialidades</v>
      </c>
      <c r="M43" s="23" t="str">
        <f t="shared" si="1"/>
        <v>Materiais de Animais</v>
      </c>
      <c r="N43" s="23" t="str">
        <f t="shared" si="2"/>
        <v>Produto Animal</v>
      </c>
      <c r="O43" s="23" t="str">
        <f t="shared" si="3"/>
        <v>Lá</v>
      </c>
      <c r="P43" s="24" t="s">
        <v>585</v>
      </c>
      <c r="Q43" s="50" t="str">
        <f t="shared" si="4"/>
        <v>Lana</v>
      </c>
      <c r="R43" s="24" t="s">
        <v>1</v>
      </c>
      <c r="S43" s="24" t="str">
        <f t="shared" si="5"/>
        <v>Materialidades</v>
      </c>
      <c r="T43" s="24" t="str">
        <f t="shared" si="6"/>
        <v>Materiais de Animais</v>
      </c>
      <c r="U43" s="24" t="str">
        <f t="shared" si="7"/>
        <v>Produto Animal</v>
      </c>
      <c r="V43" s="24" t="s">
        <v>835</v>
      </c>
      <c r="W43" s="58" t="str">
        <f t="shared" si="8"/>
        <v>Key-MAT-43</v>
      </c>
      <c r="X43" s="24" t="s">
        <v>586</v>
      </c>
      <c r="Y43" s="24" t="s">
        <v>587</v>
      </c>
      <c r="Z43" s="63" t="s">
        <v>629</v>
      </c>
      <c r="AA43" s="24" t="str">
        <f t="shared" si="10"/>
        <v>Wool</v>
      </c>
    </row>
    <row r="44" spans="1:27" ht="6.75" customHeight="1" x14ac:dyDescent="0.25">
      <c r="A44" s="55">
        <v>44</v>
      </c>
      <c r="B44" s="56" t="s">
        <v>838</v>
      </c>
      <c r="C44" s="53" t="s">
        <v>839</v>
      </c>
      <c r="D44" s="62" t="s">
        <v>841</v>
      </c>
      <c r="E44" s="62" t="s">
        <v>549</v>
      </c>
      <c r="F44" s="53" t="s">
        <v>515</v>
      </c>
      <c r="G44" s="57" t="s">
        <v>1</v>
      </c>
      <c r="H44" s="57" t="s">
        <v>1</v>
      </c>
      <c r="I44" s="57" t="s">
        <v>1</v>
      </c>
      <c r="J44" s="57" t="s">
        <v>1</v>
      </c>
      <c r="K44" s="57" t="s">
        <v>1</v>
      </c>
      <c r="L44" s="23" t="str">
        <f t="shared" si="0"/>
        <v>Materialidades</v>
      </c>
      <c r="M44" s="23" t="str">
        <f t="shared" si="1"/>
        <v>Materiais de Animais</v>
      </c>
      <c r="N44" s="23" t="str">
        <f t="shared" si="2"/>
        <v>Produto Animal</v>
      </c>
      <c r="O44" s="23" t="str">
        <f t="shared" si="3"/>
        <v>Crina</v>
      </c>
      <c r="P44" s="24" t="s">
        <v>515</v>
      </c>
      <c r="Q44" s="50" t="str">
        <f t="shared" si="4"/>
        <v>Melena</v>
      </c>
      <c r="R44" s="24" t="s">
        <v>1</v>
      </c>
      <c r="S44" s="24" t="str">
        <f t="shared" si="5"/>
        <v>Materialidades</v>
      </c>
      <c r="T44" s="24" t="str">
        <f t="shared" si="6"/>
        <v>Materiais de Animais</v>
      </c>
      <c r="U44" s="24" t="str">
        <f t="shared" si="7"/>
        <v>Produto Animal</v>
      </c>
      <c r="V44" s="24" t="s">
        <v>835</v>
      </c>
      <c r="W44" s="58" t="str">
        <f t="shared" si="8"/>
        <v>Key-MAT-44</v>
      </c>
      <c r="X44" s="24" t="s">
        <v>586</v>
      </c>
      <c r="Y44" s="24" t="s">
        <v>587</v>
      </c>
      <c r="Z44" s="63" t="s">
        <v>630</v>
      </c>
      <c r="AA44" s="24" t="str">
        <f t="shared" si="10"/>
        <v>Mane</v>
      </c>
    </row>
    <row r="45" spans="1:27" ht="6.75" customHeight="1" x14ac:dyDescent="0.25">
      <c r="A45" s="55">
        <v>45</v>
      </c>
      <c r="B45" s="56" t="s">
        <v>838</v>
      </c>
      <c r="C45" s="53" t="s">
        <v>839</v>
      </c>
      <c r="D45" s="62" t="s">
        <v>841</v>
      </c>
      <c r="E45" s="62" t="s">
        <v>549</v>
      </c>
      <c r="F45" s="53" t="s">
        <v>516</v>
      </c>
      <c r="G45" s="57" t="s">
        <v>1</v>
      </c>
      <c r="H45" s="57" t="s">
        <v>1</v>
      </c>
      <c r="I45" s="57" t="s">
        <v>1</v>
      </c>
      <c r="J45" s="57" t="s">
        <v>1</v>
      </c>
      <c r="K45" s="57" t="s">
        <v>1</v>
      </c>
      <c r="L45" s="23" t="str">
        <f t="shared" si="0"/>
        <v>Materialidades</v>
      </c>
      <c r="M45" s="23" t="str">
        <f t="shared" si="1"/>
        <v>Materiais de Animais</v>
      </c>
      <c r="N45" s="23" t="str">
        <f t="shared" si="2"/>
        <v>Produto Animal</v>
      </c>
      <c r="O45" s="23" t="str">
        <f t="shared" si="3"/>
        <v>Couro</v>
      </c>
      <c r="P45" s="24" t="s">
        <v>516</v>
      </c>
      <c r="Q45" s="50" t="str">
        <f t="shared" si="4"/>
        <v>Cuero</v>
      </c>
      <c r="R45" s="24" t="s">
        <v>1</v>
      </c>
      <c r="S45" s="24" t="str">
        <f t="shared" si="5"/>
        <v>Materialidades</v>
      </c>
      <c r="T45" s="24" t="str">
        <f t="shared" si="6"/>
        <v>Materiais de Animais</v>
      </c>
      <c r="U45" s="24" t="str">
        <f t="shared" si="7"/>
        <v>Produto Animal</v>
      </c>
      <c r="V45" s="24" t="s">
        <v>835</v>
      </c>
      <c r="W45" s="58" t="str">
        <f t="shared" si="8"/>
        <v>Key-MAT-45</v>
      </c>
      <c r="X45" s="24" t="s">
        <v>586</v>
      </c>
      <c r="Y45" s="24" t="s">
        <v>587</v>
      </c>
      <c r="Z45" s="63" t="s">
        <v>631</v>
      </c>
      <c r="AA45" s="24" t="str">
        <f t="shared" si="10"/>
        <v>Leather</v>
      </c>
    </row>
    <row r="46" spans="1:27" ht="6.75" customHeight="1" x14ac:dyDescent="0.25">
      <c r="A46" s="55">
        <v>46</v>
      </c>
      <c r="B46" s="56" t="s">
        <v>838</v>
      </c>
      <c r="C46" s="53" t="s">
        <v>839</v>
      </c>
      <c r="D46" s="62" t="s">
        <v>841</v>
      </c>
      <c r="E46" s="62" t="s">
        <v>549</v>
      </c>
      <c r="F46" s="53" t="s">
        <v>517</v>
      </c>
      <c r="G46" s="57" t="s">
        <v>1</v>
      </c>
      <c r="H46" s="57" t="s">
        <v>1</v>
      </c>
      <c r="I46" s="57" t="s">
        <v>1</v>
      </c>
      <c r="J46" s="57" t="s">
        <v>1</v>
      </c>
      <c r="K46" s="57" t="s">
        <v>1</v>
      </c>
      <c r="L46" s="23" t="str">
        <f t="shared" si="0"/>
        <v>Materialidades</v>
      </c>
      <c r="M46" s="23" t="str">
        <f t="shared" si="1"/>
        <v>Materiais de Animais</v>
      </c>
      <c r="N46" s="23" t="str">
        <f t="shared" si="2"/>
        <v>Produto Animal</v>
      </c>
      <c r="O46" s="23" t="str">
        <f t="shared" si="3"/>
        <v>Sebo</v>
      </c>
      <c r="P46" s="24" t="s">
        <v>517</v>
      </c>
      <c r="Q46" s="50" t="str">
        <f t="shared" si="4"/>
        <v>Sebo</v>
      </c>
      <c r="R46" s="24" t="s">
        <v>1</v>
      </c>
      <c r="S46" s="24" t="str">
        <f t="shared" si="5"/>
        <v>Materialidades</v>
      </c>
      <c r="T46" s="24" t="str">
        <f t="shared" si="6"/>
        <v>Materiais de Animais</v>
      </c>
      <c r="U46" s="24" t="str">
        <f t="shared" si="7"/>
        <v>Produto Animal</v>
      </c>
      <c r="V46" s="24" t="s">
        <v>835</v>
      </c>
      <c r="W46" s="58" t="str">
        <f t="shared" si="8"/>
        <v>Key-MAT-46</v>
      </c>
      <c r="X46" s="24" t="s">
        <v>586</v>
      </c>
      <c r="Y46" s="24" t="s">
        <v>587</v>
      </c>
      <c r="Z46" s="63" t="s">
        <v>632</v>
      </c>
      <c r="AA46" s="24" t="str">
        <f t="shared" si="10"/>
        <v>Tallow</v>
      </c>
    </row>
    <row r="47" spans="1:27" ht="6.75" customHeight="1" x14ac:dyDescent="0.25">
      <c r="A47" s="55">
        <v>47</v>
      </c>
      <c r="B47" s="56" t="s">
        <v>838</v>
      </c>
      <c r="C47" s="53" t="s">
        <v>839</v>
      </c>
      <c r="D47" s="53" t="s">
        <v>840</v>
      </c>
      <c r="E47" s="53" t="s">
        <v>244</v>
      </c>
      <c r="F47" s="53" t="s">
        <v>207</v>
      </c>
      <c r="G47" s="57" t="s">
        <v>1</v>
      </c>
      <c r="H47" s="57" t="s">
        <v>1</v>
      </c>
      <c r="I47" s="57" t="s">
        <v>1</v>
      </c>
      <c r="J47" s="57" t="s">
        <v>1</v>
      </c>
      <c r="K47" s="57" t="s">
        <v>1</v>
      </c>
      <c r="L47" s="23" t="str">
        <f t="shared" si="0"/>
        <v>Materialidades</v>
      </c>
      <c r="M47" s="23" t="str">
        <f t="shared" si="1"/>
        <v>Materiais de Borrachas</v>
      </c>
      <c r="N47" s="23" t="str">
        <f t="shared" si="2"/>
        <v>Borrachas Derivadas</v>
      </c>
      <c r="O47" s="23" t="str">
        <f t="shared" si="3"/>
        <v>Borracha DPNR</v>
      </c>
      <c r="P47" s="50" t="s">
        <v>189</v>
      </c>
      <c r="Q47" s="50" t="str">
        <f t="shared" si="4"/>
        <v>Caucho natural desproteicado</v>
      </c>
      <c r="R47" s="24" t="s">
        <v>1</v>
      </c>
      <c r="S47" s="24" t="str">
        <f t="shared" si="5"/>
        <v>Materialidades</v>
      </c>
      <c r="T47" s="24" t="str">
        <f t="shared" si="6"/>
        <v>Materiais de Borrachas</v>
      </c>
      <c r="U47" s="24" t="str">
        <f t="shared" si="7"/>
        <v>Borrachas Derivadas</v>
      </c>
      <c r="V47" s="24" t="s">
        <v>835</v>
      </c>
      <c r="W47" s="58" t="str">
        <f t="shared" si="8"/>
        <v>Key-MAT-47</v>
      </c>
      <c r="X47" s="24" t="s">
        <v>586</v>
      </c>
      <c r="Y47" s="24" t="s">
        <v>587</v>
      </c>
      <c r="Z47" s="63" t="s">
        <v>633</v>
      </c>
      <c r="AA47" s="24" t="str">
        <f t="shared" si="10"/>
        <v>Deproteinated natural rubber</v>
      </c>
    </row>
    <row r="48" spans="1:27" ht="6.75" customHeight="1" x14ac:dyDescent="0.25">
      <c r="A48" s="55">
        <v>48</v>
      </c>
      <c r="B48" s="56" t="s">
        <v>838</v>
      </c>
      <c r="C48" s="53" t="s">
        <v>839</v>
      </c>
      <c r="D48" s="53" t="s">
        <v>840</v>
      </c>
      <c r="E48" s="53" t="s">
        <v>244</v>
      </c>
      <c r="F48" s="53" t="s">
        <v>208</v>
      </c>
      <c r="G48" s="57" t="s">
        <v>1</v>
      </c>
      <c r="H48" s="57" t="s">
        <v>1</v>
      </c>
      <c r="I48" s="57" t="s">
        <v>1</v>
      </c>
      <c r="J48" s="57" t="s">
        <v>1</v>
      </c>
      <c r="K48" s="57" t="s">
        <v>1</v>
      </c>
      <c r="L48" s="23" t="str">
        <f t="shared" si="0"/>
        <v>Materialidades</v>
      </c>
      <c r="M48" s="23" t="str">
        <f t="shared" si="1"/>
        <v>Materiais de Borrachas</v>
      </c>
      <c r="N48" s="23" t="str">
        <f t="shared" si="2"/>
        <v>Borrachas Derivadas</v>
      </c>
      <c r="O48" s="23" t="str">
        <f t="shared" si="3"/>
        <v>Borracha LNR</v>
      </c>
      <c r="P48" s="50" t="s">
        <v>190</v>
      </c>
      <c r="Q48" s="50" t="str">
        <f t="shared" si="4"/>
        <v>Caucho Natural Líquido</v>
      </c>
      <c r="R48" s="24" t="s">
        <v>1</v>
      </c>
      <c r="S48" s="24" t="str">
        <f t="shared" si="5"/>
        <v>Materialidades</v>
      </c>
      <c r="T48" s="24" t="str">
        <f t="shared" si="6"/>
        <v>Materiais de Borrachas</v>
      </c>
      <c r="U48" s="24" t="str">
        <f t="shared" si="7"/>
        <v>Borrachas Derivadas</v>
      </c>
      <c r="V48" s="24" t="s">
        <v>835</v>
      </c>
      <c r="W48" s="58" t="str">
        <f t="shared" si="8"/>
        <v>Key-MAT-48</v>
      </c>
      <c r="X48" s="24" t="s">
        <v>586</v>
      </c>
      <c r="Y48" s="24" t="s">
        <v>587</v>
      </c>
      <c r="Z48" s="63" t="s">
        <v>633</v>
      </c>
      <c r="AA48" s="24" t="str">
        <f t="shared" si="10"/>
        <v>Liquid Natural Rubber</v>
      </c>
    </row>
    <row r="49" spans="1:27" ht="6.75" customHeight="1" x14ac:dyDescent="0.25">
      <c r="A49" s="55">
        <v>49</v>
      </c>
      <c r="B49" s="56" t="s">
        <v>838</v>
      </c>
      <c r="C49" s="53" t="s">
        <v>839</v>
      </c>
      <c r="D49" s="53" t="s">
        <v>840</v>
      </c>
      <c r="E49" s="53" t="s">
        <v>244</v>
      </c>
      <c r="F49" s="53" t="s">
        <v>209</v>
      </c>
      <c r="G49" s="57" t="s">
        <v>1</v>
      </c>
      <c r="H49" s="57" t="s">
        <v>1</v>
      </c>
      <c r="I49" s="57" t="s">
        <v>1</v>
      </c>
      <c r="J49" s="57" t="s">
        <v>1</v>
      </c>
      <c r="K49" s="57" t="s">
        <v>1</v>
      </c>
      <c r="L49" s="23" t="str">
        <f t="shared" si="0"/>
        <v>Materialidades</v>
      </c>
      <c r="M49" s="23" t="str">
        <f t="shared" si="1"/>
        <v>Materiais de Borrachas</v>
      </c>
      <c r="N49" s="23" t="str">
        <f t="shared" si="2"/>
        <v>Borrachas Derivadas</v>
      </c>
      <c r="O49" s="23" t="str">
        <f t="shared" si="3"/>
        <v>Borracha SP</v>
      </c>
      <c r="P49" s="50" t="s">
        <v>191</v>
      </c>
      <c r="Q49" s="50" t="str">
        <f t="shared" si="4"/>
        <v>Caucho natural de procesamiento superior</v>
      </c>
      <c r="R49" s="24" t="s">
        <v>1</v>
      </c>
      <c r="S49" s="24" t="str">
        <f t="shared" si="5"/>
        <v>Materialidades</v>
      </c>
      <c r="T49" s="24" t="str">
        <f t="shared" si="6"/>
        <v>Materiais de Borrachas</v>
      </c>
      <c r="U49" s="24" t="str">
        <f t="shared" si="7"/>
        <v>Borrachas Derivadas</v>
      </c>
      <c r="V49" s="24" t="s">
        <v>835</v>
      </c>
      <c r="W49" s="58" t="str">
        <f t="shared" si="8"/>
        <v>Key-MAT-49</v>
      </c>
      <c r="X49" s="24" t="s">
        <v>586</v>
      </c>
      <c r="Y49" s="24" t="s">
        <v>587</v>
      </c>
      <c r="Z49" s="63" t="s">
        <v>633</v>
      </c>
      <c r="AA49" s="24" t="str">
        <f t="shared" si="10"/>
        <v>Superior processing natural rubber</v>
      </c>
    </row>
    <row r="50" spans="1:27" ht="6.75" customHeight="1" x14ac:dyDescent="0.25">
      <c r="A50" s="55">
        <v>50</v>
      </c>
      <c r="B50" s="56" t="s">
        <v>838</v>
      </c>
      <c r="C50" s="53" t="s">
        <v>839</v>
      </c>
      <c r="D50" s="53" t="s">
        <v>840</v>
      </c>
      <c r="E50" s="53" t="s">
        <v>244</v>
      </c>
      <c r="F50" s="53" t="s">
        <v>210</v>
      </c>
      <c r="G50" s="57" t="s">
        <v>1</v>
      </c>
      <c r="H50" s="57" t="s">
        <v>1</v>
      </c>
      <c r="I50" s="57" t="s">
        <v>1</v>
      </c>
      <c r="J50" s="57" t="s">
        <v>1</v>
      </c>
      <c r="K50" s="57" t="s">
        <v>1</v>
      </c>
      <c r="L50" s="23" t="str">
        <f t="shared" si="0"/>
        <v>Materialidades</v>
      </c>
      <c r="M50" s="23" t="str">
        <f t="shared" si="1"/>
        <v>Materiais de Borrachas</v>
      </c>
      <c r="N50" s="23" t="str">
        <f t="shared" si="2"/>
        <v>Borrachas Derivadas</v>
      </c>
      <c r="O50" s="23" t="str">
        <f t="shared" si="3"/>
        <v>Borracha CV</v>
      </c>
      <c r="P50" s="50" t="s">
        <v>192</v>
      </c>
      <c r="Q50" s="50" t="str">
        <f t="shared" si="4"/>
        <v>Caucho natural con viscosidad controlada</v>
      </c>
      <c r="R50" s="24" t="s">
        <v>1</v>
      </c>
      <c r="S50" s="24" t="str">
        <f t="shared" si="5"/>
        <v>Materialidades</v>
      </c>
      <c r="T50" s="24" t="str">
        <f t="shared" si="6"/>
        <v>Materiais de Borrachas</v>
      </c>
      <c r="U50" s="24" t="str">
        <f t="shared" si="7"/>
        <v>Borrachas Derivadas</v>
      </c>
      <c r="V50" s="24" t="s">
        <v>835</v>
      </c>
      <c r="W50" s="58" t="str">
        <f t="shared" si="8"/>
        <v>Key-MAT-50</v>
      </c>
      <c r="X50" s="24" t="s">
        <v>586</v>
      </c>
      <c r="Y50" s="24" t="s">
        <v>587</v>
      </c>
      <c r="Z50" s="63" t="s">
        <v>633</v>
      </c>
      <c r="AA50" s="24" t="str">
        <f t="shared" si="10"/>
        <v>Controlled viscosity natural rubber</v>
      </c>
    </row>
    <row r="51" spans="1:27" ht="6.75" customHeight="1" x14ac:dyDescent="0.25">
      <c r="A51" s="55">
        <v>51</v>
      </c>
      <c r="B51" s="56" t="s">
        <v>838</v>
      </c>
      <c r="C51" s="53" t="s">
        <v>839</v>
      </c>
      <c r="D51" s="53" t="s">
        <v>840</v>
      </c>
      <c r="E51" s="53" t="s">
        <v>244</v>
      </c>
      <c r="F51" s="53" t="s">
        <v>211</v>
      </c>
      <c r="G51" s="57" t="s">
        <v>1</v>
      </c>
      <c r="H51" s="57" t="s">
        <v>1</v>
      </c>
      <c r="I51" s="57" t="s">
        <v>1</v>
      </c>
      <c r="J51" s="57" t="s">
        <v>1</v>
      </c>
      <c r="K51" s="57" t="s">
        <v>1</v>
      </c>
      <c r="L51" s="23" t="str">
        <f t="shared" si="0"/>
        <v>Materialidades</v>
      </c>
      <c r="M51" s="23" t="str">
        <f t="shared" si="1"/>
        <v>Materiais de Borrachas</v>
      </c>
      <c r="N51" s="23" t="str">
        <f t="shared" si="2"/>
        <v>Borrachas Derivadas</v>
      </c>
      <c r="O51" s="23" t="str">
        <f t="shared" si="3"/>
        <v>Borracha ENR</v>
      </c>
      <c r="P51" s="50" t="s">
        <v>193</v>
      </c>
      <c r="Q51" s="50" t="str">
        <f t="shared" si="4"/>
        <v>Caucho natural epooxidado</v>
      </c>
      <c r="R51" s="24" t="s">
        <v>1</v>
      </c>
      <c r="S51" s="24" t="str">
        <f t="shared" si="5"/>
        <v>Materialidades</v>
      </c>
      <c r="T51" s="24" t="str">
        <f t="shared" si="6"/>
        <v>Materiais de Borrachas</v>
      </c>
      <c r="U51" s="24" t="str">
        <f t="shared" si="7"/>
        <v>Borrachas Derivadas</v>
      </c>
      <c r="V51" s="24" t="s">
        <v>835</v>
      </c>
      <c r="W51" s="58" t="str">
        <f t="shared" si="8"/>
        <v>Key-MAT-51</v>
      </c>
      <c r="X51" s="24" t="s">
        <v>586</v>
      </c>
      <c r="Y51" s="24" t="s">
        <v>587</v>
      </c>
      <c r="Z51" s="63" t="s">
        <v>633</v>
      </c>
      <c r="AA51" s="24" t="str">
        <f t="shared" si="10"/>
        <v>Epoxidized Natural Rubber</v>
      </c>
    </row>
    <row r="52" spans="1:27" ht="6.75" customHeight="1" x14ac:dyDescent="0.25">
      <c r="A52" s="55">
        <v>52</v>
      </c>
      <c r="B52" s="56" t="s">
        <v>838</v>
      </c>
      <c r="C52" s="53" t="s">
        <v>839</v>
      </c>
      <c r="D52" s="53" t="s">
        <v>840</v>
      </c>
      <c r="E52" s="53" t="s">
        <v>244</v>
      </c>
      <c r="F52" s="53" t="s">
        <v>212</v>
      </c>
      <c r="G52" s="57" t="s">
        <v>1</v>
      </c>
      <c r="H52" s="57" t="s">
        <v>1</v>
      </c>
      <c r="I52" s="57" t="s">
        <v>1</v>
      </c>
      <c r="J52" s="57" t="s">
        <v>1</v>
      </c>
      <c r="K52" s="57" t="s">
        <v>1</v>
      </c>
      <c r="L52" s="23" t="str">
        <f t="shared" si="0"/>
        <v>Materialidades</v>
      </c>
      <c r="M52" s="23" t="str">
        <f t="shared" si="1"/>
        <v>Materiais de Borrachas</v>
      </c>
      <c r="N52" s="23" t="str">
        <f t="shared" si="2"/>
        <v>Borrachas Derivadas</v>
      </c>
      <c r="O52" s="23" t="str">
        <f t="shared" si="3"/>
        <v>Borracha MGNR</v>
      </c>
      <c r="P52" s="50" t="s">
        <v>194</v>
      </c>
      <c r="Q52" s="50" t="str">
        <f t="shared" si="4"/>
        <v>Caucho natural injertado con metacrilato</v>
      </c>
      <c r="R52" s="24" t="s">
        <v>1</v>
      </c>
      <c r="S52" s="24" t="str">
        <f t="shared" si="5"/>
        <v>Materialidades</v>
      </c>
      <c r="T52" s="24" t="str">
        <f t="shared" si="6"/>
        <v>Materiais de Borrachas</v>
      </c>
      <c r="U52" s="24" t="str">
        <f t="shared" si="7"/>
        <v>Borrachas Derivadas</v>
      </c>
      <c r="V52" s="24" t="s">
        <v>835</v>
      </c>
      <c r="W52" s="58" t="str">
        <f t="shared" si="8"/>
        <v>Key-MAT-52</v>
      </c>
      <c r="X52" s="24" t="s">
        <v>586</v>
      </c>
      <c r="Y52" s="24" t="s">
        <v>587</v>
      </c>
      <c r="Z52" s="63" t="s">
        <v>633</v>
      </c>
      <c r="AA52" s="24" t="str">
        <f t="shared" si="10"/>
        <v>Natural rubber grafted with methacrylate</v>
      </c>
    </row>
    <row r="53" spans="1:27" ht="6.75" customHeight="1" x14ac:dyDescent="0.25">
      <c r="A53" s="55">
        <v>53</v>
      </c>
      <c r="B53" s="56" t="s">
        <v>838</v>
      </c>
      <c r="C53" s="53" t="s">
        <v>839</v>
      </c>
      <c r="D53" s="53" t="s">
        <v>840</v>
      </c>
      <c r="E53" s="53" t="s">
        <v>244</v>
      </c>
      <c r="F53" s="53" t="s">
        <v>213</v>
      </c>
      <c r="G53" s="57" t="s">
        <v>1</v>
      </c>
      <c r="H53" s="57" t="s">
        <v>1</v>
      </c>
      <c r="I53" s="57" t="s">
        <v>1</v>
      </c>
      <c r="J53" s="57" t="s">
        <v>1</v>
      </c>
      <c r="K53" s="57" t="s">
        <v>1</v>
      </c>
      <c r="L53" s="23" t="str">
        <f t="shared" si="0"/>
        <v>Materialidades</v>
      </c>
      <c r="M53" s="23" t="str">
        <f t="shared" si="1"/>
        <v>Materiais de Borrachas</v>
      </c>
      <c r="N53" s="23" t="str">
        <f t="shared" si="2"/>
        <v>Borrachas Derivadas</v>
      </c>
      <c r="O53" s="23" t="str">
        <f t="shared" si="3"/>
        <v>Borracha OENR</v>
      </c>
      <c r="P53" s="50" t="s">
        <v>195</v>
      </c>
      <c r="Q53" s="50" t="str">
        <f t="shared" si="4"/>
        <v>Caucho natural extendido con aceite</v>
      </c>
      <c r="R53" s="24" t="s">
        <v>1</v>
      </c>
      <c r="S53" s="24" t="str">
        <f t="shared" si="5"/>
        <v>Materialidades</v>
      </c>
      <c r="T53" s="24" t="str">
        <f t="shared" si="6"/>
        <v>Materiais de Borrachas</v>
      </c>
      <c r="U53" s="24" t="str">
        <f t="shared" si="7"/>
        <v>Borrachas Derivadas</v>
      </c>
      <c r="V53" s="24" t="s">
        <v>835</v>
      </c>
      <c r="W53" s="58" t="str">
        <f t="shared" si="8"/>
        <v>Key-MAT-53</v>
      </c>
      <c r="X53" s="24" t="s">
        <v>586</v>
      </c>
      <c r="Y53" s="24" t="s">
        <v>587</v>
      </c>
      <c r="Z53" s="63" t="s">
        <v>633</v>
      </c>
      <c r="AA53" s="24" t="str">
        <f t="shared" si="10"/>
        <v>Natural rubber extended with oil</v>
      </c>
    </row>
    <row r="54" spans="1:27" ht="6.75" customHeight="1" x14ac:dyDescent="0.25">
      <c r="A54" s="55">
        <v>54</v>
      </c>
      <c r="B54" s="56" t="s">
        <v>838</v>
      </c>
      <c r="C54" s="53" t="s">
        <v>839</v>
      </c>
      <c r="D54" s="53" t="s">
        <v>840</v>
      </c>
      <c r="E54" s="53" t="s">
        <v>244</v>
      </c>
      <c r="F54" s="53" t="s">
        <v>214</v>
      </c>
      <c r="G54" s="57" t="s">
        <v>1</v>
      </c>
      <c r="H54" s="57" t="s">
        <v>1</v>
      </c>
      <c r="I54" s="57" t="s">
        <v>1</v>
      </c>
      <c r="J54" s="57" t="s">
        <v>1</v>
      </c>
      <c r="K54" s="57" t="s">
        <v>1</v>
      </c>
      <c r="L54" s="23" t="str">
        <f t="shared" si="0"/>
        <v>Materialidades</v>
      </c>
      <c r="M54" s="23" t="str">
        <f t="shared" si="1"/>
        <v>Materiais de Borrachas</v>
      </c>
      <c r="N54" s="23" t="str">
        <f t="shared" si="2"/>
        <v>Borrachas Derivadas</v>
      </c>
      <c r="O54" s="23" t="str">
        <f t="shared" si="3"/>
        <v>Borracha TPNR</v>
      </c>
      <c r="P54" s="50" t="s">
        <v>196</v>
      </c>
      <c r="Q54" s="50" t="str">
        <f t="shared" si="4"/>
        <v>Caucho natural termoplástico</v>
      </c>
      <c r="R54" s="24" t="s">
        <v>1</v>
      </c>
      <c r="S54" s="24" t="str">
        <f t="shared" si="5"/>
        <v>Materialidades</v>
      </c>
      <c r="T54" s="24" t="str">
        <f t="shared" si="6"/>
        <v>Materiais de Borrachas</v>
      </c>
      <c r="U54" s="24" t="str">
        <f t="shared" si="7"/>
        <v>Borrachas Derivadas</v>
      </c>
      <c r="V54" s="24" t="s">
        <v>835</v>
      </c>
      <c r="W54" s="58" t="str">
        <f t="shared" si="8"/>
        <v>Key-MAT-54</v>
      </c>
      <c r="X54" s="24" t="s">
        <v>586</v>
      </c>
      <c r="Y54" s="24" t="s">
        <v>587</v>
      </c>
      <c r="Z54" s="63" t="s">
        <v>633</v>
      </c>
      <c r="AA54" s="24" t="str">
        <f t="shared" si="10"/>
        <v>Thermoplastic natural rubber</v>
      </c>
    </row>
    <row r="55" spans="1:27" ht="6.75" customHeight="1" x14ac:dyDescent="0.25">
      <c r="A55" s="55">
        <v>55</v>
      </c>
      <c r="B55" s="56" t="s">
        <v>838</v>
      </c>
      <c r="C55" s="53" t="s">
        <v>839</v>
      </c>
      <c r="D55" s="53" t="s">
        <v>840</v>
      </c>
      <c r="E55" s="53" t="s">
        <v>119</v>
      </c>
      <c r="F55" s="53" t="s">
        <v>215</v>
      </c>
      <c r="G55" s="57" t="s">
        <v>1</v>
      </c>
      <c r="H55" s="57" t="s">
        <v>1</v>
      </c>
      <c r="I55" s="57" t="s">
        <v>1</v>
      </c>
      <c r="J55" s="57" t="s">
        <v>1</v>
      </c>
      <c r="K55" s="57" t="s">
        <v>1</v>
      </c>
      <c r="L55" s="23" t="str">
        <f t="shared" si="0"/>
        <v>Materialidades</v>
      </c>
      <c r="M55" s="23" t="str">
        <f t="shared" si="1"/>
        <v>Materiais de Borrachas</v>
      </c>
      <c r="N55" s="23" t="str">
        <f t="shared" si="2"/>
        <v>Borracha Sintética</v>
      </c>
      <c r="O55" s="23" t="str">
        <f t="shared" si="3"/>
        <v>Borracha SBR</v>
      </c>
      <c r="P55" s="50" t="s">
        <v>239</v>
      </c>
      <c r="Q55" s="50" t="str">
        <f t="shared" si="4"/>
        <v>Goma sintética estireno-butadiena (neumáticos)</v>
      </c>
      <c r="R55" s="24" t="s">
        <v>1</v>
      </c>
      <c r="S55" s="24" t="str">
        <f t="shared" si="5"/>
        <v>Materialidades</v>
      </c>
      <c r="T55" s="24" t="str">
        <f t="shared" si="6"/>
        <v>Materiais de Borrachas</v>
      </c>
      <c r="U55" s="24" t="str">
        <f t="shared" si="7"/>
        <v>Borracha Sintética</v>
      </c>
      <c r="V55" s="24" t="s">
        <v>835</v>
      </c>
      <c r="W55" s="58" t="str">
        <f t="shared" si="8"/>
        <v>Key-MAT-55</v>
      </c>
      <c r="X55" s="24" t="s">
        <v>586</v>
      </c>
      <c r="Y55" s="24" t="s">
        <v>587</v>
      </c>
      <c r="Z55" s="63" t="s">
        <v>633</v>
      </c>
      <c r="AA55" s="24" t="str">
        <f t="shared" si="10"/>
        <v>Styrene-butadiene synthetic rubber (tires)</v>
      </c>
    </row>
    <row r="56" spans="1:27" ht="6.75" customHeight="1" x14ac:dyDescent="0.25">
      <c r="A56" s="55">
        <v>56</v>
      </c>
      <c r="B56" s="56" t="s">
        <v>838</v>
      </c>
      <c r="C56" s="53" t="s">
        <v>839</v>
      </c>
      <c r="D56" s="53" t="s">
        <v>840</v>
      </c>
      <c r="E56" s="53" t="s">
        <v>119</v>
      </c>
      <c r="F56" s="53" t="s">
        <v>216</v>
      </c>
      <c r="G56" s="57" t="s">
        <v>1</v>
      </c>
      <c r="H56" s="57" t="s">
        <v>1</v>
      </c>
      <c r="I56" s="57" t="s">
        <v>1</v>
      </c>
      <c r="J56" s="57" t="s">
        <v>1</v>
      </c>
      <c r="K56" s="57" t="s">
        <v>1</v>
      </c>
      <c r="L56" s="23" t="str">
        <f t="shared" si="0"/>
        <v>Materialidades</v>
      </c>
      <c r="M56" s="23" t="str">
        <f t="shared" si="1"/>
        <v>Materiais de Borrachas</v>
      </c>
      <c r="N56" s="23" t="str">
        <f t="shared" si="2"/>
        <v>Borracha Sintética</v>
      </c>
      <c r="O56" s="23" t="str">
        <f t="shared" si="3"/>
        <v>Borracha NBR</v>
      </c>
      <c r="P56" s="50" t="s">
        <v>241</v>
      </c>
      <c r="Q56" s="50" t="str">
        <f t="shared" si="4"/>
        <v>Caucho sintético acrilonitrilo-butadieno (resistente al aceite)</v>
      </c>
      <c r="R56" s="24" t="s">
        <v>1</v>
      </c>
      <c r="S56" s="24" t="str">
        <f t="shared" si="5"/>
        <v>Materialidades</v>
      </c>
      <c r="T56" s="24" t="str">
        <f t="shared" si="6"/>
        <v>Materiais de Borrachas</v>
      </c>
      <c r="U56" s="24" t="str">
        <f t="shared" si="7"/>
        <v>Borracha Sintética</v>
      </c>
      <c r="V56" s="24" t="s">
        <v>835</v>
      </c>
      <c r="W56" s="58" t="str">
        <f t="shared" si="8"/>
        <v>Key-MAT-56</v>
      </c>
      <c r="X56" s="24" t="s">
        <v>586</v>
      </c>
      <c r="Y56" s="24" t="s">
        <v>587</v>
      </c>
      <c r="Z56" s="63" t="s">
        <v>633</v>
      </c>
      <c r="AA56" s="24" t="str">
        <f t="shared" si="10"/>
        <v>Acrylonitrile-butadiene synthetic rubber (oil resistant)</v>
      </c>
    </row>
    <row r="57" spans="1:27" ht="6.75" customHeight="1" x14ac:dyDescent="0.25">
      <c r="A57" s="55">
        <v>57</v>
      </c>
      <c r="B57" s="56" t="s">
        <v>838</v>
      </c>
      <c r="C57" s="53" t="s">
        <v>839</v>
      </c>
      <c r="D57" s="53" t="s">
        <v>840</v>
      </c>
      <c r="E57" s="53" t="s">
        <v>119</v>
      </c>
      <c r="F57" s="53" t="s">
        <v>217</v>
      </c>
      <c r="G57" s="57" t="s">
        <v>1</v>
      </c>
      <c r="H57" s="57" t="s">
        <v>1</v>
      </c>
      <c r="I57" s="57" t="s">
        <v>1</v>
      </c>
      <c r="J57" s="57" t="s">
        <v>1</v>
      </c>
      <c r="K57" s="57" t="s">
        <v>1</v>
      </c>
      <c r="L57" s="23" t="str">
        <f t="shared" si="0"/>
        <v>Materialidades</v>
      </c>
      <c r="M57" s="23" t="str">
        <f t="shared" si="1"/>
        <v>Materiais de Borrachas</v>
      </c>
      <c r="N57" s="23" t="str">
        <f t="shared" si="2"/>
        <v>Borracha Sintética</v>
      </c>
      <c r="O57" s="23" t="str">
        <f t="shared" si="3"/>
        <v>Borracha EPDM</v>
      </c>
      <c r="P57" s="50" t="s">
        <v>240</v>
      </c>
      <c r="Q57" s="50" t="str">
        <f t="shared" si="4"/>
        <v>Caucho sintético etileno-propileno-dieno (resistente al ozono)</v>
      </c>
      <c r="R57" s="24" t="s">
        <v>1</v>
      </c>
      <c r="S57" s="24" t="str">
        <f t="shared" si="5"/>
        <v>Materialidades</v>
      </c>
      <c r="T57" s="24" t="str">
        <f t="shared" si="6"/>
        <v>Materiais de Borrachas</v>
      </c>
      <c r="U57" s="24" t="str">
        <f t="shared" si="7"/>
        <v>Borracha Sintética</v>
      </c>
      <c r="V57" s="24" t="s">
        <v>835</v>
      </c>
      <c r="W57" s="58" t="str">
        <f t="shared" si="8"/>
        <v>Key-MAT-57</v>
      </c>
      <c r="X57" s="24" t="s">
        <v>586</v>
      </c>
      <c r="Y57" s="24" t="s">
        <v>587</v>
      </c>
      <c r="Z57" s="63" t="s">
        <v>633</v>
      </c>
      <c r="AA57" s="24" t="str">
        <f t="shared" si="10"/>
        <v>Ethylene-propylene-diene synthetic rubber (ozone resistant)</v>
      </c>
    </row>
    <row r="58" spans="1:27" ht="6.75" customHeight="1" x14ac:dyDescent="0.25">
      <c r="A58" s="55">
        <v>58</v>
      </c>
      <c r="B58" s="56" t="s">
        <v>838</v>
      </c>
      <c r="C58" s="53" t="s">
        <v>839</v>
      </c>
      <c r="D58" s="53" t="s">
        <v>840</v>
      </c>
      <c r="E58" s="53" t="s">
        <v>119</v>
      </c>
      <c r="F58" s="53" t="s">
        <v>220</v>
      </c>
      <c r="G58" s="57" t="s">
        <v>1</v>
      </c>
      <c r="H58" s="57" t="s">
        <v>1</v>
      </c>
      <c r="I58" s="57" t="s">
        <v>1</v>
      </c>
      <c r="J58" s="57" t="s">
        <v>1</v>
      </c>
      <c r="K58" s="57" t="s">
        <v>1</v>
      </c>
      <c r="L58" s="23" t="str">
        <f t="shared" si="0"/>
        <v>Materialidades</v>
      </c>
      <c r="M58" s="23" t="str">
        <f t="shared" si="1"/>
        <v>Materiais de Borrachas</v>
      </c>
      <c r="N58" s="23" t="str">
        <f t="shared" si="2"/>
        <v>Borracha Sintética</v>
      </c>
      <c r="O58" s="23" t="str">
        <f t="shared" si="3"/>
        <v>Borracha PU</v>
      </c>
      <c r="P58" s="50" t="s">
        <v>197</v>
      </c>
      <c r="Q58" s="50" t="str">
        <f t="shared" si="4"/>
        <v>Poliuretano con alta resistencia a la abrasion</v>
      </c>
      <c r="R58" s="24" t="s">
        <v>1</v>
      </c>
      <c r="S58" s="24" t="str">
        <f t="shared" si="5"/>
        <v>Materialidades</v>
      </c>
      <c r="T58" s="24" t="str">
        <f t="shared" si="6"/>
        <v>Materiais de Borrachas</v>
      </c>
      <c r="U58" s="24" t="str">
        <f t="shared" si="7"/>
        <v>Borracha Sintética</v>
      </c>
      <c r="V58" s="24" t="s">
        <v>835</v>
      </c>
      <c r="W58" s="58" t="str">
        <f t="shared" si="8"/>
        <v>Key-MAT-58</v>
      </c>
      <c r="X58" s="24" t="s">
        <v>586</v>
      </c>
      <c r="Y58" s="24" t="s">
        <v>587</v>
      </c>
      <c r="Z58" s="63" t="s">
        <v>633</v>
      </c>
      <c r="AA58" s="24" t="str">
        <f t="shared" si="10"/>
        <v>Polyurethane with high abrasion resistance</v>
      </c>
    </row>
    <row r="59" spans="1:27" ht="6.75" customHeight="1" x14ac:dyDescent="0.25">
      <c r="A59" s="55">
        <v>59</v>
      </c>
      <c r="B59" s="56" t="s">
        <v>838</v>
      </c>
      <c r="C59" s="53" t="s">
        <v>839</v>
      </c>
      <c r="D59" s="53" t="s">
        <v>840</v>
      </c>
      <c r="E59" s="53" t="s">
        <v>119</v>
      </c>
      <c r="F59" s="53" t="s">
        <v>219</v>
      </c>
      <c r="G59" s="57" t="s">
        <v>1</v>
      </c>
      <c r="H59" s="57" t="s">
        <v>1</v>
      </c>
      <c r="I59" s="57" t="s">
        <v>1</v>
      </c>
      <c r="J59" s="57" t="s">
        <v>1</v>
      </c>
      <c r="K59" s="57" t="s">
        <v>1</v>
      </c>
      <c r="L59" s="23" t="str">
        <f t="shared" si="0"/>
        <v>Materialidades</v>
      </c>
      <c r="M59" s="23" t="str">
        <f t="shared" si="1"/>
        <v>Materiais de Borrachas</v>
      </c>
      <c r="N59" s="23" t="str">
        <f t="shared" si="2"/>
        <v>Borracha Sintética</v>
      </c>
      <c r="O59" s="23" t="str">
        <f t="shared" si="3"/>
        <v>Borracha IIR</v>
      </c>
      <c r="P59" s="50" t="s">
        <v>243</v>
      </c>
      <c r="Q59" s="50" t="str">
        <f t="shared" si="4"/>
        <v>Goma sintética butílica impermeable</v>
      </c>
      <c r="R59" s="24" t="s">
        <v>1</v>
      </c>
      <c r="S59" s="24" t="str">
        <f t="shared" si="5"/>
        <v>Materialidades</v>
      </c>
      <c r="T59" s="24" t="str">
        <f t="shared" si="6"/>
        <v>Materiais de Borrachas</v>
      </c>
      <c r="U59" s="24" t="str">
        <f t="shared" si="7"/>
        <v>Borracha Sintética</v>
      </c>
      <c r="V59" s="24" t="s">
        <v>835</v>
      </c>
      <c r="W59" s="58" t="str">
        <f t="shared" si="8"/>
        <v>Key-MAT-59</v>
      </c>
      <c r="X59" s="24" t="s">
        <v>586</v>
      </c>
      <c r="Y59" s="24" t="s">
        <v>587</v>
      </c>
      <c r="Z59" s="24" t="s">
        <v>634</v>
      </c>
      <c r="AA59" s="24" t="str">
        <f t="shared" si="10"/>
        <v>Waterproof Butyl Synthetic Rubber</v>
      </c>
    </row>
    <row r="60" spans="1:27" ht="6.75" customHeight="1" x14ac:dyDescent="0.25">
      <c r="A60" s="55">
        <v>60</v>
      </c>
      <c r="B60" s="56" t="s">
        <v>838</v>
      </c>
      <c r="C60" s="53" t="s">
        <v>839</v>
      </c>
      <c r="D60" s="53" t="s">
        <v>840</v>
      </c>
      <c r="E60" s="53" t="s">
        <v>119</v>
      </c>
      <c r="F60" s="53" t="s">
        <v>218</v>
      </c>
      <c r="G60" s="57" t="s">
        <v>1</v>
      </c>
      <c r="H60" s="57" t="s">
        <v>1</v>
      </c>
      <c r="I60" s="57" t="s">
        <v>1</v>
      </c>
      <c r="J60" s="57" t="s">
        <v>1</v>
      </c>
      <c r="K60" s="57" t="s">
        <v>1</v>
      </c>
      <c r="L60" s="23" t="str">
        <f t="shared" si="0"/>
        <v>Materialidades</v>
      </c>
      <c r="M60" s="23" t="str">
        <f t="shared" si="1"/>
        <v>Materiais de Borrachas</v>
      </c>
      <c r="N60" s="23" t="str">
        <f t="shared" si="2"/>
        <v>Borracha Sintética</v>
      </c>
      <c r="O60" s="23" t="str">
        <f t="shared" si="3"/>
        <v>Borracha CR</v>
      </c>
      <c r="P60" s="50" t="s">
        <v>242</v>
      </c>
      <c r="Q60" s="50" t="str">
        <f t="shared" si="4"/>
        <v>Caucho sintético de cloropreno (neopreno)</v>
      </c>
      <c r="R60" s="24" t="s">
        <v>1</v>
      </c>
      <c r="S60" s="24" t="str">
        <f t="shared" si="5"/>
        <v>Materialidades</v>
      </c>
      <c r="T60" s="24" t="str">
        <f t="shared" si="6"/>
        <v>Materiais de Borrachas</v>
      </c>
      <c r="U60" s="24" t="str">
        <f t="shared" si="7"/>
        <v>Borracha Sintética</v>
      </c>
      <c r="V60" s="24" t="s">
        <v>835</v>
      </c>
      <c r="W60" s="58" t="str">
        <f t="shared" si="8"/>
        <v>Key-MAT-60</v>
      </c>
      <c r="X60" s="24" t="s">
        <v>586</v>
      </c>
      <c r="Y60" s="24" t="s">
        <v>587</v>
      </c>
      <c r="Z60" s="63" t="s">
        <v>635</v>
      </c>
      <c r="AA60" s="24" t="str">
        <f t="shared" si="10"/>
        <v>Synthetic Chloroprene Rubber (Neoprene)</v>
      </c>
    </row>
    <row r="61" spans="1:27" ht="6.75" customHeight="1" x14ac:dyDescent="0.25">
      <c r="A61" s="55">
        <v>61</v>
      </c>
      <c r="B61" s="56" t="s">
        <v>838</v>
      </c>
      <c r="C61" s="53" t="s">
        <v>839</v>
      </c>
      <c r="D61" s="53" t="s">
        <v>842</v>
      </c>
      <c r="E61" s="53" t="s">
        <v>153</v>
      </c>
      <c r="F61" s="53" t="s">
        <v>156</v>
      </c>
      <c r="G61" s="57" t="s">
        <v>1</v>
      </c>
      <c r="H61" s="57" t="s">
        <v>1</v>
      </c>
      <c r="I61" s="57" t="s">
        <v>1</v>
      </c>
      <c r="J61" s="57" t="s">
        <v>1</v>
      </c>
      <c r="K61" s="57" t="s">
        <v>1</v>
      </c>
      <c r="L61" s="23" t="str">
        <f t="shared" si="0"/>
        <v>Materialidades</v>
      </c>
      <c r="M61" s="23" t="str">
        <f t="shared" si="1"/>
        <v>Materiais Cerâmicos</v>
      </c>
      <c r="N61" s="23" t="str">
        <f t="shared" si="2"/>
        <v>Cerâmicas Vermelhas</v>
      </c>
      <c r="O61" s="23" t="str">
        <f t="shared" si="3"/>
        <v>Tijolo</v>
      </c>
      <c r="P61" s="24" t="s">
        <v>156</v>
      </c>
      <c r="Q61" s="50" t="str">
        <f t="shared" si="4"/>
        <v>Ladrillo</v>
      </c>
      <c r="R61" s="24" t="s">
        <v>1</v>
      </c>
      <c r="S61" s="24" t="str">
        <f t="shared" si="5"/>
        <v>Materialidades</v>
      </c>
      <c r="T61" s="24" t="str">
        <f t="shared" si="6"/>
        <v>Materiais Cerâmicos</v>
      </c>
      <c r="U61" s="24" t="str">
        <f t="shared" si="7"/>
        <v>Cerâmicas Vermelhas</v>
      </c>
      <c r="V61" s="24" t="s">
        <v>835</v>
      </c>
      <c r="W61" s="58" t="str">
        <f t="shared" si="8"/>
        <v>Key-MAT-61</v>
      </c>
      <c r="X61" s="24" t="s">
        <v>586</v>
      </c>
      <c r="Y61" s="24" t="s">
        <v>587</v>
      </c>
      <c r="Z61" s="63" t="s">
        <v>636</v>
      </c>
      <c r="AA61" s="24" t="str">
        <f t="shared" si="10"/>
        <v>Brick</v>
      </c>
    </row>
    <row r="62" spans="1:27" ht="6.75" customHeight="1" x14ac:dyDescent="0.25">
      <c r="A62" s="55">
        <v>62</v>
      </c>
      <c r="B62" s="56" t="s">
        <v>838</v>
      </c>
      <c r="C62" s="53" t="s">
        <v>839</v>
      </c>
      <c r="D62" s="53" t="s">
        <v>842</v>
      </c>
      <c r="E62" s="53" t="s">
        <v>153</v>
      </c>
      <c r="F62" s="53" t="s">
        <v>157</v>
      </c>
      <c r="G62" s="57" t="s">
        <v>1</v>
      </c>
      <c r="H62" s="57" t="s">
        <v>1</v>
      </c>
      <c r="I62" s="57" t="s">
        <v>1</v>
      </c>
      <c r="J62" s="57" t="s">
        <v>1</v>
      </c>
      <c r="K62" s="57" t="s">
        <v>1</v>
      </c>
      <c r="L62" s="23" t="str">
        <f t="shared" si="0"/>
        <v>Materialidades</v>
      </c>
      <c r="M62" s="23" t="str">
        <f t="shared" si="1"/>
        <v>Materiais Cerâmicos</v>
      </c>
      <c r="N62" s="23" t="str">
        <f t="shared" si="2"/>
        <v>Cerâmicas Vermelhas</v>
      </c>
      <c r="O62" s="23" t="str">
        <f t="shared" si="3"/>
        <v>Telha</v>
      </c>
      <c r="P62" s="24" t="s">
        <v>157</v>
      </c>
      <c r="Q62" s="50" t="str">
        <f t="shared" si="4"/>
        <v>Azulejos</v>
      </c>
      <c r="R62" s="24" t="s">
        <v>1</v>
      </c>
      <c r="S62" s="24" t="str">
        <f t="shared" si="5"/>
        <v>Materialidades</v>
      </c>
      <c r="T62" s="24" t="str">
        <f t="shared" si="6"/>
        <v>Materiais Cerâmicos</v>
      </c>
      <c r="U62" s="24" t="str">
        <f t="shared" si="7"/>
        <v>Cerâmicas Vermelhas</v>
      </c>
      <c r="V62" s="24" t="s">
        <v>835</v>
      </c>
      <c r="W62" s="58" t="str">
        <f t="shared" si="8"/>
        <v>Key-MAT-62</v>
      </c>
      <c r="X62" s="24" t="s">
        <v>586</v>
      </c>
      <c r="Y62" s="24" t="s">
        <v>587</v>
      </c>
      <c r="Z62" s="63" t="s">
        <v>636</v>
      </c>
      <c r="AA62" s="24" t="str">
        <f t="shared" si="10"/>
        <v>Tile</v>
      </c>
    </row>
    <row r="63" spans="1:27" ht="6.75" customHeight="1" x14ac:dyDescent="0.25">
      <c r="A63" s="55">
        <v>63</v>
      </c>
      <c r="B63" s="56" t="s">
        <v>838</v>
      </c>
      <c r="C63" s="53" t="s">
        <v>839</v>
      </c>
      <c r="D63" s="53" t="s">
        <v>842</v>
      </c>
      <c r="E63" s="53" t="s">
        <v>153</v>
      </c>
      <c r="F63" s="53" t="s">
        <v>158</v>
      </c>
      <c r="G63" s="57" t="s">
        <v>1</v>
      </c>
      <c r="H63" s="57" t="s">
        <v>1</v>
      </c>
      <c r="I63" s="57" t="s">
        <v>1</v>
      </c>
      <c r="J63" s="57" t="s">
        <v>1</v>
      </c>
      <c r="K63" s="57" t="s">
        <v>1</v>
      </c>
      <c r="L63" s="23" t="str">
        <f t="shared" si="0"/>
        <v>Materialidades</v>
      </c>
      <c r="M63" s="23" t="str">
        <f t="shared" si="1"/>
        <v>Materiais Cerâmicos</v>
      </c>
      <c r="N63" s="23" t="str">
        <f t="shared" si="2"/>
        <v>Cerâmicas Vermelhas</v>
      </c>
      <c r="O63" s="23" t="str">
        <f t="shared" si="3"/>
        <v>Bloco Cerâmico</v>
      </c>
      <c r="P63" s="24" t="s">
        <v>169</v>
      </c>
      <c r="Q63" s="50" t="str">
        <f t="shared" si="4"/>
        <v>Bloque cerámico</v>
      </c>
      <c r="R63" s="24" t="s">
        <v>1</v>
      </c>
      <c r="S63" s="24" t="str">
        <f t="shared" si="5"/>
        <v>Materialidades</v>
      </c>
      <c r="T63" s="24" t="str">
        <f t="shared" si="6"/>
        <v>Materiais Cerâmicos</v>
      </c>
      <c r="U63" s="24" t="str">
        <f t="shared" si="7"/>
        <v>Cerâmicas Vermelhas</v>
      </c>
      <c r="V63" s="24" t="s">
        <v>835</v>
      </c>
      <c r="W63" s="58" t="str">
        <f t="shared" si="8"/>
        <v>Key-MAT-63</v>
      </c>
      <c r="X63" s="24" t="s">
        <v>586</v>
      </c>
      <c r="Y63" s="24" t="s">
        <v>587</v>
      </c>
      <c r="Z63" s="63" t="s">
        <v>636</v>
      </c>
      <c r="AA63" s="24" t="str">
        <f t="shared" si="10"/>
        <v>Ceramic Block</v>
      </c>
    </row>
    <row r="64" spans="1:27" ht="6.75" customHeight="1" x14ac:dyDescent="0.25">
      <c r="A64" s="55">
        <v>64</v>
      </c>
      <c r="B64" s="56" t="s">
        <v>838</v>
      </c>
      <c r="C64" s="53" t="s">
        <v>839</v>
      </c>
      <c r="D64" s="53" t="s">
        <v>842</v>
      </c>
      <c r="E64" s="53" t="s">
        <v>153</v>
      </c>
      <c r="F64" s="53" t="s">
        <v>159</v>
      </c>
      <c r="G64" s="57" t="s">
        <v>1</v>
      </c>
      <c r="H64" s="57" t="s">
        <v>1</v>
      </c>
      <c r="I64" s="57" t="s">
        <v>1</v>
      </c>
      <c r="J64" s="57" t="s">
        <v>1</v>
      </c>
      <c r="K64" s="57" t="s">
        <v>1</v>
      </c>
      <c r="L64" s="23" t="str">
        <f t="shared" si="0"/>
        <v>Materialidades</v>
      </c>
      <c r="M64" s="23" t="str">
        <f t="shared" si="1"/>
        <v>Materiais Cerâmicos</v>
      </c>
      <c r="N64" s="23" t="str">
        <f t="shared" si="2"/>
        <v>Cerâmicas Vermelhas</v>
      </c>
      <c r="O64" s="23" t="str">
        <f t="shared" si="3"/>
        <v>Tubo Cerâmico</v>
      </c>
      <c r="P64" s="24" t="s">
        <v>170</v>
      </c>
      <c r="Q64" s="50" t="str">
        <f t="shared" si="4"/>
        <v>Tubo cerámico</v>
      </c>
      <c r="R64" s="24" t="s">
        <v>1</v>
      </c>
      <c r="S64" s="24" t="str">
        <f t="shared" si="5"/>
        <v>Materialidades</v>
      </c>
      <c r="T64" s="24" t="str">
        <f t="shared" si="6"/>
        <v>Materiais Cerâmicos</v>
      </c>
      <c r="U64" s="24" t="str">
        <f t="shared" si="7"/>
        <v>Cerâmicas Vermelhas</v>
      </c>
      <c r="V64" s="24" t="s">
        <v>835</v>
      </c>
      <c r="W64" s="58" t="str">
        <f t="shared" si="8"/>
        <v>Key-MAT-64</v>
      </c>
      <c r="X64" s="24" t="s">
        <v>586</v>
      </c>
      <c r="Y64" s="24" t="s">
        <v>587</v>
      </c>
      <c r="Z64" s="63" t="s">
        <v>636</v>
      </c>
      <c r="AA64" s="24" t="str">
        <f t="shared" si="10"/>
        <v>Ceramic Tube</v>
      </c>
    </row>
    <row r="65" spans="1:27" ht="6.75" customHeight="1" x14ac:dyDescent="0.25">
      <c r="A65" s="55">
        <v>65</v>
      </c>
      <c r="B65" s="56" t="s">
        <v>838</v>
      </c>
      <c r="C65" s="53" t="s">
        <v>839</v>
      </c>
      <c r="D65" s="53" t="s">
        <v>842</v>
      </c>
      <c r="E65" s="53" t="s">
        <v>154</v>
      </c>
      <c r="F65" s="53" t="s">
        <v>165</v>
      </c>
      <c r="G65" s="57" t="s">
        <v>1</v>
      </c>
      <c r="H65" s="57" t="s">
        <v>1</v>
      </c>
      <c r="I65" s="57" t="s">
        <v>1</v>
      </c>
      <c r="J65" s="57" t="s">
        <v>1</v>
      </c>
      <c r="K65" s="57" t="s">
        <v>1</v>
      </c>
      <c r="L65" s="23" t="str">
        <f t="shared" ref="L65:O131" si="11">SUBSTITUTE(CONCATENATE("", C65), ".", " ")</f>
        <v>Materialidades</v>
      </c>
      <c r="M65" s="23" t="str">
        <f t="shared" ref="M65:M131" si="12">SUBSTITUTE(CONCATENATE("", D65), ".", " ")</f>
        <v>Materiais Cerâmicos</v>
      </c>
      <c r="N65" s="23" t="str">
        <f t="shared" ref="N65:N131" si="13">SUBSTITUTE(CONCATENATE("", E65), ".", " ")</f>
        <v>Cerâmicas Brancas</v>
      </c>
      <c r="O65" s="23" t="str">
        <f t="shared" ref="O65:O131" si="14">SUBSTITUTE(CONCATENATE("", F65), ".", " ")</f>
        <v>Peça de Porcelana</v>
      </c>
      <c r="P65" s="24" t="s">
        <v>171</v>
      </c>
      <c r="Q65" s="50" t="str">
        <f t="shared" ref="Q65:Q131" si="15">_xlfn.TRANSLATE(P65,"pt","es")</f>
        <v>Pieza de porcelana</v>
      </c>
      <c r="R65" s="24" t="s">
        <v>1</v>
      </c>
      <c r="S65" s="24" t="str">
        <f t="shared" ref="S65:U131" si="16">SUBSTITUTE(C65, ".", " ")</f>
        <v>Materialidades</v>
      </c>
      <c r="T65" s="24" t="str">
        <f t="shared" ref="T65:T131" si="17">SUBSTITUTE(D65, ".", " ")</f>
        <v>Materiais Cerâmicos</v>
      </c>
      <c r="U65" s="24" t="str">
        <f t="shared" ref="U65:U131" si="18">SUBSTITUTE(E65, ".", " ")</f>
        <v>Cerâmicas Brancas</v>
      </c>
      <c r="V65" s="24" t="s">
        <v>835</v>
      </c>
      <c r="W65" s="58" t="str">
        <f t="shared" ref="W65:W128" si="19">CONCATENATE("Key-MAT-",A65)</f>
        <v>Key-MAT-65</v>
      </c>
      <c r="X65" s="24" t="s">
        <v>586</v>
      </c>
      <c r="Y65" s="24" t="s">
        <v>587</v>
      </c>
      <c r="Z65" s="63" t="s">
        <v>637</v>
      </c>
      <c r="AA65" s="24" t="str">
        <f t="shared" si="10"/>
        <v>Porcelain Piece</v>
      </c>
    </row>
    <row r="66" spans="1:27" ht="6.75" customHeight="1" x14ac:dyDescent="0.25">
      <c r="A66" s="55">
        <v>66</v>
      </c>
      <c r="B66" s="56" t="s">
        <v>838</v>
      </c>
      <c r="C66" s="53" t="s">
        <v>839</v>
      </c>
      <c r="D66" s="53" t="s">
        <v>842</v>
      </c>
      <c r="E66" s="53" t="s">
        <v>154</v>
      </c>
      <c r="F66" s="53" t="s">
        <v>166</v>
      </c>
      <c r="G66" s="57" t="s">
        <v>1</v>
      </c>
      <c r="H66" s="57" t="s">
        <v>1</v>
      </c>
      <c r="I66" s="57" t="s">
        <v>1</v>
      </c>
      <c r="J66" s="57" t="s">
        <v>1</v>
      </c>
      <c r="K66" s="57" t="s">
        <v>1</v>
      </c>
      <c r="L66" s="23" t="str">
        <f t="shared" si="11"/>
        <v>Materialidades</v>
      </c>
      <c r="M66" s="23" t="str">
        <f t="shared" si="12"/>
        <v>Materiais Cerâmicos</v>
      </c>
      <c r="N66" s="23" t="str">
        <f t="shared" si="13"/>
        <v>Cerâmicas Brancas</v>
      </c>
      <c r="O66" s="23" t="str">
        <f t="shared" si="14"/>
        <v>Peça Sanitária</v>
      </c>
      <c r="P66" s="24" t="s">
        <v>172</v>
      </c>
      <c r="Q66" s="50" t="str">
        <f t="shared" si="15"/>
        <v>Parte sanitaria</v>
      </c>
      <c r="R66" s="24" t="s">
        <v>1</v>
      </c>
      <c r="S66" s="24" t="str">
        <f t="shared" si="16"/>
        <v>Materialidades</v>
      </c>
      <c r="T66" s="24" t="str">
        <f t="shared" si="17"/>
        <v>Materiais Cerâmicos</v>
      </c>
      <c r="U66" s="24" t="str">
        <f t="shared" si="18"/>
        <v>Cerâmicas Brancas</v>
      </c>
      <c r="V66" s="24" t="s">
        <v>835</v>
      </c>
      <c r="W66" s="58" t="str">
        <f t="shared" si="19"/>
        <v>Key-MAT-66</v>
      </c>
      <c r="X66" s="24" t="s">
        <v>586</v>
      </c>
      <c r="Y66" s="24" t="s">
        <v>587</v>
      </c>
      <c r="Z66" s="63" t="s">
        <v>638</v>
      </c>
      <c r="AA66" s="24" t="str">
        <f t="shared" ref="AA66:AA68" si="20">_xlfn.TRANSLATE(P66,"pt","en")</f>
        <v>Sanitary Part</v>
      </c>
    </row>
    <row r="67" spans="1:27" ht="6.75" customHeight="1" x14ac:dyDescent="0.25">
      <c r="A67" s="55">
        <v>67</v>
      </c>
      <c r="B67" s="56" t="s">
        <v>838</v>
      </c>
      <c r="C67" s="53" t="s">
        <v>839</v>
      </c>
      <c r="D67" s="53" t="s">
        <v>842</v>
      </c>
      <c r="E67" s="53" t="s">
        <v>154</v>
      </c>
      <c r="F67" s="53" t="s">
        <v>167</v>
      </c>
      <c r="G67" s="57" t="s">
        <v>1</v>
      </c>
      <c r="H67" s="57" t="s">
        <v>1</v>
      </c>
      <c r="I67" s="57" t="s">
        <v>1</v>
      </c>
      <c r="J67" s="57" t="s">
        <v>1</v>
      </c>
      <c r="K67" s="57" t="s">
        <v>1</v>
      </c>
      <c r="L67" s="23" t="str">
        <f t="shared" si="11"/>
        <v>Materialidades</v>
      </c>
      <c r="M67" s="23" t="str">
        <f t="shared" si="12"/>
        <v>Materiais Cerâmicos</v>
      </c>
      <c r="N67" s="23" t="str">
        <f t="shared" si="13"/>
        <v>Cerâmicas Brancas</v>
      </c>
      <c r="O67" s="23" t="str">
        <f t="shared" si="14"/>
        <v>Peça Acabamento</v>
      </c>
      <c r="P67" s="24" t="s">
        <v>173</v>
      </c>
      <c r="Q67" s="50" t="str">
        <f t="shared" si="15"/>
        <v>Parte de Finalización</v>
      </c>
      <c r="R67" s="24" t="s">
        <v>1</v>
      </c>
      <c r="S67" s="24" t="str">
        <f t="shared" si="16"/>
        <v>Materialidades</v>
      </c>
      <c r="T67" s="24" t="str">
        <f t="shared" si="17"/>
        <v>Materiais Cerâmicos</v>
      </c>
      <c r="U67" s="24" t="str">
        <f t="shared" si="18"/>
        <v>Cerâmicas Brancas</v>
      </c>
      <c r="V67" s="24" t="s">
        <v>835</v>
      </c>
      <c r="W67" s="58" t="str">
        <f t="shared" si="19"/>
        <v>Key-MAT-67</v>
      </c>
      <c r="X67" s="24" t="s">
        <v>586</v>
      </c>
      <c r="Y67" s="24" t="s">
        <v>587</v>
      </c>
      <c r="Z67" s="63" t="s">
        <v>636</v>
      </c>
      <c r="AA67" s="24" t="str">
        <f t="shared" si="20"/>
        <v>Finishing Part</v>
      </c>
    </row>
    <row r="68" spans="1:27" ht="6.75" customHeight="1" x14ac:dyDescent="0.25">
      <c r="A68" s="55">
        <v>68</v>
      </c>
      <c r="B68" s="56" t="s">
        <v>838</v>
      </c>
      <c r="C68" s="53" t="s">
        <v>839</v>
      </c>
      <c r="D68" s="53" t="s">
        <v>842</v>
      </c>
      <c r="E68" s="53" t="s">
        <v>154</v>
      </c>
      <c r="F68" s="53" t="s">
        <v>160</v>
      </c>
      <c r="G68" s="57" t="s">
        <v>1</v>
      </c>
      <c r="H68" s="57" t="s">
        <v>1</v>
      </c>
      <c r="I68" s="57" t="s">
        <v>1</v>
      </c>
      <c r="J68" s="57" t="s">
        <v>1</v>
      </c>
      <c r="K68" s="57" t="s">
        <v>1</v>
      </c>
      <c r="L68" s="23" t="str">
        <f t="shared" si="11"/>
        <v>Materialidades</v>
      </c>
      <c r="M68" s="23" t="str">
        <f t="shared" si="12"/>
        <v>Materiais Cerâmicos</v>
      </c>
      <c r="N68" s="23" t="str">
        <f t="shared" si="13"/>
        <v>Cerâmicas Brancas</v>
      </c>
      <c r="O68" s="23" t="str">
        <f t="shared" si="14"/>
        <v>Peça Revestimento</v>
      </c>
      <c r="P68" s="24" t="s">
        <v>174</v>
      </c>
      <c r="Q68" s="50" t="str">
        <f t="shared" si="15"/>
        <v>Recubrimiento de piezas</v>
      </c>
      <c r="R68" s="24" t="s">
        <v>1</v>
      </c>
      <c r="S68" s="24" t="str">
        <f t="shared" si="16"/>
        <v>Materialidades</v>
      </c>
      <c r="T68" s="24" t="str">
        <f t="shared" si="17"/>
        <v>Materiais Cerâmicos</v>
      </c>
      <c r="U68" s="24" t="str">
        <f t="shared" si="18"/>
        <v>Cerâmicas Brancas</v>
      </c>
      <c r="V68" s="24" t="s">
        <v>835</v>
      </c>
      <c r="W68" s="58" t="str">
        <f t="shared" si="19"/>
        <v>Key-MAT-68</v>
      </c>
      <c r="X68" s="24" t="s">
        <v>586</v>
      </c>
      <c r="Y68" s="24" t="s">
        <v>587</v>
      </c>
      <c r="Z68" s="63" t="s">
        <v>636</v>
      </c>
      <c r="AA68" s="24" t="str">
        <f t="shared" si="20"/>
        <v>Piece Coating</v>
      </c>
    </row>
    <row r="69" spans="1:27" ht="6.75" customHeight="1" x14ac:dyDescent="0.25">
      <c r="A69" s="55">
        <v>69</v>
      </c>
      <c r="B69" s="56" t="s">
        <v>838</v>
      </c>
      <c r="C69" s="53" t="s">
        <v>839</v>
      </c>
      <c r="D69" s="53" t="s">
        <v>842</v>
      </c>
      <c r="E69" s="53" t="s">
        <v>154</v>
      </c>
      <c r="F69" s="53" t="s">
        <v>161</v>
      </c>
      <c r="G69" s="57" t="s">
        <v>1</v>
      </c>
      <c r="H69" s="57" t="s">
        <v>1</v>
      </c>
      <c r="I69" s="57" t="s">
        <v>1</v>
      </c>
      <c r="J69" s="57" t="s">
        <v>1</v>
      </c>
      <c r="K69" s="57" t="s">
        <v>1</v>
      </c>
      <c r="L69" s="23" t="str">
        <f t="shared" si="11"/>
        <v>Materialidades</v>
      </c>
      <c r="M69" s="23" t="str">
        <f t="shared" si="12"/>
        <v>Materiais Cerâmicos</v>
      </c>
      <c r="N69" s="23" t="str">
        <f t="shared" si="13"/>
        <v>Cerâmicas Brancas</v>
      </c>
      <c r="O69" s="23" t="str">
        <f t="shared" si="14"/>
        <v>Peça Decorativa</v>
      </c>
      <c r="P69" s="24" t="s">
        <v>175</v>
      </c>
      <c r="Q69" s="50" t="str">
        <f t="shared" si="15"/>
        <v>Pieza decorativa</v>
      </c>
      <c r="R69" s="24" t="s">
        <v>1</v>
      </c>
      <c r="S69" s="24" t="str">
        <f t="shared" si="16"/>
        <v>Materialidades</v>
      </c>
      <c r="T69" s="24" t="str">
        <f t="shared" si="17"/>
        <v>Materiais Cerâmicos</v>
      </c>
      <c r="U69" s="24" t="str">
        <f t="shared" si="18"/>
        <v>Cerâmicas Brancas</v>
      </c>
      <c r="V69" s="24" t="s">
        <v>835</v>
      </c>
      <c r="W69" s="58" t="str">
        <f t="shared" si="19"/>
        <v>Key-MAT-69</v>
      </c>
      <c r="X69" s="24" t="s">
        <v>586</v>
      </c>
      <c r="Y69" s="24" t="s">
        <v>587</v>
      </c>
      <c r="Z69" s="63" t="s">
        <v>636</v>
      </c>
      <c r="AA69" s="24" t="str">
        <f t="shared" ref="AA69:AA132" si="21">_xlfn.TRANSLATE(P69,"pt","en")</f>
        <v>Decorative Piece</v>
      </c>
    </row>
    <row r="70" spans="1:27" s="51" customFormat="1" ht="6.75" customHeight="1" x14ac:dyDescent="0.25">
      <c r="A70" s="55">
        <v>70</v>
      </c>
      <c r="B70" s="56" t="s">
        <v>838</v>
      </c>
      <c r="C70" s="53" t="s">
        <v>839</v>
      </c>
      <c r="D70" s="53" t="s">
        <v>842</v>
      </c>
      <c r="E70" s="53" t="s">
        <v>155</v>
      </c>
      <c r="F70" s="53" t="s">
        <v>168</v>
      </c>
      <c r="G70" s="57" t="s">
        <v>1</v>
      </c>
      <c r="H70" s="57" t="s">
        <v>1</v>
      </c>
      <c r="I70" s="57" t="s">
        <v>1</v>
      </c>
      <c r="J70" s="57" t="s">
        <v>1</v>
      </c>
      <c r="K70" s="57" t="s">
        <v>1</v>
      </c>
      <c r="L70" s="23" t="str">
        <f t="shared" si="11"/>
        <v>Materialidades</v>
      </c>
      <c r="M70" s="23" t="str">
        <f t="shared" si="12"/>
        <v>Materiais Cerâmicos</v>
      </c>
      <c r="N70" s="23" t="str">
        <f t="shared" si="13"/>
        <v>Cerâmicas Técnicas</v>
      </c>
      <c r="O70" s="23" t="str">
        <f t="shared" si="14"/>
        <v>Peça Refratária</v>
      </c>
      <c r="P70" s="24" t="s">
        <v>176</v>
      </c>
      <c r="Q70" s="50" t="str">
        <f t="shared" si="15"/>
        <v>Parte refractaria</v>
      </c>
      <c r="R70" s="24" t="s">
        <v>1</v>
      </c>
      <c r="S70" s="24" t="str">
        <f t="shared" si="16"/>
        <v>Materialidades</v>
      </c>
      <c r="T70" s="24" t="str">
        <f t="shared" si="17"/>
        <v>Materiais Cerâmicos</v>
      </c>
      <c r="U70" s="24" t="str">
        <f t="shared" si="18"/>
        <v>Cerâmicas Técnicas</v>
      </c>
      <c r="V70" s="24" t="s">
        <v>835</v>
      </c>
      <c r="W70" s="58" t="str">
        <f t="shared" si="19"/>
        <v>Key-MAT-70</v>
      </c>
      <c r="X70" s="24" t="s">
        <v>586</v>
      </c>
      <c r="Y70" s="24" t="s">
        <v>587</v>
      </c>
      <c r="Z70" s="63" t="s">
        <v>636</v>
      </c>
      <c r="AA70" s="24" t="str">
        <f t="shared" si="21"/>
        <v>Refractory Part</v>
      </c>
    </row>
    <row r="71" spans="1:27" s="51" customFormat="1" ht="6.75" customHeight="1" x14ac:dyDescent="0.25">
      <c r="A71" s="55">
        <v>71</v>
      </c>
      <c r="B71" s="56" t="s">
        <v>838</v>
      </c>
      <c r="C71" s="53" t="s">
        <v>839</v>
      </c>
      <c r="D71" s="53" t="s">
        <v>842</v>
      </c>
      <c r="E71" s="53" t="s">
        <v>155</v>
      </c>
      <c r="F71" s="53" t="s">
        <v>162</v>
      </c>
      <c r="G71" s="57" t="s">
        <v>1</v>
      </c>
      <c r="H71" s="57" t="s">
        <v>1</v>
      </c>
      <c r="I71" s="57" t="s">
        <v>1</v>
      </c>
      <c r="J71" s="57" t="s">
        <v>1</v>
      </c>
      <c r="K71" s="57" t="s">
        <v>1</v>
      </c>
      <c r="L71" s="23" t="str">
        <f t="shared" si="11"/>
        <v>Materialidades</v>
      </c>
      <c r="M71" s="23" t="str">
        <f t="shared" si="12"/>
        <v>Materiais Cerâmicos</v>
      </c>
      <c r="N71" s="23" t="str">
        <f t="shared" si="13"/>
        <v>Cerâmicas Técnicas</v>
      </c>
      <c r="O71" s="23" t="str">
        <f t="shared" si="14"/>
        <v>Peça Isolante</v>
      </c>
      <c r="P71" s="24" t="s">
        <v>177</v>
      </c>
      <c r="Q71" s="50" t="str">
        <f t="shared" si="15"/>
        <v>Parte aislante</v>
      </c>
      <c r="R71" s="24" t="s">
        <v>1</v>
      </c>
      <c r="S71" s="24" t="str">
        <f t="shared" si="16"/>
        <v>Materialidades</v>
      </c>
      <c r="T71" s="24" t="str">
        <f t="shared" si="17"/>
        <v>Materiais Cerâmicos</v>
      </c>
      <c r="U71" s="24" t="str">
        <f t="shared" si="18"/>
        <v>Cerâmicas Técnicas</v>
      </c>
      <c r="V71" s="24" t="s">
        <v>835</v>
      </c>
      <c r="W71" s="58" t="str">
        <f t="shared" si="19"/>
        <v>Key-MAT-71</v>
      </c>
      <c r="X71" s="24" t="s">
        <v>586</v>
      </c>
      <c r="Y71" s="24" t="s">
        <v>587</v>
      </c>
      <c r="Z71" s="63" t="s">
        <v>636</v>
      </c>
      <c r="AA71" s="24" t="str">
        <f t="shared" si="21"/>
        <v>Insulating Part</v>
      </c>
    </row>
    <row r="72" spans="1:27" s="51" customFormat="1" ht="6.75" customHeight="1" x14ac:dyDescent="0.25">
      <c r="A72" s="55">
        <v>72</v>
      </c>
      <c r="B72" s="56" t="s">
        <v>838</v>
      </c>
      <c r="C72" s="53" t="s">
        <v>839</v>
      </c>
      <c r="D72" s="53" t="s">
        <v>842</v>
      </c>
      <c r="E72" s="53" t="s">
        <v>155</v>
      </c>
      <c r="F72" s="53" t="s">
        <v>163</v>
      </c>
      <c r="G72" s="57" t="s">
        <v>1</v>
      </c>
      <c r="H72" s="57" t="s">
        <v>1</v>
      </c>
      <c r="I72" s="57" t="s">
        <v>1</v>
      </c>
      <c r="J72" s="57" t="s">
        <v>1</v>
      </c>
      <c r="K72" s="57" t="s">
        <v>1</v>
      </c>
      <c r="L72" s="23" t="str">
        <f t="shared" si="11"/>
        <v>Materialidades</v>
      </c>
      <c r="M72" s="23" t="str">
        <f t="shared" si="12"/>
        <v>Materiais Cerâmicos</v>
      </c>
      <c r="N72" s="23" t="str">
        <f t="shared" si="13"/>
        <v>Cerâmicas Técnicas</v>
      </c>
      <c r="O72" s="23" t="str">
        <f t="shared" si="14"/>
        <v>Peça Eletrônica</v>
      </c>
      <c r="P72" s="24" t="s">
        <v>178</v>
      </c>
      <c r="Q72" s="50" t="str">
        <f t="shared" si="15"/>
        <v>Parte electrónica</v>
      </c>
      <c r="R72" s="24" t="s">
        <v>1</v>
      </c>
      <c r="S72" s="24" t="str">
        <f t="shared" si="16"/>
        <v>Materialidades</v>
      </c>
      <c r="T72" s="24" t="str">
        <f t="shared" si="17"/>
        <v>Materiais Cerâmicos</v>
      </c>
      <c r="U72" s="24" t="str">
        <f t="shared" si="18"/>
        <v>Cerâmicas Técnicas</v>
      </c>
      <c r="V72" s="24" t="s">
        <v>835</v>
      </c>
      <c r="W72" s="58" t="str">
        <f t="shared" si="19"/>
        <v>Key-MAT-72</v>
      </c>
      <c r="X72" s="24" t="s">
        <v>586</v>
      </c>
      <c r="Y72" s="24" t="s">
        <v>587</v>
      </c>
      <c r="Z72" s="63" t="s">
        <v>636</v>
      </c>
      <c r="AA72" s="24" t="str">
        <f t="shared" si="21"/>
        <v>Electronic Part</v>
      </c>
    </row>
    <row r="73" spans="1:27" s="51" customFormat="1" ht="6.75" customHeight="1" x14ac:dyDescent="0.25">
      <c r="A73" s="55">
        <v>73</v>
      </c>
      <c r="B73" s="56" t="s">
        <v>838</v>
      </c>
      <c r="C73" s="53" t="s">
        <v>839</v>
      </c>
      <c r="D73" s="53" t="s">
        <v>842</v>
      </c>
      <c r="E73" s="53" t="s">
        <v>155</v>
      </c>
      <c r="F73" s="53" t="s">
        <v>164</v>
      </c>
      <c r="G73" s="57" t="s">
        <v>1</v>
      </c>
      <c r="H73" s="57" t="s">
        <v>1</v>
      </c>
      <c r="I73" s="57" t="s">
        <v>1</v>
      </c>
      <c r="J73" s="57" t="s">
        <v>1</v>
      </c>
      <c r="K73" s="57" t="s">
        <v>1</v>
      </c>
      <c r="L73" s="23" t="str">
        <f t="shared" si="11"/>
        <v>Materialidades</v>
      </c>
      <c r="M73" s="23" t="str">
        <f t="shared" si="12"/>
        <v>Materiais Cerâmicos</v>
      </c>
      <c r="N73" s="23" t="str">
        <f t="shared" si="13"/>
        <v>Cerâmicas Técnicas</v>
      </c>
      <c r="O73" s="23" t="str">
        <f t="shared" si="14"/>
        <v>Peça Biomédica</v>
      </c>
      <c r="P73" s="24" t="s">
        <v>179</v>
      </c>
      <c r="Q73" s="50" t="str">
        <f t="shared" si="15"/>
        <v>Parte biomédica</v>
      </c>
      <c r="R73" s="24" t="s">
        <v>1</v>
      </c>
      <c r="S73" s="24" t="str">
        <f t="shared" si="16"/>
        <v>Materialidades</v>
      </c>
      <c r="T73" s="24" t="str">
        <f t="shared" si="17"/>
        <v>Materiais Cerâmicos</v>
      </c>
      <c r="U73" s="24" t="str">
        <f t="shared" si="18"/>
        <v>Cerâmicas Técnicas</v>
      </c>
      <c r="V73" s="24" t="s">
        <v>835</v>
      </c>
      <c r="W73" s="58" t="str">
        <f t="shared" si="19"/>
        <v>Key-MAT-73</v>
      </c>
      <c r="X73" s="24" t="s">
        <v>586</v>
      </c>
      <c r="Y73" s="24" t="s">
        <v>587</v>
      </c>
      <c r="Z73" s="63" t="s">
        <v>636</v>
      </c>
      <c r="AA73" s="24" t="str">
        <f t="shared" si="21"/>
        <v>Biomedical Part</v>
      </c>
    </row>
    <row r="74" spans="1:27" s="51" customFormat="1" ht="6.75" customHeight="1" x14ac:dyDescent="0.25">
      <c r="A74" s="55">
        <v>74</v>
      </c>
      <c r="B74" s="56" t="s">
        <v>838</v>
      </c>
      <c r="C74" s="53" t="s">
        <v>839</v>
      </c>
      <c r="D74" s="62" t="s">
        <v>843</v>
      </c>
      <c r="E74" s="62" t="s">
        <v>427</v>
      </c>
      <c r="F74" s="53" t="s">
        <v>138</v>
      </c>
      <c r="G74" s="57" t="s">
        <v>1</v>
      </c>
      <c r="H74" s="57" t="s">
        <v>1</v>
      </c>
      <c r="I74" s="57" t="s">
        <v>1</v>
      </c>
      <c r="J74" s="57" t="s">
        <v>1</v>
      </c>
      <c r="K74" s="57" t="s">
        <v>1</v>
      </c>
      <c r="L74" s="23" t="str">
        <f t="shared" si="11"/>
        <v>Materialidades</v>
      </c>
      <c r="M74" s="23" t="str">
        <f t="shared" si="12"/>
        <v>Materiais de Aditivos</v>
      </c>
      <c r="N74" s="23" t="str">
        <f t="shared" si="13"/>
        <v>Aditivas</v>
      </c>
      <c r="O74" s="23" t="str">
        <f t="shared" si="14"/>
        <v>Defloculante</v>
      </c>
      <c r="P74" s="24" t="s">
        <v>140</v>
      </c>
      <c r="Q74" s="50" t="str">
        <f t="shared" si="15"/>
        <v>Se usa para mejorar la manifiabilidad del material.</v>
      </c>
      <c r="R74" s="24" t="s">
        <v>1</v>
      </c>
      <c r="S74" s="24" t="str">
        <f t="shared" si="16"/>
        <v>Materialidades</v>
      </c>
      <c r="T74" s="24" t="str">
        <f t="shared" si="17"/>
        <v>Materiais de Aditivos</v>
      </c>
      <c r="U74" s="24" t="str">
        <f t="shared" si="18"/>
        <v>Aditivas</v>
      </c>
      <c r="V74" s="24" t="s">
        <v>835</v>
      </c>
      <c r="W74" s="58" t="str">
        <f t="shared" si="19"/>
        <v>Key-MAT-74</v>
      </c>
      <c r="X74" s="24" t="s">
        <v>586</v>
      </c>
      <c r="Y74" s="24" t="s">
        <v>587</v>
      </c>
      <c r="Z74" s="24" t="s">
        <v>828</v>
      </c>
      <c r="AA74" s="24" t="str">
        <f t="shared" si="21"/>
        <v>Used to improve the workability of the material.</v>
      </c>
    </row>
    <row r="75" spans="1:27" s="51" customFormat="1" ht="6.75" customHeight="1" x14ac:dyDescent="0.25">
      <c r="A75" s="55">
        <v>75</v>
      </c>
      <c r="B75" s="56" t="s">
        <v>838</v>
      </c>
      <c r="C75" s="53" t="s">
        <v>839</v>
      </c>
      <c r="D75" s="62" t="s">
        <v>843</v>
      </c>
      <c r="E75" s="62" t="s">
        <v>427</v>
      </c>
      <c r="F75" s="53" t="s">
        <v>139</v>
      </c>
      <c r="G75" s="57" t="s">
        <v>1</v>
      </c>
      <c r="H75" s="57" t="s">
        <v>1</v>
      </c>
      <c r="I75" s="57" t="s">
        <v>1</v>
      </c>
      <c r="J75" s="57" t="s">
        <v>1</v>
      </c>
      <c r="K75" s="57" t="s">
        <v>1</v>
      </c>
      <c r="L75" s="23" t="str">
        <f t="shared" si="11"/>
        <v>Materialidades</v>
      </c>
      <c r="M75" s="23" t="str">
        <f t="shared" si="12"/>
        <v>Materiais de Aditivos</v>
      </c>
      <c r="N75" s="23" t="str">
        <f t="shared" si="13"/>
        <v>Aditivas</v>
      </c>
      <c r="O75" s="23" t="str">
        <f t="shared" si="14"/>
        <v>Pigmento</v>
      </c>
      <c r="P75" s="24" t="s">
        <v>141</v>
      </c>
      <c r="Q75" s="50" t="str">
        <f t="shared" si="15"/>
        <v>Se usaba para cambiar propiedades cromáticas.</v>
      </c>
      <c r="R75" s="24" t="s">
        <v>1</v>
      </c>
      <c r="S75" s="24" t="str">
        <f t="shared" si="16"/>
        <v>Materialidades</v>
      </c>
      <c r="T75" s="24" t="str">
        <f t="shared" si="17"/>
        <v>Materiais de Aditivos</v>
      </c>
      <c r="U75" s="24" t="str">
        <f t="shared" si="18"/>
        <v>Aditivas</v>
      </c>
      <c r="V75" s="24" t="s">
        <v>835</v>
      </c>
      <c r="W75" s="58" t="str">
        <f t="shared" si="19"/>
        <v>Key-MAT-75</v>
      </c>
      <c r="X75" s="24" t="s">
        <v>586</v>
      </c>
      <c r="Y75" s="24" t="s">
        <v>587</v>
      </c>
      <c r="Z75" s="24" t="s">
        <v>828</v>
      </c>
      <c r="AA75" s="24" t="str">
        <f t="shared" si="21"/>
        <v>Used to change chromatic properties.</v>
      </c>
    </row>
    <row r="76" spans="1:27" s="51" customFormat="1" ht="6.75" customHeight="1" x14ac:dyDescent="0.25">
      <c r="A76" s="55">
        <v>76</v>
      </c>
      <c r="B76" s="56" t="s">
        <v>838</v>
      </c>
      <c r="C76" s="53" t="s">
        <v>839</v>
      </c>
      <c r="D76" s="62" t="s">
        <v>844</v>
      </c>
      <c r="E76" s="62" t="s">
        <v>429</v>
      </c>
      <c r="F76" s="53" t="s">
        <v>299</v>
      </c>
      <c r="G76" s="57" t="s">
        <v>1</v>
      </c>
      <c r="H76" s="57" t="s">
        <v>1</v>
      </c>
      <c r="I76" s="57" t="s">
        <v>1</v>
      </c>
      <c r="J76" s="57" t="s">
        <v>1</v>
      </c>
      <c r="K76" s="57" t="s">
        <v>1</v>
      </c>
      <c r="L76" s="23" t="str">
        <f t="shared" si="11"/>
        <v>Materialidades</v>
      </c>
      <c r="M76" s="23" t="str">
        <f t="shared" si="12"/>
        <v>Materiais de Insumos</v>
      </c>
      <c r="N76" s="23" t="str">
        <f t="shared" si="13"/>
        <v>Gases</v>
      </c>
      <c r="O76" s="23" t="str">
        <f t="shared" si="14"/>
        <v>Hidrocarboneto</v>
      </c>
      <c r="P76" s="50" t="s">
        <v>299</v>
      </c>
      <c r="Q76" s="50" t="str">
        <f t="shared" si="15"/>
        <v>Hidrocarburos</v>
      </c>
      <c r="R76" s="24" t="s">
        <v>1</v>
      </c>
      <c r="S76" s="24" t="str">
        <f t="shared" si="16"/>
        <v>Materialidades</v>
      </c>
      <c r="T76" s="24" t="str">
        <f t="shared" si="17"/>
        <v>Materiais de Insumos</v>
      </c>
      <c r="U76" s="24" t="str">
        <f t="shared" si="18"/>
        <v>Gases</v>
      </c>
      <c r="V76" s="24" t="s">
        <v>835</v>
      </c>
      <c r="W76" s="58" t="str">
        <f t="shared" si="19"/>
        <v>Key-MAT-76</v>
      </c>
      <c r="X76" s="24" t="s">
        <v>586</v>
      </c>
      <c r="Y76" s="24" t="s">
        <v>587</v>
      </c>
      <c r="Z76" s="63" t="s">
        <v>639</v>
      </c>
      <c r="AA76" s="24" t="str">
        <f t="shared" si="21"/>
        <v>Hydrocarbon</v>
      </c>
    </row>
    <row r="77" spans="1:27" s="51" customFormat="1" ht="6.75" customHeight="1" x14ac:dyDescent="0.25">
      <c r="A77" s="55">
        <v>77</v>
      </c>
      <c r="B77" s="56" t="s">
        <v>838</v>
      </c>
      <c r="C77" s="53" t="s">
        <v>839</v>
      </c>
      <c r="D77" s="62" t="s">
        <v>844</v>
      </c>
      <c r="E77" s="62" t="s">
        <v>429</v>
      </c>
      <c r="F77" s="53" t="s">
        <v>335</v>
      </c>
      <c r="G77" s="57" t="s">
        <v>1</v>
      </c>
      <c r="H77" s="57" t="s">
        <v>1</v>
      </c>
      <c r="I77" s="57" t="s">
        <v>1</v>
      </c>
      <c r="J77" s="57" t="s">
        <v>1</v>
      </c>
      <c r="K77" s="57" t="s">
        <v>1</v>
      </c>
      <c r="L77" s="23" t="str">
        <f t="shared" si="11"/>
        <v>Materialidades</v>
      </c>
      <c r="M77" s="23" t="str">
        <f t="shared" si="12"/>
        <v>Materiais de Insumos</v>
      </c>
      <c r="N77" s="23" t="str">
        <f t="shared" si="13"/>
        <v>Gases</v>
      </c>
      <c r="O77" s="23" t="str">
        <f t="shared" si="14"/>
        <v>Gas Propano</v>
      </c>
      <c r="P77" s="50" t="s">
        <v>283</v>
      </c>
      <c r="Q77" s="50" t="str">
        <f t="shared" si="15"/>
        <v>Propano</v>
      </c>
      <c r="R77" s="24" t="s">
        <v>1</v>
      </c>
      <c r="S77" s="24" t="str">
        <f t="shared" si="16"/>
        <v>Materialidades</v>
      </c>
      <c r="T77" s="24" t="str">
        <f t="shared" si="17"/>
        <v>Materiais de Insumos</v>
      </c>
      <c r="U77" s="24" t="str">
        <f t="shared" si="18"/>
        <v>Gases</v>
      </c>
      <c r="V77" s="24" t="s">
        <v>835</v>
      </c>
      <c r="W77" s="58" t="str">
        <f t="shared" si="19"/>
        <v>Key-MAT-77</v>
      </c>
      <c r="X77" s="24" t="s">
        <v>586</v>
      </c>
      <c r="Y77" s="24" t="s">
        <v>587</v>
      </c>
      <c r="Z77" s="63" t="s">
        <v>640</v>
      </c>
      <c r="AA77" s="24" t="str">
        <f t="shared" si="21"/>
        <v>Propane</v>
      </c>
    </row>
    <row r="78" spans="1:27" s="51" customFormat="1" ht="6.75" customHeight="1" x14ac:dyDescent="0.25">
      <c r="A78" s="55">
        <v>78</v>
      </c>
      <c r="B78" s="56" t="s">
        <v>838</v>
      </c>
      <c r="C78" s="53" t="s">
        <v>839</v>
      </c>
      <c r="D78" s="62" t="s">
        <v>844</v>
      </c>
      <c r="E78" s="62" t="s">
        <v>429</v>
      </c>
      <c r="F78" s="53" t="s">
        <v>300</v>
      </c>
      <c r="G78" s="57" t="s">
        <v>1</v>
      </c>
      <c r="H78" s="57" t="s">
        <v>1</v>
      </c>
      <c r="I78" s="57" t="s">
        <v>1</v>
      </c>
      <c r="J78" s="57" t="s">
        <v>1</v>
      </c>
      <c r="K78" s="57" t="s">
        <v>1</v>
      </c>
      <c r="L78" s="23" t="str">
        <f t="shared" si="11"/>
        <v>Materialidades</v>
      </c>
      <c r="M78" s="23" t="str">
        <f t="shared" si="12"/>
        <v>Materiais de Insumos</v>
      </c>
      <c r="N78" s="23" t="str">
        <f t="shared" si="13"/>
        <v>Gases</v>
      </c>
      <c r="O78" s="23" t="str">
        <f t="shared" si="14"/>
        <v>Gas Butano</v>
      </c>
      <c r="P78" s="50" t="s">
        <v>300</v>
      </c>
      <c r="Q78" s="50" t="str">
        <f t="shared" si="15"/>
        <v>Gas Butano</v>
      </c>
      <c r="R78" s="24" t="s">
        <v>1</v>
      </c>
      <c r="S78" s="24" t="str">
        <f t="shared" si="16"/>
        <v>Materialidades</v>
      </c>
      <c r="T78" s="24" t="str">
        <f t="shared" si="17"/>
        <v>Materiais de Insumos</v>
      </c>
      <c r="U78" s="24" t="str">
        <f t="shared" si="18"/>
        <v>Gases</v>
      </c>
      <c r="V78" s="24" t="s">
        <v>835</v>
      </c>
      <c r="W78" s="58" t="str">
        <f t="shared" si="19"/>
        <v>Key-MAT-78</v>
      </c>
      <c r="X78" s="24" t="s">
        <v>586</v>
      </c>
      <c r="Y78" s="24" t="s">
        <v>587</v>
      </c>
      <c r="Z78" s="63" t="s">
        <v>641</v>
      </c>
      <c r="AA78" s="24" t="str">
        <f t="shared" si="21"/>
        <v>Butane Gas</v>
      </c>
    </row>
    <row r="79" spans="1:27" s="51" customFormat="1" ht="6.75" customHeight="1" x14ac:dyDescent="0.25">
      <c r="A79" s="55">
        <v>79</v>
      </c>
      <c r="B79" s="56" t="s">
        <v>838</v>
      </c>
      <c r="C79" s="53" t="s">
        <v>839</v>
      </c>
      <c r="D79" s="62" t="s">
        <v>844</v>
      </c>
      <c r="E79" s="62" t="s">
        <v>429</v>
      </c>
      <c r="F79" s="53" t="s">
        <v>336</v>
      </c>
      <c r="G79" s="57" t="s">
        <v>1</v>
      </c>
      <c r="H79" s="57" t="s">
        <v>1</v>
      </c>
      <c r="I79" s="57" t="s">
        <v>1</v>
      </c>
      <c r="J79" s="57" t="s">
        <v>1</v>
      </c>
      <c r="K79" s="57" t="s">
        <v>1</v>
      </c>
      <c r="L79" s="23" t="str">
        <f t="shared" si="11"/>
        <v>Materialidades</v>
      </c>
      <c r="M79" s="23" t="str">
        <f t="shared" si="12"/>
        <v>Materiais de Insumos</v>
      </c>
      <c r="N79" s="23" t="str">
        <f t="shared" si="13"/>
        <v>Gases</v>
      </c>
      <c r="O79" s="23" t="str">
        <f t="shared" si="14"/>
        <v>Gas GLP</v>
      </c>
      <c r="P79" s="50" t="s">
        <v>284</v>
      </c>
      <c r="Q79" s="50" t="str">
        <f t="shared" si="15"/>
        <v>GLP</v>
      </c>
      <c r="R79" s="24" t="s">
        <v>1</v>
      </c>
      <c r="S79" s="24" t="str">
        <f t="shared" si="16"/>
        <v>Materialidades</v>
      </c>
      <c r="T79" s="24" t="str">
        <f t="shared" si="17"/>
        <v>Materiais de Insumos</v>
      </c>
      <c r="U79" s="24" t="str">
        <f t="shared" si="18"/>
        <v>Gases</v>
      </c>
      <c r="V79" s="24" t="s">
        <v>835</v>
      </c>
      <c r="W79" s="58" t="str">
        <f t="shared" si="19"/>
        <v>Key-MAT-79</v>
      </c>
      <c r="X79" s="24" t="s">
        <v>586</v>
      </c>
      <c r="Y79" s="24" t="s">
        <v>587</v>
      </c>
      <c r="Z79" s="63" t="s">
        <v>642</v>
      </c>
      <c r="AA79" s="24" t="str">
        <f t="shared" si="21"/>
        <v>LPG</v>
      </c>
    </row>
    <row r="80" spans="1:27" ht="6.75" customHeight="1" x14ac:dyDescent="0.25">
      <c r="A80" s="55">
        <v>80</v>
      </c>
      <c r="B80" s="56" t="s">
        <v>838</v>
      </c>
      <c r="C80" s="53" t="s">
        <v>839</v>
      </c>
      <c r="D80" s="62" t="s">
        <v>844</v>
      </c>
      <c r="E80" s="62" t="s">
        <v>429</v>
      </c>
      <c r="F80" s="53" t="s">
        <v>301</v>
      </c>
      <c r="G80" s="57" t="s">
        <v>1</v>
      </c>
      <c r="H80" s="57" t="s">
        <v>1</v>
      </c>
      <c r="I80" s="57" t="s">
        <v>1</v>
      </c>
      <c r="J80" s="57" t="s">
        <v>1</v>
      </c>
      <c r="K80" s="57" t="s">
        <v>1</v>
      </c>
      <c r="L80" s="23" t="str">
        <f t="shared" si="11"/>
        <v>Materialidades</v>
      </c>
      <c r="M80" s="23" t="str">
        <f t="shared" si="12"/>
        <v>Materiais de Insumos</v>
      </c>
      <c r="N80" s="23" t="str">
        <f t="shared" si="13"/>
        <v>Gases</v>
      </c>
      <c r="O80" s="23" t="str">
        <f t="shared" si="14"/>
        <v>Gas Refrigerante</v>
      </c>
      <c r="P80" s="50" t="s">
        <v>301</v>
      </c>
      <c r="Q80" s="50" t="str">
        <f t="shared" si="15"/>
        <v>Gas. Refrigerante</v>
      </c>
      <c r="R80" s="24" t="s">
        <v>1</v>
      </c>
      <c r="S80" s="24" t="str">
        <f t="shared" si="16"/>
        <v>Materialidades</v>
      </c>
      <c r="T80" s="24" t="str">
        <f t="shared" si="17"/>
        <v>Materiais de Insumos</v>
      </c>
      <c r="U80" s="24" t="str">
        <f t="shared" si="18"/>
        <v>Gases</v>
      </c>
      <c r="V80" s="24" t="s">
        <v>835</v>
      </c>
      <c r="W80" s="58" t="str">
        <f t="shared" si="19"/>
        <v>Key-MAT-80</v>
      </c>
      <c r="X80" s="24" t="s">
        <v>586</v>
      </c>
      <c r="Y80" s="24" t="s">
        <v>587</v>
      </c>
      <c r="Z80" s="63" t="s">
        <v>643</v>
      </c>
      <c r="AA80" s="24" t="str">
        <f t="shared" si="21"/>
        <v>Gas.Refrigerant</v>
      </c>
    </row>
    <row r="81" spans="1:27" ht="6.75" customHeight="1" x14ac:dyDescent="0.25">
      <c r="A81" s="55">
        <v>81</v>
      </c>
      <c r="B81" s="56" t="s">
        <v>838</v>
      </c>
      <c r="C81" s="53" t="s">
        <v>839</v>
      </c>
      <c r="D81" s="62" t="s">
        <v>844</v>
      </c>
      <c r="E81" s="62" t="s">
        <v>429</v>
      </c>
      <c r="F81" s="53" t="s">
        <v>302</v>
      </c>
      <c r="G81" s="57" t="s">
        <v>1</v>
      </c>
      <c r="H81" s="57" t="s">
        <v>1</v>
      </c>
      <c r="I81" s="57" t="s">
        <v>1</v>
      </c>
      <c r="J81" s="57" t="s">
        <v>1</v>
      </c>
      <c r="K81" s="57" t="s">
        <v>1</v>
      </c>
      <c r="L81" s="23" t="str">
        <f t="shared" si="11"/>
        <v>Materialidades</v>
      </c>
      <c r="M81" s="23" t="str">
        <f t="shared" si="12"/>
        <v>Materiais de Insumos</v>
      </c>
      <c r="N81" s="23" t="str">
        <f t="shared" si="13"/>
        <v>Gases</v>
      </c>
      <c r="O81" s="23" t="str">
        <f t="shared" si="14"/>
        <v>Fluorocarbono</v>
      </c>
      <c r="P81" s="50" t="s">
        <v>302</v>
      </c>
      <c r="Q81" s="50" t="str">
        <f t="shared" si="15"/>
        <v>Fluorocarbono</v>
      </c>
      <c r="R81" s="24" t="s">
        <v>1</v>
      </c>
      <c r="S81" s="24" t="str">
        <f t="shared" si="16"/>
        <v>Materialidades</v>
      </c>
      <c r="T81" s="24" t="str">
        <f t="shared" si="17"/>
        <v>Materiais de Insumos</v>
      </c>
      <c r="U81" s="24" t="str">
        <f t="shared" si="18"/>
        <v>Gases</v>
      </c>
      <c r="V81" s="24" t="s">
        <v>835</v>
      </c>
      <c r="W81" s="58" t="str">
        <f t="shared" si="19"/>
        <v>Key-MAT-81</v>
      </c>
      <c r="X81" s="24" t="s">
        <v>586</v>
      </c>
      <c r="Y81" s="24" t="s">
        <v>587</v>
      </c>
      <c r="Z81" s="63" t="s">
        <v>644</v>
      </c>
      <c r="AA81" s="24" t="str">
        <f t="shared" si="21"/>
        <v>Fluorocarbon</v>
      </c>
    </row>
    <row r="82" spans="1:27" ht="6.75" customHeight="1" x14ac:dyDescent="0.25">
      <c r="A82" s="55">
        <v>82</v>
      </c>
      <c r="B82" s="56" t="s">
        <v>838</v>
      </c>
      <c r="C82" s="53" t="s">
        <v>839</v>
      </c>
      <c r="D82" s="62" t="s">
        <v>844</v>
      </c>
      <c r="E82" s="62" t="s">
        <v>429</v>
      </c>
      <c r="F82" s="53" t="s">
        <v>303</v>
      </c>
      <c r="G82" s="57" t="s">
        <v>1</v>
      </c>
      <c r="H82" s="57" t="s">
        <v>1</v>
      </c>
      <c r="I82" s="57" t="s">
        <v>1</v>
      </c>
      <c r="J82" s="57" t="s">
        <v>1</v>
      </c>
      <c r="K82" s="57" t="s">
        <v>1</v>
      </c>
      <c r="L82" s="23" t="str">
        <f t="shared" si="11"/>
        <v>Materialidades</v>
      </c>
      <c r="M82" s="23" t="str">
        <f t="shared" si="12"/>
        <v>Materiais de Insumos</v>
      </c>
      <c r="N82" s="23" t="str">
        <f t="shared" si="13"/>
        <v>Gases</v>
      </c>
      <c r="O82" s="23" t="str">
        <f t="shared" si="14"/>
        <v>CFC-11</v>
      </c>
      <c r="P82" s="50" t="s">
        <v>285</v>
      </c>
      <c r="Q82" s="50" t="str">
        <f t="shared" si="15"/>
        <v>Triclorofluorometano (CFC-11)</v>
      </c>
      <c r="R82" s="24" t="s">
        <v>1</v>
      </c>
      <c r="S82" s="24" t="str">
        <f t="shared" si="16"/>
        <v>Materialidades</v>
      </c>
      <c r="T82" s="24" t="str">
        <f t="shared" si="17"/>
        <v>Materiais de Insumos</v>
      </c>
      <c r="U82" s="24" t="str">
        <f t="shared" si="18"/>
        <v>Gases</v>
      </c>
      <c r="V82" s="24" t="s">
        <v>835</v>
      </c>
      <c r="W82" s="58" t="str">
        <f t="shared" si="19"/>
        <v>Key-MAT-82</v>
      </c>
      <c r="X82" s="24" t="s">
        <v>586</v>
      </c>
      <c r="Y82" s="24" t="s">
        <v>587</v>
      </c>
      <c r="Z82" s="63" t="s">
        <v>645</v>
      </c>
      <c r="AA82" s="24" t="str">
        <f t="shared" si="21"/>
        <v>Trichlorofluoromethane (CFC-11)</v>
      </c>
    </row>
    <row r="83" spans="1:27" ht="6.75" customHeight="1" x14ac:dyDescent="0.25">
      <c r="A83" s="55">
        <v>83</v>
      </c>
      <c r="B83" s="56" t="s">
        <v>838</v>
      </c>
      <c r="C83" s="53" t="s">
        <v>839</v>
      </c>
      <c r="D83" s="62" t="s">
        <v>844</v>
      </c>
      <c r="E83" s="62" t="s">
        <v>429</v>
      </c>
      <c r="F83" s="53" t="s">
        <v>305</v>
      </c>
      <c r="G83" s="57" t="s">
        <v>1</v>
      </c>
      <c r="H83" s="57" t="s">
        <v>1</v>
      </c>
      <c r="I83" s="57" t="s">
        <v>1</v>
      </c>
      <c r="J83" s="57" t="s">
        <v>1</v>
      </c>
      <c r="K83" s="57" t="s">
        <v>1</v>
      </c>
      <c r="L83" s="23" t="str">
        <f t="shared" si="11"/>
        <v>Materialidades</v>
      </c>
      <c r="M83" s="23" t="str">
        <f t="shared" si="12"/>
        <v>Materiais de Insumos</v>
      </c>
      <c r="N83" s="23" t="str">
        <f t="shared" si="13"/>
        <v>Gases</v>
      </c>
      <c r="O83" s="23" t="str">
        <f t="shared" si="14"/>
        <v>CFC-12</v>
      </c>
      <c r="P83" s="50" t="s">
        <v>286</v>
      </c>
      <c r="Q83" s="50" t="str">
        <f t="shared" si="15"/>
        <v>Diclorodifluorometano (CFC-12)</v>
      </c>
      <c r="R83" s="24" t="s">
        <v>1</v>
      </c>
      <c r="S83" s="24" t="str">
        <f t="shared" si="16"/>
        <v>Materialidades</v>
      </c>
      <c r="T83" s="24" t="str">
        <f t="shared" si="17"/>
        <v>Materiais de Insumos</v>
      </c>
      <c r="U83" s="24" t="str">
        <f t="shared" si="18"/>
        <v>Gases</v>
      </c>
      <c r="V83" s="24" t="s">
        <v>835</v>
      </c>
      <c r="W83" s="58" t="str">
        <f t="shared" si="19"/>
        <v>Key-MAT-83</v>
      </c>
      <c r="X83" s="24" t="s">
        <v>586</v>
      </c>
      <c r="Y83" s="24" t="s">
        <v>587</v>
      </c>
      <c r="Z83" s="63" t="s">
        <v>646</v>
      </c>
      <c r="AA83" s="24" t="str">
        <f t="shared" si="21"/>
        <v>Dichlorodifluoromethane (CFC-12)</v>
      </c>
    </row>
    <row r="84" spans="1:27" ht="6.75" customHeight="1" x14ac:dyDescent="0.25">
      <c r="A84" s="55">
        <v>84</v>
      </c>
      <c r="B84" s="56" t="s">
        <v>838</v>
      </c>
      <c r="C84" s="53" t="s">
        <v>839</v>
      </c>
      <c r="D84" s="62" t="s">
        <v>844</v>
      </c>
      <c r="E84" s="62" t="s">
        <v>429</v>
      </c>
      <c r="F84" s="53" t="s">
        <v>304</v>
      </c>
      <c r="G84" s="57" t="s">
        <v>1</v>
      </c>
      <c r="H84" s="57" t="s">
        <v>1</v>
      </c>
      <c r="I84" s="57" t="s">
        <v>1</v>
      </c>
      <c r="J84" s="57" t="s">
        <v>1</v>
      </c>
      <c r="K84" s="57" t="s">
        <v>1</v>
      </c>
      <c r="L84" s="23" t="str">
        <f t="shared" si="11"/>
        <v>Materialidades</v>
      </c>
      <c r="M84" s="23" t="str">
        <f t="shared" si="12"/>
        <v>Materiais de Insumos</v>
      </c>
      <c r="N84" s="23" t="str">
        <f t="shared" si="13"/>
        <v>Gases</v>
      </c>
      <c r="O84" s="23" t="str">
        <f t="shared" si="14"/>
        <v>CFC-13</v>
      </c>
      <c r="P84" s="50" t="s">
        <v>287</v>
      </c>
      <c r="Q84" s="50" t="str">
        <f t="shared" si="15"/>
        <v>Clorotrifluorometano (CFC-13)</v>
      </c>
      <c r="R84" s="24" t="s">
        <v>1</v>
      </c>
      <c r="S84" s="24" t="str">
        <f t="shared" si="16"/>
        <v>Materialidades</v>
      </c>
      <c r="T84" s="24" t="str">
        <f t="shared" si="17"/>
        <v>Materiais de Insumos</v>
      </c>
      <c r="U84" s="24" t="str">
        <f t="shared" si="18"/>
        <v>Gases</v>
      </c>
      <c r="V84" s="24" t="s">
        <v>835</v>
      </c>
      <c r="W84" s="58" t="str">
        <f t="shared" si="19"/>
        <v>Key-MAT-84</v>
      </c>
      <c r="X84" s="24" t="s">
        <v>586</v>
      </c>
      <c r="Y84" s="24" t="s">
        <v>587</v>
      </c>
      <c r="Z84" s="63" t="s">
        <v>647</v>
      </c>
      <c r="AA84" s="24" t="str">
        <f t="shared" si="21"/>
        <v>Chlorotrifluoromethane (CFC-13)</v>
      </c>
    </row>
    <row r="85" spans="1:27" ht="6.75" customHeight="1" x14ac:dyDescent="0.25">
      <c r="A85" s="55">
        <v>85</v>
      </c>
      <c r="B85" s="56" t="s">
        <v>838</v>
      </c>
      <c r="C85" s="53" t="s">
        <v>839</v>
      </c>
      <c r="D85" s="62" t="s">
        <v>844</v>
      </c>
      <c r="E85" s="62" t="s">
        <v>429</v>
      </c>
      <c r="F85" s="53" t="s">
        <v>306</v>
      </c>
      <c r="G85" s="57" t="s">
        <v>1</v>
      </c>
      <c r="H85" s="57" t="s">
        <v>1</v>
      </c>
      <c r="I85" s="57" t="s">
        <v>1</v>
      </c>
      <c r="J85" s="57" t="s">
        <v>1</v>
      </c>
      <c r="K85" s="57" t="s">
        <v>1</v>
      </c>
      <c r="L85" s="23" t="str">
        <f t="shared" si="11"/>
        <v>Materialidades</v>
      </c>
      <c r="M85" s="23" t="str">
        <f t="shared" si="12"/>
        <v>Materiais de Insumos</v>
      </c>
      <c r="N85" s="23" t="str">
        <f t="shared" si="13"/>
        <v>Gases</v>
      </c>
      <c r="O85" s="23" t="str">
        <f t="shared" si="14"/>
        <v>HCFC-22</v>
      </c>
      <c r="P85" s="50" t="s">
        <v>288</v>
      </c>
      <c r="Q85" s="50" t="str">
        <f t="shared" si="15"/>
        <v>Clorodifluorometano (HCFC-22)</v>
      </c>
      <c r="R85" s="24" t="s">
        <v>1</v>
      </c>
      <c r="S85" s="24" t="str">
        <f t="shared" si="16"/>
        <v>Materialidades</v>
      </c>
      <c r="T85" s="24" t="str">
        <f t="shared" si="17"/>
        <v>Materiais de Insumos</v>
      </c>
      <c r="U85" s="24" t="str">
        <f t="shared" si="18"/>
        <v>Gases</v>
      </c>
      <c r="V85" s="24" t="s">
        <v>835</v>
      </c>
      <c r="W85" s="58" t="str">
        <f t="shared" si="19"/>
        <v>Key-MAT-85</v>
      </c>
      <c r="X85" s="24" t="s">
        <v>586</v>
      </c>
      <c r="Y85" s="24" t="s">
        <v>587</v>
      </c>
      <c r="Z85" s="63" t="s">
        <v>648</v>
      </c>
      <c r="AA85" s="24" t="str">
        <f t="shared" si="21"/>
        <v>Chlorodifluoromethane (HCFC-22)</v>
      </c>
    </row>
    <row r="86" spans="1:27" ht="6.75" customHeight="1" x14ac:dyDescent="0.25">
      <c r="A86" s="55">
        <v>86</v>
      </c>
      <c r="B86" s="56" t="s">
        <v>838</v>
      </c>
      <c r="C86" s="53" t="s">
        <v>839</v>
      </c>
      <c r="D86" s="62" t="s">
        <v>844</v>
      </c>
      <c r="E86" s="62" t="s">
        <v>429</v>
      </c>
      <c r="F86" s="53" t="s">
        <v>307</v>
      </c>
      <c r="G86" s="57" t="s">
        <v>1</v>
      </c>
      <c r="H86" s="57" t="s">
        <v>1</v>
      </c>
      <c r="I86" s="57" t="s">
        <v>1</v>
      </c>
      <c r="J86" s="57" t="s">
        <v>1</v>
      </c>
      <c r="K86" s="57" t="s">
        <v>1</v>
      </c>
      <c r="L86" s="23" t="str">
        <f t="shared" si="11"/>
        <v>Materialidades</v>
      </c>
      <c r="M86" s="23" t="str">
        <f t="shared" si="12"/>
        <v>Materiais de Insumos</v>
      </c>
      <c r="N86" s="23" t="str">
        <f t="shared" si="13"/>
        <v>Gases</v>
      </c>
      <c r="O86" s="23" t="str">
        <f t="shared" si="14"/>
        <v>HFC-23</v>
      </c>
      <c r="P86" s="50" t="s">
        <v>289</v>
      </c>
      <c r="Q86" s="50" t="str">
        <f t="shared" si="15"/>
        <v>Trifluorometano (HFC-23)</v>
      </c>
      <c r="R86" s="24" t="s">
        <v>1</v>
      </c>
      <c r="S86" s="24" t="str">
        <f t="shared" si="16"/>
        <v>Materialidades</v>
      </c>
      <c r="T86" s="24" t="str">
        <f t="shared" si="17"/>
        <v>Materiais de Insumos</v>
      </c>
      <c r="U86" s="24" t="str">
        <f t="shared" si="18"/>
        <v>Gases</v>
      </c>
      <c r="V86" s="24" t="s">
        <v>835</v>
      </c>
      <c r="W86" s="58" t="str">
        <f t="shared" si="19"/>
        <v>Key-MAT-86</v>
      </c>
      <c r="X86" s="24" t="s">
        <v>586</v>
      </c>
      <c r="Y86" s="24" t="s">
        <v>587</v>
      </c>
      <c r="Z86" s="63" t="s">
        <v>649</v>
      </c>
      <c r="AA86" s="24" t="str">
        <f t="shared" si="21"/>
        <v>Trifluoromethane (HFC-23)</v>
      </c>
    </row>
    <row r="87" spans="1:27" ht="6.75" customHeight="1" x14ac:dyDescent="0.25">
      <c r="A87" s="55">
        <v>87</v>
      </c>
      <c r="B87" s="56" t="s">
        <v>838</v>
      </c>
      <c r="C87" s="53" t="s">
        <v>839</v>
      </c>
      <c r="D87" s="62" t="s">
        <v>844</v>
      </c>
      <c r="E87" s="62" t="s">
        <v>429</v>
      </c>
      <c r="F87" s="53" t="s">
        <v>308</v>
      </c>
      <c r="G87" s="57" t="s">
        <v>1</v>
      </c>
      <c r="H87" s="57" t="s">
        <v>1</v>
      </c>
      <c r="I87" s="57" t="s">
        <v>1</v>
      </c>
      <c r="J87" s="57" t="s">
        <v>1</v>
      </c>
      <c r="K87" s="57" t="s">
        <v>1</v>
      </c>
      <c r="L87" s="23" t="str">
        <f t="shared" si="11"/>
        <v>Materialidades</v>
      </c>
      <c r="M87" s="23" t="str">
        <f t="shared" si="12"/>
        <v>Materiais de Insumos</v>
      </c>
      <c r="N87" s="23" t="str">
        <f t="shared" si="13"/>
        <v>Gases</v>
      </c>
      <c r="O87" s="23" t="str">
        <f t="shared" si="14"/>
        <v>CFC-113</v>
      </c>
      <c r="P87" s="50" t="s">
        <v>290</v>
      </c>
      <c r="Q87" s="50" t="str">
        <f t="shared" si="15"/>
        <v>Triclorotrifluoroetano (CFC-113)</v>
      </c>
      <c r="R87" s="24" t="s">
        <v>1</v>
      </c>
      <c r="S87" s="24" t="str">
        <f t="shared" si="16"/>
        <v>Materialidades</v>
      </c>
      <c r="T87" s="24" t="str">
        <f t="shared" si="17"/>
        <v>Materiais de Insumos</v>
      </c>
      <c r="U87" s="24" t="str">
        <f t="shared" si="18"/>
        <v>Gases</v>
      </c>
      <c r="V87" s="24" t="s">
        <v>835</v>
      </c>
      <c r="W87" s="58" t="str">
        <f t="shared" si="19"/>
        <v>Key-MAT-87</v>
      </c>
      <c r="X87" s="24" t="s">
        <v>586</v>
      </c>
      <c r="Y87" s="24" t="s">
        <v>587</v>
      </c>
      <c r="Z87" s="63" t="s">
        <v>650</v>
      </c>
      <c r="AA87" s="24" t="str">
        <f t="shared" si="21"/>
        <v>Trichlorotrifluoroethane (CFC-113)</v>
      </c>
    </row>
    <row r="88" spans="1:27" ht="6.75" customHeight="1" x14ac:dyDescent="0.25">
      <c r="A88" s="55">
        <v>88</v>
      </c>
      <c r="B88" s="56" t="s">
        <v>838</v>
      </c>
      <c r="C88" s="53" t="s">
        <v>839</v>
      </c>
      <c r="D88" s="62" t="s">
        <v>844</v>
      </c>
      <c r="E88" s="62" t="s">
        <v>429</v>
      </c>
      <c r="F88" s="53" t="s">
        <v>309</v>
      </c>
      <c r="G88" s="57" t="s">
        <v>1</v>
      </c>
      <c r="H88" s="57" t="s">
        <v>1</v>
      </c>
      <c r="I88" s="57" t="s">
        <v>1</v>
      </c>
      <c r="J88" s="57" t="s">
        <v>1</v>
      </c>
      <c r="K88" s="57" t="s">
        <v>1</v>
      </c>
      <c r="L88" s="23" t="str">
        <f t="shared" si="11"/>
        <v>Materialidades</v>
      </c>
      <c r="M88" s="23" t="str">
        <f t="shared" si="12"/>
        <v>Materiais de Insumos</v>
      </c>
      <c r="N88" s="23" t="str">
        <f t="shared" si="13"/>
        <v>Gases</v>
      </c>
      <c r="O88" s="23" t="str">
        <f t="shared" si="14"/>
        <v>CFC-114</v>
      </c>
      <c r="P88" s="50" t="s">
        <v>291</v>
      </c>
      <c r="Q88" s="50" t="str">
        <f t="shared" si="15"/>
        <v>Diclorotetrafluoroetano (CFC-114)</v>
      </c>
      <c r="R88" s="24" t="s">
        <v>1</v>
      </c>
      <c r="S88" s="24" t="str">
        <f t="shared" si="16"/>
        <v>Materialidades</v>
      </c>
      <c r="T88" s="24" t="str">
        <f t="shared" si="17"/>
        <v>Materiais de Insumos</v>
      </c>
      <c r="U88" s="24" t="str">
        <f t="shared" si="18"/>
        <v>Gases</v>
      </c>
      <c r="V88" s="24" t="s">
        <v>835</v>
      </c>
      <c r="W88" s="58" t="str">
        <f t="shared" si="19"/>
        <v>Key-MAT-88</v>
      </c>
      <c r="X88" s="24" t="s">
        <v>586</v>
      </c>
      <c r="Y88" s="24" t="s">
        <v>587</v>
      </c>
      <c r="Z88" s="63" t="s">
        <v>651</v>
      </c>
      <c r="AA88" s="24" t="str">
        <f t="shared" si="21"/>
        <v>Dichlorotetrafluoroethane (CFC-114)</v>
      </c>
    </row>
    <row r="89" spans="1:27" ht="6.75" customHeight="1" x14ac:dyDescent="0.25">
      <c r="A89" s="55">
        <v>89</v>
      </c>
      <c r="B89" s="56" t="s">
        <v>838</v>
      </c>
      <c r="C89" s="53" t="s">
        <v>839</v>
      </c>
      <c r="D89" s="62" t="s">
        <v>844</v>
      </c>
      <c r="E89" s="62" t="s">
        <v>429</v>
      </c>
      <c r="F89" s="53" t="s">
        <v>310</v>
      </c>
      <c r="G89" s="57" t="s">
        <v>1</v>
      </c>
      <c r="H89" s="57" t="s">
        <v>1</v>
      </c>
      <c r="I89" s="57" t="s">
        <v>1</v>
      </c>
      <c r="J89" s="57" t="s">
        <v>1</v>
      </c>
      <c r="K89" s="57" t="s">
        <v>1</v>
      </c>
      <c r="L89" s="23" t="str">
        <f t="shared" si="11"/>
        <v>Materialidades</v>
      </c>
      <c r="M89" s="23" t="str">
        <f t="shared" si="12"/>
        <v>Materiais de Insumos</v>
      </c>
      <c r="N89" s="23" t="str">
        <f t="shared" si="13"/>
        <v>Gases</v>
      </c>
      <c r="O89" s="23" t="str">
        <f t="shared" si="14"/>
        <v>CFC-115</v>
      </c>
      <c r="P89" s="50" t="s">
        <v>292</v>
      </c>
      <c r="Q89" s="50" t="str">
        <f t="shared" si="15"/>
        <v>Cloropentafluoroetano (CFC-115)</v>
      </c>
      <c r="R89" s="24" t="s">
        <v>1</v>
      </c>
      <c r="S89" s="24" t="str">
        <f t="shared" si="16"/>
        <v>Materialidades</v>
      </c>
      <c r="T89" s="24" t="str">
        <f t="shared" si="17"/>
        <v>Materiais de Insumos</v>
      </c>
      <c r="U89" s="24" t="str">
        <f t="shared" si="18"/>
        <v>Gases</v>
      </c>
      <c r="V89" s="24" t="s">
        <v>835</v>
      </c>
      <c r="W89" s="58" t="str">
        <f t="shared" si="19"/>
        <v>Key-MAT-89</v>
      </c>
      <c r="X89" s="24" t="s">
        <v>586</v>
      </c>
      <c r="Y89" s="24" t="s">
        <v>587</v>
      </c>
      <c r="Z89" s="63" t="s">
        <v>652</v>
      </c>
      <c r="AA89" s="24" t="str">
        <f t="shared" si="21"/>
        <v>Chloropentafluoroethane (CFC-115)</v>
      </c>
    </row>
    <row r="90" spans="1:27" ht="6.75" customHeight="1" x14ac:dyDescent="0.25">
      <c r="A90" s="55">
        <v>90</v>
      </c>
      <c r="B90" s="56" t="s">
        <v>838</v>
      </c>
      <c r="C90" s="53" t="s">
        <v>839</v>
      </c>
      <c r="D90" s="62" t="s">
        <v>844</v>
      </c>
      <c r="E90" s="62" t="s">
        <v>429</v>
      </c>
      <c r="F90" s="53" t="s">
        <v>311</v>
      </c>
      <c r="G90" s="57" t="s">
        <v>1</v>
      </c>
      <c r="H90" s="57" t="s">
        <v>1</v>
      </c>
      <c r="I90" s="57" t="s">
        <v>1</v>
      </c>
      <c r="J90" s="57" t="s">
        <v>1</v>
      </c>
      <c r="K90" s="57" t="s">
        <v>1</v>
      </c>
      <c r="L90" s="23" t="str">
        <f t="shared" si="11"/>
        <v>Materialidades</v>
      </c>
      <c r="M90" s="23" t="str">
        <f t="shared" si="12"/>
        <v>Materiais de Insumos</v>
      </c>
      <c r="N90" s="23" t="str">
        <f t="shared" si="13"/>
        <v>Gases</v>
      </c>
      <c r="O90" s="23" t="str">
        <f t="shared" si="14"/>
        <v>CFC-116</v>
      </c>
      <c r="P90" s="50" t="s">
        <v>293</v>
      </c>
      <c r="Q90" s="50" t="str">
        <f t="shared" si="15"/>
        <v>Hexafluoroetano (CFC-116)</v>
      </c>
      <c r="R90" s="24" t="s">
        <v>1</v>
      </c>
      <c r="S90" s="24" t="str">
        <f t="shared" si="16"/>
        <v>Materialidades</v>
      </c>
      <c r="T90" s="24" t="str">
        <f t="shared" si="17"/>
        <v>Materiais de Insumos</v>
      </c>
      <c r="U90" s="24" t="str">
        <f t="shared" si="18"/>
        <v>Gases</v>
      </c>
      <c r="V90" s="24" t="s">
        <v>835</v>
      </c>
      <c r="W90" s="58" t="str">
        <f t="shared" si="19"/>
        <v>Key-MAT-90</v>
      </c>
      <c r="X90" s="24" t="s">
        <v>586</v>
      </c>
      <c r="Y90" s="24" t="s">
        <v>587</v>
      </c>
      <c r="Z90" s="63" t="s">
        <v>653</v>
      </c>
      <c r="AA90" s="24" t="str">
        <f t="shared" si="21"/>
        <v>Hexafluoroethane (CFC-116)</v>
      </c>
    </row>
    <row r="91" spans="1:27" ht="6.75" customHeight="1" x14ac:dyDescent="0.25">
      <c r="A91" s="55">
        <v>91</v>
      </c>
      <c r="B91" s="56" t="s">
        <v>838</v>
      </c>
      <c r="C91" s="53" t="s">
        <v>839</v>
      </c>
      <c r="D91" s="62" t="s">
        <v>844</v>
      </c>
      <c r="E91" s="62" t="s">
        <v>429</v>
      </c>
      <c r="F91" s="53" t="s">
        <v>312</v>
      </c>
      <c r="G91" s="57" t="s">
        <v>1</v>
      </c>
      <c r="H91" s="57" t="s">
        <v>1</v>
      </c>
      <c r="I91" s="57" t="s">
        <v>1</v>
      </c>
      <c r="J91" s="57" t="s">
        <v>1</v>
      </c>
      <c r="K91" s="57" t="s">
        <v>1</v>
      </c>
      <c r="L91" s="23" t="str">
        <f t="shared" si="11"/>
        <v>Materialidades</v>
      </c>
      <c r="M91" s="23" t="str">
        <f t="shared" si="12"/>
        <v>Materiais de Insumos</v>
      </c>
      <c r="N91" s="23" t="str">
        <f t="shared" si="13"/>
        <v>Gases</v>
      </c>
      <c r="O91" s="23" t="str">
        <f t="shared" si="14"/>
        <v>HFC-134a</v>
      </c>
      <c r="P91" s="50" t="s">
        <v>294</v>
      </c>
      <c r="Q91" s="50" t="str">
        <f t="shared" si="15"/>
        <v>Tetrafluoroetano (HFC-134a)</v>
      </c>
      <c r="R91" s="24" t="s">
        <v>1</v>
      </c>
      <c r="S91" s="24" t="str">
        <f t="shared" si="16"/>
        <v>Materialidades</v>
      </c>
      <c r="T91" s="24" t="str">
        <f t="shared" si="17"/>
        <v>Materiais de Insumos</v>
      </c>
      <c r="U91" s="24" t="str">
        <f t="shared" si="18"/>
        <v>Gases</v>
      </c>
      <c r="V91" s="24" t="s">
        <v>835</v>
      </c>
      <c r="W91" s="58" t="str">
        <f t="shared" si="19"/>
        <v>Key-MAT-91</v>
      </c>
      <c r="X91" s="24" t="s">
        <v>586</v>
      </c>
      <c r="Y91" s="24" t="s">
        <v>587</v>
      </c>
      <c r="Z91" s="63" t="s">
        <v>654</v>
      </c>
      <c r="AA91" s="24" t="str">
        <f t="shared" si="21"/>
        <v>Tetrafluoroethane (HFC-134a)</v>
      </c>
    </row>
    <row r="92" spans="1:27" ht="6.75" customHeight="1" x14ac:dyDescent="0.25">
      <c r="A92" s="55">
        <v>92</v>
      </c>
      <c r="B92" s="56" t="s">
        <v>838</v>
      </c>
      <c r="C92" s="53" t="s">
        <v>839</v>
      </c>
      <c r="D92" s="62" t="s">
        <v>844</v>
      </c>
      <c r="E92" s="62" t="s">
        <v>429</v>
      </c>
      <c r="F92" s="53" t="s">
        <v>313</v>
      </c>
      <c r="G92" s="57" t="s">
        <v>1</v>
      </c>
      <c r="H92" s="57" t="s">
        <v>1</v>
      </c>
      <c r="I92" s="57" t="s">
        <v>1</v>
      </c>
      <c r="J92" s="57" t="s">
        <v>1</v>
      </c>
      <c r="K92" s="57" t="s">
        <v>1</v>
      </c>
      <c r="L92" s="23" t="str">
        <f t="shared" si="11"/>
        <v>Materialidades</v>
      </c>
      <c r="M92" s="23" t="str">
        <f t="shared" si="12"/>
        <v>Materiais de Insumos</v>
      </c>
      <c r="N92" s="23" t="str">
        <f t="shared" si="13"/>
        <v>Gases</v>
      </c>
      <c r="O92" s="23" t="str">
        <f t="shared" si="14"/>
        <v>HFC-227ea</v>
      </c>
      <c r="P92" s="50" t="s">
        <v>295</v>
      </c>
      <c r="Q92" s="50" t="str">
        <f t="shared" si="15"/>
        <v>Heptafluoropropano (HFC-227ea)</v>
      </c>
      <c r="R92" s="24" t="s">
        <v>1</v>
      </c>
      <c r="S92" s="24" t="str">
        <f t="shared" si="16"/>
        <v>Materialidades</v>
      </c>
      <c r="T92" s="24" t="str">
        <f t="shared" si="17"/>
        <v>Materiais de Insumos</v>
      </c>
      <c r="U92" s="24" t="str">
        <f t="shared" si="18"/>
        <v>Gases</v>
      </c>
      <c r="V92" s="24" t="s">
        <v>835</v>
      </c>
      <c r="W92" s="58" t="str">
        <f t="shared" si="19"/>
        <v>Key-MAT-92</v>
      </c>
      <c r="X92" s="24" t="s">
        <v>586</v>
      </c>
      <c r="Y92" s="24" t="s">
        <v>587</v>
      </c>
      <c r="Z92" s="63" t="s">
        <v>655</v>
      </c>
      <c r="AA92" s="24" t="str">
        <f t="shared" si="21"/>
        <v>Heptafluoropropane (HFC-227ea)</v>
      </c>
    </row>
    <row r="93" spans="1:27" ht="6.75" customHeight="1" x14ac:dyDescent="0.25">
      <c r="A93" s="55">
        <v>93</v>
      </c>
      <c r="B93" s="56" t="s">
        <v>838</v>
      </c>
      <c r="C93" s="53" t="s">
        <v>839</v>
      </c>
      <c r="D93" s="62" t="s">
        <v>844</v>
      </c>
      <c r="E93" s="62" t="s">
        <v>429</v>
      </c>
      <c r="F93" s="53" t="s">
        <v>296</v>
      </c>
      <c r="G93" s="57" t="s">
        <v>1</v>
      </c>
      <c r="H93" s="57" t="s">
        <v>1</v>
      </c>
      <c r="I93" s="57" t="s">
        <v>1</v>
      </c>
      <c r="J93" s="57" t="s">
        <v>1</v>
      </c>
      <c r="K93" s="57" t="s">
        <v>1</v>
      </c>
      <c r="L93" s="23" t="str">
        <f t="shared" si="11"/>
        <v>Materialidades</v>
      </c>
      <c r="M93" s="23" t="str">
        <f t="shared" si="12"/>
        <v>Materiais de Insumos</v>
      </c>
      <c r="N93" s="23" t="str">
        <f t="shared" si="13"/>
        <v>Gases</v>
      </c>
      <c r="O93" s="23" t="str">
        <f t="shared" si="14"/>
        <v>Halon</v>
      </c>
      <c r="P93" s="50" t="s">
        <v>316</v>
      </c>
      <c r="Q93" s="50" t="str">
        <f t="shared" si="15"/>
        <v>Halón de gas</v>
      </c>
      <c r="R93" s="24" t="s">
        <v>1</v>
      </c>
      <c r="S93" s="24" t="str">
        <f t="shared" si="16"/>
        <v>Materialidades</v>
      </c>
      <c r="T93" s="24" t="str">
        <f t="shared" si="17"/>
        <v>Materiais de Insumos</v>
      </c>
      <c r="U93" s="24" t="str">
        <f t="shared" si="18"/>
        <v>Gases</v>
      </c>
      <c r="V93" s="24" t="s">
        <v>835</v>
      </c>
      <c r="W93" s="58" t="str">
        <f t="shared" si="19"/>
        <v>Key-MAT-93</v>
      </c>
      <c r="X93" s="24" t="s">
        <v>586</v>
      </c>
      <c r="Y93" s="24" t="s">
        <v>587</v>
      </c>
      <c r="Z93" s="63" t="s">
        <v>656</v>
      </c>
      <c r="AA93" s="24" t="str">
        <f t="shared" si="21"/>
        <v>Gas Halon</v>
      </c>
    </row>
    <row r="94" spans="1:27" ht="6.75" customHeight="1" x14ac:dyDescent="0.25">
      <c r="A94" s="55">
        <v>94</v>
      </c>
      <c r="B94" s="56" t="s">
        <v>838</v>
      </c>
      <c r="C94" s="53" t="s">
        <v>839</v>
      </c>
      <c r="D94" s="62" t="s">
        <v>844</v>
      </c>
      <c r="E94" s="62" t="s">
        <v>429</v>
      </c>
      <c r="F94" s="53" t="s">
        <v>314</v>
      </c>
      <c r="G94" s="57" t="s">
        <v>1</v>
      </c>
      <c r="H94" s="57" t="s">
        <v>1</v>
      </c>
      <c r="I94" s="57" t="s">
        <v>1</v>
      </c>
      <c r="J94" s="57" t="s">
        <v>1</v>
      </c>
      <c r="K94" s="57" t="s">
        <v>1</v>
      </c>
      <c r="L94" s="23" t="str">
        <f t="shared" si="11"/>
        <v>Materialidades</v>
      </c>
      <c r="M94" s="23" t="str">
        <f t="shared" si="12"/>
        <v>Materiais de Insumos</v>
      </c>
      <c r="N94" s="23" t="str">
        <f t="shared" si="13"/>
        <v>Gases</v>
      </c>
      <c r="O94" s="23" t="str">
        <f t="shared" si="14"/>
        <v>Halon1211</v>
      </c>
      <c r="P94" s="50" t="s">
        <v>297</v>
      </c>
      <c r="Q94" s="50" t="str">
        <f t="shared" si="15"/>
        <v>Bromoclorodifluorometano (Halón 1211)</v>
      </c>
      <c r="R94" s="24" t="s">
        <v>1</v>
      </c>
      <c r="S94" s="24" t="str">
        <f t="shared" si="16"/>
        <v>Materialidades</v>
      </c>
      <c r="T94" s="24" t="str">
        <f t="shared" si="17"/>
        <v>Materiais de Insumos</v>
      </c>
      <c r="U94" s="24" t="str">
        <f t="shared" si="18"/>
        <v>Gases</v>
      </c>
      <c r="V94" s="24" t="s">
        <v>835</v>
      </c>
      <c r="W94" s="58" t="str">
        <f t="shared" si="19"/>
        <v>Key-MAT-94</v>
      </c>
      <c r="X94" s="24" t="s">
        <v>586</v>
      </c>
      <c r="Y94" s="24" t="s">
        <v>587</v>
      </c>
      <c r="Z94" s="63" t="s">
        <v>657</v>
      </c>
      <c r="AA94" s="24" t="str">
        <f t="shared" si="21"/>
        <v>Bromochlorodifluoromethane (Halon 1211)</v>
      </c>
    </row>
    <row r="95" spans="1:27" ht="6.75" customHeight="1" x14ac:dyDescent="0.25">
      <c r="A95" s="55">
        <v>95</v>
      </c>
      <c r="B95" s="56" t="s">
        <v>838</v>
      </c>
      <c r="C95" s="53" t="s">
        <v>839</v>
      </c>
      <c r="D95" s="62" t="s">
        <v>844</v>
      </c>
      <c r="E95" s="62" t="s">
        <v>429</v>
      </c>
      <c r="F95" s="53" t="s">
        <v>315</v>
      </c>
      <c r="G95" s="57" t="s">
        <v>1</v>
      </c>
      <c r="H95" s="57" t="s">
        <v>1</v>
      </c>
      <c r="I95" s="57" t="s">
        <v>1</v>
      </c>
      <c r="J95" s="57" t="s">
        <v>1</v>
      </c>
      <c r="K95" s="57" t="s">
        <v>1</v>
      </c>
      <c r="L95" s="23" t="str">
        <f t="shared" si="11"/>
        <v>Materialidades</v>
      </c>
      <c r="M95" s="23" t="str">
        <f t="shared" si="12"/>
        <v>Materiais de Insumos</v>
      </c>
      <c r="N95" s="23" t="str">
        <f t="shared" si="13"/>
        <v>Gases</v>
      </c>
      <c r="O95" s="23" t="str">
        <f t="shared" si="14"/>
        <v>Halon1301</v>
      </c>
      <c r="P95" s="50" t="s">
        <v>298</v>
      </c>
      <c r="Q95" s="50" t="str">
        <f t="shared" si="15"/>
        <v>Bromotrifluorometano (Halón 1301)</v>
      </c>
      <c r="R95" s="24" t="s">
        <v>1</v>
      </c>
      <c r="S95" s="24" t="str">
        <f t="shared" si="16"/>
        <v>Materialidades</v>
      </c>
      <c r="T95" s="24" t="str">
        <f t="shared" si="17"/>
        <v>Materiais de Insumos</v>
      </c>
      <c r="U95" s="24" t="str">
        <f t="shared" si="18"/>
        <v>Gases</v>
      </c>
      <c r="V95" s="24" t="s">
        <v>835</v>
      </c>
      <c r="W95" s="58" t="str">
        <f t="shared" si="19"/>
        <v>Key-MAT-95</v>
      </c>
      <c r="X95" s="24" t="s">
        <v>586</v>
      </c>
      <c r="Y95" s="24" t="s">
        <v>587</v>
      </c>
      <c r="Z95" s="63" t="s">
        <v>658</v>
      </c>
      <c r="AA95" s="24" t="str">
        <f t="shared" si="21"/>
        <v>Bromotrifluoromethane (Halon 1301)</v>
      </c>
    </row>
    <row r="96" spans="1:27" ht="6.75" customHeight="1" x14ac:dyDescent="0.25">
      <c r="A96" s="55">
        <v>96</v>
      </c>
      <c r="B96" s="56" t="s">
        <v>838</v>
      </c>
      <c r="C96" s="53" t="s">
        <v>839</v>
      </c>
      <c r="D96" s="62" t="s">
        <v>844</v>
      </c>
      <c r="E96" s="62" t="s">
        <v>429</v>
      </c>
      <c r="F96" s="53" t="s">
        <v>317</v>
      </c>
      <c r="G96" s="57" t="s">
        <v>1</v>
      </c>
      <c r="H96" s="57" t="s">
        <v>1</v>
      </c>
      <c r="I96" s="57" t="s">
        <v>1</v>
      </c>
      <c r="J96" s="57" t="s">
        <v>1</v>
      </c>
      <c r="K96" s="57" t="s">
        <v>1</v>
      </c>
      <c r="L96" s="23" t="str">
        <f t="shared" si="11"/>
        <v>Materialidades</v>
      </c>
      <c r="M96" s="23" t="str">
        <f t="shared" si="12"/>
        <v>Materiais de Insumos</v>
      </c>
      <c r="N96" s="23" t="str">
        <f t="shared" si="13"/>
        <v>Gases</v>
      </c>
      <c r="O96" s="23" t="str">
        <f t="shared" si="14"/>
        <v>Ar Natural</v>
      </c>
      <c r="P96" s="50" t="s">
        <v>321</v>
      </c>
      <c r="Q96" s="50" t="str">
        <f t="shared" si="15"/>
        <v>Aire natural</v>
      </c>
      <c r="R96" s="24" t="s">
        <v>1</v>
      </c>
      <c r="S96" s="24" t="str">
        <f t="shared" si="16"/>
        <v>Materialidades</v>
      </c>
      <c r="T96" s="24" t="str">
        <f t="shared" si="17"/>
        <v>Materiais de Insumos</v>
      </c>
      <c r="U96" s="24" t="str">
        <f t="shared" si="18"/>
        <v>Gases</v>
      </c>
      <c r="V96" s="24" t="s">
        <v>835</v>
      </c>
      <c r="W96" s="58" t="str">
        <f t="shared" si="19"/>
        <v>Key-MAT-96</v>
      </c>
      <c r="X96" s="24" t="s">
        <v>586</v>
      </c>
      <c r="Y96" s="24" t="s">
        <v>587</v>
      </c>
      <c r="Z96" s="63" t="s">
        <v>659</v>
      </c>
      <c r="AA96" s="24" t="str">
        <f t="shared" si="21"/>
        <v>Natural Air</v>
      </c>
    </row>
    <row r="97" spans="1:27" ht="6.75" customHeight="1" x14ac:dyDescent="0.25">
      <c r="A97" s="55">
        <v>97</v>
      </c>
      <c r="B97" s="56" t="s">
        <v>838</v>
      </c>
      <c r="C97" s="53" t="s">
        <v>839</v>
      </c>
      <c r="D97" s="62" t="s">
        <v>844</v>
      </c>
      <c r="E97" s="62" t="s">
        <v>429</v>
      </c>
      <c r="F97" s="53" t="s">
        <v>318</v>
      </c>
      <c r="G97" s="57" t="s">
        <v>1</v>
      </c>
      <c r="H97" s="57" t="s">
        <v>1</v>
      </c>
      <c r="I97" s="57" t="s">
        <v>1</v>
      </c>
      <c r="J97" s="57" t="s">
        <v>1</v>
      </c>
      <c r="K97" s="57" t="s">
        <v>1</v>
      </c>
      <c r="L97" s="23" t="str">
        <f t="shared" si="11"/>
        <v>Materialidades</v>
      </c>
      <c r="M97" s="23" t="str">
        <f t="shared" si="12"/>
        <v>Materiais de Insumos</v>
      </c>
      <c r="N97" s="23" t="str">
        <f t="shared" si="13"/>
        <v>Gases</v>
      </c>
      <c r="O97" s="23" t="str">
        <f t="shared" si="14"/>
        <v>Dióxido de Carbono</v>
      </c>
      <c r="P97" s="50" t="s">
        <v>322</v>
      </c>
      <c r="Q97" s="50" t="str">
        <f t="shared" si="15"/>
        <v>Dióxido de carbono</v>
      </c>
      <c r="R97" s="24" t="s">
        <v>1</v>
      </c>
      <c r="S97" s="24" t="str">
        <f t="shared" si="16"/>
        <v>Materialidades</v>
      </c>
      <c r="T97" s="24" t="str">
        <f t="shared" si="17"/>
        <v>Materiais de Insumos</v>
      </c>
      <c r="U97" s="24" t="str">
        <f t="shared" si="18"/>
        <v>Gases</v>
      </c>
      <c r="V97" s="24" t="s">
        <v>835</v>
      </c>
      <c r="W97" s="58" t="str">
        <f t="shared" si="19"/>
        <v>Key-MAT-97</v>
      </c>
      <c r="X97" s="24" t="s">
        <v>586</v>
      </c>
      <c r="Y97" s="24" t="s">
        <v>587</v>
      </c>
      <c r="Z97" s="63" t="s">
        <v>660</v>
      </c>
      <c r="AA97" s="24" t="str">
        <f t="shared" si="21"/>
        <v>Carbon Dioxide</v>
      </c>
    </row>
    <row r="98" spans="1:27" ht="6.75" customHeight="1" x14ac:dyDescent="0.25">
      <c r="A98" s="55">
        <v>98</v>
      </c>
      <c r="B98" s="56" t="s">
        <v>838</v>
      </c>
      <c r="C98" s="53" t="s">
        <v>839</v>
      </c>
      <c r="D98" s="62" t="s">
        <v>844</v>
      </c>
      <c r="E98" s="62" t="s">
        <v>429</v>
      </c>
      <c r="F98" s="53" t="s">
        <v>319</v>
      </c>
      <c r="G98" s="57" t="s">
        <v>1</v>
      </c>
      <c r="H98" s="57" t="s">
        <v>1</v>
      </c>
      <c r="I98" s="57" t="s">
        <v>1</v>
      </c>
      <c r="J98" s="57" t="s">
        <v>1</v>
      </c>
      <c r="K98" s="57" t="s">
        <v>1</v>
      </c>
      <c r="L98" s="23" t="str">
        <f t="shared" si="11"/>
        <v>Materialidades</v>
      </c>
      <c r="M98" s="23" t="str">
        <f t="shared" si="12"/>
        <v>Materiais de Insumos</v>
      </c>
      <c r="N98" s="23" t="str">
        <f t="shared" si="13"/>
        <v>Gases</v>
      </c>
      <c r="O98" s="23" t="str">
        <f t="shared" si="14"/>
        <v>Monóxido de Carbono</v>
      </c>
      <c r="P98" s="50" t="s">
        <v>323</v>
      </c>
      <c r="Q98" s="50" t="str">
        <f t="shared" si="15"/>
        <v>Monóxido de carbono</v>
      </c>
      <c r="R98" s="24" t="s">
        <v>1</v>
      </c>
      <c r="S98" s="24" t="str">
        <f t="shared" si="16"/>
        <v>Materialidades</v>
      </c>
      <c r="T98" s="24" t="str">
        <f t="shared" si="17"/>
        <v>Materiais de Insumos</v>
      </c>
      <c r="U98" s="24" t="str">
        <f t="shared" si="18"/>
        <v>Gases</v>
      </c>
      <c r="V98" s="24" t="s">
        <v>835</v>
      </c>
      <c r="W98" s="58" t="str">
        <f t="shared" si="19"/>
        <v>Key-MAT-98</v>
      </c>
      <c r="X98" s="24" t="s">
        <v>586</v>
      </c>
      <c r="Y98" s="24" t="s">
        <v>587</v>
      </c>
      <c r="Z98" s="63" t="s">
        <v>661</v>
      </c>
      <c r="AA98" s="24" t="str">
        <f t="shared" si="21"/>
        <v>Carbon Monoxide</v>
      </c>
    </row>
    <row r="99" spans="1:27" ht="6.75" customHeight="1" x14ac:dyDescent="0.25">
      <c r="A99" s="55">
        <v>99</v>
      </c>
      <c r="B99" s="56" t="s">
        <v>838</v>
      </c>
      <c r="C99" s="53" t="s">
        <v>839</v>
      </c>
      <c r="D99" s="62" t="s">
        <v>844</v>
      </c>
      <c r="E99" s="62" t="s">
        <v>429</v>
      </c>
      <c r="F99" s="53" t="s">
        <v>320</v>
      </c>
      <c r="G99" s="57" t="s">
        <v>1</v>
      </c>
      <c r="H99" s="57" t="s">
        <v>1</v>
      </c>
      <c r="I99" s="57" t="s">
        <v>1</v>
      </c>
      <c r="J99" s="57" t="s">
        <v>1</v>
      </c>
      <c r="K99" s="57" t="s">
        <v>1</v>
      </c>
      <c r="L99" s="23" t="str">
        <f t="shared" si="11"/>
        <v>Materialidades</v>
      </c>
      <c r="M99" s="23" t="str">
        <f t="shared" si="12"/>
        <v>Materiais de Insumos</v>
      </c>
      <c r="N99" s="23" t="str">
        <f t="shared" si="13"/>
        <v>Gases</v>
      </c>
      <c r="O99" s="23" t="str">
        <f t="shared" si="14"/>
        <v>Vapor de Água</v>
      </c>
      <c r="P99" s="50" t="s">
        <v>324</v>
      </c>
      <c r="Q99" s="50" t="str">
        <f t="shared" si="15"/>
        <v>Vapor de agua</v>
      </c>
      <c r="R99" s="24" t="s">
        <v>1</v>
      </c>
      <c r="S99" s="24" t="str">
        <f t="shared" si="16"/>
        <v>Materialidades</v>
      </c>
      <c r="T99" s="24" t="str">
        <f t="shared" si="17"/>
        <v>Materiais de Insumos</v>
      </c>
      <c r="U99" s="24" t="str">
        <f t="shared" si="18"/>
        <v>Gases</v>
      </c>
      <c r="V99" s="24" t="s">
        <v>835</v>
      </c>
      <c r="W99" s="58" t="str">
        <f t="shared" si="19"/>
        <v>Key-MAT-99</v>
      </c>
      <c r="X99" s="24" t="s">
        <v>586</v>
      </c>
      <c r="Y99" s="24" t="s">
        <v>587</v>
      </c>
      <c r="Z99" s="63" t="s">
        <v>662</v>
      </c>
      <c r="AA99" s="24" t="str">
        <f t="shared" si="21"/>
        <v>Water Vapor</v>
      </c>
    </row>
    <row r="100" spans="1:27" ht="6.75" customHeight="1" x14ac:dyDescent="0.25">
      <c r="A100" s="55">
        <v>100</v>
      </c>
      <c r="B100" s="56" t="s">
        <v>838</v>
      </c>
      <c r="C100" s="53" t="s">
        <v>839</v>
      </c>
      <c r="D100" s="62" t="s">
        <v>845</v>
      </c>
      <c r="E100" s="62" t="s">
        <v>550</v>
      </c>
      <c r="F100" s="53" t="s">
        <v>518</v>
      </c>
      <c r="G100" s="57" t="s">
        <v>1</v>
      </c>
      <c r="H100" s="57" t="s">
        <v>1</v>
      </c>
      <c r="I100" s="57" t="s">
        <v>1</v>
      </c>
      <c r="J100" s="57" t="s">
        <v>1</v>
      </c>
      <c r="K100" s="57" t="s">
        <v>1</v>
      </c>
      <c r="L100" s="23" t="str">
        <f t="shared" si="11"/>
        <v>Materialidades</v>
      </c>
      <c r="M100" s="23" t="str">
        <f t="shared" si="12"/>
        <v>Materiais de Insetos</v>
      </c>
      <c r="N100" s="23" t="str">
        <f t="shared" si="13"/>
        <v>Produto Inseto</v>
      </c>
      <c r="O100" s="23" t="str">
        <f t="shared" si="14"/>
        <v>Seda</v>
      </c>
      <c r="P100" s="24" t="s">
        <v>518</v>
      </c>
      <c r="Q100" s="50" t="str">
        <f t="shared" si="15"/>
        <v>Seda</v>
      </c>
      <c r="R100" s="24" t="s">
        <v>1</v>
      </c>
      <c r="S100" s="24" t="str">
        <f t="shared" si="16"/>
        <v>Materialidades</v>
      </c>
      <c r="T100" s="24" t="str">
        <f t="shared" si="17"/>
        <v>Materiais de Insetos</v>
      </c>
      <c r="U100" s="24" t="str">
        <f t="shared" si="18"/>
        <v>Produto Inseto</v>
      </c>
      <c r="V100" s="24" t="s">
        <v>835</v>
      </c>
      <c r="W100" s="58" t="str">
        <f t="shared" si="19"/>
        <v>Key-MAT-100</v>
      </c>
      <c r="X100" s="24" t="s">
        <v>586</v>
      </c>
      <c r="Y100" s="24" t="s">
        <v>587</v>
      </c>
      <c r="Z100" s="63" t="s">
        <v>663</v>
      </c>
      <c r="AA100" s="24" t="str">
        <f t="shared" si="21"/>
        <v>Silk</v>
      </c>
    </row>
    <row r="101" spans="1:27" ht="6.75" customHeight="1" x14ac:dyDescent="0.25">
      <c r="A101" s="55">
        <v>101</v>
      </c>
      <c r="B101" s="56" t="s">
        <v>838</v>
      </c>
      <c r="C101" s="53" t="s">
        <v>839</v>
      </c>
      <c r="D101" s="62" t="s">
        <v>845</v>
      </c>
      <c r="E101" s="62" t="s">
        <v>550</v>
      </c>
      <c r="F101" s="53" t="s">
        <v>531</v>
      </c>
      <c r="G101" s="57" t="s">
        <v>1</v>
      </c>
      <c r="H101" s="57" t="s">
        <v>1</v>
      </c>
      <c r="I101" s="57" t="s">
        <v>1</v>
      </c>
      <c r="J101" s="57" t="s">
        <v>1</v>
      </c>
      <c r="K101" s="57" t="s">
        <v>1</v>
      </c>
      <c r="L101" s="23" t="str">
        <f t="shared" si="11"/>
        <v>Materialidades</v>
      </c>
      <c r="M101" s="23" t="str">
        <f t="shared" si="12"/>
        <v>Materiais de Insetos</v>
      </c>
      <c r="N101" s="23" t="str">
        <f t="shared" si="13"/>
        <v>Produto Inseto</v>
      </c>
      <c r="O101" s="23" t="str">
        <f t="shared" si="14"/>
        <v>Cera de Abelha</v>
      </c>
      <c r="P101" s="24" t="s">
        <v>555</v>
      </c>
      <c r="Q101" s="50" t="str">
        <f t="shared" si="15"/>
        <v>Cera de abeja</v>
      </c>
      <c r="R101" s="24" t="s">
        <v>1</v>
      </c>
      <c r="S101" s="24" t="str">
        <f t="shared" si="16"/>
        <v>Materialidades</v>
      </c>
      <c r="T101" s="24" t="str">
        <f t="shared" si="17"/>
        <v>Materiais de Insetos</v>
      </c>
      <c r="U101" s="24" t="str">
        <f t="shared" si="18"/>
        <v>Produto Inseto</v>
      </c>
      <c r="V101" s="24" t="s">
        <v>835</v>
      </c>
      <c r="W101" s="58" t="str">
        <f t="shared" si="19"/>
        <v>Key-MAT-101</v>
      </c>
      <c r="X101" s="24" t="s">
        <v>586</v>
      </c>
      <c r="Y101" s="24" t="s">
        <v>587</v>
      </c>
      <c r="Z101" s="63" t="s">
        <v>664</v>
      </c>
      <c r="AA101" s="24" t="str">
        <f t="shared" si="21"/>
        <v>Beeswax</v>
      </c>
    </row>
    <row r="102" spans="1:27" ht="6.75" customHeight="1" x14ac:dyDescent="0.25">
      <c r="A102" s="55">
        <v>102</v>
      </c>
      <c r="B102" s="56" t="s">
        <v>838</v>
      </c>
      <c r="C102" s="53" t="s">
        <v>839</v>
      </c>
      <c r="D102" s="62" t="s">
        <v>846</v>
      </c>
      <c r="E102" s="62" t="s">
        <v>439</v>
      </c>
      <c r="F102" s="53" t="s">
        <v>430</v>
      </c>
      <c r="G102" s="57" t="s">
        <v>1</v>
      </c>
      <c r="H102" s="57" t="s">
        <v>1</v>
      </c>
      <c r="I102" s="57" t="s">
        <v>1</v>
      </c>
      <c r="J102" s="57" t="s">
        <v>1</v>
      </c>
      <c r="K102" s="57" t="s">
        <v>1</v>
      </c>
      <c r="L102" s="23" t="str">
        <f t="shared" si="11"/>
        <v>Materialidades</v>
      </c>
      <c r="M102" s="23" t="str">
        <f t="shared" si="12"/>
        <v>Materiais Líquidos</v>
      </c>
      <c r="N102" s="23" t="str">
        <f t="shared" si="13"/>
        <v>Aguas</v>
      </c>
      <c r="O102" s="23" t="str">
        <f t="shared" si="14"/>
        <v>Água Doce</v>
      </c>
      <c r="P102" s="50" t="s">
        <v>440</v>
      </c>
      <c r="Q102" s="50" t="str">
        <f t="shared" si="15"/>
        <v>Agua dulce</v>
      </c>
      <c r="R102" s="24" t="s">
        <v>1</v>
      </c>
      <c r="S102" s="24" t="str">
        <f t="shared" si="16"/>
        <v>Materialidades</v>
      </c>
      <c r="T102" s="24" t="str">
        <f t="shared" si="17"/>
        <v>Materiais Líquidos</v>
      </c>
      <c r="U102" s="24" t="str">
        <f t="shared" si="18"/>
        <v>Aguas</v>
      </c>
      <c r="V102" s="24" t="s">
        <v>835</v>
      </c>
      <c r="W102" s="58" t="str">
        <f t="shared" si="19"/>
        <v>Key-MAT-102</v>
      </c>
      <c r="X102" s="24" t="s">
        <v>586</v>
      </c>
      <c r="Y102" s="24" t="s">
        <v>587</v>
      </c>
      <c r="Z102" s="63" t="s">
        <v>665</v>
      </c>
      <c r="AA102" s="24" t="str">
        <f t="shared" si="21"/>
        <v>Fresh Water</v>
      </c>
    </row>
    <row r="103" spans="1:27" ht="6.75" customHeight="1" x14ac:dyDescent="0.25">
      <c r="A103" s="55">
        <v>103</v>
      </c>
      <c r="B103" s="56" t="s">
        <v>838</v>
      </c>
      <c r="C103" s="53" t="s">
        <v>839</v>
      </c>
      <c r="D103" s="62" t="s">
        <v>846</v>
      </c>
      <c r="E103" s="62" t="s">
        <v>439</v>
      </c>
      <c r="F103" s="53" t="s">
        <v>431</v>
      </c>
      <c r="G103" s="57" t="s">
        <v>1</v>
      </c>
      <c r="H103" s="57" t="s">
        <v>1</v>
      </c>
      <c r="I103" s="57" t="s">
        <v>1</v>
      </c>
      <c r="J103" s="57" t="s">
        <v>1</v>
      </c>
      <c r="K103" s="57" t="s">
        <v>1</v>
      </c>
      <c r="L103" s="23" t="str">
        <f t="shared" si="11"/>
        <v>Materialidades</v>
      </c>
      <c r="M103" s="23" t="str">
        <f t="shared" si="12"/>
        <v>Materiais Líquidos</v>
      </c>
      <c r="N103" s="23" t="str">
        <f t="shared" si="13"/>
        <v>Aguas</v>
      </c>
      <c r="O103" s="23" t="str">
        <f t="shared" si="14"/>
        <v>Água da Chuva</v>
      </c>
      <c r="P103" s="50" t="s">
        <v>441</v>
      </c>
      <c r="Q103" s="50" t="str">
        <f t="shared" si="15"/>
        <v>Agua de lluvia</v>
      </c>
      <c r="R103" s="24" t="s">
        <v>1</v>
      </c>
      <c r="S103" s="24" t="str">
        <f t="shared" si="16"/>
        <v>Materialidades</v>
      </c>
      <c r="T103" s="24" t="str">
        <f t="shared" si="17"/>
        <v>Materiais Líquidos</v>
      </c>
      <c r="U103" s="24" t="str">
        <f t="shared" si="18"/>
        <v>Aguas</v>
      </c>
      <c r="V103" s="24" t="s">
        <v>835</v>
      </c>
      <c r="W103" s="58" t="str">
        <f t="shared" si="19"/>
        <v>Key-MAT-103</v>
      </c>
      <c r="X103" s="24" t="s">
        <v>586</v>
      </c>
      <c r="Y103" s="24" t="s">
        <v>587</v>
      </c>
      <c r="Z103" s="63" t="s">
        <v>666</v>
      </c>
      <c r="AA103" s="24" t="str">
        <f t="shared" si="21"/>
        <v>Rainwater</v>
      </c>
    </row>
    <row r="104" spans="1:27" ht="6.75" customHeight="1" x14ac:dyDescent="0.25">
      <c r="A104" s="55">
        <v>104</v>
      </c>
      <c r="B104" s="56" t="s">
        <v>838</v>
      </c>
      <c r="C104" s="53" t="s">
        <v>839</v>
      </c>
      <c r="D104" s="62" t="s">
        <v>846</v>
      </c>
      <c r="E104" s="62" t="s">
        <v>439</v>
      </c>
      <c r="F104" s="53" t="s">
        <v>432</v>
      </c>
      <c r="G104" s="57" t="s">
        <v>1</v>
      </c>
      <c r="H104" s="57" t="s">
        <v>1</v>
      </c>
      <c r="I104" s="57" t="s">
        <v>1</v>
      </c>
      <c r="J104" s="57" t="s">
        <v>1</v>
      </c>
      <c r="K104" s="57" t="s">
        <v>1</v>
      </c>
      <c r="L104" s="23" t="str">
        <f t="shared" si="11"/>
        <v>Materialidades</v>
      </c>
      <c r="M104" s="23" t="str">
        <f t="shared" si="12"/>
        <v>Materiais Líquidos</v>
      </c>
      <c r="N104" s="23" t="str">
        <f t="shared" si="13"/>
        <v>Aguas</v>
      </c>
      <c r="O104" s="23" t="str">
        <f t="shared" si="14"/>
        <v>Água Mineral</v>
      </c>
      <c r="P104" s="50" t="s">
        <v>442</v>
      </c>
      <c r="Q104" s="50" t="str">
        <f t="shared" si="15"/>
        <v>Agua mineral</v>
      </c>
      <c r="R104" s="24" t="s">
        <v>1</v>
      </c>
      <c r="S104" s="24" t="str">
        <f t="shared" si="16"/>
        <v>Materialidades</v>
      </c>
      <c r="T104" s="24" t="str">
        <f t="shared" si="17"/>
        <v>Materiais Líquidos</v>
      </c>
      <c r="U104" s="24" t="str">
        <f t="shared" si="18"/>
        <v>Aguas</v>
      </c>
      <c r="V104" s="24" t="s">
        <v>835</v>
      </c>
      <c r="W104" s="58" t="str">
        <f t="shared" si="19"/>
        <v>Key-MAT-104</v>
      </c>
      <c r="X104" s="24" t="s">
        <v>586</v>
      </c>
      <c r="Y104" s="24" t="s">
        <v>587</v>
      </c>
      <c r="Z104" s="63" t="s">
        <v>667</v>
      </c>
      <c r="AA104" s="24" t="str">
        <f t="shared" si="21"/>
        <v>Mineral Water</v>
      </c>
    </row>
    <row r="105" spans="1:27" ht="6.75" customHeight="1" x14ac:dyDescent="0.25">
      <c r="A105" s="55">
        <v>105</v>
      </c>
      <c r="B105" s="56" t="s">
        <v>838</v>
      </c>
      <c r="C105" s="53" t="s">
        <v>839</v>
      </c>
      <c r="D105" s="62" t="s">
        <v>846</v>
      </c>
      <c r="E105" s="62" t="s">
        <v>439</v>
      </c>
      <c r="F105" s="53" t="s">
        <v>433</v>
      </c>
      <c r="G105" s="57" t="s">
        <v>1</v>
      </c>
      <c r="H105" s="57" t="s">
        <v>1</v>
      </c>
      <c r="I105" s="57" t="s">
        <v>1</v>
      </c>
      <c r="J105" s="57" t="s">
        <v>1</v>
      </c>
      <c r="K105" s="57" t="s">
        <v>1</v>
      </c>
      <c r="L105" s="23" t="str">
        <f t="shared" si="11"/>
        <v>Materialidades</v>
      </c>
      <c r="M105" s="23" t="str">
        <f t="shared" si="12"/>
        <v>Materiais Líquidos</v>
      </c>
      <c r="N105" s="23" t="str">
        <f t="shared" si="13"/>
        <v>Aguas</v>
      </c>
      <c r="O105" s="23" t="str">
        <f t="shared" si="14"/>
        <v>Água Destilada</v>
      </c>
      <c r="P105" s="50" t="s">
        <v>443</v>
      </c>
      <c r="Q105" s="50" t="str">
        <f t="shared" si="15"/>
        <v>Agua destilada</v>
      </c>
      <c r="R105" s="24" t="s">
        <v>1</v>
      </c>
      <c r="S105" s="24" t="str">
        <f t="shared" si="16"/>
        <v>Materialidades</v>
      </c>
      <c r="T105" s="24" t="str">
        <f t="shared" si="17"/>
        <v>Materiais Líquidos</v>
      </c>
      <c r="U105" s="24" t="str">
        <f t="shared" si="18"/>
        <v>Aguas</v>
      </c>
      <c r="V105" s="24" t="s">
        <v>835</v>
      </c>
      <c r="W105" s="58" t="str">
        <f t="shared" si="19"/>
        <v>Key-MAT-105</v>
      </c>
      <c r="X105" s="24" t="s">
        <v>586</v>
      </c>
      <c r="Y105" s="24" t="s">
        <v>587</v>
      </c>
      <c r="Z105" s="63" t="s">
        <v>668</v>
      </c>
      <c r="AA105" s="24" t="str">
        <f t="shared" si="21"/>
        <v>Distilled Water</v>
      </c>
    </row>
    <row r="106" spans="1:27" ht="6.75" customHeight="1" x14ac:dyDescent="0.25">
      <c r="A106" s="55">
        <v>106</v>
      </c>
      <c r="B106" s="56" t="s">
        <v>838</v>
      </c>
      <c r="C106" s="53" t="s">
        <v>839</v>
      </c>
      <c r="D106" s="62" t="s">
        <v>846</v>
      </c>
      <c r="E106" s="62" t="s">
        <v>439</v>
      </c>
      <c r="F106" s="53" t="s">
        <v>434</v>
      </c>
      <c r="G106" s="57" t="s">
        <v>1</v>
      </c>
      <c r="H106" s="57" t="s">
        <v>1</v>
      </c>
      <c r="I106" s="57" t="s">
        <v>1</v>
      </c>
      <c r="J106" s="57" t="s">
        <v>1</v>
      </c>
      <c r="K106" s="57" t="s">
        <v>1</v>
      </c>
      <c r="L106" s="23" t="str">
        <f t="shared" si="11"/>
        <v>Materialidades</v>
      </c>
      <c r="M106" s="23" t="str">
        <f t="shared" si="12"/>
        <v>Materiais Líquidos</v>
      </c>
      <c r="N106" s="23" t="str">
        <f t="shared" si="13"/>
        <v>Aguas</v>
      </c>
      <c r="O106" s="23" t="str">
        <f t="shared" si="14"/>
        <v>Água Deionizada</v>
      </c>
      <c r="P106" s="50" t="s">
        <v>444</v>
      </c>
      <c r="Q106" s="50" t="str">
        <f t="shared" si="15"/>
        <v>Agua desionizada</v>
      </c>
      <c r="R106" s="24" t="s">
        <v>1</v>
      </c>
      <c r="S106" s="24" t="str">
        <f t="shared" si="16"/>
        <v>Materialidades</v>
      </c>
      <c r="T106" s="24" t="str">
        <f t="shared" si="17"/>
        <v>Materiais Líquidos</v>
      </c>
      <c r="U106" s="24" t="str">
        <f t="shared" si="18"/>
        <v>Aguas</v>
      </c>
      <c r="V106" s="24" t="s">
        <v>835</v>
      </c>
      <c r="W106" s="58" t="str">
        <f t="shared" si="19"/>
        <v>Key-MAT-106</v>
      </c>
      <c r="X106" s="24" t="s">
        <v>586</v>
      </c>
      <c r="Y106" s="24" t="s">
        <v>587</v>
      </c>
      <c r="Z106" s="63" t="s">
        <v>669</v>
      </c>
      <c r="AA106" s="24" t="str">
        <f t="shared" si="21"/>
        <v>Deionized Water</v>
      </c>
    </row>
    <row r="107" spans="1:27" ht="6.75" customHeight="1" x14ac:dyDescent="0.25">
      <c r="A107" s="55">
        <v>107</v>
      </c>
      <c r="B107" s="56" t="s">
        <v>838</v>
      </c>
      <c r="C107" s="53" t="s">
        <v>839</v>
      </c>
      <c r="D107" s="62" t="s">
        <v>846</v>
      </c>
      <c r="E107" s="62" t="s">
        <v>439</v>
      </c>
      <c r="F107" s="53" t="s">
        <v>435</v>
      </c>
      <c r="G107" s="57" t="s">
        <v>1</v>
      </c>
      <c r="H107" s="57" t="s">
        <v>1</v>
      </c>
      <c r="I107" s="57" t="s">
        <v>1</v>
      </c>
      <c r="J107" s="57" t="s">
        <v>1</v>
      </c>
      <c r="K107" s="57" t="s">
        <v>1</v>
      </c>
      <c r="L107" s="23" t="str">
        <f t="shared" si="11"/>
        <v>Materialidades</v>
      </c>
      <c r="M107" s="23" t="str">
        <f t="shared" si="12"/>
        <v>Materiais Líquidos</v>
      </c>
      <c r="N107" s="23" t="str">
        <f t="shared" si="13"/>
        <v>Aguas</v>
      </c>
      <c r="O107" s="23" t="str">
        <f t="shared" si="14"/>
        <v>Água Dura</v>
      </c>
      <c r="P107" s="50" t="s">
        <v>445</v>
      </c>
      <c r="Q107" s="50" t="str">
        <f t="shared" si="15"/>
        <v>Agua dura</v>
      </c>
      <c r="R107" s="24" t="s">
        <v>1</v>
      </c>
      <c r="S107" s="24" t="str">
        <f t="shared" si="16"/>
        <v>Materialidades</v>
      </c>
      <c r="T107" s="24" t="str">
        <f t="shared" si="17"/>
        <v>Materiais Líquidos</v>
      </c>
      <c r="U107" s="24" t="str">
        <f t="shared" si="18"/>
        <v>Aguas</v>
      </c>
      <c r="V107" s="24" t="s">
        <v>835</v>
      </c>
      <c r="W107" s="58" t="str">
        <f t="shared" si="19"/>
        <v>Key-MAT-107</v>
      </c>
      <c r="X107" s="24" t="s">
        <v>586</v>
      </c>
      <c r="Y107" s="24" t="s">
        <v>587</v>
      </c>
      <c r="Z107" s="63" t="s">
        <v>670</v>
      </c>
      <c r="AA107" s="24" t="str">
        <f t="shared" si="21"/>
        <v>Hard Water</v>
      </c>
    </row>
    <row r="108" spans="1:27" ht="6.75" customHeight="1" x14ac:dyDescent="0.25">
      <c r="A108" s="55">
        <v>108</v>
      </c>
      <c r="B108" s="56" t="s">
        <v>838</v>
      </c>
      <c r="C108" s="53" t="s">
        <v>839</v>
      </c>
      <c r="D108" s="62" t="s">
        <v>846</v>
      </c>
      <c r="E108" s="62" t="s">
        <v>439</v>
      </c>
      <c r="F108" s="53" t="s">
        <v>436</v>
      </c>
      <c r="G108" s="57" t="s">
        <v>1</v>
      </c>
      <c r="H108" s="57" t="s">
        <v>1</v>
      </c>
      <c r="I108" s="57" t="s">
        <v>1</v>
      </c>
      <c r="J108" s="57" t="s">
        <v>1</v>
      </c>
      <c r="K108" s="57" t="s">
        <v>1</v>
      </c>
      <c r="L108" s="23" t="str">
        <f t="shared" si="11"/>
        <v>Materialidades</v>
      </c>
      <c r="M108" s="23" t="str">
        <f t="shared" si="12"/>
        <v>Materiais Líquidos</v>
      </c>
      <c r="N108" s="23" t="str">
        <f t="shared" si="13"/>
        <v>Aguas</v>
      </c>
      <c r="O108" s="23" t="str">
        <f t="shared" si="14"/>
        <v>Água de Reuso</v>
      </c>
      <c r="P108" s="50" t="s">
        <v>446</v>
      </c>
      <c r="Q108" s="50" t="str">
        <f t="shared" si="15"/>
        <v>Reutilizar agua</v>
      </c>
      <c r="R108" s="24" t="s">
        <v>1</v>
      </c>
      <c r="S108" s="24" t="str">
        <f t="shared" si="16"/>
        <v>Materialidades</v>
      </c>
      <c r="T108" s="24" t="str">
        <f t="shared" si="17"/>
        <v>Materiais Líquidos</v>
      </c>
      <c r="U108" s="24" t="str">
        <f t="shared" si="18"/>
        <v>Aguas</v>
      </c>
      <c r="V108" s="24" t="s">
        <v>835</v>
      </c>
      <c r="W108" s="58" t="str">
        <f t="shared" si="19"/>
        <v>Key-MAT-108</v>
      </c>
      <c r="X108" s="24" t="s">
        <v>586</v>
      </c>
      <c r="Y108" s="24" t="s">
        <v>587</v>
      </c>
      <c r="Z108" s="63" t="s">
        <v>671</v>
      </c>
      <c r="AA108" s="24" t="str">
        <f t="shared" si="21"/>
        <v>Reuse Water</v>
      </c>
    </row>
    <row r="109" spans="1:27" ht="6.75" customHeight="1" x14ac:dyDescent="0.25">
      <c r="A109" s="55">
        <v>109</v>
      </c>
      <c r="B109" s="56" t="s">
        <v>838</v>
      </c>
      <c r="C109" s="53" t="s">
        <v>839</v>
      </c>
      <c r="D109" s="62" t="s">
        <v>846</v>
      </c>
      <c r="E109" s="62" t="s">
        <v>439</v>
      </c>
      <c r="F109" s="53" t="s">
        <v>437</v>
      </c>
      <c r="G109" s="57" t="s">
        <v>1</v>
      </c>
      <c r="H109" s="57" t="s">
        <v>1</v>
      </c>
      <c r="I109" s="57" t="s">
        <v>1</v>
      </c>
      <c r="J109" s="57" t="s">
        <v>1</v>
      </c>
      <c r="K109" s="57" t="s">
        <v>1</v>
      </c>
      <c r="L109" s="23" t="str">
        <f t="shared" si="11"/>
        <v>Materialidades</v>
      </c>
      <c r="M109" s="23" t="str">
        <f t="shared" si="12"/>
        <v>Materiais Líquidos</v>
      </c>
      <c r="N109" s="23" t="str">
        <f t="shared" si="13"/>
        <v>Aguas</v>
      </c>
      <c r="O109" s="23" t="str">
        <f t="shared" si="14"/>
        <v>Água Salgada</v>
      </c>
      <c r="P109" s="50" t="s">
        <v>447</v>
      </c>
      <c r="Q109" s="50" t="str">
        <f t="shared" si="15"/>
        <v>Agua salada</v>
      </c>
      <c r="R109" s="24" t="s">
        <v>1</v>
      </c>
      <c r="S109" s="24" t="str">
        <f t="shared" si="16"/>
        <v>Materialidades</v>
      </c>
      <c r="T109" s="24" t="str">
        <f t="shared" si="17"/>
        <v>Materiais Líquidos</v>
      </c>
      <c r="U109" s="24" t="str">
        <f t="shared" si="18"/>
        <v>Aguas</v>
      </c>
      <c r="V109" s="24" t="s">
        <v>835</v>
      </c>
      <c r="W109" s="58" t="str">
        <f t="shared" si="19"/>
        <v>Key-MAT-109</v>
      </c>
      <c r="X109" s="24" t="s">
        <v>586</v>
      </c>
      <c r="Y109" s="24" t="s">
        <v>587</v>
      </c>
      <c r="Z109" s="63" t="s">
        <v>672</v>
      </c>
      <c r="AA109" s="24" t="str">
        <f t="shared" si="21"/>
        <v>Salt Water</v>
      </c>
    </row>
    <row r="110" spans="1:27" ht="6.75" customHeight="1" x14ac:dyDescent="0.25">
      <c r="A110" s="55">
        <v>110</v>
      </c>
      <c r="B110" s="56" t="s">
        <v>838</v>
      </c>
      <c r="C110" s="53" t="s">
        <v>839</v>
      </c>
      <c r="D110" s="62" t="s">
        <v>846</v>
      </c>
      <c r="E110" s="62" t="s">
        <v>439</v>
      </c>
      <c r="F110" s="53" t="s">
        <v>438</v>
      </c>
      <c r="G110" s="57" t="s">
        <v>1</v>
      </c>
      <c r="H110" s="57" t="s">
        <v>1</v>
      </c>
      <c r="I110" s="57" t="s">
        <v>1</v>
      </c>
      <c r="J110" s="57" t="s">
        <v>1</v>
      </c>
      <c r="K110" s="57" t="s">
        <v>1</v>
      </c>
      <c r="L110" s="23" t="str">
        <f t="shared" si="11"/>
        <v>Materialidades</v>
      </c>
      <c r="M110" s="23" t="str">
        <f t="shared" si="12"/>
        <v>Materiais Líquidos</v>
      </c>
      <c r="N110" s="23" t="str">
        <f t="shared" si="13"/>
        <v>Aguas</v>
      </c>
      <c r="O110" s="23" t="str">
        <f t="shared" si="14"/>
        <v>Água do Mar</v>
      </c>
      <c r="P110" s="50" t="s">
        <v>448</v>
      </c>
      <c r="Q110" s="50" t="str">
        <f t="shared" si="15"/>
        <v>Agua de Mar</v>
      </c>
      <c r="R110" s="24" t="s">
        <v>1</v>
      </c>
      <c r="S110" s="24" t="str">
        <f t="shared" si="16"/>
        <v>Materialidades</v>
      </c>
      <c r="T110" s="24" t="str">
        <f t="shared" si="17"/>
        <v>Materiais Líquidos</v>
      </c>
      <c r="U110" s="24" t="str">
        <f t="shared" si="18"/>
        <v>Aguas</v>
      </c>
      <c r="V110" s="24" t="s">
        <v>835</v>
      </c>
      <c r="W110" s="58" t="str">
        <f t="shared" si="19"/>
        <v>Key-MAT-110</v>
      </c>
      <c r="X110" s="24" t="s">
        <v>586</v>
      </c>
      <c r="Y110" s="24" t="s">
        <v>587</v>
      </c>
      <c r="Z110" s="63" t="s">
        <v>673</v>
      </c>
      <c r="AA110" s="24" t="str">
        <f t="shared" si="21"/>
        <v>Sea Water</v>
      </c>
    </row>
    <row r="111" spans="1:27" ht="6.75" customHeight="1" x14ac:dyDescent="0.25">
      <c r="A111" s="55">
        <v>111</v>
      </c>
      <c r="B111" s="56" t="s">
        <v>838</v>
      </c>
      <c r="C111" s="53" t="s">
        <v>839</v>
      </c>
      <c r="D111" s="62" t="s">
        <v>846</v>
      </c>
      <c r="E111" s="62" t="s">
        <v>512</v>
      </c>
      <c r="F111" s="53" t="s">
        <v>504</v>
      </c>
      <c r="G111" s="57" t="s">
        <v>1</v>
      </c>
      <c r="H111" s="57" t="s">
        <v>1</v>
      </c>
      <c r="I111" s="57" t="s">
        <v>1</v>
      </c>
      <c r="J111" s="57" t="s">
        <v>1</v>
      </c>
      <c r="K111" s="57" t="s">
        <v>1</v>
      </c>
      <c r="L111" s="23" t="str">
        <f t="shared" si="11"/>
        <v>Materialidades</v>
      </c>
      <c r="M111" s="23" t="str">
        <f t="shared" si="12"/>
        <v>Materiais Líquidos</v>
      </c>
      <c r="N111" s="23" t="str">
        <f t="shared" si="13"/>
        <v>Liquidos</v>
      </c>
      <c r="O111" s="23" t="str">
        <f t="shared" si="14"/>
        <v>Líquido Vegetal</v>
      </c>
      <c r="P111" s="24" t="s">
        <v>508</v>
      </c>
      <c r="Q111" s="50" t="str">
        <f t="shared" si="15"/>
        <v>Líquido vegetal</v>
      </c>
      <c r="R111" s="24" t="s">
        <v>1</v>
      </c>
      <c r="S111" s="24" t="str">
        <f t="shared" si="16"/>
        <v>Materialidades</v>
      </c>
      <c r="T111" s="24" t="str">
        <f t="shared" si="17"/>
        <v>Materiais Líquidos</v>
      </c>
      <c r="U111" s="24" t="str">
        <f t="shared" si="18"/>
        <v>Liquidos</v>
      </c>
      <c r="V111" s="24" t="s">
        <v>835</v>
      </c>
      <c r="W111" s="58" t="str">
        <f t="shared" si="19"/>
        <v>Key-MAT-111</v>
      </c>
      <c r="X111" s="24" t="s">
        <v>586</v>
      </c>
      <c r="Y111" s="24" t="s">
        <v>587</v>
      </c>
      <c r="Z111" s="63" t="s">
        <v>674</v>
      </c>
      <c r="AA111" s="24" t="str">
        <f t="shared" si="21"/>
        <v>Vegetable Liquid</v>
      </c>
    </row>
    <row r="112" spans="1:27" ht="6.75" customHeight="1" x14ac:dyDescent="0.25">
      <c r="A112" s="55">
        <v>112</v>
      </c>
      <c r="B112" s="56" t="s">
        <v>838</v>
      </c>
      <c r="C112" s="53" t="s">
        <v>839</v>
      </c>
      <c r="D112" s="62" t="s">
        <v>846</v>
      </c>
      <c r="E112" s="62" t="s">
        <v>512</v>
      </c>
      <c r="F112" s="53" t="s">
        <v>505</v>
      </c>
      <c r="G112" s="57" t="s">
        <v>1</v>
      </c>
      <c r="H112" s="57" t="s">
        <v>1</v>
      </c>
      <c r="I112" s="57" t="s">
        <v>1</v>
      </c>
      <c r="J112" s="57" t="s">
        <v>1</v>
      </c>
      <c r="K112" s="57" t="s">
        <v>1</v>
      </c>
      <c r="L112" s="23" t="str">
        <f t="shared" si="11"/>
        <v>Materialidades</v>
      </c>
      <c r="M112" s="23" t="str">
        <f t="shared" si="12"/>
        <v>Materiais Líquidos</v>
      </c>
      <c r="N112" s="23" t="str">
        <f t="shared" si="13"/>
        <v>Liquidos</v>
      </c>
      <c r="O112" s="23" t="str">
        <f t="shared" si="14"/>
        <v>Oleo Vegetal</v>
      </c>
      <c r="P112" s="24" t="s">
        <v>509</v>
      </c>
      <c r="Q112" s="50" t="str">
        <f t="shared" si="15"/>
        <v>Aceite vegetal</v>
      </c>
      <c r="R112" s="24" t="s">
        <v>1</v>
      </c>
      <c r="S112" s="24" t="str">
        <f t="shared" si="16"/>
        <v>Materialidades</v>
      </c>
      <c r="T112" s="24" t="str">
        <f t="shared" si="17"/>
        <v>Materiais Líquidos</v>
      </c>
      <c r="U112" s="24" t="str">
        <f t="shared" si="18"/>
        <v>Liquidos</v>
      </c>
      <c r="V112" s="24" t="s">
        <v>835</v>
      </c>
      <c r="W112" s="58" t="str">
        <f t="shared" si="19"/>
        <v>Key-MAT-112</v>
      </c>
      <c r="X112" s="24" t="s">
        <v>586</v>
      </c>
      <c r="Y112" s="24" t="s">
        <v>587</v>
      </c>
      <c r="Z112" s="63" t="s">
        <v>675</v>
      </c>
      <c r="AA112" s="24" t="str">
        <f t="shared" si="21"/>
        <v>Vegetable Oil</v>
      </c>
    </row>
    <row r="113" spans="1:27" ht="6.75" customHeight="1" x14ac:dyDescent="0.25">
      <c r="A113" s="55">
        <v>113</v>
      </c>
      <c r="B113" s="56" t="s">
        <v>838</v>
      </c>
      <c r="C113" s="53" t="s">
        <v>839</v>
      </c>
      <c r="D113" s="62" t="s">
        <v>846</v>
      </c>
      <c r="E113" s="62" t="s">
        <v>512</v>
      </c>
      <c r="F113" s="53" t="s">
        <v>506</v>
      </c>
      <c r="G113" s="57" t="s">
        <v>1</v>
      </c>
      <c r="H113" s="57" t="s">
        <v>1</v>
      </c>
      <c r="I113" s="57" t="s">
        <v>1</v>
      </c>
      <c r="J113" s="57" t="s">
        <v>1</v>
      </c>
      <c r="K113" s="57" t="s">
        <v>1</v>
      </c>
      <c r="L113" s="23" t="str">
        <f t="shared" si="11"/>
        <v>Materialidades</v>
      </c>
      <c r="M113" s="23" t="str">
        <f t="shared" si="12"/>
        <v>Materiais Líquidos</v>
      </c>
      <c r="N113" s="23" t="str">
        <f t="shared" si="13"/>
        <v>Liquidos</v>
      </c>
      <c r="O113" s="23" t="str">
        <f t="shared" si="14"/>
        <v>Líquido Animal</v>
      </c>
      <c r="P113" s="24" t="s">
        <v>510</v>
      </c>
      <c r="Q113" s="50" t="str">
        <f t="shared" si="15"/>
        <v>Líquido animal</v>
      </c>
      <c r="R113" s="24" t="s">
        <v>1</v>
      </c>
      <c r="S113" s="24" t="str">
        <f t="shared" si="16"/>
        <v>Materialidades</v>
      </c>
      <c r="T113" s="24" t="str">
        <f t="shared" si="17"/>
        <v>Materiais Líquidos</v>
      </c>
      <c r="U113" s="24" t="str">
        <f t="shared" si="18"/>
        <v>Liquidos</v>
      </c>
      <c r="V113" s="24" t="s">
        <v>835</v>
      </c>
      <c r="W113" s="58" t="str">
        <f t="shared" si="19"/>
        <v>Key-MAT-113</v>
      </c>
      <c r="X113" s="24" t="s">
        <v>586</v>
      </c>
      <c r="Y113" s="24" t="s">
        <v>587</v>
      </c>
      <c r="Z113" s="63" t="s">
        <v>676</v>
      </c>
      <c r="AA113" s="24" t="str">
        <f t="shared" si="21"/>
        <v>Animal Liquid</v>
      </c>
    </row>
    <row r="114" spans="1:27" ht="6.75" customHeight="1" x14ac:dyDescent="0.25">
      <c r="A114" s="55">
        <v>114</v>
      </c>
      <c r="B114" s="56" t="s">
        <v>838</v>
      </c>
      <c r="C114" s="53" t="s">
        <v>839</v>
      </c>
      <c r="D114" s="62" t="s">
        <v>846</v>
      </c>
      <c r="E114" s="62" t="s">
        <v>512</v>
      </c>
      <c r="F114" s="53" t="s">
        <v>507</v>
      </c>
      <c r="G114" s="57" t="s">
        <v>1</v>
      </c>
      <c r="H114" s="57" t="s">
        <v>1</v>
      </c>
      <c r="I114" s="57" t="s">
        <v>1</v>
      </c>
      <c r="J114" s="57" t="s">
        <v>1</v>
      </c>
      <c r="K114" s="57" t="s">
        <v>1</v>
      </c>
      <c r="L114" s="23" t="str">
        <f t="shared" si="11"/>
        <v>Materialidades</v>
      </c>
      <c r="M114" s="23" t="str">
        <f t="shared" si="12"/>
        <v>Materiais Líquidos</v>
      </c>
      <c r="N114" s="23" t="str">
        <f t="shared" si="13"/>
        <v>Liquidos</v>
      </c>
      <c r="O114" s="23" t="str">
        <f t="shared" si="14"/>
        <v>Oleo de Peixe</v>
      </c>
      <c r="P114" s="24" t="s">
        <v>511</v>
      </c>
      <c r="Q114" s="50" t="str">
        <f t="shared" si="15"/>
        <v>Aceite de pescado</v>
      </c>
      <c r="R114" s="24" t="s">
        <v>1</v>
      </c>
      <c r="S114" s="24" t="str">
        <f t="shared" si="16"/>
        <v>Materialidades</v>
      </c>
      <c r="T114" s="24" t="str">
        <f t="shared" si="17"/>
        <v>Materiais Líquidos</v>
      </c>
      <c r="U114" s="24" t="str">
        <f t="shared" si="18"/>
        <v>Liquidos</v>
      </c>
      <c r="V114" s="24" t="s">
        <v>835</v>
      </c>
      <c r="W114" s="58" t="str">
        <f t="shared" si="19"/>
        <v>Key-MAT-114</v>
      </c>
      <c r="X114" s="24" t="s">
        <v>586</v>
      </c>
      <c r="Y114" s="24" t="s">
        <v>587</v>
      </c>
      <c r="Z114" s="63" t="s">
        <v>677</v>
      </c>
      <c r="AA114" s="24" t="str">
        <f t="shared" si="21"/>
        <v>Fish Oil</v>
      </c>
    </row>
    <row r="115" spans="1:27" ht="6.75" customHeight="1" x14ac:dyDescent="0.25">
      <c r="A115" s="55">
        <v>115</v>
      </c>
      <c r="B115" s="56" t="s">
        <v>838</v>
      </c>
      <c r="C115" s="53" t="s">
        <v>839</v>
      </c>
      <c r="D115" s="62" t="s">
        <v>846</v>
      </c>
      <c r="E115" s="62" t="s">
        <v>458</v>
      </c>
      <c r="F115" s="53" t="s">
        <v>453</v>
      </c>
      <c r="G115" s="57" t="s">
        <v>1</v>
      </c>
      <c r="H115" s="57" t="s">
        <v>1</v>
      </c>
      <c r="I115" s="57" t="s">
        <v>1</v>
      </c>
      <c r="J115" s="57" t="s">
        <v>1</v>
      </c>
      <c r="K115" s="57" t="s">
        <v>1</v>
      </c>
      <c r="L115" s="23" t="str">
        <f t="shared" si="11"/>
        <v>Materialidades</v>
      </c>
      <c r="M115" s="23" t="str">
        <f t="shared" si="12"/>
        <v>Materiais Líquidos</v>
      </c>
      <c r="N115" s="23" t="str">
        <f t="shared" si="13"/>
        <v>Soluções</v>
      </c>
      <c r="O115" s="23" t="str">
        <f t="shared" si="14"/>
        <v>Solução Base Água</v>
      </c>
      <c r="P115" s="50" t="s">
        <v>454</v>
      </c>
      <c r="Q115" s="50" t="str">
        <f t="shared" si="15"/>
        <v>Solución a base de agua</v>
      </c>
      <c r="R115" s="24" t="s">
        <v>1</v>
      </c>
      <c r="S115" s="24" t="str">
        <f t="shared" si="16"/>
        <v>Materialidades</v>
      </c>
      <c r="T115" s="24" t="str">
        <f t="shared" si="17"/>
        <v>Materiais Líquidos</v>
      </c>
      <c r="U115" s="24" t="str">
        <f t="shared" si="18"/>
        <v>Soluções</v>
      </c>
      <c r="V115" s="24" t="s">
        <v>835</v>
      </c>
      <c r="W115" s="58" t="str">
        <f t="shared" si="19"/>
        <v>Key-MAT-115</v>
      </c>
      <c r="X115" s="24" t="s">
        <v>586</v>
      </c>
      <c r="Y115" s="24" t="s">
        <v>587</v>
      </c>
      <c r="Z115" s="63" t="s">
        <v>678</v>
      </c>
      <c r="AA115" s="24" t="str">
        <f t="shared" si="21"/>
        <v>Water-Based Solution</v>
      </c>
    </row>
    <row r="116" spans="1:27" ht="6.75" customHeight="1" x14ac:dyDescent="0.25">
      <c r="A116" s="55">
        <v>116</v>
      </c>
      <c r="B116" s="56" t="s">
        <v>838</v>
      </c>
      <c r="C116" s="53" t="s">
        <v>839</v>
      </c>
      <c r="D116" s="62" t="s">
        <v>846</v>
      </c>
      <c r="E116" s="62" t="s">
        <v>458</v>
      </c>
      <c r="F116" s="53" t="s">
        <v>452</v>
      </c>
      <c r="G116" s="57" t="s">
        <v>1</v>
      </c>
      <c r="H116" s="57" t="s">
        <v>1</v>
      </c>
      <c r="I116" s="57" t="s">
        <v>1</v>
      </c>
      <c r="J116" s="57" t="s">
        <v>1</v>
      </c>
      <c r="K116" s="57" t="s">
        <v>1</v>
      </c>
      <c r="L116" s="23" t="str">
        <f t="shared" si="11"/>
        <v>Materialidades</v>
      </c>
      <c r="M116" s="23" t="str">
        <f t="shared" si="12"/>
        <v>Materiais Líquidos</v>
      </c>
      <c r="N116" s="23" t="str">
        <f t="shared" si="13"/>
        <v>Soluções</v>
      </c>
      <c r="O116" s="23" t="str">
        <f t="shared" si="14"/>
        <v>Solução Ácida</v>
      </c>
      <c r="P116" s="50" t="s">
        <v>455</v>
      </c>
      <c r="Q116" s="50" t="str">
        <f t="shared" si="15"/>
        <v>Solución ácida</v>
      </c>
      <c r="R116" s="24" t="s">
        <v>1</v>
      </c>
      <c r="S116" s="24" t="str">
        <f t="shared" si="16"/>
        <v>Materialidades</v>
      </c>
      <c r="T116" s="24" t="str">
        <f t="shared" si="17"/>
        <v>Materiais Líquidos</v>
      </c>
      <c r="U116" s="24" t="str">
        <f t="shared" si="18"/>
        <v>Soluções</v>
      </c>
      <c r="V116" s="24" t="s">
        <v>835</v>
      </c>
      <c r="W116" s="58" t="str">
        <f t="shared" si="19"/>
        <v>Key-MAT-116</v>
      </c>
      <c r="X116" s="24" t="s">
        <v>586</v>
      </c>
      <c r="Y116" s="24" t="s">
        <v>587</v>
      </c>
      <c r="Z116" s="63" t="s">
        <v>679</v>
      </c>
      <c r="AA116" s="24" t="str">
        <f t="shared" si="21"/>
        <v>Acid Solution</v>
      </c>
    </row>
    <row r="117" spans="1:27" ht="6.75" customHeight="1" x14ac:dyDescent="0.25">
      <c r="A117" s="55">
        <v>117</v>
      </c>
      <c r="B117" s="56" t="s">
        <v>838</v>
      </c>
      <c r="C117" s="53" t="s">
        <v>839</v>
      </c>
      <c r="D117" s="62" t="s">
        <v>846</v>
      </c>
      <c r="E117" s="62" t="s">
        <v>458</v>
      </c>
      <c r="F117" s="53" t="s">
        <v>451</v>
      </c>
      <c r="G117" s="57" t="s">
        <v>1</v>
      </c>
      <c r="H117" s="57" t="s">
        <v>1</v>
      </c>
      <c r="I117" s="57" t="s">
        <v>1</v>
      </c>
      <c r="J117" s="57" t="s">
        <v>1</v>
      </c>
      <c r="K117" s="57" t="s">
        <v>1</v>
      </c>
      <c r="L117" s="23" t="str">
        <f t="shared" si="11"/>
        <v>Materialidades</v>
      </c>
      <c r="M117" s="23" t="str">
        <f t="shared" si="12"/>
        <v>Materiais Líquidos</v>
      </c>
      <c r="N117" s="23" t="str">
        <f t="shared" si="13"/>
        <v>Soluções</v>
      </c>
      <c r="O117" s="23" t="str">
        <f t="shared" si="14"/>
        <v>Solução Alcalina</v>
      </c>
      <c r="P117" s="50" t="s">
        <v>456</v>
      </c>
      <c r="Q117" s="50" t="str">
        <f t="shared" si="15"/>
        <v>Solución alcalina</v>
      </c>
      <c r="R117" s="24" t="s">
        <v>1</v>
      </c>
      <c r="S117" s="24" t="str">
        <f t="shared" si="16"/>
        <v>Materialidades</v>
      </c>
      <c r="T117" s="24" t="str">
        <f t="shared" si="17"/>
        <v>Materiais Líquidos</v>
      </c>
      <c r="U117" s="24" t="str">
        <f t="shared" si="18"/>
        <v>Soluções</v>
      </c>
      <c r="V117" s="24" t="s">
        <v>835</v>
      </c>
      <c r="W117" s="58" t="str">
        <f t="shared" si="19"/>
        <v>Key-MAT-117</v>
      </c>
      <c r="X117" s="24" t="s">
        <v>586</v>
      </c>
      <c r="Y117" s="24" t="s">
        <v>587</v>
      </c>
      <c r="Z117" s="63" t="s">
        <v>680</v>
      </c>
      <c r="AA117" s="24" t="str">
        <f t="shared" si="21"/>
        <v>Alkaline Solution</v>
      </c>
    </row>
    <row r="118" spans="1:27" ht="6.75" customHeight="1" x14ac:dyDescent="0.25">
      <c r="A118" s="55">
        <v>118</v>
      </c>
      <c r="B118" s="56" t="s">
        <v>838</v>
      </c>
      <c r="C118" s="53" t="s">
        <v>839</v>
      </c>
      <c r="D118" s="62" t="s">
        <v>846</v>
      </c>
      <c r="E118" s="62" t="s">
        <v>458</v>
      </c>
      <c r="F118" s="53" t="s">
        <v>450</v>
      </c>
      <c r="G118" s="57" t="s">
        <v>1</v>
      </c>
      <c r="H118" s="57" t="s">
        <v>1</v>
      </c>
      <c r="I118" s="57" t="s">
        <v>1</v>
      </c>
      <c r="J118" s="57" t="s">
        <v>1</v>
      </c>
      <c r="K118" s="57" t="s">
        <v>1</v>
      </c>
      <c r="L118" s="23" t="str">
        <f t="shared" si="11"/>
        <v>Materialidades</v>
      </c>
      <c r="M118" s="23" t="str">
        <f t="shared" si="12"/>
        <v>Materiais Líquidos</v>
      </c>
      <c r="N118" s="23" t="str">
        <f t="shared" si="13"/>
        <v>Soluções</v>
      </c>
      <c r="O118" s="23" t="str">
        <f t="shared" si="14"/>
        <v>Solução a Base de Água</v>
      </c>
      <c r="P118" s="50" t="s">
        <v>457</v>
      </c>
      <c r="Q118" s="50" t="str">
        <f t="shared" si="15"/>
        <v>Solución a base de agua</v>
      </c>
      <c r="R118" s="24" t="s">
        <v>1</v>
      </c>
      <c r="S118" s="24" t="str">
        <f t="shared" si="16"/>
        <v>Materialidades</v>
      </c>
      <c r="T118" s="24" t="str">
        <f t="shared" si="17"/>
        <v>Materiais Líquidos</v>
      </c>
      <c r="U118" s="24" t="str">
        <f t="shared" si="18"/>
        <v>Soluções</v>
      </c>
      <c r="V118" s="24" t="s">
        <v>835</v>
      </c>
      <c r="W118" s="58" t="str">
        <f t="shared" si="19"/>
        <v>Key-MAT-118</v>
      </c>
      <c r="X118" s="24" t="s">
        <v>586</v>
      </c>
      <c r="Y118" s="24" t="s">
        <v>587</v>
      </c>
      <c r="Z118" s="63" t="s">
        <v>681</v>
      </c>
      <c r="AA118" s="24" t="str">
        <f t="shared" si="21"/>
        <v>Water-Based Solution</v>
      </c>
    </row>
    <row r="119" spans="1:27" ht="6.75" customHeight="1" x14ac:dyDescent="0.25">
      <c r="A119" s="55">
        <v>119</v>
      </c>
      <c r="B119" s="56" t="s">
        <v>838</v>
      </c>
      <c r="C119" s="53" t="s">
        <v>839</v>
      </c>
      <c r="D119" s="62" t="s">
        <v>846</v>
      </c>
      <c r="E119" s="62" t="s">
        <v>568</v>
      </c>
      <c r="F119" s="53" t="s">
        <v>537</v>
      </c>
      <c r="G119" s="57" t="s">
        <v>1</v>
      </c>
      <c r="H119" s="57" t="s">
        <v>1</v>
      </c>
      <c r="I119" s="57" t="s">
        <v>1</v>
      </c>
      <c r="J119" s="57" t="s">
        <v>1</v>
      </c>
      <c r="K119" s="57" t="s">
        <v>1</v>
      </c>
      <c r="L119" s="23" t="str">
        <f t="shared" si="11"/>
        <v>Materialidades</v>
      </c>
      <c r="M119" s="23" t="str">
        <f t="shared" si="12"/>
        <v>Materiais Líquidos</v>
      </c>
      <c r="N119" s="23" t="str">
        <f t="shared" si="13"/>
        <v>Líquidos</v>
      </c>
      <c r="O119" s="23" t="str">
        <f t="shared" si="14"/>
        <v>Alcóol</v>
      </c>
      <c r="P119" s="24" t="s">
        <v>537</v>
      </c>
      <c r="Q119" s="50" t="str">
        <f t="shared" si="15"/>
        <v>Alcohol</v>
      </c>
      <c r="R119" s="24" t="s">
        <v>1</v>
      </c>
      <c r="S119" s="24" t="str">
        <f t="shared" si="16"/>
        <v>Materialidades</v>
      </c>
      <c r="T119" s="24" t="str">
        <f t="shared" si="17"/>
        <v>Materiais Líquidos</v>
      </c>
      <c r="U119" s="24" t="str">
        <f t="shared" si="18"/>
        <v>Líquidos</v>
      </c>
      <c r="V119" s="24" t="s">
        <v>835</v>
      </c>
      <c r="W119" s="58" t="str">
        <f t="shared" si="19"/>
        <v>Key-MAT-119</v>
      </c>
      <c r="X119" s="24" t="s">
        <v>586</v>
      </c>
      <c r="Y119" s="24" t="s">
        <v>587</v>
      </c>
      <c r="Z119" s="63" t="s">
        <v>682</v>
      </c>
      <c r="AA119" s="24" t="str">
        <f t="shared" si="21"/>
        <v>Alcohol</v>
      </c>
    </row>
    <row r="120" spans="1:27" ht="6.75" customHeight="1" x14ac:dyDescent="0.25">
      <c r="A120" s="55">
        <v>120</v>
      </c>
      <c r="B120" s="56" t="s">
        <v>838</v>
      </c>
      <c r="C120" s="53" t="s">
        <v>839</v>
      </c>
      <c r="D120" s="62" t="s">
        <v>846</v>
      </c>
      <c r="E120" s="62" t="s">
        <v>568</v>
      </c>
      <c r="F120" s="53" t="s">
        <v>538</v>
      </c>
      <c r="G120" s="57" t="s">
        <v>1</v>
      </c>
      <c r="H120" s="57" t="s">
        <v>1</v>
      </c>
      <c r="I120" s="57" t="s">
        <v>1</v>
      </c>
      <c r="J120" s="57" t="s">
        <v>1</v>
      </c>
      <c r="K120" s="57" t="s">
        <v>1</v>
      </c>
      <c r="L120" s="23" t="str">
        <f t="shared" si="11"/>
        <v>Materialidades</v>
      </c>
      <c r="M120" s="23" t="str">
        <f t="shared" si="12"/>
        <v>Materiais Líquidos</v>
      </c>
      <c r="N120" s="23" t="str">
        <f t="shared" si="13"/>
        <v>Líquidos</v>
      </c>
      <c r="O120" s="23" t="str">
        <f t="shared" si="14"/>
        <v>Lubrificante</v>
      </c>
      <c r="P120" s="24" t="s">
        <v>538</v>
      </c>
      <c r="Q120" s="50" t="str">
        <f t="shared" si="15"/>
        <v>Lubricante</v>
      </c>
      <c r="R120" s="24" t="s">
        <v>1</v>
      </c>
      <c r="S120" s="24" t="str">
        <f t="shared" si="16"/>
        <v>Materialidades</v>
      </c>
      <c r="T120" s="24" t="str">
        <f t="shared" si="17"/>
        <v>Materiais Líquidos</v>
      </c>
      <c r="U120" s="24" t="str">
        <f t="shared" si="18"/>
        <v>Líquidos</v>
      </c>
      <c r="V120" s="24" t="s">
        <v>835</v>
      </c>
      <c r="W120" s="58" t="str">
        <f t="shared" si="19"/>
        <v>Key-MAT-120</v>
      </c>
      <c r="X120" s="24" t="s">
        <v>586</v>
      </c>
      <c r="Y120" s="24" t="s">
        <v>587</v>
      </c>
      <c r="Z120" s="63" t="s">
        <v>683</v>
      </c>
      <c r="AA120" s="24" t="str">
        <f t="shared" si="21"/>
        <v>Lubricant</v>
      </c>
    </row>
    <row r="121" spans="1:27" ht="6.75" customHeight="1" x14ac:dyDescent="0.25">
      <c r="A121" s="55">
        <v>121</v>
      </c>
      <c r="B121" s="56" t="s">
        <v>838</v>
      </c>
      <c r="C121" s="53" t="s">
        <v>839</v>
      </c>
      <c r="D121" s="62" t="s">
        <v>846</v>
      </c>
      <c r="E121" s="62" t="s">
        <v>568</v>
      </c>
      <c r="F121" s="53" t="s">
        <v>525</v>
      </c>
      <c r="G121" s="57" t="s">
        <v>1</v>
      </c>
      <c r="H121" s="57" t="s">
        <v>1</v>
      </c>
      <c r="I121" s="57" t="s">
        <v>1</v>
      </c>
      <c r="J121" s="57" t="s">
        <v>1</v>
      </c>
      <c r="K121" s="57" t="s">
        <v>1</v>
      </c>
      <c r="L121" s="23" t="str">
        <f t="shared" si="11"/>
        <v>Materialidades</v>
      </c>
      <c r="M121" s="23" t="str">
        <f t="shared" si="12"/>
        <v>Materiais Líquidos</v>
      </c>
      <c r="N121" s="23" t="str">
        <f t="shared" si="13"/>
        <v>Líquidos</v>
      </c>
      <c r="O121" s="23" t="str">
        <f t="shared" si="14"/>
        <v>Amonia</v>
      </c>
      <c r="P121" s="24" t="s">
        <v>525</v>
      </c>
      <c r="Q121" s="50" t="str">
        <f t="shared" si="15"/>
        <v>Amoníaco</v>
      </c>
      <c r="R121" s="24" t="s">
        <v>1</v>
      </c>
      <c r="S121" s="24" t="str">
        <f t="shared" si="16"/>
        <v>Materialidades</v>
      </c>
      <c r="T121" s="24" t="str">
        <f t="shared" si="17"/>
        <v>Materiais Líquidos</v>
      </c>
      <c r="U121" s="24" t="str">
        <f t="shared" si="18"/>
        <v>Líquidos</v>
      </c>
      <c r="V121" s="24" t="s">
        <v>835</v>
      </c>
      <c r="W121" s="58" t="str">
        <f t="shared" si="19"/>
        <v>Key-MAT-121</v>
      </c>
      <c r="X121" s="24" t="s">
        <v>586</v>
      </c>
      <c r="Y121" s="24" t="s">
        <v>587</v>
      </c>
      <c r="Z121" s="63" t="s">
        <v>684</v>
      </c>
      <c r="AA121" s="24" t="str">
        <f t="shared" si="21"/>
        <v>Ammonia</v>
      </c>
    </row>
    <row r="122" spans="1:27" ht="6.75" customHeight="1" x14ac:dyDescent="0.25">
      <c r="A122" s="55">
        <v>122</v>
      </c>
      <c r="B122" s="56" t="s">
        <v>838</v>
      </c>
      <c r="C122" s="53" t="s">
        <v>839</v>
      </c>
      <c r="D122" s="62" t="s">
        <v>847</v>
      </c>
      <c r="E122" s="62" t="s">
        <v>578</v>
      </c>
      <c r="F122" s="53" t="s">
        <v>579</v>
      </c>
      <c r="G122" s="57" t="s">
        <v>1</v>
      </c>
      <c r="H122" s="57" t="s">
        <v>1</v>
      </c>
      <c r="I122" s="57" t="s">
        <v>1</v>
      </c>
      <c r="J122" s="57" t="s">
        <v>1</v>
      </c>
      <c r="K122" s="57" t="s">
        <v>1</v>
      </c>
      <c r="L122" s="23" t="str">
        <f t="shared" si="11"/>
        <v>Materialidades</v>
      </c>
      <c r="M122" s="23" t="str">
        <f t="shared" si="11"/>
        <v>Materiais Metálicos</v>
      </c>
      <c r="N122" s="23" t="str">
        <f t="shared" si="11"/>
        <v>Aços</v>
      </c>
      <c r="O122" s="23" t="str">
        <f t="shared" si="11"/>
        <v>Aço Carbono</v>
      </c>
      <c r="P122" s="24" t="s">
        <v>582</v>
      </c>
      <c r="Q122" s="50" t="str">
        <f t="shared" si="15"/>
        <v>Acero al carbono</v>
      </c>
      <c r="R122" s="24" t="s">
        <v>1</v>
      </c>
      <c r="S122" s="24" t="str">
        <f t="shared" si="16"/>
        <v>Materialidades</v>
      </c>
      <c r="T122" s="24" t="str">
        <f t="shared" si="16"/>
        <v>Materiais Metálicos</v>
      </c>
      <c r="U122" s="24" t="str">
        <f t="shared" si="16"/>
        <v>Aços</v>
      </c>
      <c r="V122" s="24" t="s">
        <v>835</v>
      </c>
      <c r="W122" s="58" t="str">
        <f t="shared" si="19"/>
        <v>Key-MAT-122</v>
      </c>
      <c r="X122" s="24" t="s">
        <v>586</v>
      </c>
      <c r="Y122" s="24" t="s">
        <v>587</v>
      </c>
      <c r="Z122" s="63" t="s">
        <v>685</v>
      </c>
      <c r="AA122" s="24" t="str">
        <f t="shared" si="21"/>
        <v>Carbon Steel</v>
      </c>
    </row>
    <row r="123" spans="1:27" ht="6.75" customHeight="1" x14ac:dyDescent="0.25">
      <c r="A123" s="55">
        <v>123</v>
      </c>
      <c r="B123" s="56" t="s">
        <v>838</v>
      </c>
      <c r="C123" s="53" t="s">
        <v>839</v>
      </c>
      <c r="D123" s="62" t="s">
        <v>847</v>
      </c>
      <c r="E123" s="62" t="s">
        <v>578</v>
      </c>
      <c r="F123" s="53" t="s">
        <v>580</v>
      </c>
      <c r="G123" s="57" t="s">
        <v>1</v>
      </c>
      <c r="H123" s="57" t="s">
        <v>1</v>
      </c>
      <c r="I123" s="57" t="s">
        <v>1</v>
      </c>
      <c r="J123" s="57" t="s">
        <v>1</v>
      </c>
      <c r="K123" s="57" t="s">
        <v>1</v>
      </c>
      <c r="L123" s="23" t="str">
        <f t="shared" si="11"/>
        <v>Materialidades</v>
      </c>
      <c r="M123" s="23" t="str">
        <f t="shared" si="11"/>
        <v>Materiais Metálicos</v>
      </c>
      <c r="N123" s="23" t="str">
        <f t="shared" si="11"/>
        <v>Aços</v>
      </c>
      <c r="O123" s="23" t="str">
        <f t="shared" si="11"/>
        <v>Aço Inox</v>
      </c>
      <c r="P123" s="24" t="s">
        <v>583</v>
      </c>
      <c r="Q123" s="50" t="str">
        <f t="shared" si="15"/>
        <v>Acero inoxidable</v>
      </c>
      <c r="R123" s="24" t="s">
        <v>1</v>
      </c>
      <c r="S123" s="24" t="str">
        <f t="shared" si="16"/>
        <v>Materialidades</v>
      </c>
      <c r="T123" s="24" t="str">
        <f t="shared" si="16"/>
        <v>Materiais Metálicos</v>
      </c>
      <c r="U123" s="24" t="str">
        <f t="shared" si="16"/>
        <v>Aços</v>
      </c>
      <c r="V123" s="24" t="s">
        <v>835</v>
      </c>
      <c r="W123" s="58" t="str">
        <f t="shared" si="19"/>
        <v>Key-MAT-123</v>
      </c>
      <c r="X123" s="24" t="s">
        <v>586</v>
      </c>
      <c r="Y123" s="24" t="s">
        <v>587</v>
      </c>
      <c r="Z123" s="63" t="s">
        <v>686</v>
      </c>
      <c r="AA123" s="24" t="str">
        <f t="shared" si="21"/>
        <v>Stainless Steel</v>
      </c>
    </row>
    <row r="124" spans="1:27" ht="6.75" customHeight="1" x14ac:dyDescent="0.25">
      <c r="A124" s="55">
        <v>124</v>
      </c>
      <c r="B124" s="56" t="s">
        <v>838</v>
      </c>
      <c r="C124" s="53" t="s">
        <v>839</v>
      </c>
      <c r="D124" s="62" t="s">
        <v>847</v>
      </c>
      <c r="E124" s="62" t="s">
        <v>578</v>
      </c>
      <c r="F124" s="53" t="s">
        <v>581</v>
      </c>
      <c r="G124" s="57" t="s">
        <v>1</v>
      </c>
      <c r="H124" s="57" t="s">
        <v>1</v>
      </c>
      <c r="I124" s="57" t="s">
        <v>1</v>
      </c>
      <c r="J124" s="57" t="s">
        <v>1</v>
      </c>
      <c r="K124" s="57" t="s">
        <v>1</v>
      </c>
      <c r="L124" s="23" t="str">
        <f t="shared" si="11"/>
        <v>Materialidades</v>
      </c>
      <c r="M124" s="23" t="str">
        <f t="shared" si="11"/>
        <v>Materiais Metálicos</v>
      </c>
      <c r="N124" s="23" t="str">
        <f t="shared" si="11"/>
        <v>Aços</v>
      </c>
      <c r="O124" s="23" t="str">
        <f t="shared" si="11"/>
        <v>Aço Liga</v>
      </c>
      <c r="P124" s="24" t="s">
        <v>584</v>
      </c>
      <c r="Q124" s="50" t="str">
        <f t="shared" si="15"/>
        <v>Acero aleado</v>
      </c>
      <c r="R124" s="24" t="s">
        <v>1</v>
      </c>
      <c r="S124" s="24" t="str">
        <f t="shared" si="16"/>
        <v>Materialidades</v>
      </c>
      <c r="T124" s="24" t="str">
        <f t="shared" si="16"/>
        <v>Materiais Metálicos</v>
      </c>
      <c r="U124" s="24" t="str">
        <f t="shared" si="16"/>
        <v>Aços</v>
      </c>
      <c r="V124" s="24" t="s">
        <v>835</v>
      </c>
      <c r="W124" s="58" t="str">
        <f t="shared" si="19"/>
        <v>Key-MAT-124</v>
      </c>
      <c r="X124" s="24" t="s">
        <v>586</v>
      </c>
      <c r="Y124" s="24" t="s">
        <v>587</v>
      </c>
      <c r="Z124" s="63" t="s">
        <v>687</v>
      </c>
      <c r="AA124" s="24" t="str">
        <f t="shared" si="21"/>
        <v>Alloy Steel</v>
      </c>
    </row>
    <row r="125" spans="1:27" ht="6.75" customHeight="1" x14ac:dyDescent="0.25">
      <c r="A125" s="55">
        <v>125</v>
      </c>
      <c r="B125" s="56" t="s">
        <v>838</v>
      </c>
      <c r="C125" s="53" t="s">
        <v>839</v>
      </c>
      <c r="D125" s="62" t="s">
        <v>847</v>
      </c>
      <c r="E125" s="62" t="s">
        <v>334</v>
      </c>
      <c r="F125" s="62" t="s">
        <v>104</v>
      </c>
      <c r="G125" s="57" t="s">
        <v>1</v>
      </c>
      <c r="H125" s="57" t="s">
        <v>1</v>
      </c>
      <c r="I125" s="57" t="s">
        <v>1</v>
      </c>
      <c r="J125" s="57" t="s">
        <v>1</v>
      </c>
      <c r="K125" s="57" t="s">
        <v>1</v>
      </c>
      <c r="L125" s="23" t="str">
        <f t="shared" si="11"/>
        <v>Materialidades</v>
      </c>
      <c r="M125" s="23" t="str">
        <f t="shared" si="12"/>
        <v>Materiais Metálicos</v>
      </c>
      <c r="N125" s="23" t="str">
        <f t="shared" si="13"/>
        <v>Alumínios</v>
      </c>
      <c r="O125" s="23" t="str">
        <f t="shared" si="14"/>
        <v>Alumínio</v>
      </c>
      <c r="P125" s="24" t="s">
        <v>104</v>
      </c>
      <c r="Q125" s="50" t="str">
        <f t="shared" si="15"/>
        <v>Aluminio</v>
      </c>
      <c r="R125" s="24" t="s">
        <v>1</v>
      </c>
      <c r="S125" s="24" t="str">
        <f t="shared" si="16"/>
        <v>Materialidades</v>
      </c>
      <c r="T125" s="24" t="str">
        <f t="shared" si="17"/>
        <v>Materiais Metálicos</v>
      </c>
      <c r="U125" s="24" t="str">
        <f t="shared" si="18"/>
        <v>Alumínios</v>
      </c>
      <c r="V125" s="24" t="s">
        <v>835</v>
      </c>
      <c r="W125" s="58" t="str">
        <f t="shared" si="19"/>
        <v>Key-MAT-125</v>
      </c>
      <c r="X125" s="24" t="s">
        <v>586</v>
      </c>
      <c r="Y125" s="24" t="s">
        <v>587</v>
      </c>
      <c r="Z125" s="63" t="s">
        <v>688</v>
      </c>
      <c r="AA125" s="24" t="str">
        <f t="shared" si="21"/>
        <v>Aluminum</v>
      </c>
    </row>
    <row r="126" spans="1:27" ht="6.75" customHeight="1" x14ac:dyDescent="0.25">
      <c r="A126" s="55">
        <v>126</v>
      </c>
      <c r="B126" s="56" t="s">
        <v>838</v>
      </c>
      <c r="C126" s="53" t="s">
        <v>839</v>
      </c>
      <c r="D126" s="62" t="s">
        <v>847</v>
      </c>
      <c r="E126" s="62" t="s">
        <v>114</v>
      </c>
      <c r="F126" s="62" t="s">
        <v>486</v>
      </c>
      <c r="G126" s="57" t="s">
        <v>1</v>
      </c>
      <c r="H126" s="57" t="s">
        <v>1</v>
      </c>
      <c r="I126" s="57" t="s">
        <v>1</v>
      </c>
      <c r="J126" s="57" t="s">
        <v>1</v>
      </c>
      <c r="K126" s="57" t="s">
        <v>1</v>
      </c>
      <c r="L126" s="23" t="str">
        <f t="shared" si="11"/>
        <v>Materialidades</v>
      </c>
      <c r="M126" s="23" t="str">
        <f t="shared" si="12"/>
        <v>Materiais Metálicos</v>
      </c>
      <c r="N126" s="23" t="str">
        <f t="shared" si="13"/>
        <v>Bronzes</v>
      </c>
      <c r="O126" s="23" t="str">
        <f t="shared" si="14"/>
        <v>Bronze</v>
      </c>
      <c r="P126" s="24" t="s">
        <v>114</v>
      </c>
      <c r="Q126" s="50" t="str">
        <f t="shared" si="15"/>
        <v>Bronces</v>
      </c>
      <c r="R126" s="24" t="s">
        <v>1</v>
      </c>
      <c r="S126" s="24" t="str">
        <f t="shared" si="16"/>
        <v>Materialidades</v>
      </c>
      <c r="T126" s="24" t="str">
        <f t="shared" si="17"/>
        <v>Materiais Metálicos</v>
      </c>
      <c r="U126" s="24" t="str">
        <f t="shared" si="18"/>
        <v>Bronzes</v>
      </c>
      <c r="V126" s="24" t="s">
        <v>835</v>
      </c>
      <c r="W126" s="58" t="str">
        <f t="shared" si="19"/>
        <v>Key-MAT-126</v>
      </c>
      <c r="X126" s="24" t="s">
        <v>586</v>
      </c>
      <c r="Y126" s="24" t="s">
        <v>587</v>
      </c>
      <c r="Z126" s="63" t="s">
        <v>689</v>
      </c>
      <c r="AA126" s="24" t="str">
        <f t="shared" si="21"/>
        <v>Bronzes</v>
      </c>
    </row>
    <row r="127" spans="1:27" ht="6.75" customHeight="1" x14ac:dyDescent="0.25">
      <c r="A127" s="55">
        <v>127</v>
      </c>
      <c r="B127" s="56" t="s">
        <v>838</v>
      </c>
      <c r="C127" s="53" t="s">
        <v>839</v>
      </c>
      <c r="D127" s="62" t="s">
        <v>847</v>
      </c>
      <c r="E127" s="62" t="s">
        <v>115</v>
      </c>
      <c r="F127" s="62" t="s">
        <v>487</v>
      </c>
      <c r="G127" s="57" t="s">
        <v>1</v>
      </c>
      <c r="H127" s="57" t="s">
        <v>1</v>
      </c>
      <c r="I127" s="57" t="s">
        <v>1</v>
      </c>
      <c r="J127" s="57" t="s">
        <v>1</v>
      </c>
      <c r="K127" s="57" t="s">
        <v>1</v>
      </c>
      <c r="L127" s="23" t="str">
        <f t="shared" si="11"/>
        <v>Materialidades</v>
      </c>
      <c r="M127" s="23" t="str">
        <f t="shared" si="12"/>
        <v>Materiais Metálicos</v>
      </c>
      <c r="N127" s="23" t="str">
        <f t="shared" si="13"/>
        <v>Cobres</v>
      </c>
      <c r="O127" s="23" t="str">
        <f t="shared" si="14"/>
        <v>Cobre</v>
      </c>
      <c r="P127" s="24" t="s">
        <v>115</v>
      </c>
      <c r="Q127" s="50" t="str">
        <f t="shared" si="15"/>
        <v>Cobres</v>
      </c>
      <c r="R127" s="24" t="s">
        <v>1</v>
      </c>
      <c r="S127" s="24" t="str">
        <f t="shared" si="16"/>
        <v>Materialidades</v>
      </c>
      <c r="T127" s="24" t="str">
        <f t="shared" si="17"/>
        <v>Materiais Metálicos</v>
      </c>
      <c r="U127" s="24" t="str">
        <f t="shared" si="18"/>
        <v>Cobres</v>
      </c>
      <c r="V127" s="24" t="s">
        <v>835</v>
      </c>
      <c r="W127" s="58" t="str">
        <f t="shared" si="19"/>
        <v>Key-MAT-127</v>
      </c>
      <c r="X127" s="24" t="s">
        <v>586</v>
      </c>
      <c r="Y127" s="24" t="s">
        <v>587</v>
      </c>
      <c r="Z127" s="63" t="s">
        <v>690</v>
      </c>
      <c r="AA127" s="24" t="str">
        <f t="shared" si="21"/>
        <v>Coppers</v>
      </c>
    </row>
    <row r="128" spans="1:27" ht="6.75" customHeight="1" x14ac:dyDescent="0.25">
      <c r="A128" s="55">
        <v>128</v>
      </c>
      <c r="B128" s="56" t="s">
        <v>838</v>
      </c>
      <c r="C128" s="53" t="s">
        <v>839</v>
      </c>
      <c r="D128" s="62" t="s">
        <v>847</v>
      </c>
      <c r="E128" s="62" t="s">
        <v>116</v>
      </c>
      <c r="F128" s="53" t="s">
        <v>325</v>
      </c>
      <c r="G128" s="57" t="s">
        <v>1</v>
      </c>
      <c r="H128" s="57" t="s">
        <v>1</v>
      </c>
      <c r="I128" s="57" t="s">
        <v>1</v>
      </c>
      <c r="J128" s="57" t="s">
        <v>1</v>
      </c>
      <c r="K128" s="57" t="s">
        <v>1</v>
      </c>
      <c r="L128" s="23" t="str">
        <f t="shared" si="11"/>
        <v>Materialidades</v>
      </c>
      <c r="M128" s="23" t="str">
        <f t="shared" si="12"/>
        <v>Materiais Metálicos</v>
      </c>
      <c r="N128" s="23" t="str">
        <f t="shared" si="13"/>
        <v>Ferros</v>
      </c>
      <c r="O128" s="23" t="str">
        <f t="shared" si="14"/>
        <v>Ferro Fundido</v>
      </c>
      <c r="P128" s="24" t="s">
        <v>329</v>
      </c>
      <c r="Q128" s="50" t="str">
        <f t="shared" si="15"/>
        <v>Hierro fundido</v>
      </c>
      <c r="R128" s="24" t="s">
        <v>1</v>
      </c>
      <c r="S128" s="24" t="str">
        <f t="shared" si="16"/>
        <v>Materialidades</v>
      </c>
      <c r="T128" s="24" t="str">
        <f t="shared" si="17"/>
        <v>Materiais Metálicos</v>
      </c>
      <c r="U128" s="24" t="str">
        <f t="shared" si="18"/>
        <v>Ferros</v>
      </c>
      <c r="V128" s="24" t="s">
        <v>835</v>
      </c>
      <c r="W128" s="58" t="str">
        <f t="shared" si="19"/>
        <v>Key-MAT-128</v>
      </c>
      <c r="X128" s="24" t="s">
        <v>586</v>
      </c>
      <c r="Y128" s="24" t="s">
        <v>587</v>
      </c>
      <c r="Z128" s="63" t="s">
        <v>691</v>
      </c>
      <c r="AA128" s="24" t="str">
        <f t="shared" si="21"/>
        <v>Cast Iron</v>
      </c>
    </row>
    <row r="129" spans="1:27" ht="6.75" customHeight="1" x14ac:dyDescent="0.25">
      <c r="A129" s="55">
        <v>129</v>
      </c>
      <c r="B129" s="56" t="s">
        <v>838</v>
      </c>
      <c r="C129" s="53" t="s">
        <v>839</v>
      </c>
      <c r="D129" s="62" t="s">
        <v>847</v>
      </c>
      <c r="E129" s="62" t="s">
        <v>116</v>
      </c>
      <c r="F129" s="53" t="s">
        <v>326</v>
      </c>
      <c r="G129" s="57" t="s">
        <v>1</v>
      </c>
      <c r="H129" s="57" t="s">
        <v>1</v>
      </c>
      <c r="I129" s="57" t="s">
        <v>1</v>
      </c>
      <c r="J129" s="57" t="s">
        <v>1</v>
      </c>
      <c r="K129" s="57" t="s">
        <v>1</v>
      </c>
      <c r="L129" s="23" t="str">
        <f t="shared" si="11"/>
        <v>Materialidades</v>
      </c>
      <c r="M129" s="23" t="str">
        <f t="shared" si="12"/>
        <v>Materiais Metálicos</v>
      </c>
      <c r="N129" s="23" t="str">
        <f t="shared" si="13"/>
        <v>Ferros</v>
      </c>
      <c r="O129" s="23" t="str">
        <f t="shared" si="14"/>
        <v>Ferro Forjado</v>
      </c>
      <c r="P129" s="24" t="s">
        <v>330</v>
      </c>
      <c r="Q129" s="50" t="str">
        <f t="shared" si="15"/>
        <v>Hierro Forjado</v>
      </c>
      <c r="R129" s="24" t="s">
        <v>1</v>
      </c>
      <c r="S129" s="24" t="str">
        <f t="shared" si="16"/>
        <v>Materialidades</v>
      </c>
      <c r="T129" s="24" t="str">
        <f t="shared" si="17"/>
        <v>Materiais Metálicos</v>
      </c>
      <c r="U129" s="24" t="str">
        <f t="shared" si="18"/>
        <v>Ferros</v>
      </c>
      <c r="V129" s="24" t="s">
        <v>835</v>
      </c>
      <c r="W129" s="58" t="str">
        <f t="shared" ref="W129:W192" si="22">CONCATENATE("Key-MAT-",A129)</f>
        <v>Key-MAT-129</v>
      </c>
      <c r="X129" s="24" t="s">
        <v>586</v>
      </c>
      <c r="Y129" s="24" t="s">
        <v>587</v>
      </c>
      <c r="Z129" s="63" t="s">
        <v>692</v>
      </c>
      <c r="AA129" s="24" t="str">
        <f t="shared" si="21"/>
        <v>Wrought Iron</v>
      </c>
    </row>
    <row r="130" spans="1:27" ht="6.75" customHeight="1" x14ac:dyDescent="0.25">
      <c r="A130" s="55">
        <v>130</v>
      </c>
      <c r="B130" s="56" t="s">
        <v>838</v>
      </c>
      <c r="C130" s="53" t="s">
        <v>839</v>
      </c>
      <c r="D130" s="62" t="s">
        <v>847</v>
      </c>
      <c r="E130" s="62" t="s">
        <v>116</v>
      </c>
      <c r="F130" s="53" t="s">
        <v>327</v>
      </c>
      <c r="G130" s="57" t="s">
        <v>1</v>
      </c>
      <c r="H130" s="57" t="s">
        <v>1</v>
      </c>
      <c r="I130" s="57" t="s">
        <v>1</v>
      </c>
      <c r="J130" s="57" t="s">
        <v>1</v>
      </c>
      <c r="K130" s="57" t="s">
        <v>1</v>
      </c>
      <c r="L130" s="23" t="str">
        <f t="shared" si="11"/>
        <v>Materialidades</v>
      </c>
      <c r="M130" s="23" t="str">
        <f t="shared" si="12"/>
        <v>Materiais Metálicos</v>
      </c>
      <c r="N130" s="23" t="str">
        <f t="shared" si="13"/>
        <v>Ferros</v>
      </c>
      <c r="O130" s="23" t="str">
        <f t="shared" si="14"/>
        <v>Ferro Fundido Dúctil</v>
      </c>
      <c r="P130" s="24" t="s">
        <v>331</v>
      </c>
      <c r="Q130" s="50" t="str">
        <f t="shared" si="15"/>
        <v>Hierro fundido dúctil</v>
      </c>
      <c r="R130" s="24" t="s">
        <v>1</v>
      </c>
      <c r="S130" s="24" t="str">
        <f t="shared" si="16"/>
        <v>Materialidades</v>
      </c>
      <c r="T130" s="24" t="str">
        <f t="shared" si="17"/>
        <v>Materiais Metálicos</v>
      </c>
      <c r="U130" s="24" t="str">
        <f t="shared" si="18"/>
        <v>Ferros</v>
      </c>
      <c r="V130" s="24" t="s">
        <v>835</v>
      </c>
      <c r="W130" s="58" t="str">
        <f t="shared" si="22"/>
        <v>Key-MAT-130</v>
      </c>
      <c r="X130" s="24" t="s">
        <v>586</v>
      </c>
      <c r="Y130" s="24" t="s">
        <v>587</v>
      </c>
      <c r="Z130" s="63" t="s">
        <v>693</v>
      </c>
      <c r="AA130" s="24" t="str">
        <f t="shared" si="21"/>
        <v>Ductile Cast Iron</v>
      </c>
    </row>
    <row r="131" spans="1:27" ht="6.75" customHeight="1" x14ac:dyDescent="0.25">
      <c r="A131" s="55">
        <v>131</v>
      </c>
      <c r="B131" s="56" t="s">
        <v>838</v>
      </c>
      <c r="C131" s="53" t="s">
        <v>839</v>
      </c>
      <c r="D131" s="62" t="s">
        <v>847</v>
      </c>
      <c r="E131" s="62" t="s">
        <v>116</v>
      </c>
      <c r="F131" s="53" t="s">
        <v>328</v>
      </c>
      <c r="G131" s="57" t="s">
        <v>1</v>
      </c>
      <c r="H131" s="57" t="s">
        <v>1</v>
      </c>
      <c r="I131" s="57" t="s">
        <v>1</v>
      </c>
      <c r="J131" s="57" t="s">
        <v>1</v>
      </c>
      <c r="K131" s="57" t="s">
        <v>1</v>
      </c>
      <c r="L131" s="23" t="str">
        <f t="shared" si="11"/>
        <v>Materialidades</v>
      </c>
      <c r="M131" s="23" t="str">
        <f t="shared" si="12"/>
        <v>Materiais Metálicos</v>
      </c>
      <c r="N131" s="23" t="str">
        <f t="shared" si="13"/>
        <v>Ferros</v>
      </c>
      <c r="O131" s="23" t="str">
        <f t="shared" si="14"/>
        <v>Ferro Maleável</v>
      </c>
      <c r="P131" s="24" t="s">
        <v>332</v>
      </c>
      <c r="Q131" s="50" t="str">
        <f t="shared" si="15"/>
        <v>Hierro maleable</v>
      </c>
      <c r="R131" s="24" t="s">
        <v>1</v>
      </c>
      <c r="S131" s="24" t="str">
        <f t="shared" si="16"/>
        <v>Materialidades</v>
      </c>
      <c r="T131" s="24" t="str">
        <f t="shared" si="17"/>
        <v>Materiais Metálicos</v>
      </c>
      <c r="U131" s="24" t="str">
        <f t="shared" si="18"/>
        <v>Ferros</v>
      </c>
      <c r="V131" s="24" t="s">
        <v>835</v>
      </c>
      <c r="W131" s="58" t="str">
        <f t="shared" si="22"/>
        <v>Key-MAT-131</v>
      </c>
      <c r="X131" s="24" t="s">
        <v>586</v>
      </c>
      <c r="Y131" s="24" t="s">
        <v>587</v>
      </c>
      <c r="Z131" s="63" t="s">
        <v>694</v>
      </c>
      <c r="AA131" s="24" t="str">
        <f t="shared" si="21"/>
        <v>Malleable Iron</v>
      </c>
    </row>
    <row r="132" spans="1:27" ht="6.75" customHeight="1" x14ac:dyDescent="0.25">
      <c r="A132" s="55">
        <v>132</v>
      </c>
      <c r="B132" s="56" t="s">
        <v>838</v>
      </c>
      <c r="C132" s="53" t="s">
        <v>839</v>
      </c>
      <c r="D132" s="62" t="s">
        <v>847</v>
      </c>
      <c r="E132" s="62" t="s">
        <v>117</v>
      </c>
      <c r="F132" s="62" t="s">
        <v>110</v>
      </c>
      <c r="G132" s="57" t="s">
        <v>1</v>
      </c>
      <c r="H132" s="57" t="s">
        <v>1</v>
      </c>
      <c r="I132" s="57" t="s">
        <v>1</v>
      </c>
      <c r="J132" s="57" t="s">
        <v>1</v>
      </c>
      <c r="K132" s="57" t="s">
        <v>1</v>
      </c>
      <c r="L132" s="23" t="str">
        <f t="shared" ref="L132:L195" si="23">SUBSTITUTE(CONCATENATE("", C132), ".", " ")</f>
        <v>Materialidades</v>
      </c>
      <c r="M132" s="23" t="str">
        <f t="shared" ref="M132:M195" si="24">SUBSTITUTE(CONCATENATE("", D132), ".", " ")</f>
        <v>Materiais Metálicos</v>
      </c>
      <c r="N132" s="23" t="str">
        <f t="shared" ref="N132:N195" si="25">SUBSTITUTE(CONCATENATE("", E132), ".", " ")</f>
        <v>Latões</v>
      </c>
      <c r="O132" s="23" t="str">
        <f t="shared" ref="O132:O195" si="26">SUBSTITUTE(CONCATENATE("", F132), ".", " ")</f>
        <v>Latão</v>
      </c>
      <c r="P132" s="24" t="s">
        <v>117</v>
      </c>
      <c r="Q132" s="50" t="str">
        <f t="shared" ref="Q132:Q195" si="27">_xlfn.TRANSLATE(P132,"pt","es")</f>
        <v>Metales</v>
      </c>
      <c r="R132" s="24" t="s">
        <v>1</v>
      </c>
      <c r="S132" s="24" t="str">
        <f t="shared" ref="S132:S195" si="28">SUBSTITUTE(C132, ".", " ")</f>
        <v>Materialidades</v>
      </c>
      <c r="T132" s="24" t="str">
        <f t="shared" ref="T132:T195" si="29">SUBSTITUTE(D132, ".", " ")</f>
        <v>Materiais Metálicos</v>
      </c>
      <c r="U132" s="24" t="str">
        <f t="shared" ref="U132:U195" si="30">SUBSTITUTE(E132, ".", " ")</f>
        <v>Latões</v>
      </c>
      <c r="V132" s="24" t="s">
        <v>835</v>
      </c>
      <c r="W132" s="58" t="str">
        <f t="shared" si="22"/>
        <v>Key-MAT-132</v>
      </c>
      <c r="X132" s="24" t="s">
        <v>586</v>
      </c>
      <c r="Y132" s="24" t="s">
        <v>587</v>
      </c>
      <c r="Z132" s="63" t="s">
        <v>695</v>
      </c>
      <c r="AA132" s="24" t="str">
        <f t="shared" si="21"/>
        <v>Brass</v>
      </c>
    </row>
    <row r="133" spans="1:27" ht="6.75" customHeight="1" x14ac:dyDescent="0.25">
      <c r="A133" s="55">
        <v>133</v>
      </c>
      <c r="B133" s="56" t="s">
        <v>838</v>
      </c>
      <c r="C133" s="53" t="s">
        <v>839</v>
      </c>
      <c r="D133" s="62" t="s">
        <v>847</v>
      </c>
      <c r="E133" s="62" t="s">
        <v>569</v>
      </c>
      <c r="F133" s="62" t="s">
        <v>574</v>
      </c>
      <c r="G133" s="57" t="s">
        <v>1</v>
      </c>
      <c r="H133" s="57" t="s">
        <v>1</v>
      </c>
      <c r="I133" s="57" t="s">
        <v>1</v>
      </c>
      <c r="J133" s="57" t="s">
        <v>1</v>
      </c>
      <c r="K133" s="57" t="s">
        <v>1</v>
      </c>
      <c r="L133" s="23" t="str">
        <f t="shared" si="23"/>
        <v>Materialidades</v>
      </c>
      <c r="M133" s="23" t="str">
        <f t="shared" si="24"/>
        <v>Materiais Metálicos</v>
      </c>
      <c r="N133" s="23" t="str">
        <f t="shared" si="25"/>
        <v>Ligas Metálicas</v>
      </c>
      <c r="O133" s="23" t="str">
        <f t="shared" si="26"/>
        <v>Zincado</v>
      </c>
      <c r="P133" s="24" t="s">
        <v>103</v>
      </c>
      <c r="Q133" s="50" t="str">
        <f t="shared" si="27"/>
        <v>Zinc</v>
      </c>
      <c r="R133" s="24" t="s">
        <v>1</v>
      </c>
      <c r="S133" s="24" t="str">
        <f t="shared" si="28"/>
        <v>Materialidades</v>
      </c>
      <c r="T133" s="24" t="str">
        <f t="shared" si="29"/>
        <v>Materiais Metálicos</v>
      </c>
      <c r="U133" s="24" t="str">
        <f t="shared" si="30"/>
        <v>Ligas Metálicas</v>
      </c>
      <c r="V133" s="24" t="s">
        <v>835</v>
      </c>
      <c r="W133" s="58" t="str">
        <f t="shared" si="22"/>
        <v>Key-MAT-133</v>
      </c>
      <c r="X133" s="24" t="s">
        <v>586</v>
      </c>
      <c r="Y133" s="24" t="s">
        <v>587</v>
      </c>
      <c r="Z133" s="63" t="s">
        <v>696</v>
      </c>
      <c r="AA133" s="24" t="str">
        <f t="shared" ref="AA133:AA144" si="31">_xlfn.TRANSLATE(P133,"pt","en")</f>
        <v>Zinc</v>
      </c>
    </row>
    <row r="134" spans="1:27" ht="6.75" customHeight="1" x14ac:dyDescent="0.25">
      <c r="A134" s="55">
        <v>134</v>
      </c>
      <c r="B134" s="56" t="s">
        <v>838</v>
      </c>
      <c r="C134" s="53" t="s">
        <v>839</v>
      </c>
      <c r="D134" s="62" t="s">
        <v>847</v>
      </c>
      <c r="E134" s="62" t="s">
        <v>569</v>
      </c>
      <c r="F134" s="53" t="s">
        <v>541</v>
      </c>
      <c r="G134" s="57" t="s">
        <v>1</v>
      </c>
      <c r="H134" s="57" t="s">
        <v>1</v>
      </c>
      <c r="I134" s="57" t="s">
        <v>1</v>
      </c>
      <c r="J134" s="57" t="s">
        <v>1</v>
      </c>
      <c r="K134" s="57" t="s">
        <v>1</v>
      </c>
      <c r="L134" s="23" t="str">
        <f t="shared" si="23"/>
        <v>Materialidades</v>
      </c>
      <c r="M134" s="23" t="str">
        <f t="shared" si="24"/>
        <v>Materiais Metálicos</v>
      </c>
      <c r="N134" s="23" t="str">
        <f t="shared" si="25"/>
        <v>Ligas Metálicas</v>
      </c>
      <c r="O134" s="23" t="str">
        <f t="shared" si="26"/>
        <v>Liga Zinco</v>
      </c>
      <c r="P134" s="24" t="s">
        <v>560</v>
      </c>
      <c r="Q134" s="50" t="str">
        <f t="shared" si="27"/>
        <v>Aleación de zinc</v>
      </c>
      <c r="R134" s="24" t="s">
        <v>1</v>
      </c>
      <c r="S134" s="24" t="str">
        <f t="shared" si="28"/>
        <v>Materialidades</v>
      </c>
      <c r="T134" s="24" t="str">
        <f t="shared" si="29"/>
        <v>Materiais Metálicos</v>
      </c>
      <c r="U134" s="24" t="str">
        <f t="shared" si="30"/>
        <v>Ligas Metálicas</v>
      </c>
      <c r="V134" s="24" t="s">
        <v>835</v>
      </c>
      <c r="W134" s="58" t="str">
        <f t="shared" si="22"/>
        <v>Key-MAT-134</v>
      </c>
      <c r="X134" s="24" t="s">
        <v>586</v>
      </c>
      <c r="Y134" s="24" t="s">
        <v>587</v>
      </c>
      <c r="Z134" s="63" t="s">
        <v>696</v>
      </c>
      <c r="AA134" s="24" t="str">
        <f t="shared" si="31"/>
        <v>Zinc Alloy</v>
      </c>
    </row>
    <row r="135" spans="1:27" ht="6.75" customHeight="1" x14ac:dyDescent="0.25">
      <c r="A135" s="55">
        <v>135</v>
      </c>
      <c r="B135" s="56" t="s">
        <v>838</v>
      </c>
      <c r="C135" s="53" t="s">
        <v>839</v>
      </c>
      <c r="D135" s="62" t="s">
        <v>847</v>
      </c>
      <c r="E135" s="62" t="s">
        <v>569</v>
      </c>
      <c r="F135" s="53" t="s">
        <v>540</v>
      </c>
      <c r="G135" s="57" t="s">
        <v>1</v>
      </c>
      <c r="H135" s="57" t="s">
        <v>1</v>
      </c>
      <c r="I135" s="57" t="s">
        <v>1</v>
      </c>
      <c r="J135" s="57" t="s">
        <v>1</v>
      </c>
      <c r="K135" s="57" t="s">
        <v>1</v>
      </c>
      <c r="L135" s="23" t="str">
        <f t="shared" si="23"/>
        <v>Materialidades</v>
      </c>
      <c r="M135" s="23" t="str">
        <f t="shared" si="24"/>
        <v>Materiais Metálicos</v>
      </c>
      <c r="N135" s="23" t="str">
        <f t="shared" si="25"/>
        <v>Ligas Metálicas</v>
      </c>
      <c r="O135" s="23" t="str">
        <f t="shared" si="26"/>
        <v>Liga Zinco Chumbo</v>
      </c>
      <c r="P135" s="24" t="s">
        <v>561</v>
      </c>
      <c r="Q135" s="50" t="str">
        <f t="shared" si="27"/>
        <v>Aleación de zinc y plomo</v>
      </c>
      <c r="R135" s="24" t="s">
        <v>1</v>
      </c>
      <c r="S135" s="24" t="str">
        <f t="shared" si="28"/>
        <v>Materialidades</v>
      </c>
      <c r="T135" s="24" t="str">
        <f t="shared" si="29"/>
        <v>Materiais Metálicos</v>
      </c>
      <c r="U135" s="24" t="str">
        <f t="shared" si="30"/>
        <v>Ligas Metálicas</v>
      </c>
      <c r="V135" s="24" t="s">
        <v>835</v>
      </c>
      <c r="W135" s="58" t="str">
        <f t="shared" si="22"/>
        <v>Key-MAT-135</v>
      </c>
      <c r="X135" s="24" t="s">
        <v>586</v>
      </c>
      <c r="Y135" s="24" t="s">
        <v>587</v>
      </c>
      <c r="Z135" s="63" t="s">
        <v>697</v>
      </c>
      <c r="AA135" s="24" t="str">
        <f t="shared" si="31"/>
        <v>Zinc Lead Alloy</v>
      </c>
    </row>
    <row r="136" spans="1:27" ht="6.75" customHeight="1" x14ac:dyDescent="0.25">
      <c r="A136" s="55">
        <v>136</v>
      </c>
      <c r="B136" s="56" t="s">
        <v>838</v>
      </c>
      <c r="C136" s="53" t="s">
        <v>839</v>
      </c>
      <c r="D136" s="62" t="s">
        <v>847</v>
      </c>
      <c r="E136" s="62" t="s">
        <v>569</v>
      </c>
      <c r="F136" s="53" t="s">
        <v>333</v>
      </c>
      <c r="G136" s="57" t="s">
        <v>1</v>
      </c>
      <c r="H136" s="57" t="s">
        <v>1</v>
      </c>
      <c r="I136" s="57" t="s">
        <v>1</v>
      </c>
      <c r="J136" s="57" t="s">
        <v>1</v>
      </c>
      <c r="K136" s="57" t="s">
        <v>1</v>
      </c>
      <c r="L136" s="23" t="str">
        <f t="shared" si="23"/>
        <v>Materialidades</v>
      </c>
      <c r="M136" s="23" t="str">
        <f t="shared" si="24"/>
        <v>Materiais Metálicos</v>
      </c>
      <c r="N136" s="23" t="str">
        <f t="shared" si="25"/>
        <v>Ligas Metálicas</v>
      </c>
      <c r="O136" s="23" t="str">
        <f t="shared" si="26"/>
        <v>Zamac</v>
      </c>
      <c r="P136" s="24" t="s">
        <v>333</v>
      </c>
      <c r="Q136" s="50" t="str">
        <f t="shared" si="27"/>
        <v>Zamac</v>
      </c>
      <c r="R136" s="24" t="s">
        <v>1</v>
      </c>
      <c r="S136" s="24" t="str">
        <f t="shared" si="28"/>
        <v>Materialidades</v>
      </c>
      <c r="T136" s="24" t="str">
        <f t="shared" si="29"/>
        <v>Materiais Metálicos</v>
      </c>
      <c r="U136" s="24" t="str">
        <f t="shared" si="30"/>
        <v>Ligas Metálicas</v>
      </c>
      <c r="V136" s="24" t="s">
        <v>835</v>
      </c>
      <c r="W136" s="58" t="str">
        <f t="shared" si="22"/>
        <v>Key-MAT-136</v>
      </c>
      <c r="X136" s="24" t="s">
        <v>586</v>
      </c>
      <c r="Y136" s="24" t="s">
        <v>587</v>
      </c>
      <c r="Z136" s="63" t="s">
        <v>698</v>
      </c>
      <c r="AA136" s="24" t="str">
        <f t="shared" si="31"/>
        <v>Zamac</v>
      </c>
    </row>
    <row r="137" spans="1:27" ht="6.75" customHeight="1" x14ac:dyDescent="0.25">
      <c r="A137" s="55">
        <v>137</v>
      </c>
      <c r="B137" s="56" t="s">
        <v>838</v>
      </c>
      <c r="C137" s="53" t="s">
        <v>839</v>
      </c>
      <c r="D137" s="62" t="s">
        <v>847</v>
      </c>
      <c r="E137" s="62" t="s">
        <v>569</v>
      </c>
      <c r="F137" s="53" t="s">
        <v>528</v>
      </c>
      <c r="G137" s="57" t="s">
        <v>1</v>
      </c>
      <c r="H137" s="57" t="s">
        <v>1</v>
      </c>
      <c r="I137" s="57" t="s">
        <v>1</v>
      </c>
      <c r="J137" s="57" t="s">
        <v>1</v>
      </c>
      <c r="K137" s="57" t="s">
        <v>1</v>
      </c>
      <c r="L137" s="23" t="str">
        <f t="shared" si="23"/>
        <v>Materialidades</v>
      </c>
      <c r="M137" s="23" t="str">
        <f t="shared" si="24"/>
        <v>Materiais Metálicos</v>
      </c>
      <c r="N137" s="23" t="str">
        <f t="shared" si="25"/>
        <v>Ligas Metálicas</v>
      </c>
      <c r="O137" s="23" t="str">
        <f t="shared" si="26"/>
        <v>Mazac</v>
      </c>
      <c r="P137" s="24" t="s">
        <v>528</v>
      </c>
      <c r="Q137" s="50" t="str">
        <f t="shared" si="27"/>
        <v>Mazac</v>
      </c>
      <c r="R137" s="24" t="s">
        <v>1</v>
      </c>
      <c r="S137" s="24" t="str">
        <f t="shared" si="28"/>
        <v>Materialidades</v>
      </c>
      <c r="T137" s="24" t="str">
        <f t="shared" si="29"/>
        <v>Materiais Metálicos</v>
      </c>
      <c r="U137" s="24" t="str">
        <f t="shared" si="30"/>
        <v>Ligas Metálicas</v>
      </c>
      <c r="V137" s="24" t="s">
        <v>835</v>
      </c>
      <c r="W137" s="58" t="str">
        <f t="shared" si="22"/>
        <v>Key-MAT-137</v>
      </c>
      <c r="X137" s="24" t="s">
        <v>586</v>
      </c>
      <c r="Y137" s="24" t="s">
        <v>587</v>
      </c>
      <c r="Z137" s="63" t="s">
        <v>699</v>
      </c>
      <c r="AA137" s="24" t="str">
        <f t="shared" si="31"/>
        <v>Mazac</v>
      </c>
    </row>
    <row r="138" spans="1:27" s="51" customFormat="1" ht="6.75" customHeight="1" x14ac:dyDescent="0.25">
      <c r="A138" s="55">
        <v>138</v>
      </c>
      <c r="B138" s="56" t="s">
        <v>838</v>
      </c>
      <c r="C138" s="53" t="s">
        <v>839</v>
      </c>
      <c r="D138" s="62" t="s">
        <v>847</v>
      </c>
      <c r="E138" s="62" t="s">
        <v>569</v>
      </c>
      <c r="F138" s="53" t="s">
        <v>542</v>
      </c>
      <c r="G138" s="57" t="s">
        <v>1</v>
      </c>
      <c r="H138" s="57" t="s">
        <v>1</v>
      </c>
      <c r="I138" s="57" t="s">
        <v>1</v>
      </c>
      <c r="J138" s="57" t="s">
        <v>1</v>
      </c>
      <c r="K138" s="57" t="s">
        <v>1</v>
      </c>
      <c r="L138" s="23" t="str">
        <f t="shared" si="23"/>
        <v>Materialidades</v>
      </c>
      <c r="M138" s="23" t="str">
        <f t="shared" si="24"/>
        <v>Materiais Metálicos</v>
      </c>
      <c r="N138" s="23" t="str">
        <f t="shared" si="25"/>
        <v>Ligas Metálicas</v>
      </c>
      <c r="O138" s="23" t="str">
        <f t="shared" si="26"/>
        <v>Liga Chumbo</v>
      </c>
      <c r="P138" s="24" t="s">
        <v>562</v>
      </c>
      <c r="Q138" s="50" t="str">
        <f t="shared" si="27"/>
        <v>Aleación de plomo</v>
      </c>
      <c r="R138" s="24" t="s">
        <v>1</v>
      </c>
      <c r="S138" s="24" t="str">
        <f t="shared" si="28"/>
        <v>Materialidades</v>
      </c>
      <c r="T138" s="24" t="str">
        <f t="shared" si="29"/>
        <v>Materiais Metálicos</v>
      </c>
      <c r="U138" s="24" t="str">
        <f t="shared" si="30"/>
        <v>Ligas Metálicas</v>
      </c>
      <c r="V138" s="24" t="s">
        <v>835</v>
      </c>
      <c r="W138" s="58" t="str">
        <f t="shared" si="22"/>
        <v>Key-MAT-138</v>
      </c>
      <c r="X138" s="24" t="s">
        <v>586</v>
      </c>
      <c r="Y138" s="24" t="s">
        <v>587</v>
      </c>
      <c r="Z138" s="63" t="s">
        <v>700</v>
      </c>
      <c r="AA138" s="24" t="str">
        <f t="shared" si="31"/>
        <v>Lead Alloy</v>
      </c>
    </row>
    <row r="139" spans="1:27" s="51" customFormat="1" ht="6.75" customHeight="1" x14ac:dyDescent="0.25">
      <c r="A139" s="55">
        <v>139</v>
      </c>
      <c r="B139" s="56" t="s">
        <v>838</v>
      </c>
      <c r="C139" s="53" t="s">
        <v>839</v>
      </c>
      <c r="D139" s="62" t="s">
        <v>847</v>
      </c>
      <c r="E139" s="62" t="s">
        <v>569</v>
      </c>
      <c r="F139" s="53" t="s">
        <v>539</v>
      </c>
      <c r="G139" s="57" t="s">
        <v>1</v>
      </c>
      <c r="H139" s="57" t="s">
        <v>1</v>
      </c>
      <c r="I139" s="57" t="s">
        <v>1</v>
      </c>
      <c r="J139" s="57" t="s">
        <v>1</v>
      </c>
      <c r="K139" s="57" t="s">
        <v>1</v>
      </c>
      <c r="L139" s="23" t="str">
        <f t="shared" si="23"/>
        <v>Materialidades</v>
      </c>
      <c r="M139" s="23" t="str">
        <f t="shared" si="24"/>
        <v>Materiais Metálicos</v>
      </c>
      <c r="N139" s="23" t="str">
        <f t="shared" si="25"/>
        <v>Ligas Metálicas</v>
      </c>
      <c r="O139" s="23" t="str">
        <f t="shared" si="26"/>
        <v>Liga Chumbo Estanho</v>
      </c>
      <c r="P139" s="24" t="s">
        <v>563</v>
      </c>
      <c r="Q139" s="50" t="str">
        <f t="shared" si="27"/>
        <v>Aleación de plomo-estaño</v>
      </c>
      <c r="R139" s="24" t="s">
        <v>1</v>
      </c>
      <c r="S139" s="24" t="str">
        <f t="shared" si="28"/>
        <v>Materialidades</v>
      </c>
      <c r="T139" s="24" t="str">
        <f t="shared" si="29"/>
        <v>Materiais Metálicos</v>
      </c>
      <c r="U139" s="24" t="str">
        <f t="shared" si="30"/>
        <v>Ligas Metálicas</v>
      </c>
      <c r="V139" s="24" t="s">
        <v>835</v>
      </c>
      <c r="W139" s="58" t="str">
        <f t="shared" si="22"/>
        <v>Key-MAT-139</v>
      </c>
      <c r="X139" s="24" t="s">
        <v>586</v>
      </c>
      <c r="Y139" s="24" t="s">
        <v>587</v>
      </c>
      <c r="Z139" s="63" t="s">
        <v>701</v>
      </c>
      <c r="AA139" s="24" t="str">
        <f t="shared" si="31"/>
        <v>Lead-Tin Alloy</v>
      </c>
    </row>
    <row r="140" spans="1:27" s="51" customFormat="1" ht="6.75" customHeight="1" x14ac:dyDescent="0.25">
      <c r="A140" s="55">
        <v>140</v>
      </c>
      <c r="B140" s="56" t="s">
        <v>838</v>
      </c>
      <c r="C140" s="53" t="s">
        <v>839</v>
      </c>
      <c r="D140" s="62" t="s">
        <v>847</v>
      </c>
      <c r="E140" s="62" t="s">
        <v>569</v>
      </c>
      <c r="F140" s="53" t="s">
        <v>529</v>
      </c>
      <c r="G140" s="57" t="s">
        <v>1</v>
      </c>
      <c r="H140" s="57" t="s">
        <v>1</v>
      </c>
      <c r="I140" s="57" t="s">
        <v>1</v>
      </c>
      <c r="J140" s="57" t="s">
        <v>1</v>
      </c>
      <c r="K140" s="57" t="s">
        <v>1</v>
      </c>
      <c r="L140" s="23" t="str">
        <f t="shared" si="23"/>
        <v>Materialidades</v>
      </c>
      <c r="M140" s="23" t="str">
        <f t="shared" si="24"/>
        <v>Materiais Metálicos</v>
      </c>
      <c r="N140" s="23" t="str">
        <f t="shared" si="25"/>
        <v>Ligas Metálicas</v>
      </c>
      <c r="O140" s="23" t="str">
        <f t="shared" si="26"/>
        <v>Teme</v>
      </c>
      <c r="P140" s="24" t="s">
        <v>529</v>
      </c>
      <c r="Q140" s="50" t="str">
        <f t="shared" si="27"/>
        <v>Teme</v>
      </c>
      <c r="R140" s="24" t="s">
        <v>1</v>
      </c>
      <c r="S140" s="24" t="str">
        <f t="shared" si="28"/>
        <v>Materialidades</v>
      </c>
      <c r="T140" s="24" t="str">
        <f t="shared" si="29"/>
        <v>Materiais Metálicos</v>
      </c>
      <c r="U140" s="24" t="str">
        <f t="shared" si="30"/>
        <v>Ligas Metálicas</v>
      </c>
      <c r="V140" s="24" t="s">
        <v>835</v>
      </c>
      <c r="W140" s="58" t="str">
        <f t="shared" si="22"/>
        <v>Key-MAT-140</v>
      </c>
      <c r="X140" s="24" t="s">
        <v>586</v>
      </c>
      <c r="Y140" s="24" t="s">
        <v>587</v>
      </c>
      <c r="Z140" s="63" t="s">
        <v>702</v>
      </c>
      <c r="AA140" s="24" t="str">
        <f t="shared" si="31"/>
        <v>Teme</v>
      </c>
    </row>
    <row r="141" spans="1:27" s="51" customFormat="1" ht="6.75" customHeight="1" x14ac:dyDescent="0.25">
      <c r="A141" s="55">
        <v>141</v>
      </c>
      <c r="B141" s="56" t="s">
        <v>838</v>
      </c>
      <c r="C141" s="53" t="s">
        <v>839</v>
      </c>
      <c r="D141" s="62" t="s">
        <v>848</v>
      </c>
      <c r="E141" s="62" t="s">
        <v>428</v>
      </c>
      <c r="F141" s="53" t="s">
        <v>387</v>
      </c>
      <c r="G141" s="57" t="s">
        <v>1</v>
      </c>
      <c r="H141" s="57" t="s">
        <v>1</v>
      </c>
      <c r="I141" s="57" t="s">
        <v>1</v>
      </c>
      <c r="J141" s="57" t="s">
        <v>1</v>
      </c>
      <c r="K141" s="57" t="s">
        <v>1</v>
      </c>
      <c r="L141" s="23" t="str">
        <f t="shared" si="23"/>
        <v>Materialidades</v>
      </c>
      <c r="M141" s="23" t="str">
        <f t="shared" si="24"/>
        <v>Materiais Minerais</v>
      </c>
      <c r="N141" s="23" t="str">
        <f t="shared" si="25"/>
        <v>Matéria Complementar</v>
      </c>
      <c r="O141" s="23" t="str">
        <f t="shared" si="26"/>
        <v>Solos</v>
      </c>
      <c r="P141" s="24" t="s">
        <v>387</v>
      </c>
      <c r="Q141" s="50" t="str">
        <f t="shared" si="27"/>
        <v>Suelos</v>
      </c>
      <c r="R141" s="24" t="s">
        <v>1</v>
      </c>
      <c r="S141" s="24" t="str">
        <f t="shared" si="28"/>
        <v>Materialidades</v>
      </c>
      <c r="T141" s="24" t="str">
        <f t="shared" si="29"/>
        <v>Materiais Minerais</v>
      </c>
      <c r="U141" s="24" t="str">
        <f t="shared" si="30"/>
        <v>Matéria Complementar</v>
      </c>
      <c r="V141" s="24" t="s">
        <v>835</v>
      </c>
      <c r="W141" s="58" t="str">
        <f t="shared" si="22"/>
        <v>Key-MAT-141</v>
      </c>
      <c r="X141" s="24" t="s">
        <v>586</v>
      </c>
      <c r="Y141" s="24" t="s">
        <v>587</v>
      </c>
      <c r="Z141" s="63" t="s">
        <v>703</v>
      </c>
      <c r="AA141" s="24" t="str">
        <f t="shared" si="31"/>
        <v>Soils</v>
      </c>
    </row>
    <row r="142" spans="1:27" s="51" customFormat="1" ht="6.75" customHeight="1" x14ac:dyDescent="0.25">
      <c r="A142" s="55">
        <v>142</v>
      </c>
      <c r="B142" s="56" t="s">
        <v>838</v>
      </c>
      <c r="C142" s="53" t="s">
        <v>839</v>
      </c>
      <c r="D142" s="62" t="s">
        <v>848</v>
      </c>
      <c r="E142" s="62" t="s">
        <v>428</v>
      </c>
      <c r="F142" s="53" t="s">
        <v>389</v>
      </c>
      <c r="G142" s="57" t="s">
        <v>1</v>
      </c>
      <c r="H142" s="57" t="s">
        <v>1</v>
      </c>
      <c r="I142" s="57" t="s">
        <v>1</v>
      </c>
      <c r="J142" s="57" t="s">
        <v>1</v>
      </c>
      <c r="K142" s="57" t="s">
        <v>1</v>
      </c>
      <c r="L142" s="23" t="str">
        <f t="shared" si="23"/>
        <v>Materialidades</v>
      </c>
      <c r="M142" s="23" t="str">
        <f t="shared" si="24"/>
        <v>Materiais Minerais</v>
      </c>
      <c r="N142" s="23" t="str">
        <f t="shared" si="25"/>
        <v>Matéria Complementar</v>
      </c>
      <c r="O142" s="23" t="str">
        <f t="shared" si="26"/>
        <v>Silicato de Cálcio</v>
      </c>
      <c r="P142" s="24" t="s">
        <v>513</v>
      </c>
      <c r="Q142" s="50" t="str">
        <f t="shared" si="27"/>
        <v>Silicato de calcio</v>
      </c>
      <c r="R142" s="24" t="s">
        <v>1</v>
      </c>
      <c r="S142" s="24" t="str">
        <f t="shared" si="28"/>
        <v>Materialidades</v>
      </c>
      <c r="T142" s="24" t="str">
        <f t="shared" si="29"/>
        <v>Materiais Minerais</v>
      </c>
      <c r="U142" s="24" t="str">
        <f t="shared" si="30"/>
        <v>Matéria Complementar</v>
      </c>
      <c r="V142" s="24" t="s">
        <v>835</v>
      </c>
      <c r="W142" s="58" t="str">
        <f t="shared" si="22"/>
        <v>Key-MAT-142</v>
      </c>
      <c r="X142" s="24" t="s">
        <v>586</v>
      </c>
      <c r="Y142" s="24" t="s">
        <v>587</v>
      </c>
      <c r="Z142" s="63" t="s">
        <v>704</v>
      </c>
      <c r="AA142" s="24" t="str">
        <f t="shared" si="31"/>
        <v>Calcium Silicate</v>
      </c>
    </row>
    <row r="143" spans="1:27" s="51" customFormat="1" ht="6.75" customHeight="1" x14ac:dyDescent="0.25">
      <c r="A143" s="55">
        <v>143</v>
      </c>
      <c r="B143" s="56" t="s">
        <v>838</v>
      </c>
      <c r="C143" s="53" t="s">
        <v>839</v>
      </c>
      <c r="D143" s="62" t="s">
        <v>848</v>
      </c>
      <c r="E143" s="62" t="s">
        <v>428</v>
      </c>
      <c r="F143" s="53" t="s">
        <v>388</v>
      </c>
      <c r="G143" s="57" t="s">
        <v>1</v>
      </c>
      <c r="H143" s="57" t="s">
        <v>1</v>
      </c>
      <c r="I143" s="57" t="s">
        <v>1</v>
      </c>
      <c r="J143" s="57" t="s">
        <v>1</v>
      </c>
      <c r="K143" s="57" t="s">
        <v>1</v>
      </c>
      <c r="L143" s="23" t="str">
        <f t="shared" si="23"/>
        <v>Materialidades</v>
      </c>
      <c r="M143" s="23" t="str">
        <f t="shared" si="24"/>
        <v>Materiais Minerais</v>
      </c>
      <c r="N143" s="23" t="str">
        <f t="shared" si="25"/>
        <v>Matéria Complementar</v>
      </c>
      <c r="O143" s="23" t="str">
        <f t="shared" si="26"/>
        <v>Magnésia</v>
      </c>
      <c r="P143" s="24" t="s">
        <v>388</v>
      </c>
      <c r="Q143" s="50" t="str">
        <f t="shared" si="27"/>
        <v>Magnesia</v>
      </c>
      <c r="R143" s="24" t="s">
        <v>1</v>
      </c>
      <c r="S143" s="24" t="str">
        <f t="shared" si="28"/>
        <v>Materialidades</v>
      </c>
      <c r="T143" s="24" t="str">
        <f t="shared" si="29"/>
        <v>Materiais Minerais</v>
      </c>
      <c r="U143" s="24" t="str">
        <f t="shared" si="30"/>
        <v>Matéria Complementar</v>
      </c>
      <c r="V143" s="24" t="s">
        <v>835</v>
      </c>
      <c r="W143" s="58" t="str">
        <f t="shared" si="22"/>
        <v>Key-MAT-143</v>
      </c>
      <c r="X143" s="24" t="s">
        <v>586</v>
      </c>
      <c r="Y143" s="24" t="s">
        <v>587</v>
      </c>
      <c r="Z143" s="63" t="s">
        <v>705</v>
      </c>
      <c r="AA143" s="24" t="str">
        <f t="shared" si="31"/>
        <v>Magnesia</v>
      </c>
    </row>
    <row r="144" spans="1:27" s="51" customFormat="1" ht="6.75" customHeight="1" x14ac:dyDescent="0.25">
      <c r="A144" s="55">
        <v>144</v>
      </c>
      <c r="B144" s="56" t="s">
        <v>838</v>
      </c>
      <c r="C144" s="53" t="s">
        <v>839</v>
      </c>
      <c r="D144" s="62" t="s">
        <v>848</v>
      </c>
      <c r="E144" s="62" t="s">
        <v>428</v>
      </c>
      <c r="F144" s="53" t="s">
        <v>386</v>
      </c>
      <c r="G144" s="57" t="s">
        <v>1</v>
      </c>
      <c r="H144" s="57" t="s">
        <v>1</v>
      </c>
      <c r="I144" s="57" t="s">
        <v>1</v>
      </c>
      <c r="J144" s="57" t="s">
        <v>1</v>
      </c>
      <c r="K144" s="57" t="s">
        <v>1</v>
      </c>
      <c r="L144" s="23" t="str">
        <f t="shared" si="23"/>
        <v>Materialidades</v>
      </c>
      <c r="M144" s="23" t="str">
        <f t="shared" si="24"/>
        <v>Materiais Minerais</v>
      </c>
      <c r="N144" s="23" t="str">
        <f t="shared" si="25"/>
        <v>Matéria Complementar</v>
      </c>
      <c r="O144" s="23" t="str">
        <f t="shared" si="26"/>
        <v>Areia</v>
      </c>
      <c r="P144" s="24" t="s">
        <v>386</v>
      </c>
      <c r="Q144" s="50" t="str">
        <f t="shared" si="27"/>
        <v>Arena</v>
      </c>
      <c r="R144" s="24" t="s">
        <v>1</v>
      </c>
      <c r="S144" s="24" t="str">
        <f t="shared" si="28"/>
        <v>Materialidades</v>
      </c>
      <c r="T144" s="24" t="str">
        <f t="shared" si="29"/>
        <v>Materiais Minerais</v>
      </c>
      <c r="U144" s="24" t="str">
        <f t="shared" si="30"/>
        <v>Matéria Complementar</v>
      </c>
      <c r="V144" s="24" t="s">
        <v>835</v>
      </c>
      <c r="W144" s="58" t="str">
        <f t="shared" si="22"/>
        <v>Key-MAT-144</v>
      </c>
      <c r="X144" s="24" t="s">
        <v>586</v>
      </c>
      <c r="Y144" s="24" t="s">
        <v>587</v>
      </c>
      <c r="Z144" s="63" t="s">
        <v>706</v>
      </c>
      <c r="AA144" s="24" t="str">
        <f t="shared" si="31"/>
        <v>Sand</v>
      </c>
    </row>
    <row r="145" spans="1:27" s="51" customFormat="1" ht="6.75" customHeight="1" x14ac:dyDescent="0.25">
      <c r="A145" s="55">
        <v>145</v>
      </c>
      <c r="B145" s="56" t="s">
        <v>838</v>
      </c>
      <c r="C145" s="53" t="s">
        <v>839</v>
      </c>
      <c r="D145" s="62" t="s">
        <v>848</v>
      </c>
      <c r="E145" s="62" t="s">
        <v>428</v>
      </c>
      <c r="F145" s="53" t="s">
        <v>380</v>
      </c>
      <c r="G145" s="57" t="s">
        <v>1</v>
      </c>
      <c r="H145" s="57" t="s">
        <v>1</v>
      </c>
      <c r="I145" s="57" t="s">
        <v>1</v>
      </c>
      <c r="J145" s="57" t="s">
        <v>1</v>
      </c>
      <c r="K145" s="57" t="s">
        <v>1</v>
      </c>
      <c r="L145" s="23" t="str">
        <f t="shared" si="23"/>
        <v>Materialidades</v>
      </c>
      <c r="M145" s="23" t="str">
        <f t="shared" si="24"/>
        <v>Materiais Minerais</v>
      </c>
      <c r="N145" s="23" t="str">
        <f t="shared" si="25"/>
        <v>Matéria Complementar</v>
      </c>
      <c r="O145" s="23" t="str">
        <f t="shared" si="26"/>
        <v>Crisotila</v>
      </c>
      <c r="P145" s="24" t="s">
        <v>380</v>
      </c>
      <c r="Q145" s="50" t="str">
        <f t="shared" si="27"/>
        <v>Crisotile</v>
      </c>
      <c r="R145" s="24" t="s">
        <v>1</v>
      </c>
      <c r="S145" s="24" t="str">
        <f t="shared" si="28"/>
        <v>Materialidades</v>
      </c>
      <c r="T145" s="24" t="str">
        <f t="shared" si="29"/>
        <v>Materiais Minerais</v>
      </c>
      <c r="U145" s="24" t="str">
        <f t="shared" si="30"/>
        <v>Matéria Complementar</v>
      </c>
      <c r="V145" s="24" t="s">
        <v>835</v>
      </c>
      <c r="W145" s="58" t="str">
        <f t="shared" si="22"/>
        <v>Key-MAT-145</v>
      </c>
      <c r="X145" s="24" t="s">
        <v>586</v>
      </c>
      <c r="Y145" s="24" t="s">
        <v>587</v>
      </c>
      <c r="Z145" s="63" t="s">
        <v>707</v>
      </c>
      <c r="AA145" s="24" t="str">
        <f t="shared" ref="AA145:AA197" si="32">_xlfn.TRANSLATE(P145,"pt","en")</f>
        <v>Chrysotile</v>
      </c>
    </row>
    <row r="146" spans="1:27" s="51" customFormat="1" ht="6.75" customHeight="1" x14ac:dyDescent="0.25">
      <c r="A146" s="55">
        <v>146</v>
      </c>
      <c r="B146" s="56" t="s">
        <v>838</v>
      </c>
      <c r="C146" s="53" t="s">
        <v>839</v>
      </c>
      <c r="D146" s="62" t="s">
        <v>848</v>
      </c>
      <c r="E146" s="62" t="s">
        <v>428</v>
      </c>
      <c r="F146" s="53" t="s">
        <v>381</v>
      </c>
      <c r="G146" s="57" t="s">
        <v>1</v>
      </c>
      <c r="H146" s="57" t="s">
        <v>1</v>
      </c>
      <c r="I146" s="57" t="s">
        <v>1</v>
      </c>
      <c r="J146" s="57" t="s">
        <v>1</v>
      </c>
      <c r="K146" s="57" t="s">
        <v>1</v>
      </c>
      <c r="L146" s="23" t="str">
        <f t="shared" si="23"/>
        <v>Materialidades</v>
      </c>
      <c r="M146" s="23" t="str">
        <f t="shared" si="24"/>
        <v>Materiais Minerais</v>
      </c>
      <c r="N146" s="23" t="str">
        <f t="shared" si="25"/>
        <v>Matéria Complementar</v>
      </c>
      <c r="O146" s="23" t="str">
        <f t="shared" si="26"/>
        <v>Grafite</v>
      </c>
      <c r="P146" s="24" t="s">
        <v>381</v>
      </c>
      <c r="Q146" s="50" t="str">
        <f t="shared" si="27"/>
        <v>Grafito</v>
      </c>
      <c r="R146" s="24" t="s">
        <v>1</v>
      </c>
      <c r="S146" s="24" t="str">
        <f t="shared" si="28"/>
        <v>Materialidades</v>
      </c>
      <c r="T146" s="24" t="str">
        <f t="shared" si="29"/>
        <v>Materiais Minerais</v>
      </c>
      <c r="U146" s="24" t="str">
        <f t="shared" si="30"/>
        <v>Matéria Complementar</v>
      </c>
      <c r="V146" s="24" t="s">
        <v>835</v>
      </c>
      <c r="W146" s="58" t="str">
        <f t="shared" si="22"/>
        <v>Key-MAT-146</v>
      </c>
      <c r="X146" s="24" t="s">
        <v>586</v>
      </c>
      <c r="Y146" s="24" t="s">
        <v>587</v>
      </c>
      <c r="Z146" s="63" t="s">
        <v>708</v>
      </c>
      <c r="AA146" s="24" t="str">
        <f t="shared" si="32"/>
        <v>Graphite</v>
      </c>
    </row>
    <row r="147" spans="1:27" s="51" customFormat="1" ht="6.75" customHeight="1" x14ac:dyDescent="0.25">
      <c r="A147" s="55">
        <v>147</v>
      </c>
      <c r="B147" s="56" t="s">
        <v>838</v>
      </c>
      <c r="C147" s="53" t="s">
        <v>839</v>
      </c>
      <c r="D147" s="62" t="s">
        <v>848</v>
      </c>
      <c r="E147" s="62" t="s">
        <v>428</v>
      </c>
      <c r="F147" s="53" t="s">
        <v>382</v>
      </c>
      <c r="G147" s="57" t="s">
        <v>1</v>
      </c>
      <c r="H147" s="57" t="s">
        <v>1</v>
      </c>
      <c r="I147" s="57" t="s">
        <v>1</v>
      </c>
      <c r="J147" s="57" t="s">
        <v>1</v>
      </c>
      <c r="K147" s="57" t="s">
        <v>1</v>
      </c>
      <c r="L147" s="23" t="str">
        <f t="shared" si="23"/>
        <v>Materialidades</v>
      </c>
      <c r="M147" s="23" t="str">
        <f t="shared" si="24"/>
        <v>Materiais Minerais</v>
      </c>
      <c r="N147" s="23" t="str">
        <f t="shared" si="25"/>
        <v>Matéria Complementar</v>
      </c>
      <c r="O147" s="23" t="str">
        <f t="shared" si="26"/>
        <v>Preto de Carbono</v>
      </c>
      <c r="P147" s="24" t="s">
        <v>384</v>
      </c>
      <c r="Q147" s="50" t="str">
        <f t="shared" si="27"/>
        <v>Negro de carbón</v>
      </c>
      <c r="R147" s="24" t="s">
        <v>1</v>
      </c>
      <c r="S147" s="24" t="str">
        <f t="shared" si="28"/>
        <v>Materialidades</v>
      </c>
      <c r="T147" s="24" t="str">
        <f t="shared" si="29"/>
        <v>Materiais Minerais</v>
      </c>
      <c r="U147" s="24" t="str">
        <f t="shared" si="30"/>
        <v>Matéria Complementar</v>
      </c>
      <c r="V147" s="24" t="s">
        <v>835</v>
      </c>
      <c r="W147" s="58" t="str">
        <f t="shared" si="22"/>
        <v>Key-MAT-147</v>
      </c>
      <c r="X147" s="24" t="s">
        <v>586</v>
      </c>
      <c r="Y147" s="24" t="s">
        <v>587</v>
      </c>
      <c r="Z147" s="63" t="s">
        <v>709</v>
      </c>
      <c r="AA147" s="24" t="str">
        <f t="shared" si="32"/>
        <v>Carbon Black</v>
      </c>
    </row>
    <row r="148" spans="1:27" s="51" customFormat="1" ht="6.75" customHeight="1" x14ac:dyDescent="0.25">
      <c r="A148" s="55">
        <v>148</v>
      </c>
      <c r="B148" s="56" t="s">
        <v>838</v>
      </c>
      <c r="C148" s="53" t="s">
        <v>839</v>
      </c>
      <c r="D148" s="62" t="s">
        <v>848</v>
      </c>
      <c r="E148" s="62" t="s">
        <v>428</v>
      </c>
      <c r="F148" s="53" t="s">
        <v>383</v>
      </c>
      <c r="G148" s="57" t="s">
        <v>1</v>
      </c>
      <c r="H148" s="57" t="s">
        <v>1</v>
      </c>
      <c r="I148" s="57" t="s">
        <v>1</v>
      </c>
      <c r="J148" s="57" t="s">
        <v>1</v>
      </c>
      <c r="K148" s="57" t="s">
        <v>1</v>
      </c>
      <c r="L148" s="23" t="str">
        <f t="shared" si="23"/>
        <v>Materialidades</v>
      </c>
      <c r="M148" s="23" t="str">
        <f t="shared" si="24"/>
        <v>Materiais Minerais</v>
      </c>
      <c r="N148" s="23" t="str">
        <f t="shared" si="25"/>
        <v>Matéria Complementar</v>
      </c>
      <c r="O148" s="23" t="str">
        <f t="shared" si="26"/>
        <v>Cloreto de Sódio</v>
      </c>
      <c r="P148" s="24" t="s">
        <v>385</v>
      </c>
      <c r="Q148" s="50" t="str">
        <f t="shared" si="27"/>
        <v>Cloruro de sodio</v>
      </c>
      <c r="R148" s="24" t="s">
        <v>1</v>
      </c>
      <c r="S148" s="24" t="str">
        <f t="shared" si="28"/>
        <v>Materialidades</v>
      </c>
      <c r="T148" s="24" t="str">
        <f t="shared" si="29"/>
        <v>Materiais Minerais</v>
      </c>
      <c r="U148" s="24" t="str">
        <f t="shared" si="30"/>
        <v>Matéria Complementar</v>
      </c>
      <c r="V148" s="24" t="s">
        <v>835</v>
      </c>
      <c r="W148" s="58" t="str">
        <f t="shared" si="22"/>
        <v>Key-MAT-148</v>
      </c>
      <c r="X148" s="24" t="s">
        <v>586</v>
      </c>
      <c r="Y148" s="24" t="s">
        <v>587</v>
      </c>
      <c r="Z148" s="63" t="s">
        <v>710</v>
      </c>
      <c r="AA148" s="24" t="str">
        <f t="shared" si="32"/>
        <v>Sodium Chloride</v>
      </c>
    </row>
    <row r="149" spans="1:27" s="51" customFormat="1" ht="6.75" customHeight="1" x14ac:dyDescent="0.25">
      <c r="A149" s="55">
        <v>149</v>
      </c>
      <c r="B149" s="56" t="s">
        <v>838</v>
      </c>
      <c r="C149" s="53" t="s">
        <v>839</v>
      </c>
      <c r="D149" s="62" t="s">
        <v>848</v>
      </c>
      <c r="E149" s="62" t="s">
        <v>428</v>
      </c>
      <c r="F149" s="53" t="s">
        <v>130</v>
      </c>
      <c r="G149" s="57" t="s">
        <v>1</v>
      </c>
      <c r="H149" s="57" t="s">
        <v>1</v>
      </c>
      <c r="I149" s="57" t="s">
        <v>1</v>
      </c>
      <c r="J149" s="57" t="s">
        <v>1</v>
      </c>
      <c r="K149" s="57" t="s">
        <v>1</v>
      </c>
      <c r="L149" s="23" t="str">
        <f t="shared" si="23"/>
        <v>Materialidades</v>
      </c>
      <c r="M149" s="23" t="str">
        <f t="shared" si="24"/>
        <v>Materiais Minerais</v>
      </c>
      <c r="N149" s="23" t="str">
        <f t="shared" si="25"/>
        <v>Matéria Complementar</v>
      </c>
      <c r="O149" s="23" t="str">
        <f t="shared" si="26"/>
        <v>Quartzo</v>
      </c>
      <c r="P149" s="50" t="s">
        <v>134</v>
      </c>
      <c r="Q149" s="50" t="str">
        <f t="shared" si="27"/>
        <v>Complementa aumentando la resistencia mecánica y térmica.</v>
      </c>
      <c r="R149" s="24" t="s">
        <v>1</v>
      </c>
      <c r="S149" s="24" t="str">
        <f t="shared" si="28"/>
        <v>Materialidades</v>
      </c>
      <c r="T149" s="24" t="str">
        <f t="shared" si="29"/>
        <v>Materiais Minerais</v>
      </c>
      <c r="U149" s="24" t="str">
        <f t="shared" si="30"/>
        <v>Matéria Complementar</v>
      </c>
      <c r="V149" s="24" t="s">
        <v>835</v>
      </c>
      <c r="W149" s="58" t="str">
        <f t="shared" si="22"/>
        <v>Key-MAT-149</v>
      </c>
      <c r="X149" s="24" t="s">
        <v>586</v>
      </c>
      <c r="Y149" s="24" t="s">
        <v>587</v>
      </c>
      <c r="Z149" s="63" t="s">
        <v>711</v>
      </c>
      <c r="AA149" s="24" t="str">
        <f t="shared" si="32"/>
        <v>Complements by increasing mechanical and thermal resistance.</v>
      </c>
    </row>
    <row r="150" spans="1:27" s="51" customFormat="1" ht="6.75" customHeight="1" x14ac:dyDescent="0.25">
      <c r="A150" s="55">
        <v>150</v>
      </c>
      <c r="B150" s="56" t="s">
        <v>838</v>
      </c>
      <c r="C150" s="53" t="s">
        <v>839</v>
      </c>
      <c r="D150" s="62" t="s">
        <v>848</v>
      </c>
      <c r="E150" s="62" t="s">
        <v>428</v>
      </c>
      <c r="F150" s="53" t="s">
        <v>131</v>
      </c>
      <c r="G150" s="57" t="s">
        <v>1</v>
      </c>
      <c r="H150" s="57" t="s">
        <v>1</v>
      </c>
      <c r="I150" s="57" t="s">
        <v>1</v>
      </c>
      <c r="J150" s="57" t="s">
        <v>1</v>
      </c>
      <c r="K150" s="57" t="s">
        <v>1</v>
      </c>
      <c r="L150" s="23" t="str">
        <f t="shared" si="23"/>
        <v>Materialidades</v>
      </c>
      <c r="M150" s="23" t="str">
        <f t="shared" si="24"/>
        <v>Materiais Minerais</v>
      </c>
      <c r="N150" s="23" t="str">
        <f t="shared" si="25"/>
        <v>Matéria Complementar</v>
      </c>
      <c r="O150" s="23" t="str">
        <f t="shared" si="26"/>
        <v>Feldspato</v>
      </c>
      <c r="P150" s="50" t="s">
        <v>135</v>
      </c>
      <c r="Q150" s="50" t="str">
        <f t="shared" si="27"/>
        <v>Complementa su función de fundente, reduce la temperatura de fusión.</v>
      </c>
      <c r="R150" s="24" t="s">
        <v>1</v>
      </c>
      <c r="S150" s="24" t="str">
        <f t="shared" si="28"/>
        <v>Materialidades</v>
      </c>
      <c r="T150" s="24" t="str">
        <f t="shared" si="29"/>
        <v>Materiais Minerais</v>
      </c>
      <c r="U150" s="24" t="str">
        <f t="shared" si="30"/>
        <v>Matéria Complementar</v>
      </c>
      <c r="V150" s="24" t="s">
        <v>835</v>
      </c>
      <c r="W150" s="58" t="str">
        <f t="shared" si="22"/>
        <v>Key-MAT-150</v>
      </c>
      <c r="X150" s="24" t="s">
        <v>586</v>
      </c>
      <c r="Y150" s="24" t="s">
        <v>587</v>
      </c>
      <c r="Z150" s="24" t="s">
        <v>828</v>
      </c>
      <c r="AA150" s="24" t="str">
        <f t="shared" si="32"/>
        <v>It complements acting as a flux, reduces the melting temperature.</v>
      </c>
    </row>
    <row r="151" spans="1:27" s="51" customFormat="1" ht="6.75" customHeight="1" x14ac:dyDescent="0.25">
      <c r="A151" s="55">
        <v>151</v>
      </c>
      <c r="B151" s="56" t="s">
        <v>838</v>
      </c>
      <c r="C151" s="53" t="s">
        <v>839</v>
      </c>
      <c r="D151" s="62" t="s">
        <v>848</v>
      </c>
      <c r="E151" s="62" t="s">
        <v>428</v>
      </c>
      <c r="F151" s="53" t="s">
        <v>132</v>
      </c>
      <c r="G151" s="57" t="s">
        <v>1</v>
      </c>
      <c r="H151" s="57" t="s">
        <v>1</v>
      </c>
      <c r="I151" s="57" t="s">
        <v>1</v>
      </c>
      <c r="J151" s="57" t="s">
        <v>1</v>
      </c>
      <c r="K151" s="57" t="s">
        <v>1</v>
      </c>
      <c r="L151" s="23" t="str">
        <f t="shared" si="23"/>
        <v>Materialidades</v>
      </c>
      <c r="M151" s="23" t="str">
        <f t="shared" si="24"/>
        <v>Materiais Minerais</v>
      </c>
      <c r="N151" s="23" t="str">
        <f t="shared" si="25"/>
        <v>Matéria Complementar</v>
      </c>
      <c r="O151" s="23" t="str">
        <f t="shared" si="26"/>
        <v>Carbonato</v>
      </c>
      <c r="P151" s="50" t="s">
        <v>136</v>
      </c>
      <c r="Q151" s="50" t="str">
        <f t="shared" si="27"/>
        <v>Complementa controlando la contracción y la estabilidad.</v>
      </c>
      <c r="R151" s="24" t="s">
        <v>1</v>
      </c>
      <c r="S151" s="24" t="str">
        <f t="shared" si="28"/>
        <v>Materialidades</v>
      </c>
      <c r="T151" s="24" t="str">
        <f t="shared" si="29"/>
        <v>Materiais Minerais</v>
      </c>
      <c r="U151" s="24" t="str">
        <f t="shared" si="30"/>
        <v>Matéria Complementar</v>
      </c>
      <c r="V151" s="24" t="s">
        <v>835</v>
      </c>
      <c r="W151" s="58" t="str">
        <f t="shared" si="22"/>
        <v>Key-MAT-151</v>
      </c>
      <c r="X151" s="24" t="s">
        <v>586</v>
      </c>
      <c r="Y151" s="24" t="s">
        <v>587</v>
      </c>
      <c r="Z151" s="24" t="s">
        <v>828</v>
      </c>
      <c r="AA151" s="24" t="str">
        <f t="shared" si="32"/>
        <v>Complements by controlling shrinkage and stability.</v>
      </c>
    </row>
    <row r="152" spans="1:27" s="51" customFormat="1" ht="6.75" customHeight="1" x14ac:dyDescent="0.25">
      <c r="A152" s="55">
        <v>152</v>
      </c>
      <c r="B152" s="56" t="s">
        <v>838</v>
      </c>
      <c r="C152" s="53" t="s">
        <v>839</v>
      </c>
      <c r="D152" s="62" t="s">
        <v>848</v>
      </c>
      <c r="E152" s="62" t="s">
        <v>428</v>
      </c>
      <c r="F152" s="53" t="s">
        <v>133</v>
      </c>
      <c r="G152" s="57" t="s">
        <v>1</v>
      </c>
      <c r="H152" s="57" t="s">
        <v>1</v>
      </c>
      <c r="I152" s="57" t="s">
        <v>1</v>
      </c>
      <c r="J152" s="57" t="s">
        <v>1</v>
      </c>
      <c r="K152" s="57" t="s">
        <v>1</v>
      </c>
      <c r="L152" s="23" t="str">
        <f t="shared" si="23"/>
        <v>Materialidades</v>
      </c>
      <c r="M152" s="23" t="str">
        <f t="shared" si="24"/>
        <v>Materiais Minerais</v>
      </c>
      <c r="N152" s="23" t="str">
        <f t="shared" si="25"/>
        <v>Matéria Complementar</v>
      </c>
      <c r="O152" s="23" t="str">
        <f t="shared" si="26"/>
        <v>Óxido Metálico</v>
      </c>
      <c r="P152" s="50" t="s">
        <v>137</v>
      </c>
      <c r="Q152" s="50" t="str">
        <f t="shared" si="27"/>
        <v>Complementa influyendo en el color y otras propiedades.</v>
      </c>
      <c r="R152" s="24" t="s">
        <v>1</v>
      </c>
      <c r="S152" s="24" t="str">
        <f t="shared" si="28"/>
        <v>Materialidades</v>
      </c>
      <c r="T152" s="24" t="str">
        <f t="shared" si="29"/>
        <v>Materiais Minerais</v>
      </c>
      <c r="U152" s="24" t="str">
        <f t="shared" si="30"/>
        <v>Matéria Complementar</v>
      </c>
      <c r="V152" s="24" t="s">
        <v>835</v>
      </c>
      <c r="W152" s="58" t="str">
        <f t="shared" si="22"/>
        <v>Key-MAT-152</v>
      </c>
      <c r="X152" s="24" t="s">
        <v>586</v>
      </c>
      <c r="Y152" s="24" t="s">
        <v>587</v>
      </c>
      <c r="Z152" s="24" t="s">
        <v>828</v>
      </c>
      <c r="AA152" s="24" t="str">
        <f t="shared" si="32"/>
        <v>It complements by influencing color and other properties.</v>
      </c>
    </row>
    <row r="153" spans="1:27" s="51" customFormat="1" ht="6.75" customHeight="1" x14ac:dyDescent="0.25">
      <c r="A153" s="55">
        <v>153</v>
      </c>
      <c r="B153" s="56" t="s">
        <v>838</v>
      </c>
      <c r="C153" s="53" t="s">
        <v>839</v>
      </c>
      <c r="D153" s="62" t="s">
        <v>848</v>
      </c>
      <c r="E153" s="62" t="s">
        <v>428</v>
      </c>
      <c r="F153" s="53" t="s">
        <v>544</v>
      </c>
      <c r="G153" s="57" t="s">
        <v>1</v>
      </c>
      <c r="H153" s="57" t="s">
        <v>1</v>
      </c>
      <c r="I153" s="57" t="s">
        <v>1</v>
      </c>
      <c r="J153" s="57" t="s">
        <v>1</v>
      </c>
      <c r="K153" s="57" t="s">
        <v>1</v>
      </c>
      <c r="L153" s="23" t="str">
        <f t="shared" si="23"/>
        <v>Materialidades</v>
      </c>
      <c r="M153" s="23" t="str">
        <f t="shared" si="24"/>
        <v>Materiais Minerais</v>
      </c>
      <c r="N153" s="23" t="str">
        <f t="shared" si="25"/>
        <v>Matéria Complementar</v>
      </c>
      <c r="O153" s="23" t="str">
        <f t="shared" si="26"/>
        <v>Cinza Mineral</v>
      </c>
      <c r="P153" s="24" t="s">
        <v>565</v>
      </c>
      <c r="Q153" s="50" t="str">
        <f t="shared" si="27"/>
        <v>Ceniza mineral</v>
      </c>
      <c r="R153" s="24" t="s">
        <v>1</v>
      </c>
      <c r="S153" s="24" t="str">
        <f t="shared" si="28"/>
        <v>Materialidades</v>
      </c>
      <c r="T153" s="24" t="str">
        <f t="shared" si="29"/>
        <v>Materiais Minerais</v>
      </c>
      <c r="U153" s="24" t="str">
        <f t="shared" si="30"/>
        <v>Matéria Complementar</v>
      </c>
      <c r="V153" s="24" t="s">
        <v>835</v>
      </c>
      <c r="W153" s="58" t="str">
        <f t="shared" si="22"/>
        <v>Key-MAT-153</v>
      </c>
      <c r="X153" s="24" t="s">
        <v>586</v>
      </c>
      <c r="Y153" s="24" t="s">
        <v>587</v>
      </c>
      <c r="Z153" s="63" t="s">
        <v>712</v>
      </c>
      <c r="AA153" s="24" t="str">
        <f t="shared" si="32"/>
        <v>Mineral Ash</v>
      </c>
    </row>
    <row r="154" spans="1:27" s="51" customFormat="1" ht="6.75" customHeight="1" x14ac:dyDescent="0.25">
      <c r="A154" s="55">
        <v>154</v>
      </c>
      <c r="B154" s="56" t="s">
        <v>838</v>
      </c>
      <c r="C154" s="53" t="s">
        <v>839</v>
      </c>
      <c r="D154" s="62" t="s">
        <v>848</v>
      </c>
      <c r="E154" s="62" t="s">
        <v>428</v>
      </c>
      <c r="F154" s="53" t="s">
        <v>545</v>
      </c>
      <c r="G154" s="57" t="s">
        <v>1</v>
      </c>
      <c r="H154" s="57" t="s">
        <v>1</v>
      </c>
      <c r="I154" s="57" t="s">
        <v>1</v>
      </c>
      <c r="J154" s="57" t="s">
        <v>1</v>
      </c>
      <c r="K154" s="57" t="s">
        <v>1</v>
      </c>
      <c r="L154" s="23" t="str">
        <f t="shared" si="23"/>
        <v>Materialidades</v>
      </c>
      <c r="M154" s="23" t="str">
        <f t="shared" si="24"/>
        <v>Materiais Minerais</v>
      </c>
      <c r="N154" s="23" t="str">
        <f t="shared" si="25"/>
        <v>Matéria Complementar</v>
      </c>
      <c r="O154" s="23" t="str">
        <f t="shared" si="26"/>
        <v>Fibra de Carbono</v>
      </c>
      <c r="P154" s="24" t="s">
        <v>566</v>
      </c>
      <c r="Q154" s="50" t="str">
        <f t="shared" si="27"/>
        <v>Fibra de carbono</v>
      </c>
      <c r="R154" s="24" t="s">
        <v>1</v>
      </c>
      <c r="S154" s="24" t="str">
        <f t="shared" si="28"/>
        <v>Materialidades</v>
      </c>
      <c r="T154" s="24" t="str">
        <f t="shared" si="29"/>
        <v>Materiais Minerais</v>
      </c>
      <c r="U154" s="24" t="str">
        <f t="shared" si="30"/>
        <v>Matéria Complementar</v>
      </c>
      <c r="V154" s="24" t="s">
        <v>835</v>
      </c>
      <c r="W154" s="58" t="str">
        <f t="shared" si="22"/>
        <v>Key-MAT-154</v>
      </c>
      <c r="X154" s="24" t="s">
        <v>586</v>
      </c>
      <c r="Y154" s="24" t="s">
        <v>587</v>
      </c>
      <c r="Z154" s="63" t="s">
        <v>713</v>
      </c>
      <c r="AA154" s="24" t="str">
        <f t="shared" si="32"/>
        <v>Carbon Fiber</v>
      </c>
    </row>
    <row r="155" spans="1:27" s="51" customFormat="1" ht="6.75" customHeight="1" x14ac:dyDescent="0.25">
      <c r="A155" s="55">
        <v>155</v>
      </c>
      <c r="B155" s="56" t="s">
        <v>838</v>
      </c>
      <c r="C155" s="53" t="s">
        <v>839</v>
      </c>
      <c r="D155" s="62" t="s">
        <v>848</v>
      </c>
      <c r="E155" s="62" t="s">
        <v>428</v>
      </c>
      <c r="F155" s="53" t="s">
        <v>546</v>
      </c>
      <c r="G155" s="57" t="s">
        <v>1</v>
      </c>
      <c r="H155" s="57" t="s">
        <v>1</v>
      </c>
      <c r="I155" s="57" t="s">
        <v>1</v>
      </c>
      <c r="J155" s="57" t="s">
        <v>1</v>
      </c>
      <c r="K155" s="57" t="s">
        <v>1</v>
      </c>
      <c r="L155" s="23" t="str">
        <f t="shared" si="23"/>
        <v>Materialidades</v>
      </c>
      <c r="M155" s="23" t="str">
        <f t="shared" si="24"/>
        <v>Materiais Minerais</v>
      </c>
      <c r="N155" s="23" t="str">
        <f t="shared" si="25"/>
        <v>Matéria Complementar</v>
      </c>
      <c r="O155" s="23" t="str">
        <f t="shared" si="26"/>
        <v>Carboneto de Silício</v>
      </c>
      <c r="P155" s="24" t="s">
        <v>567</v>
      </c>
      <c r="Q155" s="50" t="str">
        <f t="shared" si="27"/>
        <v>Carburo de silicio</v>
      </c>
      <c r="R155" s="24" t="s">
        <v>1</v>
      </c>
      <c r="S155" s="24" t="str">
        <f t="shared" si="28"/>
        <v>Materialidades</v>
      </c>
      <c r="T155" s="24" t="str">
        <f t="shared" si="29"/>
        <v>Materiais Minerais</v>
      </c>
      <c r="U155" s="24" t="str">
        <f t="shared" si="30"/>
        <v>Matéria Complementar</v>
      </c>
      <c r="V155" s="24" t="s">
        <v>835</v>
      </c>
      <c r="W155" s="58" t="str">
        <f t="shared" si="22"/>
        <v>Key-MAT-155</v>
      </c>
      <c r="X155" s="24" t="s">
        <v>586</v>
      </c>
      <c r="Y155" s="24" t="s">
        <v>587</v>
      </c>
      <c r="Z155" s="63" t="s">
        <v>714</v>
      </c>
      <c r="AA155" s="24" t="str">
        <f t="shared" si="32"/>
        <v>Silicon Carbide</v>
      </c>
    </row>
    <row r="156" spans="1:27" s="51" customFormat="1" ht="6.75" customHeight="1" x14ac:dyDescent="0.25">
      <c r="A156" s="55">
        <v>156</v>
      </c>
      <c r="B156" s="56" t="s">
        <v>838</v>
      </c>
      <c r="C156" s="53" t="s">
        <v>839</v>
      </c>
      <c r="D156" s="62" t="s">
        <v>848</v>
      </c>
      <c r="E156" s="62" t="s">
        <v>428</v>
      </c>
      <c r="F156" s="53" t="s">
        <v>530</v>
      </c>
      <c r="G156" s="57" t="s">
        <v>1</v>
      </c>
      <c r="H156" s="57" t="s">
        <v>1</v>
      </c>
      <c r="I156" s="57" t="s">
        <v>1</v>
      </c>
      <c r="J156" s="57" t="s">
        <v>1</v>
      </c>
      <c r="K156" s="57" t="s">
        <v>1</v>
      </c>
      <c r="L156" s="23" t="str">
        <f t="shared" si="23"/>
        <v>Materialidades</v>
      </c>
      <c r="M156" s="23" t="str">
        <f t="shared" si="24"/>
        <v>Materiais Minerais</v>
      </c>
      <c r="N156" s="23" t="str">
        <f t="shared" si="25"/>
        <v>Matéria Complementar</v>
      </c>
      <c r="O156" s="23" t="str">
        <f t="shared" si="26"/>
        <v>Cermet</v>
      </c>
      <c r="P156" s="24" t="s">
        <v>530</v>
      </c>
      <c r="Q156" s="50" t="str">
        <f t="shared" si="27"/>
        <v>Cermet</v>
      </c>
      <c r="R156" s="24" t="s">
        <v>1</v>
      </c>
      <c r="S156" s="24" t="str">
        <f t="shared" si="28"/>
        <v>Materialidades</v>
      </c>
      <c r="T156" s="24" t="str">
        <f t="shared" si="29"/>
        <v>Materiais Minerais</v>
      </c>
      <c r="U156" s="24" t="str">
        <f t="shared" si="30"/>
        <v>Matéria Complementar</v>
      </c>
      <c r="V156" s="24" t="s">
        <v>835</v>
      </c>
      <c r="W156" s="58" t="str">
        <f t="shared" si="22"/>
        <v>Key-MAT-156</v>
      </c>
      <c r="X156" s="24" t="s">
        <v>586</v>
      </c>
      <c r="Y156" s="24" t="s">
        <v>587</v>
      </c>
      <c r="Z156" s="63" t="s">
        <v>715</v>
      </c>
      <c r="AA156" s="24" t="str">
        <f t="shared" si="32"/>
        <v>Cermet</v>
      </c>
    </row>
    <row r="157" spans="1:27" s="51" customFormat="1" ht="6.75" customHeight="1" x14ac:dyDescent="0.25">
      <c r="A157" s="55">
        <v>157</v>
      </c>
      <c r="B157" s="56" t="s">
        <v>838</v>
      </c>
      <c r="C157" s="53" t="s">
        <v>839</v>
      </c>
      <c r="D157" s="62" t="s">
        <v>849</v>
      </c>
      <c r="E157" s="62" t="s">
        <v>102</v>
      </c>
      <c r="F157" s="53" t="s">
        <v>106</v>
      </c>
      <c r="G157" s="57" t="s">
        <v>1</v>
      </c>
      <c r="H157" s="57" t="s">
        <v>1</v>
      </c>
      <c r="I157" s="57" t="s">
        <v>1</v>
      </c>
      <c r="J157" s="57" t="s">
        <v>1</v>
      </c>
      <c r="K157" s="57" t="s">
        <v>1</v>
      </c>
      <c r="L157" s="23" t="str">
        <f t="shared" si="23"/>
        <v>Materialidades</v>
      </c>
      <c r="M157" s="23" t="str">
        <f t="shared" si="24"/>
        <v>Materiais Pétreos</v>
      </c>
      <c r="N157" s="23" t="str">
        <f t="shared" si="25"/>
        <v>Pedras</v>
      </c>
      <c r="O157" s="23" t="str">
        <f t="shared" si="26"/>
        <v>Granito</v>
      </c>
      <c r="P157" s="24" t="s">
        <v>226</v>
      </c>
      <c r="Q157" s="50" t="str">
        <f t="shared" si="27"/>
        <v>Se originó en roca magmática intrusiva formada por el lento enfriamiento del magma. Compuesto por cuarzo, mica y feldespato. Muy duro, resistente, de colores variados (gris, rosa, negro). Se usa en encimeras, suelos, recubrimientos, fachadas y monumentos.</v>
      </c>
      <c r="R157" s="24" t="s">
        <v>1</v>
      </c>
      <c r="S157" s="24" t="str">
        <f t="shared" si="28"/>
        <v>Materialidades</v>
      </c>
      <c r="T157" s="24" t="str">
        <f t="shared" si="29"/>
        <v>Materiais Pétreos</v>
      </c>
      <c r="U157" s="24" t="str">
        <f t="shared" si="30"/>
        <v>Pedras</v>
      </c>
      <c r="V157" s="24" t="s">
        <v>835</v>
      </c>
      <c r="W157" s="58" t="str">
        <f t="shared" si="22"/>
        <v>Key-MAT-157</v>
      </c>
      <c r="X157" s="24" t="s">
        <v>586</v>
      </c>
      <c r="Y157" s="24" t="s">
        <v>587</v>
      </c>
      <c r="Z157" s="63" t="s">
        <v>716</v>
      </c>
      <c r="AA157" s="24" t="str">
        <f t="shared" si="32"/>
        <v>It originated in intrusive magmatic rock formed by the slow cooling of magma. Composed of Quartz, mica and feldspar. Very hard, resistant, varied colors (gray, pink, black)Used in countertops, floors, coatings, facades and monuments.</v>
      </c>
    </row>
    <row r="158" spans="1:27" s="51" customFormat="1" ht="6.75" customHeight="1" x14ac:dyDescent="0.25">
      <c r="A158" s="55">
        <v>158</v>
      </c>
      <c r="B158" s="56" t="s">
        <v>838</v>
      </c>
      <c r="C158" s="53" t="s">
        <v>839</v>
      </c>
      <c r="D158" s="62" t="s">
        <v>849</v>
      </c>
      <c r="E158" s="62" t="s">
        <v>102</v>
      </c>
      <c r="F158" s="53" t="s">
        <v>120</v>
      </c>
      <c r="G158" s="57" t="s">
        <v>1</v>
      </c>
      <c r="H158" s="57" t="s">
        <v>1</v>
      </c>
      <c r="I158" s="57" t="s">
        <v>1</v>
      </c>
      <c r="J158" s="57" t="s">
        <v>1</v>
      </c>
      <c r="K158" s="57" t="s">
        <v>1</v>
      </c>
      <c r="L158" s="23" t="str">
        <f t="shared" si="23"/>
        <v>Materialidades</v>
      </c>
      <c r="M158" s="23" t="str">
        <f t="shared" si="24"/>
        <v>Materiais Pétreos</v>
      </c>
      <c r="N158" s="23" t="str">
        <f t="shared" si="25"/>
        <v>Pedras</v>
      </c>
      <c r="O158" s="23" t="str">
        <f t="shared" si="26"/>
        <v>Mármore</v>
      </c>
      <c r="P158" s="24" t="s">
        <v>230</v>
      </c>
      <c r="Q158" s="50" t="str">
        <f t="shared" si="27"/>
        <v>Se originó en calizas sometidas a altas presiones y temperaturas. Compuesto principalmente de calcita. Textura cristalina, vetas decorativas, más porosas que el granito. Se usa en encimeras, suelos, recubrimientos.</v>
      </c>
      <c r="R158" s="24" t="s">
        <v>1</v>
      </c>
      <c r="S158" s="24" t="str">
        <f t="shared" si="28"/>
        <v>Materialidades</v>
      </c>
      <c r="T158" s="24" t="str">
        <f t="shared" si="29"/>
        <v>Materiais Pétreos</v>
      </c>
      <c r="U158" s="24" t="str">
        <f t="shared" si="30"/>
        <v>Pedras</v>
      </c>
      <c r="V158" s="24" t="s">
        <v>835</v>
      </c>
      <c r="W158" s="58" t="str">
        <f t="shared" si="22"/>
        <v>Key-MAT-158</v>
      </c>
      <c r="X158" s="24" t="s">
        <v>586</v>
      </c>
      <c r="Y158" s="24" t="s">
        <v>587</v>
      </c>
      <c r="Z158" s="63" t="s">
        <v>717</v>
      </c>
      <c r="AA158" s="24" t="str">
        <f t="shared" si="32"/>
        <v>Originated in limestones subjected to high pressures and temperatures. Composed mainly of calcite. Crystalline texture, decorative veins, more porous than granite. Used in countertops, floors, coatings.</v>
      </c>
    </row>
    <row r="159" spans="1:27" s="51" customFormat="1" ht="6.75" customHeight="1" x14ac:dyDescent="0.25">
      <c r="A159" s="55">
        <v>159</v>
      </c>
      <c r="B159" s="56" t="s">
        <v>838</v>
      </c>
      <c r="C159" s="53" t="s">
        <v>839</v>
      </c>
      <c r="D159" s="62" t="s">
        <v>849</v>
      </c>
      <c r="E159" s="62" t="s">
        <v>102</v>
      </c>
      <c r="F159" s="53" t="s">
        <v>342</v>
      </c>
      <c r="G159" s="57" t="s">
        <v>1</v>
      </c>
      <c r="H159" s="57" t="s">
        <v>1</v>
      </c>
      <c r="I159" s="57" t="s">
        <v>1</v>
      </c>
      <c r="J159" s="57" t="s">
        <v>1</v>
      </c>
      <c r="K159" s="57" t="s">
        <v>1</v>
      </c>
      <c r="L159" s="23" t="str">
        <f t="shared" si="23"/>
        <v>Materialidades</v>
      </c>
      <c r="M159" s="23" t="str">
        <f t="shared" si="24"/>
        <v>Materiais Pétreos</v>
      </c>
      <c r="N159" s="23" t="str">
        <f t="shared" si="25"/>
        <v>Pedras</v>
      </c>
      <c r="O159" s="23" t="str">
        <f t="shared" si="26"/>
        <v>Pedra Luminária</v>
      </c>
      <c r="P159" s="24" t="s">
        <v>351</v>
      </c>
      <c r="Q159" s="50" t="str">
        <f t="shared" si="27"/>
        <v>Lámpara Piedra</v>
      </c>
      <c r="R159" s="24" t="s">
        <v>1</v>
      </c>
      <c r="S159" s="24" t="str">
        <f t="shared" si="28"/>
        <v>Materialidades</v>
      </c>
      <c r="T159" s="24" t="str">
        <f t="shared" si="29"/>
        <v>Materiais Pétreos</v>
      </c>
      <c r="U159" s="24" t="str">
        <f t="shared" si="30"/>
        <v>Pedras</v>
      </c>
      <c r="V159" s="24" t="s">
        <v>835</v>
      </c>
      <c r="W159" s="58" t="str">
        <f t="shared" si="22"/>
        <v>Key-MAT-159</v>
      </c>
      <c r="X159" s="24" t="s">
        <v>586</v>
      </c>
      <c r="Y159" s="24" t="s">
        <v>587</v>
      </c>
      <c r="Z159" s="63" t="s">
        <v>718</v>
      </c>
      <c r="AA159" s="24" t="str">
        <f t="shared" si="32"/>
        <v>Lamp Stone</v>
      </c>
    </row>
    <row r="160" spans="1:27" s="51" customFormat="1" ht="6.75" customHeight="1" x14ac:dyDescent="0.25">
      <c r="A160" s="55">
        <v>160</v>
      </c>
      <c r="B160" s="56" t="s">
        <v>838</v>
      </c>
      <c r="C160" s="53" t="s">
        <v>839</v>
      </c>
      <c r="D160" s="62" t="s">
        <v>849</v>
      </c>
      <c r="E160" s="62" t="s">
        <v>102</v>
      </c>
      <c r="F160" s="53" t="s">
        <v>343</v>
      </c>
      <c r="G160" s="57" t="s">
        <v>1</v>
      </c>
      <c r="H160" s="57" t="s">
        <v>1</v>
      </c>
      <c r="I160" s="57" t="s">
        <v>1</v>
      </c>
      <c r="J160" s="57" t="s">
        <v>1</v>
      </c>
      <c r="K160" s="57" t="s">
        <v>1</v>
      </c>
      <c r="L160" s="23" t="str">
        <f t="shared" si="23"/>
        <v>Materialidades</v>
      </c>
      <c r="M160" s="23" t="str">
        <f t="shared" si="24"/>
        <v>Materiais Pétreos</v>
      </c>
      <c r="N160" s="23" t="str">
        <f t="shared" si="25"/>
        <v>Pedras</v>
      </c>
      <c r="O160" s="23" t="str">
        <f t="shared" si="26"/>
        <v>Pedra Mineira</v>
      </c>
      <c r="P160" s="24" t="s">
        <v>337</v>
      </c>
      <c r="Q160" s="50" t="str">
        <f t="shared" si="27"/>
        <v>Pedra Mineira</v>
      </c>
      <c r="R160" s="24" t="s">
        <v>1</v>
      </c>
      <c r="S160" s="24" t="str">
        <f t="shared" si="28"/>
        <v>Materialidades</v>
      </c>
      <c r="T160" s="24" t="str">
        <f t="shared" si="29"/>
        <v>Materiais Pétreos</v>
      </c>
      <c r="U160" s="24" t="str">
        <f t="shared" si="30"/>
        <v>Pedras</v>
      </c>
      <c r="V160" s="24" t="s">
        <v>835</v>
      </c>
      <c r="W160" s="58" t="str">
        <f t="shared" si="22"/>
        <v>Key-MAT-160</v>
      </c>
      <c r="X160" s="24" t="s">
        <v>586</v>
      </c>
      <c r="Y160" s="24" t="s">
        <v>587</v>
      </c>
      <c r="Z160" s="63" t="s">
        <v>719</v>
      </c>
      <c r="AA160" s="24" t="str">
        <f t="shared" si="32"/>
        <v>Pedra Mineira</v>
      </c>
    </row>
    <row r="161" spans="1:27" s="51" customFormat="1" ht="6.75" customHeight="1" x14ac:dyDescent="0.25">
      <c r="A161" s="55">
        <v>161</v>
      </c>
      <c r="B161" s="56" t="s">
        <v>838</v>
      </c>
      <c r="C161" s="53" t="s">
        <v>839</v>
      </c>
      <c r="D161" s="62" t="s">
        <v>849</v>
      </c>
      <c r="E161" s="62" t="s">
        <v>102</v>
      </c>
      <c r="F161" s="53" t="s">
        <v>344</v>
      </c>
      <c r="G161" s="57" t="s">
        <v>1</v>
      </c>
      <c r="H161" s="57" t="s">
        <v>1</v>
      </c>
      <c r="I161" s="57" t="s">
        <v>1</v>
      </c>
      <c r="J161" s="57" t="s">
        <v>1</v>
      </c>
      <c r="K161" s="57" t="s">
        <v>1</v>
      </c>
      <c r="L161" s="23" t="str">
        <f t="shared" si="23"/>
        <v>Materialidades</v>
      </c>
      <c r="M161" s="23" t="str">
        <f t="shared" si="24"/>
        <v>Materiais Pétreos</v>
      </c>
      <c r="N161" s="23" t="str">
        <f t="shared" si="25"/>
        <v>Pedras</v>
      </c>
      <c r="O161" s="23" t="str">
        <f t="shared" si="26"/>
        <v>Pedra Goiás</v>
      </c>
      <c r="P161" s="24" t="s">
        <v>338</v>
      </c>
      <c r="Q161" s="50" t="str">
        <f t="shared" si="27"/>
        <v>Piedra de Goiás</v>
      </c>
      <c r="R161" s="24" t="s">
        <v>1</v>
      </c>
      <c r="S161" s="24" t="str">
        <f t="shared" si="28"/>
        <v>Materialidades</v>
      </c>
      <c r="T161" s="24" t="str">
        <f t="shared" si="29"/>
        <v>Materiais Pétreos</v>
      </c>
      <c r="U161" s="24" t="str">
        <f t="shared" si="30"/>
        <v>Pedras</v>
      </c>
      <c r="V161" s="24" t="s">
        <v>835</v>
      </c>
      <c r="W161" s="58" t="str">
        <f t="shared" si="22"/>
        <v>Key-MAT-161</v>
      </c>
      <c r="X161" s="24" t="s">
        <v>586</v>
      </c>
      <c r="Y161" s="24" t="s">
        <v>587</v>
      </c>
      <c r="Z161" s="63" t="s">
        <v>720</v>
      </c>
      <c r="AA161" s="24" t="str">
        <f t="shared" si="32"/>
        <v>Goiás Stone</v>
      </c>
    </row>
    <row r="162" spans="1:27" s="51" customFormat="1" ht="6.75" customHeight="1" x14ac:dyDescent="0.25">
      <c r="A162" s="55">
        <v>162</v>
      </c>
      <c r="B162" s="56" t="s">
        <v>838</v>
      </c>
      <c r="C162" s="53" t="s">
        <v>839</v>
      </c>
      <c r="D162" s="62" t="s">
        <v>849</v>
      </c>
      <c r="E162" s="62" t="s">
        <v>102</v>
      </c>
      <c r="F162" s="53" t="s">
        <v>345</v>
      </c>
      <c r="G162" s="57" t="s">
        <v>1</v>
      </c>
      <c r="H162" s="57" t="s">
        <v>1</v>
      </c>
      <c r="I162" s="57" t="s">
        <v>1</v>
      </c>
      <c r="J162" s="57" t="s">
        <v>1</v>
      </c>
      <c r="K162" s="57" t="s">
        <v>1</v>
      </c>
      <c r="L162" s="23" t="str">
        <f t="shared" si="23"/>
        <v>Materialidades</v>
      </c>
      <c r="M162" s="23" t="str">
        <f t="shared" si="24"/>
        <v>Materiais Pétreos</v>
      </c>
      <c r="N162" s="23" t="str">
        <f t="shared" si="25"/>
        <v>Pedras</v>
      </c>
      <c r="O162" s="23" t="str">
        <f t="shared" si="26"/>
        <v>Pedra Miracema</v>
      </c>
      <c r="P162" s="24" t="s">
        <v>339</v>
      </c>
      <c r="Q162" s="50" t="str">
        <f t="shared" si="27"/>
        <v>Piedra Miracema</v>
      </c>
      <c r="R162" s="24" t="s">
        <v>1</v>
      </c>
      <c r="S162" s="24" t="str">
        <f t="shared" si="28"/>
        <v>Materialidades</v>
      </c>
      <c r="T162" s="24" t="str">
        <f t="shared" si="29"/>
        <v>Materiais Pétreos</v>
      </c>
      <c r="U162" s="24" t="str">
        <f t="shared" si="30"/>
        <v>Pedras</v>
      </c>
      <c r="V162" s="24" t="s">
        <v>835</v>
      </c>
      <c r="W162" s="58" t="str">
        <f t="shared" si="22"/>
        <v>Key-MAT-162</v>
      </c>
      <c r="X162" s="24" t="s">
        <v>586</v>
      </c>
      <c r="Y162" s="24" t="s">
        <v>587</v>
      </c>
      <c r="Z162" s="63" t="s">
        <v>721</v>
      </c>
      <c r="AA162" s="24" t="str">
        <f t="shared" si="32"/>
        <v>Miracema Stone</v>
      </c>
    </row>
    <row r="163" spans="1:27" s="51" customFormat="1" ht="6.75" customHeight="1" x14ac:dyDescent="0.25">
      <c r="A163" s="55">
        <v>163</v>
      </c>
      <c r="B163" s="56" t="s">
        <v>838</v>
      </c>
      <c r="C163" s="53" t="s">
        <v>839</v>
      </c>
      <c r="D163" s="62" t="s">
        <v>849</v>
      </c>
      <c r="E163" s="62" t="s">
        <v>102</v>
      </c>
      <c r="F163" s="53" t="s">
        <v>346</v>
      </c>
      <c r="G163" s="57" t="s">
        <v>1</v>
      </c>
      <c r="H163" s="57" t="s">
        <v>1</v>
      </c>
      <c r="I163" s="57" t="s">
        <v>1</v>
      </c>
      <c r="J163" s="57" t="s">
        <v>1</v>
      </c>
      <c r="K163" s="57" t="s">
        <v>1</v>
      </c>
      <c r="L163" s="23" t="str">
        <f t="shared" si="23"/>
        <v>Materialidades</v>
      </c>
      <c r="M163" s="23" t="str">
        <f t="shared" si="24"/>
        <v>Materiais Pétreos</v>
      </c>
      <c r="N163" s="23" t="str">
        <f t="shared" si="25"/>
        <v>Pedras</v>
      </c>
      <c r="O163" s="23" t="str">
        <f t="shared" si="26"/>
        <v>Pedra Madeira</v>
      </c>
      <c r="P163" s="24" t="s">
        <v>352</v>
      </c>
      <c r="Q163" s="50" t="str">
        <f t="shared" si="27"/>
        <v>Madera de piedra</v>
      </c>
      <c r="R163" s="24" t="s">
        <v>1</v>
      </c>
      <c r="S163" s="24" t="str">
        <f t="shared" si="28"/>
        <v>Materialidades</v>
      </c>
      <c r="T163" s="24" t="str">
        <f t="shared" si="29"/>
        <v>Materiais Pétreos</v>
      </c>
      <c r="U163" s="24" t="str">
        <f t="shared" si="30"/>
        <v>Pedras</v>
      </c>
      <c r="V163" s="24" t="s">
        <v>835</v>
      </c>
      <c r="W163" s="58" t="str">
        <f t="shared" si="22"/>
        <v>Key-MAT-163</v>
      </c>
      <c r="X163" s="24" t="s">
        <v>586</v>
      </c>
      <c r="Y163" s="24" t="s">
        <v>587</v>
      </c>
      <c r="Z163" s="63" t="s">
        <v>722</v>
      </c>
      <c r="AA163" s="24" t="str">
        <f t="shared" si="32"/>
        <v>Stone Wood</v>
      </c>
    </row>
    <row r="164" spans="1:27" s="51" customFormat="1" ht="6.75" customHeight="1" x14ac:dyDescent="0.25">
      <c r="A164" s="55">
        <v>164</v>
      </c>
      <c r="B164" s="56" t="s">
        <v>838</v>
      </c>
      <c r="C164" s="53" t="s">
        <v>839</v>
      </c>
      <c r="D164" s="62" t="s">
        <v>849</v>
      </c>
      <c r="E164" s="62" t="s">
        <v>102</v>
      </c>
      <c r="F164" s="53" t="s">
        <v>347</v>
      </c>
      <c r="G164" s="57" t="s">
        <v>1</v>
      </c>
      <c r="H164" s="57" t="s">
        <v>1</v>
      </c>
      <c r="I164" s="57" t="s">
        <v>1</v>
      </c>
      <c r="J164" s="57" t="s">
        <v>1</v>
      </c>
      <c r="K164" s="57" t="s">
        <v>1</v>
      </c>
      <c r="L164" s="23" t="str">
        <f t="shared" si="23"/>
        <v>Materialidades</v>
      </c>
      <c r="M164" s="23" t="str">
        <f t="shared" si="24"/>
        <v>Materiais Pétreos</v>
      </c>
      <c r="N164" s="23" t="str">
        <f t="shared" si="25"/>
        <v>Pedras</v>
      </c>
      <c r="O164" s="23" t="str">
        <f t="shared" si="26"/>
        <v>Pedra Sabão</v>
      </c>
      <c r="P164" s="24" t="s">
        <v>353</v>
      </c>
      <c r="Q164" s="50" t="str">
        <f t="shared" si="27"/>
        <v>Esteatita</v>
      </c>
      <c r="R164" s="24" t="s">
        <v>1</v>
      </c>
      <c r="S164" s="24" t="str">
        <f t="shared" si="28"/>
        <v>Materialidades</v>
      </c>
      <c r="T164" s="24" t="str">
        <f t="shared" si="29"/>
        <v>Materiais Pétreos</v>
      </c>
      <c r="U164" s="24" t="str">
        <f t="shared" si="30"/>
        <v>Pedras</v>
      </c>
      <c r="V164" s="24" t="s">
        <v>835</v>
      </c>
      <c r="W164" s="58" t="str">
        <f t="shared" si="22"/>
        <v>Key-MAT-164</v>
      </c>
      <c r="X164" s="24" t="s">
        <v>586</v>
      </c>
      <c r="Y164" s="24" t="s">
        <v>587</v>
      </c>
      <c r="Z164" s="63" t="s">
        <v>723</v>
      </c>
      <c r="AA164" s="24" t="str">
        <f t="shared" si="32"/>
        <v>Soapstone</v>
      </c>
    </row>
    <row r="165" spans="1:27" ht="6.75" customHeight="1" x14ac:dyDescent="0.25">
      <c r="A165" s="55">
        <v>165</v>
      </c>
      <c r="B165" s="56" t="s">
        <v>838</v>
      </c>
      <c r="C165" s="53" t="s">
        <v>839</v>
      </c>
      <c r="D165" s="62" t="s">
        <v>849</v>
      </c>
      <c r="E165" s="62" t="s">
        <v>102</v>
      </c>
      <c r="F165" s="53" t="s">
        <v>348</v>
      </c>
      <c r="G165" s="57" t="s">
        <v>1</v>
      </c>
      <c r="H165" s="57" t="s">
        <v>1</v>
      </c>
      <c r="I165" s="57" t="s">
        <v>1</v>
      </c>
      <c r="J165" s="57" t="s">
        <v>1</v>
      </c>
      <c r="K165" s="57" t="s">
        <v>1</v>
      </c>
      <c r="L165" s="23" t="str">
        <f t="shared" si="23"/>
        <v>Materialidades</v>
      </c>
      <c r="M165" s="23" t="str">
        <f t="shared" si="24"/>
        <v>Materiais Pétreos</v>
      </c>
      <c r="N165" s="23" t="str">
        <f t="shared" si="25"/>
        <v>Pedras</v>
      </c>
      <c r="O165" s="23" t="str">
        <f t="shared" si="26"/>
        <v>Pedra Lagoa Santa</v>
      </c>
      <c r="P165" s="24" t="s">
        <v>340</v>
      </c>
      <c r="Q165" s="50" t="str">
        <f t="shared" si="27"/>
        <v>Lagoa Santa Stone</v>
      </c>
      <c r="R165" s="24" t="s">
        <v>1</v>
      </c>
      <c r="S165" s="24" t="str">
        <f t="shared" si="28"/>
        <v>Materialidades</v>
      </c>
      <c r="T165" s="24" t="str">
        <f t="shared" si="29"/>
        <v>Materiais Pétreos</v>
      </c>
      <c r="U165" s="24" t="str">
        <f t="shared" si="30"/>
        <v>Pedras</v>
      </c>
      <c r="V165" s="24" t="s">
        <v>835</v>
      </c>
      <c r="W165" s="58" t="str">
        <f t="shared" si="22"/>
        <v>Key-MAT-165</v>
      </c>
      <c r="X165" s="24" t="s">
        <v>586</v>
      </c>
      <c r="Y165" s="24" t="s">
        <v>587</v>
      </c>
      <c r="Z165" s="63" t="s">
        <v>724</v>
      </c>
      <c r="AA165" s="24" t="str">
        <f t="shared" si="32"/>
        <v>Lagoa Santa Stone</v>
      </c>
    </row>
    <row r="166" spans="1:27" ht="6.75" customHeight="1" x14ac:dyDescent="0.25">
      <c r="A166" s="55">
        <v>166</v>
      </c>
      <c r="B166" s="56" t="s">
        <v>838</v>
      </c>
      <c r="C166" s="53" t="s">
        <v>839</v>
      </c>
      <c r="D166" s="62" t="s">
        <v>849</v>
      </c>
      <c r="E166" s="62" t="s">
        <v>102</v>
      </c>
      <c r="F166" s="53" t="s">
        <v>349</v>
      </c>
      <c r="G166" s="57" t="s">
        <v>1</v>
      </c>
      <c r="H166" s="57" t="s">
        <v>1</v>
      </c>
      <c r="I166" s="57" t="s">
        <v>1</v>
      </c>
      <c r="J166" s="57" t="s">
        <v>1</v>
      </c>
      <c r="K166" s="57" t="s">
        <v>1</v>
      </c>
      <c r="L166" s="23" t="str">
        <f t="shared" si="23"/>
        <v>Materialidades</v>
      </c>
      <c r="M166" s="23" t="str">
        <f t="shared" si="24"/>
        <v>Materiais Pétreos</v>
      </c>
      <c r="N166" s="23" t="str">
        <f t="shared" si="25"/>
        <v>Pedras</v>
      </c>
      <c r="O166" s="23" t="str">
        <f t="shared" si="26"/>
        <v>Pedra Cariri</v>
      </c>
      <c r="P166" s="24" t="s">
        <v>341</v>
      </c>
      <c r="Q166" s="50" t="str">
        <f t="shared" si="27"/>
        <v>Piedra de Cariri</v>
      </c>
      <c r="R166" s="24" t="s">
        <v>1</v>
      </c>
      <c r="S166" s="24" t="str">
        <f t="shared" si="28"/>
        <v>Materialidades</v>
      </c>
      <c r="T166" s="24" t="str">
        <f t="shared" si="29"/>
        <v>Materiais Pétreos</v>
      </c>
      <c r="U166" s="24" t="str">
        <f t="shared" si="30"/>
        <v>Pedras</v>
      </c>
      <c r="V166" s="24" t="s">
        <v>835</v>
      </c>
      <c r="W166" s="58" t="str">
        <f t="shared" si="22"/>
        <v>Key-MAT-166</v>
      </c>
      <c r="X166" s="24" t="s">
        <v>586</v>
      </c>
      <c r="Y166" s="24" t="s">
        <v>587</v>
      </c>
      <c r="Z166" s="63" t="s">
        <v>725</v>
      </c>
      <c r="AA166" s="24" t="str">
        <f t="shared" si="32"/>
        <v>Cariri Stone</v>
      </c>
    </row>
    <row r="167" spans="1:27" ht="6.75" customHeight="1" x14ac:dyDescent="0.25">
      <c r="A167" s="55">
        <v>167</v>
      </c>
      <c r="B167" s="56" t="s">
        <v>838</v>
      </c>
      <c r="C167" s="53" t="s">
        <v>839</v>
      </c>
      <c r="D167" s="62" t="s">
        <v>849</v>
      </c>
      <c r="E167" s="62" t="s">
        <v>102</v>
      </c>
      <c r="F167" s="53" t="s">
        <v>350</v>
      </c>
      <c r="G167" s="57" t="s">
        <v>1</v>
      </c>
      <c r="H167" s="57" t="s">
        <v>1</v>
      </c>
      <c r="I167" s="57" t="s">
        <v>1</v>
      </c>
      <c r="J167" s="57" t="s">
        <v>1</v>
      </c>
      <c r="K167" s="57" t="s">
        <v>1</v>
      </c>
      <c r="L167" s="23" t="str">
        <f t="shared" si="23"/>
        <v>Materialidades</v>
      </c>
      <c r="M167" s="23" t="str">
        <f t="shared" si="24"/>
        <v>Materiais Pétreos</v>
      </c>
      <c r="N167" s="23" t="str">
        <f t="shared" si="25"/>
        <v>Pedras</v>
      </c>
      <c r="O167" s="23" t="str">
        <f t="shared" si="26"/>
        <v>Rochas de Quarlzo</v>
      </c>
      <c r="P167" s="24" t="s">
        <v>354</v>
      </c>
      <c r="Q167" s="50" t="str">
        <f t="shared" si="27"/>
        <v>Rocas de Quarlzo</v>
      </c>
      <c r="R167" s="24" t="s">
        <v>1</v>
      </c>
      <c r="S167" s="24" t="str">
        <f t="shared" si="28"/>
        <v>Materialidades</v>
      </c>
      <c r="T167" s="24" t="str">
        <f t="shared" si="29"/>
        <v>Materiais Pétreos</v>
      </c>
      <c r="U167" s="24" t="str">
        <f t="shared" si="30"/>
        <v>Pedras</v>
      </c>
      <c r="V167" s="24" t="s">
        <v>835</v>
      </c>
      <c r="W167" s="58" t="str">
        <f t="shared" si="22"/>
        <v>Key-MAT-167</v>
      </c>
      <c r="X167" s="24" t="s">
        <v>586</v>
      </c>
      <c r="Y167" s="24" t="s">
        <v>587</v>
      </c>
      <c r="Z167" s="63" t="s">
        <v>726</v>
      </c>
      <c r="AA167" s="24" t="str">
        <f t="shared" si="32"/>
        <v>Rocks of Quarlzo</v>
      </c>
    </row>
    <row r="168" spans="1:27" ht="6.75" customHeight="1" x14ac:dyDescent="0.25">
      <c r="A168" s="55">
        <v>168</v>
      </c>
      <c r="B168" s="56" t="s">
        <v>838</v>
      </c>
      <c r="C168" s="53" t="s">
        <v>839</v>
      </c>
      <c r="D168" s="62" t="s">
        <v>849</v>
      </c>
      <c r="E168" s="62" t="s">
        <v>102</v>
      </c>
      <c r="F168" s="62" t="s">
        <v>121</v>
      </c>
      <c r="G168" s="57" t="s">
        <v>1</v>
      </c>
      <c r="H168" s="57" t="s">
        <v>1</v>
      </c>
      <c r="I168" s="57" t="s">
        <v>1</v>
      </c>
      <c r="J168" s="57" t="s">
        <v>1</v>
      </c>
      <c r="K168" s="57" t="s">
        <v>1</v>
      </c>
      <c r="L168" s="23" t="str">
        <f t="shared" si="23"/>
        <v>Materialidades</v>
      </c>
      <c r="M168" s="23" t="str">
        <f t="shared" si="24"/>
        <v>Materiais Pétreos</v>
      </c>
      <c r="N168" s="23" t="str">
        <f t="shared" si="25"/>
        <v>Pedras</v>
      </c>
      <c r="O168" s="23" t="str">
        <f t="shared" si="26"/>
        <v>Ardósia</v>
      </c>
      <c r="P168" s="24" t="s">
        <v>225</v>
      </c>
      <c r="Q168" s="50" t="str">
        <f t="shared" si="27"/>
        <v>Se originó en arcilla o lutita sometida a metamorfismo de bajo grado. Compuesto de cuarzo, mica, clorita. De grano fino, escote en hojas finas, colores oscuros. Usados, tejados, suelos, fachadas, mesas y pizarras escolares.</v>
      </c>
      <c r="R168" s="24" t="s">
        <v>1</v>
      </c>
      <c r="S168" s="24" t="str">
        <f t="shared" si="28"/>
        <v>Materialidades</v>
      </c>
      <c r="T168" s="24" t="str">
        <f t="shared" si="29"/>
        <v>Materiais Pétreos</v>
      </c>
      <c r="U168" s="24" t="str">
        <f t="shared" si="30"/>
        <v>Pedras</v>
      </c>
      <c r="V168" s="24" t="s">
        <v>835</v>
      </c>
      <c r="W168" s="58" t="str">
        <f t="shared" si="22"/>
        <v>Key-MAT-168</v>
      </c>
      <c r="X168" s="24" t="s">
        <v>586</v>
      </c>
      <c r="Y168" s="24" t="s">
        <v>587</v>
      </c>
      <c r="Z168" s="63" t="s">
        <v>726</v>
      </c>
      <c r="AA168" s="24" t="str">
        <f t="shared" si="32"/>
        <v>Originated in clay or shale subjected to low-grade metamorphism. Composed of quartz, mica, chlorite. Fine-grained, cleavage into thin blades, dark colors. Used and roofs, floors, facades, tables and school blackboards.</v>
      </c>
    </row>
    <row r="169" spans="1:27" ht="6.75" customHeight="1" x14ac:dyDescent="0.25">
      <c r="A169" s="55">
        <v>169</v>
      </c>
      <c r="B169" s="56" t="s">
        <v>838</v>
      </c>
      <c r="C169" s="53" t="s">
        <v>839</v>
      </c>
      <c r="D169" s="62" t="s">
        <v>849</v>
      </c>
      <c r="E169" s="62" t="s">
        <v>102</v>
      </c>
      <c r="F169" s="62" t="s">
        <v>223</v>
      </c>
      <c r="G169" s="57" t="s">
        <v>1</v>
      </c>
      <c r="H169" s="57" t="s">
        <v>1</v>
      </c>
      <c r="I169" s="57" t="s">
        <v>1</v>
      </c>
      <c r="J169" s="57" t="s">
        <v>1</v>
      </c>
      <c r="K169" s="57" t="s">
        <v>1</v>
      </c>
      <c r="L169" s="23" t="str">
        <f t="shared" si="23"/>
        <v>Materialidades</v>
      </c>
      <c r="M169" s="23" t="str">
        <f t="shared" si="24"/>
        <v>Materiais Pétreos</v>
      </c>
      <c r="N169" s="23" t="str">
        <f t="shared" si="25"/>
        <v>Pedras</v>
      </c>
      <c r="O169" s="23" t="str">
        <f t="shared" si="26"/>
        <v>Arenito</v>
      </c>
      <c r="P169" s="24" t="s">
        <v>227</v>
      </c>
      <c r="Q169" s="50" t="str">
        <f t="shared" si="27"/>
        <v>Se originó en la compactación y cementación de granos de arena. Compuesto principalmente por cuarzo y feldespato, cementado por sílice, carbonato o óxidos de hierro. Es poroso y de colores variados. Se utiliza en recubrimientos y depósitos de agua y aceite.</v>
      </c>
      <c r="R169" s="24" t="s">
        <v>1</v>
      </c>
      <c r="S169" s="24" t="str">
        <f t="shared" si="28"/>
        <v>Materialidades</v>
      </c>
      <c r="T169" s="24" t="str">
        <f t="shared" si="29"/>
        <v>Materiais Pétreos</v>
      </c>
      <c r="U169" s="24" t="str">
        <f t="shared" si="30"/>
        <v>Pedras</v>
      </c>
      <c r="V169" s="24" t="s">
        <v>835</v>
      </c>
      <c r="W169" s="58" t="str">
        <f t="shared" si="22"/>
        <v>Key-MAT-169</v>
      </c>
      <c r="X169" s="24" t="s">
        <v>586</v>
      </c>
      <c r="Y169" s="24" t="s">
        <v>587</v>
      </c>
      <c r="Z169" s="63" t="s">
        <v>727</v>
      </c>
      <c r="AA169" s="24" t="str">
        <f t="shared" si="32"/>
        <v>Originated in compaction and cementation of sand grains. Composed mainly of quartz and feldspar, cemented by silica, carbonate or iron oxides. It is porous and with varied colors. Used in coatings and water and oil reservoirs.</v>
      </c>
    </row>
    <row r="170" spans="1:27" ht="6.75" customHeight="1" x14ac:dyDescent="0.25">
      <c r="A170" s="55">
        <v>170</v>
      </c>
      <c r="B170" s="56" t="s">
        <v>838</v>
      </c>
      <c r="C170" s="53" t="s">
        <v>839</v>
      </c>
      <c r="D170" s="62" t="s">
        <v>849</v>
      </c>
      <c r="E170" s="62" t="s">
        <v>102</v>
      </c>
      <c r="F170" s="62" t="s">
        <v>224</v>
      </c>
      <c r="G170" s="57" t="s">
        <v>1</v>
      </c>
      <c r="H170" s="57" t="s">
        <v>1</v>
      </c>
      <c r="I170" s="57" t="s">
        <v>1</v>
      </c>
      <c r="J170" s="57" t="s">
        <v>1</v>
      </c>
      <c r="K170" s="57" t="s">
        <v>1</v>
      </c>
      <c r="L170" s="23" t="str">
        <f t="shared" si="23"/>
        <v>Materialidades</v>
      </c>
      <c r="M170" s="23" t="str">
        <f t="shared" si="24"/>
        <v>Materiais Pétreos</v>
      </c>
      <c r="N170" s="23" t="str">
        <f t="shared" si="25"/>
        <v>Pedras</v>
      </c>
      <c r="O170" s="23" t="str">
        <f t="shared" si="26"/>
        <v>Basalto</v>
      </c>
      <c r="P170" s="24" t="s">
        <v>228</v>
      </c>
      <c r="Q170" s="50" t="str">
        <f t="shared" si="27"/>
        <v>Se originó en lava volcánica enfriada rápidamente. Compuesto por silicatos de hierro y magnesio. Color oscuro, textura fina, muy resistente. Se utiliza en grava para hormigón, pavimentación y recubrimientos.</v>
      </c>
      <c r="R170" s="24" t="s">
        <v>1</v>
      </c>
      <c r="S170" s="24" t="str">
        <f t="shared" si="28"/>
        <v>Materialidades</v>
      </c>
      <c r="T170" s="24" t="str">
        <f t="shared" si="29"/>
        <v>Materiais Pétreos</v>
      </c>
      <c r="U170" s="24" t="str">
        <f t="shared" si="30"/>
        <v>Pedras</v>
      </c>
      <c r="V170" s="24" t="s">
        <v>835</v>
      </c>
      <c r="W170" s="58" t="str">
        <f t="shared" si="22"/>
        <v>Key-MAT-170</v>
      </c>
      <c r="X170" s="24" t="s">
        <v>586</v>
      </c>
      <c r="Y170" s="24" t="s">
        <v>587</v>
      </c>
      <c r="Z170" s="63" t="s">
        <v>728</v>
      </c>
      <c r="AA170" s="24" t="str">
        <f t="shared" si="32"/>
        <v>Originated in rapidly cooled volcanic lava. Composed of iron and magnesium silicates. Dark color, fine texture, very resistant. Used in gravel for concrete, paving and coatings.</v>
      </c>
    </row>
    <row r="171" spans="1:27" ht="6.75" customHeight="1" x14ac:dyDescent="0.25">
      <c r="A171" s="55">
        <v>171</v>
      </c>
      <c r="B171" s="56" t="s">
        <v>838</v>
      </c>
      <c r="C171" s="53" t="s">
        <v>839</v>
      </c>
      <c r="D171" s="62" t="s">
        <v>849</v>
      </c>
      <c r="E171" s="62" t="s">
        <v>102</v>
      </c>
      <c r="F171" s="62" t="s">
        <v>122</v>
      </c>
      <c r="G171" s="57" t="s">
        <v>1</v>
      </c>
      <c r="H171" s="57" t="s">
        <v>1</v>
      </c>
      <c r="I171" s="57" t="s">
        <v>1</v>
      </c>
      <c r="J171" s="57" t="s">
        <v>1</v>
      </c>
      <c r="K171" s="57" t="s">
        <v>1</v>
      </c>
      <c r="L171" s="23" t="str">
        <f t="shared" si="23"/>
        <v>Materialidades</v>
      </c>
      <c r="M171" s="23" t="str">
        <f t="shared" si="24"/>
        <v>Materiais Pétreos</v>
      </c>
      <c r="N171" s="23" t="str">
        <f t="shared" si="25"/>
        <v>Pedras</v>
      </c>
      <c r="O171" s="23" t="str">
        <f t="shared" si="26"/>
        <v xml:space="preserve">Travertino </v>
      </c>
      <c r="P171" s="24" t="s">
        <v>229</v>
      </c>
      <c r="Q171" s="50" t="str">
        <f t="shared" si="27"/>
        <v>Se originó en la precipitación de carbonato cálcico en manantiales termales y ambientes de cuevas. Compuesto por calcita, aragonita y limonita. Poroso con venas llamativas, tonos beige a marrones. Se utiliza para mejorar recubrimientos internos y exteriores, suelos, escaleras y columnas.</v>
      </c>
      <c r="R171" s="24" t="s">
        <v>1</v>
      </c>
      <c r="S171" s="24" t="str">
        <f t="shared" si="28"/>
        <v>Materialidades</v>
      </c>
      <c r="T171" s="24" t="str">
        <f t="shared" si="29"/>
        <v>Materiais Pétreos</v>
      </c>
      <c r="U171" s="24" t="str">
        <f t="shared" si="30"/>
        <v>Pedras</v>
      </c>
      <c r="V171" s="24" t="s">
        <v>835</v>
      </c>
      <c r="W171" s="58" t="str">
        <f t="shared" si="22"/>
        <v>Key-MAT-171</v>
      </c>
      <c r="X171" s="24" t="s">
        <v>586</v>
      </c>
      <c r="Y171" s="24" t="s">
        <v>587</v>
      </c>
      <c r="Z171" s="63" t="s">
        <v>728</v>
      </c>
      <c r="AA171" s="24" t="str">
        <f t="shared" si="32"/>
        <v>Originated in precipitation of calcium carbonate in hot springs and cave environments. Composed of calcite, aragonite and limonite. Porous with striking veins, beige to brown tones. Used to enhance internal and external coatings, floors, stairs, columns.</v>
      </c>
    </row>
    <row r="172" spans="1:27" ht="6.75" customHeight="1" x14ac:dyDescent="0.25">
      <c r="A172" s="55">
        <v>172</v>
      </c>
      <c r="B172" s="56" t="s">
        <v>838</v>
      </c>
      <c r="C172" s="53" t="s">
        <v>839</v>
      </c>
      <c r="D172" s="62" t="s">
        <v>850</v>
      </c>
      <c r="E172" s="62" t="s">
        <v>449</v>
      </c>
      <c r="F172" s="62" t="s">
        <v>365</v>
      </c>
      <c r="G172" s="57" t="s">
        <v>1</v>
      </c>
      <c r="H172" s="57" t="s">
        <v>1</v>
      </c>
      <c r="I172" s="57" t="s">
        <v>1</v>
      </c>
      <c r="J172" s="57" t="s">
        <v>1</v>
      </c>
      <c r="K172" s="57" t="s">
        <v>1</v>
      </c>
      <c r="L172" s="23" t="str">
        <f t="shared" si="23"/>
        <v>Materialidades</v>
      </c>
      <c r="M172" s="23" t="str">
        <f t="shared" si="24"/>
        <v>Materiais Petroquímicos</v>
      </c>
      <c r="N172" s="23" t="str">
        <f t="shared" si="25"/>
        <v>Refinados</v>
      </c>
      <c r="O172" s="23" t="str">
        <f t="shared" si="26"/>
        <v>Combustível</v>
      </c>
      <c r="P172" s="24" t="s">
        <v>365</v>
      </c>
      <c r="Q172" s="50" t="str">
        <f t="shared" si="27"/>
        <v>Combustible</v>
      </c>
      <c r="R172" s="24" t="s">
        <v>1</v>
      </c>
      <c r="S172" s="24" t="str">
        <f t="shared" si="28"/>
        <v>Materialidades</v>
      </c>
      <c r="T172" s="24" t="str">
        <f t="shared" si="29"/>
        <v>Materiais Petroquímicos</v>
      </c>
      <c r="U172" s="24" t="str">
        <f t="shared" si="30"/>
        <v>Refinados</v>
      </c>
      <c r="V172" s="24" t="s">
        <v>835</v>
      </c>
      <c r="W172" s="58" t="str">
        <f t="shared" si="22"/>
        <v>Key-MAT-172</v>
      </c>
      <c r="X172" s="24" t="s">
        <v>586</v>
      </c>
      <c r="Y172" s="24" t="s">
        <v>587</v>
      </c>
      <c r="Z172" s="24" t="s">
        <v>828</v>
      </c>
      <c r="AA172" s="24" t="str">
        <f t="shared" si="32"/>
        <v>Fuel</v>
      </c>
    </row>
    <row r="173" spans="1:27" ht="6.75" customHeight="1" x14ac:dyDescent="0.25">
      <c r="A173" s="55">
        <v>173</v>
      </c>
      <c r="B173" s="56" t="s">
        <v>838</v>
      </c>
      <c r="C173" s="53" t="s">
        <v>839</v>
      </c>
      <c r="D173" s="62" t="s">
        <v>850</v>
      </c>
      <c r="E173" s="62" t="s">
        <v>449</v>
      </c>
      <c r="F173" s="53" t="s">
        <v>372</v>
      </c>
      <c r="G173" s="57" t="s">
        <v>1</v>
      </c>
      <c r="H173" s="57" t="s">
        <v>1</v>
      </c>
      <c r="I173" s="57" t="s">
        <v>1</v>
      </c>
      <c r="J173" s="57" t="s">
        <v>1</v>
      </c>
      <c r="K173" s="57" t="s">
        <v>1</v>
      </c>
      <c r="L173" s="23" t="str">
        <f t="shared" si="23"/>
        <v>Materialidades</v>
      </c>
      <c r="M173" s="23" t="str">
        <f t="shared" si="24"/>
        <v>Materiais Petroquímicos</v>
      </c>
      <c r="N173" s="23" t="str">
        <f t="shared" si="25"/>
        <v>Refinados</v>
      </c>
      <c r="O173" s="23" t="str">
        <f t="shared" si="26"/>
        <v>Parafina</v>
      </c>
      <c r="P173" s="24" t="s">
        <v>372</v>
      </c>
      <c r="Q173" s="50" t="str">
        <f t="shared" si="27"/>
        <v>Parafina</v>
      </c>
      <c r="R173" s="24" t="s">
        <v>1</v>
      </c>
      <c r="S173" s="24" t="str">
        <f t="shared" si="28"/>
        <v>Materialidades</v>
      </c>
      <c r="T173" s="24" t="str">
        <f t="shared" si="29"/>
        <v>Materiais Petroquímicos</v>
      </c>
      <c r="U173" s="24" t="str">
        <f t="shared" si="30"/>
        <v>Refinados</v>
      </c>
      <c r="V173" s="24" t="s">
        <v>835</v>
      </c>
      <c r="W173" s="58" t="str">
        <f t="shared" si="22"/>
        <v>Key-MAT-173</v>
      </c>
      <c r="X173" s="24" t="s">
        <v>586</v>
      </c>
      <c r="Y173" s="24" t="s">
        <v>587</v>
      </c>
      <c r="Z173" s="63" t="s">
        <v>729</v>
      </c>
      <c r="AA173" s="24" t="str">
        <f t="shared" si="32"/>
        <v>Paraffin</v>
      </c>
    </row>
    <row r="174" spans="1:27" ht="6.75" customHeight="1" x14ac:dyDescent="0.25">
      <c r="A174" s="55">
        <v>174</v>
      </c>
      <c r="B174" s="56" t="s">
        <v>838</v>
      </c>
      <c r="C174" s="53" t="s">
        <v>839</v>
      </c>
      <c r="D174" s="62" t="s">
        <v>850</v>
      </c>
      <c r="E174" s="62" t="s">
        <v>449</v>
      </c>
      <c r="F174" s="53" t="s">
        <v>422</v>
      </c>
      <c r="G174" s="57" t="s">
        <v>1</v>
      </c>
      <c r="H174" s="57" t="s">
        <v>1</v>
      </c>
      <c r="I174" s="57" t="s">
        <v>1</v>
      </c>
      <c r="J174" s="57" t="s">
        <v>1</v>
      </c>
      <c r="K174" s="57" t="s">
        <v>1</v>
      </c>
      <c r="L174" s="23" t="str">
        <f t="shared" si="23"/>
        <v>Materialidades</v>
      </c>
      <c r="M174" s="23" t="str">
        <f t="shared" si="24"/>
        <v>Materiais Petroquímicos</v>
      </c>
      <c r="N174" s="23" t="str">
        <f t="shared" si="25"/>
        <v>Refinados</v>
      </c>
      <c r="O174" s="23" t="str">
        <f t="shared" si="26"/>
        <v>Cera</v>
      </c>
      <c r="P174" s="24" t="s">
        <v>422</v>
      </c>
      <c r="Q174" s="50" t="str">
        <f t="shared" si="27"/>
        <v>Cera</v>
      </c>
      <c r="R174" s="24" t="s">
        <v>1</v>
      </c>
      <c r="S174" s="24" t="str">
        <f t="shared" si="28"/>
        <v>Materialidades</v>
      </c>
      <c r="T174" s="24" t="str">
        <f t="shared" si="29"/>
        <v>Materiais Petroquímicos</v>
      </c>
      <c r="U174" s="24" t="str">
        <f t="shared" si="30"/>
        <v>Refinados</v>
      </c>
      <c r="V174" s="24" t="s">
        <v>835</v>
      </c>
      <c r="W174" s="58" t="str">
        <f t="shared" si="22"/>
        <v>Key-MAT-174</v>
      </c>
      <c r="X174" s="24" t="s">
        <v>586</v>
      </c>
      <c r="Y174" s="24" t="s">
        <v>587</v>
      </c>
      <c r="Z174" s="63" t="s">
        <v>730</v>
      </c>
      <c r="AA174" s="24" t="str">
        <f t="shared" si="32"/>
        <v>Wax</v>
      </c>
    </row>
    <row r="175" spans="1:27" ht="6.75" customHeight="1" x14ac:dyDescent="0.25">
      <c r="A175" s="55">
        <v>175</v>
      </c>
      <c r="B175" s="56" t="s">
        <v>838</v>
      </c>
      <c r="C175" s="53" t="s">
        <v>839</v>
      </c>
      <c r="D175" s="62" t="s">
        <v>850</v>
      </c>
      <c r="E175" s="62" t="s">
        <v>449</v>
      </c>
      <c r="F175" s="53" t="s">
        <v>523</v>
      </c>
      <c r="G175" s="57" t="s">
        <v>1</v>
      </c>
      <c r="H175" s="57" t="s">
        <v>1</v>
      </c>
      <c r="I175" s="57" t="s">
        <v>1</v>
      </c>
      <c r="J175" s="57" t="s">
        <v>1</v>
      </c>
      <c r="K175" s="57" t="s">
        <v>1</v>
      </c>
      <c r="L175" s="23" t="str">
        <f t="shared" si="23"/>
        <v>Materialidades</v>
      </c>
      <c r="M175" s="23" t="str">
        <f t="shared" si="24"/>
        <v>Materiais Petroquímicos</v>
      </c>
      <c r="N175" s="23" t="str">
        <f t="shared" si="25"/>
        <v>Refinados</v>
      </c>
      <c r="O175" s="23" t="str">
        <f t="shared" si="26"/>
        <v>Gasolina</v>
      </c>
      <c r="P175" s="24" t="s">
        <v>523</v>
      </c>
      <c r="Q175" s="50" t="str">
        <f t="shared" si="27"/>
        <v>Gasolina</v>
      </c>
      <c r="R175" s="24" t="s">
        <v>1</v>
      </c>
      <c r="S175" s="24" t="str">
        <f t="shared" si="28"/>
        <v>Materialidades</v>
      </c>
      <c r="T175" s="24" t="str">
        <f t="shared" si="29"/>
        <v>Materiais Petroquímicos</v>
      </c>
      <c r="U175" s="24" t="str">
        <f t="shared" si="30"/>
        <v>Refinados</v>
      </c>
      <c r="V175" s="24" t="s">
        <v>835</v>
      </c>
      <c r="W175" s="58" t="str">
        <f t="shared" si="22"/>
        <v>Key-MAT-175</v>
      </c>
      <c r="X175" s="24" t="s">
        <v>586</v>
      </c>
      <c r="Y175" s="24" t="s">
        <v>587</v>
      </c>
      <c r="Z175" s="63" t="s">
        <v>731</v>
      </c>
      <c r="AA175" s="24" t="str">
        <f t="shared" si="32"/>
        <v>Gasoline</v>
      </c>
    </row>
    <row r="176" spans="1:27" ht="6.75" customHeight="1" x14ac:dyDescent="0.25">
      <c r="A176" s="55">
        <v>176</v>
      </c>
      <c r="B176" s="56" t="s">
        <v>838</v>
      </c>
      <c r="C176" s="53" t="s">
        <v>839</v>
      </c>
      <c r="D176" s="62" t="s">
        <v>850</v>
      </c>
      <c r="E176" s="62" t="s">
        <v>449</v>
      </c>
      <c r="F176" s="53" t="s">
        <v>524</v>
      </c>
      <c r="G176" s="57" t="s">
        <v>1</v>
      </c>
      <c r="H176" s="57" t="s">
        <v>1</v>
      </c>
      <c r="I176" s="57" t="s">
        <v>1</v>
      </c>
      <c r="J176" s="57" t="s">
        <v>1</v>
      </c>
      <c r="K176" s="57" t="s">
        <v>1</v>
      </c>
      <c r="L176" s="23" t="str">
        <f t="shared" si="23"/>
        <v>Materialidades</v>
      </c>
      <c r="M176" s="23" t="str">
        <f t="shared" si="24"/>
        <v>Materiais Petroquímicos</v>
      </c>
      <c r="N176" s="23" t="str">
        <f t="shared" si="25"/>
        <v>Refinados</v>
      </c>
      <c r="O176" s="23" t="str">
        <f t="shared" si="26"/>
        <v>Querosene</v>
      </c>
      <c r="P176" s="24" t="s">
        <v>524</v>
      </c>
      <c r="Q176" s="50" t="str">
        <f t="shared" si="27"/>
        <v>Queroseno</v>
      </c>
      <c r="R176" s="24" t="s">
        <v>1</v>
      </c>
      <c r="S176" s="24" t="str">
        <f t="shared" si="28"/>
        <v>Materialidades</v>
      </c>
      <c r="T176" s="24" t="str">
        <f t="shared" si="29"/>
        <v>Materiais Petroquímicos</v>
      </c>
      <c r="U176" s="24" t="str">
        <f t="shared" si="30"/>
        <v>Refinados</v>
      </c>
      <c r="V176" s="24" t="s">
        <v>835</v>
      </c>
      <c r="W176" s="58" t="str">
        <f t="shared" si="22"/>
        <v>Key-MAT-176</v>
      </c>
      <c r="X176" s="24" t="s">
        <v>586</v>
      </c>
      <c r="Y176" s="24" t="s">
        <v>587</v>
      </c>
      <c r="Z176" s="63" t="s">
        <v>732</v>
      </c>
      <c r="AA176" s="24" t="str">
        <f t="shared" si="32"/>
        <v>Kerosene</v>
      </c>
    </row>
    <row r="177" spans="1:27" ht="6.75" customHeight="1" x14ac:dyDescent="0.25">
      <c r="A177" s="55">
        <v>177</v>
      </c>
      <c r="B177" s="56" t="s">
        <v>838</v>
      </c>
      <c r="C177" s="53" t="s">
        <v>839</v>
      </c>
      <c r="D177" s="62" t="s">
        <v>850</v>
      </c>
      <c r="E177" s="62" t="s">
        <v>449</v>
      </c>
      <c r="F177" s="53" t="s">
        <v>534</v>
      </c>
      <c r="G177" s="57" t="s">
        <v>1</v>
      </c>
      <c r="H177" s="57" t="s">
        <v>1</v>
      </c>
      <c r="I177" s="57" t="s">
        <v>1</v>
      </c>
      <c r="J177" s="57" t="s">
        <v>1</v>
      </c>
      <c r="K177" s="57" t="s">
        <v>1</v>
      </c>
      <c r="L177" s="23" t="str">
        <f t="shared" si="23"/>
        <v>Materialidades</v>
      </c>
      <c r="M177" s="23" t="str">
        <f t="shared" si="24"/>
        <v>Materiais Petroquímicos</v>
      </c>
      <c r="N177" s="23" t="str">
        <f t="shared" si="25"/>
        <v>Refinados</v>
      </c>
      <c r="O177" s="23" t="str">
        <f t="shared" si="26"/>
        <v>Oleo Diesel</v>
      </c>
      <c r="P177" s="24" t="s">
        <v>557</v>
      </c>
      <c r="Q177" s="50" t="str">
        <f t="shared" si="27"/>
        <v>Diésel</v>
      </c>
      <c r="R177" s="24" t="s">
        <v>1</v>
      </c>
      <c r="S177" s="24" t="str">
        <f t="shared" si="28"/>
        <v>Materialidades</v>
      </c>
      <c r="T177" s="24" t="str">
        <f t="shared" si="29"/>
        <v>Materiais Petroquímicos</v>
      </c>
      <c r="U177" s="24" t="str">
        <f t="shared" si="30"/>
        <v>Refinados</v>
      </c>
      <c r="V177" s="24" t="s">
        <v>835</v>
      </c>
      <c r="W177" s="58" t="str">
        <f t="shared" si="22"/>
        <v>Key-MAT-177</v>
      </c>
      <c r="X177" s="24" t="s">
        <v>586</v>
      </c>
      <c r="Y177" s="24" t="s">
        <v>587</v>
      </c>
      <c r="Z177" s="63" t="s">
        <v>733</v>
      </c>
      <c r="AA177" s="24" t="str">
        <f t="shared" si="32"/>
        <v>Diesel Oil</v>
      </c>
    </row>
    <row r="178" spans="1:27" ht="6.75" customHeight="1" x14ac:dyDescent="0.25">
      <c r="A178" s="55">
        <v>178</v>
      </c>
      <c r="B178" s="56" t="s">
        <v>838</v>
      </c>
      <c r="C178" s="53" t="s">
        <v>839</v>
      </c>
      <c r="D178" s="62" t="s">
        <v>850</v>
      </c>
      <c r="E178" s="62" t="s">
        <v>449</v>
      </c>
      <c r="F178" s="53" t="s">
        <v>535</v>
      </c>
      <c r="G178" s="57" t="s">
        <v>1</v>
      </c>
      <c r="H178" s="57" t="s">
        <v>1</v>
      </c>
      <c r="I178" s="57" t="s">
        <v>1</v>
      </c>
      <c r="J178" s="57" t="s">
        <v>1</v>
      </c>
      <c r="K178" s="57" t="s">
        <v>1</v>
      </c>
      <c r="L178" s="23" t="str">
        <f t="shared" si="23"/>
        <v>Materialidades</v>
      </c>
      <c r="M178" s="23" t="str">
        <f t="shared" si="24"/>
        <v>Materiais Petroquímicos</v>
      </c>
      <c r="N178" s="23" t="str">
        <f t="shared" si="25"/>
        <v>Refinados</v>
      </c>
      <c r="O178" s="23" t="str">
        <f t="shared" si="26"/>
        <v>Oleo Combustível</v>
      </c>
      <c r="P178" s="24" t="s">
        <v>558</v>
      </c>
      <c r="Q178" s="50" t="str">
        <f t="shared" si="27"/>
        <v>Fuelóleo</v>
      </c>
      <c r="R178" s="24" t="s">
        <v>1</v>
      </c>
      <c r="S178" s="24" t="str">
        <f t="shared" si="28"/>
        <v>Materialidades</v>
      </c>
      <c r="T178" s="24" t="str">
        <f t="shared" si="29"/>
        <v>Materiais Petroquímicos</v>
      </c>
      <c r="U178" s="24" t="str">
        <f t="shared" si="30"/>
        <v>Refinados</v>
      </c>
      <c r="V178" s="24" t="s">
        <v>835</v>
      </c>
      <c r="W178" s="58" t="str">
        <f t="shared" si="22"/>
        <v>Key-MAT-178</v>
      </c>
      <c r="X178" s="24" t="s">
        <v>586</v>
      </c>
      <c r="Y178" s="24" t="s">
        <v>587</v>
      </c>
      <c r="Z178" s="63" t="s">
        <v>734</v>
      </c>
      <c r="AA178" s="24" t="str">
        <f t="shared" si="32"/>
        <v>Fuel Oil</v>
      </c>
    </row>
    <row r="179" spans="1:27" ht="6.75" customHeight="1" x14ac:dyDescent="0.25">
      <c r="A179" s="55">
        <v>179</v>
      </c>
      <c r="B179" s="56" t="s">
        <v>838</v>
      </c>
      <c r="C179" s="53" t="s">
        <v>839</v>
      </c>
      <c r="D179" s="62" t="s">
        <v>850</v>
      </c>
      <c r="E179" s="62" t="s">
        <v>449</v>
      </c>
      <c r="F179" s="53" t="s">
        <v>536</v>
      </c>
      <c r="G179" s="57" t="s">
        <v>1</v>
      </c>
      <c r="H179" s="57" t="s">
        <v>1</v>
      </c>
      <c r="I179" s="57" t="s">
        <v>1</v>
      </c>
      <c r="J179" s="57" t="s">
        <v>1</v>
      </c>
      <c r="K179" s="57" t="s">
        <v>1</v>
      </c>
      <c r="L179" s="23" t="str">
        <f t="shared" si="23"/>
        <v>Materialidades</v>
      </c>
      <c r="M179" s="23" t="str">
        <f t="shared" si="24"/>
        <v>Materiais Petroquímicos</v>
      </c>
      <c r="N179" s="23" t="str">
        <f t="shared" si="25"/>
        <v>Refinados</v>
      </c>
      <c r="O179" s="23" t="str">
        <f t="shared" si="26"/>
        <v>Oleo Mineral</v>
      </c>
      <c r="P179" s="24" t="s">
        <v>559</v>
      </c>
      <c r="Q179" s="50" t="str">
        <f t="shared" si="27"/>
        <v>Aceite mineral</v>
      </c>
      <c r="R179" s="24" t="s">
        <v>1</v>
      </c>
      <c r="S179" s="24" t="str">
        <f t="shared" si="28"/>
        <v>Materialidades</v>
      </c>
      <c r="T179" s="24" t="str">
        <f t="shared" si="29"/>
        <v>Materiais Petroquímicos</v>
      </c>
      <c r="U179" s="24" t="str">
        <f t="shared" si="30"/>
        <v>Refinados</v>
      </c>
      <c r="V179" s="24" t="s">
        <v>835</v>
      </c>
      <c r="W179" s="58" t="str">
        <f t="shared" si="22"/>
        <v>Key-MAT-179</v>
      </c>
      <c r="X179" s="24" t="s">
        <v>586</v>
      </c>
      <c r="Y179" s="24" t="s">
        <v>587</v>
      </c>
      <c r="Z179" s="63" t="s">
        <v>735</v>
      </c>
      <c r="AA179" s="24" t="str">
        <f t="shared" si="32"/>
        <v>Mineral Oil</v>
      </c>
    </row>
    <row r="180" spans="1:27" ht="6.75" customHeight="1" x14ac:dyDescent="0.25">
      <c r="A180" s="55">
        <v>180</v>
      </c>
      <c r="B180" s="56" t="s">
        <v>838</v>
      </c>
      <c r="C180" s="53" t="s">
        <v>839</v>
      </c>
      <c r="D180" s="62" t="s">
        <v>851</v>
      </c>
      <c r="E180" s="62" t="s">
        <v>129</v>
      </c>
      <c r="F180" s="53" t="s">
        <v>128</v>
      </c>
      <c r="G180" s="57" t="s">
        <v>1</v>
      </c>
      <c r="H180" s="57" t="s">
        <v>1</v>
      </c>
      <c r="I180" s="57" t="s">
        <v>1</v>
      </c>
      <c r="J180" s="57" t="s">
        <v>1</v>
      </c>
      <c r="K180" s="57" t="s">
        <v>1</v>
      </c>
      <c r="L180" s="23" t="str">
        <f t="shared" si="23"/>
        <v>Materialidades</v>
      </c>
      <c r="M180" s="23" t="str">
        <f t="shared" si="24"/>
        <v>Matérias Primas</v>
      </c>
      <c r="N180" s="23" t="str">
        <f t="shared" si="25"/>
        <v>Argilas</v>
      </c>
      <c r="O180" s="23" t="str">
        <f t="shared" si="26"/>
        <v>Argila Refratária</v>
      </c>
      <c r="P180" s="24" t="s">
        <v>249</v>
      </c>
      <c r="Q180" s="50" t="str">
        <f t="shared" si="27"/>
        <v>Resiste las altas temperaturas. Se usa para ladrillos refractarios y hornos.</v>
      </c>
      <c r="R180" s="24" t="s">
        <v>1</v>
      </c>
      <c r="S180" s="24" t="str">
        <f t="shared" si="28"/>
        <v>Materialidades</v>
      </c>
      <c r="T180" s="24" t="str">
        <f t="shared" si="29"/>
        <v>Matérias Primas</v>
      </c>
      <c r="U180" s="24" t="str">
        <f t="shared" si="30"/>
        <v>Argilas</v>
      </c>
      <c r="V180" s="24" t="s">
        <v>835</v>
      </c>
      <c r="W180" s="58" t="str">
        <f t="shared" si="22"/>
        <v>Key-MAT-180</v>
      </c>
      <c r="X180" s="24" t="s">
        <v>586</v>
      </c>
      <c r="Y180" s="24" t="s">
        <v>587</v>
      </c>
      <c r="Z180" s="63" t="s">
        <v>736</v>
      </c>
      <c r="AA180" s="24" t="str">
        <f t="shared" si="32"/>
        <v>Resists high temperatures. Used for refractory bricks and furnaces.</v>
      </c>
    </row>
    <row r="181" spans="1:27" ht="6.75" customHeight="1" x14ac:dyDescent="0.25">
      <c r="A181" s="55">
        <v>181</v>
      </c>
      <c r="B181" s="56" t="s">
        <v>838</v>
      </c>
      <c r="C181" s="53" t="s">
        <v>839</v>
      </c>
      <c r="D181" s="62" t="s">
        <v>851</v>
      </c>
      <c r="E181" s="62" t="s">
        <v>129</v>
      </c>
      <c r="F181" s="53" t="s">
        <v>246</v>
      </c>
      <c r="G181" s="57" t="s">
        <v>1</v>
      </c>
      <c r="H181" s="57" t="s">
        <v>1</v>
      </c>
      <c r="I181" s="57" t="s">
        <v>1</v>
      </c>
      <c r="J181" s="57" t="s">
        <v>1</v>
      </c>
      <c r="K181" s="57" t="s">
        <v>1</v>
      </c>
      <c r="L181" s="23" t="str">
        <f t="shared" si="23"/>
        <v>Materialidades</v>
      </c>
      <c r="M181" s="23" t="str">
        <f t="shared" si="24"/>
        <v>Matérias Primas</v>
      </c>
      <c r="N181" s="23" t="str">
        <f t="shared" si="25"/>
        <v>Argilas</v>
      </c>
      <c r="O181" s="23" t="str">
        <f t="shared" si="26"/>
        <v>Argila Bentonita</v>
      </c>
      <c r="P181" s="24" t="s">
        <v>252</v>
      </c>
      <c r="Q181" s="50" t="str">
        <f t="shared" si="27"/>
        <v>Se utiliza en perforaciones de pozos, sellado e impermeabilización.</v>
      </c>
      <c r="R181" s="24" t="s">
        <v>1</v>
      </c>
      <c r="S181" s="24" t="str">
        <f t="shared" si="28"/>
        <v>Materialidades</v>
      </c>
      <c r="T181" s="24" t="str">
        <f t="shared" si="29"/>
        <v>Matérias Primas</v>
      </c>
      <c r="U181" s="24" t="str">
        <f t="shared" si="30"/>
        <v>Argilas</v>
      </c>
      <c r="V181" s="24" t="s">
        <v>835</v>
      </c>
      <c r="W181" s="58" t="str">
        <f t="shared" si="22"/>
        <v>Key-MAT-181</v>
      </c>
      <c r="X181" s="24" t="s">
        <v>586</v>
      </c>
      <c r="Y181" s="24" t="s">
        <v>587</v>
      </c>
      <c r="Z181" s="63" t="s">
        <v>737</v>
      </c>
      <c r="AA181" s="24" t="str">
        <f t="shared" si="32"/>
        <v>Used in well drilling, sealing and waterproofing.</v>
      </c>
    </row>
    <row r="182" spans="1:27" ht="6.75" customHeight="1" x14ac:dyDescent="0.25">
      <c r="A182" s="55">
        <v>182</v>
      </c>
      <c r="B182" s="56" t="s">
        <v>838</v>
      </c>
      <c r="C182" s="53" t="s">
        <v>839</v>
      </c>
      <c r="D182" s="62" t="s">
        <v>851</v>
      </c>
      <c r="E182" s="62" t="s">
        <v>129</v>
      </c>
      <c r="F182" s="53" t="s">
        <v>247</v>
      </c>
      <c r="G182" s="57" t="s">
        <v>1</v>
      </c>
      <c r="H182" s="57" t="s">
        <v>1</v>
      </c>
      <c r="I182" s="57" t="s">
        <v>1</v>
      </c>
      <c r="J182" s="57" t="s">
        <v>1</v>
      </c>
      <c r="K182" s="57" t="s">
        <v>1</v>
      </c>
      <c r="L182" s="23" t="str">
        <f t="shared" si="23"/>
        <v>Materialidades</v>
      </c>
      <c r="M182" s="23" t="str">
        <f t="shared" si="24"/>
        <v>Matérias Primas</v>
      </c>
      <c r="N182" s="23" t="str">
        <f t="shared" si="25"/>
        <v>Argilas</v>
      </c>
      <c r="O182" s="23" t="str">
        <f t="shared" si="26"/>
        <v>Argila Expansiva</v>
      </c>
      <c r="P182" s="24" t="s">
        <v>253</v>
      </c>
      <c r="Q182" s="50" t="str">
        <f t="shared" si="27"/>
        <v>Buena plasticidad y retención de líquidos. Alta capacidad de absorción y expansión.</v>
      </c>
      <c r="R182" s="24" t="s">
        <v>1</v>
      </c>
      <c r="S182" s="24" t="str">
        <f t="shared" si="28"/>
        <v>Materialidades</v>
      </c>
      <c r="T182" s="24" t="str">
        <f t="shared" si="29"/>
        <v>Matérias Primas</v>
      </c>
      <c r="U182" s="24" t="str">
        <f t="shared" si="30"/>
        <v>Argilas</v>
      </c>
      <c r="V182" s="24" t="s">
        <v>835</v>
      </c>
      <c r="W182" s="58" t="str">
        <f t="shared" si="22"/>
        <v>Key-MAT-182</v>
      </c>
      <c r="X182" s="24" t="s">
        <v>586</v>
      </c>
      <c r="Y182" s="24" t="s">
        <v>587</v>
      </c>
      <c r="Z182" s="63" t="s">
        <v>738</v>
      </c>
      <c r="AA182" s="24" t="str">
        <f t="shared" si="32"/>
        <v>Good plasticity and water retention. High absorption and expansion capacity.</v>
      </c>
    </row>
    <row r="183" spans="1:27" ht="6.75" customHeight="1" x14ac:dyDescent="0.25">
      <c r="A183" s="55">
        <v>183</v>
      </c>
      <c r="B183" s="56" t="s">
        <v>838</v>
      </c>
      <c r="C183" s="53" t="s">
        <v>839</v>
      </c>
      <c r="D183" s="62" t="s">
        <v>851</v>
      </c>
      <c r="E183" s="62" t="s">
        <v>129</v>
      </c>
      <c r="F183" s="53" t="s">
        <v>127</v>
      </c>
      <c r="G183" s="57" t="s">
        <v>1</v>
      </c>
      <c r="H183" s="57" t="s">
        <v>1</v>
      </c>
      <c r="I183" s="57" t="s">
        <v>1</v>
      </c>
      <c r="J183" s="57" t="s">
        <v>1</v>
      </c>
      <c r="K183" s="57" t="s">
        <v>1</v>
      </c>
      <c r="L183" s="23" t="str">
        <f t="shared" si="23"/>
        <v>Materialidades</v>
      </c>
      <c r="M183" s="23" t="str">
        <f t="shared" si="24"/>
        <v>Matérias Primas</v>
      </c>
      <c r="N183" s="23" t="str">
        <f t="shared" si="25"/>
        <v>Argilas</v>
      </c>
      <c r="O183" s="23" t="str">
        <f t="shared" si="26"/>
        <v>Argila Vermelha</v>
      </c>
      <c r="P183" s="24" t="s">
        <v>250</v>
      </c>
      <c r="Q183" s="50" t="str">
        <f t="shared" si="27"/>
        <v>Rico en óxidos de hierro, de color rojizo.</v>
      </c>
      <c r="R183" s="24" t="s">
        <v>1</v>
      </c>
      <c r="S183" s="24" t="str">
        <f t="shared" si="28"/>
        <v>Materialidades</v>
      </c>
      <c r="T183" s="24" t="str">
        <f t="shared" si="29"/>
        <v>Matérias Primas</v>
      </c>
      <c r="U183" s="24" t="str">
        <f t="shared" si="30"/>
        <v>Argilas</v>
      </c>
      <c r="V183" s="24" t="s">
        <v>835</v>
      </c>
      <c r="W183" s="58" t="str">
        <f t="shared" si="22"/>
        <v>Key-MAT-183</v>
      </c>
      <c r="X183" s="24" t="s">
        <v>586</v>
      </c>
      <c r="Y183" s="24" t="s">
        <v>587</v>
      </c>
      <c r="Z183" s="63" t="s">
        <v>636</v>
      </c>
      <c r="AA183" s="24" t="str">
        <f t="shared" si="32"/>
        <v>Rich in iron oxides, reddish in color.</v>
      </c>
    </row>
    <row r="184" spans="1:27" ht="6.75" customHeight="1" x14ac:dyDescent="0.25">
      <c r="A184" s="55">
        <v>184</v>
      </c>
      <c r="B184" s="56" t="s">
        <v>838</v>
      </c>
      <c r="C184" s="53" t="s">
        <v>839</v>
      </c>
      <c r="D184" s="62" t="s">
        <v>851</v>
      </c>
      <c r="E184" s="62" t="s">
        <v>129</v>
      </c>
      <c r="F184" s="53" t="s">
        <v>248</v>
      </c>
      <c r="G184" s="57" t="s">
        <v>1</v>
      </c>
      <c r="H184" s="57" t="s">
        <v>1</v>
      </c>
      <c r="I184" s="57" t="s">
        <v>1</v>
      </c>
      <c r="J184" s="57" t="s">
        <v>1</v>
      </c>
      <c r="K184" s="57" t="s">
        <v>1</v>
      </c>
      <c r="L184" s="23" t="str">
        <f t="shared" si="23"/>
        <v>Materialidades</v>
      </c>
      <c r="M184" s="23" t="str">
        <f t="shared" si="24"/>
        <v>Matérias Primas</v>
      </c>
      <c r="N184" s="23" t="str">
        <f t="shared" si="25"/>
        <v>Argilas</v>
      </c>
      <c r="O184" s="23" t="str">
        <f t="shared" si="26"/>
        <v>Argila Ilita</v>
      </c>
      <c r="P184" s="24" t="s">
        <v>254</v>
      </c>
      <c r="Q184" s="50" t="str">
        <f t="shared" si="27"/>
        <v>Contiene mica, buena resistencia mecánica, usada en cerámica roja.</v>
      </c>
      <c r="R184" s="24" t="s">
        <v>1</v>
      </c>
      <c r="S184" s="24" t="str">
        <f t="shared" si="28"/>
        <v>Materialidades</v>
      </c>
      <c r="T184" s="24" t="str">
        <f t="shared" si="29"/>
        <v>Matérias Primas</v>
      </c>
      <c r="U184" s="24" t="str">
        <f t="shared" si="30"/>
        <v>Argilas</v>
      </c>
      <c r="V184" s="24" t="s">
        <v>835</v>
      </c>
      <c r="W184" s="58" t="str">
        <f t="shared" si="22"/>
        <v>Key-MAT-184</v>
      </c>
      <c r="X184" s="24" t="s">
        <v>586</v>
      </c>
      <c r="Y184" s="24" t="s">
        <v>587</v>
      </c>
      <c r="Z184" s="63" t="s">
        <v>739</v>
      </c>
      <c r="AA184" s="24" t="str">
        <f t="shared" si="32"/>
        <v>Contains mica, good mechanical resistance, used in red ceramic.</v>
      </c>
    </row>
    <row r="185" spans="1:27" ht="6.75" customHeight="1" x14ac:dyDescent="0.25">
      <c r="A185" s="55">
        <v>185</v>
      </c>
      <c r="B185" s="56" t="s">
        <v>838</v>
      </c>
      <c r="C185" s="53" t="s">
        <v>839</v>
      </c>
      <c r="D185" s="62" t="s">
        <v>851</v>
      </c>
      <c r="E185" s="62" t="s">
        <v>129</v>
      </c>
      <c r="F185" s="53" t="s">
        <v>245</v>
      </c>
      <c r="G185" s="57" t="s">
        <v>1</v>
      </c>
      <c r="H185" s="57" t="s">
        <v>1</v>
      </c>
      <c r="I185" s="57" t="s">
        <v>1</v>
      </c>
      <c r="J185" s="57" t="s">
        <v>1</v>
      </c>
      <c r="K185" s="57" t="s">
        <v>1</v>
      </c>
      <c r="L185" s="23" t="str">
        <f t="shared" si="23"/>
        <v>Materialidades</v>
      </c>
      <c r="M185" s="23" t="str">
        <f t="shared" si="24"/>
        <v>Matérias Primas</v>
      </c>
      <c r="N185" s="23" t="str">
        <f t="shared" si="25"/>
        <v>Argilas</v>
      </c>
      <c r="O185" s="23" t="str">
        <f t="shared" si="26"/>
        <v>Argila Caulim</v>
      </c>
      <c r="P185" s="24" t="s">
        <v>251</v>
      </c>
      <c r="Q185" s="50" t="str">
        <f t="shared" si="27"/>
        <v>Rico en caolinita, de color blanco. Se utiliza en porcelana, papel y cemento.</v>
      </c>
      <c r="R185" s="24" t="s">
        <v>1</v>
      </c>
      <c r="S185" s="24" t="str">
        <f t="shared" si="28"/>
        <v>Materialidades</v>
      </c>
      <c r="T185" s="24" t="str">
        <f t="shared" si="29"/>
        <v>Matérias Primas</v>
      </c>
      <c r="U185" s="24" t="str">
        <f t="shared" si="30"/>
        <v>Argilas</v>
      </c>
      <c r="V185" s="24" t="s">
        <v>835</v>
      </c>
      <c r="W185" s="58" t="str">
        <f t="shared" si="22"/>
        <v>Key-MAT-185</v>
      </c>
      <c r="X185" s="24" t="s">
        <v>586</v>
      </c>
      <c r="Y185" s="24" t="s">
        <v>587</v>
      </c>
      <c r="Z185" s="63" t="s">
        <v>637</v>
      </c>
      <c r="AA185" s="24" t="str">
        <f t="shared" si="32"/>
        <v>Rich in kaolinite, white in color. Used in porcelain, paper and cement.</v>
      </c>
    </row>
    <row r="186" spans="1:27" ht="6.75" customHeight="1" x14ac:dyDescent="0.25">
      <c r="A186" s="55">
        <v>186</v>
      </c>
      <c r="B186" s="56" t="s">
        <v>838</v>
      </c>
      <c r="C186" s="53" t="s">
        <v>839</v>
      </c>
      <c r="D186" s="62" t="s">
        <v>851</v>
      </c>
      <c r="E186" s="62" t="s">
        <v>423</v>
      </c>
      <c r="F186" s="53" t="s">
        <v>371</v>
      </c>
      <c r="G186" s="57" t="s">
        <v>1</v>
      </c>
      <c r="H186" s="57" t="s">
        <v>1</v>
      </c>
      <c r="I186" s="57" t="s">
        <v>1</v>
      </c>
      <c r="J186" s="57" t="s">
        <v>1</v>
      </c>
      <c r="K186" s="57" t="s">
        <v>1</v>
      </c>
      <c r="L186" s="23" t="str">
        <f t="shared" si="23"/>
        <v>Materialidades</v>
      </c>
      <c r="M186" s="23" t="str">
        <f t="shared" si="24"/>
        <v>Matérias Primas</v>
      </c>
      <c r="N186" s="23" t="str">
        <f t="shared" si="25"/>
        <v>Asfálticas</v>
      </c>
      <c r="O186" s="23" t="str">
        <f t="shared" si="26"/>
        <v>Asfalto</v>
      </c>
      <c r="P186" s="24" t="s">
        <v>371</v>
      </c>
      <c r="Q186" s="50" t="str">
        <f t="shared" si="27"/>
        <v>Asfalto</v>
      </c>
      <c r="R186" s="24" t="s">
        <v>1</v>
      </c>
      <c r="S186" s="24" t="str">
        <f t="shared" si="28"/>
        <v>Materialidades</v>
      </c>
      <c r="T186" s="24" t="str">
        <f t="shared" si="29"/>
        <v>Matérias Primas</v>
      </c>
      <c r="U186" s="24" t="str">
        <f t="shared" si="30"/>
        <v>Asfálticas</v>
      </c>
      <c r="V186" s="24" t="s">
        <v>835</v>
      </c>
      <c r="W186" s="58" t="str">
        <f t="shared" si="22"/>
        <v>Key-MAT-186</v>
      </c>
      <c r="X186" s="24" t="s">
        <v>586</v>
      </c>
      <c r="Y186" s="24" t="s">
        <v>587</v>
      </c>
      <c r="Z186" s="63" t="s">
        <v>740</v>
      </c>
      <c r="AA186" s="24" t="str">
        <f t="shared" si="32"/>
        <v>Asphalt</v>
      </c>
    </row>
    <row r="187" spans="1:27" ht="6.75" customHeight="1" x14ac:dyDescent="0.25">
      <c r="A187" s="55">
        <v>187</v>
      </c>
      <c r="B187" s="56" t="s">
        <v>838</v>
      </c>
      <c r="C187" s="53" t="s">
        <v>839</v>
      </c>
      <c r="D187" s="62" t="s">
        <v>851</v>
      </c>
      <c r="E187" s="62" t="s">
        <v>423</v>
      </c>
      <c r="F187" s="53" t="s">
        <v>575</v>
      </c>
      <c r="G187" s="57" t="s">
        <v>1</v>
      </c>
      <c r="H187" s="57" t="s">
        <v>1</v>
      </c>
      <c r="I187" s="57" t="s">
        <v>1</v>
      </c>
      <c r="J187" s="57" t="s">
        <v>1</v>
      </c>
      <c r="K187" s="57" t="s">
        <v>1</v>
      </c>
      <c r="L187" s="23" t="str">
        <f t="shared" si="23"/>
        <v>Materialidades</v>
      </c>
      <c r="M187" s="23" t="str">
        <f t="shared" si="24"/>
        <v>Matérias Primas</v>
      </c>
      <c r="N187" s="23" t="str">
        <f t="shared" si="25"/>
        <v>Asfálticas</v>
      </c>
      <c r="O187" s="23" t="str">
        <f t="shared" si="26"/>
        <v>Asfalto Polímerizado</v>
      </c>
      <c r="P187" s="24" t="s">
        <v>373</v>
      </c>
      <c r="Q187" s="50" t="str">
        <f t="shared" si="27"/>
        <v>Asfalto modificado con polímeros</v>
      </c>
      <c r="R187" s="24" t="s">
        <v>1</v>
      </c>
      <c r="S187" s="24" t="str">
        <f t="shared" si="28"/>
        <v>Materialidades</v>
      </c>
      <c r="T187" s="24" t="str">
        <f t="shared" si="29"/>
        <v>Matérias Primas</v>
      </c>
      <c r="U187" s="24" t="str">
        <f t="shared" si="30"/>
        <v>Asfálticas</v>
      </c>
      <c r="V187" s="24" t="s">
        <v>835</v>
      </c>
      <c r="W187" s="58" t="str">
        <f t="shared" si="22"/>
        <v>Key-MAT-187</v>
      </c>
      <c r="X187" s="24" t="s">
        <v>586</v>
      </c>
      <c r="Y187" s="24" t="s">
        <v>587</v>
      </c>
      <c r="Z187" s="63" t="s">
        <v>741</v>
      </c>
      <c r="AA187" s="24" t="str">
        <f t="shared" si="32"/>
        <v>Polymer Modified Asphalt</v>
      </c>
    </row>
    <row r="188" spans="1:27" ht="6.75" customHeight="1" x14ac:dyDescent="0.25">
      <c r="A188" s="55">
        <v>188</v>
      </c>
      <c r="B188" s="56" t="s">
        <v>838</v>
      </c>
      <c r="C188" s="53" t="s">
        <v>839</v>
      </c>
      <c r="D188" s="62" t="s">
        <v>851</v>
      </c>
      <c r="E188" s="62" t="s">
        <v>423</v>
      </c>
      <c r="F188" s="53" t="s">
        <v>576</v>
      </c>
      <c r="G188" s="57" t="s">
        <v>1</v>
      </c>
      <c r="H188" s="57" t="s">
        <v>1</v>
      </c>
      <c r="I188" s="57" t="s">
        <v>1</v>
      </c>
      <c r="J188" s="57" t="s">
        <v>1</v>
      </c>
      <c r="K188" s="57" t="s">
        <v>1</v>
      </c>
      <c r="L188" s="23" t="str">
        <f t="shared" si="23"/>
        <v>Materialidades</v>
      </c>
      <c r="M188" s="23" t="str">
        <f t="shared" si="24"/>
        <v>Matérias Primas</v>
      </c>
      <c r="N188" s="23" t="str">
        <f t="shared" si="25"/>
        <v>Asfálticas</v>
      </c>
      <c r="O188" s="23" t="str">
        <f t="shared" si="26"/>
        <v>Alcatrão</v>
      </c>
      <c r="P188" s="24" t="s">
        <v>374</v>
      </c>
      <c r="Q188" s="50" t="str">
        <f t="shared" si="27"/>
        <v>Alquitrán de carbón</v>
      </c>
      <c r="R188" s="24" t="s">
        <v>1</v>
      </c>
      <c r="S188" s="24" t="str">
        <f t="shared" si="28"/>
        <v>Materialidades</v>
      </c>
      <c r="T188" s="24" t="str">
        <f t="shared" si="29"/>
        <v>Matérias Primas</v>
      </c>
      <c r="U188" s="24" t="str">
        <f t="shared" si="30"/>
        <v>Asfálticas</v>
      </c>
      <c r="V188" s="24" t="s">
        <v>835</v>
      </c>
      <c r="W188" s="58" t="str">
        <f t="shared" si="22"/>
        <v>Key-MAT-188</v>
      </c>
      <c r="X188" s="24" t="s">
        <v>586</v>
      </c>
      <c r="Y188" s="24" t="s">
        <v>587</v>
      </c>
      <c r="Z188" s="63" t="s">
        <v>742</v>
      </c>
      <c r="AA188" s="24" t="str">
        <f t="shared" si="32"/>
        <v>Coal Tar</v>
      </c>
    </row>
    <row r="189" spans="1:27" ht="6.75" customHeight="1" x14ac:dyDescent="0.25">
      <c r="A189" s="55">
        <v>189</v>
      </c>
      <c r="B189" s="56" t="s">
        <v>838</v>
      </c>
      <c r="C189" s="53" t="s">
        <v>839</v>
      </c>
      <c r="D189" s="62" t="s">
        <v>851</v>
      </c>
      <c r="E189" s="62" t="s">
        <v>423</v>
      </c>
      <c r="F189" s="53" t="s">
        <v>577</v>
      </c>
      <c r="G189" s="57" t="s">
        <v>1</v>
      </c>
      <c r="H189" s="57" t="s">
        <v>1</v>
      </c>
      <c r="I189" s="57" t="s">
        <v>1</v>
      </c>
      <c r="J189" s="57" t="s">
        <v>1</v>
      </c>
      <c r="K189" s="57" t="s">
        <v>1</v>
      </c>
      <c r="L189" s="23" t="str">
        <f t="shared" si="23"/>
        <v>Materialidades</v>
      </c>
      <c r="M189" s="23" t="str">
        <f t="shared" si="24"/>
        <v>Matérias Primas</v>
      </c>
      <c r="N189" s="23" t="str">
        <f t="shared" si="25"/>
        <v>Asfálticas</v>
      </c>
      <c r="O189" s="23" t="str">
        <f t="shared" si="26"/>
        <v>Alcatrão Breu</v>
      </c>
      <c r="P189" s="24" t="s">
        <v>375</v>
      </c>
      <c r="Q189" s="50" t="str">
        <f t="shared" si="27"/>
        <v>Poa de alquitrán de carbón</v>
      </c>
      <c r="R189" s="24" t="s">
        <v>1</v>
      </c>
      <c r="S189" s="24" t="str">
        <f t="shared" si="28"/>
        <v>Materialidades</v>
      </c>
      <c r="T189" s="24" t="str">
        <f t="shared" si="29"/>
        <v>Matérias Primas</v>
      </c>
      <c r="U189" s="24" t="str">
        <f t="shared" si="30"/>
        <v>Asfálticas</v>
      </c>
      <c r="V189" s="24" t="s">
        <v>835</v>
      </c>
      <c r="W189" s="58" t="str">
        <f t="shared" si="22"/>
        <v>Key-MAT-189</v>
      </c>
      <c r="X189" s="24" t="s">
        <v>586</v>
      </c>
      <c r="Y189" s="24" t="s">
        <v>587</v>
      </c>
      <c r="Z189" s="63" t="s">
        <v>743</v>
      </c>
      <c r="AA189" s="24" t="str">
        <f t="shared" si="32"/>
        <v>Coal Tar Pitch</v>
      </c>
    </row>
    <row r="190" spans="1:27" ht="6.75" customHeight="1" x14ac:dyDescent="0.25">
      <c r="A190" s="55">
        <v>190</v>
      </c>
      <c r="B190" s="56" t="s">
        <v>838</v>
      </c>
      <c r="C190" s="53" t="s">
        <v>839</v>
      </c>
      <c r="D190" s="62" t="s">
        <v>851</v>
      </c>
      <c r="E190" s="62" t="s">
        <v>424</v>
      </c>
      <c r="F190" s="53" t="s">
        <v>124</v>
      </c>
      <c r="G190" s="57" t="s">
        <v>1</v>
      </c>
      <c r="H190" s="57" t="s">
        <v>1</v>
      </c>
      <c r="I190" s="57" t="s">
        <v>1</v>
      </c>
      <c r="J190" s="57" t="s">
        <v>1</v>
      </c>
      <c r="K190" s="57" t="s">
        <v>1</v>
      </c>
      <c r="L190" s="23" t="str">
        <f t="shared" si="23"/>
        <v>Materialidades</v>
      </c>
      <c r="M190" s="23" t="str">
        <f t="shared" si="24"/>
        <v>Matérias Primas</v>
      </c>
      <c r="N190" s="23" t="str">
        <f t="shared" si="25"/>
        <v>Cimenticias</v>
      </c>
      <c r="O190" s="23" t="str">
        <f t="shared" si="26"/>
        <v>CP I</v>
      </c>
      <c r="P190" s="50" t="s">
        <v>142</v>
      </c>
      <c r="Q190" s="50" t="str">
        <f t="shared" si="27"/>
        <v>Portland Common. Puro, sin añadidos más que yeso. Aplicaciones comunes.</v>
      </c>
      <c r="R190" s="24" t="s">
        <v>1</v>
      </c>
      <c r="S190" s="24" t="str">
        <f t="shared" si="28"/>
        <v>Materialidades</v>
      </c>
      <c r="T190" s="24" t="str">
        <f t="shared" si="29"/>
        <v>Matérias Primas</v>
      </c>
      <c r="U190" s="24" t="str">
        <f t="shared" si="30"/>
        <v>Cimenticias</v>
      </c>
      <c r="V190" s="24" t="s">
        <v>835</v>
      </c>
      <c r="W190" s="58" t="str">
        <f t="shared" si="22"/>
        <v>Key-MAT-190</v>
      </c>
      <c r="X190" s="24" t="s">
        <v>586</v>
      </c>
      <c r="Y190" s="24" t="s">
        <v>587</v>
      </c>
      <c r="Z190" s="63" t="s">
        <v>744</v>
      </c>
      <c r="AA190" s="24" t="str">
        <f t="shared" si="32"/>
        <v>Portland Common. Pure, with no additions other than plaster. Common Applications.</v>
      </c>
    </row>
    <row r="191" spans="1:27" ht="6.75" customHeight="1" x14ac:dyDescent="0.25">
      <c r="A191" s="55">
        <v>191</v>
      </c>
      <c r="B191" s="56" t="s">
        <v>838</v>
      </c>
      <c r="C191" s="53" t="s">
        <v>839</v>
      </c>
      <c r="D191" s="62" t="s">
        <v>851</v>
      </c>
      <c r="E191" s="62" t="s">
        <v>424</v>
      </c>
      <c r="F191" s="53" t="s">
        <v>232</v>
      </c>
      <c r="G191" s="57" t="s">
        <v>1</v>
      </c>
      <c r="H191" s="57" t="s">
        <v>1</v>
      </c>
      <c r="I191" s="57" t="s">
        <v>1</v>
      </c>
      <c r="J191" s="57" t="s">
        <v>1</v>
      </c>
      <c r="K191" s="57" t="s">
        <v>1</v>
      </c>
      <c r="L191" s="23" t="str">
        <f t="shared" si="23"/>
        <v>Materialidades</v>
      </c>
      <c r="M191" s="23" t="str">
        <f t="shared" si="24"/>
        <v>Matérias Primas</v>
      </c>
      <c r="N191" s="23" t="str">
        <f t="shared" si="25"/>
        <v>Cimenticias</v>
      </c>
      <c r="O191" s="23" t="str">
        <f t="shared" si="26"/>
        <v>CP IS</v>
      </c>
      <c r="P191" s="50" t="s">
        <v>143</v>
      </c>
      <c r="Q191" s="50" t="str">
        <f t="shared" si="27"/>
        <v>Portland Ordinary con ampliación. Hasta un 5% de material pozzolánico. Obras sencillas, sin exposición agresiva.</v>
      </c>
      <c r="R191" s="24" t="s">
        <v>1</v>
      </c>
      <c r="S191" s="24" t="str">
        <f t="shared" si="28"/>
        <v>Materialidades</v>
      </c>
      <c r="T191" s="24" t="str">
        <f t="shared" si="29"/>
        <v>Matérias Primas</v>
      </c>
      <c r="U191" s="24" t="str">
        <f t="shared" si="30"/>
        <v>Cimenticias</v>
      </c>
      <c r="V191" s="24" t="s">
        <v>835</v>
      </c>
      <c r="W191" s="58" t="str">
        <f t="shared" si="22"/>
        <v>Key-MAT-191</v>
      </c>
      <c r="X191" s="24" t="s">
        <v>586</v>
      </c>
      <c r="Y191" s="24" t="s">
        <v>587</v>
      </c>
      <c r="Z191" s="63" t="s">
        <v>745</v>
      </c>
      <c r="AA191" s="24" t="str">
        <f t="shared" si="32"/>
        <v>Portland Ordinary with Addition. Up to 5% pozzolanic material. Simple works, without aggressive exposure.</v>
      </c>
    </row>
    <row r="192" spans="1:27" ht="6.75" customHeight="1" x14ac:dyDescent="0.25">
      <c r="A192" s="55">
        <v>192</v>
      </c>
      <c r="B192" s="56" t="s">
        <v>838</v>
      </c>
      <c r="C192" s="53" t="s">
        <v>839</v>
      </c>
      <c r="D192" s="62" t="s">
        <v>851</v>
      </c>
      <c r="E192" s="62" t="s">
        <v>424</v>
      </c>
      <c r="F192" s="53" t="s">
        <v>233</v>
      </c>
      <c r="G192" s="57" t="s">
        <v>1</v>
      </c>
      <c r="H192" s="57" t="s">
        <v>1</v>
      </c>
      <c r="I192" s="57" t="s">
        <v>1</v>
      </c>
      <c r="J192" s="57" t="s">
        <v>1</v>
      </c>
      <c r="K192" s="57" t="s">
        <v>1</v>
      </c>
      <c r="L192" s="23" t="str">
        <f t="shared" si="23"/>
        <v>Materialidades</v>
      </c>
      <c r="M192" s="23" t="str">
        <f t="shared" si="24"/>
        <v>Matérias Primas</v>
      </c>
      <c r="N192" s="23" t="str">
        <f t="shared" si="25"/>
        <v>Cimenticias</v>
      </c>
      <c r="O192" s="23" t="str">
        <f t="shared" si="26"/>
        <v>CP IIE</v>
      </c>
      <c r="P192" s="50" t="s">
        <v>144</v>
      </c>
      <c r="Q192" s="50" t="str">
        <f t="shared" si="27"/>
        <v>Portland con escoria. Escoria granulada de alto horno (6–34%). Estructuras con menor permeabilidad.</v>
      </c>
      <c r="R192" s="24" t="s">
        <v>1</v>
      </c>
      <c r="S192" s="24" t="str">
        <f t="shared" si="28"/>
        <v>Materialidades</v>
      </c>
      <c r="T192" s="24" t="str">
        <f t="shared" si="29"/>
        <v>Matérias Primas</v>
      </c>
      <c r="U192" s="24" t="str">
        <f t="shared" si="30"/>
        <v>Cimenticias</v>
      </c>
      <c r="V192" s="24" t="s">
        <v>835</v>
      </c>
      <c r="W192" s="58" t="str">
        <f t="shared" si="22"/>
        <v>Key-MAT-192</v>
      </c>
      <c r="X192" s="24" t="s">
        <v>586</v>
      </c>
      <c r="Y192" s="24" t="s">
        <v>587</v>
      </c>
      <c r="Z192" s="63" t="s">
        <v>746</v>
      </c>
      <c r="AA192" s="24" t="str">
        <f t="shared" si="32"/>
        <v>Portland with Scum. Granulated blast furnace slag (6–34%). Structures with lower permeability.</v>
      </c>
    </row>
    <row r="193" spans="1:27" ht="6.75" customHeight="1" x14ac:dyDescent="0.25">
      <c r="A193" s="55">
        <v>193</v>
      </c>
      <c r="B193" s="56" t="s">
        <v>838</v>
      </c>
      <c r="C193" s="53" t="s">
        <v>839</v>
      </c>
      <c r="D193" s="62" t="s">
        <v>851</v>
      </c>
      <c r="E193" s="62" t="s">
        <v>424</v>
      </c>
      <c r="F193" s="53" t="s">
        <v>234</v>
      </c>
      <c r="G193" s="57" t="s">
        <v>1</v>
      </c>
      <c r="H193" s="57" t="s">
        <v>1</v>
      </c>
      <c r="I193" s="57" t="s">
        <v>1</v>
      </c>
      <c r="J193" s="57" t="s">
        <v>1</v>
      </c>
      <c r="K193" s="57" t="s">
        <v>1</v>
      </c>
      <c r="L193" s="23" t="str">
        <f t="shared" si="23"/>
        <v>Materialidades</v>
      </c>
      <c r="M193" s="23" t="str">
        <f t="shared" si="24"/>
        <v>Matérias Primas</v>
      </c>
      <c r="N193" s="23" t="str">
        <f t="shared" si="25"/>
        <v>Cimenticias</v>
      </c>
      <c r="O193" s="23" t="str">
        <f t="shared" si="26"/>
        <v>CP IIZ</v>
      </c>
      <c r="P193" s="50" t="s">
        <v>145</v>
      </c>
      <c r="Q193" s="50" t="str">
        <f t="shared" si="27"/>
        <v>Portland con Pozzolana. 6–14% pozolán. Estructuras que requieren menos calor o hidratación.</v>
      </c>
      <c r="R193" s="24" t="s">
        <v>1</v>
      </c>
      <c r="S193" s="24" t="str">
        <f t="shared" si="28"/>
        <v>Materialidades</v>
      </c>
      <c r="T193" s="24" t="str">
        <f t="shared" si="29"/>
        <v>Matérias Primas</v>
      </c>
      <c r="U193" s="24" t="str">
        <f t="shared" si="30"/>
        <v>Cimenticias</v>
      </c>
      <c r="V193" s="24" t="s">
        <v>835</v>
      </c>
      <c r="W193" s="58" t="str">
        <f t="shared" ref="W193:W256" si="33">CONCATENATE("Key-MAT-",A193)</f>
        <v>Key-MAT-193</v>
      </c>
      <c r="X193" s="24" t="s">
        <v>586</v>
      </c>
      <c r="Y193" s="24" t="s">
        <v>587</v>
      </c>
      <c r="Z193" s="63" t="s">
        <v>747</v>
      </c>
      <c r="AA193" s="24" t="str">
        <f t="shared" si="32"/>
        <v>Portland with Pozzolana. 6–14% pozzolan. Structures that require less heat of hydration.</v>
      </c>
    </row>
    <row r="194" spans="1:27" ht="6.75" customHeight="1" x14ac:dyDescent="0.25">
      <c r="A194" s="55">
        <v>194</v>
      </c>
      <c r="B194" s="56" t="s">
        <v>838</v>
      </c>
      <c r="C194" s="53" t="s">
        <v>839</v>
      </c>
      <c r="D194" s="62" t="s">
        <v>851</v>
      </c>
      <c r="E194" s="62" t="s">
        <v>424</v>
      </c>
      <c r="F194" s="53" t="s">
        <v>235</v>
      </c>
      <c r="G194" s="57" t="s">
        <v>1</v>
      </c>
      <c r="H194" s="57" t="s">
        <v>1</v>
      </c>
      <c r="I194" s="57" t="s">
        <v>1</v>
      </c>
      <c r="J194" s="57" t="s">
        <v>1</v>
      </c>
      <c r="K194" s="57" t="s">
        <v>1</v>
      </c>
      <c r="L194" s="23" t="str">
        <f t="shared" si="23"/>
        <v>Materialidades</v>
      </c>
      <c r="M194" s="23" t="str">
        <f t="shared" si="24"/>
        <v>Matérias Primas</v>
      </c>
      <c r="N194" s="23" t="str">
        <f t="shared" si="25"/>
        <v>Cimenticias</v>
      </c>
      <c r="O194" s="23" t="str">
        <f t="shared" si="26"/>
        <v>CP IIF</v>
      </c>
      <c r="P194" s="50" t="s">
        <v>146</v>
      </c>
      <c r="Q194" s="50" t="str">
        <f t="shared" si="27"/>
        <v>Portland con Fíler. Adición de relleno de piedra caliza (hasta un 10%). Obras marítimas, subterráneas e industriales.</v>
      </c>
      <c r="R194" s="24" t="s">
        <v>1</v>
      </c>
      <c r="S194" s="24" t="str">
        <f t="shared" si="28"/>
        <v>Materialidades</v>
      </c>
      <c r="T194" s="24" t="str">
        <f t="shared" si="29"/>
        <v>Matérias Primas</v>
      </c>
      <c r="U194" s="24" t="str">
        <f t="shared" si="30"/>
        <v>Cimenticias</v>
      </c>
      <c r="V194" s="24" t="s">
        <v>835</v>
      </c>
      <c r="W194" s="58" t="str">
        <f t="shared" si="33"/>
        <v>Key-MAT-194</v>
      </c>
      <c r="X194" s="24" t="s">
        <v>586</v>
      </c>
      <c r="Y194" s="24" t="s">
        <v>587</v>
      </c>
      <c r="Z194" s="63" t="s">
        <v>748</v>
      </c>
      <c r="AA194" s="24" t="str">
        <f t="shared" si="32"/>
        <v>Portland with Fíler. Addition of limestone filler (up to 10%). Maritime, underground and industrial works.</v>
      </c>
    </row>
    <row r="195" spans="1:27" ht="6.75" customHeight="1" x14ac:dyDescent="0.25">
      <c r="A195" s="55">
        <v>195</v>
      </c>
      <c r="B195" s="56" t="s">
        <v>838</v>
      </c>
      <c r="C195" s="53" t="s">
        <v>839</v>
      </c>
      <c r="D195" s="62" t="s">
        <v>851</v>
      </c>
      <c r="E195" s="62" t="s">
        <v>424</v>
      </c>
      <c r="F195" s="53" t="s">
        <v>125</v>
      </c>
      <c r="G195" s="57" t="s">
        <v>1</v>
      </c>
      <c r="H195" s="57" t="s">
        <v>1</v>
      </c>
      <c r="I195" s="57" t="s">
        <v>1</v>
      </c>
      <c r="J195" s="57" t="s">
        <v>1</v>
      </c>
      <c r="K195" s="57" t="s">
        <v>1</v>
      </c>
      <c r="L195" s="23" t="str">
        <f t="shared" si="23"/>
        <v>Materialidades</v>
      </c>
      <c r="M195" s="23" t="str">
        <f t="shared" si="24"/>
        <v>Matérias Primas</v>
      </c>
      <c r="N195" s="23" t="str">
        <f t="shared" si="25"/>
        <v>Cimenticias</v>
      </c>
      <c r="O195" s="23" t="str">
        <f t="shared" si="26"/>
        <v>CP III</v>
      </c>
      <c r="P195" s="50" t="s">
        <v>147</v>
      </c>
      <c r="Q195" s="50" t="str">
        <f t="shared" si="27"/>
        <v>Horno de Alto Aire Portland. Alta proporción de escoria (35–70%). Uso general, más económico.</v>
      </c>
      <c r="R195" s="24" t="s">
        <v>1</v>
      </c>
      <c r="S195" s="24" t="str">
        <f t="shared" si="28"/>
        <v>Materialidades</v>
      </c>
      <c r="T195" s="24" t="str">
        <f t="shared" si="29"/>
        <v>Matérias Primas</v>
      </c>
      <c r="U195" s="24" t="str">
        <f t="shared" si="30"/>
        <v>Cimenticias</v>
      </c>
      <c r="V195" s="24" t="s">
        <v>835</v>
      </c>
      <c r="W195" s="58" t="str">
        <f t="shared" si="33"/>
        <v>Key-MAT-195</v>
      </c>
      <c r="X195" s="24" t="s">
        <v>586</v>
      </c>
      <c r="Y195" s="24" t="s">
        <v>587</v>
      </c>
      <c r="Z195" s="63" t="s">
        <v>749</v>
      </c>
      <c r="AA195" s="24" t="str">
        <f t="shared" si="32"/>
        <v>Portland Blast Furnace. High proportion of slag (35–70%). General use, more economical.</v>
      </c>
    </row>
    <row r="196" spans="1:27" ht="6.75" customHeight="1" x14ac:dyDescent="0.25">
      <c r="A196" s="55">
        <v>196</v>
      </c>
      <c r="B196" s="56" t="s">
        <v>838</v>
      </c>
      <c r="C196" s="53" t="s">
        <v>839</v>
      </c>
      <c r="D196" s="62" t="s">
        <v>851</v>
      </c>
      <c r="E196" s="62" t="s">
        <v>424</v>
      </c>
      <c r="F196" s="53" t="s">
        <v>126</v>
      </c>
      <c r="G196" s="57" t="s">
        <v>1</v>
      </c>
      <c r="H196" s="57" t="s">
        <v>1</v>
      </c>
      <c r="I196" s="57" t="s">
        <v>1</v>
      </c>
      <c r="J196" s="57" t="s">
        <v>1</v>
      </c>
      <c r="K196" s="57" t="s">
        <v>1</v>
      </c>
      <c r="L196" s="23" t="str">
        <f t="shared" ref="L196:L259" si="34">SUBSTITUTE(CONCATENATE("", C196), ".", " ")</f>
        <v>Materialidades</v>
      </c>
      <c r="M196" s="23" t="str">
        <f t="shared" ref="M196:M259" si="35">SUBSTITUTE(CONCATENATE("", D196), ".", " ")</f>
        <v>Matérias Primas</v>
      </c>
      <c r="N196" s="23" t="str">
        <f t="shared" ref="N196:N259" si="36">SUBSTITUTE(CONCATENATE("", E196), ".", " ")</f>
        <v>Cimenticias</v>
      </c>
      <c r="O196" s="23" t="str">
        <f t="shared" ref="O196:O259" si="37">SUBSTITUTE(CONCATENATE("", F196), ".", " ")</f>
        <v>CP IV</v>
      </c>
      <c r="P196" s="50" t="s">
        <v>148</v>
      </c>
      <c r="Q196" s="50" t="str">
        <f t="shared" ref="Q196:Q259" si="38">_xlfn.TRANSLATE(P196,"pt","es")</f>
        <v>Portland Pozzolanic. Alta durabilidad e impermeabilidad. Grandes obras, presas.</v>
      </c>
      <c r="R196" s="24" t="s">
        <v>1</v>
      </c>
      <c r="S196" s="24" t="str">
        <f t="shared" ref="S196:S259" si="39">SUBSTITUTE(C196, ".", " ")</f>
        <v>Materialidades</v>
      </c>
      <c r="T196" s="24" t="str">
        <f t="shared" ref="T196:T259" si="40">SUBSTITUTE(D196, ".", " ")</f>
        <v>Matérias Primas</v>
      </c>
      <c r="U196" s="24" t="str">
        <f t="shared" ref="U196:U259" si="41">SUBSTITUTE(E196, ".", " ")</f>
        <v>Cimenticias</v>
      </c>
      <c r="V196" s="24" t="s">
        <v>835</v>
      </c>
      <c r="W196" s="58" t="str">
        <f t="shared" si="33"/>
        <v>Key-MAT-196</v>
      </c>
      <c r="X196" s="24" t="s">
        <v>586</v>
      </c>
      <c r="Y196" s="24" t="s">
        <v>587</v>
      </c>
      <c r="Z196" s="63" t="s">
        <v>750</v>
      </c>
      <c r="AA196" s="24" t="str">
        <f t="shared" si="32"/>
        <v>Portland Pozzolanic. High durability and waterproofness. Large works, dams.</v>
      </c>
    </row>
    <row r="197" spans="1:27" ht="6.75" customHeight="1" x14ac:dyDescent="0.25">
      <c r="A197" s="55">
        <v>197</v>
      </c>
      <c r="B197" s="56" t="s">
        <v>838</v>
      </c>
      <c r="C197" s="53" t="s">
        <v>839</v>
      </c>
      <c r="D197" s="62" t="s">
        <v>851</v>
      </c>
      <c r="E197" s="62" t="s">
        <v>424</v>
      </c>
      <c r="F197" s="53" t="s">
        <v>231</v>
      </c>
      <c r="G197" s="57" t="s">
        <v>1</v>
      </c>
      <c r="H197" s="57" t="s">
        <v>1</v>
      </c>
      <c r="I197" s="57" t="s">
        <v>1</v>
      </c>
      <c r="J197" s="57" t="s">
        <v>1</v>
      </c>
      <c r="K197" s="57" t="s">
        <v>1</v>
      </c>
      <c r="L197" s="23" t="str">
        <f t="shared" si="34"/>
        <v>Materialidades</v>
      </c>
      <c r="M197" s="23" t="str">
        <f t="shared" si="35"/>
        <v>Matérias Primas</v>
      </c>
      <c r="N197" s="23" t="str">
        <f t="shared" si="36"/>
        <v>Cimenticias</v>
      </c>
      <c r="O197" s="23" t="str">
        <f t="shared" si="37"/>
        <v>CP VARI</v>
      </c>
      <c r="P197" s="50" t="s">
        <v>149</v>
      </c>
      <c r="Q197" s="50" t="str">
        <f t="shared" si="38"/>
        <v>Alta resistencia inicial. Resistencia rápida en unos días. Trabaja expuesto al agua y a entornos agresivos.</v>
      </c>
      <c r="R197" s="24" t="s">
        <v>1</v>
      </c>
      <c r="S197" s="24" t="str">
        <f t="shared" si="39"/>
        <v>Materialidades</v>
      </c>
      <c r="T197" s="24" t="str">
        <f t="shared" si="40"/>
        <v>Matérias Primas</v>
      </c>
      <c r="U197" s="24" t="str">
        <f t="shared" si="41"/>
        <v>Cimenticias</v>
      </c>
      <c r="V197" s="24" t="s">
        <v>835</v>
      </c>
      <c r="W197" s="58" t="str">
        <f t="shared" si="33"/>
        <v>Key-MAT-197</v>
      </c>
      <c r="X197" s="24" t="s">
        <v>586</v>
      </c>
      <c r="Y197" s="24" t="s">
        <v>587</v>
      </c>
      <c r="Z197" s="63" t="s">
        <v>751</v>
      </c>
      <c r="AA197" s="24" t="str">
        <f t="shared" si="32"/>
        <v>High initial resistance. Fast resistance in a few days. Works exposed to water and aggressive environments.</v>
      </c>
    </row>
    <row r="198" spans="1:27" ht="6.75" customHeight="1" x14ac:dyDescent="0.25">
      <c r="A198" s="55">
        <v>198</v>
      </c>
      <c r="B198" s="56" t="s">
        <v>838</v>
      </c>
      <c r="C198" s="53" t="s">
        <v>839</v>
      </c>
      <c r="D198" s="62" t="s">
        <v>851</v>
      </c>
      <c r="E198" s="62" t="s">
        <v>424</v>
      </c>
      <c r="F198" s="53" t="s">
        <v>236</v>
      </c>
      <c r="G198" s="57" t="s">
        <v>1</v>
      </c>
      <c r="H198" s="57" t="s">
        <v>1</v>
      </c>
      <c r="I198" s="57" t="s">
        <v>1</v>
      </c>
      <c r="J198" s="57" t="s">
        <v>1</v>
      </c>
      <c r="K198" s="57" t="s">
        <v>1</v>
      </c>
      <c r="L198" s="23" t="str">
        <f t="shared" si="34"/>
        <v>Materialidades</v>
      </c>
      <c r="M198" s="23" t="str">
        <f t="shared" si="35"/>
        <v>Matérias Primas</v>
      </c>
      <c r="N198" s="23" t="str">
        <f t="shared" si="36"/>
        <v>Cimenticias</v>
      </c>
      <c r="O198" s="23" t="str">
        <f t="shared" si="37"/>
        <v>CP RS</v>
      </c>
      <c r="P198" s="50" t="s">
        <v>152</v>
      </c>
      <c r="Q198" s="50" t="str">
        <f t="shared" si="38"/>
        <v>Resistente a los sulfatos. Protección contra ataques químicos. Se usa en prefabricado.</v>
      </c>
      <c r="R198" s="24" t="s">
        <v>1</v>
      </c>
      <c r="S198" s="24" t="str">
        <f t="shared" si="39"/>
        <v>Materialidades</v>
      </c>
      <c r="T198" s="24" t="str">
        <f t="shared" si="40"/>
        <v>Matérias Primas</v>
      </c>
      <c r="U198" s="24" t="str">
        <f t="shared" si="41"/>
        <v>Cimenticias</v>
      </c>
      <c r="V198" s="24" t="s">
        <v>835</v>
      </c>
      <c r="W198" s="58" t="str">
        <f t="shared" si="33"/>
        <v>Key-MAT-198</v>
      </c>
      <c r="X198" s="24" t="s">
        <v>586</v>
      </c>
      <c r="Y198" s="24" t="s">
        <v>587</v>
      </c>
      <c r="Z198" s="63" t="s">
        <v>752</v>
      </c>
      <c r="AA198" s="24" t="str">
        <f t="shared" ref="AA198:AA199" si="42">_xlfn.TRANSLATE(P198,"pt","en")</f>
        <v>Sulfate resistant. Protection against chemical attack. Used in precast.</v>
      </c>
    </row>
    <row r="199" spans="1:27" ht="6.75" customHeight="1" x14ac:dyDescent="0.25">
      <c r="A199" s="55">
        <v>199</v>
      </c>
      <c r="B199" s="56" t="s">
        <v>838</v>
      </c>
      <c r="C199" s="53" t="s">
        <v>839</v>
      </c>
      <c r="D199" s="62" t="s">
        <v>851</v>
      </c>
      <c r="E199" s="62" t="s">
        <v>424</v>
      </c>
      <c r="F199" s="53" t="s">
        <v>237</v>
      </c>
      <c r="G199" s="57" t="s">
        <v>1</v>
      </c>
      <c r="H199" s="57" t="s">
        <v>1</v>
      </c>
      <c r="I199" s="57" t="s">
        <v>1</v>
      </c>
      <c r="J199" s="57" t="s">
        <v>1</v>
      </c>
      <c r="K199" s="57" t="s">
        <v>1</v>
      </c>
      <c r="L199" s="23" t="str">
        <f t="shared" si="34"/>
        <v>Materialidades</v>
      </c>
      <c r="M199" s="23" t="str">
        <f t="shared" si="35"/>
        <v>Matérias Primas</v>
      </c>
      <c r="N199" s="23" t="str">
        <f t="shared" si="36"/>
        <v>Cimenticias</v>
      </c>
      <c r="O199" s="23" t="str">
        <f t="shared" si="37"/>
        <v>CP BC</v>
      </c>
      <c r="P199" s="50" t="s">
        <v>150</v>
      </c>
      <c r="Q199" s="50" t="str">
        <f t="shared" si="38"/>
        <v>Hidratación a baja temperatura. Libera menos calor durante el curado. Trabaja en contacto con suelos o aguas sulfatadas.</v>
      </c>
      <c r="R199" s="24" t="s">
        <v>1</v>
      </c>
      <c r="S199" s="24" t="str">
        <f t="shared" si="39"/>
        <v>Materialidades</v>
      </c>
      <c r="T199" s="24" t="str">
        <f t="shared" si="40"/>
        <v>Matérias Primas</v>
      </c>
      <c r="U199" s="24" t="str">
        <f t="shared" si="41"/>
        <v>Cimenticias</v>
      </c>
      <c r="V199" s="24" t="s">
        <v>835</v>
      </c>
      <c r="W199" s="58" t="str">
        <f t="shared" si="33"/>
        <v>Key-MAT-199</v>
      </c>
      <c r="X199" s="24" t="s">
        <v>586</v>
      </c>
      <c r="Y199" s="24" t="s">
        <v>587</v>
      </c>
      <c r="Z199" s="63" t="s">
        <v>753</v>
      </c>
      <c r="AA199" s="24" t="str">
        <f t="shared" si="42"/>
        <v>Low Heat Hydration. Releases less heat during curing. Works in contact with soils or sulfated waters.</v>
      </c>
    </row>
    <row r="200" spans="1:27" ht="6.75" customHeight="1" x14ac:dyDescent="0.25">
      <c r="A200" s="55">
        <v>200</v>
      </c>
      <c r="B200" s="56" t="s">
        <v>838</v>
      </c>
      <c r="C200" s="53" t="s">
        <v>839</v>
      </c>
      <c r="D200" s="62" t="s">
        <v>851</v>
      </c>
      <c r="E200" s="62" t="s">
        <v>424</v>
      </c>
      <c r="F200" s="53" t="s">
        <v>238</v>
      </c>
      <c r="G200" s="57" t="s">
        <v>1</v>
      </c>
      <c r="H200" s="57" t="s">
        <v>1</v>
      </c>
      <c r="I200" s="57" t="s">
        <v>1</v>
      </c>
      <c r="J200" s="57" t="s">
        <v>1</v>
      </c>
      <c r="K200" s="57" t="s">
        <v>1</v>
      </c>
      <c r="L200" s="23" t="str">
        <f t="shared" si="34"/>
        <v>Materialidades</v>
      </c>
      <c r="M200" s="23" t="str">
        <f t="shared" si="35"/>
        <v>Matérias Primas</v>
      </c>
      <c r="N200" s="23" t="str">
        <f t="shared" si="36"/>
        <v>Cimenticias</v>
      </c>
      <c r="O200" s="23" t="str">
        <f t="shared" si="37"/>
        <v>CP B</v>
      </c>
      <c r="P200" s="50" t="s">
        <v>151</v>
      </c>
      <c r="Q200" s="50" t="str">
        <f t="shared" si="38"/>
        <v>Portland White. Color claro, estética diferenciada. Estructuras masivas como presas.</v>
      </c>
      <c r="R200" s="24" t="s">
        <v>1</v>
      </c>
      <c r="S200" s="24" t="str">
        <f t="shared" si="39"/>
        <v>Materialidades</v>
      </c>
      <c r="T200" s="24" t="str">
        <f t="shared" si="40"/>
        <v>Matérias Primas</v>
      </c>
      <c r="U200" s="24" t="str">
        <f t="shared" si="41"/>
        <v>Cimenticias</v>
      </c>
      <c r="V200" s="24" t="s">
        <v>835</v>
      </c>
      <c r="W200" s="58" t="str">
        <f t="shared" si="33"/>
        <v>Key-MAT-200</v>
      </c>
      <c r="X200" s="24" t="s">
        <v>586</v>
      </c>
      <c r="Y200" s="24" t="s">
        <v>587</v>
      </c>
      <c r="Z200" s="63" t="s">
        <v>754</v>
      </c>
      <c r="AA200" s="24" t="str">
        <f t="shared" ref="AA200:AA260" si="43">_xlfn.TRANSLATE(P200,"pt","en")</f>
        <v>Portland White. Light color, differentiated aesthetics. Massive structures such as dams.</v>
      </c>
    </row>
    <row r="201" spans="1:27" ht="6.75" customHeight="1" x14ac:dyDescent="0.25">
      <c r="A201" s="55">
        <v>201</v>
      </c>
      <c r="B201" s="56" t="s">
        <v>838</v>
      </c>
      <c r="C201" s="53" t="s">
        <v>839</v>
      </c>
      <c r="D201" s="62" t="s">
        <v>851</v>
      </c>
      <c r="E201" s="62" t="s">
        <v>425</v>
      </c>
      <c r="F201" s="53" t="s">
        <v>107</v>
      </c>
      <c r="G201" s="57" t="s">
        <v>1</v>
      </c>
      <c r="H201" s="57" t="s">
        <v>1</v>
      </c>
      <c r="I201" s="57" t="s">
        <v>1</v>
      </c>
      <c r="J201" s="57" t="s">
        <v>1</v>
      </c>
      <c r="K201" s="57" t="s">
        <v>1</v>
      </c>
      <c r="L201" s="23" t="str">
        <f t="shared" si="34"/>
        <v>Materialidades</v>
      </c>
      <c r="M201" s="23" t="str">
        <f t="shared" si="35"/>
        <v>Matérias Primas</v>
      </c>
      <c r="N201" s="23" t="str">
        <f t="shared" si="36"/>
        <v>Cimenticias Aereas</v>
      </c>
      <c r="O201" s="23" t="str">
        <f t="shared" si="37"/>
        <v>Cal</v>
      </c>
      <c r="P201" s="24" t="s">
        <v>107</v>
      </c>
      <c r="Q201" s="50" t="str">
        <f t="shared" si="38"/>
        <v>Lime</v>
      </c>
      <c r="R201" s="24" t="s">
        <v>1</v>
      </c>
      <c r="S201" s="24" t="str">
        <f t="shared" si="39"/>
        <v>Materialidades</v>
      </c>
      <c r="T201" s="24" t="str">
        <f t="shared" si="40"/>
        <v>Matérias Primas</v>
      </c>
      <c r="U201" s="24" t="str">
        <f t="shared" si="41"/>
        <v>Cimenticias Aereas</v>
      </c>
      <c r="V201" s="24" t="s">
        <v>835</v>
      </c>
      <c r="W201" s="58" t="str">
        <f t="shared" si="33"/>
        <v>Key-MAT-201</v>
      </c>
      <c r="X201" s="24" t="s">
        <v>586</v>
      </c>
      <c r="Y201" s="24" t="s">
        <v>587</v>
      </c>
      <c r="Z201" s="63" t="s">
        <v>755</v>
      </c>
      <c r="AA201" s="24" t="str">
        <f t="shared" si="43"/>
        <v>Lime</v>
      </c>
    </row>
    <row r="202" spans="1:27" ht="6.75" customHeight="1" x14ac:dyDescent="0.25">
      <c r="A202" s="55">
        <v>202</v>
      </c>
      <c r="B202" s="56" t="s">
        <v>838</v>
      </c>
      <c r="C202" s="53" t="s">
        <v>839</v>
      </c>
      <c r="D202" s="62" t="s">
        <v>851</v>
      </c>
      <c r="E202" s="62" t="s">
        <v>425</v>
      </c>
      <c r="F202" s="53" t="s">
        <v>367</v>
      </c>
      <c r="G202" s="57" t="s">
        <v>1</v>
      </c>
      <c r="H202" s="57" t="s">
        <v>1</v>
      </c>
      <c r="I202" s="57" t="s">
        <v>1</v>
      </c>
      <c r="J202" s="57" t="s">
        <v>1</v>
      </c>
      <c r="K202" s="57" t="s">
        <v>1</v>
      </c>
      <c r="L202" s="23" t="str">
        <f t="shared" si="34"/>
        <v>Materialidades</v>
      </c>
      <c r="M202" s="23" t="str">
        <f t="shared" si="35"/>
        <v>Matérias Primas</v>
      </c>
      <c r="N202" s="23" t="str">
        <f t="shared" si="36"/>
        <v>Cimenticias Aereas</v>
      </c>
      <c r="O202" s="23" t="str">
        <f t="shared" si="37"/>
        <v>Cal Virgem</v>
      </c>
      <c r="P202" s="24" t="s">
        <v>376</v>
      </c>
      <c r="Q202" s="50" t="str">
        <f t="shared" si="38"/>
        <v>Cal viva</v>
      </c>
      <c r="R202" s="24" t="s">
        <v>1</v>
      </c>
      <c r="S202" s="24" t="str">
        <f t="shared" si="39"/>
        <v>Materialidades</v>
      </c>
      <c r="T202" s="24" t="str">
        <f t="shared" si="40"/>
        <v>Matérias Primas</v>
      </c>
      <c r="U202" s="24" t="str">
        <f t="shared" si="41"/>
        <v>Cimenticias Aereas</v>
      </c>
      <c r="V202" s="24" t="s">
        <v>835</v>
      </c>
      <c r="W202" s="58" t="str">
        <f t="shared" si="33"/>
        <v>Key-MAT-202</v>
      </c>
      <c r="X202" s="24" t="s">
        <v>586</v>
      </c>
      <c r="Y202" s="24" t="s">
        <v>587</v>
      </c>
      <c r="Z202" s="63" t="s">
        <v>756</v>
      </c>
      <c r="AA202" s="24" t="str">
        <f t="shared" si="43"/>
        <v>Quicklime</v>
      </c>
    </row>
    <row r="203" spans="1:27" ht="6.75" customHeight="1" x14ac:dyDescent="0.25">
      <c r="A203" s="55">
        <v>203</v>
      </c>
      <c r="B203" s="56" t="s">
        <v>838</v>
      </c>
      <c r="C203" s="53" t="s">
        <v>839</v>
      </c>
      <c r="D203" s="62" t="s">
        <v>851</v>
      </c>
      <c r="E203" s="62" t="s">
        <v>425</v>
      </c>
      <c r="F203" s="53" t="s">
        <v>368</v>
      </c>
      <c r="G203" s="57" t="s">
        <v>1</v>
      </c>
      <c r="H203" s="57" t="s">
        <v>1</v>
      </c>
      <c r="I203" s="57" t="s">
        <v>1</v>
      </c>
      <c r="J203" s="57" t="s">
        <v>1</v>
      </c>
      <c r="K203" s="57" t="s">
        <v>1</v>
      </c>
      <c r="L203" s="23" t="str">
        <f t="shared" si="34"/>
        <v>Materialidades</v>
      </c>
      <c r="M203" s="23" t="str">
        <f t="shared" si="35"/>
        <v>Matérias Primas</v>
      </c>
      <c r="N203" s="23" t="str">
        <f t="shared" si="36"/>
        <v>Cimenticias Aereas</v>
      </c>
      <c r="O203" s="23" t="str">
        <f t="shared" si="37"/>
        <v>Cal Extinta</v>
      </c>
      <c r="P203" s="24" t="s">
        <v>377</v>
      </c>
      <c r="Q203" s="50" t="str">
        <f t="shared" si="38"/>
        <v>Cal extinguida</v>
      </c>
      <c r="R203" s="24" t="s">
        <v>1</v>
      </c>
      <c r="S203" s="24" t="str">
        <f t="shared" si="39"/>
        <v>Materialidades</v>
      </c>
      <c r="T203" s="24" t="str">
        <f t="shared" si="40"/>
        <v>Matérias Primas</v>
      </c>
      <c r="U203" s="24" t="str">
        <f t="shared" si="41"/>
        <v>Cimenticias Aereas</v>
      </c>
      <c r="V203" s="24" t="s">
        <v>835</v>
      </c>
      <c r="W203" s="58" t="str">
        <f t="shared" si="33"/>
        <v>Key-MAT-203</v>
      </c>
      <c r="X203" s="24" t="s">
        <v>586</v>
      </c>
      <c r="Y203" s="24" t="s">
        <v>587</v>
      </c>
      <c r="Z203" s="63" t="s">
        <v>757</v>
      </c>
      <c r="AA203" s="24" t="str">
        <f t="shared" si="43"/>
        <v>Extinguished Lime</v>
      </c>
    </row>
    <row r="204" spans="1:27" ht="6.75" customHeight="1" x14ac:dyDescent="0.25">
      <c r="A204" s="55">
        <v>204</v>
      </c>
      <c r="B204" s="56" t="s">
        <v>838</v>
      </c>
      <c r="C204" s="53" t="s">
        <v>839</v>
      </c>
      <c r="D204" s="62" t="s">
        <v>851</v>
      </c>
      <c r="E204" s="62" t="s">
        <v>425</v>
      </c>
      <c r="F204" s="53" t="s">
        <v>369</v>
      </c>
      <c r="G204" s="57" t="s">
        <v>1</v>
      </c>
      <c r="H204" s="57" t="s">
        <v>1</v>
      </c>
      <c r="I204" s="57" t="s">
        <v>1</v>
      </c>
      <c r="J204" s="57" t="s">
        <v>1</v>
      </c>
      <c r="K204" s="57" t="s">
        <v>1</v>
      </c>
      <c r="L204" s="23" t="str">
        <f t="shared" si="34"/>
        <v>Materialidades</v>
      </c>
      <c r="M204" s="23" t="str">
        <f t="shared" si="35"/>
        <v>Matérias Primas</v>
      </c>
      <c r="N204" s="23" t="str">
        <f t="shared" si="36"/>
        <v>Cimenticias Aereas</v>
      </c>
      <c r="O204" s="23" t="str">
        <f t="shared" si="37"/>
        <v>Cal Hidratada</v>
      </c>
      <c r="P204" s="24" t="s">
        <v>378</v>
      </c>
      <c r="Q204" s="50" t="str">
        <f t="shared" si="38"/>
        <v>Lima hidratada</v>
      </c>
      <c r="R204" s="24" t="s">
        <v>1</v>
      </c>
      <c r="S204" s="24" t="str">
        <f t="shared" si="39"/>
        <v>Materialidades</v>
      </c>
      <c r="T204" s="24" t="str">
        <f t="shared" si="40"/>
        <v>Matérias Primas</v>
      </c>
      <c r="U204" s="24" t="str">
        <f t="shared" si="41"/>
        <v>Cimenticias Aereas</v>
      </c>
      <c r="V204" s="24" t="s">
        <v>835</v>
      </c>
      <c r="W204" s="58" t="str">
        <f t="shared" si="33"/>
        <v>Key-MAT-204</v>
      </c>
      <c r="X204" s="24" t="s">
        <v>586</v>
      </c>
      <c r="Y204" s="24" t="s">
        <v>587</v>
      </c>
      <c r="Z204" s="63" t="s">
        <v>758</v>
      </c>
      <c r="AA204" s="24" t="str">
        <f t="shared" si="43"/>
        <v>Hydrated Lime</v>
      </c>
    </row>
    <row r="205" spans="1:27" ht="6.75" customHeight="1" x14ac:dyDescent="0.25">
      <c r="A205" s="55">
        <v>205</v>
      </c>
      <c r="B205" s="56" t="s">
        <v>838</v>
      </c>
      <c r="C205" s="53" t="s">
        <v>839</v>
      </c>
      <c r="D205" s="62" t="s">
        <v>851</v>
      </c>
      <c r="E205" s="62" t="s">
        <v>425</v>
      </c>
      <c r="F205" s="53" t="s">
        <v>370</v>
      </c>
      <c r="G205" s="57" t="s">
        <v>1</v>
      </c>
      <c r="H205" s="57" t="s">
        <v>1</v>
      </c>
      <c r="I205" s="57" t="s">
        <v>1</v>
      </c>
      <c r="J205" s="57" t="s">
        <v>1</v>
      </c>
      <c r="K205" s="57" t="s">
        <v>1</v>
      </c>
      <c r="L205" s="23" t="str">
        <f t="shared" si="34"/>
        <v>Materialidades</v>
      </c>
      <c r="M205" s="23" t="str">
        <f t="shared" si="35"/>
        <v>Matérias Primas</v>
      </c>
      <c r="N205" s="23" t="str">
        <f t="shared" si="36"/>
        <v>Cimenticias Aereas</v>
      </c>
      <c r="O205" s="23" t="str">
        <f t="shared" si="37"/>
        <v>Cal Hidráulica</v>
      </c>
      <c r="P205" s="24" t="s">
        <v>379</v>
      </c>
      <c r="Q205" s="50" t="str">
        <f t="shared" si="38"/>
        <v>Cal hidráulica</v>
      </c>
      <c r="R205" s="24" t="s">
        <v>1</v>
      </c>
      <c r="S205" s="24" t="str">
        <f t="shared" si="39"/>
        <v>Materialidades</v>
      </c>
      <c r="T205" s="24" t="str">
        <f t="shared" si="40"/>
        <v>Matérias Primas</v>
      </c>
      <c r="U205" s="24" t="str">
        <f t="shared" si="41"/>
        <v>Cimenticias Aereas</v>
      </c>
      <c r="V205" s="24" t="s">
        <v>835</v>
      </c>
      <c r="W205" s="58" t="str">
        <f t="shared" si="33"/>
        <v>Key-MAT-205</v>
      </c>
      <c r="X205" s="24" t="s">
        <v>586</v>
      </c>
      <c r="Y205" s="24" t="s">
        <v>587</v>
      </c>
      <c r="Z205" s="63" t="s">
        <v>759</v>
      </c>
      <c r="AA205" s="24" t="str">
        <f t="shared" si="43"/>
        <v>Hydraulic Lime</v>
      </c>
    </row>
    <row r="206" spans="1:27" ht="6.75" customHeight="1" x14ac:dyDescent="0.25">
      <c r="A206" s="55">
        <v>206</v>
      </c>
      <c r="B206" s="56" t="s">
        <v>838</v>
      </c>
      <c r="C206" s="53" t="s">
        <v>839</v>
      </c>
      <c r="D206" s="62" t="s">
        <v>851</v>
      </c>
      <c r="E206" s="62" t="s">
        <v>425</v>
      </c>
      <c r="F206" s="62" t="s">
        <v>99</v>
      </c>
      <c r="G206" s="57" t="s">
        <v>1</v>
      </c>
      <c r="H206" s="57" t="s">
        <v>1</v>
      </c>
      <c r="I206" s="57" t="s">
        <v>1</v>
      </c>
      <c r="J206" s="57" t="s">
        <v>1</v>
      </c>
      <c r="K206" s="57" t="s">
        <v>1</v>
      </c>
      <c r="L206" s="23" t="str">
        <f t="shared" si="34"/>
        <v>Materialidades</v>
      </c>
      <c r="M206" s="23" t="str">
        <f t="shared" si="35"/>
        <v>Matérias Primas</v>
      </c>
      <c r="N206" s="23" t="str">
        <f t="shared" si="36"/>
        <v>Cimenticias Aereas</v>
      </c>
      <c r="O206" s="23" t="str">
        <f t="shared" si="37"/>
        <v>Gesso</v>
      </c>
      <c r="P206" s="24" t="s">
        <v>99</v>
      </c>
      <c r="Q206" s="50" t="str">
        <f t="shared" si="38"/>
        <v>Escayola</v>
      </c>
      <c r="R206" s="24" t="s">
        <v>1</v>
      </c>
      <c r="S206" s="24" t="str">
        <f t="shared" si="39"/>
        <v>Materialidades</v>
      </c>
      <c r="T206" s="24" t="str">
        <f t="shared" si="40"/>
        <v>Matérias Primas</v>
      </c>
      <c r="U206" s="24" t="str">
        <f t="shared" si="41"/>
        <v>Cimenticias Aereas</v>
      </c>
      <c r="V206" s="24" t="s">
        <v>835</v>
      </c>
      <c r="W206" s="58" t="str">
        <f t="shared" si="33"/>
        <v>Key-MAT-206</v>
      </c>
      <c r="X206" s="24" t="s">
        <v>586</v>
      </c>
      <c r="Y206" s="24" t="s">
        <v>587</v>
      </c>
      <c r="Z206" s="63" t="s">
        <v>760</v>
      </c>
      <c r="AA206" s="24" t="str">
        <f t="shared" si="43"/>
        <v>Plaster</v>
      </c>
    </row>
    <row r="207" spans="1:27" ht="6.75" customHeight="1" x14ac:dyDescent="0.25">
      <c r="A207" s="55">
        <v>207</v>
      </c>
      <c r="B207" s="56" t="s">
        <v>838</v>
      </c>
      <c r="C207" s="53" t="s">
        <v>839</v>
      </c>
      <c r="D207" s="62" t="s">
        <v>851</v>
      </c>
      <c r="E207" s="53" t="s">
        <v>118</v>
      </c>
      <c r="F207" s="53" t="s">
        <v>554</v>
      </c>
      <c r="G207" s="57" t="s">
        <v>1</v>
      </c>
      <c r="H207" s="57" t="s">
        <v>1</v>
      </c>
      <c r="I207" s="57" t="s">
        <v>1</v>
      </c>
      <c r="J207" s="57" t="s">
        <v>1</v>
      </c>
      <c r="K207" s="57" t="s">
        <v>1</v>
      </c>
      <c r="L207" s="23" t="str">
        <f t="shared" si="34"/>
        <v>Materialidades</v>
      </c>
      <c r="M207" s="23" t="str">
        <f t="shared" si="35"/>
        <v>Matérias Primas</v>
      </c>
      <c r="N207" s="23" t="str">
        <f t="shared" si="36"/>
        <v>Borrachas Naturais</v>
      </c>
      <c r="O207" s="23" t="str">
        <f t="shared" si="37"/>
        <v>Borracha</v>
      </c>
      <c r="P207" s="24" t="s">
        <v>554</v>
      </c>
      <c r="Q207" s="50" t="str">
        <f t="shared" si="38"/>
        <v>Goma</v>
      </c>
      <c r="R207" s="24" t="s">
        <v>1</v>
      </c>
      <c r="S207" s="24" t="str">
        <f t="shared" si="39"/>
        <v>Materialidades</v>
      </c>
      <c r="T207" s="24" t="str">
        <f t="shared" si="40"/>
        <v>Matérias Primas</v>
      </c>
      <c r="U207" s="24" t="str">
        <f t="shared" si="41"/>
        <v>Borrachas Naturais</v>
      </c>
      <c r="V207" s="24" t="s">
        <v>835</v>
      </c>
      <c r="W207" s="58" t="str">
        <f t="shared" si="33"/>
        <v>Key-MAT-207</v>
      </c>
      <c r="X207" s="24" t="s">
        <v>586</v>
      </c>
      <c r="Y207" s="24" t="s">
        <v>587</v>
      </c>
      <c r="Z207" s="63" t="s">
        <v>633</v>
      </c>
      <c r="AA207" s="24" t="str">
        <f t="shared" si="43"/>
        <v>Rubber</v>
      </c>
    </row>
    <row r="208" spans="1:27" ht="6.75" customHeight="1" x14ac:dyDescent="0.25">
      <c r="A208" s="55">
        <v>208</v>
      </c>
      <c r="B208" s="56" t="s">
        <v>838</v>
      </c>
      <c r="C208" s="53" t="s">
        <v>839</v>
      </c>
      <c r="D208" s="62" t="s">
        <v>851</v>
      </c>
      <c r="E208" s="53" t="s">
        <v>118</v>
      </c>
      <c r="F208" s="53" t="s">
        <v>553</v>
      </c>
      <c r="G208" s="57" t="s">
        <v>1</v>
      </c>
      <c r="H208" s="57" t="s">
        <v>1</v>
      </c>
      <c r="I208" s="57" t="s">
        <v>1</v>
      </c>
      <c r="J208" s="57" t="s">
        <v>1</v>
      </c>
      <c r="K208" s="57" t="s">
        <v>1</v>
      </c>
      <c r="L208" s="23" t="str">
        <f t="shared" si="34"/>
        <v>Materialidades</v>
      </c>
      <c r="M208" s="23" t="str">
        <f t="shared" si="35"/>
        <v>Matérias Primas</v>
      </c>
      <c r="N208" s="23" t="str">
        <f t="shared" si="36"/>
        <v>Borrachas Naturais</v>
      </c>
      <c r="O208" s="23" t="str">
        <f t="shared" si="37"/>
        <v>Borracha Butilica</v>
      </c>
      <c r="P208" s="24" t="s">
        <v>556</v>
      </c>
      <c r="Q208" s="50" t="str">
        <f t="shared" si="38"/>
        <v>Caucho butílico</v>
      </c>
      <c r="R208" s="24" t="s">
        <v>1</v>
      </c>
      <c r="S208" s="24" t="str">
        <f t="shared" si="39"/>
        <v>Materialidades</v>
      </c>
      <c r="T208" s="24" t="str">
        <f t="shared" si="40"/>
        <v>Matérias Primas</v>
      </c>
      <c r="U208" s="24" t="str">
        <f t="shared" si="41"/>
        <v>Borrachas Naturais</v>
      </c>
      <c r="V208" s="24" t="s">
        <v>835</v>
      </c>
      <c r="W208" s="58" t="str">
        <f t="shared" si="33"/>
        <v>Key-MAT-208</v>
      </c>
      <c r="X208" s="24" t="s">
        <v>586</v>
      </c>
      <c r="Y208" s="24" t="s">
        <v>587</v>
      </c>
      <c r="Z208" s="63" t="s">
        <v>634</v>
      </c>
      <c r="AA208" s="24" t="str">
        <f t="shared" si="43"/>
        <v>Butyl Rubber</v>
      </c>
    </row>
    <row r="209" spans="1:27" ht="6.75" customHeight="1" x14ac:dyDescent="0.25">
      <c r="A209" s="55">
        <v>209</v>
      </c>
      <c r="B209" s="56" t="s">
        <v>838</v>
      </c>
      <c r="C209" s="53" t="s">
        <v>839</v>
      </c>
      <c r="D209" s="62" t="s">
        <v>851</v>
      </c>
      <c r="E209" s="53" t="s">
        <v>118</v>
      </c>
      <c r="F209" s="53" t="s">
        <v>520</v>
      </c>
      <c r="G209" s="57" t="s">
        <v>1</v>
      </c>
      <c r="H209" s="57" t="s">
        <v>1</v>
      </c>
      <c r="I209" s="57" t="s">
        <v>1</v>
      </c>
      <c r="J209" s="57" t="s">
        <v>1</v>
      </c>
      <c r="K209" s="57" t="s">
        <v>1</v>
      </c>
      <c r="L209" s="23" t="str">
        <f t="shared" si="34"/>
        <v>Materialidades</v>
      </c>
      <c r="M209" s="23" t="str">
        <f t="shared" si="35"/>
        <v>Matérias Primas</v>
      </c>
      <c r="N209" s="23" t="str">
        <f t="shared" si="36"/>
        <v>Borrachas Naturais</v>
      </c>
      <c r="O209" s="23" t="str">
        <f t="shared" si="37"/>
        <v>Neoprene</v>
      </c>
      <c r="P209" s="24" t="s">
        <v>520</v>
      </c>
      <c r="Q209" s="50" t="str">
        <f t="shared" si="38"/>
        <v>Neopreno</v>
      </c>
      <c r="R209" s="24" t="s">
        <v>1</v>
      </c>
      <c r="S209" s="24" t="str">
        <f t="shared" si="39"/>
        <v>Materialidades</v>
      </c>
      <c r="T209" s="24" t="str">
        <f t="shared" si="40"/>
        <v>Matérias Primas</v>
      </c>
      <c r="U209" s="24" t="str">
        <f t="shared" si="41"/>
        <v>Borrachas Naturais</v>
      </c>
      <c r="V209" s="24" t="s">
        <v>835</v>
      </c>
      <c r="W209" s="58" t="str">
        <f t="shared" si="33"/>
        <v>Key-MAT-209</v>
      </c>
      <c r="X209" s="24" t="s">
        <v>586</v>
      </c>
      <c r="Y209" s="24" t="s">
        <v>587</v>
      </c>
      <c r="Z209" s="63" t="s">
        <v>635</v>
      </c>
      <c r="AA209" s="24" t="str">
        <f t="shared" si="43"/>
        <v>Neoprene</v>
      </c>
    </row>
    <row r="210" spans="1:27" s="64" customFormat="1" ht="6.75" customHeight="1" x14ac:dyDescent="0.2">
      <c r="A210" s="55">
        <v>210</v>
      </c>
      <c r="B210" s="56" t="s">
        <v>838</v>
      </c>
      <c r="C210" s="53" t="s">
        <v>839</v>
      </c>
      <c r="D210" s="62" t="s">
        <v>851</v>
      </c>
      <c r="E210" s="53" t="s">
        <v>118</v>
      </c>
      <c r="F210" s="53" t="s">
        <v>521</v>
      </c>
      <c r="G210" s="57" t="s">
        <v>1</v>
      </c>
      <c r="H210" s="57" t="s">
        <v>1</v>
      </c>
      <c r="I210" s="57" t="s">
        <v>1</v>
      </c>
      <c r="J210" s="57" t="s">
        <v>1</v>
      </c>
      <c r="K210" s="57" t="s">
        <v>1</v>
      </c>
      <c r="L210" s="23" t="str">
        <f t="shared" si="34"/>
        <v>Materialidades</v>
      </c>
      <c r="M210" s="23" t="str">
        <f t="shared" si="35"/>
        <v>Matérias Primas</v>
      </c>
      <c r="N210" s="23" t="str">
        <f t="shared" si="36"/>
        <v>Borrachas Naturais</v>
      </c>
      <c r="O210" s="23" t="str">
        <f t="shared" si="37"/>
        <v>Silicone</v>
      </c>
      <c r="P210" s="24" t="s">
        <v>521</v>
      </c>
      <c r="Q210" s="50" t="str">
        <f t="shared" si="38"/>
        <v>Silicona</v>
      </c>
      <c r="R210" s="24" t="s">
        <v>1</v>
      </c>
      <c r="S210" s="24" t="str">
        <f t="shared" si="39"/>
        <v>Materialidades</v>
      </c>
      <c r="T210" s="24" t="str">
        <f t="shared" si="40"/>
        <v>Matérias Primas</v>
      </c>
      <c r="U210" s="24" t="str">
        <f t="shared" si="41"/>
        <v>Borrachas Naturais</v>
      </c>
      <c r="V210" s="24" t="s">
        <v>835</v>
      </c>
      <c r="W210" s="58" t="str">
        <f t="shared" si="33"/>
        <v>Key-MAT-210</v>
      </c>
      <c r="X210" s="24" t="s">
        <v>586</v>
      </c>
      <c r="Y210" s="24" t="s">
        <v>587</v>
      </c>
      <c r="Z210" s="63" t="s">
        <v>761</v>
      </c>
      <c r="AA210" s="24" t="str">
        <f t="shared" si="43"/>
        <v>Silicone</v>
      </c>
    </row>
    <row r="211" spans="1:27" ht="6.75" customHeight="1" x14ac:dyDescent="0.25">
      <c r="A211" s="55">
        <v>211</v>
      </c>
      <c r="B211" s="56" t="s">
        <v>838</v>
      </c>
      <c r="C211" s="53" t="s">
        <v>839</v>
      </c>
      <c r="D211" s="62" t="s">
        <v>851</v>
      </c>
      <c r="E211" s="53" t="s">
        <v>118</v>
      </c>
      <c r="F211" s="53" t="s">
        <v>522</v>
      </c>
      <c r="G211" s="57" t="s">
        <v>1</v>
      </c>
      <c r="H211" s="57" t="s">
        <v>1</v>
      </c>
      <c r="I211" s="57" t="s">
        <v>1</v>
      </c>
      <c r="J211" s="57" t="s">
        <v>1</v>
      </c>
      <c r="K211" s="57" t="s">
        <v>1</v>
      </c>
      <c r="L211" s="23" t="str">
        <f t="shared" si="34"/>
        <v>Materialidades</v>
      </c>
      <c r="M211" s="23" t="str">
        <f t="shared" si="35"/>
        <v>Matérias Primas</v>
      </c>
      <c r="N211" s="23" t="str">
        <f t="shared" si="36"/>
        <v>Borrachas Naturais</v>
      </c>
      <c r="O211" s="23" t="str">
        <f t="shared" si="37"/>
        <v>Polisulfato</v>
      </c>
      <c r="P211" s="24" t="s">
        <v>522</v>
      </c>
      <c r="Q211" s="50" t="str">
        <f t="shared" si="38"/>
        <v>Polisulfato</v>
      </c>
      <c r="R211" s="24" t="s">
        <v>1</v>
      </c>
      <c r="S211" s="24" t="str">
        <f t="shared" si="39"/>
        <v>Materialidades</v>
      </c>
      <c r="T211" s="24" t="str">
        <f t="shared" si="40"/>
        <v>Matérias Primas</v>
      </c>
      <c r="U211" s="24" t="str">
        <f t="shared" si="41"/>
        <v>Borrachas Naturais</v>
      </c>
      <c r="V211" s="24" t="s">
        <v>835</v>
      </c>
      <c r="W211" s="58" t="str">
        <f t="shared" si="33"/>
        <v>Key-MAT-211</v>
      </c>
      <c r="X211" s="24" t="s">
        <v>586</v>
      </c>
      <c r="Y211" s="24" t="s">
        <v>587</v>
      </c>
      <c r="Z211" s="63" t="s">
        <v>762</v>
      </c>
      <c r="AA211" s="24" t="str">
        <f t="shared" si="43"/>
        <v>Polysulfate</v>
      </c>
    </row>
    <row r="212" spans="1:27" ht="6.75" customHeight="1" x14ac:dyDescent="0.25">
      <c r="A212" s="55">
        <v>212</v>
      </c>
      <c r="B212" s="56" t="s">
        <v>838</v>
      </c>
      <c r="C212" s="53" t="s">
        <v>839</v>
      </c>
      <c r="D212" s="62" t="s">
        <v>851</v>
      </c>
      <c r="E212" s="53" t="s">
        <v>118</v>
      </c>
      <c r="F212" s="53" t="s">
        <v>501</v>
      </c>
      <c r="G212" s="57" t="s">
        <v>1</v>
      </c>
      <c r="H212" s="57" t="s">
        <v>1</v>
      </c>
      <c r="I212" s="57" t="s">
        <v>1</v>
      </c>
      <c r="J212" s="57" t="s">
        <v>1</v>
      </c>
      <c r="K212" s="57" t="s">
        <v>1</v>
      </c>
      <c r="L212" s="23" t="str">
        <f t="shared" si="34"/>
        <v>Materialidades</v>
      </c>
      <c r="M212" s="23" t="str">
        <f t="shared" si="35"/>
        <v>Matérias Primas</v>
      </c>
      <c r="N212" s="23" t="str">
        <f t="shared" si="36"/>
        <v>Borrachas Naturais</v>
      </c>
      <c r="O212" s="23" t="str">
        <f t="shared" si="37"/>
        <v>Borracha Natural</v>
      </c>
      <c r="P212" s="50" t="s">
        <v>502</v>
      </c>
      <c r="Q212" s="50" t="str">
        <f t="shared" si="38"/>
        <v>Caucho natural</v>
      </c>
      <c r="R212" s="24" t="s">
        <v>1</v>
      </c>
      <c r="S212" s="24" t="str">
        <f t="shared" si="39"/>
        <v>Materialidades</v>
      </c>
      <c r="T212" s="24" t="str">
        <f t="shared" si="40"/>
        <v>Matérias Primas</v>
      </c>
      <c r="U212" s="24" t="str">
        <f t="shared" si="41"/>
        <v>Borrachas Naturais</v>
      </c>
      <c r="V212" s="24" t="s">
        <v>835</v>
      </c>
      <c r="W212" s="58" t="str">
        <f t="shared" si="33"/>
        <v>Key-MAT-212</v>
      </c>
      <c r="X212" s="24" t="s">
        <v>586</v>
      </c>
      <c r="Y212" s="24" t="s">
        <v>587</v>
      </c>
      <c r="Z212" s="63" t="s">
        <v>633</v>
      </c>
      <c r="AA212" s="24" t="str">
        <f t="shared" si="43"/>
        <v>Natural Rubber</v>
      </c>
    </row>
    <row r="213" spans="1:27" ht="6.75" customHeight="1" x14ac:dyDescent="0.25">
      <c r="A213" s="55">
        <v>213</v>
      </c>
      <c r="B213" s="56" t="s">
        <v>838</v>
      </c>
      <c r="C213" s="53" t="s">
        <v>839</v>
      </c>
      <c r="D213" s="62" t="s">
        <v>851</v>
      </c>
      <c r="E213" s="53" t="s">
        <v>118</v>
      </c>
      <c r="F213" s="53" t="s">
        <v>200</v>
      </c>
      <c r="G213" s="57" t="s">
        <v>1</v>
      </c>
      <c r="H213" s="57" t="s">
        <v>1</v>
      </c>
      <c r="I213" s="57" t="s">
        <v>1</v>
      </c>
      <c r="J213" s="57" t="s">
        <v>1</v>
      </c>
      <c r="K213" s="57" t="s">
        <v>1</v>
      </c>
      <c r="L213" s="23" t="str">
        <f t="shared" si="34"/>
        <v>Materialidades</v>
      </c>
      <c r="M213" s="23" t="str">
        <f t="shared" si="35"/>
        <v>Matérias Primas</v>
      </c>
      <c r="N213" s="23" t="str">
        <f t="shared" si="36"/>
        <v>Borrachas Naturais</v>
      </c>
      <c r="O213" s="23" t="str">
        <f t="shared" si="37"/>
        <v>Borracha Látex</v>
      </c>
      <c r="P213" s="50" t="s">
        <v>182</v>
      </c>
      <c r="Q213" s="50" t="str">
        <f t="shared" si="38"/>
        <v>Savia extraída del árbol de caucho (Hevea brasiliensis), la base del caucho natural</v>
      </c>
      <c r="R213" s="24" t="s">
        <v>1</v>
      </c>
      <c r="S213" s="24" t="str">
        <f t="shared" si="39"/>
        <v>Materialidades</v>
      </c>
      <c r="T213" s="24" t="str">
        <f t="shared" si="40"/>
        <v>Matérias Primas</v>
      </c>
      <c r="U213" s="24" t="str">
        <f t="shared" si="41"/>
        <v>Borrachas Naturais</v>
      </c>
      <c r="V213" s="24" t="s">
        <v>835</v>
      </c>
      <c r="W213" s="58" t="str">
        <f t="shared" si="33"/>
        <v>Key-MAT-213</v>
      </c>
      <c r="X213" s="24" t="s">
        <v>586</v>
      </c>
      <c r="Y213" s="24" t="s">
        <v>587</v>
      </c>
      <c r="Z213" s="63" t="s">
        <v>633</v>
      </c>
      <c r="AA213" s="24" t="str">
        <f t="shared" si="43"/>
        <v>Sap extracted from the rubber tree (Hevea brasiliensis), the basis of natural rubber</v>
      </c>
    </row>
    <row r="214" spans="1:27" ht="6.75" customHeight="1" x14ac:dyDescent="0.25">
      <c r="A214" s="55">
        <v>214</v>
      </c>
      <c r="B214" s="56" t="s">
        <v>838</v>
      </c>
      <c r="C214" s="53" t="s">
        <v>839</v>
      </c>
      <c r="D214" s="62" t="s">
        <v>851</v>
      </c>
      <c r="E214" s="53" t="s">
        <v>118</v>
      </c>
      <c r="F214" s="53" t="s">
        <v>221</v>
      </c>
      <c r="G214" s="57" t="s">
        <v>1</v>
      </c>
      <c r="H214" s="57" t="s">
        <v>1</v>
      </c>
      <c r="I214" s="57" t="s">
        <v>1</v>
      </c>
      <c r="J214" s="57" t="s">
        <v>1</v>
      </c>
      <c r="K214" s="57" t="s">
        <v>1</v>
      </c>
      <c r="L214" s="23" t="str">
        <f t="shared" si="34"/>
        <v>Materialidades</v>
      </c>
      <c r="M214" s="23" t="str">
        <f t="shared" si="35"/>
        <v>Matérias Primas</v>
      </c>
      <c r="N214" s="23" t="str">
        <f t="shared" si="36"/>
        <v>Borrachas Naturais</v>
      </c>
      <c r="O214" s="23" t="str">
        <f t="shared" si="37"/>
        <v>Borracha Folha</v>
      </c>
      <c r="P214" s="50" t="s">
        <v>198</v>
      </c>
      <c r="Q214" s="50" t="str">
        <f t="shared" si="38"/>
        <v>Láminas ahumadas con caucho natural</v>
      </c>
      <c r="R214" s="24" t="s">
        <v>1</v>
      </c>
      <c r="S214" s="24" t="str">
        <f t="shared" si="39"/>
        <v>Materialidades</v>
      </c>
      <c r="T214" s="24" t="str">
        <f t="shared" si="40"/>
        <v>Matérias Primas</v>
      </c>
      <c r="U214" s="24" t="str">
        <f t="shared" si="41"/>
        <v>Borrachas Naturais</v>
      </c>
      <c r="V214" s="24" t="s">
        <v>835</v>
      </c>
      <c r="W214" s="58" t="str">
        <f t="shared" si="33"/>
        <v>Key-MAT-214</v>
      </c>
      <c r="X214" s="24" t="s">
        <v>586</v>
      </c>
      <c r="Y214" s="24" t="s">
        <v>587</v>
      </c>
      <c r="Z214" s="63" t="s">
        <v>633</v>
      </c>
      <c r="AA214" s="24" t="str">
        <f t="shared" si="43"/>
        <v>Natural rubber smoked sheets</v>
      </c>
    </row>
    <row r="215" spans="1:27" ht="6.75" customHeight="1" x14ac:dyDescent="0.25">
      <c r="A215" s="55">
        <v>215</v>
      </c>
      <c r="B215" s="56" t="s">
        <v>838</v>
      </c>
      <c r="C215" s="53" t="s">
        <v>839</v>
      </c>
      <c r="D215" s="62" t="s">
        <v>851</v>
      </c>
      <c r="E215" s="53" t="s">
        <v>118</v>
      </c>
      <c r="F215" s="53" t="s">
        <v>222</v>
      </c>
      <c r="G215" s="57" t="s">
        <v>1</v>
      </c>
      <c r="H215" s="57" t="s">
        <v>1</v>
      </c>
      <c r="I215" s="57" t="s">
        <v>1</v>
      </c>
      <c r="J215" s="57" t="s">
        <v>1</v>
      </c>
      <c r="K215" s="57" t="s">
        <v>1</v>
      </c>
      <c r="L215" s="23" t="str">
        <f t="shared" si="34"/>
        <v>Materialidades</v>
      </c>
      <c r="M215" s="23" t="str">
        <f t="shared" si="35"/>
        <v>Matérias Primas</v>
      </c>
      <c r="N215" s="23" t="str">
        <f t="shared" si="36"/>
        <v>Borrachas Naturais</v>
      </c>
      <c r="O215" s="23" t="str">
        <f t="shared" si="37"/>
        <v>Borracha Crepe</v>
      </c>
      <c r="P215" s="50" t="s">
        <v>183</v>
      </c>
      <c r="Q215" s="50" t="str">
        <f t="shared" si="38"/>
        <v>Goma natural en forma de hojas finas (crepé claro, marrón, etc.)</v>
      </c>
      <c r="R215" s="24" t="s">
        <v>1</v>
      </c>
      <c r="S215" s="24" t="str">
        <f t="shared" si="39"/>
        <v>Materialidades</v>
      </c>
      <c r="T215" s="24" t="str">
        <f t="shared" si="40"/>
        <v>Matérias Primas</v>
      </c>
      <c r="U215" s="24" t="str">
        <f t="shared" si="41"/>
        <v>Borrachas Naturais</v>
      </c>
      <c r="V215" s="24" t="s">
        <v>835</v>
      </c>
      <c r="W215" s="58" t="str">
        <f t="shared" si="33"/>
        <v>Key-MAT-215</v>
      </c>
      <c r="X215" s="24" t="s">
        <v>586</v>
      </c>
      <c r="Y215" s="24" t="s">
        <v>587</v>
      </c>
      <c r="Z215" s="63" t="s">
        <v>633</v>
      </c>
      <c r="AA215" s="24" t="str">
        <f t="shared" si="43"/>
        <v>Natural rubber in the form of thin blades (pale crepe, brown, etc.)</v>
      </c>
    </row>
    <row r="216" spans="1:27" ht="6.75" customHeight="1" x14ac:dyDescent="0.25">
      <c r="A216" s="55">
        <v>216</v>
      </c>
      <c r="B216" s="56" t="s">
        <v>838</v>
      </c>
      <c r="C216" s="53" t="s">
        <v>839</v>
      </c>
      <c r="D216" s="62" t="s">
        <v>851</v>
      </c>
      <c r="E216" s="53" t="s">
        <v>118</v>
      </c>
      <c r="F216" s="53" t="s">
        <v>201</v>
      </c>
      <c r="G216" s="57" t="s">
        <v>1</v>
      </c>
      <c r="H216" s="57" t="s">
        <v>1</v>
      </c>
      <c r="I216" s="57" t="s">
        <v>1</v>
      </c>
      <c r="J216" s="57" t="s">
        <v>1</v>
      </c>
      <c r="K216" s="57" t="s">
        <v>1</v>
      </c>
      <c r="L216" s="23" t="str">
        <f t="shared" si="34"/>
        <v>Materialidades</v>
      </c>
      <c r="M216" s="23" t="str">
        <f t="shared" si="35"/>
        <v>Matérias Primas</v>
      </c>
      <c r="N216" s="23" t="str">
        <f t="shared" si="36"/>
        <v>Borrachas Naturais</v>
      </c>
      <c r="O216" s="23" t="str">
        <f t="shared" si="37"/>
        <v>Borracha ADS</v>
      </c>
      <c r="P216" s="50" t="s">
        <v>199</v>
      </c>
      <c r="Q216" s="50" t="str">
        <f t="shared" si="38"/>
        <v>Hojas secas al aire</v>
      </c>
      <c r="R216" s="24" t="s">
        <v>1</v>
      </c>
      <c r="S216" s="24" t="str">
        <f t="shared" si="39"/>
        <v>Materialidades</v>
      </c>
      <c r="T216" s="24" t="str">
        <f t="shared" si="40"/>
        <v>Matérias Primas</v>
      </c>
      <c r="U216" s="24" t="str">
        <f t="shared" si="41"/>
        <v>Borrachas Naturais</v>
      </c>
      <c r="V216" s="24" t="s">
        <v>835</v>
      </c>
      <c r="W216" s="58" t="str">
        <f t="shared" si="33"/>
        <v>Key-MAT-216</v>
      </c>
      <c r="X216" s="24" t="s">
        <v>586</v>
      </c>
      <c r="Y216" s="24" t="s">
        <v>587</v>
      </c>
      <c r="Z216" s="63" t="s">
        <v>633</v>
      </c>
      <c r="AA216" s="24" t="str">
        <f t="shared" si="43"/>
        <v>Air dried leaves</v>
      </c>
    </row>
    <row r="217" spans="1:27" ht="6.75" customHeight="1" x14ac:dyDescent="0.25">
      <c r="A217" s="55">
        <v>217</v>
      </c>
      <c r="B217" s="56" t="s">
        <v>838</v>
      </c>
      <c r="C217" s="53" t="s">
        <v>839</v>
      </c>
      <c r="D217" s="62" t="s">
        <v>851</v>
      </c>
      <c r="E217" s="53" t="s">
        <v>118</v>
      </c>
      <c r="F217" s="53" t="s">
        <v>202</v>
      </c>
      <c r="G217" s="57" t="s">
        <v>1</v>
      </c>
      <c r="H217" s="57" t="s">
        <v>1</v>
      </c>
      <c r="I217" s="57" t="s">
        <v>1</v>
      </c>
      <c r="J217" s="57" t="s">
        <v>1</v>
      </c>
      <c r="K217" s="57" t="s">
        <v>1</v>
      </c>
      <c r="L217" s="23" t="str">
        <f t="shared" si="34"/>
        <v>Materialidades</v>
      </c>
      <c r="M217" s="23" t="str">
        <f t="shared" si="35"/>
        <v>Matérias Primas</v>
      </c>
      <c r="N217" s="23" t="str">
        <f t="shared" si="36"/>
        <v>Borrachas Naturais</v>
      </c>
      <c r="O217" s="23" t="str">
        <f t="shared" si="37"/>
        <v>Borracha SMR</v>
      </c>
      <c r="P217" s="50" t="s">
        <v>184</v>
      </c>
      <c r="Q217" s="50" t="str">
        <f t="shared" si="38"/>
        <v>Caucho Natural Estándar de Malasia</v>
      </c>
      <c r="R217" s="24" t="s">
        <v>1</v>
      </c>
      <c r="S217" s="24" t="str">
        <f t="shared" si="39"/>
        <v>Materialidades</v>
      </c>
      <c r="T217" s="24" t="str">
        <f t="shared" si="40"/>
        <v>Matérias Primas</v>
      </c>
      <c r="U217" s="24" t="str">
        <f t="shared" si="41"/>
        <v>Borrachas Naturais</v>
      </c>
      <c r="V217" s="24" t="s">
        <v>835</v>
      </c>
      <c r="W217" s="58" t="str">
        <f t="shared" si="33"/>
        <v>Key-MAT-217</v>
      </c>
      <c r="X217" s="24" t="s">
        <v>586</v>
      </c>
      <c r="Y217" s="24" t="s">
        <v>587</v>
      </c>
      <c r="Z217" s="63" t="s">
        <v>633</v>
      </c>
      <c r="AA217" s="24" t="str">
        <f t="shared" si="43"/>
        <v>Malaysian Standard Natural Rubber</v>
      </c>
    </row>
    <row r="218" spans="1:27" ht="6.75" customHeight="1" x14ac:dyDescent="0.25">
      <c r="A218" s="55">
        <v>218</v>
      </c>
      <c r="B218" s="56" t="s">
        <v>838</v>
      </c>
      <c r="C218" s="53" t="s">
        <v>839</v>
      </c>
      <c r="D218" s="62" t="s">
        <v>851</v>
      </c>
      <c r="E218" s="53" t="s">
        <v>118</v>
      </c>
      <c r="F218" s="53" t="s">
        <v>203</v>
      </c>
      <c r="G218" s="57" t="s">
        <v>1</v>
      </c>
      <c r="H218" s="57" t="s">
        <v>1</v>
      </c>
      <c r="I218" s="57" t="s">
        <v>1</v>
      </c>
      <c r="J218" s="57" t="s">
        <v>1</v>
      </c>
      <c r="K218" s="57" t="s">
        <v>1</v>
      </c>
      <c r="L218" s="23" t="str">
        <f t="shared" si="34"/>
        <v>Materialidades</v>
      </c>
      <c r="M218" s="23" t="str">
        <f t="shared" si="35"/>
        <v>Matérias Primas</v>
      </c>
      <c r="N218" s="23" t="str">
        <f t="shared" si="36"/>
        <v>Borrachas Naturais</v>
      </c>
      <c r="O218" s="23" t="str">
        <f t="shared" si="37"/>
        <v>Borracha SIR</v>
      </c>
      <c r="P218" s="50" t="s">
        <v>185</v>
      </c>
      <c r="Q218" s="50" t="str">
        <f t="shared" si="38"/>
        <v>Caucho Natural Estándar de Indonesia</v>
      </c>
      <c r="R218" s="24" t="s">
        <v>1</v>
      </c>
      <c r="S218" s="24" t="str">
        <f t="shared" si="39"/>
        <v>Materialidades</v>
      </c>
      <c r="T218" s="24" t="str">
        <f t="shared" si="40"/>
        <v>Matérias Primas</v>
      </c>
      <c r="U218" s="24" t="str">
        <f t="shared" si="41"/>
        <v>Borrachas Naturais</v>
      </c>
      <c r="V218" s="24" t="s">
        <v>835</v>
      </c>
      <c r="W218" s="58" t="str">
        <f t="shared" si="33"/>
        <v>Key-MAT-218</v>
      </c>
      <c r="X218" s="24" t="s">
        <v>586</v>
      </c>
      <c r="Y218" s="24" t="s">
        <v>587</v>
      </c>
      <c r="Z218" s="63" t="s">
        <v>633</v>
      </c>
      <c r="AA218" s="24" t="str">
        <f t="shared" si="43"/>
        <v>Indonesia Standard Natural Rubber</v>
      </c>
    </row>
    <row r="219" spans="1:27" ht="6.75" customHeight="1" x14ac:dyDescent="0.25">
      <c r="A219" s="55">
        <v>219</v>
      </c>
      <c r="B219" s="56" t="s">
        <v>838</v>
      </c>
      <c r="C219" s="53" t="s">
        <v>839</v>
      </c>
      <c r="D219" s="62" t="s">
        <v>851</v>
      </c>
      <c r="E219" s="53" t="s">
        <v>118</v>
      </c>
      <c r="F219" s="53" t="s">
        <v>204</v>
      </c>
      <c r="G219" s="57" t="s">
        <v>1</v>
      </c>
      <c r="H219" s="57" t="s">
        <v>1</v>
      </c>
      <c r="I219" s="57" t="s">
        <v>1</v>
      </c>
      <c r="J219" s="57" t="s">
        <v>1</v>
      </c>
      <c r="K219" s="57" t="s">
        <v>1</v>
      </c>
      <c r="L219" s="23" t="str">
        <f t="shared" si="34"/>
        <v>Materialidades</v>
      </c>
      <c r="M219" s="23" t="str">
        <f t="shared" si="35"/>
        <v>Matérias Primas</v>
      </c>
      <c r="N219" s="23" t="str">
        <f t="shared" si="36"/>
        <v>Borrachas Naturais</v>
      </c>
      <c r="O219" s="23" t="str">
        <f t="shared" si="37"/>
        <v>Borracha STR</v>
      </c>
      <c r="P219" s="50" t="s">
        <v>186</v>
      </c>
      <c r="Q219" s="50" t="str">
        <f t="shared" si="38"/>
        <v>Caucho Natural Estándar de Tailandia</v>
      </c>
      <c r="R219" s="24" t="s">
        <v>1</v>
      </c>
      <c r="S219" s="24" t="str">
        <f t="shared" si="39"/>
        <v>Materialidades</v>
      </c>
      <c r="T219" s="24" t="str">
        <f t="shared" si="40"/>
        <v>Matérias Primas</v>
      </c>
      <c r="U219" s="24" t="str">
        <f t="shared" si="41"/>
        <v>Borrachas Naturais</v>
      </c>
      <c r="V219" s="24" t="s">
        <v>835</v>
      </c>
      <c r="W219" s="58" t="str">
        <f t="shared" si="33"/>
        <v>Key-MAT-219</v>
      </c>
      <c r="X219" s="24" t="s">
        <v>586</v>
      </c>
      <c r="Y219" s="24" t="s">
        <v>587</v>
      </c>
      <c r="Z219" s="63" t="s">
        <v>633</v>
      </c>
      <c r="AA219" s="24" t="str">
        <f t="shared" si="43"/>
        <v>Thailand Standard Natural Rubber</v>
      </c>
    </row>
    <row r="220" spans="1:27" ht="6.75" customHeight="1" x14ac:dyDescent="0.25">
      <c r="A220" s="55">
        <v>220</v>
      </c>
      <c r="B220" s="56" t="s">
        <v>838</v>
      </c>
      <c r="C220" s="53" t="s">
        <v>839</v>
      </c>
      <c r="D220" s="62" t="s">
        <v>851</v>
      </c>
      <c r="E220" s="53" t="s">
        <v>118</v>
      </c>
      <c r="F220" s="53" t="s">
        <v>205</v>
      </c>
      <c r="G220" s="57" t="s">
        <v>1</v>
      </c>
      <c r="H220" s="57" t="s">
        <v>1</v>
      </c>
      <c r="I220" s="57" t="s">
        <v>1</v>
      </c>
      <c r="J220" s="57" t="s">
        <v>1</v>
      </c>
      <c r="K220" s="57" t="s">
        <v>1</v>
      </c>
      <c r="L220" s="23" t="str">
        <f t="shared" si="34"/>
        <v>Materialidades</v>
      </c>
      <c r="M220" s="23" t="str">
        <f t="shared" si="35"/>
        <v>Matérias Primas</v>
      </c>
      <c r="N220" s="23" t="str">
        <f t="shared" si="36"/>
        <v>Borrachas Naturais</v>
      </c>
      <c r="O220" s="23" t="str">
        <f t="shared" si="37"/>
        <v>Borracha SR</v>
      </c>
      <c r="P220" s="50" t="s">
        <v>187</v>
      </c>
      <c r="Q220" s="50" t="str">
        <f t="shared" si="38"/>
        <v>Goma Natural Genérica Estándar</v>
      </c>
      <c r="R220" s="24" t="s">
        <v>1</v>
      </c>
      <c r="S220" s="24" t="str">
        <f t="shared" si="39"/>
        <v>Materialidades</v>
      </c>
      <c r="T220" s="24" t="str">
        <f t="shared" si="40"/>
        <v>Matérias Primas</v>
      </c>
      <c r="U220" s="24" t="str">
        <f t="shared" si="41"/>
        <v>Borrachas Naturais</v>
      </c>
      <c r="V220" s="24" t="s">
        <v>835</v>
      </c>
      <c r="W220" s="58" t="str">
        <f t="shared" si="33"/>
        <v>Key-MAT-220</v>
      </c>
      <c r="X220" s="24" t="s">
        <v>586</v>
      </c>
      <c r="Y220" s="24" t="s">
        <v>587</v>
      </c>
      <c r="Z220" s="63" t="s">
        <v>633</v>
      </c>
      <c r="AA220" s="24" t="str">
        <f t="shared" si="43"/>
        <v>Generic Standard Natural Rubber</v>
      </c>
    </row>
    <row r="221" spans="1:27" ht="6.75" customHeight="1" x14ac:dyDescent="0.25">
      <c r="A221" s="55">
        <v>221</v>
      </c>
      <c r="B221" s="56" t="s">
        <v>838</v>
      </c>
      <c r="C221" s="53" t="s">
        <v>839</v>
      </c>
      <c r="D221" s="62" t="s">
        <v>851</v>
      </c>
      <c r="E221" s="53" t="s">
        <v>118</v>
      </c>
      <c r="F221" s="53" t="s">
        <v>206</v>
      </c>
      <c r="G221" s="57" t="s">
        <v>1</v>
      </c>
      <c r="H221" s="57" t="s">
        <v>1</v>
      </c>
      <c r="I221" s="57" t="s">
        <v>1</v>
      </c>
      <c r="J221" s="57" t="s">
        <v>1</v>
      </c>
      <c r="K221" s="57" t="s">
        <v>1</v>
      </c>
      <c r="L221" s="23" t="str">
        <f t="shared" si="34"/>
        <v>Materialidades</v>
      </c>
      <c r="M221" s="23" t="str">
        <f t="shared" si="35"/>
        <v>Matérias Primas</v>
      </c>
      <c r="N221" s="23" t="str">
        <f t="shared" si="36"/>
        <v>Borrachas Naturais</v>
      </c>
      <c r="O221" s="23" t="str">
        <f t="shared" si="37"/>
        <v>Borracha SVR</v>
      </c>
      <c r="P221" s="50" t="s">
        <v>188</v>
      </c>
      <c r="Q221" s="50" t="str">
        <f t="shared" si="38"/>
        <v>Caucho natural estándar de Vietnam</v>
      </c>
      <c r="R221" s="24" t="s">
        <v>1</v>
      </c>
      <c r="S221" s="24" t="str">
        <f t="shared" si="39"/>
        <v>Materialidades</v>
      </c>
      <c r="T221" s="24" t="str">
        <f t="shared" si="40"/>
        <v>Matérias Primas</v>
      </c>
      <c r="U221" s="24" t="str">
        <f t="shared" si="41"/>
        <v>Borrachas Naturais</v>
      </c>
      <c r="V221" s="24" t="s">
        <v>835</v>
      </c>
      <c r="W221" s="58" t="str">
        <f t="shared" si="33"/>
        <v>Key-MAT-221</v>
      </c>
      <c r="X221" s="24" t="s">
        <v>586</v>
      </c>
      <c r="Y221" s="24" t="s">
        <v>587</v>
      </c>
      <c r="Z221" s="63" t="s">
        <v>633</v>
      </c>
      <c r="AA221" s="24" t="str">
        <f t="shared" si="43"/>
        <v>Vietnam standard natural rubber</v>
      </c>
    </row>
    <row r="222" spans="1:27" ht="6.75" customHeight="1" x14ac:dyDescent="0.25">
      <c r="A222" s="55">
        <v>222</v>
      </c>
      <c r="B222" s="56" t="s">
        <v>838</v>
      </c>
      <c r="C222" s="53" t="s">
        <v>839</v>
      </c>
      <c r="D222" s="62" t="s">
        <v>851</v>
      </c>
      <c r="E222" s="53" t="s">
        <v>426</v>
      </c>
      <c r="F222" s="53" t="s">
        <v>105</v>
      </c>
      <c r="G222" s="57" t="s">
        <v>1</v>
      </c>
      <c r="H222" s="57" t="s">
        <v>1</v>
      </c>
      <c r="I222" s="57" t="s">
        <v>1</v>
      </c>
      <c r="J222" s="57" t="s">
        <v>1</v>
      </c>
      <c r="K222" s="57" t="s">
        <v>1</v>
      </c>
      <c r="L222" s="23" t="str">
        <f t="shared" si="34"/>
        <v>Materialidades</v>
      </c>
      <c r="M222" s="23" t="str">
        <f t="shared" si="35"/>
        <v>Matérias Primas</v>
      </c>
      <c r="N222" s="23" t="str">
        <f t="shared" si="36"/>
        <v>Plásticas</v>
      </c>
      <c r="O222" s="23" t="str">
        <f t="shared" si="37"/>
        <v>Plástico</v>
      </c>
      <c r="P222" s="50" t="s">
        <v>105</v>
      </c>
      <c r="Q222" s="50" t="str">
        <f t="shared" si="38"/>
        <v>Plástico</v>
      </c>
      <c r="R222" s="24" t="s">
        <v>1</v>
      </c>
      <c r="S222" s="24" t="str">
        <f t="shared" si="39"/>
        <v>Materialidades</v>
      </c>
      <c r="T222" s="24" t="str">
        <f t="shared" si="40"/>
        <v>Matérias Primas</v>
      </c>
      <c r="U222" s="24" t="str">
        <f t="shared" si="41"/>
        <v>Plásticas</v>
      </c>
      <c r="V222" s="24" t="s">
        <v>835</v>
      </c>
      <c r="W222" s="58" t="str">
        <f t="shared" si="33"/>
        <v>Key-MAT-222</v>
      </c>
      <c r="X222" s="24" t="s">
        <v>586</v>
      </c>
      <c r="Y222" s="24" t="s">
        <v>587</v>
      </c>
      <c r="Z222" s="63" t="s">
        <v>763</v>
      </c>
      <c r="AA222" s="24" t="str">
        <f t="shared" si="43"/>
        <v>Plastic</v>
      </c>
    </row>
    <row r="223" spans="1:27" ht="6.75" customHeight="1" x14ac:dyDescent="0.25">
      <c r="A223" s="55">
        <v>223</v>
      </c>
      <c r="B223" s="56" t="s">
        <v>838</v>
      </c>
      <c r="C223" s="53" t="s">
        <v>839</v>
      </c>
      <c r="D223" s="62" t="s">
        <v>851</v>
      </c>
      <c r="E223" s="53" t="s">
        <v>426</v>
      </c>
      <c r="F223" s="53" t="s">
        <v>571</v>
      </c>
      <c r="G223" s="57" t="s">
        <v>1</v>
      </c>
      <c r="H223" s="57" t="s">
        <v>1</v>
      </c>
      <c r="I223" s="57" t="s">
        <v>1</v>
      </c>
      <c r="J223" s="57" t="s">
        <v>1</v>
      </c>
      <c r="K223" s="57" t="s">
        <v>1</v>
      </c>
      <c r="L223" s="23" t="str">
        <f t="shared" si="34"/>
        <v>Materialidades</v>
      </c>
      <c r="M223" s="23" t="str">
        <f t="shared" si="35"/>
        <v>Matérias Primas</v>
      </c>
      <c r="N223" s="23" t="str">
        <f t="shared" si="36"/>
        <v>Plásticas</v>
      </c>
      <c r="O223" s="23" t="str">
        <f t="shared" si="37"/>
        <v>Acrilonitrila Butadieno Estireno ABE</v>
      </c>
      <c r="P223" s="50" t="s">
        <v>409</v>
      </c>
      <c r="Q223" s="50" t="str">
        <f t="shared" si="38"/>
        <v>ABE Estireno de Acrilonitrilo Butadieno ABE</v>
      </c>
      <c r="R223" s="24" t="s">
        <v>1</v>
      </c>
      <c r="S223" s="24" t="str">
        <f t="shared" si="39"/>
        <v>Materialidades</v>
      </c>
      <c r="T223" s="24" t="str">
        <f t="shared" si="40"/>
        <v>Matérias Primas</v>
      </c>
      <c r="U223" s="24" t="str">
        <f t="shared" si="41"/>
        <v>Plásticas</v>
      </c>
      <c r="V223" s="24" t="s">
        <v>835</v>
      </c>
      <c r="W223" s="58" t="str">
        <f t="shared" si="33"/>
        <v>Key-MAT-223</v>
      </c>
      <c r="X223" s="24" t="s">
        <v>586</v>
      </c>
      <c r="Y223" s="24" t="s">
        <v>587</v>
      </c>
      <c r="Z223" s="63" t="s">
        <v>764</v>
      </c>
      <c r="AA223" s="24" t="str">
        <f t="shared" si="43"/>
        <v>ABE Acrylonitrile Butadiene Styrene ABE</v>
      </c>
    </row>
    <row r="224" spans="1:27" ht="6.75" customHeight="1" x14ac:dyDescent="0.25">
      <c r="A224" s="55">
        <v>224</v>
      </c>
      <c r="B224" s="56" t="s">
        <v>838</v>
      </c>
      <c r="C224" s="53" t="s">
        <v>839</v>
      </c>
      <c r="D224" s="62" t="s">
        <v>851</v>
      </c>
      <c r="E224" s="53" t="s">
        <v>426</v>
      </c>
      <c r="F224" s="53" t="s">
        <v>408</v>
      </c>
      <c r="G224" s="57" t="s">
        <v>1</v>
      </c>
      <c r="H224" s="57" t="s">
        <v>1</v>
      </c>
      <c r="I224" s="57" t="s">
        <v>1</v>
      </c>
      <c r="J224" s="57" t="s">
        <v>1</v>
      </c>
      <c r="K224" s="57" t="s">
        <v>1</v>
      </c>
      <c r="L224" s="23" t="str">
        <f t="shared" si="34"/>
        <v>Materialidades</v>
      </c>
      <c r="M224" s="23" t="str">
        <f t="shared" si="35"/>
        <v>Matérias Primas</v>
      </c>
      <c r="N224" s="23" t="str">
        <f t="shared" si="36"/>
        <v>Plásticas</v>
      </c>
      <c r="O224" s="23" t="str">
        <f t="shared" si="37"/>
        <v>Acrilico Polimetilmetacrilato</v>
      </c>
      <c r="P224" s="50" t="s">
        <v>410</v>
      </c>
      <c r="Q224" s="50" t="str">
        <f t="shared" si="38"/>
        <v>Polimetilmetacrilato acrílico</v>
      </c>
      <c r="R224" s="24" t="s">
        <v>1</v>
      </c>
      <c r="S224" s="24" t="str">
        <f t="shared" si="39"/>
        <v>Materialidades</v>
      </c>
      <c r="T224" s="24" t="str">
        <f t="shared" si="40"/>
        <v>Matérias Primas</v>
      </c>
      <c r="U224" s="24" t="str">
        <f t="shared" si="41"/>
        <v>Plásticas</v>
      </c>
      <c r="V224" s="24" t="s">
        <v>835</v>
      </c>
      <c r="W224" s="58" t="str">
        <f t="shared" si="33"/>
        <v>Key-MAT-224</v>
      </c>
      <c r="X224" s="24" t="s">
        <v>586</v>
      </c>
      <c r="Y224" s="24" t="s">
        <v>587</v>
      </c>
      <c r="Z224" s="63" t="s">
        <v>765</v>
      </c>
      <c r="AA224" s="24" t="str">
        <f t="shared" si="43"/>
        <v>Acrylic Polymethyl Methacrylate</v>
      </c>
    </row>
    <row r="225" spans="1:27" ht="6.75" customHeight="1" x14ac:dyDescent="0.25">
      <c r="A225" s="55">
        <v>225</v>
      </c>
      <c r="B225" s="56" t="s">
        <v>838</v>
      </c>
      <c r="C225" s="53" t="s">
        <v>839</v>
      </c>
      <c r="D225" s="62" t="s">
        <v>851</v>
      </c>
      <c r="E225" s="53" t="s">
        <v>426</v>
      </c>
      <c r="F225" s="53" t="s">
        <v>390</v>
      </c>
      <c r="G225" s="57" t="s">
        <v>1</v>
      </c>
      <c r="H225" s="57" t="s">
        <v>1</v>
      </c>
      <c r="I225" s="57" t="s">
        <v>1</v>
      </c>
      <c r="J225" s="57" t="s">
        <v>1</v>
      </c>
      <c r="K225" s="57" t="s">
        <v>1</v>
      </c>
      <c r="L225" s="23" t="str">
        <f t="shared" si="34"/>
        <v>Materialidades</v>
      </c>
      <c r="M225" s="23" t="str">
        <f t="shared" si="35"/>
        <v>Matérias Primas</v>
      </c>
      <c r="N225" s="23" t="str">
        <f t="shared" si="36"/>
        <v>Plásticas</v>
      </c>
      <c r="O225" s="23" t="str">
        <f t="shared" si="37"/>
        <v>Epóxi</v>
      </c>
      <c r="P225" s="50" t="s">
        <v>390</v>
      </c>
      <c r="Q225" s="50" t="str">
        <f t="shared" si="38"/>
        <v>Epoxi</v>
      </c>
      <c r="R225" s="24" t="s">
        <v>1</v>
      </c>
      <c r="S225" s="24" t="str">
        <f t="shared" si="39"/>
        <v>Materialidades</v>
      </c>
      <c r="T225" s="24" t="str">
        <f t="shared" si="40"/>
        <v>Matérias Primas</v>
      </c>
      <c r="U225" s="24" t="str">
        <f t="shared" si="41"/>
        <v>Plásticas</v>
      </c>
      <c r="V225" s="24" t="s">
        <v>835</v>
      </c>
      <c r="W225" s="58" t="str">
        <f t="shared" si="33"/>
        <v>Key-MAT-225</v>
      </c>
      <c r="X225" s="24" t="s">
        <v>586</v>
      </c>
      <c r="Y225" s="24" t="s">
        <v>587</v>
      </c>
      <c r="Z225" s="63" t="s">
        <v>766</v>
      </c>
      <c r="AA225" s="24" t="str">
        <f t="shared" si="43"/>
        <v>Epoxy</v>
      </c>
    </row>
    <row r="226" spans="1:27" ht="6.75" customHeight="1" x14ac:dyDescent="0.25">
      <c r="A226" s="55">
        <v>226</v>
      </c>
      <c r="B226" s="56" t="s">
        <v>838</v>
      </c>
      <c r="C226" s="53" t="s">
        <v>839</v>
      </c>
      <c r="D226" s="62" t="s">
        <v>851</v>
      </c>
      <c r="E226" s="53" t="s">
        <v>426</v>
      </c>
      <c r="F226" s="53" t="s">
        <v>391</v>
      </c>
      <c r="G226" s="57" t="s">
        <v>1</v>
      </c>
      <c r="H226" s="57" t="s">
        <v>1</v>
      </c>
      <c r="I226" s="57" t="s">
        <v>1</v>
      </c>
      <c r="J226" s="57" t="s">
        <v>1</v>
      </c>
      <c r="K226" s="57" t="s">
        <v>1</v>
      </c>
      <c r="L226" s="23" t="str">
        <f t="shared" si="34"/>
        <v>Materialidades</v>
      </c>
      <c r="M226" s="23" t="str">
        <f t="shared" si="35"/>
        <v>Matérias Primas</v>
      </c>
      <c r="N226" s="23" t="str">
        <f t="shared" si="36"/>
        <v>Plásticas</v>
      </c>
      <c r="O226" s="23" t="str">
        <f t="shared" si="37"/>
        <v>Poliamida</v>
      </c>
      <c r="P226" s="50" t="s">
        <v>391</v>
      </c>
      <c r="Q226" s="50" t="str">
        <f t="shared" si="38"/>
        <v>Poliamida</v>
      </c>
      <c r="R226" s="24" t="s">
        <v>1</v>
      </c>
      <c r="S226" s="24" t="str">
        <f t="shared" si="39"/>
        <v>Materialidades</v>
      </c>
      <c r="T226" s="24" t="str">
        <f t="shared" si="40"/>
        <v>Matérias Primas</v>
      </c>
      <c r="U226" s="24" t="str">
        <f t="shared" si="41"/>
        <v>Plásticas</v>
      </c>
      <c r="V226" s="24" t="s">
        <v>835</v>
      </c>
      <c r="W226" s="58" t="str">
        <f t="shared" si="33"/>
        <v>Key-MAT-226</v>
      </c>
      <c r="X226" s="24" t="s">
        <v>586</v>
      </c>
      <c r="Y226" s="24" t="s">
        <v>587</v>
      </c>
      <c r="Z226" s="63" t="s">
        <v>767</v>
      </c>
      <c r="AA226" s="24" t="str">
        <f t="shared" si="43"/>
        <v>Polyamide</v>
      </c>
    </row>
    <row r="227" spans="1:27" ht="6.75" customHeight="1" x14ac:dyDescent="0.25">
      <c r="A227" s="55">
        <v>227</v>
      </c>
      <c r="B227" s="56" t="s">
        <v>838</v>
      </c>
      <c r="C227" s="53" t="s">
        <v>839</v>
      </c>
      <c r="D227" s="62" t="s">
        <v>851</v>
      </c>
      <c r="E227" s="53" t="s">
        <v>426</v>
      </c>
      <c r="F227" s="53" t="s">
        <v>398</v>
      </c>
      <c r="G227" s="57" t="s">
        <v>1</v>
      </c>
      <c r="H227" s="57" t="s">
        <v>1</v>
      </c>
      <c r="I227" s="57" t="s">
        <v>1</v>
      </c>
      <c r="J227" s="57" t="s">
        <v>1</v>
      </c>
      <c r="K227" s="57" t="s">
        <v>1</v>
      </c>
      <c r="L227" s="23" t="str">
        <f t="shared" si="34"/>
        <v>Materialidades</v>
      </c>
      <c r="M227" s="23" t="str">
        <f t="shared" si="35"/>
        <v>Matérias Primas</v>
      </c>
      <c r="N227" s="23" t="str">
        <f t="shared" si="36"/>
        <v>Plásticas</v>
      </c>
      <c r="O227" s="23" t="str">
        <f t="shared" si="37"/>
        <v>Polibutileno PB</v>
      </c>
      <c r="P227" s="50" t="s">
        <v>411</v>
      </c>
      <c r="Q227" s="50" t="str">
        <f t="shared" si="38"/>
        <v>Polibutileno PB</v>
      </c>
      <c r="R227" s="24" t="s">
        <v>1</v>
      </c>
      <c r="S227" s="24" t="str">
        <f t="shared" si="39"/>
        <v>Materialidades</v>
      </c>
      <c r="T227" s="24" t="str">
        <f t="shared" si="40"/>
        <v>Matérias Primas</v>
      </c>
      <c r="U227" s="24" t="str">
        <f t="shared" si="41"/>
        <v>Plásticas</v>
      </c>
      <c r="V227" s="24" t="s">
        <v>835</v>
      </c>
      <c r="W227" s="58" t="str">
        <f t="shared" si="33"/>
        <v>Key-MAT-227</v>
      </c>
      <c r="X227" s="24" t="s">
        <v>586</v>
      </c>
      <c r="Y227" s="24" t="s">
        <v>587</v>
      </c>
      <c r="Z227" s="63" t="s">
        <v>768</v>
      </c>
      <c r="AA227" s="24" t="str">
        <f t="shared" si="43"/>
        <v>Polybutylene PB</v>
      </c>
    </row>
    <row r="228" spans="1:27" ht="6.75" customHeight="1" x14ac:dyDescent="0.25">
      <c r="A228" s="55">
        <v>228</v>
      </c>
      <c r="B228" s="56" t="s">
        <v>838</v>
      </c>
      <c r="C228" s="53" t="s">
        <v>839</v>
      </c>
      <c r="D228" s="62" t="s">
        <v>851</v>
      </c>
      <c r="E228" s="53" t="s">
        <v>426</v>
      </c>
      <c r="F228" s="53" t="s">
        <v>397</v>
      </c>
      <c r="G228" s="57" t="s">
        <v>1</v>
      </c>
      <c r="H228" s="57" t="s">
        <v>1</v>
      </c>
      <c r="I228" s="57" t="s">
        <v>1</v>
      </c>
      <c r="J228" s="57" t="s">
        <v>1</v>
      </c>
      <c r="K228" s="57" t="s">
        <v>1</v>
      </c>
      <c r="L228" s="23" t="str">
        <f t="shared" si="34"/>
        <v>Materialidades</v>
      </c>
      <c r="M228" s="23" t="str">
        <f t="shared" si="35"/>
        <v>Matérias Primas</v>
      </c>
      <c r="N228" s="23" t="str">
        <f t="shared" si="36"/>
        <v>Plásticas</v>
      </c>
      <c r="O228" s="23" t="str">
        <f t="shared" si="37"/>
        <v>Fenólico</v>
      </c>
      <c r="P228" s="50" t="s">
        <v>397</v>
      </c>
      <c r="Q228" s="50" t="str">
        <f t="shared" si="38"/>
        <v>Fenólico</v>
      </c>
      <c r="R228" s="24" t="s">
        <v>1</v>
      </c>
      <c r="S228" s="24" t="str">
        <f t="shared" si="39"/>
        <v>Materialidades</v>
      </c>
      <c r="T228" s="24" t="str">
        <f t="shared" si="40"/>
        <v>Matérias Primas</v>
      </c>
      <c r="U228" s="24" t="str">
        <f t="shared" si="41"/>
        <v>Plásticas</v>
      </c>
      <c r="V228" s="24" t="s">
        <v>835</v>
      </c>
      <c r="W228" s="58" t="str">
        <f t="shared" si="33"/>
        <v>Key-MAT-228</v>
      </c>
      <c r="X228" s="24" t="s">
        <v>586</v>
      </c>
      <c r="Y228" s="24" t="s">
        <v>587</v>
      </c>
      <c r="Z228" s="63" t="s">
        <v>769</v>
      </c>
      <c r="AA228" s="24" t="str">
        <f t="shared" si="43"/>
        <v>Phenolic</v>
      </c>
    </row>
    <row r="229" spans="1:27" ht="6.75" customHeight="1" x14ac:dyDescent="0.25">
      <c r="A229" s="55">
        <v>229</v>
      </c>
      <c r="B229" s="56" t="s">
        <v>838</v>
      </c>
      <c r="C229" s="53" t="s">
        <v>839</v>
      </c>
      <c r="D229" s="62" t="s">
        <v>851</v>
      </c>
      <c r="E229" s="53" t="s">
        <v>426</v>
      </c>
      <c r="F229" s="53" t="s">
        <v>392</v>
      </c>
      <c r="G229" s="57" t="s">
        <v>1</v>
      </c>
      <c r="H229" s="57" t="s">
        <v>1</v>
      </c>
      <c r="I229" s="57" t="s">
        <v>1</v>
      </c>
      <c r="J229" s="57" t="s">
        <v>1</v>
      </c>
      <c r="K229" s="57" t="s">
        <v>1</v>
      </c>
      <c r="L229" s="23" t="str">
        <f t="shared" si="34"/>
        <v>Materialidades</v>
      </c>
      <c r="M229" s="23" t="str">
        <f t="shared" si="35"/>
        <v>Matérias Primas</v>
      </c>
      <c r="N229" s="23" t="str">
        <f t="shared" si="36"/>
        <v>Plásticas</v>
      </c>
      <c r="O229" s="23" t="str">
        <f t="shared" si="37"/>
        <v>Policarbonato</v>
      </c>
      <c r="P229" s="50" t="s">
        <v>392</v>
      </c>
      <c r="Q229" s="50" t="str">
        <f t="shared" si="38"/>
        <v>Policarbonato</v>
      </c>
      <c r="R229" s="24" t="s">
        <v>1</v>
      </c>
      <c r="S229" s="24" t="str">
        <f t="shared" si="39"/>
        <v>Materialidades</v>
      </c>
      <c r="T229" s="24" t="str">
        <f t="shared" si="40"/>
        <v>Matérias Primas</v>
      </c>
      <c r="U229" s="24" t="str">
        <f t="shared" si="41"/>
        <v>Plásticas</v>
      </c>
      <c r="V229" s="24" t="s">
        <v>835</v>
      </c>
      <c r="W229" s="58" t="str">
        <f t="shared" si="33"/>
        <v>Key-MAT-229</v>
      </c>
      <c r="X229" s="24" t="s">
        <v>586</v>
      </c>
      <c r="Y229" s="24" t="s">
        <v>587</v>
      </c>
      <c r="Z229" s="63" t="s">
        <v>770</v>
      </c>
      <c r="AA229" s="24" t="str">
        <f t="shared" si="43"/>
        <v>Polycarbonate</v>
      </c>
    </row>
    <row r="230" spans="1:27" ht="6.75" customHeight="1" x14ac:dyDescent="0.25">
      <c r="A230" s="55">
        <v>230</v>
      </c>
      <c r="B230" s="56" t="s">
        <v>838</v>
      </c>
      <c r="C230" s="53" t="s">
        <v>839</v>
      </c>
      <c r="D230" s="62" t="s">
        <v>851</v>
      </c>
      <c r="E230" s="53" t="s">
        <v>426</v>
      </c>
      <c r="F230" s="53" t="s">
        <v>393</v>
      </c>
      <c r="G230" s="57" t="s">
        <v>1</v>
      </c>
      <c r="H230" s="57" t="s">
        <v>1</v>
      </c>
      <c r="I230" s="57" t="s">
        <v>1</v>
      </c>
      <c r="J230" s="57" t="s">
        <v>1</v>
      </c>
      <c r="K230" s="57" t="s">
        <v>1</v>
      </c>
      <c r="L230" s="23" t="str">
        <f t="shared" si="34"/>
        <v>Materialidades</v>
      </c>
      <c r="M230" s="23" t="str">
        <f t="shared" si="35"/>
        <v>Matérias Primas</v>
      </c>
      <c r="N230" s="23" t="str">
        <f t="shared" si="36"/>
        <v>Plásticas</v>
      </c>
      <c r="O230" s="23" t="str">
        <f t="shared" si="37"/>
        <v>Poliester</v>
      </c>
      <c r="P230" s="50" t="s">
        <v>393</v>
      </c>
      <c r="Q230" s="50" t="str">
        <f t="shared" si="38"/>
        <v>Poliéster</v>
      </c>
      <c r="R230" s="24" t="s">
        <v>1</v>
      </c>
      <c r="S230" s="24" t="str">
        <f t="shared" si="39"/>
        <v>Materialidades</v>
      </c>
      <c r="T230" s="24" t="str">
        <f t="shared" si="40"/>
        <v>Matérias Primas</v>
      </c>
      <c r="U230" s="24" t="str">
        <f t="shared" si="41"/>
        <v>Plásticas</v>
      </c>
      <c r="V230" s="24" t="s">
        <v>835</v>
      </c>
      <c r="W230" s="58" t="str">
        <f t="shared" si="33"/>
        <v>Key-MAT-230</v>
      </c>
      <c r="X230" s="24" t="s">
        <v>586</v>
      </c>
      <c r="Y230" s="24" t="s">
        <v>587</v>
      </c>
      <c r="Z230" s="63" t="s">
        <v>771</v>
      </c>
      <c r="AA230" s="24" t="str">
        <f t="shared" si="43"/>
        <v>Polyester</v>
      </c>
    </row>
    <row r="231" spans="1:27" ht="6.75" customHeight="1" x14ac:dyDescent="0.25">
      <c r="A231" s="55">
        <v>231</v>
      </c>
      <c r="B231" s="56" t="s">
        <v>838</v>
      </c>
      <c r="C231" s="53" t="s">
        <v>839</v>
      </c>
      <c r="D231" s="62" t="s">
        <v>851</v>
      </c>
      <c r="E231" s="53" t="s">
        <v>426</v>
      </c>
      <c r="F231" s="53" t="s">
        <v>399</v>
      </c>
      <c r="G231" s="57" t="s">
        <v>1</v>
      </c>
      <c r="H231" s="57" t="s">
        <v>1</v>
      </c>
      <c r="I231" s="57" t="s">
        <v>1</v>
      </c>
      <c r="J231" s="57" t="s">
        <v>1</v>
      </c>
      <c r="K231" s="57" t="s">
        <v>1</v>
      </c>
      <c r="L231" s="23" t="str">
        <f t="shared" si="34"/>
        <v>Materialidades</v>
      </c>
      <c r="M231" s="23" t="str">
        <f t="shared" si="35"/>
        <v>Matérias Primas</v>
      </c>
      <c r="N231" s="23" t="str">
        <f t="shared" si="36"/>
        <v>Plásticas</v>
      </c>
      <c r="O231" s="23" t="str">
        <f t="shared" si="37"/>
        <v>Polietileno PE</v>
      </c>
      <c r="P231" s="50" t="s">
        <v>412</v>
      </c>
      <c r="Q231" s="50" t="str">
        <f t="shared" si="38"/>
        <v>Polietileno PE</v>
      </c>
      <c r="R231" s="24" t="s">
        <v>1</v>
      </c>
      <c r="S231" s="24" t="str">
        <f t="shared" si="39"/>
        <v>Materialidades</v>
      </c>
      <c r="T231" s="24" t="str">
        <f t="shared" si="40"/>
        <v>Matérias Primas</v>
      </c>
      <c r="U231" s="24" t="str">
        <f t="shared" si="41"/>
        <v>Plásticas</v>
      </c>
      <c r="V231" s="24" t="s">
        <v>835</v>
      </c>
      <c r="W231" s="58" t="str">
        <f t="shared" si="33"/>
        <v>Key-MAT-231</v>
      </c>
      <c r="X231" s="24" t="s">
        <v>586</v>
      </c>
      <c r="Y231" s="24" t="s">
        <v>587</v>
      </c>
      <c r="Z231" s="63" t="s">
        <v>772</v>
      </c>
      <c r="AA231" s="24" t="str">
        <f t="shared" si="43"/>
        <v>PE Polyethylene</v>
      </c>
    </row>
    <row r="232" spans="1:27" ht="6.75" customHeight="1" x14ac:dyDescent="0.25">
      <c r="A232" s="55">
        <v>232</v>
      </c>
      <c r="B232" s="56" t="s">
        <v>838</v>
      </c>
      <c r="C232" s="53" t="s">
        <v>839</v>
      </c>
      <c r="D232" s="62" t="s">
        <v>851</v>
      </c>
      <c r="E232" s="53" t="s">
        <v>426</v>
      </c>
      <c r="F232" s="53" t="s">
        <v>400</v>
      </c>
      <c r="G232" s="57" t="s">
        <v>1</v>
      </c>
      <c r="H232" s="57" t="s">
        <v>1</v>
      </c>
      <c r="I232" s="57" t="s">
        <v>1</v>
      </c>
      <c r="J232" s="57" t="s">
        <v>1</v>
      </c>
      <c r="K232" s="57" t="s">
        <v>1</v>
      </c>
      <c r="L232" s="23" t="str">
        <f t="shared" si="34"/>
        <v>Materialidades</v>
      </c>
      <c r="M232" s="23" t="str">
        <f t="shared" si="35"/>
        <v>Matérias Primas</v>
      </c>
      <c r="N232" s="23" t="str">
        <f t="shared" si="36"/>
        <v>Plásticas</v>
      </c>
      <c r="O232" s="23" t="str">
        <f t="shared" si="37"/>
        <v>Polietileno Reticulado PEX</v>
      </c>
      <c r="P232" s="50" t="s">
        <v>413</v>
      </c>
      <c r="Q232" s="50" t="str">
        <f t="shared" si="38"/>
        <v>Polietileno Reticulado PEX</v>
      </c>
      <c r="R232" s="24" t="s">
        <v>1</v>
      </c>
      <c r="S232" s="24" t="str">
        <f t="shared" si="39"/>
        <v>Materialidades</v>
      </c>
      <c r="T232" s="24" t="str">
        <f t="shared" si="40"/>
        <v>Matérias Primas</v>
      </c>
      <c r="U232" s="24" t="str">
        <f t="shared" si="41"/>
        <v>Plásticas</v>
      </c>
      <c r="V232" s="24" t="s">
        <v>835</v>
      </c>
      <c r="W232" s="58" t="str">
        <f t="shared" si="33"/>
        <v>Key-MAT-232</v>
      </c>
      <c r="X232" s="24" t="s">
        <v>586</v>
      </c>
      <c r="Y232" s="24" t="s">
        <v>587</v>
      </c>
      <c r="Z232" s="63" t="s">
        <v>773</v>
      </c>
      <c r="AA232" s="24" t="str">
        <f t="shared" si="43"/>
        <v>PEX Cross-Linked Polyethylene</v>
      </c>
    </row>
    <row r="233" spans="1:27" ht="6.75" customHeight="1" x14ac:dyDescent="0.25">
      <c r="A233" s="55">
        <v>233</v>
      </c>
      <c r="B233" s="56" t="s">
        <v>838</v>
      </c>
      <c r="C233" s="53" t="s">
        <v>839</v>
      </c>
      <c r="D233" s="62" t="s">
        <v>851</v>
      </c>
      <c r="E233" s="53" t="s">
        <v>426</v>
      </c>
      <c r="F233" s="53" t="s">
        <v>401</v>
      </c>
      <c r="G233" s="57" t="s">
        <v>1</v>
      </c>
      <c r="H233" s="57" t="s">
        <v>1</v>
      </c>
      <c r="I233" s="57" t="s">
        <v>1</v>
      </c>
      <c r="J233" s="57" t="s">
        <v>1</v>
      </c>
      <c r="K233" s="57" t="s">
        <v>1</v>
      </c>
      <c r="L233" s="23" t="str">
        <f t="shared" si="34"/>
        <v>Materialidades</v>
      </c>
      <c r="M233" s="23" t="str">
        <f t="shared" si="35"/>
        <v>Matérias Primas</v>
      </c>
      <c r="N233" s="23" t="str">
        <f t="shared" si="36"/>
        <v>Plásticas</v>
      </c>
      <c r="O233" s="23" t="str">
        <f t="shared" si="37"/>
        <v>Poli Isocianurato</v>
      </c>
      <c r="P233" s="50" t="s">
        <v>414</v>
      </c>
      <c r="Q233" s="50" t="str">
        <f t="shared" si="38"/>
        <v>Poliianianato</v>
      </c>
      <c r="R233" s="24" t="s">
        <v>1</v>
      </c>
      <c r="S233" s="24" t="str">
        <f t="shared" si="39"/>
        <v>Materialidades</v>
      </c>
      <c r="T233" s="24" t="str">
        <f t="shared" si="40"/>
        <v>Matérias Primas</v>
      </c>
      <c r="U233" s="24" t="str">
        <f t="shared" si="41"/>
        <v>Plásticas</v>
      </c>
      <c r="V233" s="24" t="s">
        <v>835</v>
      </c>
      <c r="W233" s="58" t="str">
        <f t="shared" si="33"/>
        <v>Key-MAT-233</v>
      </c>
      <c r="X233" s="24" t="s">
        <v>586</v>
      </c>
      <c r="Y233" s="24" t="s">
        <v>587</v>
      </c>
      <c r="Z233" s="63" t="s">
        <v>774</v>
      </c>
      <c r="AA233" s="24" t="str">
        <f t="shared" si="43"/>
        <v>Poly Isocyanurate</v>
      </c>
    </row>
    <row r="234" spans="1:27" ht="6.75" customHeight="1" x14ac:dyDescent="0.25">
      <c r="A234" s="55">
        <v>234</v>
      </c>
      <c r="B234" s="56" t="s">
        <v>838</v>
      </c>
      <c r="C234" s="53" t="s">
        <v>839</v>
      </c>
      <c r="D234" s="62" t="s">
        <v>851</v>
      </c>
      <c r="E234" s="53" t="s">
        <v>426</v>
      </c>
      <c r="F234" s="53" t="s">
        <v>394</v>
      </c>
      <c r="G234" s="57" t="s">
        <v>1</v>
      </c>
      <c r="H234" s="57" t="s">
        <v>1</v>
      </c>
      <c r="I234" s="57" t="s">
        <v>1</v>
      </c>
      <c r="J234" s="57" t="s">
        <v>1</v>
      </c>
      <c r="K234" s="57" t="s">
        <v>1</v>
      </c>
      <c r="L234" s="23" t="str">
        <f t="shared" si="34"/>
        <v>Materialidades</v>
      </c>
      <c r="M234" s="23" t="str">
        <f t="shared" si="35"/>
        <v>Matérias Primas</v>
      </c>
      <c r="N234" s="23" t="str">
        <f t="shared" si="36"/>
        <v>Plásticas</v>
      </c>
      <c r="O234" s="23" t="str">
        <f t="shared" si="37"/>
        <v>Polipropileno</v>
      </c>
      <c r="P234" s="50" t="s">
        <v>394</v>
      </c>
      <c r="Q234" s="50" t="str">
        <f t="shared" si="38"/>
        <v>Polipropileno</v>
      </c>
      <c r="R234" s="24" t="s">
        <v>1</v>
      </c>
      <c r="S234" s="24" t="str">
        <f t="shared" si="39"/>
        <v>Materialidades</v>
      </c>
      <c r="T234" s="24" t="str">
        <f t="shared" si="40"/>
        <v>Matérias Primas</v>
      </c>
      <c r="U234" s="24" t="str">
        <f t="shared" si="41"/>
        <v>Plásticas</v>
      </c>
      <c r="V234" s="24" t="s">
        <v>835</v>
      </c>
      <c r="W234" s="58" t="str">
        <f t="shared" si="33"/>
        <v>Key-MAT-234</v>
      </c>
      <c r="X234" s="24" t="s">
        <v>586</v>
      </c>
      <c r="Y234" s="24" t="s">
        <v>587</v>
      </c>
      <c r="Z234" s="63" t="s">
        <v>775</v>
      </c>
      <c r="AA234" s="24" t="str">
        <f t="shared" si="43"/>
        <v>Polypropylene</v>
      </c>
    </row>
    <row r="235" spans="1:27" ht="6.75" customHeight="1" x14ac:dyDescent="0.25">
      <c r="A235" s="55">
        <v>235</v>
      </c>
      <c r="B235" s="56" t="s">
        <v>838</v>
      </c>
      <c r="C235" s="53" t="s">
        <v>839</v>
      </c>
      <c r="D235" s="62" t="s">
        <v>851</v>
      </c>
      <c r="E235" s="53" t="s">
        <v>426</v>
      </c>
      <c r="F235" s="53" t="s">
        <v>402</v>
      </c>
      <c r="G235" s="57" t="s">
        <v>1</v>
      </c>
      <c r="H235" s="57" t="s">
        <v>1</v>
      </c>
      <c r="I235" s="57" t="s">
        <v>1</v>
      </c>
      <c r="J235" s="57" t="s">
        <v>1</v>
      </c>
      <c r="K235" s="57" t="s">
        <v>1</v>
      </c>
      <c r="L235" s="23" t="str">
        <f t="shared" si="34"/>
        <v>Materialidades</v>
      </c>
      <c r="M235" s="23" t="str">
        <f t="shared" si="35"/>
        <v>Matérias Primas</v>
      </c>
      <c r="N235" s="23" t="str">
        <f t="shared" si="36"/>
        <v>Plásticas</v>
      </c>
      <c r="O235" s="23" t="str">
        <f t="shared" si="37"/>
        <v>Polipropileno Copolímero Random PPR</v>
      </c>
      <c r="P235" s="50" t="s">
        <v>415</v>
      </c>
      <c r="Q235" s="50" t="str">
        <f t="shared" si="38"/>
        <v>Copolímero de polipropileno PPR aleatorio</v>
      </c>
      <c r="R235" s="24" t="s">
        <v>1</v>
      </c>
      <c r="S235" s="24" t="str">
        <f t="shared" si="39"/>
        <v>Materialidades</v>
      </c>
      <c r="T235" s="24" t="str">
        <f t="shared" si="40"/>
        <v>Matérias Primas</v>
      </c>
      <c r="U235" s="24" t="str">
        <f t="shared" si="41"/>
        <v>Plásticas</v>
      </c>
      <c r="V235" s="24" t="s">
        <v>835</v>
      </c>
      <c r="W235" s="58" t="str">
        <f t="shared" si="33"/>
        <v>Key-MAT-235</v>
      </c>
      <c r="X235" s="24" t="s">
        <v>586</v>
      </c>
      <c r="Y235" s="24" t="s">
        <v>587</v>
      </c>
      <c r="Z235" s="63" t="s">
        <v>776</v>
      </c>
      <c r="AA235" s="24" t="str">
        <f t="shared" si="43"/>
        <v>Polypropylene Copolymer Random PPR</v>
      </c>
    </row>
    <row r="236" spans="1:27" ht="6.75" customHeight="1" x14ac:dyDescent="0.25">
      <c r="A236" s="55">
        <v>236</v>
      </c>
      <c r="B236" s="56" t="s">
        <v>838</v>
      </c>
      <c r="C236" s="53" t="s">
        <v>839</v>
      </c>
      <c r="D236" s="62" t="s">
        <v>851</v>
      </c>
      <c r="E236" s="53" t="s">
        <v>426</v>
      </c>
      <c r="F236" s="53" t="s">
        <v>395</v>
      </c>
      <c r="G236" s="57" t="s">
        <v>1</v>
      </c>
      <c r="H236" s="57" t="s">
        <v>1</v>
      </c>
      <c r="I236" s="57" t="s">
        <v>1</v>
      </c>
      <c r="J236" s="57" t="s">
        <v>1</v>
      </c>
      <c r="K236" s="57" t="s">
        <v>1</v>
      </c>
      <c r="L236" s="23" t="str">
        <f t="shared" si="34"/>
        <v>Materialidades</v>
      </c>
      <c r="M236" s="23" t="str">
        <f t="shared" si="35"/>
        <v>Matérias Primas</v>
      </c>
      <c r="N236" s="23" t="str">
        <f t="shared" si="36"/>
        <v>Plásticas</v>
      </c>
      <c r="O236" s="23" t="str">
        <f t="shared" si="37"/>
        <v>Poliestireno</v>
      </c>
      <c r="P236" s="50" t="s">
        <v>395</v>
      </c>
      <c r="Q236" s="50" t="str">
        <f t="shared" si="38"/>
        <v>Poliestireno</v>
      </c>
      <c r="R236" s="24" t="s">
        <v>1</v>
      </c>
      <c r="S236" s="24" t="str">
        <f t="shared" si="39"/>
        <v>Materialidades</v>
      </c>
      <c r="T236" s="24" t="str">
        <f t="shared" si="40"/>
        <v>Matérias Primas</v>
      </c>
      <c r="U236" s="24" t="str">
        <f t="shared" si="41"/>
        <v>Plásticas</v>
      </c>
      <c r="V236" s="24" t="s">
        <v>835</v>
      </c>
      <c r="W236" s="58" t="str">
        <f t="shared" si="33"/>
        <v>Key-MAT-236</v>
      </c>
      <c r="X236" s="24" t="s">
        <v>586</v>
      </c>
      <c r="Y236" s="24" t="s">
        <v>587</v>
      </c>
      <c r="Z236" s="63" t="s">
        <v>777</v>
      </c>
      <c r="AA236" s="24" t="str">
        <f t="shared" si="43"/>
        <v>Polystyrene</v>
      </c>
    </row>
    <row r="237" spans="1:27" ht="6.75" customHeight="1" x14ac:dyDescent="0.25">
      <c r="A237" s="55">
        <v>237</v>
      </c>
      <c r="B237" s="56" t="s">
        <v>838</v>
      </c>
      <c r="C237" s="53" t="s">
        <v>839</v>
      </c>
      <c r="D237" s="62" t="s">
        <v>851</v>
      </c>
      <c r="E237" s="53" t="s">
        <v>426</v>
      </c>
      <c r="F237" s="53" t="s">
        <v>396</v>
      </c>
      <c r="G237" s="57" t="s">
        <v>1</v>
      </c>
      <c r="H237" s="57" t="s">
        <v>1</v>
      </c>
      <c r="I237" s="57" t="s">
        <v>1</v>
      </c>
      <c r="J237" s="57" t="s">
        <v>1</v>
      </c>
      <c r="K237" s="57" t="s">
        <v>1</v>
      </c>
      <c r="L237" s="23" t="str">
        <f t="shared" si="34"/>
        <v>Materialidades</v>
      </c>
      <c r="M237" s="23" t="str">
        <f t="shared" si="35"/>
        <v>Matérias Primas</v>
      </c>
      <c r="N237" s="23" t="str">
        <f t="shared" si="36"/>
        <v>Plásticas</v>
      </c>
      <c r="O237" s="23" t="str">
        <f t="shared" si="37"/>
        <v>Poliuretano</v>
      </c>
      <c r="P237" s="50" t="s">
        <v>396</v>
      </c>
      <c r="Q237" s="50" t="str">
        <f t="shared" si="38"/>
        <v>Poliuretano</v>
      </c>
      <c r="R237" s="24" t="s">
        <v>1</v>
      </c>
      <c r="S237" s="24" t="str">
        <f t="shared" si="39"/>
        <v>Materialidades</v>
      </c>
      <c r="T237" s="24" t="str">
        <f t="shared" si="40"/>
        <v>Matérias Primas</v>
      </c>
      <c r="U237" s="24" t="str">
        <f t="shared" si="41"/>
        <v>Plásticas</v>
      </c>
      <c r="V237" s="24" t="s">
        <v>835</v>
      </c>
      <c r="W237" s="58" t="str">
        <f t="shared" si="33"/>
        <v>Key-MAT-237</v>
      </c>
      <c r="X237" s="24" t="s">
        <v>586</v>
      </c>
      <c r="Y237" s="24" t="s">
        <v>587</v>
      </c>
      <c r="Z237" s="63" t="s">
        <v>778</v>
      </c>
      <c r="AA237" s="24" t="str">
        <f t="shared" si="43"/>
        <v>Polyurethane</v>
      </c>
    </row>
    <row r="238" spans="1:27" ht="6.75" customHeight="1" x14ac:dyDescent="0.25">
      <c r="A238" s="55">
        <v>238</v>
      </c>
      <c r="B238" s="56" t="s">
        <v>838</v>
      </c>
      <c r="C238" s="53" t="s">
        <v>839</v>
      </c>
      <c r="D238" s="62" t="s">
        <v>851</v>
      </c>
      <c r="E238" s="53" t="s">
        <v>426</v>
      </c>
      <c r="F238" s="53" t="s">
        <v>403</v>
      </c>
      <c r="G238" s="57" t="s">
        <v>1</v>
      </c>
      <c r="H238" s="57" t="s">
        <v>1</v>
      </c>
      <c r="I238" s="57" t="s">
        <v>1</v>
      </c>
      <c r="J238" s="57" t="s">
        <v>1</v>
      </c>
      <c r="K238" s="57" t="s">
        <v>1</v>
      </c>
      <c r="L238" s="23" t="str">
        <f t="shared" si="34"/>
        <v>Materialidades</v>
      </c>
      <c r="M238" s="23" t="str">
        <f t="shared" si="35"/>
        <v>Matérias Primas</v>
      </c>
      <c r="N238" s="23" t="str">
        <f t="shared" si="36"/>
        <v>Plásticas</v>
      </c>
      <c r="O238" s="23" t="str">
        <f t="shared" si="37"/>
        <v>Cloreto de Polivinil PVC</v>
      </c>
      <c r="P238" s="50" t="s">
        <v>416</v>
      </c>
      <c r="Q238" s="50" t="str">
        <f t="shared" si="38"/>
        <v>Cloruro de polivinilo PVC</v>
      </c>
      <c r="R238" s="24" t="s">
        <v>1</v>
      </c>
      <c r="S238" s="24" t="str">
        <f t="shared" si="39"/>
        <v>Materialidades</v>
      </c>
      <c r="T238" s="24" t="str">
        <f t="shared" si="40"/>
        <v>Matérias Primas</v>
      </c>
      <c r="U238" s="24" t="str">
        <f t="shared" si="41"/>
        <v>Plásticas</v>
      </c>
      <c r="V238" s="24" t="s">
        <v>835</v>
      </c>
      <c r="W238" s="58" t="str">
        <f t="shared" si="33"/>
        <v>Key-MAT-238</v>
      </c>
      <c r="X238" s="24" t="s">
        <v>586</v>
      </c>
      <c r="Y238" s="24" t="s">
        <v>587</v>
      </c>
      <c r="Z238" s="63" t="s">
        <v>779</v>
      </c>
      <c r="AA238" s="24" t="str">
        <f t="shared" si="43"/>
        <v>Polyvinyl Chloride PVC</v>
      </c>
    </row>
    <row r="239" spans="1:27" ht="6.75" customHeight="1" x14ac:dyDescent="0.25">
      <c r="A239" s="55">
        <v>239</v>
      </c>
      <c r="B239" s="56" t="s">
        <v>838</v>
      </c>
      <c r="C239" s="53" t="s">
        <v>839</v>
      </c>
      <c r="D239" s="62" t="s">
        <v>851</v>
      </c>
      <c r="E239" s="53" t="s">
        <v>426</v>
      </c>
      <c r="F239" s="53" t="s">
        <v>404</v>
      </c>
      <c r="G239" s="57" t="s">
        <v>1</v>
      </c>
      <c r="H239" s="57" t="s">
        <v>1</v>
      </c>
      <c r="I239" s="57" t="s">
        <v>1</v>
      </c>
      <c r="J239" s="57" t="s">
        <v>1</v>
      </c>
      <c r="K239" s="57" t="s">
        <v>1</v>
      </c>
      <c r="L239" s="23" t="str">
        <f t="shared" si="34"/>
        <v>Materialidades</v>
      </c>
      <c r="M239" s="23" t="str">
        <f t="shared" si="35"/>
        <v>Matérias Primas</v>
      </c>
      <c r="N239" s="23" t="str">
        <f t="shared" si="36"/>
        <v>Plásticas</v>
      </c>
      <c r="O239" s="23" t="str">
        <f t="shared" si="37"/>
        <v>Cloreto de Polivinil Não Plastificado UPVC</v>
      </c>
      <c r="P239" s="50" t="s">
        <v>417</v>
      </c>
      <c r="Q239" s="50" t="str">
        <f t="shared" si="38"/>
        <v>UPVC de policloruro de vinilo sin plastificar</v>
      </c>
      <c r="R239" s="24" t="s">
        <v>1</v>
      </c>
      <c r="S239" s="24" t="str">
        <f t="shared" si="39"/>
        <v>Materialidades</v>
      </c>
      <c r="T239" s="24" t="str">
        <f t="shared" si="40"/>
        <v>Matérias Primas</v>
      </c>
      <c r="U239" s="24" t="str">
        <f t="shared" si="41"/>
        <v>Plásticas</v>
      </c>
      <c r="V239" s="24" t="s">
        <v>835</v>
      </c>
      <c r="W239" s="58" t="str">
        <f t="shared" si="33"/>
        <v>Key-MAT-239</v>
      </c>
      <c r="X239" s="24" t="s">
        <v>586</v>
      </c>
      <c r="Y239" s="24" t="s">
        <v>587</v>
      </c>
      <c r="Z239" s="63" t="s">
        <v>780</v>
      </c>
      <c r="AA239" s="24" t="str">
        <f t="shared" si="43"/>
        <v>Unplasticized Polyvinyl Chloride UPVC</v>
      </c>
    </row>
    <row r="240" spans="1:27" ht="6.75" customHeight="1" x14ac:dyDescent="0.25">
      <c r="A240" s="55">
        <v>240</v>
      </c>
      <c r="B240" s="56" t="s">
        <v>838</v>
      </c>
      <c r="C240" s="53" t="s">
        <v>839</v>
      </c>
      <c r="D240" s="62" t="s">
        <v>851</v>
      </c>
      <c r="E240" s="53" t="s">
        <v>426</v>
      </c>
      <c r="F240" s="53" t="s">
        <v>405</v>
      </c>
      <c r="G240" s="57" t="s">
        <v>1</v>
      </c>
      <c r="H240" s="57" t="s">
        <v>1</v>
      </c>
      <c r="I240" s="57" t="s">
        <v>1</v>
      </c>
      <c r="J240" s="57" t="s">
        <v>1</v>
      </c>
      <c r="K240" s="57" t="s">
        <v>1</v>
      </c>
      <c r="L240" s="23" t="str">
        <f t="shared" si="34"/>
        <v>Materialidades</v>
      </c>
      <c r="M240" s="23" t="str">
        <f t="shared" si="35"/>
        <v>Matérias Primas</v>
      </c>
      <c r="N240" s="23" t="str">
        <f t="shared" si="36"/>
        <v>Plásticas</v>
      </c>
      <c r="O240" s="23" t="str">
        <f t="shared" si="37"/>
        <v>Policloreto de Vinila Clorado CPVC</v>
      </c>
      <c r="P240" s="50" t="s">
        <v>418</v>
      </c>
      <c r="Q240" s="50" t="str">
        <f t="shared" si="38"/>
        <v>Cloruro de polivinilo clorado CPVC</v>
      </c>
      <c r="R240" s="24" t="s">
        <v>1</v>
      </c>
      <c r="S240" s="24" t="str">
        <f t="shared" si="39"/>
        <v>Materialidades</v>
      </c>
      <c r="T240" s="24" t="str">
        <f t="shared" si="40"/>
        <v>Matérias Primas</v>
      </c>
      <c r="U240" s="24" t="str">
        <f t="shared" si="41"/>
        <v>Plásticas</v>
      </c>
      <c r="V240" s="24" t="s">
        <v>835</v>
      </c>
      <c r="W240" s="58" t="str">
        <f t="shared" si="33"/>
        <v>Key-MAT-240</v>
      </c>
      <c r="X240" s="24" t="s">
        <v>586</v>
      </c>
      <c r="Y240" s="24" t="s">
        <v>587</v>
      </c>
      <c r="Z240" s="63" t="s">
        <v>781</v>
      </c>
      <c r="AA240" s="24" t="str">
        <f t="shared" si="43"/>
        <v>Chlorinated Polyvinyl Chloride CPVC</v>
      </c>
    </row>
    <row r="241" spans="1:27" ht="6.75" customHeight="1" x14ac:dyDescent="0.25">
      <c r="A241" s="55">
        <v>241</v>
      </c>
      <c r="B241" s="56" t="s">
        <v>838</v>
      </c>
      <c r="C241" s="53" t="s">
        <v>839</v>
      </c>
      <c r="D241" s="62" t="s">
        <v>851</v>
      </c>
      <c r="E241" s="53" t="s">
        <v>426</v>
      </c>
      <c r="F241" s="53" t="s">
        <v>406</v>
      </c>
      <c r="G241" s="57" t="s">
        <v>1</v>
      </c>
      <c r="H241" s="57" t="s">
        <v>1</v>
      </c>
      <c r="I241" s="57" t="s">
        <v>1</v>
      </c>
      <c r="J241" s="57" t="s">
        <v>1</v>
      </c>
      <c r="K241" s="57" t="s">
        <v>1</v>
      </c>
      <c r="L241" s="23" t="str">
        <f t="shared" si="34"/>
        <v>Materialidades</v>
      </c>
      <c r="M241" s="23" t="str">
        <f t="shared" si="35"/>
        <v>Matérias Primas</v>
      </c>
      <c r="N241" s="23" t="str">
        <f t="shared" si="36"/>
        <v>Plásticas</v>
      </c>
      <c r="O241" s="23" t="str">
        <f t="shared" si="37"/>
        <v>Fluoreto de Polivinilideno</v>
      </c>
      <c r="P241" s="50" t="s">
        <v>419</v>
      </c>
      <c r="Q241" s="50" t="str">
        <f t="shared" si="38"/>
        <v>Fluoruro de polivinilideno</v>
      </c>
      <c r="R241" s="24" t="s">
        <v>1</v>
      </c>
      <c r="S241" s="24" t="str">
        <f t="shared" si="39"/>
        <v>Materialidades</v>
      </c>
      <c r="T241" s="24" t="str">
        <f t="shared" si="40"/>
        <v>Matérias Primas</v>
      </c>
      <c r="U241" s="24" t="str">
        <f t="shared" si="41"/>
        <v>Plásticas</v>
      </c>
      <c r="V241" s="24" t="s">
        <v>835</v>
      </c>
      <c r="W241" s="58" t="str">
        <f t="shared" si="33"/>
        <v>Key-MAT-241</v>
      </c>
      <c r="X241" s="24" t="s">
        <v>586</v>
      </c>
      <c r="Y241" s="24" t="s">
        <v>587</v>
      </c>
      <c r="Z241" s="63" t="s">
        <v>782</v>
      </c>
      <c r="AA241" s="24" t="str">
        <f t="shared" si="43"/>
        <v>Polyvinylidene Fluoride</v>
      </c>
    </row>
    <row r="242" spans="1:27" ht="6.75" customHeight="1" x14ac:dyDescent="0.25">
      <c r="A242" s="55">
        <v>242</v>
      </c>
      <c r="B242" s="56" t="s">
        <v>838</v>
      </c>
      <c r="C242" s="53" t="s">
        <v>839</v>
      </c>
      <c r="D242" s="62" t="s">
        <v>851</v>
      </c>
      <c r="E242" s="53" t="s">
        <v>426</v>
      </c>
      <c r="F242" s="53" t="s">
        <v>407</v>
      </c>
      <c r="G242" s="57" t="s">
        <v>1</v>
      </c>
      <c r="H242" s="57" t="s">
        <v>1</v>
      </c>
      <c r="I242" s="57" t="s">
        <v>1</v>
      </c>
      <c r="J242" s="57" t="s">
        <v>1</v>
      </c>
      <c r="K242" s="57" t="s">
        <v>1</v>
      </c>
      <c r="L242" s="23" t="str">
        <f t="shared" si="34"/>
        <v>Materialidades</v>
      </c>
      <c r="M242" s="23" t="str">
        <f t="shared" si="35"/>
        <v>Matérias Primas</v>
      </c>
      <c r="N242" s="23" t="str">
        <f t="shared" si="36"/>
        <v>Plásticas</v>
      </c>
      <c r="O242" s="23" t="str">
        <f t="shared" si="37"/>
        <v>Ureia Formaldeido</v>
      </c>
      <c r="P242" s="50" t="s">
        <v>420</v>
      </c>
      <c r="Q242" s="50" t="str">
        <f t="shared" si="38"/>
        <v>Urea Formaldehído</v>
      </c>
      <c r="R242" s="24" t="s">
        <v>1</v>
      </c>
      <c r="S242" s="24" t="str">
        <f t="shared" si="39"/>
        <v>Materialidades</v>
      </c>
      <c r="T242" s="24" t="str">
        <f t="shared" si="40"/>
        <v>Matérias Primas</v>
      </c>
      <c r="U242" s="24" t="str">
        <f t="shared" si="41"/>
        <v>Plásticas</v>
      </c>
      <c r="V242" s="24" t="s">
        <v>835</v>
      </c>
      <c r="W242" s="58" t="str">
        <f t="shared" si="33"/>
        <v>Key-MAT-242</v>
      </c>
      <c r="X242" s="24" t="s">
        <v>586</v>
      </c>
      <c r="Y242" s="24" t="s">
        <v>587</v>
      </c>
      <c r="Z242" s="63" t="s">
        <v>783</v>
      </c>
      <c r="AA242" s="24" t="str">
        <f t="shared" si="43"/>
        <v>Urea Formaldehyde</v>
      </c>
    </row>
    <row r="243" spans="1:27" ht="6.75" customHeight="1" x14ac:dyDescent="0.25">
      <c r="A243" s="55">
        <v>243</v>
      </c>
      <c r="B243" s="56" t="s">
        <v>838</v>
      </c>
      <c r="C243" s="53" t="s">
        <v>839</v>
      </c>
      <c r="D243" s="62" t="s">
        <v>851</v>
      </c>
      <c r="E243" s="53" t="s">
        <v>426</v>
      </c>
      <c r="F243" s="53" t="s">
        <v>421</v>
      </c>
      <c r="G243" s="57" t="s">
        <v>1</v>
      </c>
      <c r="H243" s="57" t="s">
        <v>1</v>
      </c>
      <c r="I243" s="57" t="s">
        <v>1</v>
      </c>
      <c r="J243" s="57" t="s">
        <v>1</v>
      </c>
      <c r="K243" s="57" t="s">
        <v>1</v>
      </c>
      <c r="L243" s="23" t="str">
        <f t="shared" si="34"/>
        <v>Materialidades</v>
      </c>
      <c r="M243" s="23" t="str">
        <f t="shared" si="35"/>
        <v>Matérias Primas</v>
      </c>
      <c r="N243" s="23" t="str">
        <f t="shared" si="36"/>
        <v>Plásticas</v>
      </c>
      <c r="O243" s="23" t="str">
        <f t="shared" si="37"/>
        <v>Vinil</v>
      </c>
      <c r="P243" s="50" t="s">
        <v>420</v>
      </c>
      <c r="Q243" s="50" t="str">
        <f t="shared" si="38"/>
        <v>Urea Formaldehído</v>
      </c>
      <c r="R243" s="24" t="s">
        <v>1</v>
      </c>
      <c r="S243" s="24" t="str">
        <f t="shared" si="39"/>
        <v>Materialidades</v>
      </c>
      <c r="T243" s="24" t="str">
        <f t="shared" si="40"/>
        <v>Matérias Primas</v>
      </c>
      <c r="U243" s="24" t="str">
        <f t="shared" si="41"/>
        <v>Plásticas</v>
      </c>
      <c r="V243" s="24" t="s">
        <v>835</v>
      </c>
      <c r="W243" s="58" t="str">
        <f t="shared" si="33"/>
        <v>Key-MAT-243</v>
      </c>
      <c r="X243" s="24" t="s">
        <v>586</v>
      </c>
      <c r="Y243" s="24" t="s">
        <v>587</v>
      </c>
      <c r="Z243" s="63" t="s">
        <v>784</v>
      </c>
      <c r="AA243" s="24" t="str">
        <f t="shared" si="43"/>
        <v>Urea Formaldehyde</v>
      </c>
    </row>
    <row r="244" spans="1:27" ht="6.75" customHeight="1" x14ac:dyDescent="0.25">
      <c r="A244" s="55">
        <v>244</v>
      </c>
      <c r="B244" s="56" t="s">
        <v>838</v>
      </c>
      <c r="C244" s="53" t="s">
        <v>839</v>
      </c>
      <c r="D244" s="53" t="s">
        <v>852</v>
      </c>
      <c r="E244" s="53" t="s">
        <v>551</v>
      </c>
      <c r="F244" s="53" t="s">
        <v>532</v>
      </c>
      <c r="G244" s="57" t="s">
        <v>1</v>
      </c>
      <c r="H244" s="57" t="s">
        <v>1</v>
      </c>
      <c r="I244" s="57" t="s">
        <v>1</v>
      </c>
      <c r="J244" s="57" t="s">
        <v>1</v>
      </c>
      <c r="K244" s="57" t="s">
        <v>1</v>
      </c>
      <c r="L244" s="23" t="str">
        <f t="shared" si="34"/>
        <v>Materialidades</v>
      </c>
      <c r="M244" s="23" t="str">
        <f t="shared" si="35"/>
        <v>Materiais Sintéticos</v>
      </c>
      <c r="N244" s="23" t="str">
        <f t="shared" si="36"/>
        <v>Ácidos</v>
      </c>
      <c r="O244" s="23" t="str">
        <f t="shared" si="37"/>
        <v>Acido</v>
      </c>
      <c r="P244" s="24" t="s">
        <v>532</v>
      </c>
      <c r="Q244" s="50" t="str">
        <f t="shared" si="38"/>
        <v>Ácido</v>
      </c>
      <c r="R244" s="24" t="s">
        <v>1</v>
      </c>
      <c r="S244" s="24" t="str">
        <f t="shared" si="39"/>
        <v>Materialidades</v>
      </c>
      <c r="T244" s="24" t="str">
        <f t="shared" si="40"/>
        <v>Materiais Sintéticos</v>
      </c>
      <c r="U244" s="24" t="str">
        <f t="shared" si="41"/>
        <v>Ácidos</v>
      </c>
      <c r="V244" s="24" t="s">
        <v>835</v>
      </c>
      <c r="W244" s="58" t="str">
        <f t="shared" si="33"/>
        <v>Key-MAT-244</v>
      </c>
      <c r="X244" s="24" t="s">
        <v>586</v>
      </c>
      <c r="Y244" s="24" t="s">
        <v>587</v>
      </c>
      <c r="Z244" s="63" t="s">
        <v>785</v>
      </c>
      <c r="AA244" s="24" t="str">
        <f t="shared" si="43"/>
        <v>Acid</v>
      </c>
    </row>
    <row r="245" spans="1:27" ht="6.75" customHeight="1" x14ac:dyDescent="0.25">
      <c r="A245" s="55">
        <v>245</v>
      </c>
      <c r="B245" s="56" t="s">
        <v>838</v>
      </c>
      <c r="C245" s="53" t="s">
        <v>839</v>
      </c>
      <c r="D245" s="53" t="s">
        <v>852</v>
      </c>
      <c r="E245" s="53" t="s">
        <v>533</v>
      </c>
      <c r="F245" s="53" t="s">
        <v>552</v>
      </c>
      <c r="G245" s="57" t="s">
        <v>1</v>
      </c>
      <c r="H245" s="57" t="s">
        <v>1</v>
      </c>
      <c r="I245" s="57" t="s">
        <v>1</v>
      </c>
      <c r="J245" s="57" t="s">
        <v>1</v>
      </c>
      <c r="K245" s="57" t="s">
        <v>1</v>
      </c>
      <c r="L245" s="23" t="str">
        <f t="shared" si="34"/>
        <v>Materialidades</v>
      </c>
      <c r="M245" s="23" t="str">
        <f t="shared" si="35"/>
        <v>Materiais Sintéticos</v>
      </c>
      <c r="N245" s="23" t="str">
        <f t="shared" si="36"/>
        <v>Álcalis</v>
      </c>
      <c r="O245" s="23" t="str">
        <f t="shared" si="37"/>
        <v>Álcali</v>
      </c>
      <c r="P245" s="24" t="s">
        <v>552</v>
      </c>
      <c r="Q245" s="50" t="str">
        <f t="shared" si="38"/>
        <v>Alcalinos</v>
      </c>
      <c r="R245" s="24" t="s">
        <v>1</v>
      </c>
      <c r="S245" s="24" t="str">
        <f t="shared" si="39"/>
        <v>Materialidades</v>
      </c>
      <c r="T245" s="24" t="str">
        <f t="shared" si="40"/>
        <v>Materiais Sintéticos</v>
      </c>
      <c r="U245" s="24" t="str">
        <f t="shared" si="41"/>
        <v>Álcalis</v>
      </c>
      <c r="V245" s="24" t="s">
        <v>835</v>
      </c>
      <c r="W245" s="58" t="str">
        <f t="shared" si="33"/>
        <v>Key-MAT-245</v>
      </c>
      <c r="X245" s="24" t="s">
        <v>586</v>
      </c>
      <c r="Y245" s="24" t="s">
        <v>587</v>
      </c>
      <c r="Z245" s="63" t="s">
        <v>786</v>
      </c>
      <c r="AA245" s="24" t="str">
        <f t="shared" si="43"/>
        <v>Alkali</v>
      </c>
    </row>
    <row r="246" spans="1:27" ht="6.75" customHeight="1" x14ac:dyDescent="0.25">
      <c r="A246" s="55">
        <v>246</v>
      </c>
      <c r="B246" s="56" t="s">
        <v>838</v>
      </c>
      <c r="C246" s="53" t="s">
        <v>839</v>
      </c>
      <c r="D246" s="53" t="s">
        <v>852</v>
      </c>
      <c r="E246" s="53" t="s">
        <v>570</v>
      </c>
      <c r="F246" s="53" t="s">
        <v>519</v>
      </c>
      <c r="G246" s="57" t="s">
        <v>1</v>
      </c>
      <c r="H246" s="57" t="s">
        <v>1</v>
      </c>
      <c r="I246" s="57" t="s">
        <v>1</v>
      </c>
      <c r="J246" s="57" t="s">
        <v>1</v>
      </c>
      <c r="K246" s="57" t="s">
        <v>1</v>
      </c>
      <c r="L246" s="23" t="str">
        <f t="shared" si="34"/>
        <v>Materialidades</v>
      </c>
      <c r="M246" s="23" t="str">
        <f t="shared" si="35"/>
        <v>Materiais Sintéticos</v>
      </c>
      <c r="N246" s="23" t="str">
        <f t="shared" si="36"/>
        <v>Sais Sintéticas</v>
      </c>
      <c r="O246" s="23" t="str">
        <f t="shared" si="37"/>
        <v>Sais</v>
      </c>
      <c r="P246" s="24" t="s">
        <v>519</v>
      </c>
      <c r="Q246" s="50" t="str">
        <f t="shared" si="38"/>
        <v>Sales</v>
      </c>
      <c r="R246" s="24" t="s">
        <v>1</v>
      </c>
      <c r="S246" s="24" t="str">
        <f t="shared" si="39"/>
        <v>Materialidades</v>
      </c>
      <c r="T246" s="24" t="str">
        <f t="shared" si="40"/>
        <v>Materiais Sintéticos</v>
      </c>
      <c r="U246" s="24" t="str">
        <f t="shared" si="41"/>
        <v>Sais Sintéticas</v>
      </c>
      <c r="V246" s="24" t="s">
        <v>835</v>
      </c>
      <c r="W246" s="58" t="str">
        <f t="shared" si="33"/>
        <v>Key-MAT-246</v>
      </c>
      <c r="X246" s="24" t="s">
        <v>586</v>
      </c>
      <c r="Y246" s="24" t="s">
        <v>587</v>
      </c>
      <c r="Z246" s="63" t="s">
        <v>787</v>
      </c>
      <c r="AA246" s="24" t="str">
        <f t="shared" si="43"/>
        <v>Salts</v>
      </c>
    </row>
    <row r="247" spans="1:27" ht="6.75" customHeight="1" x14ac:dyDescent="0.25">
      <c r="A247" s="55">
        <v>247</v>
      </c>
      <c r="B247" s="56" t="s">
        <v>838</v>
      </c>
      <c r="C247" s="53" t="s">
        <v>839</v>
      </c>
      <c r="D247" s="62" t="s">
        <v>853</v>
      </c>
      <c r="E247" s="62" t="s">
        <v>101</v>
      </c>
      <c r="F247" s="62" t="s">
        <v>100</v>
      </c>
      <c r="G247" s="57" t="s">
        <v>1</v>
      </c>
      <c r="H247" s="57" t="s">
        <v>1</v>
      </c>
      <c r="I247" s="57" t="s">
        <v>1</v>
      </c>
      <c r="J247" s="57" t="s">
        <v>1</v>
      </c>
      <c r="K247" s="57" t="s">
        <v>1</v>
      </c>
      <c r="L247" s="23" t="str">
        <f t="shared" si="34"/>
        <v>Materialidades</v>
      </c>
      <c r="M247" s="23" t="str">
        <f t="shared" si="35"/>
        <v>Materiais Vegetais</v>
      </c>
      <c r="N247" s="23" t="str">
        <f t="shared" si="36"/>
        <v>Madeiras</v>
      </c>
      <c r="O247" s="23" t="str">
        <f t="shared" si="37"/>
        <v>Madeira</v>
      </c>
      <c r="P247" s="24" t="s">
        <v>282</v>
      </c>
      <c r="Q247" s="50" t="str">
        <f t="shared" si="38"/>
        <v>Material extraído de árboles.</v>
      </c>
      <c r="R247" s="24" t="s">
        <v>1</v>
      </c>
      <c r="S247" s="24" t="str">
        <f t="shared" si="39"/>
        <v>Materialidades</v>
      </c>
      <c r="T247" s="24" t="str">
        <f t="shared" si="40"/>
        <v>Materiais Vegetais</v>
      </c>
      <c r="U247" s="24" t="str">
        <f t="shared" si="41"/>
        <v>Madeiras</v>
      </c>
      <c r="V247" s="24" t="s">
        <v>835</v>
      </c>
      <c r="W247" s="58" t="str">
        <f t="shared" si="33"/>
        <v>Key-MAT-247</v>
      </c>
      <c r="X247" s="24" t="s">
        <v>586</v>
      </c>
      <c r="Y247" s="24" t="s">
        <v>587</v>
      </c>
      <c r="Z247" s="63" t="s">
        <v>788</v>
      </c>
      <c r="AA247" s="24" t="str">
        <f t="shared" si="43"/>
        <v>Material extracted from trees.</v>
      </c>
    </row>
    <row r="248" spans="1:27" ht="6.75" customHeight="1" x14ac:dyDescent="0.25">
      <c r="A248" s="55">
        <v>248</v>
      </c>
      <c r="B248" s="56" t="s">
        <v>838</v>
      </c>
      <c r="C248" s="53" t="s">
        <v>839</v>
      </c>
      <c r="D248" s="62" t="s">
        <v>853</v>
      </c>
      <c r="E248" s="62" t="s">
        <v>101</v>
      </c>
      <c r="F248" s="53" t="s">
        <v>256</v>
      </c>
      <c r="G248" s="57" t="s">
        <v>1</v>
      </c>
      <c r="H248" s="57" t="s">
        <v>1</v>
      </c>
      <c r="I248" s="57" t="s">
        <v>1</v>
      </c>
      <c r="J248" s="57" t="s">
        <v>1</v>
      </c>
      <c r="K248" s="57" t="s">
        <v>1</v>
      </c>
      <c r="L248" s="23" t="str">
        <f t="shared" si="34"/>
        <v>Materialidades</v>
      </c>
      <c r="M248" s="23" t="str">
        <f t="shared" si="35"/>
        <v>Materiais Vegetais</v>
      </c>
      <c r="N248" s="23" t="str">
        <f t="shared" si="36"/>
        <v>Madeiras</v>
      </c>
      <c r="O248" s="23" t="str">
        <f t="shared" si="37"/>
        <v>Madeira Resinosa</v>
      </c>
      <c r="P248" s="24" t="str">
        <f t="shared" ref="P248:P273" si="44">O248</f>
        <v>Madeira Resinosa</v>
      </c>
      <c r="Q248" s="50" t="str">
        <f t="shared" si="38"/>
        <v>Madera blanda</v>
      </c>
      <c r="R248" s="24" t="s">
        <v>1</v>
      </c>
      <c r="S248" s="24" t="str">
        <f t="shared" si="39"/>
        <v>Materialidades</v>
      </c>
      <c r="T248" s="24" t="str">
        <f t="shared" si="40"/>
        <v>Materiais Vegetais</v>
      </c>
      <c r="U248" s="24" t="str">
        <f t="shared" si="41"/>
        <v>Madeiras</v>
      </c>
      <c r="V248" s="24" t="s">
        <v>835</v>
      </c>
      <c r="W248" s="58" t="str">
        <f t="shared" si="33"/>
        <v>Key-MAT-248</v>
      </c>
      <c r="X248" s="24" t="s">
        <v>586</v>
      </c>
      <c r="Y248" s="24" t="s">
        <v>587</v>
      </c>
      <c r="Z248" s="63" t="s">
        <v>789</v>
      </c>
      <c r="AA248" s="24" t="str">
        <f t="shared" si="43"/>
        <v>Softwood</v>
      </c>
    </row>
    <row r="249" spans="1:27" ht="6.75" customHeight="1" x14ac:dyDescent="0.25">
      <c r="A249" s="55">
        <v>249</v>
      </c>
      <c r="B249" s="56" t="s">
        <v>838</v>
      </c>
      <c r="C249" s="53" t="s">
        <v>839</v>
      </c>
      <c r="D249" s="62" t="s">
        <v>853</v>
      </c>
      <c r="E249" s="62" t="s">
        <v>101</v>
      </c>
      <c r="F249" s="53" t="s">
        <v>257</v>
      </c>
      <c r="G249" s="57" t="s">
        <v>1</v>
      </c>
      <c r="H249" s="57" t="s">
        <v>1</v>
      </c>
      <c r="I249" s="57" t="s">
        <v>1</v>
      </c>
      <c r="J249" s="57" t="s">
        <v>1</v>
      </c>
      <c r="K249" s="57" t="s">
        <v>1</v>
      </c>
      <c r="L249" s="23" t="str">
        <f t="shared" si="34"/>
        <v>Materialidades</v>
      </c>
      <c r="M249" s="23" t="str">
        <f t="shared" si="35"/>
        <v>Materiais Vegetais</v>
      </c>
      <c r="N249" s="23" t="str">
        <f t="shared" si="36"/>
        <v>Madeiras</v>
      </c>
      <c r="O249" s="23" t="str">
        <f t="shared" si="37"/>
        <v>Madeira de Pinus</v>
      </c>
      <c r="P249" s="24" t="str">
        <f t="shared" si="44"/>
        <v>Madeira de Pinus</v>
      </c>
      <c r="Q249" s="50" t="str">
        <f t="shared" si="38"/>
        <v>Pino</v>
      </c>
      <c r="R249" s="24" t="s">
        <v>1</v>
      </c>
      <c r="S249" s="24" t="str">
        <f t="shared" si="39"/>
        <v>Materialidades</v>
      </c>
      <c r="T249" s="24" t="str">
        <f t="shared" si="40"/>
        <v>Materiais Vegetais</v>
      </c>
      <c r="U249" s="24" t="str">
        <f t="shared" si="41"/>
        <v>Madeiras</v>
      </c>
      <c r="V249" s="24" t="s">
        <v>835</v>
      </c>
      <c r="W249" s="58" t="str">
        <f t="shared" si="33"/>
        <v>Key-MAT-249</v>
      </c>
      <c r="X249" s="24" t="s">
        <v>586</v>
      </c>
      <c r="Y249" s="24" t="s">
        <v>587</v>
      </c>
      <c r="Z249" s="63" t="s">
        <v>790</v>
      </c>
      <c r="AA249" s="24" t="str">
        <f t="shared" si="43"/>
        <v>Pine Wood</v>
      </c>
    </row>
    <row r="250" spans="1:27" s="64" customFormat="1" ht="6.75" customHeight="1" x14ac:dyDescent="0.2">
      <c r="A250" s="55">
        <v>250</v>
      </c>
      <c r="B250" s="56" t="s">
        <v>838</v>
      </c>
      <c r="C250" s="53" t="s">
        <v>839</v>
      </c>
      <c r="D250" s="62" t="s">
        <v>853</v>
      </c>
      <c r="E250" s="62" t="s">
        <v>101</v>
      </c>
      <c r="F250" s="53" t="s">
        <v>258</v>
      </c>
      <c r="G250" s="57" t="s">
        <v>1</v>
      </c>
      <c r="H250" s="57" t="s">
        <v>1</v>
      </c>
      <c r="I250" s="57" t="s">
        <v>1</v>
      </c>
      <c r="J250" s="57" t="s">
        <v>1</v>
      </c>
      <c r="K250" s="57" t="s">
        <v>1</v>
      </c>
      <c r="L250" s="23" t="str">
        <f t="shared" si="34"/>
        <v>Materialidades</v>
      </c>
      <c r="M250" s="23" t="str">
        <f t="shared" si="35"/>
        <v>Materiais Vegetais</v>
      </c>
      <c r="N250" s="23" t="str">
        <f t="shared" si="36"/>
        <v>Madeiras</v>
      </c>
      <c r="O250" s="23" t="str">
        <f t="shared" si="37"/>
        <v>Madeira de Peroba</v>
      </c>
      <c r="P250" s="24" t="str">
        <f t="shared" si="44"/>
        <v>Madeira de Peroba</v>
      </c>
      <c r="Q250" s="50" t="str">
        <f t="shared" si="38"/>
        <v>Peroba Wood</v>
      </c>
      <c r="R250" s="24" t="s">
        <v>1</v>
      </c>
      <c r="S250" s="24" t="str">
        <f t="shared" si="39"/>
        <v>Materialidades</v>
      </c>
      <c r="T250" s="24" t="str">
        <f t="shared" si="40"/>
        <v>Materiais Vegetais</v>
      </c>
      <c r="U250" s="24" t="str">
        <f t="shared" si="41"/>
        <v>Madeiras</v>
      </c>
      <c r="V250" s="24" t="s">
        <v>835</v>
      </c>
      <c r="W250" s="58" t="str">
        <f t="shared" si="33"/>
        <v>Key-MAT-250</v>
      </c>
      <c r="X250" s="24" t="s">
        <v>586</v>
      </c>
      <c r="Y250" s="24" t="s">
        <v>587</v>
      </c>
      <c r="Z250" s="63" t="s">
        <v>791</v>
      </c>
      <c r="AA250" s="24" t="str">
        <f t="shared" si="43"/>
        <v>Peroba Wood</v>
      </c>
    </row>
    <row r="251" spans="1:27" s="64" customFormat="1" ht="6.75" customHeight="1" x14ac:dyDescent="0.2">
      <c r="A251" s="55">
        <v>251</v>
      </c>
      <c r="B251" s="56" t="s">
        <v>838</v>
      </c>
      <c r="C251" s="53" t="s">
        <v>839</v>
      </c>
      <c r="D251" s="62" t="s">
        <v>853</v>
      </c>
      <c r="E251" s="62" t="s">
        <v>101</v>
      </c>
      <c r="F251" s="53" t="s">
        <v>259</v>
      </c>
      <c r="G251" s="57" t="s">
        <v>1</v>
      </c>
      <c r="H251" s="57" t="s">
        <v>1</v>
      </c>
      <c r="I251" s="57" t="s">
        <v>1</v>
      </c>
      <c r="J251" s="57" t="s">
        <v>1</v>
      </c>
      <c r="K251" s="57" t="s">
        <v>1</v>
      </c>
      <c r="L251" s="23" t="str">
        <f t="shared" si="34"/>
        <v>Materialidades</v>
      </c>
      <c r="M251" s="23" t="str">
        <f t="shared" si="35"/>
        <v>Materiais Vegetais</v>
      </c>
      <c r="N251" s="23" t="str">
        <f t="shared" si="36"/>
        <v>Madeiras</v>
      </c>
      <c r="O251" s="23" t="str">
        <f t="shared" si="37"/>
        <v>Madeira de Mogno</v>
      </c>
      <c r="P251" s="24" t="str">
        <f t="shared" si="44"/>
        <v>Madeira de Mogno</v>
      </c>
      <c r="Q251" s="50" t="str">
        <f t="shared" si="38"/>
        <v>Madera de caoba</v>
      </c>
      <c r="R251" s="24" t="s">
        <v>1</v>
      </c>
      <c r="S251" s="24" t="str">
        <f t="shared" si="39"/>
        <v>Materialidades</v>
      </c>
      <c r="T251" s="24" t="str">
        <f t="shared" si="40"/>
        <v>Materiais Vegetais</v>
      </c>
      <c r="U251" s="24" t="str">
        <f t="shared" si="41"/>
        <v>Madeiras</v>
      </c>
      <c r="V251" s="24" t="s">
        <v>835</v>
      </c>
      <c r="W251" s="58" t="str">
        <f t="shared" si="33"/>
        <v>Key-MAT-251</v>
      </c>
      <c r="X251" s="24" t="s">
        <v>586</v>
      </c>
      <c r="Y251" s="24" t="s">
        <v>587</v>
      </c>
      <c r="Z251" s="63" t="s">
        <v>792</v>
      </c>
      <c r="AA251" s="24" t="str">
        <f t="shared" si="43"/>
        <v>Mahogany Wood</v>
      </c>
    </row>
    <row r="252" spans="1:27" s="64" customFormat="1" ht="6.75" customHeight="1" x14ac:dyDescent="0.2">
      <c r="A252" s="55">
        <v>252</v>
      </c>
      <c r="B252" s="56" t="s">
        <v>838</v>
      </c>
      <c r="C252" s="53" t="s">
        <v>839</v>
      </c>
      <c r="D252" s="62" t="s">
        <v>853</v>
      </c>
      <c r="E252" s="62" t="s">
        <v>101</v>
      </c>
      <c r="F252" s="53" t="s">
        <v>260</v>
      </c>
      <c r="G252" s="57" t="s">
        <v>1</v>
      </c>
      <c r="H252" s="57" t="s">
        <v>1</v>
      </c>
      <c r="I252" s="57" t="s">
        <v>1</v>
      </c>
      <c r="J252" s="57" t="s">
        <v>1</v>
      </c>
      <c r="K252" s="57" t="s">
        <v>1</v>
      </c>
      <c r="L252" s="23" t="str">
        <f t="shared" si="34"/>
        <v>Materialidades</v>
      </c>
      <c r="M252" s="23" t="str">
        <f t="shared" si="35"/>
        <v>Materiais Vegetais</v>
      </c>
      <c r="N252" s="23" t="str">
        <f t="shared" si="36"/>
        <v>Madeiras</v>
      </c>
      <c r="O252" s="23" t="str">
        <f t="shared" si="37"/>
        <v>Madeira de Cedro Vermelho Ocidental</v>
      </c>
      <c r="P252" s="24" t="str">
        <f t="shared" si="44"/>
        <v>Madeira de Cedro Vermelho Ocidental</v>
      </c>
      <c r="Q252" s="50" t="str">
        <f t="shared" si="38"/>
        <v>Madera de cedro rojo occidental</v>
      </c>
      <c r="R252" s="24" t="s">
        <v>1</v>
      </c>
      <c r="S252" s="24" t="str">
        <f t="shared" si="39"/>
        <v>Materialidades</v>
      </c>
      <c r="T252" s="24" t="str">
        <f t="shared" si="40"/>
        <v>Materiais Vegetais</v>
      </c>
      <c r="U252" s="24" t="str">
        <f t="shared" si="41"/>
        <v>Madeiras</v>
      </c>
      <c r="V252" s="24" t="s">
        <v>835</v>
      </c>
      <c r="W252" s="58" t="str">
        <f t="shared" si="33"/>
        <v>Key-MAT-252</v>
      </c>
      <c r="X252" s="24" t="s">
        <v>586</v>
      </c>
      <c r="Y252" s="24" t="s">
        <v>587</v>
      </c>
      <c r="Z252" s="63" t="s">
        <v>793</v>
      </c>
      <c r="AA252" s="24" t="str">
        <f t="shared" si="43"/>
        <v>Western Red Cedar Wood</v>
      </c>
    </row>
    <row r="253" spans="1:27" s="64" customFormat="1" ht="6.75" customHeight="1" x14ac:dyDescent="0.2">
      <c r="A253" s="55">
        <v>253</v>
      </c>
      <c r="B253" s="56" t="s">
        <v>838</v>
      </c>
      <c r="C253" s="53" t="s">
        <v>839</v>
      </c>
      <c r="D253" s="62" t="s">
        <v>853</v>
      </c>
      <c r="E253" s="62" t="s">
        <v>101</v>
      </c>
      <c r="F253" s="53" t="s">
        <v>261</v>
      </c>
      <c r="G253" s="57" t="s">
        <v>1</v>
      </c>
      <c r="H253" s="57" t="s">
        <v>1</v>
      </c>
      <c r="I253" s="57" t="s">
        <v>1</v>
      </c>
      <c r="J253" s="57" t="s">
        <v>1</v>
      </c>
      <c r="K253" s="57" t="s">
        <v>1</v>
      </c>
      <c r="L253" s="23" t="str">
        <f t="shared" si="34"/>
        <v>Materialidades</v>
      </c>
      <c r="M253" s="23" t="str">
        <f t="shared" si="35"/>
        <v>Materiais Vegetais</v>
      </c>
      <c r="N253" s="23" t="str">
        <f t="shared" si="36"/>
        <v>Madeiras</v>
      </c>
      <c r="O253" s="23" t="str">
        <f t="shared" si="37"/>
        <v>Madeira de Angelim Pedra</v>
      </c>
      <c r="P253" s="24" t="str">
        <f t="shared" si="44"/>
        <v>Madeira de Angelim Pedra</v>
      </c>
      <c r="Q253" s="50" t="str">
        <f t="shared" si="38"/>
        <v>Piedra de madera de Angelim</v>
      </c>
      <c r="R253" s="24" t="s">
        <v>1</v>
      </c>
      <c r="S253" s="24" t="str">
        <f t="shared" si="39"/>
        <v>Materialidades</v>
      </c>
      <c r="T253" s="24" t="str">
        <f t="shared" si="40"/>
        <v>Materiais Vegetais</v>
      </c>
      <c r="U253" s="24" t="str">
        <f t="shared" si="41"/>
        <v>Madeiras</v>
      </c>
      <c r="V253" s="24" t="s">
        <v>835</v>
      </c>
      <c r="W253" s="58" t="str">
        <f t="shared" si="33"/>
        <v>Key-MAT-253</v>
      </c>
      <c r="X253" s="24" t="s">
        <v>586</v>
      </c>
      <c r="Y253" s="24" t="s">
        <v>587</v>
      </c>
      <c r="Z253" s="63" t="s">
        <v>794</v>
      </c>
      <c r="AA253" s="24" t="str">
        <f t="shared" si="43"/>
        <v>Angelim Wood Stone</v>
      </c>
    </row>
    <row r="254" spans="1:27" s="64" customFormat="1" ht="6.75" customHeight="1" x14ac:dyDescent="0.2">
      <c r="A254" s="55">
        <v>254</v>
      </c>
      <c r="B254" s="56" t="s">
        <v>838</v>
      </c>
      <c r="C254" s="53" t="s">
        <v>839</v>
      </c>
      <c r="D254" s="62" t="s">
        <v>853</v>
      </c>
      <c r="E254" s="62" t="s">
        <v>101</v>
      </c>
      <c r="F254" s="53" t="s">
        <v>262</v>
      </c>
      <c r="G254" s="57" t="s">
        <v>1</v>
      </c>
      <c r="H254" s="57" t="s">
        <v>1</v>
      </c>
      <c r="I254" s="57" t="s">
        <v>1</v>
      </c>
      <c r="J254" s="57" t="s">
        <v>1</v>
      </c>
      <c r="K254" s="57" t="s">
        <v>1</v>
      </c>
      <c r="L254" s="23" t="str">
        <f t="shared" si="34"/>
        <v>Materialidades</v>
      </c>
      <c r="M254" s="23" t="str">
        <f t="shared" si="35"/>
        <v>Materiais Vegetais</v>
      </c>
      <c r="N254" s="23" t="str">
        <f t="shared" si="36"/>
        <v>Madeiras</v>
      </c>
      <c r="O254" s="23" t="str">
        <f t="shared" si="37"/>
        <v>Madeira de Cedro</v>
      </c>
      <c r="P254" s="24" t="str">
        <f t="shared" si="44"/>
        <v>Madeira de Cedro</v>
      </c>
      <c r="Q254" s="50" t="str">
        <f t="shared" si="38"/>
        <v>Madera de cedro</v>
      </c>
      <c r="R254" s="24" t="s">
        <v>1</v>
      </c>
      <c r="S254" s="24" t="str">
        <f t="shared" si="39"/>
        <v>Materialidades</v>
      </c>
      <c r="T254" s="24" t="str">
        <f t="shared" si="40"/>
        <v>Materiais Vegetais</v>
      </c>
      <c r="U254" s="24" t="str">
        <f t="shared" si="41"/>
        <v>Madeiras</v>
      </c>
      <c r="V254" s="24" t="s">
        <v>835</v>
      </c>
      <c r="W254" s="58" t="str">
        <f t="shared" si="33"/>
        <v>Key-MAT-254</v>
      </c>
      <c r="X254" s="24" t="s">
        <v>586</v>
      </c>
      <c r="Y254" s="24" t="s">
        <v>587</v>
      </c>
      <c r="Z254" s="63" t="s">
        <v>795</v>
      </c>
      <c r="AA254" s="24" t="str">
        <f t="shared" si="43"/>
        <v>Cedar Wood</v>
      </c>
    </row>
    <row r="255" spans="1:27" s="64" customFormat="1" ht="6.75" customHeight="1" x14ac:dyDescent="0.2">
      <c r="A255" s="55">
        <v>255</v>
      </c>
      <c r="B255" s="56" t="s">
        <v>838</v>
      </c>
      <c r="C255" s="53" t="s">
        <v>839</v>
      </c>
      <c r="D255" s="62" t="s">
        <v>853</v>
      </c>
      <c r="E255" s="62" t="s">
        <v>101</v>
      </c>
      <c r="F255" s="53" t="s">
        <v>263</v>
      </c>
      <c r="G255" s="57" t="s">
        <v>1</v>
      </c>
      <c r="H255" s="57" t="s">
        <v>1</v>
      </c>
      <c r="I255" s="57" t="s">
        <v>1</v>
      </c>
      <c r="J255" s="57" t="s">
        <v>1</v>
      </c>
      <c r="K255" s="57" t="s">
        <v>1</v>
      </c>
      <c r="L255" s="23" t="str">
        <f t="shared" si="34"/>
        <v>Materialidades</v>
      </c>
      <c r="M255" s="23" t="str">
        <f t="shared" si="35"/>
        <v>Materiais Vegetais</v>
      </c>
      <c r="N255" s="23" t="str">
        <f t="shared" si="36"/>
        <v>Madeiras</v>
      </c>
      <c r="O255" s="23" t="str">
        <f t="shared" si="37"/>
        <v>Madeira de Cerejeira</v>
      </c>
      <c r="P255" s="24" t="str">
        <f t="shared" si="44"/>
        <v>Madeira de Cerejeira</v>
      </c>
      <c r="Q255" s="50" t="str">
        <f t="shared" si="38"/>
        <v>Madera de cerezo</v>
      </c>
      <c r="R255" s="24" t="s">
        <v>1</v>
      </c>
      <c r="S255" s="24" t="str">
        <f t="shared" si="39"/>
        <v>Materialidades</v>
      </c>
      <c r="T255" s="24" t="str">
        <f t="shared" si="40"/>
        <v>Materiais Vegetais</v>
      </c>
      <c r="U255" s="24" t="str">
        <f t="shared" si="41"/>
        <v>Madeiras</v>
      </c>
      <c r="V255" s="24" t="s">
        <v>835</v>
      </c>
      <c r="W255" s="58" t="str">
        <f t="shared" si="33"/>
        <v>Key-MAT-255</v>
      </c>
      <c r="X255" s="24" t="s">
        <v>586</v>
      </c>
      <c r="Y255" s="24" t="s">
        <v>587</v>
      </c>
      <c r="Z255" s="63" t="s">
        <v>796</v>
      </c>
      <c r="AA255" s="24" t="str">
        <f t="shared" si="43"/>
        <v>Cherry Wood</v>
      </c>
    </row>
    <row r="256" spans="1:27" s="64" customFormat="1" ht="6.75" customHeight="1" x14ac:dyDescent="0.2">
      <c r="A256" s="55">
        <v>256</v>
      </c>
      <c r="B256" s="56" t="s">
        <v>838</v>
      </c>
      <c r="C256" s="53" t="s">
        <v>839</v>
      </c>
      <c r="D256" s="62" t="s">
        <v>853</v>
      </c>
      <c r="E256" s="62" t="s">
        <v>101</v>
      </c>
      <c r="F256" s="53" t="s">
        <v>264</v>
      </c>
      <c r="G256" s="57" t="s">
        <v>1</v>
      </c>
      <c r="H256" s="57" t="s">
        <v>1</v>
      </c>
      <c r="I256" s="57" t="s">
        <v>1</v>
      </c>
      <c r="J256" s="57" t="s">
        <v>1</v>
      </c>
      <c r="K256" s="57" t="s">
        <v>1</v>
      </c>
      <c r="L256" s="23" t="str">
        <f t="shared" si="34"/>
        <v>Materialidades</v>
      </c>
      <c r="M256" s="23" t="str">
        <f t="shared" si="35"/>
        <v>Materiais Vegetais</v>
      </c>
      <c r="N256" s="23" t="str">
        <f t="shared" si="36"/>
        <v>Madeiras</v>
      </c>
      <c r="O256" s="23" t="str">
        <f t="shared" si="37"/>
        <v>Madeira de Pau Marfim</v>
      </c>
      <c r="P256" s="24" t="str">
        <f t="shared" si="44"/>
        <v>Madeira de Pau Marfim</v>
      </c>
      <c r="Q256" s="50" t="str">
        <f t="shared" si="38"/>
        <v>Madera de marfil</v>
      </c>
      <c r="R256" s="24" t="s">
        <v>1</v>
      </c>
      <c r="S256" s="24" t="str">
        <f t="shared" si="39"/>
        <v>Materialidades</v>
      </c>
      <c r="T256" s="24" t="str">
        <f t="shared" si="40"/>
        <v>Materiais Vegetais</v>
      </c>
      <c r="U256" s="24" t="str">
        <f t="shared" si="41"/>
        <v>Madeiras</v>
      </c>
      <c r="V256" s="24" t="s">
        <v>835</v>
      </c>
      <c r="W256" s="58" t="str">
        <f t="shared" si="33"/>
        <v>Key-MAT-256</v>
      </c>
      <c r="X256" s="24" t="s">
        <v>586</v>
      </c>
      <c r="Y256" s="24" t="s">
        <v>587</v>
      </c>
      <c r="Z256" s="63" t="s">
        <v>797</v>
      </c>
      <c r="AA256" s="24" t="str">
        <f t="shared" si="43"/>
        <v>Ivory Wood</v>
      </c>
    </row>
    <row r="257" spans="1:27" s="64" customFormat="1" ht="6.75" customHeight="1" x14ac:dyDescent="0.2">
      <c r="A257" s="55">
        <v>257</v>
      </c>
      <c r="B257" s="56" t="s">
        <v>838</v>
      </c>
      <c r="C257" s="53" t="s">
        <v>839</v>
      </c>
      <c r="D257" s="62" t="s">
        <v>853</v>
      </c>
      <c r="E257" s="62" t="s">
        <v>101</v>
      </c>
      <c r="F257" s="53" t="s">
        <v>265</v>
      </c>
      <c r="G257" s="57" t="s">
        <v>1</v>
      </c>
      <c r="H257" s="57" t="s">
        <v>1</v>
      </c>
      <c r="I257" s="57" t="s">
        <v>1</v>
      </c>
      <c r="J257" s="57" t="s">
        <v>1</v>
      </c>
      <c r="K257" s="57" t="s">
        <v>1</v>
      </c>
      <c r="L257" s="23" t="str">
        <f t="shared" si="34"/>
        <v>Materialidades</v>
      </c>
      <c r="M257" s="23" t="str">
        <f t="shared" si="35"/>
        <v>Materiais Vegetais</v>
      </c>
      <c r="N257" s="23" t="str">
        <f t="shared" si="36"/>
        <v>Madeiras</v>
      </c>
      <c r="O257" s="23" t="str">
        <f t="shared" si="37"/>
        <v>Madeira de Pequiá</v>
      </c>
      <c r="P257" s="24" t="str">
        <f t="shared" si="44"/>
        <v>Madeira de Pequiá</v>
      </c>
      <c r="Q257" s="50" t="str">
        <f t="shared" si="38"/>
        <v>Madera de Pequiá</v>
      </c>
      <c r="R257" s="24" t="s">
        <v>1</v>
      </c>
      <c r="S257" s="24" t="str">
        <f t="shared" si="39"/>
        <v>Materialidades</v>
      </c>
      <c r="T257" s="24" t="str">
        <f t="shared" si="40"/>
        <v>Materiais Vegetais</v>
      </c>
      <c r="U257" s="24" t="str">
        <f t="shared" si="41"/>
        <v>Madeiras</v>
      </c>
      <c r="V257" s="24" t="s">
        <v>835</v>
      </c>
      <c r="W257" s="58" t="str">
        <f t="shared" ref="W257:W286" si="45">CONCATENATE("Key-MAT-",A257)</f>
        <v>Key-MAT-257</v>
      </c>
      <c r="X257" s="24" t="s">
        <v>586</v>
      </c>
      <c r="Y257" s="24" t="s">
        <v>587</v>
      </c>
      <c r="Z257" s="63" t="s">
        <v>798</v>
      </c>
      <c r="AA257" s="24" t="str">
        <f t="shared" si="43"/>
        <v>Pequiá wood</v>
      </c>
    </row>
    <row r="258" spans="1:27" s="64" customFormat="1" ht="6.75" customHeight="1" x14ac:dyDescent="0.2">
      <c r="A258" s="55">
        <v>258</v>
      </c>
      <c r="B258" s="56" t="s">
        <v>838</v>
      </c>
      <c r="C258" s="53" t="s">
        <v>839</v>
      </c>
      <c r="D258" s="62" t="s">
        <v>853</v>
      </c>
      <c r="E258" s="62" t="s">
        <v>101</v>
      </c>
      <c r="F258" s="53" t="s">
        <v>266</v>
      </c>
      <c r="G258" s="57" t="s">
        <v>1</v>
      </c>
      <c r="H258" s="57" t="s">
        <v>1</v>
      </c>
      <c r="I258" s="57" t="s">
        <v>1</v>
      </c>
      <c r="J258" s="57" t="s">
        <v>1</v>
      </c>
      <c r="K258" s="57" t="s">
        <v>1</v>
      </c>
      <c r="L258" s="23" t="str">
        <f t="shared" si="34"/>
        <v>Materialidades</v>
      </c>
      <c r="M258" s="23" t="str">
        <f t="shared" si="35"/>
        <v>Materiais Vegetais</v>
      </c>
      <c r="N258" s="23" t="str">
        <f t="shared" si="36"/>
        <v>Madeiras</v>
      </c>
      <c r="O258" s="23" t="str">
        <f t="shared" si="37"/>
        <v>Madeira de Sucupira</v>
      </c>
      <c r="P258" s="24" t="str">
        <f t="shared" si="44"/>
        <v>Madeira de Sucupira</v>
      </c>
      <c r="Q258" s="50" t="str">
        <f t="shared" si="38"/>
        <v>Bosque de Sucupira</v>
      </c>
      <c r="R258" s="24" t="s">
        <v>1</v>
      </c>
      <c r="S258" s="24" t="str">
        <f t="shared" si="39"/>
        <v>Materialidades</v>
      </c>
      <c r="T258" s="24" t="str">
        <f t="shared" si="40"/>
        <v>Materiais Vegetais</v>
      </c>
      <c r="U258" s="24" t="str">
        <f t="shared" si="41"/>
        <v>Madeiras</v>
      </c>
      <c r="V258" s="24" t="s">
        <v>835</v>
      </c>
      <c r="W258" s="58" t="str">
        <f t="shared" si="45"/>
        <v>Key-MAT-258</v>
      </c>
      <c r="X258" s="24" t="s">
        <v>586</v>
      </c>
      <c r="Y258" s="24" t="s">
        <v>587</v>
      </c>
      <c r="Z258" s="63" t="s">
        <v>799</v>
      </c>
      <c r="AA258" s="24" t="str">
        <f t="shared" si="43"/>
        <v>Sucupira Wood</v>
      </c>
    </row>
    <row r="259" spans="1:27" s="64" customFormat="1" ht="6.75" customHeight="1" x14ac:dyDescent="0.2">
      <c r="A259" s="55">
        <v>259</v>
      </c>
      <c r="B259" s="56" t="s">
        <v>838</v>
      </c>
      <c r="C259" s="53" t="s">
        <v>839</v>
      </c>
      <c r="D259" s="62" t="s">
        <v>853</v>
      </c>
      <c r="E259" s="62" t="s">
        <v>101</v>
      </c>
      <c r="F259" s="53" t="s">
        <v>267</v>
      </c>
      <c r="G259" s="57" t="s">
        <v>1</v>
      </c>
      <c r="H259" s="57" t="s">
        <v>1</v>
      </c>
      <c r="I259" s="57" t="s">
        <v>1</v>
      </c>
      <c r="J259" s="57" t="s">
        <v>1</v>
      </c>
      <c r="K259" s="57" t="s">
        <v>1</v>
      </c>
      <c r="L259" s="23" t="str">
        <f t="shared" si="34"/>
        <v>Materialidades</v>
      </c>
      <c r="M259" s="23" t="str">
        <f t="shared" si="35"/>
        <v>Materiais Vegetais</v>
      </c>
      <c r="N259" s="23" t="str">
        <f t="shared" si="36"/>
        <v>Madeiras</v>
      </c>
      <c r="O259" s="23" t="str">
        <f t="shared" si="37"/>
        <v>Madeira de Madeira de Lei</v>
      </c>
      <c r="P259" s="24" t="str">
        <f t="shared" si="44"/>
        <v>Madeira de Madeira de Lei</v>
      </c>
      <c r="Q259" s="50" t="str">
        <f t="shared" si="38"/>
        <v>Madera de hoja dura</v>
      </c>
      <c r="R259" s="24" t="s">
        <v>1</v>
      </c>
      <c r="S259" s="24" t="str">
        <f t="shared" si="39"/>
        <v>Materialidades</v>
      </c>
      <c r="T259" s="24" t="str">
        <f t="shared" si="40"/>
        <v>Materiais Vegetais</v>
      </c>
      <c r="U259" s="24" t="str">
        <f t="shared" si="41"/>
        <v>Madeiras</v>
      </c>
      <c r="V259" s="24" t="s">
        <v>835</v>
      </c>
      <c r="W259" s="58" t="str">
        <f t="shared" si="45"/>
        <v>Key-MAT-259</v>
      </c>
      <c r="X259" s="24" t="s">
        <v>586</v>
      </c>
      <c r="Y259" s="24" t="s">
        <v>587</v>
      </c>
      <c r="Z259" s="63" t="s">
        <v>800</v>
      </c>
      <c r="AA259" s="24" t="str">
        <f t="shared" si="43"/>
        <v>Hardwood Wood</v>
      </c>
    </row>
    <row r="260" spans="1:27" s="64" customFormat="1" ht="6.75" customHeight="1" x14ac:dyDescent="0.2">
      <c r="A260" s="55">
        <v>260</v>
      </c>
      <c r="B260" s="56" t="s">
        <v>838</v>
      </c>
      <c r="C260" s="53" t="s">
        <v>839</v>
      </c>
      <c r="D260" s="62" t="s">
        <v>853</v>
      </c>
      <c r="E260" s="62" t="s">
        <v>101</v>
      </c>
      <c r="F260" s="53" t="s">
        <v>268</v>
      </c>
      <c r="G260" s="57" t="s">
        <v>1</v>
      </c>
      <c r="H260" s="57" t="s">
        <v>1</v>
      </c>
      <c r="I260" s="57" t="s">
        <v>1</v>
      </c>
      <c r="J260" s="57" t="s">
        <v>1</v>
      </c>
      <c r="K260" s="57" t="s">
        <v>1</v>
      </c>
      <c r="L260" s="23" t="str">
        <f t="shared" ref="L260:L286" si="46">SUBSTITUTE(CONCATENATE("", C260), ".", " ")</f>
        <v>Materialidades</v>
      </c>
      <c r="M260" s="23" t="str">
        <f t="shared" ref="M260:M286" si="47">SUBSTITUTE(CONCATENATE("", D260), ".", " ")</f>
        <v>Materiais Vegetais</v>
      </c>
      <c r="N260" s="23" t="str">
        <f t="shared" ref="N260:N286" si="48">SUBSTITUTE(CONCATENATE("", E260), ".", " ")</f>
        <v>Madeiras</v>
      </c>
      <c r="O260" s="23" t="str">
        <f t="shared" ref="O260:O286" si="49">SUBSTITUTE(CONCATENATE("", F260), ".", " ")</f>
        <v>Madeira de Carvalho Branco</v>
      </c>
      <c r="P260" s="24" t="str">
        <f t="shared" si="44"/>
        <v>Madeira de Carvalho Branco</v>
      </c>
      <c r="Q260" s="50" t="str">
        <f t="shared" ref="Q260:Q286" si="50">_xlfn.TRANSLATE(P260,"pt","es")</f>
        <v>Madera de Roble Blanco</v>
      </c>
      <c r="R260" s="24" t="s">
        <v>1</v>
      </c>
      <c r="S260" s="24" t="str">
        <f t="shared" ref="S260:S286" si="51">SUBSTITUTE(C260, ".", " ")</f>
        <v>Materialidades</v>
      </c>
      <c r="T260" s="24" t="str">
        <f t="shared" ref="T260:T286" si="52">SUBSTITUTE(D260, ".", " ")</f>
        <v>Materiais Vegetais</v>
      </c>
      <c r="U260" s="24" t="str">
        <f t="shared" ref="U260:U286" si="53">SUBSTITUTE(E260, ".", " ")</f>
        <v>Madeiras</v>
      </c>
      <c r="V260" s="24" t="s">
        <v>835</v>
      </c>
      <c r="W260" s="58" t="str">
        <f t="shared" si="45"/>
        <v>Key-MAT-260</v>
      </c>
      <c r="X260" s="24" t="s">
        <v>586</v>
      </c>
      <c r="Y260" s="24" t="s">
        <v>587</v>
      </c>
      <c r="Z260" s="63" t="s">
        <v>801</v>
      </c>
      <c r="AA260" s="24" t="str">
        <f t="shared" si="43"/>
        <v>White Oak Wood</v>
      </c>
    </row>
    <row r="261" spans="1:27" s="64" customFormat="1" ht="6.75" customHeight="1" x14ac:dyDescent="0.2">
      <c r="A261" s="55">
        <v>261</v>
      </c>
      <c r="B261" s="56" t="s">
        <v>838</v>
      </c>
      <c r="C261" s="53" t="s">
        <v>839</v>
      </c>
      <c r="D261" s="62" t="s">
        <v>853</v>
      </c>
      <c r="E261" s="62" t="s">
        <v>101</v>
      </c>
      <c r="F261" s="53" t="s">
        <v>269</v>
      </c>
      <c r="G261" s="57" t="s">
        <v>1</v>
      </c>
      <c r="H261" s="57" t="s">
        <v>1</v>
      </c>
      <c r="I261" s="57" t="s">
        <v>1</v>
      </c>
      <c r="J261" s="57" t="s">
        <v>1</v>
      </c>
      <c r="K261" s="57" t="s">
        <v>1</v>
      </c>
      <c r="L261" s="23" t="str">
        <f t="shared" si="46"/>
        <v>Materialidades</v>
      </c>
      <c r="M261" s="23" t="str">
        <f t="shared" si="47"/>
        <v>Materiais Vegetais</v>
      </c>
      <c r="N261" s="23" t="str">
        <f t="shared" si="48"/>
        <v>Madeiras</v>
      </c>
      <c r="O261" s="23" t="str">
        <f t="shared" si="49"/>
        <v>Madeira de Carvalho Vermelho</v>
      </c>
      <c r="P261" s="24" t="str">
        <f t="shared" si="44"/>
        <v>Madeira de Carvalho Vermelho</v>
      </c>
      <c r="Q261" s="50" t="str">
        <f t="shared" si="50"/>
        <v>Bosque de Roble Rojo</v>
      </c>
      <c r="R261" s="24" t="s">
        <v>1</v>
      </c>
      <c r="S261" s="24" t="str">
        <f t="shared" si="51"/>
        <v>Materialidades</v>
      </c>
      <c r="T261" s="24" t="str">
        <f t="shared" si="52"/>
        <v>Materiais Vegetais</v>
      </c>
      <c r="U261" s="24" t="str">
        <f t="shared" si="53"/>
        <v>Madeiras</v>
      </c>
      <c r="V261" s="24" t="s">
        <v>835</v>
      </c>
      <c r="W261" s="58" t="str">
        <f t="shared" si="45"/>
        <v>Key-MAT-261</v>
      </c>
      <c r="X261" s="24" t="s">
        <v>586</v>
      </c>
      <c r="Y261" s="24" t="s">
        <v>587</v>
      </c>
      <c r="Z261" s="63" t="s">
        <v>802</v>
      </c>
      <c r="AA261" s="24" t="str">
        <f t="shared" ref="AA261:AA286" si="54">_xlfn.TRANSLATE(P261,"pt","en")</f>
        <v>Red Oak Wood</v>
      </c>
    </row>
    <row r="262" spans="1:27" s="64" customFormat="1" ht="6.75" customHeight="1" x14ac:dyDescent="0.2">
      <c r="A262" s="55">
        <v>262</v>
      </c>
      <c r="B262" s="56" t="s">
        <v>838</v>
      </c>
      <c r="C262" s="53" t="s">
        <v>839</v>
      </c>
      <c r="D262" s="62" t="s">
        <v>853</v>
      </c>
      <c r="E262" s="62" t="s">
        <v>101</v>
      </c>
      <c r="F262" s="53" t="s">
        <v>270</v>
      </c>
      <c r="G262" s="57" t="s">
        <v>1</v>
      </c>
      <c r="H262" s="57" t="s">
        <v>1</v>
      </c>
      <c r="I262" s="57" t="s">
        <v>1</v>
      </c>
      <c r="J262" s="57" t="s">
        <v>1</v>
      </c>
      <c r="K262" s="57" t="s">
        <v>1</v>
      </c>
      <c r="L262" s="23" t="str">
        <f t="shared" si="46"/>
        <v>Materialidades</v>
      </c>
      <c r="M262" s="23" t="str">
        <f t="shared" si="47"/>
        <v>Materiais Vegetais</v>
      </c>
      <c r="N262" s="23" t="str">
        <f t="shared" si="48"/>
        <v>Madeiras</v>
      </c>
      <c r="O262" s="23" t="str">
        <f t="shared" si="49"/>
        <v>Madeira de Bordo</v>
      </c>
      <c r="P262" s="24" t="str">
        <f t="shared" si="44"/>
        <v>Madeira de Bordo</v>
      </c>
      <c r="Q262" s="50" t="str">
        <f t="shared" si="50"/>
        <v>Madera de arce</v>
      </c>
      <c r="R262" s="24" t="s">
        <v>1</v>
      </c>
      <c r="S262" s="24" t="str">
        <f t="shared" si="51"/>
        <v>Materialidades</v>
      </c>
      <c r="T262" s="24" t="str">
        <f t="shared" si="52"/>
        <v>Materiais Vegetais</v>
      </c>
      <c r="U262" s="24" t="str">
        <f t="shared" si="53"/>
        <v>Madeiras</v>
      </c>
      <c r="V262" s="24" t="s">
        <v>835</v>
      </c>
      <c r="W262" s="58" t="str">
        <f t="shared" si="45"/>
        <v>Key-MAT-262</v>
      </c>
      <c r="X262" s="24" t="s">
        <v>586</v>
      </c>
      <c r="Y262" s="24" t="s">
        <v>587</v>
      </c>
      <c r="Z262" s="63" t="s">
        <v>803</v>
      </c>
      <c r="AA262" s="24" t="str">
        <f t="shared" si="54"/>
        <v>Maple Wood</v>
      </c>
    </row>
    <row r="263" spans="1:27" s="64" customFormat="1" ht="6.75" customHeight="1" x14ac:dyDescent="0.2">
      <c r="A263" s="55">
        <v>263</v>
      </c>
      <c r="B263" s="56" t="s">
        <v>838</v>
      </c>
      <c r="C263" s="53" t="s">
        <v>839</v>
      </c>
      <c r="D263" s="62" t="s">
        <v>853</v>
      </c>
      <c r="E263" s="62" t="s">
        <v>101</v>
      </c>
      <c r="F263" s="53" t="s">
        <v>271</v>
      </c>
      <c r="G263" s="57" t="s">
        <v>1</v>
      </c>
      <c r="H263" s="57" t="s">
        <v>1</v>
      </c>
      <c r="I263" s="57" t="s">
        <v>1</v>
      </c>
      <c r="J263" s="57" t="s">
        <v>1</v>
      </c>
      <c r="K263" s="57" t="s">
        <v>1</v>
      </c>
      <c r="L263" s="23" t="str">
        <f t="shared" si="46"/>
        <v>Materialidades</v>
      </c>
      <c r="M263" s="23" t="str">
        <f t="shared" si="47"/>
        <v>Materiais Vegetais</v>
      </c>
      <c r="N263" s="23" t="str">
        <f t="shared" si="48"/>
        <v>Madeiras</v>
      </c>
      <c r="O263" s="23" t="str">
        <f t="shared" si="49"/>
        <v>Madeira de Curupixá</v>
      </c>
      <c r="P263" s="24" t="str">
        <f t="shared" si="44"/>
        <v>Madeira de Curupixá</v>
      </c>
      <c r="Q263" s="50" t="str">
        <f t="shared" si="50"/>
        <v>Madera de Curupixá</v>
      </c>
      <c r="R263" s="24" t="s">
        <v>1</v>
      </c>
      <c r="S263" s="24" t="str">
        <f t="shared" si="51"/>
        <v>Materialidades</v>
      </c>
      <c r="T263" s="24" t="str">
        <f t="shared" si="52"/>
        <v>Materiais Vegetais</v>
      </c>
      <c r="U263" s="24" t="str">
        <f t="shared" si="53"/>
        <v>Madeiras</v>
      </c>
      <c r="V263" s="24" t="s">
        <v>835</v>
      </c>
      <c r="W263" s="58" t="str">
        <f t="shared" si="45"/>
        <v>Key-MAT-263</v>
      </c>
      <c r="X263" s="24" t="s">
        <v>586</v>
      </c>
      <c r="Y263" s="24" t="s">
        <v>587</v>
      </c>
      <c r="Z263" s="63" t="s">
        <v>804</v>
      </c>
      <c r="AA263" s="24" t="str">
        <f t="shared" si="54"/>
        <v>Curupixá Wood</v>
      </c>
    </row>
    <row r="264" spans="1:27" s="64" customFormat="1" ht="6.75" customHeight="1" x14ac:dyDescent="0.2">
      <c r="A264" s="55">
        <v>264</v>
      </c>
      <c r="B264" s="56" t="s">
        <v>838</v>
      </c>
      <c r="C264" s="53" t="s">
        <v>839</v>
      </c>
      <c r="D264" s="62" t="s">
        <v>853</v>
      </c>
      <c r="E264" s="62" t="s">
        <v>101</v>
      </c>
      <c r="F264" s="53" t="s">
        <v>272</v>
      </c>
      <c r="G264" s="57" t="s">
        <v>1</v>
      </c>
      <c r="H264" s="57" t="s">
        <v>1</v>
      </c>
      <c r="I264" s="57" t="s">
        <v>1</v>
      </c>
      <c r="J264" s="57" t="s">
        <v>1</v>
      </c>
      <c r="K264" s="57" t="s">
        <v>1</v>
      </c>
      <c r="L264" s="23" t="str">
        <f t="shared" si="46"/>
        <v>Materialidades</v>
      </c>
      <c r="M264" s="23" t="str">
        <f t="shared" si="47"/>
        <v>Materiais Vegetais</v>
      </c>
      <c r="N264" s="23" t="str">
        <f t="shared" si="48"/>
        <v>Madeiras</v>
      </c>
      <c r="O264" s="23" t="str">
        <f t="shared" si="49"/>
        <v>Madeira de Goiabão</v>
      </c>
      <c r="P264" s="24" t="str">
        <f t="shared" si="44"/>
        <v>Madeira de Goiabão</v>
      </c>
      <c r="Q264" s="50" t="str">
        <f t="shared" si="50"/>
        <v>Bosque de Guiaba</v>
      </c>
      <c r="R264" s="24" t="s">
        <v>1</v>
      </c>
      <c r="S264" s="24" t="str">
        <f t="shared" si="51"/>
        <v>Materialidades</v>
      </c>
      <c r="T264" s="24" t="str">
        <f t="shared" si="52"/>
        <v>Materiais Vegetais</v>
      </c>
      <c r="U264" s="24" t="str">
        <f t="shared" si="53"/>
        <v>Madeiras</v>
      </c>
      <c r="V264" s="24" t="s">
        <v>835</v>
      </c>
      <c r="W264" s="58" t="str">
        <f t="shared" si="45"/>
        <v>Key-MAT-264</v>
      </c>
      <c r="X264" s="24" t="s">
        <v>586</v>
      </c>
      <c r="Y264" s="24" t="s">
        <v>587</v>
      </c>
      <c r="Z264" s="63" t="s">
        <v>805</v>
      </c>
      <c r="AA264" s="24" t="str">
        <f t="shared" si="54"/>
        <v>Guava Wood</v>
      </c>
    </row>
    <row r="265" spans="1:27" s="64" customFormat="1" ht="6.75" customHeight="1" x14ac:dyDescent="0.2">
      <c r="A265" s="55">
        <v>265</v>
      </c>
      <c r="B265" s="56" t="s">
        <v>838</v>
      </c>
      <c r="C265" s="53" t="s">
        <v>839</v>
      </c>
      <c r="D265" s="62" t="s">
        <v>853</v>
      </c>
      <c r="E265" s="62" t="s">
        <v>101</v>
      </c>
      <c r="F265" s="53" t="s">
        <v>273</v>
      </c>
      <c r="G265" s="57" t="s">
        <v>1</v>
      </c>
      <c r="H265" s="57" t="s">
        <v>1</v>
      </c>
      <c r="I265" s="57" t="s">
        <v>1</v>
      </c>
      <c r="J265" s="57" t="s">
        <v>1</v>
      </c>
      <c r="K265" s="57" t="s">
        <v>1</v>
      </c>
      <c r="L265" s="23" t="str">
        <f t="shared" si="46"/>
        <v>Materialidades</v>
      </c>
      <c r="M265" s="23" t="str">
        <f t="shared" si="47"/>
        <v>Materiais Vegetais</v>
      </c>
      <c r="N265" s="23" t="str">
        <f t="shared" si="48"/>
        <v>Madeiras</v>
      </c>
      <c r="O265" s="23" t="str">
        <f t="shared" si="49"/>
        <v>Madeira de Ipê</v>
      </c>
      <c r="P265" s="24" t="str">
        <f t="shared" si="44"/>
        <v>Madeira de Ipê</v>
      </c>
      <c r="Q265" s="50" t="str">
        <f t="shared" si="50"/>
        <v>Bosque de Ipê</v>
      </c>
      <c r="R265" s="24" t="s">
        <v>1</v>
      </c>
      <c r="S265" s="24" t="str">
        <f t="shared" si="51"/>
        <v>Materialidades</v>
      </c>
      <c r="T265" s="24" t="str">
        <f t="shared" si="52"/>
        <v>Materiais Vegetais</v>
      </c>
      <c r="U265" s="24" t="str">
        <f t="shared" si="53"/>
        <v>Madeiras</v>
      </c>
      <c r="V265" s="24" t="s">
        <v>835</v>
      </c>
      <c r="W265" s="58" t="str">
        <f t="shared" si="45"/>
        <v>Key-MAT-265</v>
      </c>
      <c r="X265" s="24" t="s">
        <v>586</v>
      </c>
      <c r="Y265" s="24" t="s">
        <v>587</v>
      </c>
      <c r="Z265" s="63" t="s">
        <v>806</v>
      </c>
      <c r="AA265" s="24" t="str">
        <f t="shared" si="54"/>
        <v>Ipê Wood</v>
      </c>
    </row>
    <row r="266" spans="1:27" s="64" customFormat="1" ht="6.75" customHeight="1" x14ac:dyDescent="0.2">
      <c r="A266" s="55">
        <v>266</v>
      </c>
      <c r="B266" s="56" t="s">
        <v>838</v>
      </c>
      <c r="C266" s="53" t="s">
        <v>839</v>
      </c>
      <c r="D266" s="62" t="s">
        <v>853</v>
      </c>
      <c r="E266" s="62" t="s">
        <v>101</v>
      </c>
      <c r="F266" s="53" t="s">
        <v>274</v>
      </c>
      <c r="G266" s="57" t="s">
        <v>1</v>
      </c>
      <c r="H266" s="57" t="s">
        <v>1</v>
      </c>
      <c r="I266" s="57" t="s">
        <v>1</v>
      </c>
      <c r="J266" s="57" t="s">
        <v>1</v>
      </c>
      <c r="K266" s="57" t="s">
        <v>1</v>
      </c>
      <c r="L266" s="23" t="str">
        <f t="shared" si="46"/>
        <v>Materialidades</v>
      </c>
      <c r="M266" s="23" t="str">
        <f t="shared" si="47"/>
        <v>Materiais Vegetais</v>
      </c>
      <c r="N266" s="23" t="str">
        <f t="shared" si="48"/>
        <v>Madeiras</v>
      </c>
      <c r="O266" s="23" t="str">
        <f t="shared" si="49"/>
        <v>Madeira de Jatobá</v>
      </c>
      <c r="P266" s="24" t="str">
        <f t="shared" si="44"/>
        <v>Madeira de Jatobá</v>
      </c>
      <c r="Q266" s="50" t="str">
        <f t="shared" si="50"/>
        <v>Bosque Jatoba</v>
      </c>
      <c r="R266" s="24" t="s">
        <v>1</v>
      </c>
      <c r="S266" s="24" t="str">
        <f t="shared" si="51"/>
        <v>Materialidades</v>
      </c>
      <c r="T266" s="24" t="str">
        <f t="shared" si="52"/>
        <v>Materiais Vegetais</v>
      </c>
      <c r="U266" s="24" t="str">
        <f t="shared" si="53"/>
        <v>Madeiras</v>
      </c>
      <c r="V266" s="24" t="s">
        <v>835</v>
      </c>
      <c r="W266" s="58" t="str">
        <f t="shared" si="45"/>
        <v>Key-MAT-266</v>
      </c>
      <c r="X266" s="24" t="s">
        <v>586</v>
      </c>
      <c r="Y266" s="24" t="s">
        <v>587</v>
      </c>
      <c r="Z266" s="63" t="s">
        <v>807</v>
      </c>
      <c r="AA266" s="24" t="str">
        <f t="shared" si="54"/>
        <v>Jatoba Wood</v>
      </c>
    </row>
    <row r="267" spans="1:27" s="64" customFormat="1" ht="6.75" customHeight="1" x14ac:dyDescent="0.2">
      <c r="A267" s="55">
        <v>267</v>
      </c>
      <c r="B267" s="56" t="s">
        <v>838</v>
      </c>
      <c r="C267" s="53" t="s">
        <v>839</v>
      </c>
      <c r="D267" s="62" t="s">
        <v>853</v>
      </c>
      <c r="E267" s="62" t="s">
        <v>101</v>
      </c>
      <c r="F267" s="53" t="s">
        <v>275</v>
      </c>
      <c r="G267" s="57" t="s">
        <v>1</v>
      </c>
      <c r="H267" s="57" t="s">
        <v>1</v>
      </c>
      <c r="I267" s="57" t="s">
        <v>1</v>
      </c>
      <c r="J267" s="57" t="s">
        <v>1</v>
      </c>
      <c r="K267" s="57" t="s">
        <v>1</v>
      </c>
      <c r="L267" s="23" t="str">
        <f t="shared" si="46"/>
        <v>Materialidades</v>
      </c>
      <c r="M267" s="23" t="str">
        <f t="shared" si="47"/>
        <v>Materiais Vegetais</v>
      </c>
      <c r="N267" s="23" t="str">
        <f t="shared" si="48"/>
        <v>Madeiras</v>
      </c>
      <c r="O267" s="23" t="str">
        <f t="shared" si="49"/>
        <v>Madeira de Louro Vermelho</v>
      </c>
      <c r="P267" s="24" t="str">
        <f t="shared" si="44"/>
        <v>Madeira de Louro Vermelho</v>
      </c>
      <c r="Q267" s="50" t="str">
        <f t="shared" si="50"/>
        <v>Madera de laurel rojo</v>
      </c>
      <c r="R267" s="24" t="s">
        <v>1</v>
      </c>
      <c r="S267" s="24" t="str">
        <f t="shared" si="51"/>
        <v>Materialidades</v>
      </c>
      <c r="T267" s="24" t="str">
        <f t="shared" si="52"/>
        <v>Materiais Vegetais</v>
      </c>
      <c r="U267" s="24" t="str">
        <f t="shared" si="53"/>
        <v>Madeiras</v>
      </c>
      <c r="V267" s="24" t="s">
        <v>835</v>
      </c>
      <c r="W267" s="58" t="str">
        <f t="shared" si="45"/>
        <v>Key-MAT-267</v>
      </c>
      <c r="X267" s="24" t="s">
        <v>586</v>
      </c>
      <c r="Y267" s="24" t="s">
        <v>587</v>
      </c>
      <c r="Z267" s="63" t="s">
        <v>808</v>
      </c>
      <c r="AA267" s="24" t="str">
        <f t="shared" si="54"/>
        <v>Red Laurel Wood</v>
      </c>
    </row>
    <row r="268" spans="1:27" s="64" customFormat="1" ht="6.75" customHeight="1" x14ac:dyDescent="0.2">
      <c r="A268" s="55">
        <v>268</v>
      </c>
      <c r="B268" s="56" t="s">
        <v>838</v>
      </c>
      <c r="C268" s="53" t="s">
        <v>839</v>
      </c>
      <c r="D268" s="62" t="s">
        <v>853</v>
      </c>
      <c r="E268" s="62" t="s">
        <v>101</v>
      </c>
      <c r="F268" s="53" t="s">
        <v>276</v>
      </c>
      <c r="G268" s="57" t="s">
        <v>1</v>
      </c>
      <c r="H268" s="57" t="s">
        <v>1</v>
      </c>
      <c r="I268" s="57" t="s">
        <v>1</v>
      </c>
      <c r="J268" s="57" t="s">
        <v>1</v>
      </c>
      <c r="K268" s="57" t="s">
        <v>1</v>
      </c>
      <c r="L268" s="23" t="str">
        <f t="shared" si="46"/>
        <v>Materialidades</v>
      </c>
      <c r="M268" s="23" t="str">
        <f t="shared" si="47"/>
        <v>Materiais Vegetais</v>
      </c>
      <c r="N268" s="23" t="str">
        <f t="shared" si="48"/>
        <v>Madeiras</v>
      </c>
      <c r="O268" s="23" t="str">
        <f t="shared" si="49"/>
        <v>Madeira de Marupá</v>
      </c>
      <c r="P268" s="24" t="str">
        <f t="shared" si="44"/>
        <v>Madeira de Marupá</v>
      </c>
      <c r="Q268" s="50" t="str">
        <f t="shared" si="50"/>
        <v>Bosque de Marupá</v>
      </c>
      <c r="R268" s="24" t="s">
        <v>1</v>
      </c>
      <c r="S268" s="24" t="str">
        <f t="shared" si="51"/>
        <v>Materialidades</v>
      </c>
      <c r="T268" s="24" t="str">
        <f t="shared" si="52"/>
        <v>Materiais Vegetais</v>
      </c>
      <c r="U268" s="24" t="str">
        <f t="shared" si="53"/>
        <v>Madeiras</v>
      </c>
      <c r="V268" s="24" t="s">
        <v>835</v>
      </c>
      <c r="W268" s="58" t="str">
        <f t="shared" si="45"/>
        <v>Key-MAT-268</v>
      </c>
      <c r="X268" s="24" t="s">
        <v>586</v>
      </c>
      <c r="Y268" s="24" t="s">
        <v>587</v>
      </c>
      <c r="Z268" s="63" t="s">
        <v>809</v>
      </c>
      <c r="AA268" s="24" t="str">
        <f t="shared" si="54"/>
        <v>Marupá wood</v>
      </c>
    </row>
    <row r="269" spans="1:27" s="64" customFormat="1" ht="6.75" customHeight="1" x14ac:dyDescent="0.2">
      <c r="A269" s="55">
        <v>269</v>
      </c>
      <c r="B269" s="56" t="s">
        <v>838</v>
      </c>
      <c r="C269" s="53" t="s">
        <v>839</v>
      </c>
      <c r="D269" s="62" t="s">
        <v>853</v>
      </c>
      <c r="E269" s="62" t="s">
        <v>101</v>
      </c>
      <c r="F269" s="53" t="s">
        <v>277</v>
      </c>
      <c r="G269" s="57" t="s">
        <v>1</v>
      </c>
      <c r="H269" s="57" t="s">
        <v>1</v>
      </c>
      <c r="I269" s="57" t="s">
        <v>1</v>
      </c>
      <c r="J269" s="57" t="s">
        <v>1</v>
      </c>
      <c r="K269" s="57" t="s">
        <v>1</v>
      </c>
      <c r="L269" s="23" t="str">
        <f t="shared" si="46"/>
        <v>Materialidades</v>
      </c>
      <c r="M269" s="23" t="str">
        <f t="shared" si="47"/>
        <v>Materiais Vegetais</v>
      </c>
      <c r="N269" s="23" t="str">
        <f t="shared" si="48"/>
        <v>Madeiras</v>
      </c>
      <c r="O269" s="23" t="str">
        <f t="shared" si="49"/>
        <v>Madeira de Massaranduba</v>
      </c>
      <c r="P269" s="24" t="str">
        <f t="shared" si="44"/>
        <v>Madeira de Massaranduba</v>
      </c>
      <c r="Q269" s="50" t="str">
        <f t="shared" si="50"/>
        <v>Bosque de Massaranduba</v>
      </c>
      <c r="R269" s="24" t="s">
        <v>1</v>
      </c>
      <c r="S269" s="24" t="str">
        <f t="shared" si="51"/>
        <v>Materialidades</v>
      </c>
      <c r="T269" s="24" t="str">
        <f t="shared" si="52"/>
        <v>Materiais Vegetais</v>
      </c>
      <c r="U269" s="24" t="str">
        <f t="shared" si="53"/>
        <v>Madeiras</v>
      </c>
      <c r="V269" s="24" t="s">
        <v>835</v>
      </c>
      <c r="W269" s="58" t="str">
        <f t="shared" si="45"/>
        <v>Key-MAT-269</v>
      </c>
      <c r="X269" s="24" t="s">
        <v>586</v>
      </c>
      <c r="Y269" s="24" t="s">
        <v>587</v>
      </c>
      <c r="Z269" s="63" t="s">
        <v>810</v>
      </c>
      <c r="AA269" s="24" t="str">
        <f t="shared" si="54"/>
        <v>Massaranduba Wood</v>
      </c>
    </row>
    <row r="270" spans="1:27" s="64" customFormat="1" ht="6.75" customHeight="1" x14ac:dyDescent="0.2">
      <c r="A270" s="55">
        <v>270</v>
      </c>
      <c r="B270" s="56" t="s">
        <v>838</v>
      </c>
      <c r="C270" s="53" t="s">
        <v>839</v>
      </c>
      <c r="D270" s="62" t="s">
        <v>853</v>
      </c>
      <c r="E270" s="62" t="s">
        <v>101</v>
      </c>
      <c r="F270" s="53" t="s">
        <v>278</v>
      </c>
      <c r="G270" s="57" t="s">
        <v>1</v>
      </c>
      <c r="H270" s="57" t="s">
        <v>1</v>
      </c>
      <c r="I270" s="57" t="s">
        <v>1</v>
      </c>
      <c r="J270" s="57" t="s">
        <v>1</v>
      </c>
      <c r="K270" s="57" t="s">
        <v>1</v>
      </c>
      <c r="L270" s="23" t="str">
        <f t="shared" si="46"/>
        <v>Materialidades</v>
      </c>
      <c r="M270" s="23" t="str">
        <f t="shared" si="47"/>
        <v>Materiais Vegetais</v>
      </c>
      <c r="N270" s="23" t="str">
        <f t="shared" si="48"/>
        <v>Madeiras</v>
      </c>
      <c r="O270" s="23" t="str">
        <f t="shared" si="49"/>
        <v>Madeira de Muiracatira</v>
      </c>
      <c r="P270" s="24" t="str">
        <f t="shared" si="44"/>
        <v>Madeira de Muiracatira</v>
      </c>
      <c r="Q270" s="50" t="str">
        <f t="shared" si="50"/>
        <v>Bosque de Muiracatira</v>
      </c>
      <c r="R270" s="24" t="s">
        <v>1</v>
      </c>
      <c r="S270" s="24" t="str">
        <f t="shared" si="51"/>
        <v>Materialidades</v>
      </c>
      <c r="T270" s="24" t="str">
        <f t="shared" si="52"/>
        <v>Materiais Vegetais</v>
      </c>
      <c r="U270" s="24" t="str">
        <f t="shared" si="53"/>
        <v>Madeiras</v>
      </c>
      <c r="V270" s="24" t="s">
        <v>835</v>
      </c>
      <c r="W270" s="58" t="str">
        <f t="shared" si="45"/>
        <v>Key-MAT-270</v>
      </c>
      <c r="X270" s="24" t="s">
        <v>586</v>
      </c>
      <c r="Y270" s="24" t="s">
        <v>587</v>
      </c>
      <c r="Z270" s="63" t="s">
        <v>811</v>
      </c>
      <c r="AA270" s="24" t="str">
        <f t="shared" si="54"/>
        <v>Muiracatira Wood</v>
      </c>
    </row>
    <row r="271" spans="1:27" s="64" customFormat="1" ht="6.75" customHeight="1" x14ac:dyDescent="0.2">
      <c r="A271" s="55">
        <v>271</v>
      </c>
      <c r="B271" s="56" t="s">
        <v>838</v>
      </c>
      <c r="C271" s="53" t="s">
        <v>839</v>
      </c>
      <c r="D271" s="62" t="s">
        <v>853</v>
      </c>
      <c r="E271" s="62" t="s">
        <v>101</v>
      </c>
      <c r="F271" s="53" t="s">
        <v>279</v>
      </c>
      <c r="G271" s="57" t="s">
        <v>1</v>
      </c>
      <c r="H271" s="57" t="s">
        <v>1</v>
      </c>
      <c r="I271" s="57" t="s">
        <v>1</v>
      </c>
      <c r="J271" s="57" t="s">
        <v>1</v>
      </c>
      <c r="K271" s="57" t="s">
        <v>1</v>
      </c>
      <c r="L271" s="23" t="str">
        <f t="shared" si="46"/>
        <v>Materialidades</v>
      </c>
      <c r="M271" s="23" t="str">
        <f t="shared" si="47"/>
        <v>Materiais Vegetais</v>
      </c>
      <c r="N271" s="23" t="str">
        <f t="shared" si="48"/>
        <v>Madeiras</v>
      </c>
      <c r="O271" s="23" t="str">
        <f t="shared" si="49"/>
        <v>Madeira de Pau Amarelo</v>
      </c>
      <c r="P271" s="24" t="str">
        <f t="shared" si="44"/>
        <v>Madeira de Pau Amarelo</v>
      </c>
      <c r="Q271" s="50" t="str">
        <f t="shared" si="50"/>
        <v>Yellowwood Wood</v>
      </c>
      <c r="R271" s="24" t="s">
        <v>1</v>
      </c>
      <c r="S271" s="24" t="str">
        <f t="shared" si="51"/>
        <v>Materialidades</v>
      </c>
      <c r="T271" s="24" t="str">
        <f t="shared" si="52"/>
        <v>Materiais Vegetais</v>
      </c>
      <c r="U271" s="24" t="str">
        <f t="shared" si="53"/>
        <v>Madeiras</v>
      </c>
      <c r="V271" s="24" t="s">
        <v>835</v>
      </c>
      <c r="W271" s="58" t="str">
        <f t="shared" si="45"/>
        <v>Key-MAT-271</v>
      </c>
      <c r="X271" s="24" t="s">
        <v>586</v>
      </c>
      <c r="Y271" s="24" t="s">
        <v>587</v>
      </c>
      <c r="Z271" s="63" t="s">
        <v>812</v>
      </c>
      <c r="AA271" s="24" t="str">
        <f t="shared" si="54"/>
        <v>Yellowwood Wood</v>
      </c>
    </row>
    <row r="272" spans="1:27" s="64" customFormat="1" ht="6.75" customHeight="1" x14ac:dyDescent="0.2">
      <c r="A272" s="55">
        <v>272</v>
      </c>
      <c r="B272" s="56" t="s">
        <v>838</v>
      </c>
      <c r="C272" s="53" t="s">
        <v>839</v>
      </c>
      <c r="D272" s="62" t="s">
        <v>853</v>
      </c>
      <c r="E272" s="62" t="s">
        <v>101</v>
      </c>
      <c r="F272" s="53" t="s">
        <v>280</v>
      </c>
      <c r="G272" s="57" t="s">
        <v>1</v>
      </c>
      <c r="H272" s="57" t="s">
        <v>1</v>
      </c>
      <c r="I272" s="57" t="s">
        <v>1</v>
      </c>
      <c r="J272" s="57" t="s">
        <v>1</v>
      </c>
      <c r="K272" s="57" t="s">
        <v>1</v>
      </c>
      <c r="L272" s="23" t="str">
        <f t="shared" si="46"/>
        <v>Materialidades</v>
      </c>
      <c r="M272" s="23" t="str">
        <f t="shared" si="47"/>
        <v>Materiais Vegetais</v>
      </c>
      <c r="N272" s="23" t="str">
        <f t="shared" si="48"/>
        <v>Madeiras</v>
      </c>
      <c r="O272" s="23" t="str">
        <f t="shared" si="49"/>
        <v>Madeira de Cumarú</v>
      </c>
      <c r="P272" s="24" t="str">
        <f t="shared" si="44"/>
        <v>Madeira de Cumarú</v>
      </c>
      <c r="Q272" s="50" t="str">
        <f t="shared" si="50"/>
        <v>Madera de cumarú</v>
      </c>
      <c r="R272" s="24" t="s">
        <v>1</v>
      </c>
      <c r="S272" s="24" t="str">
        <f t="shared" si="51"/>
        <v>Materialidades</v>
      </c>
      <c r="T272" s="24" t="str">
        <f t="shared" si="52"/>
        <v>Materiais Vegetais</v>
      </c>
      <c r="U272" s="24" t="str">
        <f t="shared" si="53"/>
        <v>Madeiras</v>
      </c>
      <c r="V272" s="24" t="s">
        <v>835</v>
      </c>
      <c r="W272" s="58" t="str">
        <f t="shared" si="45"/>
        <v>Key-MAT-272</v>
      </c>
      <c r="X272" s="24" t="s">
        <v>586</v>
      </c>
      <c r="Y272" s="24" t="s">
        <v>587</v>
      </c>
      <c r="Z272" s="63" t="s">
        <v>813</v>
      </c>
      <c r="AA272" s="24" t="str">
        <f t="shared" si="54"/>
        <v>Cumarú wood</v>
      </c>
    </row>
    <row r="273" spans="1:27" s="64" customFormat="1" ht="6.75" customHeight="1" x14ac:dyDescent="0.2">
      <c r="A273" s="55">
        <v>273</v>
      </c>
      <c r="B273" s="56" t="s">
        <v>838</v>
      </c>
      <c r="C273" s="53" t="s">
        <v>839</v>
      </c>
      <c r="D273" s="62" t="s">
        <v>853</v>
      </c>
      <c r="E273" s="62" t="s">
        <v>101</v>
      </c>
      <c r="F273" s="53" t="s">
        <v>281</v>
      </c>
      <c r="G273" s="57" t="s">
        <v>1</v>
      </c>
      <c r="H273" s="57" t="s">
        <v>1</v>
      </c>
      <c r="I273" s="57" t="s">
        <v>1</v>
      </c>
      <c r="J273" s="57" t="s">
        <v>1</v>
      </c>
      <c r="K273" s="57" t="s">
        <v>1</v>
      </c>
      <c r="L273" s="23" t="str">
        <f t="shared" si="46"/>
        <v>Materialidades</v>
      </c>
      <c r="M273" s="23" t="str">
        <f t="shared" si="47"/>
        <v>Materiais Vegetais</v>
      </c>
      <c r="N273" s="23" t="str">
        <f t="shared" si="48"/>
        <v>Madeiras</v>
      </c>
      <c r="O273" s="23" t="str">
        <f t="shared" si="49"/>
        <v>Madeira de Jacarandá</v>
      </c>
      <c r="P273" s="24" t="str">
        <f t="shared" si="44"/>
        <v>Madeira de Jacarandá</v>
      </c>
      <c r="Q273" s="50" t="str">
        <f t="shared" si="50"/>
        <v>Palisandro</v>
      </c>
      <c r="R273" s="24" t="s">
        <v>1</v>
      </c>
      <c r="S273" s="24" t="str">
        <f t="shared" si="51"/>
        <v>Materialidades</v>
      </c>
      <c r="T273" s="24" t="str">
        <f t="shared" si="52"/>
        <v>Materiais Vegetais</v>
      </c>
      <c r="U273" s="24" t="str">
        <f t="shared" si="53"/>
        <v>Madeiras</v>
      </c>
      <c r="V273" s="24" t="s">
        <v>835</v>
      </c>
      <c r="W273" s="58" t="str">
        <f t="shared" si="45"/>
        <v>Key-MAT-273</v>
      </c>
      <c r="X273" s="24" t="s">
        <v>586</v>
      </c>
      <c r="Y273" s="24" t="s">
        <v>587</v>
      </c>
      <c r="Z273" s="63" t="s">
        <v>814</v>
      </c>
      <c r="AA273" s="24" t="str">
        <f t="shared" si="54"/>
        <v>Rosewood</v>
      </c>
    </row>
    <row r="274" spans="1:27" s="64" customFormat="1" ht="6.75" customHeight="1" x14ac:dyDescent="0.2">
      <c r="A274" s="55">
        <v>274</v>
      </c>
      <c r="B274" s="56" t="s">
        <v>838</v>
      </c>
      <c r="C274" s="53" t="s">
        <v>839</v>
      </c>
      <c r="D274" s="62" t="s">
        <v>853</v>
      </c>
      <c r="E274" s="62" t="s">
        <v>572</v>
      </c>
      <c r="F274" s="62" t="s">
        <v>503</v>
      </c>
      <c r="G274" s="57" t="s">
        <v>1</v>
      </c>
      <c r="H274" s="57" t="s">
        <v>1</v>
      </c>
      <c r="I274" s="57" t="s">
        <v>1</v>
      </c>
      <c r="J274" s="57" t="s">
        <v>1</v>
      </c>
      <c r="K274" s="57" t="s">
        <v>1</v>
      </c>
      <c r="L274" s="23" t="str">
        <f t="shared" si="46"/>
        <v>Materialidades</v>
      </c>
      <c r="M274" s="23" t="str">
        <f t="shared" si="47"/>
        <v>Materiais Vegetais</v>
      </c>
      <c r="N274" s="23" t="str">
        <f t="shared" si="48"/>
        <v>Gramíneas</v>
      </c>
      <c r="O274" s="23" t="str">
        <f t="shared" si="49"/>
        <v>Algodão</v>
      </c>
      <c r="P274" s="24" t="s">
        <v>503</v>
      </c>
      <c r="Q274" s="50" t="str">
        <f t="shared" si="50"/>
        <v>Algodón</v>
      </c>
      <c r="R274" s="24" t="s">
        <v>1</v>
      </c>
      <c r="S274" s="24" t="str">
        <f t="shared" si="51"/>
        <v>Materialidades</v>
      </c>
      <c r="T274" s="24" t="str">
        <f t="shared" si="52"/>
        <v>Materiais Vegetais</v>
      </c>
      <c r="U274" s="24" t="str">
        <f t="shared" si="53"/>
        <v>Gramíneas</v>
      </c>
      <c r="V274" s="24" t="s">
        <v>835</v>
      </c>
      <c r="W274" s="58" t="str">
        <f t="shared" si="45"/>
        <v>Key-MAT-274</v>
      </c>
      <c r="X274" s="24" t="s">
        <v>586</v>
      </c>
      <c r="Y274" s="24" t="s">
        <v>587</v>
      </c>
      <c r="Z274" s="63" t="s">
        <v>815</v>
      </c>
      <c r="AA274" s="24" t="str">
        <f t="shared" si="54"/>
        <v>Cotton</v>
      </c>
    </row>
    <row r="275" spans="1:27" s="64" customFormat="1" ht="6.75" customHeight="1" x14ac:dyDescent="0.2">
      <c r="A275" s="55">
        <v>275</v>
      </c>
      <c r="B275" s="56" t="s">
        <v>838</v>
      </c>
      <c r="C275" s="53" t="s">
        <v>839</v>
      </c>
      <c r="D275" s="62" t="s">
        <v>853</v>
      </c>
      <c r="E275" s="62" t="s">
        <v>572</v>
      </c>
      <c r="F275" s="62" t="s">
        <v>111</v>
      </c>
      <c r="G275" s="57" t="s">
        <v>1</v>
      </c>
      <c r="H275" s="57" t="s">
        <v>1</v>
      </c>
      <c r="I275" s="57" t="s">
        <v>1</v>
      </c>
      <c r="J275" s="57" t="s">
        <v>1</v>
      </c>
      <c r="K275" s="57" t="s">
        <v>1</v>
      </c>
      <c r="L275" s="23" t="str">
        <f t="shared" si="46"/>
        <v>Materialidades</v>
      </c>
      <c r="M275" s="23" t="str">
        <f t="shared" si="47"/>
        <v>Materiais Vegetais</v>
      </c>
      <c r="N275" s="23" t="str">
        <f t="shared" si="48"/>
        <v>Gramíneas</v>
      </c>
      <c r="O275" s="23" t="str">
        <f t="shared" si="49"/>
        <v>Juta</v>
      </c>
      <c r="P275" s="24" t="s">
        <v>111</v>
      </c>
      <c r="Q275" s="50" t="str">
        <f t="shared" si="50"/>
        <v>Yute</v>
      </c>
      <c r="R275" s="24" t="s">
        <v>1</v>
      </c>
      <c r="S275" s="24" t="str">
        <f t="shared" si="51"/>
        <v>Materialidades</v>
      </c>
      <c r="T275" s="24" t="str">
        <f t="shared" si="52"/>
        <v>Materiais Vegetais</v>
      </c>
      <c r="U275" s="24" t="str">
        <f t="shared" si="53"/>
        <v>Gramíneas</v>
      </c>
      <c r="V275" s="24" t="s">
        <v>835</v>
      </c>
      <c r="W275" s="58" t="str">
        <f t="shared" si="45"/>
        <v>Key-MAT-275</v>
      </c>
      <c r="X275" s="24" t="s">
        <v>586</v>
      </c>
      <c r="Y275" s="24" t="s">
        <v>587</v>
      </c>
      <c r="Z275" s="63" t="s">
        <v>816</v>
      </c>
      <c r="AA275" s="24" t="str">
        <f t="shared" si="54"/>
        <v>Jute</v>
      </c>
    </row>
    <row r="276" spans="1:27" s="64" customFormat="1" ht="6.75" customHeight="1" x14ac:dyDescent="0.2">
      <c r="A276" s="55">
        <v>276</v>
      </c>
      <c r="B276" s="56" t="s">
        <v>838</v>
      </c>
      <c r="C276" s="53" t="s">
        <v>839</v>
      </c>
      <c r="D276" s="62" t="s">
        <v>853</v>
      </c>
      <c r="E276" s="62" t="s">
        <v>572</v>
      </c>
      <c r="F276" s="62" t="s">
        <v>112</v>
      </c>
      <c r="G276" s="57" t="s">
        <v>1</v>
      </c>
      <c r="H276" s="57" t="s">
        <v>1</v>
      </c>
      <c r="I276" s="57" t="s">
        <v>1</v>
      </c>
      <c r="J276" s="57" t="s">
        <v>1</v>
      </c>
      <c r="K276" s="57" t="s">
        <v>1</v>
      </c>
      <c r="L276" s="23" t="str">
        <f t="shared" si="46"/>
        <v>Materialidades</v>
      </c>
      <c r="M276" s="23" t="str">
        <f t="shared" si="47"/>
        <v>Materiais Vegetais</v>
      </c>
      <c r="N276" s="23" t="str">
        <f t="shared" si="48"/>
        <v>Gramíneas</v>
      </c>
      <c r="O276" s="23" t="str">
        <f t="shared" si="49"/>
        <v>Cortiça</v>
      </c>
      <c r="P276" s="24" t="s">
        <v>112</v>
      </c>
      <c r="Q276" s="50" t="str">
        <f t="shared" si="50"/>
        <v>Corcho</v>
      </c>
      <c r="R276" s="24" t="s">
        <v>1</v>
      </c>
      <c r="S276" s="24" t="str">
        <f t="shared" si="51"/>
        <v>Materialidades</v>
      </c>
      <c r="T276" s="24" t="str">
        <f t="shared" si="52"/>
        <v>Materiais Vegetais</v>
      </c>
      <c r="U276" s="24" t="str">
        <f t="shared" si="53"/>
        <v>Gramíneas</v>
      </c>
      <c r="V276" s="24" t="s">
        <v>835</v>
      </c>
      <c r="W276" s="58" t="str">
        <f t="shared" si="45"/>
        <v>Key-MAT-276</v>
      </c>
      <c r="X276" s="24" t="s">
        <v>586</v>
      </c>
      <c r="Y276" s="24" t="s">
        <v>587</v>
      </c>
      <c r="Z276" s="63" t="s">
        <v>817</v>
      </c>
      <c r="AA276" s="24" t="str">
        <f t="shared" si="54"/>
        <v>Cork</v>
      </c>
    </row>
    <row r="277" spans="1:27" s="64" customFormat="1" ht="6.75" customHeight="1" x14ac:dyDescent="0.2">
      <c r="A277" s="55">
        <v>277</v>
      </c>
      <c r="B277" s="56" t="s">
        <v>838</v>
      </c>
      <c r="C277" s="53" t="s">
        <v>839</v>
      </c>
      <c r="D277" s="62" t="s">
        <v>853</v>
      </c>
      <c r="E277" s="62" t="s">
        <v>572</v>
      </c>
      <c r="F277" s="53" t="s">
        <v>82</v>
      </c>
      <c r="G277" s="57" t="s">
        <v>1</v>
      </c>
      <c r="H277" s="57" t="s">
        <v>1</v>
      </c>
      <c r="I277" s="57" t="s">
        <v>1</v>
      </c>
      <c r="J277" s="57" t="s">
        <v>1</v>
      </c>
      <c r="K277" s="57" t="s">
        <v>1</v>
      </c>
      <c r="L277" s="23" t="str">
        <f t="shared" si="46"/>
        <v>Materialidades</v>
      </c>
      <c r="M277" s="23" t="str">
        <f t="shared" si="47"/>
        <v>Materiais Vegetais</v>
      </c>
      <c r="N277" s="23" t="str">
        <f t="shared" si="48"/>
        <v>Gramíneas</v>
      </c>
      <c r="O277" s="23" t="str">
        <f t="shared" si="49"/>
        <v>Bambu</v>
      </c>
      <c r="P277" s="24" t="s">
        <v>82</v>
      </c>
      <c r="Q277" s="50" t="str">
        <f t="shared" si="50"/>
        <v>Bambú</v>
      </c>
      <c r="R277" s="24" t="s">
        <v>1</v>
      </c>
      <c r="S277" s="24" t="str">
        <f t="shared" si="51"/>
        <v>Materialidades</v>
      </c>
      <c r="T277" s="24" t="str">
        <f t="shared" si="52"/>
        <v>Materiais Vegetais</v>
      </c>
      <c r="U277" s="24" t="str">
        <f t="shared" si="53"/>
        <v>Gramíneas</v>
      </c>
      <c r="V277" s="24" t="s">
        <v>835</v>
      </c>
      <c r="W277" s="58" t="str">
        <f t="shared" si="45"/>
        <v>Key-MAT-277</v>
      </c>
      <c r="X277" s="24" t="s">
        <v>586</v>
      </c>
      <c r="Y277" s="24" t="s">
        <v>587</v>
      </c>
      <c r="Z277" s="63" t="s">
        <v>818</v>
      </c>
      <c r="AA277" s="24" t="str">
        <f t="shared" si="54"/>
        <v>Bamboo</v>
      </c>
    </row>
    <row r="278" spans="1:27" s="64" customFormat="1" ht="6.75" customHeight="1" x14ac:dyDescent="0.2">
      <c r="A278" s="55">
        <v>278</v>
      </c>
      <c r="B278" s="56" t="s">
        <v>838</v>
      </c>
      <c r="C278" s="53" t="s">
        <v>839</v>
      </c>
      <c r="D278" s="62" t="s">
        <v>853</v>
      </c>
      <c r="E278" s="62" t="s">
        <v>572</v>
      </c>
      <c r="F278" s="53" t="s">
        <v>355</v>
      </c>
      <c r="G278" s="57" t="s">
        <v>1</v>
      </c>
      <c r="H278" s="57" t="s">
        <v>1</v>
      </c>
      <c r="I278" s="57" t="s">
        <v>1</v>
      </c>
      <c r="J278" s="57" t="s">
        <v>1</v>
      </c>
      <c r="K278" s="57" t="s">
        <v>1</v>
      </c>
      <c r="L278" s="23" t="str">
        <f t="shared" si="46"/>
        <v>Materialidades</v>
      </c>
      <c r="M278" s="23" t="str">
        <f t="shared" si="47"/>
        <v>Materiais Vegetais</v>
      </c>
      <c r="N278" s="23" t="str">
        <f t="shared" si="48"/>
        <v>Gramíneas</v>
      </c>
      <c r="O278" s="23" t="str">
        <f t="shared" si="49"/>
        <v>Grama</v>
      </c>
      <c r="P278" s="24" t="s">
        <v>355</v>
      </c>
      <c r="Q278" s="50" t="str">
        <f t="shared" si="50"/>
        <v>Césped</v>
      </c>
      <c r="R278" s="24" t="s">
        <v>1</v>
      </c>
      <c r="S278" s="24" t="str">
        <f t="shared" si="51"/>
        <v>Materialidades</v>
      </c>
      <c r="T278" s="24" t="str">
        <f t="shared" si="52"/>
        <v>Materiais Vegetais</v>
      </c>
      <c r="U278" s="24" t="str">
        <f t="shared" si="53"/>
        <v>Gramíneas</v>
      </c>
      <c r="V278" s="24" t="s">
        <v>835</v>
      </c>
      <c r="W278" s="58" t="str">
        <f t="shared" si="45"/>
        <v>Key-MAT-278</v>
      </c>
      <c r="X278" s="24" t="s">
        <v>586</v>
      </c>
      <c r="Y278" s="24" t="s">
        <v>587</v>
      </c>
      <c r="Z278" s="63" t="s">
        <v>819</v>
      </c>
      <c r="AA278" s="24" t="str">
        <f t="shared" si="54"/>
        <v>Grass</v>
      </c>
    </row>
    <row r="279" spans="1:27" s="64" customFormat="1" ht="6.75" customHeight="1" x14ac:dyDescent="0.2">
      <c r="A279" s="55">
        <v>279</v>
      </c>
      <c r="B279" s="56" t="s">
        <v>838</v>
      </c>
      <c r="C279" s="53" t="s">
        <v>839</v>
      </c>
      <c r="D279" s="62" t="s">
        <v>853</v>
      </c>
      <c r="E279" s="62" t="s">
        <v>572</v>
      </c>
      <c r="F279" s="53" t="s">
        <v>356</v>
      </c>
      <c r="G279" s="57" t="s">
        <v>1</v>
      </c>
      <c r="H279" s="57" t="s">
        <v>1</v>
      </c>
      <c r="I279" s="57" t="s">
        <v>1</v>
      </c>
      <c r="J279" s="57" t="s">
        <v>1</v>
      </c>
      <c r="K279" s="57" t="s">
        <v>1</v>
      </c>
      <c r="L279" s="23" t="str">
        <f t="shared" si="46"/>
        <v>Materialidades</v>
      </c>
      <c r="M279" s="23" t="str">
        <f t="shared" si="47"/>
        <v>Materiais Vegetais</v>
      </c>
      <c r="N279" s="23" t="str">
        <f t="shared" si="48"/>
        <v>Gramíneas</v>
      </c>
      <c r="O279" s="23" t="str">
        <f t="shared" si="49"/>
        <v>Linho</v>
      </c>
      <c r="P279" s="24" t="s">
        <v>356</v>
      </c>
      <c r="Q279" s="50" t="str">
        <f t="shared" si="50"/>
        <v>Lino</v>
      </c>
      <c r="R279" s="24" t="s">
        <v>1</v>
      </c>
      <c r="S279" s="24" t="str">
        <f t="shared" si="51"/>
        <v>Materialidades</v>
      </c>
      <c r="T279" s="24" t="str">
        <f t="shared" si="52"/>
        <v>Materiais Vegetais</v>
      </c>
      <c r="U279" s="24" t="str">
        <f t="shared" si="53"/>
        <v>Gramíneas</v>
      </c>
      <c r="V279" s="24" t="s">
        <v>835</v>
      </c>
      <c r="W279" s="58" t="str">
        <f t="shared" si="45"/>
        <v>Key-MAT-279</v>
      </c>
      <c r="X279" s="24" t="s">
        <v>586</v>
      </c>
      <c r="Y279" s="24" t="s">
        <v>587</v>
      </c>
      <c r="Z279" s="63" t="s">
        <v>820</v>
      </c>
      <c r="AA279" s="24" t="str">
        <f t="shared" si="54"/>
        <v>Linen</v>
      </c>
    </row>
    <row r="280" spans="1:27" s="64" customFormat="1" ht="6.75" customHeight="1" x14ac:dyDescent="0.2">
      <c r="A280" s="55">
        <v>280</v>
      </c>
      <c r="B280" s="56" t="s">
        <v>838</v>
      </c>
      <c r="C280" s="53" t="s">
        <v>839</v>
      </c>
      <c r="D280" s="62" t="s">
        <v>853</v>
      </c>
      <c r="E280" s="62" t="s">
        <v>572</v>
      </c>
      <c r="F280" s="53" t="s">
        <v>357</v>
      </c>
      <c r="G280" s="57" t="s">
        <v>1</v>
      </c>
      <c r="H280" s="57" t="s">
        <v>1</v>
      </c>
      <c r="I280" s="57" t="s">
        <v>1</v>
      </c>
      <c r="J280" s="57" t="s">
        <v>1</v>
      </c>
      <c r="K280" s="57" t="s">
        <v>1</v>
      </c>
      <c r="L280" s="23" t="str">
        <f t="shared" si="46"/>
        <v>Materialidades</v>
      </c>
      <c r="M280" s="23" t="str">
        <f t="shared" si="47"/>
        <v>Materiais Vegetais</v>
      </c>
      <c r="N280" s="23" t="str">
        <f t="shared" si="48"/>
        <v>Gramíneas</v>
      </c>
      <c r="O280" s="23" t="str">
        <f t="shared" si="49"/>
        <v>Vime</v>
      </c>
      <c r="P280" s="24" t="s">
        <v>357</v>
      </c>
      <c r="Q280" s="50" t="str">
        <f t="shared" si="50"/>
        <v>Mimbre</v>
      </c>
      <c r="R280" s="24" t="s">
        <v>1</v>
      </c>
      <c r="S280" s="24" t="str">
        <f t="shared" si="51"/>
        <v>Materialidades</v>
      </c>
      <c r="T280" s="24" t="str">
        <f t="shared" si="52"/>
        <v>Materiais Vegetais</v>
      </c>
      <c r="U280" s="24" t="str">
        <f t="shared" si="53"/>
        <v>Gramíneas</v>
      </c>
      <c r="V280" s="24" t="s">
        <v>835</v>
      </c>
      <c r="W280" s="58" t="str">
        <f t="shared" si="45"/>
        <v>Key-MAT-280</v>
      </c>
      <c r="X280" s="24" t="s">
        <v>586</v>
      </c>
      <c r="Y280" s="24" t="s">
        <v>587</v>
      </c>
      <c r="Z280" s="63" t="s">
        <v>821</v>
      </c>
      <c r="AA280" s="24" t="str">
        <f t="shared" si="54"/>
        <v>Wicker</v>
      </c>
    </row>
    <row r="281" spans="1:27" s="64" customFormat="1" ht="6.75" customHeight="1" x14ac:dyDescent="0.2">
      <c r="A281" s="55">
        <v>281</v>
      </c>
      <c r="B281" s="56" t="s">
        <v>838</v>
      </c>
      <c r="C281" s="53" t="s">
        <v>839</v>
      </c>
      <c r="D281" s="62" t="s">
        <v>853</v>
      </c>
      <c r="E281" s="62" t="s">
        <v>572</v>
      </c>
      <c r="F281" s="53" t="s">
        <v>358</v>
      </c>
      <c r="G281" s="57" t="s">
        <v>1</v>
      </c>
      <c r="H281" s="57" t="s">
        <v>1</v>
      </c>
      <c r="I281" s="57" t="s">
        <v>1</v>
      </c>
      <c r="J281" s="57" t="s">
        <v>1</v>
      </c>
      <c r="K281" s="57" t="s">
        <v>1</v>
      </c>
      <c r="L281" s="23" t="str">
        <f t="shared" si="46"/>
        <v>Materialidades</v>
      </c>
      <c r="M281" s="23" t="str">
        <f t="shared" si="47"/>
        <v>Materiais Vegetais</v>
      </c>
      <c r="N281" s="23" t="str">
        <f t="shared" si="48"/>
        <v>Gramíneas</v>
      </c>
      <c r="O281" s="23" t="str">
        <f t="shared" si="49"/>
        <v>Palha</v>
      </c>
      <c r="P281" s="24" t="s">
        <v>358</v>
      </c>
      <c r="Q281" s="50" t="str">
        <f t="shared" si="50"/>
        <v>Paja</v>
      </c>
      <c r="R281" s="24" t="s">
        <v>1</v>
      </c>
      <c r="S281" s="24" t="str">
        <f t="shared" si="51"/>
        <v>Materialidades</v>
      </c>
      <c r="T281" s="24" t="str">
        <f t="shared" si="52"/>
        <v>Materiais Vegetais</v>
      </c>
      <c r="U281" s="24" t="str">
        <f t="shared" si="53"/>
        <v>Gramíneas</v>
      </c>
      <c r="V281" s="24" t="s">
        <v>835</v>
      </c>
      <c r="W281" s="58" t="str">
        <f t="shared" si="45"/>
        <v>Key-MAT-281</v>
      </c>
      <c r="X281" s="24" t="s">
        <v>586</v>
      </c>
      <c r="Y281" s="24" t="s">
        <v>587</v>
      </c>
      <c r="Z281" s="63" t="s">
        <v>822</v>
      </c>
      <c r="AA281" s="24" t="str">
        <f t="shared" si="54"/>
        <v>Straw</v>
      </c>
    </row>
    <row r="282" spans="1:27" s="64" customFormat="1" ht="6.75" customHeight="1" x14ac:dyDescent="0.2">
      <c r="A282" s="55">
        <v>282</v>
      </c>
      <c r="B282" s="56" t="s">
        <v>838</v>
      </c>
      <c r="C282" s="53" t="s">
        <v>839</v>
      </c>
      <c r="D282" s="62" t="s">
        <v>853</v>
      </c>
      <c r="E282" s="53" t="s">
        <v>527</v>
      </c>
      <c r="F282" s="53" t="s">
        <v>526</v>
      </c>
      <c r="G282" s="57" t="s">
        <v>1</v>
      </c>
      <c r="H282" s="57" t="s">
        <v>1</v>
      </c>
      <c r="I282" s="57" t="s">
        <v>1</v>
      </c>
      <c r="J282" s="57" t="s">
        <v>1</v>
      </c>
      <c r="K282" s="57" t="s">
        <v>1</v>
      </c>
      <c r="L282" s="23" t="str">
        <f t="shared" si="46"/>
        <v>Materialidades</v>
      </c>
      <c r="M282" s="23" t="str">
        <f t="shared" si="47"/>
        <v>Materiais Vegetais</v>
      </c>
      <c r="N282" s="23" t="str">
        <f t="shared" si="48"/>
        <v>Têxteis</v>
      </c>
      <c r="O282" s="23" t="str">
        <f t="shared" si="49"/>
        <v>Celulose</v>
      </c>
      <c r="P282" s="24" t="s">
        <v>526</v>
      </c>
      <c r="Q282" s="50" t="str">
        <f t="shared" si="50"/>
        <v>Celulosa</v>
      </c>
      <c r="R282" s="24" t="s">
        <v>1</v>
      </c>
      <c r="S282" s="24" t="str">
        <f t="shared" si="51"/>
        <v>Materialidades</v>
      </c>
      <c r="T282" s="24" t="str">
        <f t="shared" si="52"/>
        <v>Materiais Vegetais</v>
      </c>
      <c r="U282" s="24" t="str">
        <f t="shared" si="53"/>
        <v>Têxteis</v>
      </c>
      <c r="V282" s="24" t="s">
        <v>835</v>
      </c>
      <c r="W282" s="58" t="str">
        <f t="shared" si="45"/>
        <v>Key-MAT-282</v>
      </c>
      <c r="X282" s="24" t="s">
        <v>586</v>
      </c>
      <c r="Y282" s="24" t="s">
        <v>587</v>
      </c>
      <c r="Z282" s="63" t="s">
        <v>823</v>
      </c>
      <c r="AA282" s="24" t="str">
        <f t="shared" si="54"/>
        <v>Cellulose</v>
      </c>
    </row>
    <row r="283" spans="1:27" s="64" customFormat="1" ht="6.75" customHeight="1" x14ac:dyDescent="0.2">
      <c r="A283" s="55">
        <v>283</v>
      </c>
      <c r="B283" s="56" t="s">
        <v>838</v>
      </c>
      <c r="C283" s="53" t="s">
        <v>839</v>
      </c>
      <c r="D283" s="62" t="s">
        <v>853</v>
      </c>
      <c r="E283" s="53" t="s">
        <v>527</v>
      </c>
      <c r="F283" s="53" t="s">
        <v>547</v>
      </c>
      <c r="G283" s="57" t="s">
        <v>1</v>
      </c>
      <c r="H283" s="57" t="s">
        <v>1</v>
      </c>
      <c r="I283" s="57" t="s">
        <v>1</v>
      </c>
      <c r="J283" s="57" t="s">
        <v>1</v>
      </c>
      <c r="K283" s="57" t="s">
        <v>1</v>
      </c>
      <c r="L283" s="23" t="str">
        <f t="shared" si="46"/>
        <v>Materialidades</v>
      </c>
      <c r="M283" s="23" t="str">
        <f t="shared" si="47"/>
        <v>Materiais Vegetais</v>
      </c>
      <c r="N283" s="23" t="str">
        <f t="shared" si="48"/>
        <v>Têxteis</v>
      </c>
      <c r="O283" s="23" t="str">
        <f t="shared" si="49"/>
        <v>Papel</v>
      </c>
      <c r="P283" s="24" t="s">
        <v>547</v>
      </c>
      <c r="Q283" s="50" t="str">
        <f t="shared" si="50"/>
        <v>Papel</v>
      </c>
      <c r="R283" s="24" t="s">
        <v>1</v>
      </c>
      <c r="S283" s="24" t="str">
        <f t="shared" si="51"/>
        <v>Materialidades</v>
      </c>
      <c r="T283" s="24" t="str">
        <f t="shared" si="52"/>
        <v>Materiais Vegetais</v>
      </c>
      <c r="U283" s="24" t="str">
        <f t="shared" si="53"/>
        <v>Têxteis</v>
      </c>
      <c r="V283" s="24" t="s">
        <v>835</v>
      </c>
      <c r="W283" s="58" t="str">
        <f t="shared" si="45"/>
        <v>Key-MAT-283</v>
      </c>
      <c r="X283" s="24" t="s">
        <v>586</v>
      </c>
      <c r="Y283" s="24" t="s">
        <v>587</v>
      </c>
      <c r="Z283" s="63" t="s">
        <v>824</v>
      </c>
      <c r="AA283" s="24" t="str">
        <f t="shared" si="54"/>
        <v>Paper</v>
      </c>
    </row>
    <row r="284" spans="1:27" s="64" customFormat="1" ht="6.75" customHeight="1" x14ac:dyDescent="0.2">
      <c r="A284" s="55">
        <v>284</v>
      </c>
      <c r="B284" s="56" t="s">
        <v>838</v>
      </c>
      <c r="C284" s="53" t="s">
        <v>839</v>
      </c>
      <c r="D284" s="62" t="s">
        <v>853</v>
      </c>
      <c r="E284" s="53" t="s">
        <v>527</v>
      </c>
      <c r="F284" s="53" t="s">
        <v>548</v>
      </c>
      <c r="G284" s="57" t="s">
        <v>1</v>
      </c>
      <c r="H284" s="57" t="s">
        <v>1</v>
      </c>
      <c r="I284" s="57" t="s">
        <v>1</v>
      </c>
      <c r="J284" s="57" t="s">
        <v>1</v>
      </c>
      <c r="K284" s="57" t="s">
        <v>1</v>
      </c>
      <c r="L284" s="23" t="str">
        <f t="shared" si="46"/>
        <v>Materialidades</v>
      </c>
      <c r="M284" s="23" t="str">
        <f t="shared" si="47"/>
        <v>Materiais Vegetais</v>
      </c>
      <c r="N284" s="23" t="str">
        <f t="shared" si="48"/>
        <v>Têxteis</v>
      </c>
      <c r="O284" s="23" t="str">
        <f t="shared" si="49"/>
        <v>Têxtil</v>
      </c>
      <c r="P284" s="24" t="s">
        <v>548</v>
      </c>
      <c r="Q284" s="50" t="str">
        <f t="shared" si="50"/>
        <v>Textil</v>
      </c>
      <c r="R284" s="24" t="s">
        <v>1</v>
      </c>
      <c r="S284" s="24" t="str">
        <f t="shared" si="51"/>
        <v>Materialidades</v>
      </c>
      <c r="T284" s="24" t="str">
        <f t="shared" si="52"/>
        <v>Materiais Vegetais</v>
      </c>
      <c r="U284" s="24" t="str">
        <f t="shared" si="53"/>
        <v>Têxteis</v>
      </c>
      <c r="V284" s="24" t="s">
        <v>835</v>
      </c>
      <c r="W284" s="58" t="str">
        <f t="shared" si="45"/>
        <v>Key-MAT-284</v>
      </c>
      <c r="X284" s="24" t="s">
        <v>586</v>
      </c>
      <c r="Y284" s="24" t="s">
        <v>587</v>
      </c>
      <c r="Z284" s="63" t="s">
        <v>825</v>
      </c>
      <c r="AA284" s="24" t="str">
        <f t="shared" si="54"/>
        <v>Textile</v>
      </c>
    </row>
    <row r="285" spans="1:27" s="64" customFormat="1" ht="6.75" customHeight="1" x14ac:dyDescent="0.2">
      <c r="A285" s="55">
        <v>285</v>
      </c>
      <c r="B285" s="56" t="s">
        <v>838</v>
      </c>
      <c r="C285" s="53" t="s">
        <v>839</v>
      </c>
      <c r="D285" s="62" t="s">
        <v>854</v>
      </c>
      <c r="E285" s="62" t="s">
        <v>573</v>
      </c>
      <c r="F285" s="62" t="s">
        <v>113</v>
      </c>
      <c r="G285" s="57" t="s">
        <v>1</v>
      </c>
      <c r="H285" s="57" t="s">
        <v>1</v>
      </c>
      <c r="I285" s="57" t="s">
        <v>1</v>
      </c>
      <c r="J285" s="57" t="s">
        <v>1</v>
      </c>
      <c r="K285" s="57" t="s">
        <v>1</v>
      </c>
      <c r="L285" s="23" t="str">
        <f t="shared" si="46"/>
        <v>Materialidades</v>
      </c>
      <c r="M285" s="23" t="str">
        <f t="shared" si="47"/>
        <v>Materiais Vítreos</v>
      </c>
      <c r="N285" s="23" t="str">
        <f t="shared" si="48"/>
        <v>Vítrificados</v>
      </c>
      <c r="O285" s="23" t="str">
        <f t="shared" si="49"/>
        <v>Vídro</v>
      </c>
      <c r="P285" s="24" t="s">
        <v>113</v>
      </c>
      <c r="Q285" s="50" t="str">
        <f t="shared" si="50"/>
        <v>Vidrio</v>
      </c>
      <c r="R285" s="24" t="s">
        <v>1</v>
      </c>
      <c r="S285" s="24" t="str">
        <f t="shared" si="51"/>
        <v>Materialidades</v>
      </c>
      <c r="T285" s="24" t="str">
        <f t="shared" si="52"/>
        <v>Materiais Vítreos</v>
      </c>
      <c r="U285" s="24" t="str">
        <f t="shared" si="53"/>
        <v>Vítrificados</v>
      </c>
      <c r="V285" s="24" t="s">
        <v>835</v>
      </c>
      <c r="W285" s="58" t="str">
        <f t="shared" si="45"/>
        <v>Key-MAT-285</v>
      </c>
      <c r="X285" s="24" t="s">
        <v>586</v>
      </c>
      <c r="Y285" s="24" t="s">
        <v>587</v>
      </c>
      <c r="Z285" s="63" t="s">
        <v>826</v>
      </c>
      <c r="AA285" s="24" t="str">
        <f t="shared" si="54"/>
        <v>Glass</v>
      </c>
    </row>
    <row r="286" spans="1:27" s="64" customFormat="1" ht="6.75" customHeight="1" x14ac:dyDescent="0.2">
      <c r="A286" s="55">
        <v>286</v>
      </c>
      <c r="B286" s="56" t="s">
        <v>838</v>
      </c>
      <c r="C286" s="53" t="s">
        <v>839</v>
      </c>
      <c r="D286" s="62" t="s">
        <v>854</v>
      </c>
      <c r="E286" s="62" t="s">
        <v>573</v>
      </c>
      <c r="F286" s="53" t="s">
        <v>543</v>
      </c>
      <c r="G286" s="57" t="s">
        <v>1</v>
      </c>
      <c r="H286" s="57" t="s">
        <v>1</v>
      </c>
      <c r="I286" s="57" t="s">
        <v>1</v>
      </c>
      <c r="J286" s="57" t="s">
        <v>1</v>
      </c>
      <c r="K286" s="57" t="s">
        <v>1</v>
      </c>
      <c r="L286" s="23" t="str">
        <f t="shared" si="46"/>
        <v>Materialidades</v>
      </c>
      <c r="M286" s="23" t="str">
        <f t="shared" si="47"/>
        <v>Materiais Vítreos</v>
      </c>
      <c r="N286" s="23" t="str">
        <f t="shared" si="48"/>
        <v>Vítrificados</v>
      </c>
      <c r="O286" s="23" t="str">
        <f t="shared" si="49"/>
        <v>Porcelana Esmaltada</v>
      </c>
      <c r="P286" s="24" t="s">
        <v>564</v>
      </c>
      <c r="Q286" s="50" t="str">
        <f t="shared" si="50"/>
        <v>Porcelana vidriada</v>
      </c>
      <c r="R286" s="24" t="s">
        <v>1</v>
      </c>
      <c r="S286" s="24" t="str">
        <f t="shared" si="51"/>
        <v>Materialidades</v>
      </c>
      <c r="T286" s="24" t="str">
        <f t="shared" si="52"/>
        <v>Materiais Vítreos</v>
      </c>
      <c r="U286" s="24" t="str">
        <f t="shared" si="53"/>
        <v>Vítrificados</v>
      </c>
      <c r="V286" s="24" t="s">
        <v>835</v>
      </c>
      <c r="W286" s="58" t="str">
        <f t="shared" si="45"/>
        <v>Key-MAT-286</v>
      </c>
      <c r="X286" s="24" t="s">
        <v>586</v>
      </c>
      <c r="Y286" s="24" t="s">
        <v>587</v>
      </c>
      <c r="Z286" s="63" t="s">
        <v>827</v>
      </c>
      <c r="AA286" s="24" t="str">
        <f t="shared" si="54"/>
        <v>Glazed Porcelain</v>
      </c>
    </row>
    <row r="287" spans="1:27" s="64" customFormat="1" ht="6.75" customHeight="1" x14ac:dyDescent="0.2">
      <c r="A287" s="55">
        <v>287</v>
      </c>
      <c r="B287" s="56" t="s">
        <v>855</v>
      </c>
      <c r="C287" s="53" t="s">
        <v>863</v>
      </c>
      <c r="D287" s="53" t="s">
        <v>866</v>
      </c>
      <c r="E287" s="53" t="s">
        <v>865</v>
      </c>
      <c r="F287" s="53" t="s">
        <v>864</v>
      </c>
      <c r="G287" s="57" t="s">
        <v>1</v>
      </c>
      <c r="H287" s="57" t="s">
        <v>1</v>
      </c>
      <c r="I287" s="57" t="s">
        <v>1</v>
      </c>
      <c r="J287" s="57" t="s">
        <v>1</v>
      </c>
      <c r="K287" s="57" t="s">
        <v>1</v>
      </c>
      <c r="L287" s="23" t="str">
        <f t="shared" ref="L287" si="55">SUBSTITUTE(CONCATENATE("", C287), ".", " ")</f>
        <v>Catalogação</v>
      </c>
      <c r="M287" s="23" t="str">
        <f t="shared" ref="M287" si="56">SUBSTITUTE(CONCATENATE("", D287), ".", " ")</f>
        <v>Catálogos de Materiais</v>
      </c>
      <c r="N287" s="23" t="str">
        <f t="shared" ref="N287" si="57">SUBSTITUTE(CONCATENATE("", E287), ".", " ")</f>
        <v>Materiais Catalogados</v>
      </c>
      <c r="O287" s="23" t="str">
        <f t="shared" ref="O287:P287" si="58">SUBSTITUTE(CONCATENATE("", F287), ".", " ")</f>
        <v>Material Catalogado</v>
      </c>
      <c r="P287" s="24" t="s">
        <v>867</v>
      </c>
      <c r="Q287" s="50" t="str">
        <f t="shared" ref="Q287" si="59">_xlfn.TRANSLATE(P287,"pt","es")</f>
        <v>Material catalogado</v>
      </c>
      <c r="R287" s="24" t="s">
        <v>1</v>
      </c>
      <c r="S287" s="24" t="str">
        <f t="shared" ref="S287" si="60">SUBSTITUTE(C287, ".", " ")</f>
        <v>Catalogação</v>
      </c>
      <c r="T287" s="24" t="str">
        <f t="shared" ref="T287" si="61">SUBSTITUTE(D287, ".", " ")</f>
        <v>Catálogos de Materiais</v>
      </c>
      <c r="U287" s="24" t="str">
        <f t="shared" ref="U287" si="62">SUBSTITUTE(E287, ".", " ")</f>
        <v>Materiais Catalogados</v>
      </c>
      <c r="V287" s="24" t="s">
        <v>835</v>
      </c>
      <c r="W287" s="58" t="str">
        <f t="shared" ref="W287" si="63">CONCATENATE("Key-MAT-",A287)</f>
        <v>Key-MAT-287</v>
      </c>
      <c r="X287" s="24" t="s">
        <v>586</v>
      </c>
      <c r="Y287" s="24" t="s">
        <v>587</v>
      </c>
      <c r="Z287" s="63" t="s">
        <v>827</v>
      </c>
      <c r="AA287" s="24" t="str">
        <f t="shared" ref="AA287" si="64">_xlfn.TRANSLATE(P287,"pt","en")</f>
        <v>Cataloged Material</v>
      </c>
    </row>
  </sheetData>
  <sortState xmlns:xlrd2="http://schemas.microsoft.com/office/spreadsheetml/2017/richdata2" ref="A2:AA287">
    <sortCondition ref="A263:A287"/>
  </sortState>
  <phoneticPr fontId="1" type="noConversion"/>
  <conditionalFormatting sqref="AA1:AA287 A2:B287">
    <cfRule type="cellIs" dxfId="0" priority="7" operator="equal">
      <formula>"null"</formula>
    </cfRule>
  </conditionalFormatting>
  <conditionalFormatting sqref="A1:C1 G1:W1 Y1:Z1">
    <cfRule type="cellIs" dxfId="15" priority="587" operator="equal">
      <formula>"null"</formula>
    </cfRule>
  </conditionalFormatting>
  <conditionalFormatting sqref="F1:F121 F125:F1048576">
    <cfRule type="duplicateValues" dxfId="14" priority="30"/>
  </conditionalFormatting>
  <conditionalFormatting sqref="Q2:Q287">
    <cfRule type="cellIs" dxfId="13" priority="21" operator="equal">
      <formula>"null"</formula>
    </cfRule>
  </conditionalFormatting>
  <conditionalFormatting sqref="X2:Y286">
    <cfRule type="cellIs" dxfId="12" priority="49" operator="equal">
      <formula>"null"</formula>
    </cfRule>
  </conditionalFormatting>
  <conditionalFormatting sqref="Z70:Z79">
    <cfRule type="cellIs" dxfId="11" priority="48" operator="equal">
      <formula>"null"</formula>
    </cfRule>
  </conditionalFormatting>
  <conditionalFormatting sqref="Z102">
    <cfRule type="cellIs" dxfId="10" priority="413" operator="equal">
      <formula>"null"</formula>
    </cfRule>
  </conditionalFormatting>
  <conditionalFormatting sqref="Z135:Z137">
    <cfRule type="cellIs" dxfId="9" priority="38" operator="equal">
      <formula>"null"</formula>
    </cfRule>
  </conditionalFormatting>
  <conditionalFormatting sqref="AB1:XFD1 Z105:Z106 Z163">
    <cfRule type="cellIs" dxfId="8" priority="597" operator="equal">
      <formula>"null"</formula>
    </cfRule>
  </conditionalFormatting>
  <conditionalFormatting sqref="X287:Y287">
    <cfRule type="cellIs" dxfId="1" priority="1" operator="equal">
      <formula>"null"</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D1C2-A59C-4020-8FC9-E5402FE7B33F}">
  <sheetPr codeName="Planilha3"/>
  <dimension ref="A1:U2"/>
  <sheetViews>
    <sheetView zoomScale="205" zoomScaleNormal="205" workbookViewId="0">
      <pane ySplit="1" topLeftCell="A2" activePane="bottomLeft" state="frozen"/>
      <selection activeCell="C18" sqref="C18"/>
      <selection pane="bottomLeft" activeCell="A3" sqref="A3:XFD3"/>
    </sheetView>
  </sheetViews>
  <sheetFormatPr defaultColWidth="11.140625" defaultRowHeight="7.9" customHeight="1" x14ac:dyDescent="0.15"/>
  <cols>
    <col min="1" max="1" width="2.28515625" style="1" customWidth="1"/>
    <col min="2" max="10" width="5.140625" style="2" bestFit="1" customWidth="1"/>
    <col min="11" max="21" width="5.5703125" style="5" bestFit="1" customWidth="1"/>
    <col min="22" max="16384" width="11.140625" style="5"/>
  </cols>
  <sheetData>
    <row r="1" spans="1:21" s="3" customFormat="1" ht="27" customHeight="1" x14ac:dyDescent="0.15">
      <c r="A1" s="20" t="s">
        <v>22</v>
      </c>
      <c r="B1" s="21" t="s">
        <v>2</v>
      </c>
      <c r="C1" s="21" t="s">
        <v>3</v>
      </c>
      <c r="D1" s="21" t="s">
        <v>4</v>
      </c>
      <c r="E1" s="21" t="s">
        <v>5</v>
      </c>
      <c r="F1" s="21" t="s">
        <v>6</v>
      </c>
      <c r="G1" s="21" t="s">
        <v>7</v>
      </c>
      <c r="H1" s="21" t="s">
        <v>8</v>
      </c>
      <c r="I1" s="21" t="s">
        <v>9</v>
      </c>
      <c r="J1" s="21" t="s">
        <v>10</v>
      </c>
      <c r="K1" s="21" t="s">
        <v>11</v>
      </c>
      <c r="L1" s="21" t="s">
        <v>12</v>
      </c>
      <c r="M1" s="21" t="s">
        <v>13</v>
      </c>
      <c r="N1" s="21" t="s">
        <v>14</v>
      </c>
      <c r="O1" s="21" t="s">
        <v>15</v>
      </c>
      <c r="P1" s="21" t="s">
        <v>16</v>
      </c>
      <c r="Q1" s="21" t="s">
        <v>17</v>
      </c>
      <c r="R1" s="21" t="s">
        <v>18</v>
      </c>
      <c r="S1" s="21" t="s">
        <v>19</v>
      </c>
      <c r="T1" s="21" t="s">
        <v>20</v>
      </c>
      <c r="U1" s="21" t="s">
        <v>21</v>
      </c>
    </row>
    <row r="2" spans="1:21" ht="9" customHeight="1" x14ac:dyDescent="0.15">
      <c r="A2" s="20">
        <v>2</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4" t="s">
        <v>1</v>
      </c>
      <c r="S2" s="4" t="s">
        <v>1</v>
      </c>
      <c r="T2" s="4" t="s">
        <v>1</v>
      </c>
      <c r="U2" s="4" t="s">
        <v>1</v>
      </c>
    </row>
  </sheetData>
  <phoneticPr fontId="1" type="noConversion"/>
  <conditionalFormatting sqref="A1:XFD1048576">
    <cfRule type="cellIs" dxfId="7" priority="1" operator="equal">
      <formula>"null"</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E13-E93E-488C-9C8F-4E4982DFBAE7}">
  <sheetPr codeName="Planilha4"/>
  <dimension ref="A1:D6"/>
  <sheetViews>
    <sheetView zoomScale="295" zoomScaleNormal="295" workbookViewId="0">
      <pane ySplit="1" topLeftCell="A2" activePane="bottomLeft" state="frozen"/>
      <selection activeCell="C18" sqref="C18"/>
      <selection pane="bottomLeft" activeCell="B7" sqref="B7"/>
    </sheetView>
  </sheetViews>
  <sheetFormatPr defaultColWidth="3.42578125" defaultRowHeight="6" customHeight="1" x14ac:dyDescent="0.25"/>
  <cols>
    <col min="2" max="2" width="6.7109375" bestFit="1" customWidth="1"/>
    <col min="3" max="3" width="8.140625" customWidth="1"/>
    <col min="4" max="4" width="7" customWidth="1"/>
  </cols>
  <sheetData>
    <row r="1" spans="1:4" ht="12.6" customHeight="1" x14ac:dyDescent="0.25">
      <c r="A1" s="18">
        <v>1</v>
      </c>
      <c r="B1" s="19" t="s">
        <v>73</v>
      </c>
      <c r="C1" s="19" t="s">
        <v>74</v>
      </c>
      <c r="D1" s="19" t="s">
        <v>74</v>
      </c>
    </row>
    <row r="2" spans="1:4" s="28" customFormat="1" ht="6" customHeight="1" x14ac:dyDescent="0.15">
      <c r="A2" s="12">
        <v>2</v>
      </c>
      <c r="B2" s="33" t="s">
        <v>1</v>
      </c>
      <c r="C2" s="34" t="s">
        <v>1</v>
      </c>
      <c r="D2" s="34" t="s">
        <v>1</v>
      </c>
    </row>
    <row r="3" spans="1:4" s="28" customFormat="1" ht="6" customHeight="1" x14ac:dyDescent="0.15">
      <c r="A3" s="12">
        <v>3</v>
      </c>
      <c r="B3" s="33" t="s">
        <v>1</v>
      </c>
      <c r="C3" s="34" t="s">
        <v>1</v>
      </c>
      <c r="D3" s="34" t="s">
        <v>1</v>
      </c>
    </row>
    <row r="4" spans="1:4" s="28" customFormat="1" ht="6" customHeight="1" x14ac:dyDescent="0.15">
      <c r="A4" s="12">
        <v>4</v>
      </c>
      <c r="B4" s="33" t="s">
        <v>1</v>
      </c>
      <c r="C4" s="34" t="s">
        <v>1</v>
      </c>
      <c r="D4" s="34" t="s">
        <v>1</v>
      </c>
    </row>
    <row r="5" spans="1:4" s="28" customFormat="1" ht="6" customHeight="1" x14ac:dyDescent="0.25">
      <c r="A5"/>
      <c r="B5"/>
      <c r="C5"/>
      <c r="D5"/>
    </row>
    <row r="6" spans="1:4" s="28" customFormat="1" ht="6" customHeight="1" x14ac:dyDescent="0.25">
      <c r="A6"/>
      <c r="B6"/>
      <c r="C6"/>
      <c r="D6"/>
    </row>
  </sheetData>
  <conditionalFormatting sqref="A1:A4">
    <cfRule type="cellIs" dxfId="6" priority="32" operator="equal">
      <formula>"null"</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BE003-A289-428E-9141-72F001D0AED0}">
  <sheetPr codeName="Planilha5"/>
  <dimension ref="A1:S8"/>
  <sheetViews>
    <sheetView zoomScale="220" zoomScaleNormal="220" workbookViewId="0">
      <pane ySplit="1" topLeftCell="A2" activePane="bottomLeft" state="frozen"/>
      <selection pane="bottomLeft" activeCell="C3" sqref="C3:C8"/>
    </sheetView>
  </sheetViews>
  <sheetFormatPr defaultRowHeight="8.25" customHeight="1" x14ac:dyDescent="0.25"/>
  <cols>
    <col min="1" max="1" width="2.140625" bestFit="1" customWidth="1"/>
    <col min="2" max="2" width="9.7109375" bestFit="1" customWidth="1"/>
    <col min="3" max="3" width="6.7109375" bestFit="1" customWidth="1"/>
    <col min="4" max="4" width="8.7109375" bestFit="1" customWidth="1"/>
    <col min="5" max="5" width="8.85546875" bestFit="1" customWidth="1"/>
    <col min="6" max="6" width="4.28515625" bestFit="1" customWidth="1"/>
    <col min="7" max="7" width="4.7109375" bestFit="1" customWidth="1"/>
    <col min="8" max="8" width="6" bestFit="1" customWidth="1"/>
    <col min="9" max="9" width="17.28515625" bestFit="1" customWidth="1"/>
    <col min="10" max="10" width="4.28515625" bestFit="1" customWidth="1"/>
    <col min="11" max="11" width="4.7109375" bestFit="1" customWidth="1"/>
    <col min="12" max="12" width="8.42578125" bestFit="1" customWidth="1"/>
    <col min="13" max="13" width="9.42578125" bestFit="1" customWidth="1"/>
    <col min="14" max="14" width="5.7109375" bestFit="1" customWidth="1"/>
    <col min="15" max="15" width="7.7109375" bestFit="1" customWidth="1"/>
    <col min="16" max="16" width="7.28515625" bestFit="1" customWidth="1"/>
    <col min="17" max="17" width="12" style="54" bestFit="1" customWidth="1"/>
    <col min="18" max="18" width="4.28515625" bestFit="1" customWidth="1"/>
    <col min="19" max="19" width="4.7109375" bestFit="1" customWidth="1"/>
  </cols>
  <sheetData>
    <row r="1" spans="1:19" ht="33.950000000000003" customHeight="1" x14ac:dyDescent="0.25">
      <c r="A1" s="22">
        <v>1</v>
      </c>
      <c r="B1" s="17" t="s">
        <v>79</v>
      </c>
      <c r="C1" s="42" t="s">
        <v>77</v>
      </c>
      <c r="D1" s="17" t="s">
        <v>33</v>
      </c>
      <c r="E1" s="37" t="s">
        <v>81</v>
      </c>
      <c r="F1" s="38" t="s">
        <v>33</v>
      </c>
      <c r="G1" s="45" t="s">
        <v>81</v>
      </c>
      <c r="H1" s="17" t="s">
        <v>33</v>
      </c>
      <c r="I1" s="37" t="s">
        <v>81</v>
      </c>
      <c r="J1" s="38" t="s">
        <v>33</v>
      </c>
      <c r="K1" s="37" t="s">
        <v>81</v>
      </c>
      <c r="L1" s="43" t="s">
        <v>33</v>
      </c>
      <c r="M1" s="37" t="s">
        <v>81</v>
      </c>
      <c r="N1" s="43" t="s">
        <v>33</v>
      </c>
      <c r="O1" s="37" t="s">
        <v>81</v>
      </c>
      <c r="P1" s="43" t="s">
        <v>33</v>
      </c>
      <c r="Q1" s="45" t="s">
        <v>81</v>
      </c>
      <c r="R1" s="43" t="s">
        <v>33</v>
      </c>
      <c r="S1" s="37" t="s">
        <v>81</v>
      </c>
    </row>
    <row r="2" spans="1:19" ht="8.25" customHeight="1" x14ac:dyDescent="0.25">
      <c r="A2" s="29">
        <v>2</v>
      </c>
      <c r="B2" s="31" t="s">
        <v>836</v>
      </c>
      <c r="C2" s="26" t="s">
        <v>855</v>
      </c>
      <c r="D2" s="49" t="s">
        <v>1</v>
      </c>
      <c r="E2" s="44" t="s">
        <v>1</v>
      </c>
      <c r="F2" s="49" t="s">
        <v>1</v>
      </c>
      <c r="G2" s="44" t="s">
        <v>1</v>
      </c>
      <c r="H2" s="35" t="s">
        <v>78</v>
      </c>
      <c r="I2" s="25" t="s">
        <v>856</v>
      </c>
      <c r="J2" s="35" t="s">
        <v>1</v>
      </c>
      <c r="K2" s="25" t="s">
        <v>1</v>
      </c>
      <c r="L2" s="27" t="s">
        <v>92</v>
      </c>
      <c r="M2" s="32" t="s">
        <v>108</v>
      </c>
      <c r="N2" s="27" t="s">
        <v>93</v>
      </c>
      <c r="O2" s="30" t="s">
        <v>109</v>
      </c>
      <c r="P2" s="27" t="s">
        <v>1</v>
      </c>
      <c r="Q2" s="30" t="s">
        <v>1</v>
      </c>
      <c r="R2" s="27" t="s">
        <v>1</v>
      </c>
      <c r="S2" s="25" t="s">
        <v>1</v>
      </c>
    </row>
    <row r="3" spans="1:19" ht="8.25" customHeight="1" x14ac:dyDescent="0.25">
      <c r="A3" s="29">
        <v>3</v>
      </c>
      <c r="B3" s="31" t="s">
        <v>837</v>
      </c>
      <c r="C3" s="26" t="s">
        <v>855</v>
      </c>
      <c r="D3" s="49" t="s">
        <v>364</v>
      </c>
      <c r="E3" s="36" t="s">
        <v>836</v>
      </c>
      <c r="F3" s="49" t="s">
        <v>1</v>
      </c>
      <c r="G3" s="44" t="s">
        <v>1</v>
      </c>
      <c r="H3" s="35" t="s">
        <v>78</v>
      </c>
      <c r="I3" s="25" t="s">
        <v>857</v>
      </c>
      <c r="J3" s="35" t="s">
        <v>1</v>
      </c>
      <c r="K3" s="25" t="s">
        <v>1</v>
      </c>
      <c r="L3" s="27" t="s">
        <v>92</v>
      </c>
      <c r="M3" s="32" t="s">
        <v>108</v>
      </c>
      <c r="N3" s="27" t="s">
        <v>93</v>
      </c>
      <c r="O3" s="30" t="s">
        <v>109</v>
      </c>
      <c r="P3" s="27" t="s">
        <v>1</v>
      </c>
      <c r="Q3" s="30" t="s">
        <v>1</v>
      </c>
      <c r="R3" s="27" t="s">
        <v>1</v>
      </c>
      <c r="S3" s="25" t="s">
        <v>1</v>
      </c>
    </row>
    <row r="4" spans="1:19" ht="8.25" customHeight="1" x14ac:dyDescent="0.25">
      <c r="A4" s="29">
        <v>4</v>
      </c>
      <c r="B4" s="31" t="s">
        <v>359</v>
      </c>
      <c r="C4" s="26" t="s">
        <v>855</v>
      </c>
      <c r="D4" s="49" t="s">
        <v>364</v>
      </c>
      <c r="E4" s="36" t="s">
        <v>837</v>
      </c>
      <c r="F4" s="49" t="s">
        <v>1</v>
      </c>
      <c r="G4" s="44" t="s">
        <v>1</v>
      </c>
      <c r="H4" s="35" t="s">
        <v>78</v>
      </c>
      <c r="I4" s="25" t="s">
        <v>858</v>
      </c>
      <c r="J4" s="35" t="s">
        <v>1</v>
      </c>
      <c r="K4" s="25" t="s">
        <v>1</v>
      </c>
      <c r="L4" s="27" t="s">
        <v>92</v>
      </c>
      <c r="M4" s="32" t="s">
        <v>108</v>
      </c>
      <c r="N4" s="27" t="s">
        <v>93</v>
      </c>
      <c r="O4" s="30" t="s">
        <v>109</v>
      </c>
      <c r="P4" s="27" t="s">
        <v>829</v>
      </c>
      <c r="Q4" s="30" t="s">
        <v>830</v>
      </c>
      <c r="R4" s="27" t="s">
        <v>1</v>
      </c>
      <c r="S4" s="25" t="s">
        <v>1</v>
      </c>
    </row>
    <row r="5" spans="1:19" ht="8.25" customHeight="1" x14ac:dyDescent="0.25">
      <c r="A5" s="29">
        <v>5</v>
      </c>
      <c r="B5" s="31" t="s">
        <v>360</v>
      </c>
      <c r="C5" s="26" t="s">
        <v>855</v>
      </c>
      <c r="D5" s="49" t="s">
        <v>364</v>
      </c>
      <c r="E5" s="36" t="s">
        <v>837</v>
      </c>
      <c r="F5" s="49" t="s">
        <v>1</v>
      </c>
      <c r="G5" s="44" t="s">
        <v>1</v>
      </c>
      <c r="H5" s="35" t="s">
        <v>78</v>
      </c>
      <c r="I5" s="25" t="s">
        <v>859</v>
      </c>
      <c r="J5" s="35" t="s">
        <v>1</v>
      </c>
      <c r="K5" s="25" t="s">
        <v>1</v>
      </c>
      <c r="L5" s="27" t="s">
        <v>92</v>
      </c>
      <c r="M5" s="32" t="s">
        <v>108</v>
      </c>
      <c r="N5" s="27" t="s">
        <v>93</v>
      </c>
      <c r="O5" s="30" t="s">
        <v>109</v>
      </c>
      <c r="P5" s="27" t="s">
        <v>829</v>
      </c>
      <c r="Q5" s="30" t="s">
        <v>831</v>
      </c>
      <c r="R5" s="27" t="s">
        <v>1</v>
      </c>
      <c r="S5" s="25" t="s">
        <v>1</v>
      </c>
    </row>
    <row r="6" spans="1:19" ht="8.25" customHeight="1" x14ac:dyDescent="0.25">
      <c r="A6" s="29">
        <v>6</v>
      </c>
      <c r="B6" s="31" t="s">
        <v>361</v>
      </c>
      <c r="C6" s="26" t="s">
        <v>855</v>
      </c>
      <c r="D6" s="49" t="s">
        <v>364</v>
      </c>
      <c r="E6" s="36" t="s">
        <v>837</v>
      </c>
      <c r="F6" s="49" t="s">
        <v>1</v>
      </c>
      <c r="G6" s="44" t="s">
        <v>1</v>
      </c>
      <c r="H6" s="35" t="s">
        <v>78</v>
      </c>
      <c r="I6" s="25" t="s">
        <v>860</v>
      </c>
      <c r="J6" s="35" t="s">
        <v>1</v>
      </c>
      <c r="K6" s="25" t="s">
        <v>1</v>
      </c>
      <c r="L6" s="27" t="s">
        <v>92</v>
      </c>
      <c r="M6" s="32" t="s">
        <v>108</v>
      </c>
      <c r="N6" s="27" t="s">
        <v>93</v>
      </c>
      <c r="O6" s="30" t="s">
        <v>109</v>
      </c>
      <c r="P6" s="27" t="s">
        <v>829</v>
      </c>
      <c r="Q6" s="30" t="s">
        <v>832</v>
      </c>
      <c r="R6" s="27" t="s">
        <v>1</v>
      </c>
      <c r="S6" s="25" t="s">
        <v>1</v>
      </c>
    </row>
    <row r="7" spans="1:19" ht="8.25" customHeight="1" x14ac:dyDescent="0.25">
      <c r="A7" s="29">
        <v>7</v>
      </c>
      <c r="B7" s="31" t="s">
        <v>362</v>
      </c>
      <c r="C7" s="26" t="s">
        <v>855</v>
      </c>
      <c r="D7" s="49" t="s">
        <v>364</v>
      </c>
      <c r="E7" s="36" t="s">
        <v>837</v>
      </c>
      <c r="F7" s="49" t="s">
        <v>1</v>
      </c>
      <c r="G7" s="44" t="s">
        <v>1</v>
      </c>
      <c r="H7" s="35" t="s">
        <v>78</v>
      </c>
      <c r="I7" s="25" t="s">
        <v>861</v>
      </c>
      <c r="J7" s="35" t="s">
        <v>1</v>
      </c>
      <c r="K7" s="25" t="s">
        <v>1</v>
      </c>
      <c r="L7" s="27" t="s">
        <v>92</v>
      </c>
      <c r="M7" s="32" t="s">
        <v>108</v>
      </c>
      <c r="N7" s="27" t="s">
        <v>93</v>
      </c>
      <c r="O7" s="30" t="s">
        <v>109</v>
      </c>
      <c r="P7" s="27" t="s">
        <v>829</v>
      </c>
      <c r="Q7" s="30" t="s">
        <v>833</v>
      </c>
      <c r="R7" s="27" t="s">
        <v>1</v>
      </c>
      <c r="S7" s="25" t="s">
        <v>1</v>
      </c>
    </row>
    <row r="8" spans="1:19" ht="8.25" customHeight="1" x14ac:dyDescent="0.25">
      <c r="A8" s="29">
        <v>8</v>
      </c>
      <c r="B8" s="31" t="s">
        <v>363</v>
      </c>
      <c r="C8" s="26" t="s">
        <v>855</v>
      </c>
      <c r="D8" s="49" t="s">
        <v>364</v>
      </c>
      <c r="E8" s="36" t="s">
        <v>837</v>
      </c>
      <c r="F8" s="49" t="s">
        <v>1</v>
      </c>
      <c r="G8" s="44" t="s">
        <v>1</v>
      </c>
      <c r="H8" s="35" t="s">
        <v>78</v>
      </c>
      <c r="I8" s="25" t="s">
        <v>862</v>
      </c>
      <c r="J8" s="35" t="s">
        <v>1</v>
      </c>
      <c r="K8" s="25" t="s">
        <v>1</v>
      </c>
      <c r="L8" s="27" t="s">
        <v>92</v>
      </c>
      <c r="M8" s="32" t="s">
        <v>108</v>
      </c>
      <c r="N8" s="27" t="s">
        <v>93</v>
      </c>
      <c r="O8" s="30" t="s">
        <v>109</v>
      </c>
      <c r="P8" s="27" t="s">
        <v>829</v>
      </c>
      <c r="Q8" s="30" t="s">
        <v>834</v>
      </c>
      <c r="R8" s="27" t="s">
        <v>1</v>
      </c>
      <c r="S8" s="25" t="s">
        <v>1</v>
      </c>
    </row>
  </sheetData>
  <phoneticPr fontId="1" type="noConversion"/>
  <conditionalFormatting sqref="F1:S8 A1:D8">
    <cfRule type="cellIs" dxfId="5" priority="7" operator="equal">
      <formula>"null"</formula>
    </cfRule>
  </conditionalFormatting>
  <conditionalFormatting sqref="B1:B8">
    <cfRule type="duplicateValues" dxfId="4" priority="1934"/>
    <cfRule type="duplicateValues" dxfId="3" priority="1935"/>
  </conditionalFormatting>
  <conditionalFormatting sqref="E2">
    <cfRule type="cellIs" dxfId="2" priority="1" operator="equal">
      <formula>"null"</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2026-08-10T18:53:12Z</dcterms:modified>
</cp:coreProperties>
</file>