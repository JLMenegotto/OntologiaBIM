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GENE\"/>
    </mc:Choice>
  </mc:AlternateContent>
  <xr:revisionPtr revIDLastSave="0" documentId="13_ncr:1_{7A73461D-2B9A-4B3B-B6CD-1BA66C518FF8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33" l="1"/>
  <c r="U17" i="33"/>
  <c r="T17" i="33"/>
  <c r="S17" i="33"/>
  <c r="O17" i="33"/>
  <c r="N17" i="33"/>
  <c r="M17" i="33"/>
  <c r="L17" i="33"/>
  <c r="W21" i="33"/>
  <c r="U21" i="33"/>
  <c r="T21" i="33"/>
  <c r="S21" i="33"/>
  <c r="O21" i="33"/>
  <c r="N21" i="33"/>
  <c r="M21" i="33"/>
  <c r="L21" i="33"/>
  <c r="W20" i="33"/>
  <c r="U20" i="33"/>
  <c r="T20" i="33"/>
  <c r="S20" i="33"/>
  <c r="O20" i="33"/>
  <c r="N20" i="33"/>
  <c r="M20" i="33"/>
  <c r="L20" i="33"/>
  <c r="W19" i="33"/>
  <c r="U19" i="33"/>
  <c r="T19" i="33"/>
  <c r="S19" i="33"/>
  <c r="O19" i="33"/>
  <c r="N19" i="33"/>
  <c r="M19" i="33"/>
  <c r="L19" i="33"/>
  <c r="W18" i="33"/>
  <c r="U18" i="33"/>
  <c r="T18" i="33"/>
  <c r="S18" i="33"/>
  <c r="O18" i="33"/>
  <c r="N18" i="33"/>
  <c r="M18" i="33"/>
  <c r="L18" i="33"/>
  <c r="W16" i="33"/>
  <c r="U16" i="33"/>
  <c r="T16" i="33"/>
  <c r="S16" i="33"/>
  <c r="O16" i="33"/>
  <c r="N16" i="33"/>
  <c r="M16" i="33"/>
  <c r="L16" i="33"/>
  <c r="W15" i="33"/>
  <c r="U15" i="33"/>
  <c r="T15" i="33"/>
  <c r="S15" i="33"/>
  <c r="O15" i="33"/>
  <c r="N15" i="33"/>
  <c r="M15" i="33"/>
  <c r="L15" i="33"/>
  <c r="W14" i="33"/>
  <c r="U14" i="33"/>
  <c r="T14" i="33"/>
  <c r="S14" i="33"/>
  <c r="O14" i="33"/>
  <c r="N14" i="33"/>
  <c r="M14" i="33"/>
  <c r="L14" i="33"/>
  <c r="W13" i="33"/>
  <c r="U13" i="33"/>
  <c r="T13" i="33"/>
  <c r="S13" i="33"/>
  <c r="O13" i="33"/>
  <c r="N13" i="33"/>
  <c r="M13" i="33"/>
  <c r="L13" i="33"/>
  <c r="W12" i="33"/>
  <c r="U12" i="33"/>
  <c r="T12" i="33"/>
  <c r="S12" i="33"/>
  <c r="O12" i="33"/>
  <c r="N12" i="33"/>
  <c r="M12" i="33"/>
  <c r="L12" i="33"/>
  <c r="W11" i="33"/>
  <c r="U11" i="33"/>
  <c r="T11" i="33"/>
  <c r="S11" i="33"/>
  <c r="O11" i="33"/>
  <c r="N11" i="33"/>
  <c r="M11" i="33"/>
  <c r="L11" i="33"/>
  <c r="W10" i="33"/>
  <c r="U10" i="33"/>
  <c r="T10" i="33"/>
  <c r="S10" i="33"/>
  <c r="O10" i="33"/>
  <c r="N10" i="33"/>
  <c r="M10" i="33"/>
  <c r="L10" i="33"/>
  <c r="W9" i="33"/>
  <c r="U9" i="33"/>
  <c r="T9" i="33"/>
  <c r="S9" i="33"/>
  <c r="O9" i="33"/>
  <c r="N9" i="33"/>
  <c r="M9" i="33"/>
  <c r="L9" i="33"/>
  <c r="W8" i="33"/>
  <c r="U8" i="33"/>
  <c r="T8" i="33"/>
  <c r="S8" i="33"/>
  <c r="O8" i="33"/>
  <c r="N8" i="33"/>
  <c r="M8" i="33"/>
  <c r="L8" i="33"/>
  <c r="W7" i="33"/>
  <c r="U7" i="33"/>
  <c r="T7" i="33"/>
  <c r="S7" i="33"/>
  <c r="O7" i="33"/>
  <c r="N7" i="33"/>
  <c r="M7" i="33"/>
  <c r="L7" i="33"/>
  <c r="W6" i="33"/>
  <c r="U6" i="33"/>
  <c r="T6" i="33"/>
  <c r="S6" i="33"/>
  <c r="O6" i="33"/>
  <c r="N6" i="33"/>
  <c r="M6" i="33"/>
  <c r="L6" i="33"/>
  <c r="W5" i="33"/>
  <c r="U5" i="33"/>
  <c r="T5" i="33"/>
  <c r="S5" i="33"/>
  <c r="O5" i="33"/>
  <c r="N5" i="33"/>
  <c r="M5" i="33"/>
  <c r="L5" i="33"/>
  <c r="W4" i="33"/>
  <c r="U4" i="33"/>
  <c r="T4" i="33"/>
  <c r="S4" i="33"/>
  <c r="O4" i="33"/>
  <c r="N4" i="33"/>
  <c r="M4" i="33"/>
  <c r="L4" i="33"/>
  <c r="W3" i="33"/>
  <c r="U3" i="33"/>
  <c r="T3" i="33"/>
  <c r="S3" i="33"/>
  <c r="O3" i="33"/>
  <c r="N3" i="33"/>
  <c r="M3" i="33"/>
  <c r="L3" i="33"/>
  <c r="W2" i="33"/>
  <c r="U2" i="33"/>
  <c r="T2" i="33"/>
  <c r="S2" i="33"/>
  <c r="O2" i="33"/>
  <c r="N2" i="33"/>
  <c r="M2" i="33"/>
  <c r="L2" i="33"/>
  <c r="Q11" i="33"/>
  <c r="Q12" i="33"/>
  <c r="Q10" i="33"/>
  <c r="Q7" i="33"/>
  <c r="Q9" i="33"/>
  <c r="Q8" i="33"/>
  <c r="Q13" i="33"/>
  <c r="Q14" i="33"/>
  <c r="Q15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<sst xmlns="http://schemas.openxmlformats.org/spreadsheetml/2006/main" count="898" uniqueCount="240">
  <si>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</si>
  <si>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</si>
  <si>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</si>
  <si>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</si>
  <si>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</si>
  <si>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</si>
  <si>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</si>
  <si>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</si>
  <si>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</si>
  <si>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</si>
  <si>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</si>
  <si>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</si>
  <si>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</si>
  <si>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</si>
  <si>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</si>
  <si>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</si>
  <si>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</si>
  <si>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</si>
  <si>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</si>
  <si>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</si>
  <si>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</si>
  <si>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</si>
  <si>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</si>
  <si>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</si>
  <si>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</si>
  <si>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</si>
  <si>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</si>
  <si>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</si>
  <si>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</si>
  <si>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</si>
  <si>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</si>
  <si>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</si>
  <si>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</si>
  <si>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</si>
  <si>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</si>
  <si>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</si>
  <si>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</si>
  <si>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</si>
  <si>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</si>
  <si>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</si>
  <si>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</si>
  <si>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</si>
  <si>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</si>
  <si>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</si>
  <si>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</si>
  <si>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</si>
  <si>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</si>
  <si>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</si>
  <si>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</si>
  <si>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</si>
  <si>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</si>
  <si>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</si>
  <si>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</si>
  <si>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</si>
  <si>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</si>
  <si>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</si>
  <si>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</si>
  <si>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</si>
  <si>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</si>
  <si>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</si>
  <si>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</si>
  <si>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</si>
  <si>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</si>
  <si>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</si>
  <si>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</si>
  <si>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</si>
  <si>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</si>
  <si>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</si>
  <si>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</si>
  <si>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</si>
  <si>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</si>
  <si>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</si>
  <si>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</si>
  <si>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</si>
  <si>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</si>
  <si>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</si>
  <si>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</si>
  <si>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</si>
  <si>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</si>
  <si>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</si>
  <si>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</si>
  <si>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</si>
  <si>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</si>
  <si>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</si>
  <si>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</si>
  <si>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</si>
  <si>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</si>
  <si>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</si>
  <si>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</si>
  <si>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</si>
  <si>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</si>
  <si>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</si>
  <si>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</si>
  <si>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</si>
  <si>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Classe</t>
  </si>
  <si>
    <t>Equivalente a</t>
  </si>
  <si>
    <t>descrição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</si>
  <si>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</si>
  <si>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</si>
  <si>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</si>
  <si>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</si>
  <si>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</si>
  <si>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</si>
  <si>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</si>
  <si>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</si>
  <si>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</si>
  <si>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</si>
  <si>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</si>
  <si>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</si>
  <si>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</si>
  <si>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</si>
  <si>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</si>
  <si>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</si>
  <si>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</si>
  <si>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</si>
  <si>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Movimento.Geométrico</t>
  </si>
  <si>
    <t>Giro</t>
  </si>
  <si>
    <t>Escalar</t>
  </si>
  <si>
    <t>Reflexão</t>
  </si>
  <si>
    <t>Parâmetro.Geométrico</t>
  </si>
  <si>
    <t>Ponto.Base</t>
  </si>
  <si>
    <t>Ponto.Destino</t>
  </si>
  <si>
    <t>código.ontogenético</t>
  </si>
  <si>
    <t>"T"</t>
  </si>
  <si>
    <t>"G"</t>
  </si>
  <si>
    <t>"E"</t>
  </si>
  <si>
    <t>"R"</t>
  </si>
  <si>
    <t>Valor.Angular</t>
  </si>
  <si>
    <t>Valor.X</t>
  </si>
  <si>
    <t>Valor.Y</t>
  </si>
  <si>
    <t>Valor.Z</t>
  </si>
  <si>
    <t>Valor.Escalar</t>
  </si>
  <si>
    <t>PB1</t>
  </si>
  <si>
    <t>é.ponto.base</t>
  </si>
  <si>
    <t>PBP</t>
  </si>
  <si>
    <t>TRA_Hor</t>
  </si>
  <si>
    <t>TRA_Ver</t>
  </si>
  <si>
    <t>T1</t>
  </si>
  <si>
    <t>G1</t>
  </si>
  <si>
    <t>E1</t>
  </si>
  <si>
    <t>R1</t>
  </si>
  <si>
    <t>é.transformação.geométrica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</si>
  <si>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</si>
  <si>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</si>
  <si>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</si>
  <si>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</si>
  <si>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</si>
  <si>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</si>
  <si>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</si>
  <si>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</si>
  <si>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</si>
  <si>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</si>
  <si>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</si>
  <si>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</si>
  <si>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</si>
  <si>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</si>
  <si>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Reflexão. Transformação de uma ponto em relação a um eixo de simetria. Precisa Ponto Eixo1 e Ponto Eixo2.</t>
  </si>
  <si>
    <t>Bases.Geométricas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</si>
  <si>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</si>
  <si>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</si>
  <si>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</si>
  <si>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</si>
  <si>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</si>
  <si>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</si>
  <si>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</si>
  <si>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</si>
  <si>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</si>
  <si>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</si>
  <si>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</si>
  <si>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</si>
  <si>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</si>
  <si>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</si>
  <si>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</si>
  <si>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</si>
  <si>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Formal</t>
  </si>
  <si>
    <t>Elementos.TGB</t>
  </si>
  <si>
    <t>Punto final de un vector de traslación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</si>
  <si>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</si>
  <si>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</si>
  <si>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</si>
  <si>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</si>
  <si>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</si>
  <si>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</si>
  <si>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</si>
  <si>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</si>
  <si>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</si>
  <si>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</si>
  <si>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</si>
  <si>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</si>
  <si>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</si>
  <si>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</si>
  <si>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</si>
  <si>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</si>
  <si>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</si>
  <si>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</si>
  <si>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</si>
  <si>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</si>
  <si>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</si>
  <si>
    <t>Translação.Polar</t>
  </si>
  <si>
    <t>Valor.Distância</t>
  </si>
  <si>
    <t>Translação.XYZ</t>
  </si>
  <si>
    <t>Translação Polar. A transformação que transforma o ponto por um deslocamento linear. Precisa Ponto Base e Ponto Destino.</t>
  </si>
  <si>
    <t>Translação XYZ. A transformação que transforma o ponto por um deslocamento linear. Precisa dos componentes XYZ do vetor de translação.</t>
  </si>
  <si>
    <t>Translación Polar. La transformación que modifica la posición de un punto mediante un desplazamiento lineal. Necesita punto base y punto objetivo.</t>
  </si>
  <si>
    <t>Translación XYZ. La transformación que modifica la posición de un punto mediante un desplazamiento lineal. Necesita los componentes XYZ del vector de translación.</t>
  </si>
  <si>
    <t>XYZ translation. The transformation that modifies the position of a point by means of a linear displacement. You need the XYZ components of the translation vector.</t>
  </si>
  <si>
    <t>Polar translation. The transformation that modifies the position of a point by means of a linear displacement. You need base point and target point.</t>
  </si>
  <si>
    <t>valor.angular</t>
  </si>
  <si>
    <t>valor.escalar</t>
  </si>
  <si>
    <t>base.x</t>
  </si>
  <si>
    <t>base.y</t>
  </si>
  <si>
    <t>base.z</t>
  </si>
  <si>
    <t>base.xx</t>
  </si>
  <si>
    <t>base.zz</t>
  </si>
  <si>
    <t>base.yy</t>
  </si>
  <si>
    <t>"Uma translação absoluta definindo o deslocamento"</t>
  </si>
  <si>
    <t>T2</t>
  </si>
  <si>
    <t>"Uma translação relativa definindo 2 pontos do vetor de translação"</t>
  </si>
  <si>
    <t>"Definição de um valor de distância de deslocamento para usar em alguma transformação"</t>
  </si>
  <si>
    <t>A90</t>
  </si>
  <si>
    <t>A60</t>
  </si>
  <si>
    <t>DI1</t>
  </si>
  <si>
    <t>DI-Ex1-Ex2</t>
  </si>
  <si>
    <t>valor.distância</t>
  </si>
  <si>
    <t>5.45</t>
  </si>
  <si>
    <t>"Uma rotação definida pelo seu centro de giro e ángulo"</t>
  </si>
  <si>
    <t>"Uma mudança escalar definida pelo seu centro de homotetia e o fator escalar"</t>
  </si>
  <si>
    <t>"Uma reflexão definida por dois pontos do eixo de reflexão"</t>
  </si>
  <si>
    <t>"O ponto base de uma transformação qualquer"</t>
  </si>
  <si>
    <t>"O ponto base de implantação de um projeto qualquer"</t>
  </si>
  <si>
    <t>"A Translação principal de módulos estruturais horizontais hipotéticos usando uma transformação já definida"</t>
  </si>
  <si>
    <t>"A Translação principal dos módulos estruturais verticais hipotéticos usando uma transformação já definida"</t>
  </si>
  <si>
    <t>"Definição de um valor de distância hipotético entre os Eixos 1 e 2 de um projeto qualquer"</t>
  </si>
  <si>
    <t>"Definição de um valor de ângulo absoluto de 90 graus para usar em alguma transformação"</t>
  </si>
  <si>
    <t>"Definição de um valor de ângulo absoluto de 60 graus para usar em alguma transformação"</t>
  </si>
  <si>
    <t xml:space="preserve"> base.x exactly 1 ,    base.y exactly 1  ,  base.z exactly 1 </t>
  </si>
  <si>
    <t xml:space="preserve"> base.x exactly 1  ,   base.y exactly 1  ,  base.z exactly 1  ,  valor.angular    exactly 1 </t>
  </si>
  <si>
    <t xml:space="preserve"> base.x exactly 1  ,   base.y exactly 1  ,  base.z exactly 1 ,   valor.escalar     exactly 1 </t>
  </si>
  <si>
    <t xml:space="preserve"> base.x exactly 1 ,    base.y exactly 1  ,  base.z exactly 1  ,  base.xx exactly 1  ,   base.yy exactly 1 ,   base.zz exactly 1  </t>
  </si>
  <si>
    <t xml:space="preserve"> base.x exactly 1  ,   base.y exactly 1  ,  base.z exactly 1  ,  valor.distância  exactly 1  ,   valor.angular exactly 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</si>
</sst>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8" fillId="18" borderId="3" xfId="0" applyFont="1" applyFill="1" applyBorder="1" applyAlignment="1">
      <alignment vertical="center"/>
    </xf>
    <xf numFmtId="0" fontId="19" fillId="18" borderId="1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vertical="center" wrapText="1"/>
    </xf>
    <xf numFmtId="0" fontId="23" fillId="16" borderId="1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22" fillId="15" borderId="3" xfId="0" applyFont="1" applyFill="1" applyBorder="1" applyAlignment="1">
      <alignment vertical="center" wrapText="1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26"/>
  <sheetViews>
    <sheetView zoomScale="220" zoomScaleNormal="220" workbookViewId="0">
      <pane ySplit="1" topLeftCell="A2" activePane="bottomLeft" state="frozen"/>
      <selection activeCell="C18" sqref="C18"/>
      <selection pane="bottomLeft" activeCell="D10" sqref="D10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49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42" t="s">
        <v>103</v>
      </c>
    </row>
    <row r="2" spans="1:3" ht="6.95" customHeight="1" x14ac:dyDescent="0.25">
      <c r="A2" s="14" t="s">
        <v>60</v>
      </c>
      <c r="B2" s="14" t="s">
        <v>76</v>
      </c>
      <c r="C2" s="48" t="s">
        <v>104</v>
      </c>
    </row>
    <row r="3" spans="1:3" ht="6.95" customHeight="1" x14ac:dyDescent="0.25">
      <c r="A3" s="14" t="s">
        <v>61</v>
      </c>
      <c r="B3" s="15" t="s">
        <v>111</v>
      </c>
      <c r="C3" s="48" t="s">
        <v>104</v>
      </c>
    </row>
    <row r="4" spans="1:3" ht="6.95" customHeight="1" x14ac:dyDescent="0.25">
      <c r="A4" s="14" t="s">
        <v>52</v>
      </c>
      <c r="B4" s="14" t="s">
        <v>62</v>
      </c>
      <c r="C4" s="48" t="s">
        <v>104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48" t="s">
        <v>104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48" t="s">
        <v>104</v>
      </c>
    </row>
    <row r="7" spans="1:3" ht="6.95" customHeight="1" x14ac:dyDescent="0.25">
      <c r="A7" s="14" t="s">
        <v>55</v>
      </c>
      <c r="B7" s="14" t="s">
        <v>63</v>
      </c>
      <c r="C7" s="48" t="s">
        <v>104</v>
      </c>
    </row>
    <row r="8" spans="1:3" customFormat="1" ht="6.95" customHeight="1" x14ac:dyDescent="0.25">
      <c r="A8" s="16" t="s">
        <v>56</v>
      </c>
      <c r="B8" s="16" t="s">
        <v>102</v>
      </c>
      <c r="C8" s="48" t="s">
        <v>104</v>
      </c>
    </row>
    <row r="9" spans="1:3" ht="6.95" customHeight="1" x14ac:dyDescent="0.25">
      <c r="A9" s="14" t="s">
        <v>64</v>
      </c>
      <c r="B9" s="14" t="s">
        <v>65</v>
      </c>
      <c r="C9" s="48" t="s">
        <v>104</v>
      </c>
    </row>
    <row r="10" spans="1:3" ht="6.95" customHeight="1" x14ac:dyDescent="0.25">
      <c r="A10" s="14" t="s">
        <v>66</v>
      </c>
      <c r="B10" s="14" t="s">
        <v>38</v>
      </c>
      <c r="C10" s="48" t="s">
        <v>104</v>
      </c>
    </row>
    <row r="11" spans="1:3" ht="6.95" customHeight="1" x14ac:dyDescent="0.25">
      <c r="A11" s="14" t="s">
        <v>57</v>
      </c>
      <c r="B11" s="14" t="s">
        <v>38</v>
      </c>
      <c r="C11" s="48" t="s">
        <v>104</v>
      </c>
    </row>
    <row r="12" spans="1:3" ht="6.95" customHeight="1" x14ac:dyDescent="0.25">
      <c r="A12" s="14" t="s">
        <v>58</v>
      </c>
      <c r="B12" s="14" t="s">
        <v>38</v>
      </c>
      <c r="C12" s="48" t="s">
        <v>104</v>
      </c>
    </row>
    <row r="13" spans="1:3" ht="6.95" customHeight="1" x14ac:dyDescent="0.25">
      <c r="A13" s="14" t="s">
        <v>67</v>
      </c>
      <c r="B13" s="14" t="s">
        <v>38</v>
      </c>
      <c r="C13" s="48" t="s">
        <v>104</v>
      </c>
    </row>
    <row r="14" spans="1:3" ht="6.95" customHeight="1" x14ac:dyDescent="0.25">
      <c r="A14" s="14" t="s">
        <v>68</v>
      </c>
      <c r="B14" s="14" t="s">
        <v>38</v>
      </c>
      <c r="C14" s="48" t="s">
        <v>104</v>
      </c>
    </row>
    <row r="15" spans="1:3" ht="6.95" customHeight="1" x14ac:dyDescent="0.25">
      <c r="A15" s="14" t="s">
        <v>69</v>
      </c>
      <c r="B15" s="14" t="s">
        <v>38</v>
      </c>
      <c r="C15" s="48" t="s">
        <v>104</v>
      </c>
    </row>
    <row r="16" spans="1:3" ht="6.95" customHeight="1" x14ac:dyDescent="0.25">
      <c r="A16" s="14" t="s">
        <v>70</v>
      </c>
      <c r="B16" s="14" t="s">
        <v>38</v>
      </c>
      <c r="C16" s="48" t="s">
        <v>104</v>
      </c>
    </row>
    <row r="17" spans="1:3" ht="6.95" customHeight="1" x14ac:dyDescent="0.25">
      <c r="A17" s="14" t="s">
        <v>59</v>
      </c>
      <c r="B17" s="16" t="s">
        <v>112</v>
      </c>
      <c r="C17" s="48" t="s">
        <v>104</v>
      </c>
    </row>
    <row r="18" spans="1:3" ht="6.95" customHeight="1" x14ac:dyDescent="0.25">
      <c r="A18" s="14" t="s">
        <v>71</v>
      </c>
      <c r="B18" s="17">
        <f ca="1">NOW()</f>
        <v>46156.691677893519</v>
      </c>
      <c r="C18" s="48" t="s">
        <v>104</v>
      </c>
    </row>
    <row r="19" spans="1:3" s="37" customFormat="1" ht="6.95" customHeight="1" x14ac:dyDescent="0.25">
      <c r="A19" s="16" t="s">
        <v>109</v>
      </c>
      <c r="B19" s="50" t="s">
        <v>110</v>
      </c>
      <c r="C19" s="48" t="s">
        <v>104</v>
      </c>
    </row>
    <row r="20" spans="1:3" s="37" customFormat="1" ht="6.95" customHeight="1" x14ac:dyDescent="0.25">
      <c r="A20" s="16" t="s">
        <v>107</v>
      </c>
      <c r="B20" s="50" t="str">
        <f>_xlfn.TRANSLATE(B19,"pt","es")</f>
        <v>Traducciones integradas al español e inglés - Las traducciones deben revisarse constantemente</v>
      </c>
      <c r="C20" s="48" t="s">
        <v>105</v>
      </c>
    </row>
    <row r="21" spans="1:3" s="37" customFormat="1" ht="6.95" customHeight="1" x14ac:dyDescent="0.25">
      <c r="A21" s="16" t="s">
        <v>108</v>
      </c>
      <c r="B21" s="50" t="str">
        <f>_xlfn.TRANSLATE(B19,"pt","en")</f>
        <v>Built-in Spanish and English Translations - Translations must be constantly reviewed</v>
      </c>
      <c r="C21" s="48" t="s">
        <v>106</v>
      </c>
    </row>
    <row r="22" spans="1:3" ht="6.95" customHeight="1" x14ac:dyDescent="0.25">
      <c r="A22" s="14" t="s">
        <v>72</v>
      </c>
      <c r="B22" s="14" t="s">
        <v>38</v>
      </c>
      <c r="C22" s="48" t="s">
        <v>104</v>
      </c>
    </row>
    <row r="23" spans="1:3" ht="6.95" customHeight="1" x14ac:dyDescent="0.25">
      <c r="A23" s="14" t="s">
        <v>73</v>
      </c>
      <c r="B23" s="14" t="s">
        <v>38</v>
      </c>
      <c r="C23" s="48" t="s">
        <v>104</v>
      </c>
    </row>
    <row r="24" spans="1:3" ht="6.95" customHeight="1" x14ac:dyDescent="0.25">
      <c r="A24" s="16" t="s">
        <v>74</v>
      </c>
      <c r="B24" s="18" t="s">
        <v>113</v>
      </c>
      <c r="C24" s="48" t="s">
        <v>104</v>
      </c>
    </row>
    <row r="25" spans="1:3" ht="6.95" customHeight="1" x14ac:dyDescent="0.25">
      <c r="A25" s="16" t="s">
        <v>75</v>
      </c>
      <c r="B25" s="18" t="s">
        <v>114</v>
      </c>
      <c r="C25" s="48" t="s">
        <v>105</v>
      </c>
    </row>
    <row r="26" spans="1:3" customFormat="1" ht="6.95" customHeight="1" x14ac:dyDescent="0.25">
      <c r="A26" s="16" t="s">
        <v>101</v>
      </c>
      <c r="B26" s="18" t="str">
        <f>_xlfn.TRANSLATE(B24,"pt","en")</f>
        <v>Formalize concepts of Genetically Constructed Structures</v>
      </c>
      <c r="C26" s="48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sheetPr codeName="Planilha2"/>
  <dimension ref="A1:AA21"/>
  <sheetViews>
    <sheetView tabSelected="1" topLeftCell="J1" zoomScale="205" zoomScaleNormal="205" workbookViewId="0">
      <pane ySplit="1" topLeftCell="A14" activePane="bottomLeft" state="frozen"/>
      <selection pane="bottomLeft" activeCell="K18" sqref="K18"/>
    </sheetView>
  </sheetViews>
  <sheetFormatPr defaultRowHeight="8.25" customHeight="1" x14ac:dyDescent="0.25"/>
  <cols>
    <col min="1" max="1" width="2.42578125" bestFit="1" customWidth="1"/>
    <col min="2" max="2" width="5.85546875" bestFit="1" customWidth="1"/>
    <col min="3" max="3" width="6.7109375" bestFit="1" customWidth="1"/>
    <col min="4" max="4" width="9" bestFit="1" customWidth="1"/>
    <col min="5" max="5" width="13.28515625" bestFit="1" customWidth="1"/>
    <col min="7" max="10" width="8.85546875" bestFit="1" customWidth="1"/>
    <col min="11" max="11" width="76.42578125" bestFit="1" customWidth="1"/>
    <col min="12" max="12" width="8" bestFit="1" customWidth="1"/>
    <col min="13" max="13" width="9" bestFit="1" customWidth="1"/>
    <col min="14" max="14" width="13.28515625" bestFit="1" customWidth="1"/>
    <col min="15" max="15" width="13.140625" bestFit="1" customWidth="1"/>
    <col min="16" max="16" width="65.28515625" bestFit="1" customWidth="1"/>
    <col min="17" max="17" width="71.85546875" bestFit="1" customWidth="1"/>
    <col min="18" max="18" width="6" bestFit="1" customWidth="1"/>
    <col min="19" max="19" width="7" bestFit="1" customWidth="1"/>
    <col min="20" max="20" width="9" bestFit="1" customWidth="1"/>
    <col min="21" max="21" width="13.28515625" bestFit="1" customWidth="1"/>
    <col min="22" max="22" width="8.5703125" bestFit="1" customWidth="1"/>
    <col min="23" max="23" width="7.28515625" bestFit="1" customWidth="1"/>
    <col min="24" max="24" width="8.7109375" bestFit="1" customWidth="1"/>
    <col min="25" max="25" width="7.28515625" bestFit="1" customWidth="1"/>
    <col min="26" max="26" width="5.140625" bestFit="1" customWidth="1"/>
    <col min="27" max="27" width="69.140625" bestFit="1" customWidth="1"/>
  </cols>
  <sheetData>
    <row r="1" spans="1:27" ht="38.25" customHeight="1" x14ac:dyDescent="0.25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65" t="s">
        <v>39</v>
      </c>
      <c r="H1" s="65" t="s">
        <v>40</v>
      </c>
      <c r="I1" s="65" t="s">
        <v>41</v>
      </c>
      <c r="J1" s="65" t="s">
        <v>42</v>
      </c>
      <c r="K1" s="65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40" t="s">
        <v>88</v>
      </c>
      <c r="S1" s="22" t="s">
        <v>78</v>
      </c>
      <c r="T1" s="22" t="s">
        <v>89</v>
      </c>
      <c r="U1" s="24" t="s">
        <v>80</v>
      </c>
      <c r="V1" s="22" t="s">
        <v>79</v>
      </c>
      <c r="W1" s="23" t="s">
        <v>0</v>
      </c>
      <c r="X1" s="22" t="s">
        <v>97</v>
      </c>
      <c r="Y1" s="22" t="s">
        <v>98</v>
      </c>
      <c r="Z1" s="68" t="s">
        <v>99</v>
      </c>
      <c r="AA1" s="46" t="s">
        <v>100</v>
      </c>
    </row>
    <row r="2" spans="1:27" ht="8.25" customHeight="1" x14ac:dyDescent="0.25">
      <c r="A2" s="61">
        <v>2</v>
      </c>
      <c r="B2" s="63" t="s">
        <v>158</v>
      </c>
      <c r="C2" s="64" t="s">
        <v>159</v>
      </c>
      <c r="D2" s="63" t="s">
        <v>160</v>
      </c>
      <c r="E2" s="63" t="s">
        <v>161</v>
      </c>
      <c r="F2" s="64" t="s">
        <v>162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58" t="str">
        <f t="shared" ref="L2:M6" si="0">CONCATENATE("", C2)</f>
        <v>Contêiner</v>
      </c>
      <c r="M2" s="58" t="str">
        <f t="shared" si="0"/>
        <v>Informação</v>
      </c>
      <c r="N2" s="58" t="str">
        <f t="shared" ref="N2:O6" si="1">(SUBSTITUTE(SUBSTITUTE(CONCATENATE("",E2),"."," ")," De "," de "))</f>
        <v>Definida</v>
      </c>
      <c r="O2" s="58" t="str">
        <f t="shared" si="1"/>
        <v>No Projeto</v>
      </c>
      <c r="P2" s="47" t="s">
        <v>163</v>
      </c>
      <c r="Q2" s="47" t="s">
        <v>164</v>
      </c>
      <c r="R2" s="62" t="s">
        <v>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7" t="s">
        <v>90</v>
      </c>
      <c r="W2" s="59" t="str">
        <f t="shared" ref="W2:W6" si="3">CONCATENATE("Key.EGC",".",A2)</f>
        <v>Key.EGC.2</v>
      </c>
      <c r="X2" s="47" t="s">
        <v>1</v>
      </c>
      <c r="Y2" s="47" t="s">
        <v>1</v>
      </c>
      <c r="Z2" s="57" t="s">
        <v>1</v>
      </c>
      <c r="AA2" s="47" t="s">
        <v>180</v>
      </c>
    </row>
    <row r="3" spans="1:27" ht="8.25" customHeight="1" x14ac:dyDescent="0.25">
      <c r="A3" s="61">
        <v>3</v>
      </c>
      <c r="B3" s="63" t="s">
        <v>158</v>
      </c>
      <c r="C3" s="64" t="s">
        <v>159</v>
      </c>
      <c r="D3" s="63" t="s">
        <v>160</v>
      </c>
      <c r="E3" s="63" t="s">
        <v>165</v>
      </c>
      <c r="F3" s="64" t="s">
        <v>166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58" t="str">
        <f t="shared" si="0"/>
        <v>Contêiner</v>
      </c>
      <c r="M3" s="58" t="str">
        <f t="shared" si="0"/>
        <v>Informação</v>
      </c>
      <c r="N3" s="58" t="str">
        <f t="shared" si="1"/>
        <v>Requerida</v>
      </c>
      <c r="O3" s="58" t="str">
        <f t="shared" si="1"/>
        <v>Requisito Espacial</v>
      </c>
      <c r="P3" s="47" t="s">
        <v>167</v>
      </c>
      <c r="Q3" s="47" t="s">
        <v>164</v>
      </c>
      <c r="R3" s="62" t="s">
        <v>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7" t="s">
        <v>90</v>
      </c>
      <c r="W3" s="59" t="str">
        <f t="shared" si="3"/>
        <v>Key.EGC.3</v>
      </c>
      <c r="X3" s="47" t="s">
        <v>1</v>
      </c>
      <c r="Y3" s="47" t="s">
        <v>1</v>
      </c>
      <c r="Z3" s="57" t="s">
        <v>1</v>
      </c>
      <c r="AA3" s="47" t="s">
        <v>181</v>
      </c>
    </row>
    <row r="4" spans="1:27" ht="8.25" customHeight="1" x14ac:dyDescent="0.25">
      <c r="A4" s="61">
        <v>4</v>
      </c>
      <c r="B4" s="63" t="s">
        <v>158</v>
      </c>
      <c r="C4" s="64" t="s">
        <v>159</v>
      </c>
      <c r="D4" s="63" t="s">
        <v>160</v>
      </c>
      <c r="E4" s="63" t="s">
        <v>165</v>
      </c>
      <c r="F4" s="64" t="s">
        <v>168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58" t="str">
        <f t="shared" si="0"/>
        <v>Contêiner</v>
      </c>
      <c r="M4" s="58" t="str">
        <f t="shared" si="0"/>
        <v>Informação</v>
      </c>
      <c r="N4" s="58" t="str">
        <f t="shared" si="1"/>
        <v>Requerida</v>
      </c>
      <c r="O4" s="58" t="str">
        <f t="shared" si="1"/>
        <v>Requisito Mobiliário</v>
      </c>
      <c r="P4" s="47" t="s">
        <v>169</v>
      </c>
      <c r="Q4" s="47" t="s">
        <v>164</v>
      </c>
      <c r="R4" s="62" t="s">
        <v>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7" t="s">
        <v>90</v>
      </c>
      <c r="W4" s="59" t="str">
        <f t="shared" si="3"/>
        <v>Key.EGC.4</v>
      </c>
      <c r="X4" s="47" t="s">
        <v>1</v>
      </c>
      <c r="Y4" s="47" t="s">
        <v>1</v>
      </c>
      <c r="Z4" s="57" t="s">
        <v>1</v>
      </c>
      <c r="AA4" s="47" t="s">
        <v>182</v>
      </c>
    </row>
    <row r="5" spans="1:27" ht="8.25" customHeight="1" x14ac:dyDescent="0.25">
      <c r="A5" s="61">
        <v>5</v>
      </c>
      <c r="B5" s="63" t="s">
        <v>158</v>
      </c>
      <c r="C5" s="64" t="s">
        <v>159</v>
      </c>
      <c r="D5" s="63" t="s">
        <v>160</v>
      </c>
      <c r="E5" s="63" t="s">
        <v>165</v>
      </c>
      <c r="F5" s="64" t="s">
        <v>170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58" t="str">
        <f t="shared" si="0"/>
        <v>Contêiner</v>
      </c>
      <c r="M5" s="58" t="str">
        <f t="shared" si="0"/>
        <v>Informação</v>
      </c>
      <c r="N5" s="58" t="str">
        <f t="shared" si="1"/>
        <v>Requerida</v>
      </c>
      <c r="O5" s="58" t="str">
        <f t="shared" si="1"/>
        <v>Requisito Equipamento</v>
      </c>
      <c r="P5" s="47" t="s">
        <v>171</v>
      </c>
      <c r="Q5" s="47" t="s">
        <v>164</v>
      </c>
      <c r="R5" s="62" t="s">
        <v>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7" t="s">
        <v>90</v>
      </c>
      <c r="W5" s="59" t="str">
        <f t="shared" si="3"/>
        <v>Key.EGC.5</v>
      </c>
      <c r="X5" s="47" t="s">
        <v>1</v>
      </c>
      <c r="Y5" s="47" t="s">
        <v>1</v>
      </c>
      <c r="Z5" s="57" t="s">
        <v>1</v>
      </c>
      <c r="AA5" s="47" t="s">
        <v>183</v>
      </c>
    </row>
    <row r="6" spans="1:27" ht="8.25" customHeight="1" x14ac:dyDescent="0.25">
      <c r="A6" s="61">
        <v>6</v>
      </c>
      <c r="B6" s="63" t="s">
        <v>158</v>
      </c>
      <c r="C6" s="64" t="s">
        <v>159</v>
      </c>
      <c r="D6" s="63" t="s">
        <v>160</v>
      </c>
      <c r="E6" s="63" t="s">
        <v>165</v>
      </c>
      <c r="F6" s="64" t="s">
        <v>172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58" t="str">
        <f t="shared" si="0"/>
        <v>Contêiner</v>
      </c>
      <c r="M6" s="58" t="str">
        <f t="shared" si="0"/>
        <v>Informação</v>
      </c>
      <c r="N6" s="58" t="str">
        <f t="shared" si="1"/>
        <v>Requerida</v>
      </c>
      <c r="O6" s="58" t="str">
        <f t="shared" si="1"/>
        <v>Requisito Sistemas</v>
      </c>
      <c r="P6" s="47" t="s">
        <v>173</v>
      </c>
      <c r="Q6" s="47" t="s">
        <v>164</v>
      </c>
      <c r="R6" s="62" t="s">
        <v>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7" t="s">
        <v>90</v>
      </c>
      <c r="W6" s="59" t="str">
        <f t="shared" si="3"/>
        <v>Key.EGC.6</v>
      </c>
      <c r="X6" s="47" t="s">
        <v>1</v>
      </c>
      <c r="Y6" s="47" t="s">
        <v>1</v>
      </c>
      <c r="Z6" s="57" t="s">
        <v>1</v>
      </c>
      <c r="AA6" s="47" t="s">
        <v>184</v>
      </c>
    </row>
    <row r="7" spans="1:27" ht="8.25" customHeight="1" x14ac:dyDescent="0.25">
      <c r="A7" s="61">
        <v>7</v>
      </c>
      <c r="B7" s="25" t="s">
        <v>93</v>
      </c>
      <c r="C7" s="26" t="s">
        <v>174</v>
      </c>
      <c r="D7" s="27" t="s">
        <v>175</v>
      </c>
      <c r="E7" s="27" t="s">
        <v>119</v>
      </c>
      <c r="F7" s="51" t="s">
        <v>128</v>
      </c>
      <c r="G7" s="67" t="s">
        <v>1</v>
      </c>
      <c r="H7" s="67" t="s">
        <v>1</v>
      </c>
      <c r="I7" s="67" t="s">
        <v>1</v>
      </c>
      <c r="J7" s="67" t="s">
        <v>1</v>
      </c>
      <c r="K7" s="67" t="s">
        <v>1</v>
      </c>
      <c r="L7" s="56" t="str">
        <f t="shared" ref="L7:L21" si="4">_xlfn.CONCAT(C7)</f>
        <v>Formal</v>
      </c>
      <c r="M7" s="56" t="str">
        <f t="shared" ref="M7:O21" si="5">_xlfn.CONCAT("", D7)</f>
        <v>Elementos.TGB</v>
      </c>
      <c r="N7" s="56" t="str">
        <f t="shared" si="5"/>
        <v>Parâmetro.Geométrico</v>
      </c>
      <c r="O7" s="56" t="str">
        <f t="shared" si="5"/>
        <v>Valor.X</v>
      </c>
      <c r="P7" s="56" t="s">
        <v>152</v>
      </c>
      <c r="Q7" s="56" t="str">
        <f t="shared" ref="Q7:Q15" si="6">_xlfn.TRANSLATE(P7,"pt","es")</f>
        <v>Valor de X. Coordenada X.</v>
      </c>
      <c r="R7" s="62" t="s">
        <v>1</v>
      </c>
      <c r="S7" s="57" t="str">
        <f t="shared" ref="S7:U21" si="7">SUBSTITUTE(C7, "_", " ")</f>
        <v>Formal</v>
      </c>
      <c r="T7" s="57" t="str">
        <f t="shared" si="7"/>
        <v>Elementos.TGB</v>
      </c>
      <c r="U7" s="58" t="str">
        <f t="shared" si="7"/>
        <v>Parâmetro.Geométrico</v>
      </c>
      <c r="V7" s="47" t="s">
        <v>90</v>
      </c>
      <c r="W7" s="59" t="str">
        <f>CONCATENATE("Key.EGC",".",A7)</f>
        <v>Key.EGC.7</v>
      </c>
      <c r="X7" s="47" t="s">
        <v>1</v>
      </c>
      <c r="Y7" s="47" t="s">
        <v>1</v>
      </c>
      <c r="Z7" s="57" t="s">
        <v>1</v>
      </c>
      <c r="AA7" s="47" t="s">
        <v>185</v>
      </c>
    </row>
    <row r="8" spans="1:27" ht="8.25" customHeight="1" x14ac:dyDescent="0.25">
      <c r="A8" s="61">
        <v>8</v>
      </c>
      <c r="B8" s="25" t="s">
        <v>93</v>
      </c>
      <c r="C8" s="26" t="s">
        <v>174</v>
      </c>
      <c r="D8" s="27" t="s">
        <v>175</v>
      </c>
      <c r="E8" s="27" t="s">
        <v>119</v>
      </c>
      <c r="F8" s="51" t="s">
        <v>129</v>
      </c>
      <c r="G8" s="67" t="s">
        <v>1</v>
      </c>
      <c r="H8" s="67" t="s">
        <v>1</v>
      </c>
      <c r="I8" s="67" t="s">
        <v>1</v>
      </c>
      <c r="J8" s="67" t="s">
        <v>1</v>
      </c>
      <c r="K8" s="67" t="s">
        <v>1</v>
      </c>
      <c r="L8" s="56" t="str">
        <f t="shared" si="4"/>
        <v>Formal</v>
      </c>
      <c r="M8" s="56" t="str">
        <f t="shared" si="5"/>
        <v>Elementos.TGB</v>
      </c>
      <c r="N8" s="56" t="str">
        <f t="shared" si="5"/>
        <v>Parâmetro.Geométrico</v>
      </c>
      <c r="O8" s="56" t="str">
        <f t="shared" si="5"/>
        <v>Valor.Y</v>
      </c>
      <c r="P8" s="56" t="s">
        <v>151</v>
      </c>
      <c r="Q8" s="56" t="str">
        <f t="shared" si="6"/>
        <v>Valor de Y. Coordenada Y.</v>
      </c>
      <c r="R8" s="62" t="s">
        <v>1</v>
      </c>
      <c r="S8" s="57" t="str">
        <f t="shared" si="7"/>
        <v>Formal</v>
      </c>
      <c r="T8" s="57" t="str">
        <f t="shared" si="7"/>
        <v>Elementos.TGB</v>
      </c>
      <c r="U8" s="58" t="str">
        <f t="shared" si="7"/>
        <v>Parâmetro.Geométrico</v>
      </c>
      <c r="V8" s="47" t="s">
        <v>90</v>
      </c>
      <c r="W8" s="59" t="str">
        <f t="shared" ref="W8:W21" si="8">CONCATENATE("Key.EGC",".",A8)</f>
        <v>Key.EGC.8</v>
      </c>
      <c r="X8" s="47" t="s">
        <v>1</v>
      </c>
      <c r="Y8" s="47" t="s">
        <v>1</v>
      </c>
      <c r="Z8" s="57" t="s">
        <v>1</v>
      </c>
      <c r="AA8" s="47" t="s">
        <v>186</v>
      </c>
    </row>
    <row r="9" spans="1:27" ht="8.25" customHeight="1" x14ac:dyDescent="0.25">
      <c r="A9" s="61">
        <v>9</v>
      </c>
      <c r="B9" s="25" t="s">
        <v>93</v>
      </c>
      <c r="C9" s="26" t="s">
        <v>174</v>
      </c>
      <c r="D9" s="27" t="s">
        <v>175</v>
      </c>
      <c r="E9" s="27" t="s">
        <v>119</v>
      </c>
      <c r="F9" s="51" t="s">
        <v>130</v>
      </c>
      <c r="G9" s="67" t="s">
        <v>1</v>
      </c>
      <c r="H9" s="67" t="s">
        <v>1</v>
      </c>
      <c r="I9" s="67" t="s">
        <v>1</v>
      </c>
      <c r="J9" s="67" t="s">
        <v>1</v>
      </c>
      <c r="K9" s="67" t="s">
        <v>1</v>
      </c>
      <c r="L9" s="56" t="str">
        <f t="shared" si="4"/>
        <v>Formal</v>
      </c>
      <c r="M9" s="56" t="str">
        <f t="shared" si="5"/>
        <v>Elementos.TGB</v>
      </c>
      <c r="N9" s="56" t="str">
        <f t="shared" si="5"/>
        <v>Parâmetro.Geométrico</v>
      </c>
      <c r="O9" s="56" t="str">
        <f t="shared" si="5"/>
        <v>Valor.Z</v>
      </c>
      <c r="P9" s="56" t="s">
        <v>153</v>
      </c>
      <c r="Q9" s="56" t="str">
        <f t="shared" si="6"/>
        <v>Valor Z. Coordenada Z.</v>
      </c>
      <c r="R9" s="62" t="s">
        <v>1</v>
      </c>
      <c r="S9" s="57" t="str">
        <f t="shared" si="7"/>
        <v>Formal</v>
      </c>
      <c r="T9" s="57" t="str">
        <f t="shared" si="7"/>
        <v>Elementos.TGB</v>
      </c>
      <c r="U9" s="58" t="str">
        <f t="shared" si="7"/>
        <v>Parâmetro.Geométrico</v>
      </c>
      <c r="V9" s="47" t="s">
        <v>90</v>
      </c>
      <c r="W9" s="59" t="str">
        <f t="shared" si="8"/>
        <v>Key.EGC.9</v>
      </c>
      <c r="X9" s="47" t="s">
        <v>1</v>
      </c>
      <c r="Y9" s="47" t="s">
        <v>1</v>
      </c>
      <c r="Z9" s="57" t="s">
        <v>1</v>
      </c>
      <c r="AA9" s="47" t="s">
        <v>187</v>
      </c>
    </row>
    <row r="10" spans="1:27" ht="8.25" customHeight="1" x14ac:dyDescent="0.25">
      <c r="A10" s="61">
        <v>10</v>
      </c>
      <c r="B10" s="25" t="s">
        <v>93</v>
      </c>
      <c r="C10" s="26" t="s">
        <v>174</v>
      </c>
      <c r="D10" s="27" t="s">
        <v>175</v>
      </c>
      <c r="E10" s="27" t="s">
        <v>119</v>
      </c>
      <c r="F10" s="51" t="s">
        <v>199</v>
      </c>
      <c r="G10" s="67" t="s">
        <v>1</v>
      </c>
      <c r="H10" s="67" t="s">
        <v>1</v>
      </c>
      <c r="I10" s="67" t="s">
        <v>1</v>
      </c>
      <c r="J10" s="67" t="s">
        <v>1</v>
      </c>
      <c r="K10" s="67" t="s">
        <v>1</v>
      </c>
      <c r="L10" s="56" t="str">
        <f t="shared" si="4"/>
        <v>Formal</v>
      </c>
      <c r="M10" s="56" t="str">
        <f t="shared" si="5"/>
        <v>Elementos.TGB</v>
      </c>
      <c r="N10" s="56" t="str">
        <f t="shared" si="5"/>
        <v>Parâmetro.Geométrico</v>
      </c>
      <c r="O10" s="56" t="str">
        <f t="shared" si="5"/>
        <v>Valor.Distância</v>
      </c>
      <c r="P10" s="56" t="s">
        <v>150</v>
      </c>
      <c r="Q10" s="56" t="str">
        <f t="shared" si="6"/>
        <v>Valor desplazado. Valor de distancia de una traslación</v>
      </c>
      <c r="R10" s="62" t="s">
        <v>1</v>
      </c>
      <c r="S10" s="57" t="str">
        <f t="shared" si="7"/>
        <v>Formal</v>
      </c>
      <c r="T10" s="57" t="str">
        <f t="shared" si="7"/>
        <v>Elementos.TGB</v>
      </c>
      <c r="U10" s="58" t="str">
        <f t="shared" si="7"/>
        <v>Parâmetro.Geométrico</v>
      </c>
      <c r="V10" s="47" t="s">
        <v>90</v>
      </c>
      <c r="W10" s="59" t="str">
        <f t="shared" si="8"/>
        <v>Key.EGC.10</v>
      </c>
      <c r="X10" s="47" t="s">
        <v>1</v>
      </c>
      <c r="Y10" s="47" t="s">
        <v>1</v>
      </c>
      <c r="Z10" s="57" t="s">
        <v>1</v>
      </c>
      <c r="AA10" s="47" t="s">
        <v>188</v>
      </c>
    </row>
    <row r="11" spans="1:27" ht="8.25" customHeight="1" x14ac:dyDescent="0.25">
      <c r="A11" s="61">
        <v>11</v>
      </c>
      <c r="B11" s="25" t="s">
        <v>93</v>
      </c>
      <c r="C11" s="26" t="s">
        <v>174</v>
      </c>
      <c r="D11" s="27" t="s">
        <v>175</v>
      </c>
      <c r="E11" s="27" t="s">
        <v>119</v>
      </c>
      <c r="F11" s="51" t="s">
        <v>127</v>
      </c>
      <c r="G11" s="67" t="s">
        <v>1</v>
      </c>
      <c r="H11" s="67" t="s">
        <v>1</v>
      </c>
      <c r="I11" s="67" t="s">
        <v>1</v>
      </c>
      <c r="J11" s="67" t="s">
        <v>1</v>
      </c>
      <c r="K11" s="67" t="s">
        <v>1</v>
      </c>
      <c r="L11" s="56" t="str">
        <f t="shared" si="4"/>
        <v>Formal</v>
      </c>
      <c r="M11" s="56" t="str">
        <f t="shared" si="5"/>
        <v>Elementos.TGB</v>
      </c>
      <c r="N11" s="56" t="str">
        <f t="shared" si="5"/>
        <v>Parâmetro.Geométrico</v>
      </c>
      <c r="O11" s="56" t="str">
        <f t="shared" si="5"/>
        <v>Valor.Angular</v>
      </c>
      <c r="P11" s="56" t="s">
        <v>149</v>
      </c>
      <c r="Q11" s="56" t="str">
        <f t="shared" si="6"/>
        <v>Valor angular de una transformada de espín o rotación</v>
      </c>
      <c r="R11" s="62" t="s">
        <v>1</v>
      </c>
      <c r="S11" s="57" t="str">
        <f t="shared" si="7"/>
        <v>Formal</v>
      </c>
      <c r="T11" s="57" t="str">
        <f t="shared" si="7"/>
        <v>Elementos.TGB</v>
      </c>
      <c r="U11" s="58" t="str">
        <f t="shared" si="7"/>
        <v>Parâmetro.Geométrico</v>
      </c>
      <c r="V11" s="47" t="s">
        <v>90</v>
      </c>
      <c r="W11" s="59" t="str">
        <f t="shared" si="8"/>
        <v>Key.EGC.11</v>
      </c>
      <c r="X11" s="47" t="s">
        <v>1</v>
      </c>
      <c r="Y11" s="47" t="s">
        <v>1</v>
      </c>
      <c r="Z11" s="57" t="s">
        <v>1</v>
      </c>
      <c r="AA11" s="47" t="s">
        <v>189</v>
      </c>
    </row>
    <row r="12" spans="1:27" ht="8.25" customHeight="1" x14ac:dyDescent="0.25">
      <c r="A12" s="61">
        <v>12</v>
      </c>
      <c r="B12" s="25" t="s">
        <v>93</v>
      </c>
      <c r="C12" s="26" t="s">
        <v>174</v>
      </c>
      <c r="D12" s="27" t="s">
        <v>175</v>
      </c>
      <c r="E12" s="27" t="s">
        <v>119</v>
      </c>
      <c r="F12" s="51" t="s">
        <v>131</v>
      </c>
      <c r="G12" s="67" t="s">
        <v>1</v>
      </c>
      <c r="H12" s="67" t="s">
        <v>1</v>
      </c>
      <c r="I12" s="67" t="s">
        <v>1</v>
      </c>
      <c r="J12" s="67" t="s">
        <v>1</v>
      </c>
      <c r="K12" s="67" t="s">
        <v>1</v>
      </c>
      <c r="L12" s="56" t="str">
        <f t="shared" si="4"/>
        <v>Formal</v>
      </c>
      <c r="M12" s="56" t="str">
        <f t="shared" si="5"/>
        <v>Elementos.TGB</v>
      </c>
      <c r="N12" s="56" t="str">
        <f t="shared" si="5"/>
        <v>Parâmetro.Geométrico</v>
      </c>
      <c r="O12" s="56" t="str">
        <f t="shared" si="5"/>
        <v>Valor.Escalar</v>
      </c>
      <c r="P12" s="56" t="s">
        <v>148</v>
      </c>
      <c r="Q12" s="56" t="str">
        <f t="shared" si="6"/>
        <v>Valor escalar de una transformación que cambia la escala</v>
      </c>
      <c r="R12" s="62" t="s">
        <v>1</v>
      </c>
      <c r="S12" s="57" t="str">
        <f t="shared" si="7"/>
        <v>Formal</v>
      </c>
      <c r="T12" s="57" t="str">
        <f t="shared" si="7"/>
        <v>Elementos.TGB</v>
      </c>
      <c r="U12" s="58" t="str">
        <f t="shared" si="7"/>
        <v>Parâmetro.Geométrico</v>
      </c>
      <c r="V12" s="47" t="s">
        <v>90</v>
      </c>
      <c r="W12" s="59" t="str">
        <f t="shared" si="8"/>
        <v>Key.EGC.12</v>
      </c>
      <c r="X12" s="47" t="s">
        <v>1</v>
      </c>
      <c r="Y12" s="47" t="s">
        <v>1</v>
      </c>
      <c r="Z12" s="57" t="s">
        <v>1</v>
      </c>
      <c r="AA12" s="47" t="s">
        <v>190</v>
      </c>
    </row>
    <row r="13" spans="1:27" ht="8.25" customHeight="1" x14ac:dyDescent="0.25">
      <c r="A13" s="61">
        <v>13</v>
      </c>
      <c r="B13" s="25" t="s">
        <v>93</v>
      </c>
      <c r="C13" s="26" t="s">
        <v>174</v>
      </c>
      <c r="D13" s="27" t="s">
        <v>175</v>
      </c>
      <c r="E13" s="27" t="s">
        <v>157</v>
      </c>
      <c r="F13" s="51" t="s">
        <v>142</v>
      </c>
      <c r="G13" s="67" t="s">
        <v>1</v>
      </c>
      <c r="H13" s="67" t="s">
        <v>1</v>
      </c>
      <c r="I13" s="67" t="s">
        <v>1</v>
      </c>
      <c r="J13" s="67" t="s">
        <v>1</v>
      </c>
      <c r="K13" s="67" t="s">
        <v>1</v>
      </c>
      <c r="L13" s="56" t="str">
        <f t="shared" si="4"/>
        <v>Formal</v>
      </c>
      <c r="M13" s="56" t="str">
        <f t="shared" si="5"/>
        <v>Elementos.TGB</v>
      </c>
      <c r="N13" s="56" t="str">
        <f t="shared" si="5"/>
        <v>Bases.Geométricas</v>
      </c>
      <c r="O13" s="56" t="str">
        <f t="shared" si="5"/>
        <v>Ponto.Eixo1</v>
      </c>
      <c r="P13" s="56" t="s">
        <v>144</v>
      </c>
      <c r="Q13" s="56" t="str">
        <f t="shared" si="6"/>
        <v>Punto 1 que define un eje de simetría</v>
      </c>
      <c r="R13" s="62" t="s">
        <v>1</v>
      </c>
      <c r="S13" s="57" t="str">
        <f t="shared" si="7"/>
        <v>Formal</v>
      </c>
      <c r="T13" s="57" t="str">
        <f t="shared" si="7"/>
        <v>Elementos.TGB</v>
      </c>
      <c r="U13" s="58" t="str">
        <f t="shared" si="7"/>
        <v>Bases.Geométricas</v>
      </c>
      <c r="V13" s="47" t="s">
        <v>90</v>
      </c>
      <c r="W13" s="59" t="str">
        <f t="shared" si="8"/>
        <v>Key.EGC.13</v>
      </c>
      <c r="X13" s="47" t="s">
        <v>1</v>
      </c>
      <c r="Y13" s="47" t="s">
        <v>1</v>
      </c>
      <c r="Z13" s="57" t="s">
        <v>1</v>
      </c>
      <c r="AA13" s="47" t="s">
        <v>191</v>
      </c>
    </row>
    <row r="14" spans="1:27" ht="8.25" customHeight="1" x14ac:dyDescent="0.25">
      <c r="A14" s="61">
        <v>14</v>
      </c>
      <c r="B14" s="25" t="s">
        <v>93</v>
      </c>
      <c r="C14" s="26" t="s">
        <v>174</v>
      </c>
      <c r="D14" s="27" t="s">
        <v>175</v>
      </c>
      <c r="E14" s="27" t="s">
        <v>157</v>
      </c>
      <c r="F14" s="51" t="s">
        <v>143</v>
      </c>
      <c r="G14" s="67" t="s">
        <v>1</v>
      </c>
      <c r="H14" s="67" t="s">
        <v>1</v>
      </c>
      <c r="I14" s="67" t="s">
        <v>1</v>
      </c>
      <c r="J14" s="67" t="s">
        <v>1</v>
      </c>
      <c r="K14" s="67" t="s">
        <v>1</v>
      </c>
      <c r="L14" s="56" t="str">
        <f t="shared" si="4"/>
        <v>Formal</v>
      </c>
      <c r="M14" s="56" t="str">
        <f t="shared" si="5"/>
        <v>Elementos.TGB</v>
      </c>
      <c r="N14" s="56" t="str">
        <f t="shared" si="5"/>
        <v>Bases.Geométricas</v>
      </c>
      <c r="O14" s="56" t="str">
        <f t="shared" si="5"/>
        <v>Ponto.Eixo2</v>
      </c>
      <c r="P14" s="56" t="s">
        <v>145</v>
      </c>
      <c r="Q14" s="56" t="str">
        <f t="shared" si="6"/>
        <v>Punto 2 que define un eje de simetría</v>
      </c>
      <c r="R14" s="62" t="s">
        <v>1</v>
      </c>
      <c r="S14" s="57" t="str">
        <f t="shared" si="7"/>
        <v>Formal</v>
      </c>
      <c r="T14" s="57" t="str">
        <f t="shared" si="7"/>
        <v>Elementos.TGB</v>
      </c>
      <c r="U14" s="58" t="str">
        <f t="shared" si="7"/>
        <v>Bases.Geométricas</v>
      </c>
      <c r="V14" s="47" t="s">
        <v>90</v>
      </c>
      <c r="W14" s="59" t="str">
        <f t="shared" si="8"/>
        <v>Key.EGC.14</v>
      </c>
      <c r="X14" s="47" t="s">
        <v>1</v>
      </c>
      <c r="Y14" s="47" t="s">
        <v>1</v>
      </c>
      <c r="Z14" s="57" t="s">
        <v>1</v>
      </c>
      <c r="AA14" s="47" t="s">
        <v>192</v>
      </c>
    </row>
    <row r="15" spans="1:27" ht="8.25" customHeight="1" x14ac:dyDescent="0.25">
      <c r="A15" s="61">
        <v>15</v>
      </c>
      <c r="B15" s="25" t="s">
        <v>93</v>
      </c>
      <c r="C15" s="26" t="s">
        <v>174</v>
      </c>
      <c r="D15" s="27" t="s">
        <v>175</v>
      </c>
      <c r="E15" s="27" t="s">
        <v>157</v>
      </c>
      <c r="F15" s="51" t="s">
        <v>120</v>
      </c>
      <c r="G15" s="67" t="s">
        <v>1</v>
      </c>
      <c r="H15" s="67" t="s">
        <v>1</v>
      </c>
      <c r="I15" s="67" t="s">
        <v>1</v>
      </c>
      <c r="J15" s="67" t="s">
        <v>1</v>
      </c>
      <c r="K15" s="67" t="s">
        <v>1</v>
      </c>
      <c r="L15" s="56" t="str">
        <f t="shared" si="4"/>
        <v>Formal</v>
      </c>
      <c r="M15" s="56" t="str">
        <f t="shared" si="5"/>
        <v>Elementos.TGB</v>
      </c>
      <c r="N15" s="56" t="str">
        <f t="shared" si="5"/>
        <v>Bases.Geométricas</v>
      </c>
      <c r="O15" s="56" t="str">
        <f t="shared" si="5"/>
        <v>Ponto.Base</v>
      </c>
      <c r="P15" s="56" t="s">
        <v>146</v>
      </c>
      <c r="Q15" s="56" t="str">
        <f t="shared" si="6"/>
        <v>Punto base que puede servir como primer punto base de un vector de traslación o para referenciar un proyecto</v>
      </c>
      <c r="R15" s="62" t="s">
        <v>1</v>
      </c>
      <c r="S15" s="57" t="str">
        <f t="shared" si="7"/>
        <v>Formal</v>
      </c>
      <c r="T15" s="57" t="str">
        <f t="shared" si="7"/>
        <v>Elementos.TGB</v>
      </c>
      <c r="U15" s="58" t="str">
        <f t="shared" si="7"/>
        <v>Bases.Geométricas</v>
      </c>
      <c r="V15" s="47" t="s">
        <v>90</v>
      </c>
      <c r="W15" s="59" t="str">
        <f t="shared" si="8"/>
        <v>Key.EGC.15</v>
      </c>
      <c r="X15" s="47" t="s">
        <v>1</v>
      </c>
      <c r="Y15" s="47" t="s">
        <v>1</v>
      </c>
      <c r="Z15" s="57" t="s">
        <v>1</v>
      </c>
      <c r="AA15" s="47" t="s">
        <v>193</v>
      </c>
    </row>
    <row r="16" spans="1:27" ht="8.25" customHeight="1" x14ac:dyDescent="0.25">
      <c r="A16" s="61">
        <v>16</v>
      </c>
      <c r="B16" s="25" t="s">
        <v>93</v>
      </c>
      <c r="C16" s="26" t="s">
        <v>174</v>
      </c>
      <c r="D16" s="27" t="s">
        <v>175</v>
      </c>
      <c r="E16" s="27" t="s">
        <v>157</v>
      </c>
      <c r="F16" s="51" t="s">
        <v>121</v>
      </c>
      <c r="G16" s="67" t="s">
        <v>1</v>
      </c>
      <c r="H16" s="67" t="s">
        <v>1</v>
      </c>
      <c r="I16" s="67" t="s">
        <v>1</v>
      </c>
      <c r="J16" s="67" t="s">
        <v>1</v>
      </c>
      <c r="K16" s="67" t="s">
        <v>1</v>
      </c>
      <c r="L16" s="56" t="str">
        <f t="shared" si="4"/>
        <v>Formal</v>
      </c>
      <c r="M16" s="56" t="str">
        <f t="shared" si="5"/>
        <v>Elementos.TGB</v>
      </c>
      <c r="N16" s="56" t="str">
        <f t="shared" si="5"/>
        <v>Bases.Geométricas</v>
      </c>
      <c r="O16" s="56" t="str">
        <f t="shared" si="5"/>
        <v>Ponto.Destino</v>
      </c>
      <c r="P16" s="56" t="s">
        <v>147</v>
      </c>
      <c r="Q16" s="56" t="s">
        <v>176</v>
      </c>
      <c r="R16" s="62" t="s">
        <v>1</v>
      </c>
      <c r="S16" s="57" t="str">
        <f t="shared" si="7"/>
        <v>Formal</v>
      </c>
      <c r="T16" s="57" t="str">
        <f t="shared" si="7"/>
        <v>Elementos.TGB</v>
      </c>
      <c r="U16" s="58" t="str">
        <f t="shared" si="7"/>
        <v>Bases.Geométricas</v>
      </c>
      <c r="V16" s="47" t="s">
        <v>90</v>
      </c>
      <c r="W16" s="59" t="str">
        <f t="shared" si="8"/>
        <v>Key.EGC.16</v>
      </c>
      <c r="X16" s="47" t="s">
        <v>1</v>
      </c>
      <c r="Y16" s="47" t="s">
        <v>1</v>
      </c>
      <c r="Z16" s="57" t="s">
        <v>1</v>
      </c>
      <c r="AA16" s="47" t="s">
        <v>194</v>
      </c>
    </row>
    <row r="17" spans="1:27" ht="8.25" customHeight="1" x14ac:dyDescent="0.25">
      <c r="A17" s="61">
        <v>17</v>
      </c>
      <c r="B17" s="25" t="s">
        <v>93</v>
      </c>
      <c r="C17" s="26" t="s">
        <v>174</v>
      </c>
      <c r="D17" s="27" t="s">
        <v>175</v>
      </c>
      <c r="E17" s="27" t="s">
        <v>115</v>
      </c>
      <c r="F17" s="51" t="s">
        <v>200</v>
      </c>
      <c r="G17" s="67" t="s">
        <v>1</v>
      </c>
      <c r="H17" s="67" t="s">
        <v>1</v>
      </c>
      <c r="I17" s="67" t="s">
        <v>1</v>
      </c>
      <c r="J17" s="67" t="s">
        <v>1</v>
      </c>
      <c r="K17" s="67" t="s">
        <v>235</v>
      </c>
      <c r="L17" s="56" t="str">
        <f t="shared" ref="L17" si="9">_xlfn.CONCAT(C17)</f>
        <v>Formal</v>
      </c>
      <c r="M17" s="56" t="str">
        <f t="shared" ref="M17" si="10">_xlfn.CONCAT("", D17)</f>
        <v>Elementos.TGB</v>
      </c>
      <c r="N17" s="56" t="str">
        <f t="shared" ref="N17" si="11">_xlfn.CONCAT("", E17)</f>
        <v>Movimento.Geométrico</v>
      </c>
      <c r="O17" s="56" t="str">
        <f t="shared" ref="O17" si="12">_xlfn.CONCAT("", F17)</f>
        <v>Translação.XYZ</v>
      </c>
      <c r="P17" s="56" t="s">
        <v>202</v>
      </c>
      <c r="Q17" s="56" t="s">
        <v>204</v>
      </c>
      <c r="R17" s="62" t="s">
        <v>1</v>
      </c>
      <c r="S17" s="57" t="str">
        <f t="shared" ref="S17" si="13">SUBSTITUTE(C17, "_", " ")</f>
        <v>Formal</v>
      </c>
      <c r="T17" s="57" t="str">
        <f t="shared" ref="T17" si="14">SUBSTITUTE(D17, "_", " ")</f>
        <v>Elementos.TGB</v>
      </c>
      <c r="U17" s="58" t="str">
        <f t="shared" ref="U17" si="15">SUBSTITUTE(E17, "_", " ")</f>
        <v>Movimento.Geométrico</v>
      </c>
      <c r="V17" s="47" t="s">
        <v>90</v>
      </c>
      <c r="W17" s="59" t="str">
        <f t="shared" ref="W17" si="16">CONCATENATE("Key.EGC",".",A17)</f>
        <v>Key.EGC.17</v>
      </c>
      <c r="X17" s="47" t="s">
        <v>1</v>
      </c>
      <c r="Y17" s="47" t="s">
        <v>1</v>
      </c>
      <c r="Z17" s="57" t="s">
        <v>1</v>
      </c>
      <c r="AA17" s="47" t="s">
        <v>205</v>
      </c>
    </row>
    <row r="18" spans="1:27" ht="8.25" customHeight="1" x14ac:dyDescent="0.25">
      <c r="A18" s="61">
        <v>18</v>
      </c>
      <c r="B18" s="25" t="s">
        <v>93</v>
      </c>
      <c r="C18" s="26" t="s">
        <v>174</v>
      </c>
      <c r="D18" s="27" t="s">
        <v>175</v>
      </c>
      <c r="E18" s="27" t="s">
        <v>115</v>
      </c>
      <c r="F18" s="51" t="s">
        <v>198</v>
      </c>
      <c r="G18" s="67" t="s">
        <v>1</v>
      </c>
      <c r="H18" s="67" t="s">
        <v>1</v>
      </c>
      <c r="I18" s="67" t="s">
        <v>1</v>
      </c>
      <c r="J18" s="67" t="s">
        <v>1</v>
      </c>
      <c r="K18" s="67" t="s">
        <v>239</v>
      </c>
      <c r="L18" s="56" t="str">
        <f t="shared" si="4"/>
        <v>Formal</v>
      </c>
      <c r="M18" s="56" t="str">
        <f t="shared" si="5"/>
        <v>Elementos.TGB</v>
      </c>
      <c r="N18" s="56" t="str">
        <f t="shared" si="5"/>
        <v>Movimento.Geométrico</v>
      </c>
      <c r="O18" s="56" t="str">
        <f t="shared" si="5"/>
        <v>Translação.Polar</v>
      </c>
      <c r="P18" s="56" t="s">
        <v>201</v>
      </c>
      <c r="Q18" s="56" t="s">
        <v>203</v>
      </c>
      <c r="R18" s="62" t="s">
        <v>1</v>
      </c>
      <c r="S18" s="57" t="str">
        <f t="shared" si="7"/>
        <v>Formal</v>
      </c>
      <c r="T18" s="57" t="str">
        <f t="shared" si="7"/>
        <v>Elementos.TGB</v>
      </c>
      <c r="U18" s="58" t="str">
        <f t="shared" si="7"/>
        <v>Movimento.Geométrico</v>
      </c>
      <c r="V18" s="47" t="s">
        <v>90</v>
      </c>
      <c r="W18" s="59" t="str">
        <f t="shared" si="8"/>
        <v>Key.EGC.18</v>
      </c>
      <c r="X18" s="47" t="s">
        <v>1</v>
      </c>
      <c r="Y18" s="47" t="s">
        <v>1</v>
      </c>
      <c r="Z18" s="57" t="s">
        <v>1</v>
      </c>
      <c r="AA18" s="47" t="s">
        <v>206</v>
      </c>
    </row>
    <row r="19" spans="1:27" ht="8.25" customHeight="1" x14ac:dyDescent="0.25">
      <c r="A19" s="61">
        <v>19</v>
      </c>
      <c r="B19" s="25" t="s">
        <v>93</v>
      </c>
      <c r="C19" s="26" t="s">
        <v>174</v>
      </c>
      <c r="D19" s="27" t="s">
        <v>175</v>
      </c>
      <c r="E19" s="27" t="s">
        <v>115</v>
      </c>
      <c r="F19" s="51" t="s">
        <v>116</v>
      </c>
      <c r="G19" s="67" t="s">
        <v>1</v>
      </c>
      <c r="H19" s="67" t="s">
        <v>1</v>
      </c>
      <c r="I19" s="67" t="s">
        <v>1</v>
      </c>
      <c r="J19" s="67" t="s">
        <v>1</v>
      </c>
      <c r="K19" s="67" t="s">
        <v>236</v>
      </c>
      <c r="L19" s="56" t="str">
        <f t="shared" si="4"/>
        <v>Formal</v>
      </c>
      <c r="M19" s="56" t="str">
        <f t="shared" si="5"/>
        <v>Elementos.TGB</v>
      </c>
      <c r="N19" s="56" t="str">
        <f t="shared" si="5"/>
        <v>Movimento.Geométrico</v>
      </c>
      <c r="O19" s="56" t="str">
        <f t="shared" si="5"/>
        <v>Giro</v>
      </c>
      <c r="P19" s="56" t="s">
        <v>154</v>
      </c>
      <c r="Q19" s="56" t="s">
        <v>179</v>
      </c>
      <c r="R19" s="62" t="s">
        <v>1</v>
      </c>
      <c r="S19" s="57" t="str">
        <f t="shared" si="7"/>
        <v>Formal</v>
      </c>
      <c r="T19" s="57" t="str">
        <f t="shared" si="7"/>
        <v>Elementos.TGB</v>
      </c>
      <c r="U19" s="58" t="str">
        <f t="shared" si="7"/>
        <v>Movimento.Geométrico</v>
      </c>
      <c r="V19" s="47" t="s">
        <v>90</v>
      </c>
      <c r="W19" s="59" t="str">
        <f t="shared" si="8"/>
        <v>Key.EGC.19</v>
      </c>
      <c r="X19" s="47" t="s">
        <v>1</v>
      </c>
      <c r="Y19" s="47" t="s">
        <v>1</v>
      </c>
      <c r="Z19" s="57" t="s">
        <v>1</v>
      </c>
      <c r="AA19" s="47" t="s">
        <v>195</v>
      </c>
    </row>
    <row r="20" spans="1:27" ht="8.25" customHeight="1" x14ac:dyDescent="0.25">
      <c r="A20" s="61">
        <v>20</v>
      </c>
      <c r="B20" s="25" t="s">
        <v>93</v>
      </c>
      <c r="C20" s="26" t="s">
        <v>174</v>
      </c>
      <c r="D20" s="27" t="s">
        <v>175</v>
      </c>
      <c r="E20" s="27" t="s">
        <v>115</v>
      </c>
      <c r="F20" s="51" t="s">
        <v>117</v>
      </c>
      <c r="G20" s="67" t="s">
        <v>1</v>
      </c>
      <c r="H20" s="67" t="s">
        <v>1</v>
      </c>
      <c r="I20" s="67" t="s">
        <v>1</v>
      </c>
      <c r="J20" s="67" t="s">
        <v>1</v>
      </c>
      <c r="K20" s="67" t="s">
        <v>237</v>
      </c>
      <c r="L20" s="56" t="str">
        <f t="shared" si="4"/>
        <v>Formal</v>
      </c>
      <c r="M20" s="56" t="str">
        <f t="shared" si="5"/>
        <v>Elementos.TGB</v>
      </c>
      <c r="N20" s="56" t="str">
        <f t="shared" si="5"/>
        <v>Movimento.Geométrico</v>
      </c>
      <c r="O20" s="56" t="str">
        <f t="shared" si="5"/>
        <v>Escalar</v>
      </c>
      <c r="P20" s="56" t="s">
        <v>155</v>
      </c>
      <c r="Q20" s="56" t="s">
        <v>178</v>
      </c>
      <c r="R20" s="62" t="s">
        <v>1</v>
      </c>
      <c r="S20" s="57" t="str">
        <f t="shared" si="7"/>
        <v>Formal</v>
      </c>
      <c r="T20" s="57" t="str">
        <f t="shared" si="7"/>
        <v>Elementos.TGB</v>
      </c>
      <c r="U20" s="58" t="str">
        <f t="shared" si="7"/>
        <v>Movimento.Geométrico</v>
      </c>
      <c r="V20" s="47" t="s">
        <v>90</v>
      </c>
      <c r="W20" s="59" t="str">
        <f t="shared" si="8"/>
        <v>Key.EGC.20</v>
      </c>
      <c r="X20" s="47" t="s">
        <v>1</v>
      </c>
      <c r="Y20" s="47" t="s">
        <v>1</v>
      </c>
      <c r="Z20" s="57" t="s">
        <v>1</v>
      </c>
      <c r="AA20" s="47" t="s">
        <v>196</v>
      </c>
    </row>
    <row r="21" spans="1:27" ht="8.25" customHeight="1" x14ac:dyDescent="0.25">
      <c r="A21" s="61">
        <v>21</v>
      </c>
      <c r="B21" s="25" t="s">
        <v>93</v>
      </c>
      <c r="C21" s="26" t="s">
        <v>174</v>
      </c>
      <c r="D21" s="27" t="s">
        <v>175</v>
      </c>
      <c r="E21" s="27" t="s">
        <v>115</v>
      </c>
      <c r="F21" s="51" t="s">
        <v>118</v>
      </c>
      <c r="G21" s="67" t="s">
        <v>1</v>
      </c>
      <c r="H21" s="67" t="s">
        <v>1</v>
      </c>
      <c r="I21" s="67" t="s">
        <v>1</v>
      </c>
      <c r="J21" s="67" t="s">
        <v>1</v>
      </c>
      <c r="K21" s="67" t="s">
        <v>238</v>
      </c>
      <c r="L21" s="56" t="str">
        <f t="shared" si="4"/>
        <v>Formal</v>
      </c>
      <c r="M21" s="56" t="str">
        <f t="shared" si="5"/>
        <v>Elementos.TGB</v>
      </c>
      <c r="N21" s="56" t="str">
        <f t="shared" si="5"/>
        <v>Movimento.Geométrico</v>
      </c>
      <c r="O21" s="56" t="str">
        <f t="shared" si="5"/>
        <v>Reflexão</v>
      </c>
      <c r="P21" s="56" t="s">
        <v>156</v>
      </c>
      <c r="Q21" s="56" t="s">
        <v>177</v>
      </c>
      <c r="R21" s="62" t="s">
        <v>1</v>
      </c>
      <c r="S21" s="57" t="str">
        <f t="shared" si="7"/>
        <v>Formal</v>
      </c>
      <c r="T21" s="57" t="str">
        <f t="shared" si="7"/>
        <v>Elementos.TGB</v>
      </c>
      <c r="U21" s="58" t="str">
        <f t="shared" si="7"/>
        <v>Movimento.Geométrico</v>
      </c>
      <c r="V21" s="47" t="s">
        <v>90</v>
      </c>
      <c r="W21" s="59" t="str">
        <f t="shared" si="8"/>
        <v>Key.EGC.21</v>
      </c>
      <c r="X21" s="47" t="s">
        <v>1</v>
      </c>
      <c r="Y21" s="47" t="s">
        <v>1</v>
      </c>
      <c r="Z21" s="57" t="s">
        <v>1</v>
      </c>
      <c r="AA21" s="47" t="s">
        <v>197</v>
      </c>
    </row>
  </sheetData>
  <conditionalFormatting sqref="A2:A21">
    <cfRule type="cellIs" dxfId="10" priority="2" operator="equal">
      <formula>"null"</formula>
    </cfRule>
  </conditionalFormatting>
  <conditionalFormatting sqref="F1 F7:F21">
    <cfRule type="duplicateValues" dxfId="9" priority="7"/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2:AA6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sqref="A1:XFD1048576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35" t="s">
        <v>22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</row>
    <row r="2" spans="1:21" ht="9" customHeight="1" x14ac:dyDescent="0.15">
      <c r="A2" s="35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35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32">
        <v>1</v>
      </c>
      <c r="B1" s="33" t="s">
        <v>94</v>
      </c>
      <c r="C1" s="33" t="s">
        <v>95</v>
      </c>
    </row>
    <row r="2" spans="1:3" ht="14.45" customHeight="1" x14ac:dyDescent="0.25">
      <c r="A2" s="19">
        <v>2</v>
      </c>
      <c r="B2" s="34" t="s">
        <v>1</v>
      </c>
      <c r="C2" s="34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sheetPr codeName="Planilha5"/>
  <dimension ref="A1:AC14"/>
  <sheetViews>
    <sheetView zoomScale="295" zoomScaleNormal="295" workbookViewId="0">
      <pane ySplit="1" topLeftCell="A2" activePane="bottomLeft" state="frozen"/>
      <selection pane="bottomLeft" activeCell="M15" sqref="M15"/>
    </sheetView>
  </sheetViews>
  <sheetFormatPr defaultRowHeight="7.5" customHeight="1" x14ac:dyDescent="0.25"/>
  <cols>
    <col min="1" max="1" width="2.5703125" bestFit="1" customWidth="1"/>
    <col min="2" max="2" width="9.28515625" customWidth="1"/>
    <col min="3" max="3" width="7.5703125" customWidth="1"/>
    <col min="4" max="4" width="5.42578125" bestFit="1" customWidth="1"/>
    <col min="5" max="5" width="3.42578125" bestFit="1" customWidth="1"/>
    <col min="6" max="6" width="11" bestFit="1" customWidth="1"/>
    <col min="7" max="7" width="3.42578125" bestFit="1" customWidth="1"/>
    <col min="8" max="11" width="3.5703125" customWidth="1"/>
    <col min="12" max="12" width="5.140625" customWidth="1"/>
    <col min="13" max="13" width="41.85546875" bestFit="1" customWidth="1"/>
    <col min="14" max="14" width="8.28515625" bestFit="1" customWidth="1"/>
    <col min="15" max="15" width="3.42578125" bestFit="1" customWidth="1"/>
    <col min="16" max="16" width="5.140625" customWidth="1"/>
    <col min="17" max="17" width="4.28515625" style="71" customWidth="1"/>
    <col min="18" max="18" width="5.140625" customWidth="1"/>
    <col min="19" max="19" width="4.28515625" style="71" customWidth="1"/>
    <col min="20" max="20" width="5.140625" customWidth="1"/>
    <col min="21" max="21" width="4.28515625" style="71" customWidth="1"/>
    <col min="22" max="22" width="5.140625" style="72" customWidth="1"/>
    <col min="23" max="23" width="4.28515625" style="71" customWidth="1"/>
    <col min="24" max="24" width="5.140625" style="72" customWidth="1"/>
    <col min="25" max="25" width="4.28515625" style="71" customWidth="1"/>
    <col min="26" max="26" width="5.140625" style="72" customWidth="1"/>
    <col min="27" max="27" width="4.28515625" style="71" customWidth="1"/>
    <col min="28" max="28" width="5.85546875" customWidth="1"/>
    <col min="29" max="29" width="3.42578125" bestFit="1" customWidth="1"/>
  </cols>
  <sheetData>
    <row r="1" spans="1:29" ht="21.75" customHeight="1" x14ac:dyDescent="0.25">
      <c r="A1" s="42" t="s">
        <v>91</v>
      </c>
      <c r="B1" s="29" t="s">
        <v>49</v>
      </c>
      <c r="C1" s="31" t="s">
        <v>49</v>
      </c>
      <c r="D1" s="29" t="s">
        <v>48</v>
      </c>
      <c r="E1" s="43" t="s">
        <v>92</v>
      </c>
      <c r="F1" s="29" t="s">
        <v>48</v>
      </c>
      <c r="G1" s="43" t="s">
        <v>92</v>
      </c>
      <c r="H1" s="43" t="s">
        <v>48</v>
      </c>
      <c r="I1" s="43" t="s">
        <v>92</v>
      </c>
      <c r="J1" s="43" t="s">
        <v>48</v>
      </c>
      <c r="K1" s="43" t="s">
        <v>92</v>
      </c>
      <c r="L1" s="29" t="s">
        <v>48</v>
      </c>
      <c r="M1" s="29" t="s">
        <v>92</v>
      </c>
      <c r="N1" s="31" t="s">
        <v>48</v>
      </c>
      <c r="O1" s="43" t="s">
        <v>92</v>
      </c>
      <c r="P1" s="31" t="s">
        <v>48</v>
      </c>
      <c r="Q1" s="69" t="s">
        <v>92</v>
      </c>
      <c r="R1" s="29" t="s">
        <v>48</v>
      </c>
      <c r="S1" s="69" t="s">
        <v>92</v>
      </c>
      <c r="T1" s="29" t="s">
        <v>48</v>
      </c>
      <c r="U1" s="69" t="s">
        <v>92</v>
      </c>
      <c r="V1" s="29" t="s">
        <v>48</v>
      </c>
      <c r="W1" s="69" t="s">
        <v>92</v>
      </c>
      <c r="X1" s="29" t="s">
        <v>48</v>
      </c>
      <c r="Y1" s="69" t="s">
        <v>92</v>
      </c>
      <c r="Z1" s="29" t="s">
        <v>48</v>
      </c>
      <c r="AA1" s="69" t="s">
        <v>92</v>
      </c>
      <c r="AB1" s="31" t="s">
        <v>48</v>
      </c>
      <c r="AC1" s="43" t="s">
        <v>92</v>
      </c>
    </row>
    <row r="2" spans="1:29" ht="7.5" customHeight="1" x14ac:dyDescent="0.25">
      <c r="A2" s="28">
        <v>2</v>
      </c>
      <c r="B2" s="30" t="s">
        <v>137</v>
      </c>
      <c r="C2" s="51" t="s">
        <v>200</v>
      </c>
      <c r="D2" s="54" t="s">
        <v>1</v>
      </c>
      <c r="E2" s="60" t="s">
        <v>1</v>
      </c>
      <c r="F2" s="54" t="s">
        <v>1</v>
      </c>
      <c r="G2" s="60" t="s">
        <v>1</v>
      </c>
      <c r="H2" s="44" t="s">
        <v>1</v>
      </c>
      <c r="I2" s="45" t="s">
        <v>1</v>
      </c>
      <c r="J2" s="44" t="s">
        <v>1</v>
      </c>
      <c r="K2" s="45" t="s">
        <v>1</v>
      </c>
      <c r="L2" s="38" t="s">
        <v>96</v>
      </c>
      <c r="M2" s="41" t="s">
        <v>215</v>
      </c>
      <c r="N2" s="39" t="s">
        <v>122</v>
      </c>
      <c r="O2" s="52" t="s">
        <v>123</v>
      </c>
      <c r="P2" s="39" t="s">
        <v>209</v>
      </c>
      <c r="Q2" s="70">
        <v>1.05</v>
      </c>
      <c r="R2" s="39" t="s">
        <v>210</v>
      </c>
      <c r="S2" s="70">
        <v>1.05</v>
      </c>
      <c r="T2" s="39" t="s">
        <v>211</v>
      </c>
      <c r="U2" s="70">
        <v>0</v>
      </c>
      <c r="V2" s="38" t="s">
        <v>1</v>
      </c>
      <c r="W2" s="70" t="s">
        <v>1</v>
      </c>
      <c r="X2" s="38" t="s">
        <v>1</v>
      </c>
      <c r="Y2" s="70" t="s">
        <v>1</v>
      </c>
      <c r="Z2" s="38" t="s">
        <v>1</v>
      </c>
      <c r="AA2" s="70" t="s">
        <v>1</v>
      </c>
      <c r="AB2" s="39" t="s">
        <v>1</v>
      </c>
      <c r="AC2" s="52" t="s">
        <v>1</v>
      </c>
    </row>
    <row r="3" spans="1:29" ht="7.5" customHeight="1" x14ac:dyDescent="0.25">
      <c r="A3" s="28">
        <v>3</v>
      </c>
      <c r="B3" s="30" t="s">
        <v>216</v>
      </c>
      <c r="C3" s="51" t="s">
        <v>200</v>
      </c>
      <c r="D3" s="54" t="s">
        <v>1</v>
      </c>
      <c r="E3" s="60" t="s">
        <v>1</v>
      </c>
      <c r="F3" s="54" t="s">
        <v>1</v>
      </c>
      <c r="G3" s="60" t="s">
        <v>1</v>
      </c>
      <c r="H3" s="44" t="s">
        <v>1</v>
      </c>
      <c r="I3" s="45" t="s">
        <v>1</v>
      </c>
      <c r="J3" s="44" t="s">
        <v>1</v>
      </c>
      <c r="K3" s="45" t="s">
        <v>1</v>
      </c>
      <c r="L3" s="38" t="s">
        <v>96</v>
      </c>
      <c r="M3" s="41" t="s">
        <v>217</v>
      </c>
      <c r="N3" s="39" t="s">
        <v>122</v>
      </c>
      <c r="O3" s="52" t="s">
        <v>123</v>
      </c>
      <c r="P3" s="39" t="s">
        <v>209</v>
      </c>
      <c r="Q3" s="70">
        <v>1.05</v>
      </c>
      <c r="R3" s="39" t="s">
        <v>210</v>
      </c>
      <c r="S3" s="70">
        <v>1.05</v>
      </c>
      <c r="T3" s="39" t="s">
        <v>211</v>
      </c>
      <c r="U3" s="70">
        <v>0</v>
      </c>
      <c r="V3" s="39" t="s">
        <v>212</v>
      </c>
      <c r="W3" s="70">
        <v>5.2</v>
      </c>
      <c r="X3" s="39" t="s">
        <v>214</v>
      </c>
      <c r="Y3" s="70">
        <v>0</v>
      </c>
      <c r="Z3" s="39" t="s">
        <v>213</v>
      </c>
      <c r="AA3" s="70">
        <v>0</v>
      </c>
      <c r="AB3" s="39" t="s">
        <v>1</v>
      </c>
      <c r="AC3" s="52" t="s">
        <v>1</v>
      </c>
    </row>
    <row r="4" spans="1:29" ht="7.5" customHeight="1" x14ac:dyDescent="0.25">
      <c r="A4" s="28">
        <v>4</v>
      </c>
      <c r="B4" s="30" t="s">
        <v>138</v>
      </c>
      <c r="C4" s="51" t="s">
        <v>116</v>
      </c>
      <c r="D4" s="54" t="s">
        <v>1</v>
      </c>
      <c r="E4" s="60" t="s">
        <v>1</v>
      </c>
      <c r="F4" s="54" t="s">
        <v>1</v>
      </c>
      <c r="G4" s="60" t="s">
        <v>1</v>
      </c>
      <c r="H4" s="44" t="s">
        <v>1</v>
      </c>
      <c r="I4" s="45" t="s">
        <v>1</v>
      </c>
      <c r="J4" s="44" t="s">
        <v>1</v>
      </c>
      <c r="K4" s="45" t="s">
        <v>1</v>
      </c>
      <c r="L4" s="38" t="s">
        <v>96</v>
      </c>
      <c r="M4" s="41" t="s">
        <v>225</v>
      </c>
      <c r="N4" s="39" t="s">
        <v>122</v>
      </c>
      <c r="O4" s="52" t="s">
        <v>124</v>
      </c>
      <c r="P4" s="39" t="s">
        <v>209</v>
      </c>
      <c r="Q4" s="70">
        <v>2.0499999999999998</v>
      </c>
      <c r="R4" s="39" t="s">
        <v>210</v>
      </c>
      <c r="S4" s="70">
        <v>2.0499999999999998</v>
      </c>
      <c r="T4" s="39" t="s">
        <v>211</v>
      </c>
      <c r="U4" s="70">
        <v>0</v>
      </c>
      <c r="V4" s="38" t="s">
        <v>1</v>
      </c>
      <c r="W4" s="70" t="s">
        <v>1</v>
      </c>
      <c r="X4" s="38" t="s">
        <v>1</v>
      </c>
      <c r="Y4" s="70" t="s">
        <v>1</v>
      </c>
      <c r="Z4" s="38" t="s">
        <v>1</v>
      </c>
      <c r="AA4" s="70" t="s">
        <v>1</v>
      </c>
      <c r="AB4" s="39" t="s">
        <v>207</v>
      </c>
      <c r="AC4" s="52">
        <v>45</v>
      </c>
    </row>
    <row r="5" spans="1:29" ht="7.5" customHeight="1" x14ac:dyDescent="0.25">
      <c r="A5" s="28">
        <v>5</v>
      </c>
      <c r="B5" s="30" t="s">
        <v>139</v>
      </c>
      <c r="C5" s="51" t="s">
        <v>117</v>
      </c>
      <c r="D5" s="54" t="s">
        <v>1</v>
      </c>
      <c r="E5" s="60" t="s">
        <v>1</v>
      </c>
      <c r="F5" s="54" t="s">
        <v>1</v>
      </c>
      <c r="G5" s="60" t="s">
        <v>1</v>
      </c>
      <c r="H5" s="44" t="s">
        <v>1</v>
      </c>
      <c r="I5" s="45" t="s">
        <v>1</v>
      </c>
      <c r="J5" s="44" t="s">
        <v>1</v>
      </c>
      <c r="K5" s="45" t="s">
        <v>1</v>
      </c>
      <c r="L5" s="38" t="s">
        <v>96</v>
      </c>
      <c r="M5" s="41" t="s">
        <v>226</v>
      </c>
      <c r="N5" s="39" t="s">
        <v>122</v>
      </c>
      <c r="O5" s="52" t="s">
        <v>125</v>
      </c>
      <c r="P5" s="39" t="s">
        <v>209</v>
      </c>
      <c r="Q5" s="70">
        <v>3.05</v>
      </c>
      <c r="R5" s="39" t="s">
        <v>210</v>
      </c>
      <c r="S5" s="70">
        <v>3.05</v>
      </c>
      <c r="T5" s="39" t="s">
        <v>211</v>
      </c>
      <c r="U5" s="70">
        <v>0</v>
      </c>
      <c r="V5" s="38" t="s">
        <v>1</v>
      </c>
      <c r="W5" s="70" t="s">
        <v>1</v>
      </c>
      <c r="X5" s="38" t="s">
        <v>1</v>
      </c>
      <c r="Y5" s="70" t="s">
        <v>1</v>
      </c>
      <c r="Z5" s="38" t="s">
        <v>1</v>
      </c>
      <c r="AA5" s="70" t="s">
        <v>1</v>
      </c>
      <c r="AB5" s="39" t="s">
        <v>208</v>
      </c>
      <c r="AC5" s="52">
        <v>1.5</v>
      </c>
    </row>
    <row r="6" spans="1:29" ht="7.5" customHeight="1" x14ac:dyDescent="0.25">
      <c r="A6" s="28">
        <v>6</v>
      </c>
      <c r="B6" s="30" t="s">
        <v>140</v>
      </c>
      <c r="C6" s="51" t="s">
        <v>118</v>
      </c>
      <c r="D6" s="54" t="s">
        <v>1</v>
      </c>
      <c r="E6" s="60" t="s">
        <v>1</v>
      </c>
      <c r="F6" s="54" t="s">
        <v>1</v>
      </c>
      <c r="G6" s="60" t="s">
        <v>1</v>
      </c>
      <c r="H6" s="44" t="s">
        <v>1</v>
      </c>
      <c r="I6" s="45" t="s">
        <v>1</v>
      </c>
      <c r="J6" s="44" t="s">
        <v>1</v>
      </c>
      <c r="K6" s="45" t="s">
        <v>1</v>
      </c>
      <c r="L6" s="38" t="s">
        <v>96</v>
      </c>
      <c r="M6" s="41" t="s">
        <v>227</v>
      </c>
      <c r="N6" s="39" t="s">
        <v>122</v>
      </c>
      <c r="O6" s="52" t="s">
        <v>126</v>
      </c>
      <c r="P6" s="39" t="s">
        <v>209</v>
      </c>
      <c r="Q6" s="70">
        <v>4.05</v>
      </c>
      <c r="R6" s="39" t="s">
        <v>210</v>
      </c>
      <c r="S6" s="70">
        <v>4.05</v>
      </c>
      <c r="T6" s="39" t="s">
        <v>211</v>
      </c>
      <c r="U6" s="70">
        <v>0</v>
      </c>
      <c r="V6" s="38" t="s">
        <v>212</v>
      </c>
      <c r="W6" s="70">
        <v>14.05</v>
      </c>
      <c r="X6" s="38" t="s">
        <v>214</v>
      </c>
      <c r="Y6" s="70">
        <v>14.05</v>
      </c>
      <c r="Z6" s="38" t="s">
        <v>213</v>
      </c>
      <c r="AA6" s="70">
        <v>0</v>
      </c>
      <c r="AB6" s="39" t="s">
        <v>1</v>
      </c>
      <c r="AC6" s="52" t="s">
        <v>1</v>
      </c>
    </row>
    <row r="7" spans="1:29" ht="7.5" customHeight="1" x14ac:dyDescent="0.25">
      <c r="A7" s="28">
        <v>7</v>
      </c>
      <c r="B7" s="30" t="s">
        <v>132</v>
      </c>
      <c r="C7" s="51" t="s">
        <v>120</v>
      </c>
      <c r="D7" s="54" t="s">
        <v>1</v>
      </c>
      <c r="E7" s="60" t="s">
        <v>1</v>
      </c>
      <c r="F7" s="54" t="s">
        <v>1</v>
      </c>
      <c r="G7" s="60" t="s">
        <v>1</v>
      </c>
      <c r="H7" s="44" t="s">
        <v>1</v>
      </c>
      <c r="I7" s="45" t="s">
        <v>1</v>
      </c>
      <c r="J7" s="44" t="s">
        <v>1</v>
      </c>
      <c r="K7" s="45" t="s">
        <v>1</v>
      </c>
      <c r="L7" s="38" t="s">
        <v>96</v>
      </c>
      <c r="M7" s="41" t="s">
        <v>228</v>
      </c>
      <c r="N7" s="39" t="s">
        <v>1</v>
      </c>
      <c r="O7" s="52" t="s">
        <v>1</v>
      </c>
      <c r="P7" s="39" t="s">
        <v>1</v>
      </c>
      <c r="Q7" s="70" t="s">
        <v>1</v>
      </c>
      <c r="R7" s="39" t="s">
        <v>1</v>
      </c>
      <c r="S7" s="70" t="s">
        <v>1</v>
      </c>
      <c r="T7" s="39" t="s">
        <v>1</v>
      </c>
      <c r="U7" s="70" t="s">
        <v>1</v>
      </c>
      <c r="V7" s="38" t="s">
        <v>1</v>
      </c>
      <c r="W7" s="70" t="s">
        <v>1</v>
      </c>
      <c r="X7" s="38" t="s">
        <v>1</v>
      </c>
      <c r="Y7" s="70" t="s">
        <v>1</v>
      </c>
      <c r="Z7" s="38" t="s">
        <v>1</v>
      </c>
      <c r="AA7" s="70" t="s">
        <v>1</v>
      </c>
      <c r="AB7" s="39" t="s">
        <v>1</v>
      </c>
      <c r="AC7" s="52" t="s">
        <v>1</v>
      </c>
    </row>
    <row r="8" spans="1:29" ht="7.5" customHeight="1" x14ac:dyDescent="0.25">
      <c r="A8" s="28">
        <v>8</v>
      </c>
      <c r="B8" s="30" t="s">
        <v>134</v>
      </c>
      <c r="C8" s="51" t="s">
        <v>120</v>
      </c>
      <c r="D8" s="54" t="s">
        <v>1</v>
      </c>
      <c r="E8" s="60" t="s">
        <v>1</v>
      </c>
      <c r="F8" s="54" t="s">
        <v>1</v>
      </c>
      <c r="G8" s="60" t="s">
        <v>1</v>
      </c>
      <c r="H8" s="44" t="s">
        <v>1</v>
      </c>
      <c r="I8" s="45" t="s">
        <v>1</v>
      </c>
      <c r="J8" s="44" t="s">
        <v>1</v>
      </c>
      <c r="K8" s="45" t="s">
        <v>1</v>
      </c>
      <c r="L8" s="38" t="s">
        <v>96</v>
      </c>
      <c r="M8" s="41" t="s">
        <v>229</v>
      </c>
      <c r="N8" s="39" t="s">
        <v>1</v>
      </c>
      <c r="O8" s="52" t="s">
        <v>1</v>
      </c>
      <c r="P8" s="39" t="s">
        <v>1</v>
      </c>
      <c r="Q8" s="70" t="s">
        <v>1</v>
      </c>
      <c r="R8" s="39" t="s">
        <v>1</v>
      </c>
      <c r="S8" s="70" t="s">
        <v>1</v>
      </c>
      <c r="T8" s="39" t="s">
        <v>1</v>
      </c>
      <c r="U8" s="70" t="s">
        <v>1</v>
      </c>
      <c r="V8" s="38" t="s">
        <v>1</v>
      </c>
      <c r="W8" s="70" t="s">
        <v>1</v>
      </c>
      <c r="X8" s="38" t="s">
        <v>1</v>
      </c>
      <c r="Y8" s="70" t="s">
        <v>1</v>
      </c>
      <c r="Z8" s="38" t="s">
        <v>1</v>
      </c>
      <c r="AA8" s="70" t="s">
        <v>1</v>
      </c>
      <c r="AB8" s="39" t="s">
        <v>1</v>
      </c>
      <c r="AC8" s="52" t="s">
        <v>1</v>
      </c>
    </row>
    <row r="9" spans="1:29" ht="7.5" customHeight="1" x14ac:dyDescent="0.25">
      <c r="A9" s="28">
        <v>9</v>
      </c>
      <c r="B9" s="30" t="s">
        <v>135</v>
      </c>
      <c r="C9" s="51" t="s">
        <v>200</v>
      </c>
      <c r="D9" s="53" t="s">
        <v>133</v>
      </c>
      <c r="E9" s="55" t="s">
        <v>134</v>
      </c>
      <c r="F9" s="53" t="s">
        <v>141</v>
      </c>
      <c r="G9" s="55" t="s">
        <v>137</v>
      </c>
      <c r="H9" s="44" t="s">
        <v>1</v>
      </c>
      <c r="I9" s="45" t="s">
        <v>1</v>
      </c>
      <c r="J9" s="44" t="s">
        <v>1</v>
      </c>
      <c r="K9" s="45" t="s">
        <v>1</v>
      </c>
      <c r="L9" s="38" t="s">
        <v>96</v>
      </c>
      <c r="M9" s="41" t="s">
        <v>230</v>
      </c>
      <c r="N9" s="39" t="s">
        <v>1</v>
      </c>
      <c r="O9" s="52" t="s">
        <v>1</v>
      </c>
      <c r="P9" s="39" t="s">
        <v>1</v>
      </c>
      <c r="Q9" s="70" t="s">
        <v>1</v>
      </c>
      <c r="R9" s="39" t="s">
        <v>1</v>
      </c>
      <c r="S9" s="70" t="s">
        <v>1</v>
      </c>
      <c r="T9" s="39" t="s">
        <v>1</v>
      </c>
      <c r="U9" s="70" t="s">
        <v>1</v>
      </c>
      <c r="V9" s="38" t="s">
        <v>1</v>
      </c>
      <c r="W9" s="70" t="s">
        <v>1</v>
      </c>
      <c r="X9" s="38" t="s">
        <v>1</v>
      </c>
      <c r="Y9" s="70" t="s">
        <v>1</v>
      </c>
      <c r="Z9" s="38" t="s">
        <v>1</v>
      </c>
      <c r="AA9" s="70" t="s">
        <v>1</v>
      </c>
      <c r="AB9" s="39" t="s">
        <v>1</v>
      </c>
      <c r="AC9" s="52" t="s">
        <v>1</v>
      </c>
    </row>
    <row r="10" spans="1:29" ht="7.5" customHeight="1" x14ac:dyDescent="0.25">
      <c r="A10" s="28">
        <v>10</v>
      </c>
      <c r="B10" s="30" t="s">
        <v>136</v>
      </c>
      <c r="C10" s="51" t="s">
        <v>200</v>
      </c>
      <c r="D10" s="53" t="s">
        <v>133</v>
      </c>
      <c r="E10" s="55" t="s">
        <v>134</v>
      </c>
      <c r="F10" s="53" t="s">
        <v>141</v>
      </c>
      <c r="G10" s="55" t="s">
        <v>216</v>
      </c>
      <c r="H10" s="44" t="s">
        <v>1</v>
      </c>
      <c r="I10" s="45" t="s">
        <v>1</v>
      </c>
      <c r="J10" s="44" t="s">
        <v>1</v>
      </c>
      <c r="K10" s="45" t="s">
        <v>1</v>
      </c>
      <c r="L10" s="38" t="s">
        <v>96</v>
      </c>
      <c r="M10" s="41" t="s">
        <v>231</v>
      </c>
      <c r="N10" s="39" t="s">
        <v>1</v>
      </c>
      <c r="O10" s="52" t="s">
        <v>1</v>
      </c>
      <c r="P10" s="39" t="s">
        <v>1</v>
      </c>
      <c r="Q10" s="70" t="s">
        <v>1</v>
      </c>
      <c r="R10" s="39" t="s">
        <v>1</v>
      </c>
      <c r="S10" s="70" t="s">
        <v>1</v>
      </c>
      <c r="T10" s="39" t="s">
        <v>1</v>
      </c>
      <c r="U10" s="70" t="s">
        <v>1</v>
      </c>
      <c r="V10" s="38" t="s">
        <v>1</v>
      </c>
      <c r="W10" s="70" t="s">
        <v>1</v>
      </c>
      <c r="X10" s="38" t="s">
        <v>1</v>
      </c>
      <c r="Y10" s="70" t="s">
        <v>1</v>
      </c>
      <c r="Z10" s="38" t="s">
        <v>1</v>
      </c>
      <c r="AA10" s="70" t="s">
        <v>1</v>
      </c>
      <c r="AB10" s="39" t="s">
        <v>1</v>
      </c>
      <c r="AC10" s="52" t="s">
        <v>1</v>
      </c>
    </row>
    <row r="11" spans="1:29" ht="7.5" customHeight="1" x14ac:dyDescent="0.25">
      <c r="A11" s="28">
        <v>11</v>
      </c>
      <c r="B11" s="30" t="s">
        <v>221</v>
      </c>
      <c r="C11" s="51" t="s">
        <v>199</v>
      </c>
      <c r="D11" s="54" t="s">
        <v>1</v>
      </c>
      <c r="E11" s="60" t="s">
        <v>1</v>
      </c>
      <c r="F11" s="54" t="s">
        <v>1</v>
      </c>
      <c r="G11" s="60" t="s">
        <v>1</v>
      </c>
      <c r="H11" s="44" t="s">
        <v>1</v>
      </c>
      <c r="I11" s="45" t="s">
        <v>1</v>
      </c>
      <c r="J11" s="44" t="s">
        <v>1</v>
      </c>
      <c r="K11" s="45" t="s">
        <v>1</v>
      </c>
      <c r="L11" s="38" t="s">
        <v>96</v>
      </c>
      <c r="M11" s="41" t="s">
        <v>218</v>
      </c>
      <c r="N11" s="39" t="s">
        <v>1</v>
      </c>
      <c r="O11" s="52" t="s">
        <v>1</v>
      </c>
      <c r="P11" s="39" t="s">
        <v>1</v>
      </c>
      <c r="Q11" s="70" t="s">
        <v>1</v>
      </c>
      <c r="R11" s="39" t="s">
        <v>1</v>
      </c>
      <c r="S11" s="70" t="s">
        <v>1</v>
      </c>
      <c r="T11" s="39" t="s">
        <v>1</v>
      </c>
      <c r="U11" s="70" t="s">
        <v>1</v>
      </c>
      <c r="V11" s="38" t="s">
        <v>1</v>
      </c>
      <c r="W11" s="70" t="s">
        <v>1</v>
      </c>
      <c r="X11" s="38" t="s">
        <v>1</v>
      </c>
      <c r="Y11" s="70" t="s">
        <v>1</v>
      </c>
      <c r="Z11" s="38" t="s">
        <v>1</v>
      </c>
      <c r="AA11" s="70" t="s">
        <v>1</v>
      </c>
      <c r="AB11" s="39" t="s">
        <v>1</v>
      </c>
      <c r="AC11" s="52" t="s">
        <v>1</v>
      </c>
    </row>
    <row r="12" spans="1:29" ht="7.5" customHeight="1" x14ac:dyDescent="0.25">
      <c r="A12" s="28">
        <v>12</v>
      </c>
      <c r="B12" s="30" t="s">
        <v>222</v>
      </c>
      <c r="C12" s="51" t="s">
        <v>199</v>
      </c>
      <c r="D12" s="54" t="s">
        <v>1</v>
      </c>
      <c r="E12" s="60" t="s">
        <v>1</v>
      </c>
      <c r="F12" s="54" t="s">
        <v>1</v>
      </c>
      <c r="G12" s="60" t="s">
        <v>1</v>
      </c>
      <c r="H12" s="44" t="s">
        <v>1</v>
      </c>
      <c r="I12" s="45" t="s">
        <v>1</v>
      </c>
      <c r="J12" s="44" t="s">
        <v>1</v>
      </c>
      <c r="K12" s="45" t="s">
        <v>1</v>
      </c>
      <c r="L12" s="38" t="s">
        <v>96</v>
      </c>
      <c r="M12" s="41" t="s">
        <v>232</v>
      </c>
      <c r="N12" s="39" t="s">
        <v>1</v>
      </c>
      <c r="O12" s="52" t="s">
        <v>1</v>
      </c>
      <c r="P12" s="39" t="s">
        <v>1</v>
      </c>
      <c r="Q12" s="70" t="s">
        <v>1</v>
      </c>
      <c r="R12" s="39" t="s">
        <v>1</v>
      </c>
      <c r="S12" s="70" t="s">
        <v>1</v>
      </c>
      <c r="T12" s="39" t="s">
        <v>1</v>
      </c>
      <c r="U12" s="70" t="s">
        <v>1</v>
      </c>
      <c r="V12" s="38" t="s">
        <v>1</v>
      </c>
      <c r="W12" s="70" t="s">
        <v>1</v>
      </c>
      <c r="X12" s="38" t="s">
        <v>1</v>
      </c>
      <c r="Y12" s="70" t="s">
        <v>1</v>
      </c>
      <c r="Z12" s="38" t="s">
        <v>1</v>
      </c>
      <c r="AA12" s="70" t="s">
        <v>1</v>
      </c>
      <c r="AB12" s="39" t="s">
        <v>223</v>
      </c>
      <c r="AC12" s="52" t="s">
        <v>224</v>
      </c>
    </row>
    <row r="13" spans="1:29" ht="7.5" customHeight="1" x14ac:dyDescent="0.25">
      <c r="A13" s="28">
        <v>13</v>
      </c>
      <c r="B13" s="30" t="s">
        <v>219</v>
      </c>
      <c r="C13" s="51" t="s">
        <v>127</v>
      </c>
      <c r="D13" s="54" t="s">
        <v>1</v>
      </c>
      <c r="E13" s="60" t="s">
        <v>1</v>
      </c>
      <c r="F13" s="54" t="s">
        <v>1</v>
      </c>
      <c r="G13" s="60" t="s">
        <v>1</v>
      </c>
      <c r="H13" s="44" t="s">
        <v>1</v>
      </c>
      <c r="I13" s="45" t="s">
        <v>1</v>
      </c>
      <c r="J13" s="44" t="s">
        <v>1</v>
      </c>
      <c r="K13" s="45" t="s">
        <v>1</v>
      </c>
      <c r="L13" s="38" t="s">
        <v>96</v>
      </c>
      <c r="M13" s="41" t="s">
        <v>233</v>
      </c>
      <c r="N13" s="39" t="s">
        <v>1</v>
      </c>
      <c r="O13" s="52" t="s">
        <v>1</v>
      </c>
      <c r="P13" s="39" t="s">
        <v>1</v>
      </c>
      <c r="Q13" s="70" t="s">
        <v>1</v>
      </c>
      <c r="R13" s="39" t="s">
        <v>1</v>
      </c>
      <c r="S13" s="70" t="s">
        <v>1</v>
      </c>
      <c r="T13" s="39" t="s">
        <v>1</v>
      </c>
      <c r="U13" s="70" t="s">
        <v>1</v>
      </c>
      <c r="V13" s="38" t="s">
        <v>1</v>
      </c>
      <c r="W13" s="70" t="s">
        <v>1</v>
      </c>
      <c r="X13" s="38" t="s">
        <v>1</v>
      </c>
      <c r="Y13" s="70" t="s">
        <v>1</v>
      </c>
      <c r="Z13" s="38" t="s">
        <v>1</v>
      </c>
      <c r="AA13" s="70" t="s">
        <v>1</v>
      </c>
      <c r="AB13" s="39" t="s">
        <v>207</v>
      </c>
      <c r="AC13" s="52">
        <v>90</v>
      </c>
    </row>
    <row r="14" spans="1:29" ht="7.5" customHeight="1" x14ac:dyDescent="0.25">
      <c r="A14" s="28">
        <v>14</v>
      </c>
      <c r="B14" s="30" t="s">
        <v>220</v>
      </c>
      <c r="C14" s="51" t="s">
        <v>127</v>
      </c>
      <c r="D14" s="54" t="s">
        <v>1</v>
      </c>
      <c r="E14" s="60" t="s">
        <v>1</v>
      </c>
      <c r="F14" s="54" t="s">
        <v>1</v>
      </c>
      <c r="G14" s="60" t="s">
        <v>1</v>
      </c>
      <c r="H14" s="44" t="s">
        <v>1</v>
      </c>
      <c r="I14" s="45" t="s">
        <v>1</v>
      </c>
      <c r="J14" s="44" t="s">
        <v>1</v>
      </c>
      <c r="K14" s="45" t="s">
        <v>1</v>
      </c>
      <c r="L14" s="38" t="s">
        <v>96</v>
      </c>
      <c r="M14" s="41" t="s">
        <v>234</v>
      </c>
      <c r="N14" s="39" t="s">
        <v>1</v>
      </c>
      <c r="O14" s="52" t="s">
        <v>1</v>
      </c>
      <c r="P14" s="39" t="s">
        <v>1</v>
      </c>
      <c r="Q14" s="70" t="s">
        <v>1</v>
      </c>
      <c r="R14" s="39" t="s">
        <v>1</v>
      </c>
      <c r="S14" s="70" t="s">
        <v>1</v>
      </c>
      <c r="T14" s="39" t="s">
        <v>1</v>
      </c>
      <c r="U14" s="70" t="s">
        <v>1</v>
      </c>
      <c r="V14" s="38" t="s">
        <v>1</v>
      </c>
      <c r="W14" s="70" t="s">
        <v>1</v>
      </c>
      <c r="X14" s="38" t="s">
        <v>1</v>
      </c>
      <c r="Y14" s="70" t="s">
        <v>1</v>
      </c>
      <c r="Z14" s="38" t="s">
        <v>1</v>
      </c>
      <c r="AA14" s="70" t="s">
        <v>1</v>
      </c>
      <c r="AB14" s="39" t="s">
        <v>207</v>
      </c>
      <c r="AC14" s="52">
        <v>60</v>
      </c>
    </row>
  </sheetData>
  <phoneticPr fontId="1" type="noConversion"/>
  <conditionalFormatting sqref="A1:B14 H1:M14">
    <cfRule type="cellIs" dxfId="1" priority="2" operator="equal">
      <formula>"null"</formula>
    </cfRule>
  </conditionalFormatting>
  <conditionalFormatting sqref="B1:B1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sheetPr codeName="Planilha6"/>
  <dimension ref="A1:B15"/>
  <sheetViews>
    <sheetView topLeftCell="A5" zoomScale="205" zoomScaleNormal="205" workbookViewId="0">
      <selection activeCell="B18" sqref="B18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2026-05-14T19:36:02Z</dcterms:modified>
</cp:coreProperties>
</file>