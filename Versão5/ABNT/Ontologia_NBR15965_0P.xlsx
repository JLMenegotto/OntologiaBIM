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46D09C3-04E4-4003-B876-EF111672FFDD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7" i="8" l="1"/>
  <c r="V67" i="8"/>
  <c r="U67" i="8"/>
  <c r="T67" i="8"/>
  <c r="O67" i="8"/>
  <c r="N67" i="8"/>
  <c r="M67" i="8"/>
  <c r="L67" i="8"/>
  <c r="X66" i="8"/>
  <c r="V66" i="8"/>
  <c r="U66" i="8"/>
  <c r="T66" i="8"/>
  <c r="O66" i="8"/>
  <c r="N66" i="8"/>
  <c r="M66" i="8"/>
  <c r="L66" i="8"/>
  <c r="X65" i="8"/>
  <c r="V65" i="8"/>
  <c r="U65" i="8"/>
  <c r="T65" i="8"/>
  <c r="O65" i="8"/>
  <c r="N65" i="8"/>
  <c r="M65" i="8"/>
  <c r="L65" i="8"/>
  <c r="X64" i="8"/>
  <c r="V64" i="8"/>
  <c r="U64" i="8"/>
  <c r="T64" i="8"/>
  <c r="O64" i="8"/>
  <c r="N64" i="8"/>
  <c r="M64" i="8"/>
  <c r="L64" i="8"/>
  <c r="X63" i="8"/>
  <c r="V63" i="8"/>
  <c r="U63" i="8"/>
  <c r="T63" i="8"/>
  <c r="O63" i="8"/>
  <c r="N63" i="8"/>
  <c r="M63" i="8"/>
  <c r="L63" i="8"/>
  <c r="P1102" i="10" l="1"/>
  <c r="P1101" i="10"/>
  <c r="P1100" i="10"/>
  <c r="P1099" i="10"/>
  <c r="P1098" i="10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<sst xmlns="http://schemas.openxmlformats.org/spreadsheetml/2006/main" count="36833" uniqueCount="2751">
  <si>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</si>
  <si>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</si>
  <si>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</si>
  <si>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</si>
  <si>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</si>
  <si>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</si>
  <si>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</si>
  <si>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</si>
  <si>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</si>
  <si>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</si>
  <si>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</si>
  <si>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</si>
  <si>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</si>
  <si>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</si>
  <si>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</si>
  <si>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</si>
  <si>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</si>
  <si>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</si>
  <si>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</si>
  <si>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</si>
  <si>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</si>
  <si>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</si>
  <si>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</si>
  <si>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</si>
  <si>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</si>
  <si>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</si>
  <si>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</si>
  <si>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</si>
  <si>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</si>
  <si>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</si>
  <si>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</si>
  <si>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</si>
  <si>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</si>
  <si>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</si>
  <si>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</si>
  <si>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</si>
  <si>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</si>
  <si>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</si>
  <si>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</si>
  <si>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</si>
  <si>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</si>
  <si>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</si>
  <si>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</si>
  <si>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</si>
  <si>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</si>
  <si>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</si>
  <si>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</si>
  <si>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</si>
  <si>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</si>
  <si>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</si>
  <si>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</si>
  <si>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</si>
  <si>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</si>
  <si>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</si>
  <si>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</si>
  <si>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</si>
  <si>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</si>
  <si>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</si>
  <si>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</si>
  <si>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</si>
  <si>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</si>
  <si>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</si>
  <si>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</si>
  <si>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</si>
  <si>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</si>
  <si>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</si>
  <si>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</si>
  <si>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</si>
  <si>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</si>
  <si>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</si>
  <si>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</si>
  <si>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</si>
  <si>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</si>
  <si>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</si>
  <si>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</si>
  <si>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</si>
  <si>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</si>
  <si>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</si>
  <si>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</si>
  <si>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</si>
  <si>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</si>
  <si>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</si>
  <si>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</si>
  <si>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</si>
  <si>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</si>
  <si>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</si>
  <si>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</si>
  <si>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</si>
  <si>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</si>
  <si>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</si>
  <si>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</si>
  <si>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</si>
  <si>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</si>
  <si>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</si>
  <si>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</si>
  <si>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</si>
  <si>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</si>
  <si>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</si>
  <si>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</si>
  <si>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</si>
  <si>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</si>
  <si>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</si>
  <si>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</si>
  <si>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</si>
  <si>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</si>
  <si>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</si>
  <si>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</si>
  <si>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</si>
  <si>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</si>
  <si>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</si>
  <si>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</si>
  <si>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</si>
  <si>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</si>
  <si>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</si>
  <si>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</si>
  <si>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</si>
  <si>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</si>
  <si>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</si>
  <si>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</si>
  <si>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</si>
  <si>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</si>
  <si>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</si>
  <si>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</si>
  <si>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</si>
  <si>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</si>
  <si>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</si>
  <si>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</si>
  <si>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</si>
  <si>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</si>
  <si>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</si>
  <si>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</si>
  <si>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</si>
  <si>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</si>
  <si>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</si>
  <si>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</si>
  <si>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</si>
  <si>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</si>
  <si>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</si>
  <si>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</si>
  <si>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</si>
  <si>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</si>
  <si>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</si>
  <si>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</si>
  <si>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</si>
  <si>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</si>
  <si>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</si>
  <si>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</si>
  <si>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</si>
  <si>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</si>
  <si>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</si>
  <si>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</si>
  <si>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</si>
  <si>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</si>
  <si>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</si>
  <si>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</si>
  <si>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</si>
  <si>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</si>
  <si>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</si>
  <si>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</si>
  <si>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</si>
  <si>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</si>
  <si>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</si>
  <si>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</si>
  <si>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</si>
  <si>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</si>
  <si>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</si>
  <si>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</si>
  <si>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</si>
  <si>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</si>
  <si>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</si>
  <si>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</si>
  <si>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</si>
  <si>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</si>
  <si>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</si>
  <si>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</si>
  <si>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</si>
  <si>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</si>
  <si>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</si>
  <si>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</si>
  <si>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</si>
  <si>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</si>
  <si>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</si>
  <si>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</si>
  <si>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</si>
  <si>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</si>
  <si>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</si>
  <si>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</si>
  <si>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</si>
  <si>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</si>
  <si>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</si>
  <si>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</si>
  <si>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</si>
  <si>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</si>
  <si>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</si>
  <si>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</si>
  <si>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</si>
  <si>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</si>
  <si>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</si>
  <si>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</si>
  <si>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</si>
  <si>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</si>
  <si>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</si>
  <si>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</si>
  <si>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</si>
  <si>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</si>
  <si>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</si>
  <si>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</si>
  <si>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</si>
  <si>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</si>
  <si>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</si>
  <si>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</si>
  <si>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</si>
  <si>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</si>
  <si>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</si>
  <si>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</si>
  <si>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</si>
  <si>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</si>
  <si>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</si>
  <si>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</si>
  <si>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</si>
  <si>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</si>
  <si>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</si>
  <si>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</si>
  <si>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</si>
  <si>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</si>
  <si>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</si>
  <si>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</si>
  <si>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</si>
  <si>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</si>
  <si>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</si>
  <si>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</si>
  <si>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</si>
  <si>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</si>
  <si>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</si>
  <si>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</si>
  <si>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</si>
  <si>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</si>
  <si>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</si>
  <si>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</si>
  <si>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</si>
  <si>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</si>
  <si>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</si>
  <si>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</si>
  <si>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</si>
  <si>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</si>
  <si>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</si>
  <si>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</si>
  <si>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</si>
  <si>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</si>
  <si>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</si>
  <si>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</si>
  <si>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</si>
  <si>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</si>
  <si>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</si>
  <si>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</si>
  <si>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</si>
  <si>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</si>
  <si>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</si>
  <si>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</si>
  <si>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</si>
  <si>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</si>
  <si>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</si>
  <si>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</si>
  <si>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</si>
  <si>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</si>
  <si>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</si>
  <si>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</si>
  <si>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</si>
  <si>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</si>
  <si>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</si>
  <si>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</si>
  <si>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</si>
  <si>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</si>
  <si>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</si>
  <si>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</si>
  <si>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</si>
  <si>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</si>
  <si>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</si>
  <si>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</si>
  <si>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</si>
  <si>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</si>
  <si>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</si>
  <si>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</si>
  <si>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</si>
  <si>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</si>
  <si>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</si>
  <si>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</si>
  <si>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</si>
  <si>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</si>
  <si>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</si>
  <si>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</si>
  <si>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</si>
  <si>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</si>
  <si>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</si>
  <si>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</si>
  <si>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</si>
  <si>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</si>
  <si>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</si>
  <si>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</si>
  <si>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</si>
  <si>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</si>
  <si>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</si>
  <si>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</si>
  <si>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</si>
  <si>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</si>
  <si>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</si>
  <si>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</si>
  <si>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</si>
  <si>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</si>
  <si>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</si>
  <si>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</si>
  <si>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</si>
  <si>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</si>
  <si>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</si>
  <si>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</si>
  <si>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</si>
  <si>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</si>
  <si>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</si>
  <si>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</si>
  <si>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</si>
  <si>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</si>
  <si>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</si>
  <si>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</si>
  <si>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</si>
  <si>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</si>
  <si>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</si>
  <si>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</si>
  <si>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</si>
  <si>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</si>
  <si>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</si>
  <si>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</si>
  <si>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</si>
  <si>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</si>
  <si>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</si>
  <si>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</si>
  <si>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</si>
  <si>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</si>
  <si>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</si>
  <si>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</si>
  <si>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</si>
  <si>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</si>
  <si>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</si>
  <si>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</si>
  <si>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</si>
  <si>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</si>
  <si>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</si>
  <si>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</si>
  <si>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</si>
  <si>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</si>
  <si>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</si>
  <si>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</si>
  <si>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</si>
  <si>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</si>
  <si>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</si>
  <si>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</si>
  <si>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</si>
  <si>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</si>
  <si>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</si>
  <si>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</si>
  <si>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</si>
  <si>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</si>
  <si>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</si>
  <si>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</si>
  <si>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</si>
  <si>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</si>
  <si>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</si>
  <si>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</si>
  <si>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</si>
  <si>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</si>
  <si>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</si>
  <si>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</si>
  <si>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</si>
  <si>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</si>
  <si>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</si>
  <si>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</si>
  <si>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</si>
  <si>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</si>
  <si>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</si>
  <si>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</si>
  <si>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</si>
  <si>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</si>
  <si>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</si>
  <si>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</si>
  <si>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</si>
  <si>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</si>
  <si>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</si>
  <si>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</si>
  <si>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</si>
  <si>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</si>
  <si>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</si>
  <si>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</si>
  <si>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</si>
  <si>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</si>
  <si>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</si>
  <si>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</si>
  <si>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</si>
  <si>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</si>
  <si>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</si>
  <si>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</si>
  <si>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</si>
  <si>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</si>
  <si>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</si>
  <si>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</si>
  <si>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</si>
  <si>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</si>
  <si>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</si>
  <si>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</si>
  <si>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</si>
  <si>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</si>
  <si>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</si>
  <si>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</si>
  <si>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</si>
  <si>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</si>
  <si>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</si>
  <si>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</si>
  <si>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</si>
  <si>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</si>
  <si>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</si>
  <si>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</si>
  <si>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</si>
  <si>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</si>
  <si>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</si>
  <si>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</si>
  <si>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</si>
  <si>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</si>
  <si>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</si>
  <si>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</si>
  <si>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</si>
  <si>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</si>
  <si>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</si>
  <si>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</si>
  <si>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</si>
  <si>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</si>
  <si>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</si>
  <si>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</si>
  <si>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</si>
  <si>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</si>
  <si>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</si>
  <si>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</si>
  <si>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</si>
  <si>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</si>
  <si>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</si>
  <si>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</si>
  <si>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</si>
  <si>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</si>
  <si>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</si>
  <si>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</si>
  <si>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</si>
  <si>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</si>
  <si>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</si>
  <si>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</si>
  <si>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</si>
  <si>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</si>
  <si>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</si>
  <si>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</si>
  <si>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</si>
  <si>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</si>
  <si>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</si>
  <si>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</si>
  <si>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</si>
  <si>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</si>
  <si>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</si>
  <si>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</si>
  <si>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</si>
  <si>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</si>
  <si>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</si>
  <si>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</si>
  <si>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</si>
  <si>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</si>
  <si>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</si>
  <si>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</si>
  <si>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</si>
  <si>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</si>
  <si>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</si>
  <si>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</si>
  <si>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</si>
  <si>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</si>
  <si>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</si>
  <si>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</si>
  <si>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</si>
  <si>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</si>
  <si>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</si>
  <si>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</si>
  <si>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</si>
  <si>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</si>
  <si>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</si>
  <si>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</si>
  <si>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</si>
  <si>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</si>
  <si>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</si>
  <si>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</si>
  <si>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</si>
  <si>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</si>
  <si>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</si>
  <si>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</si>
  <si>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</si>
  <si>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</si>
  <si>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</si>
  <si>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</si>
  <si>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</si>
  <si>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</si>
  <si>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</si>
  <si>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</si>
  <si>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</si>
  <si>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</si>
  <si>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</si>
  <si>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</si>
  <si>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</si>
  <si>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</si>
  <si>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</si>
  <si>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</si>
  <si>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</si>
  <si>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</si>
  <si>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</si>
  <si>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</si>
  <si>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</si>
  <si>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</si>
  <si>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</si>
  <si>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</si>
  <si>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</si>
  <si>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</si>
  <si>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</si>
  <si>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</si>
  <si>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</si>
  <si>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</si>
  <si>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</si>
  <si>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</si>
  <si>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</si>
  <si>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</si>
  <si>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</si>
  <si>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</si>
  <si>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</si>
  <si>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</si>
  <si>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</si>
  <si>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</si>
  <si>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</si>
  <si>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</si>
  <si>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</si>
  <si>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</si>
  <si>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</si>
  <si>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</si>
  <si>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</si>
  <si>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</si>
  <si>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</si>
  <si>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</si>
  <si>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</si>
  <si>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</si>
  <si>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</si>
  <si>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</si>
  <si>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</si>
  <si>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</si>
  <si>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</si>
  <si>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</si>
  <si>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</si>
  <si>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</si>
  <si>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</si>
  <si>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</si>
  <si>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</si>
  <si>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</si>
  <si>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</si>
  <si>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</si>
  <si>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</si>
  <si>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</si>
  <si>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</si>
  <si>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</si>
  <si>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</si>
  <si>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</si>
  <si>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</si>
  <si>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</si>
  <si>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</si>
  <si>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</si>
  <si>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</si>
  <si>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</si>
  <si>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</si>
  <si>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</si>
  <si>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</si>
  <si>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</si>
  <si>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</si>
  <si>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</si>
  <si>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</si>
  <si>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</si>
  <si>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</si>
  <si>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</si>
  <si>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</si>
  <si>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</si>
  <si>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</si>
  <si>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</si>
  <si>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</si>
  <si>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</si>
  <si>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</si>
  <si>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</si>
  <si>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</si>
  <si>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</si>
  <si>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</si>
  <si>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</si>
  <si>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</si>
  <si>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</si>
  <si>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</si>
  <si>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</si>
  <si>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</si>
  <si>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</si>
  <si>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</si>
  <si>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</si>
  <si>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</si>
  <si>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</si>
  <si>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</si>
  <si>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</si>
  <si>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</si>
  <si>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</si>
  <si>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</si>
  <si>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</si>
  <si>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</si>
  <si>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</si>
  <si>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</si>
  <si>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</si>
  <si>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</si>
  <si>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</si>
  <si>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</si>
  <si>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</si>
  <si>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</si>
  <si>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</si>
  <si>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</si>
  <si>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</si>
  <si>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</si>
  <si>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</si>
  <si>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</si>
  <si>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</si>
  <si>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</si>
  <si>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</si>
  <si>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</si>
  <si>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</si>
  <si>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</si>
  <si>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</si>
  <si>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</si>
  <si>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</si>
  <si>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</si>
  <si>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</si>
  <si>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</si>
  <si>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</si>
  <si>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</si>
  <si>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</si>
  <si>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</si>
  <si>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</si>
  <si>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</si>
  <si>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</si>
  <si>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</si>
  <si>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</si>
  <si>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</si>
  <si>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</si>
  <si>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</si>
  <si>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</si>
  <si>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</si>
  <si>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</si>
  <si>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</si>
  <si>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</si>
  <si>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</si>
  <si>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</si>
  <si>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</si>
  <si>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</si>
  <si>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</si>
  <si>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</si>
  <si>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</si>
  <si>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</si>
  <si>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</si>
  <si>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</si>
  <si>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</si>
  <si>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</si>
  <si>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</si>
  <si>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</si>
  <si>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</si>
  <si>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</si>
  <si>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</si>
  <si>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</si>
  <si>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</si>
  <si>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</si>
  <si>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</si>
  <si>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</si>
  <si>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</si>
  <si>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</si>
  <si>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</si>
  <si>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</si>
  <si>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</si>
  <si>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</si>
  <si>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</si>
  <si>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</si>
  <si>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</si>
  <si>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</si>
  <si>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</si>
  <si>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</si>
  <si>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</si>
  <si>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</si>
  <si>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</si>
  <si>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</si>
  <si>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</si>
  <si>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</si>
  <si>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</si>
  <si>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</si>
  <si>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</si>
  <si>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</si>
  <si>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</si>
  <si>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</si>
  <si>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</si>
  <si>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</si>
  <si>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</si>
  <si>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</si>
  <si>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</si>
  <si>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</si>
  <si>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</si>
  <si>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</si>
  <si>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</si>
  <si>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</si>
  <si>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</si>
  <si>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</si>
  <si>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</si>
  <si>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</si>
  <si>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</si>
  <si>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</si>
  <si>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</si>
  <si>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</si>
  <si>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</si>
  <si>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</si>
  <si>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</si>
  <si>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</si>
  <si>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</si>
  <si>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</si>
  <si>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</si>
  <si>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</si>
  <si>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</si>
  <si>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</si>
  <si>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</si>
  <si>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</si>
  <si>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</si>
  <si>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</si>
  <si>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</si>
  <si>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</si>
  <si>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</si>
  <si>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</si>
  <si>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</si>
  <si>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</si>
  <si>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</si>
  <si>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</si>
  <si>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</si>
  <si>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</si>
  <si>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</si>
  <si>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</si>
  <si>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</si>
  <si>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</si>
  <si>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</si>
  <si>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</si>
  <si>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</si>
  <si>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</si>
  <si>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</si>
  <si>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</si>
  <si>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</si>
  <si>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</si>
  <si>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</si>
  <si>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</si>
  <si>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</si>
  <si>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</si>
  <si>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</si>
  <si>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</si>
  <si>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</si>
  <si>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</si>
  <si>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</si>
  <si>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</si>
  <si>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</si>
  <si>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</si>
  <si>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</si>
  <si>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</si>
  <si>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</si>
  <si>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</si>
  <si>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</si>
  <si>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</si>
  <si>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</si>
  <si>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</si>
  <si>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</si>
  <si>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</si>
  <si>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</si>
  <si>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</si>
  <si>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</si>
  <si>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</si>
  <si>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</si>
  <si>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</si>
  <si>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</si>
  <si>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</si>
  <si>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</si>
  <si>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</si>
  <si>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</si>
  <si>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</si>
  <si>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</si>
  <si>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</si>
  <si>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</si>
  <si>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</si>
  <si>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</si>
  <si>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</si>
  <si>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</si>
  <si>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</si>
  <si>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</si>
  <si>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</si>
  <si>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</si>
  <si>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</si>
  <si>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</si>
  <si>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</si>
  <si>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</si>
  <si>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</si>
  <si>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</si>
  <si>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</si>
  <si>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</si>
  <si>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</si>
  <si>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</si>
  <si>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</si>
  <si>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</si>
  <si>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</si>
  <si>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</si>
  <si>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</si>
  <si>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</si>
  <si>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</si>
  <si>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</si>
  <si>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</si>
  <si>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</si>
  <si>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</si>
  <si>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</si>
  <si>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</si>
  <si>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</si>
  <si>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</si>
  <si>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</si>
  <si>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</si>
  <si>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</si>
  <si>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</si>
  <si>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</si>
  <si>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</si>
  <si>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</si>
  <si>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</si>
  <si>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</si>
  <si>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</si>
  <si>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</si>
  <si>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</si>
  <si>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</si>
  <si>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</si>
  <si>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</si>
  <si>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</si>
  <si>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</si>
  <si>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</si>
  <si>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</si>
  <si>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</si>
  <si>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</si>
  <si>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</si>
  <si>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</si>
  <si>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</si>
  <si>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</si>
  <si>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</si>
  <si>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</si>
  <si>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</si>
  <si>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</si>
  <si>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</si>
  <si>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</si>
  <si>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</si>
  <si>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</si>
  <si>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</si>
  <si>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</si>
  <si>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</si>
  <si>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</si>
  <si>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</si>
  <si>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</si>
  <si>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</si>
  <si>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</si>
  <si>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</si>
  <si>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</si>
  <si>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</si>
  <si>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</si>
  <si>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</si>
  <si>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</si>
  <si>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</si>
  <si>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</si>
  <si>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</si>
  <si>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</si>
  <si>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</si>
  <si>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</si>
  <si>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</si>
  <si>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</si>
  <si>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</si>
  <si>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</si>
  <si>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</si>
  <si>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</si>
  <si>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</si>
  <si>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</si>
  <si>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</si>
  <si>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</si>
  <si>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</si>
  <si>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</si>
  <si>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</si>
  <si>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</si>
  <si>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</si>
  <si>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</si>
  <si>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</si>
  <si>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</si>
  <si>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</si>
  <si>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</si>
  <si>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</si>
  <si>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</si>
  <si>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</si>
  <si>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</si>
  <si>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</si>
  <si>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</si>
  <si>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</si>
  <si>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</si>
  <si>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</si>
  <si>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</si>
  <si>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</si>
  <si>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</si>
  <si>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</si>
  <si>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</si>
  <si>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</si>
  <si>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</si>
  <si>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</si>
  <si>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</si>
  <si>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</si>
  <si>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</si>
  <si>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</si>
  <si>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</si>
  <si>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</si>
  <si>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</si>
  <si>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</si>
  <si>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</si>
  <si>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</si>
  <si>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</si>
  <si>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</si>
  <si>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</si>
  <si>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</si>
  <si>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</si>
  <si>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</si>
  <si>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</si>
  <si>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</si>
  <si>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</si>
  <si>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</si>
  <si>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</si>
  <si>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</si>
  <si>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</si>
  <si>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</si>
  <si>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</si>
  <si>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</si>
  <si>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</si>
  <si>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</si>
  <si>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</si>
  <si>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</si>
  <si>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</si>
  <si>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</si>
  <si>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</si>
  <si>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</si>
  <si>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</si>
  <si>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</si>
  <si>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</si>
  <si>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</si>
  <si>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</si>
  <si>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</si>
  <si>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</si>
  <si>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</si>
  <si>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</si>
  <si>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</si>
  <si>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</si>
  <si>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</si>
  <si>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</si>
  <si>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</si>
  <si>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</si>
  <si>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</si>
  <si>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</si>
  <si>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</si>
  <si>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</si>
  <si>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</si>
  <si>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</si>
  <si>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</si>
  <si>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</si>
  <si>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</si>
  <si>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</si>
  <si>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</si>
  <si>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</si>
  <si>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</si>
  <si>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</si>
  <si>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</si>
  <si>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</si>
  <si>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</si>
  <si>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</si>
  <si>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</si>
  <si>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</si>
  <si>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</si>
  <si>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</si>
  <si>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</si>
  <si>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</si>
  <si>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</si>
  <si>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</si>
  <si>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</si>
  <si>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</si>
  <si>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</si>
  <si>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</si>
  <si>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</si>
  <si>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</si>
  <si>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</si>
  <si>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</si>
  <si>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</si>
  <si>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</si>
  <si>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</si>
  <si>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</si>
  <si>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</si>
  <si>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</si>
  <si>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</si>
  <si>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</si>
  <si>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</si>
  <si>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</si>
  <si>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</si>
  <si>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</si>
  <si>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</si>
  <si>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</si>
  <si>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</si>
  <si>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</si>
  <si>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</si>
  <si>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</si>
  <si>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</si>
  <si>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</si>
  <si>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</si>
  <si>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</si>
  <si>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</si>
  <si>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</si>
  <si>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</si>
  <si>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</si>
  <si>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</si>
  <si>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</si>
  <si>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</si>
  <si>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</si>
  <si>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</si>
  <si>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</si>
  <si>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</si>
  <si>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</si>
  <si>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</si>
  <si>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</si>
  <si>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</si>
  <si>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</si>
  <si>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</si>
  <si>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</si>
  <si>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</si>
  <si>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</si>
  <si>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</si>
  <si>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</si>
  <si>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</si>
  <si>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</si>
  <si>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</si>
  <si>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</si>
  <si>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</si>
  <si>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</si>
  <si>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</si>
  <si>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</si>
  <si>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</si>
  <si>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</si>
  <si>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</si>
  <si>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</si>
  <si>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</si>
  <si>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</si>
  <si>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</si>
  <si>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</si>
  <si>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</si>
  <si>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</si>
  <si>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</si>
  <si>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</si>
  <si>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</si>
  <si>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</si>
  <si>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</si>
  <si>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</si>
  <si>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</si>
  <si>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</si>
  <si>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</si>
  <si>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</si>
  <si>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</si>
  <si>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</si>
  <si>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</si>
  <si>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</si>
  <si>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</si>
  <si>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</si>
  <si>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</si>
  <si>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</si>
  <si>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</si>
  <si>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</si>
  <si>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</si>
  <si>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</si>
  <si>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</si>
  <si>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</si>
  <si>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</si>
  <si>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</si>
  <si>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</si>
  <si>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</si>
  <si>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</si>
  <si>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</si>
  <si>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</si>
  <si>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</si>
  <si>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</si>
  <si>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</si>
  <si>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</si>
  <si>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</si>
  <si>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</si>
  <si>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</si>
  <si>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</si>
  <si>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</si>
  <si>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</si>
  <si>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</si>
  <si>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</si>
  <si>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</si>
  <si>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</si>
  <si>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</si>
  <si>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</si>
  <si>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</si>
  <si>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</si>
  <si>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</si>
  <si>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</si>
  <si>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</si>
  <si>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</si>
  <si>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</si>
  <si>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</si>
  <si>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</si>
  <si>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</si>
  <si>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</si>
  <si>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</si>
  <si>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</si>
  <si>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</si>
  <si>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</si>
  <si>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</si>
  <si>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</si>
  <si>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</si>
  <si>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</si>
  <si>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</si>
  <si>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</si>
  <si>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</si>
  <si>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</si>
  <si>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</si>
  <si>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</si>
  <si>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</si>
  <si>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</si>
  <si>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</si>
  <si>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</si>
  <si>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</si>
  <si>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</si>
  <si>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</si>
  <si>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</si>
  <si>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</si>
  <si>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</si>
  <si>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</si>
  <si>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</si>
  <si>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</si>
  <si>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</si>
  <si>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</si>
  <si>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</si>
  <si>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</si>
  <si>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</si>
  <si>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</si>
  <si>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</si>
  <si>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</si>
  <si>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</si>
  <si>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</si>
  <si>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</si>
  <si>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</si>
  <si>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</si>
  <si>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</si>
  <si>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</si>
  <si>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</si>
  <si>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</si>
  <si>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</si>
  <si>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</si>
  <si>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</si>
  <si>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</si>
  <si>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</si>
  <si>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</si>
  <si>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</si>
  <si>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</si>
  <si>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</si>
  <si>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</si>
  <si>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</si>
  <si>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</si>
  <si>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</si>
  <si>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</si>
  <si>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</si>
  <si>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</si>
  <si>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</si>
  <si>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</si>
  <si>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</si>
  <si>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</si>
  <si>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</si>
  <si>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</si>
  <si>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</si>
  <si>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</si>
  <si>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</si>
  <si>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</si>
  <si>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</si>
  <si>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</si>
  <si>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</si>
  <si>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</si>
  <si>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</si>
  <si>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</si>
  <si>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</si>
  <si>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</si>
  <si>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</si>
  <si>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</si>
  <si>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</si>
  <si>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</si>
  <si>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</si>
  <si>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</si>
  <si>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</si>
  <si>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</si>
  <si>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</si>
  <si>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</si>
  <si>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</si>
  <si>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</si>
  <si>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</si>
  <si>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</si>
  <si>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</si>
  <si>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</si>
  <si>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</si>
  <si>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</si>
  <si>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</si>
  <si>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</si>
  <si>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</si>
  <si>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</si>
  <si>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</si>
  <si>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</si>
  <si>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</si>
  <si>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</si>
  <si>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</si>
  <si>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</si>
  <si>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</si>
  <si>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</si>
  <si>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</si>
  <si>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</si>
  <si>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</si>
  <si>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</si>
  <si>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</si>
  <si>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</si>
  <si>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</si>
  <si>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</si>
  <si>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</si>
  <si>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</si>
  <si>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</si>
  <si>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</si>
  <si>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</si>
  <si>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</si>
  <si>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</si>
  <si>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</si>
  <si>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</si>
  <si>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</si>
  <si>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</si>
  <si>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</si>
  <si>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</si>
  <si>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</si>
  <si>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</si>
  <si>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</si>
  <si>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</si>
  <si>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</si>
  <si>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</si>
  <si>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</si>
  <si>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</si>
  <si>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</si>
  <si>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</si>
  <si>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</si>
  <si>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</si>
  <si>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</si>
  <si>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</si>
  <si>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</si>
  <si>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</si>
  <si>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</si>
  <si>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</si>
  <si>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</si>
  <si>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</si>
  <si>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</si>
  <si>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</si>
  <si>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</si>
  <si>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</si>
  <si>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</si>
  <si>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</si>
  <si>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</si>
  <si>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</si>
  <si>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</si>
  <si>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</si>
  <si>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</si>
  <si>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</si>
  <si>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</si>
  <si>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</si>
  <si>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</si>
  <si>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</si>
  <si>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</si>
  <si>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</si>
  <si>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</si>
  <si>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</si>
  <si>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</si>
  <si>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</si>
  <si>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</si>
  <si>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</si>
  <si>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</si>
  <si>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</si>
  <si>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</si>
  <si>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</si>
  <si>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</si>
  <si>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</si>
  <si>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</si>
  <si>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</si>
  <si>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</si>
  <si>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</si>
  <si>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</si>
  <si>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</si>
  <si>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</si>
  <si>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</si>
  <si>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</si>
  <si>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</si>
  <si>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</si>
  <si>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</si>
  <si>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</si>
  <si>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</si>
  <si>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</si>
  <si>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</si>
  <si>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</si>
  <si>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</si>
  <si>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</si>
  <si>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</si>
  <si>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</si>
  <si>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</si>
  <si>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</si>
  <si>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</si>
  <si>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</si>
  <si>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</si>
  <si>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</si>
  <si>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</si>
  <si>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</si>
  <si>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</si>
  <si>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</si>
  <si>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</si>
  <si>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</si>
  <si>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</si>
  <si>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</si>
  <si>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</si>
  <si>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</si>
  <si>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</si>
  <si>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</si>
  <si>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</si>
  <si>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</si>
  <si>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</si>
  <si>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</si>
  <si>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</si>
  <si>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</si>
  <si>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</si>
  <si>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</si>
  <si>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</si>
  <si>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</si>
  <si>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</si>
  <si>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</si>
  <si>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</si>
  <si>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</si>
  <si>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</si>
  <si>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</si>
  <si>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</si>
  <si>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</si>
  <si>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</si>
  <si>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</si>
  <si>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</si>
  <si>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</si>
  <si>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</si>
  <si>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</si>
  <si>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</si>
  <si>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</si>
  <si>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</si>
  <si>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</si>
  <si>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</si>
  <si>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</si>
  <si>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</si>
  <si>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</si>
  <si>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</si>
  <si>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</si>
  <si>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</si>
  <si>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</si>
  <si>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</si>
  <si>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</si>
  <si>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</si>
  <si>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</si>
  <si>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</si>
  <si>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</si>
  <si>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</si>
  <si>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</si>
  <si>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</si>
  <si>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</si>
  <si>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</si>
  <si>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</si>
  <si>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</si>
  <si>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</si>
  <si>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</si>
  <si>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</si>
  <si>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</si>
  <si>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</si>
  <si>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</si>
  <si>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</si>
  <si>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</si>
  <si>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</si>
  <si>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</si>
  <si>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</si>
  <si>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</si>
  <si>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</si>
  <si>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</si>
  <si>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</si>
  <si>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</si>
  <si>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</si>
  <si>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</si>
  <si>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</si>
  <si>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</si>
  <si>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</si>
  <si>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</si>
  <si>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</si>
  <si>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</si>
  <si>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</si>
  <si>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</si>
  <si>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</si>
  <si>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</si>
  <si>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</si>
  <si>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</si>
  <si>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</si>
  <si>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</si>
  <si>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</si>
  <si>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</si>
  <si>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</si>
  <si>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</si>
  <si>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</si>
  <si>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</si>
  <si>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</si>
  <si>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</si>
  <si>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</si>
  <si>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</si>
  <si>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</si>
  <si>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</si>
  <si>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</si>
  <si>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</si>
  <si>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</si>
  <si>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</si>
  <si>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</si>
  <si>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</si>
  <si>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</si>
  <si>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</si>
  <si>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</si>
  <si>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</si>
  <si>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</si>
  <si>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</si>
  <si>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</si>
  <si>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</si>
  <si>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</si>
  <si>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</si>
  <si>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</si>
  <si>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</si>
  <si>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</si>
  <si>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</si>
  <si>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</si>
  <si>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</si>
  <si>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</si>
  <si>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</si>
  <si>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</si>
  <si>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</si>
  <si>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</si>
  <si>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</si>
  <si>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</si>
  <si>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</si>
  <si>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</si>
  <si>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</si>
  <si>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</si>
  <si>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</si>
  <si>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</si>
  <si>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</si>
  <si>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</si>
  <si>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</si>
  <si>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</si>
  <si>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</si>
  <si>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</si>
  <si>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</si>
  <si>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</si>
  <si>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</si>
  <si>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</si>
  <si>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</si>
  <si>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</si>
  <si>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</si>
  <si>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</si>
  <si>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</si>
  <si>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</si>
  <si>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</si>
  <si>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</si>
  <si>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</si>
  <si>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</si>
  <si>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</si>
  <si>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</si>
  <si>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</si>
  <si>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</si>
  <si>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</si>
  <si>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</si>
  <si>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</si>
  <si>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</si>
  <si>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</si>
  <si>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</si>
  <si>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</si>
  <si>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</si>
  <si>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</si>
  <si>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</si>
  <si>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</si>
  <si>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</si>
  <si>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</si>
  <si>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</si>
  <si>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</si>
  <si>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</si>
  <si>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</si>
  <si>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</si>
  <si>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</si>
  <si>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</si>
  <si>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</si>
  <si>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</si>
  <si>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</si>
  <si>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</si>
  <si>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</si>
  <si>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</si>
  <si>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</si>
  <si>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</si>
  <si>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</si>
  <si>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</si>
  <si>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</si>
  <si>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</si>
  <si>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</si>
  <si>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</si>
  <si>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</si>
  <si>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</si>
  <si>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</si>
  <si>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</si>
  <si>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</si>
  <si>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</si>
  <si>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</si>
  <si>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</si>
  <si>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</si>
  <si>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</si>
  <si>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</si>
  <si>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</si>
  <si>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</si>
  <si>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</si>
  <si>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</si>
  <si>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</si>
  <si>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</si>
  <si>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</si>
  <si>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</si>
  <si>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</si>
  <si>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</si>
  <si>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</si>
  <si>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</si>
  <si>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</si>
  <si>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</si>
  <si>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</si>
  <si>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</si>
  <si>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</si>
  <si>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</si>
  <si>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</si>
  <si>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</si>
  <si>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</si>
  <si>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</si>
  <si>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</si>
  <si>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</si>
  <si>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</si>
  <si>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</si>
  <si>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</si>
  <si>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</si>
  <si>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</si>
  <si>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</si>
  <si>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</si>
  <si>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</si>
  <si>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</si>
  <si>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</si>
  <si>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</si>
  <si>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</si>
  <si>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</si>
  <si>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</si>
  <si>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</si>
  <si>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</si>
  <si>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</si>
  <si>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</si>
  <si>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</si>
  <si>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</si>
  <si>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</si>
  <si>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</si>
  <si>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</si>
  <si>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</si>
  <si>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</si>
  <si>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</si>
  <si>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</si>
  <si>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</si>
  <si>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</si>
  <si>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</si>
  <si>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</si>
  <si>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</si>
  <si>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</si>
  <si>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</si>
  <si>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</si>
  <si>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</si>
  <si>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</si>
  <si>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</si>
  <si>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</si>
  <si>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</si>
  <si>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</si>
  <si>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</si>
  <si>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</si>
  <si>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</si>
  <si>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</si>
  <si>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</si>
  <si>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</si>
  <si>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</si>
  <si>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</si>
  <si>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</si>
  <si>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</si>
  <si>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</si>
  <si>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</si>
  <si>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</si>
  <si>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</si>
  <si>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</si>
  <si>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</si>
  <si>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</si>
  <si>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</si>
  <si>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</si>
  <si>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</si>
  <si>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</si>
  <si>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</si>
  <si>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</si>
  <si>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</si>
  <si>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</si>
  <si>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</si>
  <si>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</si>
  <si>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</si>
  <si>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</si>
  <si>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</si>
  <si>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</si>
  <si>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</si>
  <si>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</si>
  <si>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</si>
  <si>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</si>
  <si>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</si>
  <si>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</si>
  <si>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</si>
  <si>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</si>
  <si>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</si>
  <si>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</si>
  <si>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</si>
  <si>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</si>
  <si>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</si>
  <si>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</si>
  <si>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</si>
  <si>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</si>
  <si>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</si>
  <si>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</si>
  <si>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</si>
  <si>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</si>
  <si>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</si>
  <si>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</si>
  <si>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</si>
  <si>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</si>
  <si>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</si>
  <si>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</si>
  <si>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</si>
  <si>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</si>
  <si>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</si>
  <si>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</si>
  <si>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</si>
  <si>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</si>
  <si>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</si>
  <si>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</si>
  <si>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</si>
  <si>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</si>
  <si>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</si>
  <si>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</si>
  <si>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</si>
  <si>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</si>
  <si>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</si>
  <si>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</si>
  <si>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</si>
  <si>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</si>
  <si>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</si>
  <si>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</si>
  <si>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</si>
  <si>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</si>
  <si>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</si>
  <si>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</si>
  <si>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</si>
  <si>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</si>
  <si>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</si>
  <si>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</si>
  <si>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</si>
  <si>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</si>
  <si>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</si>
  <si>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</si>
  <si>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</si>
  <si>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</si>
  <si>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</si>
  <si>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</si>
  <si>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</si>
  <si>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</si>
  <si>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</si>
  <si>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</si>
  <si>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</si>
  <si>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</si>
  <si>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</si>
  <si>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</si>
  <si>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</si>
  <si>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</si>
  <si>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</si>
  <si>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</si>
  <si>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</si>
  <si>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</si>
  <si>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</si>
  <si>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</si>
  <si>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</si>
  <si>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</si>
  <si>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</si>
  <si>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</si>
  <si>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</si>
  <si>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</si>
  <si>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</si>
  <si>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</si>
  <si>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</si>
  <si>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</si>
  <si>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</si>
  <si>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</si>
  <si>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</si>
  <si>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</si>
  <si>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</si>
  <si>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</si>
  <si>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</si>
  <si>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</si>
  <si>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</si>
  <si>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</si>
  <si>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</si>
  <si>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</si>
  <si>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</si>
  <si>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</si>
  <si>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</si>
  <si>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</si>
  <si>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</si>
  <si>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</si>
  <si>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</si>
  <si>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</si>
  <si>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</si>
  <si>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</si>
  <si>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</si>
  <si>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</si>
  <si>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</si>
  <si>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</si>
  <si>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</si>
  <si>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</si>
  <si>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</si>
  <si>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</si>
  <si>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</si>
  <si>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</si>
  <si>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</si>
  <si>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</si>
  <si>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</si>
  <si>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</si>
  <si>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</si>
  <si>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</si>
  <si>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</si>
  <si>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</si>
  <si>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</si>
  <si>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</si>
  <si>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</si>
  <si>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</si>
  <si>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</si>
  <si>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</si>
  <si>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</si>
  <si>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</si>
  <si>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</si>
  <si>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</si>
  <si>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</si>
  <si>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</si>
  <si>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</si>
  <si>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</si>
  <si>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</si>
  <si>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</si>
  <si>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</si>
  <si>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</si>
  <si>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</si>
  <si>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</si>
  <si>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</si>
  <si>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</si>
  <si>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</si>
  <si>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</si>
  <si>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</si>
  <si>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</si>
  <si>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</si>
  <si>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</si>
  <si>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</si>
  <si>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</si>
  <si>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</si>
  <si>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</si>
  <si>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</si>
  <si>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</si>
  <si>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</si>
  <si>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</si>
  <si>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</si>
  <si>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</si>
  <si>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</si>
  <si>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</si>
  <si>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</si>
  <si>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</si>
  <si>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</si>
  <si>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</si>
  <si>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</si>
  <si>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</si>
  <si>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</si>
  <si>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</si>
  <si>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</si>
  <si>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</si>
  <si>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</si>
  <si>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</si>
  <si>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</si>
  <si>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</si>
  <si>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</si>
  <si>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</si>
  <si>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</si>
  <si>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</si>
  <si>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</si>
  <si>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</si>
  <si>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</si>
  <si>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</si>
  <si>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</si>
  <si>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</si>
  <si>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</si>
  <si>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</si>
  <si>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</si>
  <si>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</si>
  <si>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</si>
  <si>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</si>
  <si>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</si>
  <si>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</si>
  <si>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</si>
  <si>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</si>
  <si>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</si>
  <si>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</si>
  <si>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</si>
  <si>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</si>
  <si>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</si>
  <si>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</si>
  <si>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</si>
  <si>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</si>
  <si>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</si>
  <si>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</si>
  <si>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</si>
  <si>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</si>
  <si>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</si>
  <si>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</si>
  <si>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</si>
  <si>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</si>
  <si>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</si>
  <si>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</si>
  <si>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</si>
  <si>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</si>
  <si>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</si>
  <si>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</si>
  <si>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</si>
  <si>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</si>
  <si>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</si>
  <si>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</si>
  <si>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</si>
  <si>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</si>
  <si>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</si>
  <si>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</si>
  <si>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</si>
  <si>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</si>
  <si>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</si>
  <si>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</si>
  <si>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</si>
  <si>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</si>
  <si>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</si>
  <si>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</si>
  <si>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</si>
  <si>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</si>
  <si>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</si>
  <si>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</si>
  <si>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</si>
  <si>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</si>
  <si>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</si>
  <si>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</si>
  <si>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</si>
  <si>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</si>
  <si>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</si>
  <si>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</si>
  <si>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</si>
  <si>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</si>
  <si>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</si>
  <si>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</si>
  <si>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</si>
  <si>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</si>
  <si>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</si>
  <si>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</si>
  <si>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</si>
  <si>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</si>
  <si>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</si>
  <si>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</si>
  <si>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</si>
  <si>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</si>
  <si>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</si>
  <si>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</si>
  <si>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</si>
  <si>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</si>
  <si>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</si>
  <si>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</si>
  <si>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</si>
  <si>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</si>
  <si>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</si>
  <si>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</si>
  <si>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</si>
  <si>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</si>
  <si>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</si>
  <si>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</si>
  <si>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</si>
  <si>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</si>
  <si>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</si>
  <si>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</si>
  <si>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</si>
  <si>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</si>
  <si>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</si>
  <si>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</si>
  <si>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</si>
  <si>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</si>
  <si>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</si>
  <si>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</si>
  <si>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</si>
  <si>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</si>
  <si>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</si>
  <si>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</si>
  <si>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</si>
  <si>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</si>
  <si>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</si>
  <si>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</si>
  <si>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</si>
  <si>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</si>
  <si>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</si>
  <si>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</si>
  <si>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</si>
  <si>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</si>
  <si>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</si>
  <si>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</si>
  <si>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</si>
  <si>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</si>
  <si>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</si>
  <si>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</si>
  <si>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</si>
  <si>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</si>
  <si>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</si>
  <si>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</si>
  <si>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</si>
  <si>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</si>
  <si>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</si>
  <si>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</si>
  <si>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</si>
  <si>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</si>
  <si>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</si>
  <si>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</si>
  <si>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</si>
  <si>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</si>
  <si>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</si>
  <si>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</si>
  <si>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</si>
  <si>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</si>
  <si>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</si>
  <si>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</si>
  <si>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</si>
  <si>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</si>
  <si>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</si>
  <si>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</si>
  <si>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</si>
  <si>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</si>
  <si>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</si>
  <si>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</si>
  <si>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</si>
  <si>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</si>
  <si>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</si>
  <si>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</si>
  <si>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</si>
  <si>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</si>
  <si>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</si>
  <si>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</si>
  <si>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</si>
  <si>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</si>
  <si>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</si>
  <si>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</si>
  <si>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</si>
  <si>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</si>
  <si>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</si>
  <si>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</si>
  <si>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</si>
  <si>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</si>
  <si>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</si>
  <si>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</si>
  <si>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</si>
  <si>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</si>
  <si>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</si>
  <si>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</si>
  <si>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</si>
  <si>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</si>
  <si>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</si>
  <si>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</si>
  <si>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</si>
  <si>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</si>
  <si>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</si>
  <si>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</si>
  <si>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</si>
  <si>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</si>
  <si>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</si>
  <si>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</si>
  <si>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</si>
  <si>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</si>
  <si>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</si>
  <si>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</si>
  <si>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</si>
  <si>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</si>
  <si>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</si>
  <si>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</si>
  <si>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</si>
  <si>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</si>
  <si>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</si>
  <si>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</si>
  <si>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</si>
  <si>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</si>
  <si>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</si>
  <si>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</si>
  <si>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</si>
  <si>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</si>
  <si>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</si>
  <si>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</si>
  <si>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</si>
  <si>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</si>
  <si>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</si>
  <si>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</si>
  <si>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</si>
  <si>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</si>
  <si>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</si>
  <si>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</si>
  <si>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</si>
  <si>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</si>
  <si>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</si>
  <si>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</si>
  <si>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</si>
  <si>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</si>
  <si>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</si>
  <si>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</si>
  <si>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</si>
  <si>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</si>
  <si>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</si>
  <si>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</si>
  <si>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</si>
  <si>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</si>
  <si>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</si>
  <si>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</si>
  <si>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</si>
  <si>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</si>
  <si>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</si>
  <si>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</si>
  <si>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</si>
  <si>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</si>
  <si>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</si>
  <si>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</si>
  <si>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</si>
  <si>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</si>
  <si>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</si>
  <si>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</si>
  <si>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</si>
  <si>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</si>
  <si>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</si>
  <si>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</si>
  <si>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</si>
  <si>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</si>
  <si>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</si>
  <si>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</si>
  <si>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</si>
  <si>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</si>
  <si>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</si>
  <si>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</si>
  <si>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</si>
  <si>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</si>
  <si>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</si>
  <si>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</si>
  <si>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</si>
  <si>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</si>
  <si>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</si>
  <si>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</si>
  <si>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</si>
  <si>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</si>
  <si>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</si>
  <si>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</si>
  <si>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</si>
  <si>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</si>
  <si>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</si>
  <si>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</si>
  <si>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</si>
  <si>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</si>
  <si>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</si>
  <si>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</si>
  <si>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</si>
  <si>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</si>
  <si>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</si>
  <si>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</si>
  <si>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</si>
  <si>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</si>
  <si>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</si>
  <si>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</si>
  <si>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</si>
  <si>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</si>
  <si>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</si>
  <si>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</si>
  <si>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</si>
  <si>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</si>
  <si>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</si>
  <si>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</si>
  <si>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</si>
  <si>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</si>
  <si>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</si>
  <si>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</si>
  <si>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</si>
  <si>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</si>
  <si>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</si>
  <si>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</si>
  <si>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</si>
  <si>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</si>
  <si>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</si>
  <si>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</si>
  <si>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</si>
  <si>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</si>
  <si>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</si>
  <si>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</si>
  <si>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</si>
  <si>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</si>
  <si>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</si>
  <si>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</si>
  <si>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</si>
  <si>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</si>
  <si>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</si>
  <si>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</si>
  <si>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</si>
  <si>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</si>
  <si>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</si>
  <si>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</si>
  <si>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</si>
  <si>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</si>
  <si>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</si>
  <si>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</si>
  <si>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</si>
  <si>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</si>
  <si>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</si>
  <si>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</si>
  <si>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</si>
  <si>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</si>
  <si>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</si>
  <si>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</si>
  <si>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</si>
  <si>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</si>
  <si>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</si>
  <si>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</si>
  <si>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</si>
  <si>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</si>
  <si>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</si>
  <si>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</si>
  <si>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</si>
  <si>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</si>
  <si>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</si>
  <si>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</si>
  <si>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</si>
  <si>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</si>
  <si>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</si>
  <si>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</si>
  <si>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</si>
  <si>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</si>
  <si>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</si>
  <si>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</si>
  <si>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</si>
  <si>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</si>
  <si>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</si>
  <si>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</si>
  <si>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</si>
  <si>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</si>
  <si>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</si>
  <si>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</si>
  <si>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</si>
  <si>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</si>
  <si>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</si>
  <si>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</si>
  <si>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</si>
  <si>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</si>
  <si>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</si>
  <si>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</si>
  <si>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</si>
  <si>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</si>
  <si>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</si>
  <si>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</si>
  <si>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</si>
  <si>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</si>
  <si>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</si>
  <si>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</si>
  <si>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</si>
  <si>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</si>
  <si>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</si>
  <si>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</si>
  <si>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</si>
  <si>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</si>
  <si>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</si>
  <si>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</si>
  <si>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</si>
  <si>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</si>
  <si>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</si>
  <si>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</si>
  <si>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</si>
  <si>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</si>
  <si>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</si>
  <si>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</si>
  <si>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</si>
  <si>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</si>
  <si>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</si>
  <si>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</si>
  <si>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</si>
  <si>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</si>
  <si>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</si>
  <si>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</si>
  <si>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</si>
  <si>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</si>
  <si>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</si>
  <si>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</si>
  <si>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</si>
  <si>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</si>
  <si>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</si>
  <si>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</si>
  <si>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</si>
  <si>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</si>
  <si>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</si>
  <si>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</si>
  <si>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</si>
  <si>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</si>
  <si>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</si>
  <si>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</si>
  <si>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</si>
  <si>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</si>
  <si>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</si>
  <si>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</si>
  <si>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</si>
  <si>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</si>
  <si>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</si>
  <si>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</si>
  <si>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</si>
  <si>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</si>
  <si>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</si>
  <si>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</si>
  <si>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</si>
  <si>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</si>
  <si>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</si>
  <si>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</si>
  <si>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</si>
  <si>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</si>
  <si>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</si>
  <si>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</si>
  <si>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</si>
  <si>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</si>
  <si>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</si>
  <si>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</si>
  <si>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</si>
  <si>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</si>
  <si>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</si>
  <si>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</si>
  <si>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</si>
  <si>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</si>
  <si>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</si>
  <si>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</si>
  <si>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</si>
  <si>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</si>
  <si>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</si>
  <si>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</si>
  <si>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</si>
  <si>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</si>
  <si>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</si>
  <si>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</si>
  <si>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</si>
  <si>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</si>
  <si>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</si>
  <si>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</si>
  <si>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</si>
  <si>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</si>
  <si>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</si>
  <si>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</si>
  <si>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</si>
  <si>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</si>
  <si>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</si>
  <si>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</si>
  <si>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</si>
  <si>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</si>
  <si>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</si>
  <si>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</si>
  <si>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</si>
  <si>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</si>
  <si>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</si>
  <si>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</si>
  <si>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</si>
  <si>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</si>
  <si>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</si>
  <si>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</si>
  <si>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</si>
  <si>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</si>
  <si>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</si>
  <si>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</si>
  <si>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</si>
  <si>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</si>
  <si>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</si>
  <si>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</si>
  <si>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</si>
  <si>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</si>
  <si>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</si>
  <si>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</si>
  <si>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</si>
  <si>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</si>
  <si>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</si>
  <si>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</si>
  <si>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</si>
  <si>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</si>
  <si>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</si>
  <si>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</si>
  <si>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</si>
  <si>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</si>
  <si>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</si>
  <si>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</si>
  <si>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</si>
  <si>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</si>
  <si>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</si>
  <si>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</si>
  <si>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</si>
  <si>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</si>
  <si>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</si>
  <si>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</si>
  <si>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</si>
  <si>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</si>
  <si>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</si>
  <si>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</si>
  <si>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</si>
  <si>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</si>
  <si>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</si>
  <si>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</si>
  <si>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</si>
  <si>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</si>
  <si>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</si>
  <si>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</si>
  <si>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</si>
  <si>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</si>
  <si>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</si>
  <si>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</si>
  <si>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</si>
  <si>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</si>
  <si>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</si>
  <si>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</si>
  <si>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</si>
  <si>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</si>
  <si>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</si>
  <si>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</si>
  <si>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</si>
  <si>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</si>
  <si>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</si>
  <si>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</si>
  <si>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</si>
  <si>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</si>
  <si>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</si>
  <si>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</si>
  <si>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</si>
  <si>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</si>
  <si>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</si>
  <si>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</si>
  <si>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</si>
  <si>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</si>
  <si>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</si>
  <si>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</si>
  <si>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</si>
  <si>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</si>
  <si>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</si>
  <si>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</si>
  <si>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</si>
  <si>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</si>
  <si>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</si>
  <si>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</si>
  <si>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</si>
  <si>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</si>
  <si>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</si>
  <si>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</si>
  <si>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</si>
  <si>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</si>
  <si>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</si>
  <si>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</si>
  <si>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</si>
  <si>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</si>
  <si>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</si>
  <si>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</si>
  <si>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</si>
  <si>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</si>
  <si>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</si>
  <si>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</si>
  <si>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</si>
  <si>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</si>
  <si>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</si>
  <si>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</si>
  <si>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</si>
  <si>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</si>
  <si>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</si>
  <si>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</si>
  <si>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</si>
  <si>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</si>
  <si>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</si>
  <si>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</si>
  <si>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</si>
  <si>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</si>
  <si>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</si>
  <si>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</si>
  <si>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</si>
  <si>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</si>
  <si>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</si>
  <si>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</si>
  <si>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</si>
  <si>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</si>
  <si>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</si>
  <si>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</si>
  <si>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</si>
  <si>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</si>
  <si>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</si>
  <si>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</si>
  <si>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</si>
  <si>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</si>
  <si>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</si>
  <si>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</si>
  <si>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</si>
  <si>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</si>
  <si>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</si>
  <si>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</si>
  <si>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</si>
  <si>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</si>
  <si>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</si>
  <si>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</si>
  <si>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</si>
  <si>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</si>
  <si>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</si>
  <si>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</si>
  <si>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</si>
  <si>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</si>
  <si>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</si>
  <si>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</si>
  <si>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</si>
  <si>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</si>
  <si>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</si>
  <si>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</si>
  <si>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</si>
  <si>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</si>
  <si>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</si>
  <si>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</si>
  <si>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</si>
  <si>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</si>
  <si>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</si>
  <si>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</si>
  <si>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</si>
  <si>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</si>
  <si>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</si>
  <si>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</si>
  <si>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</si>
  <si>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</si>
  <si>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</si>
  <si>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</si>
  <si>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</si>
  <si>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</si>
  <si>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</si>
  <si>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</si>
  <si>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</si>
  <si>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</si>
  <si>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</si>
  <si>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</si>
  <si>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</si>
  <si>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</si>
  <si>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</si>
  <si>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</si>
  <si>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</si>
  <si>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</si>
  <si>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</si>
  <si>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</si>
  <si>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</si>
  <si>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</si>
  <si>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</si>
  <si>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</si>
  <si>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</si>
  <si>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</si>
  <si>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</si>
  <si>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</si>
  <si>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</si>
  <si>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</si>
  <si>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</si>
  <si>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</si>
  <si>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</si>
  <si>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</si>
  <si>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</si>
  <si>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</si>
  <si>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</si>
  <si>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</si>
  <si>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</si>
  <si>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</si>
  <si>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</si>
  <si>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</si>
  <si>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</si>
  <si>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</si>
  <si>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</si>
  <si>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</si>
  <si>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</si>
  <si>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</si>
  <si>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</si>
  <si>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</si>
  <si>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</si>
  <si>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</si>
  <si>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</si>
  <si>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</si>
  <si>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</si>
  <si>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</si>
  <si>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</si>
  <si>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</si>
  <si>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</si>
  <si>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</si>
  <si>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</si>
  <si>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</si>
  <si>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</si>
  <si>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</si>
  <si>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</si>
  <si>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</si>
  <si>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</si>
  <si>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</si>
  <si>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</si>
  <si>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</si>
  <si>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</si>
  <si>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</si>
  <si>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</si>
  <si>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</si>
  <si>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</si>
  <si>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</si>
  <si>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</si>
  <si>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</si>
  <si>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</si>
  <si>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</si>
  <si>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</si>
  <si>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</si>
  <si>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</si>
  <si>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</si>
  <si>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</si>
  <si>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</si>
  <si>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</si>
  <si>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</si>
  <si>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</si>
  <si>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</si>
  <si>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</si>
  <si>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</si>
  <si>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</si>
  <si>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</si>
  <si>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</si>
  <si>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</si>
  <si>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</si>
  <si>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</si>
  <si>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</si>
  <si>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</si>
  <si>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</si>
  <si>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</si>
  <si>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</si>
  <si>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</si>
  <si>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</si>
  <si>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</si>
  <si>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</si>
  <si>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</si>
  <si>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</si>
  <si>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</si>
  <si>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</si>
  <si>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</si>
  <si>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</si>
  <si>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</si>
  <si>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</si>
  <si>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</si>
  <si>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</si>
  <si>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</si>
  <si>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</si>
  <si>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</si>
  <si>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</si>
  <si>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</si>
  <si>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</si>
  <si>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</si>
  <si>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</si>
  <si>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</si>
  <si>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</si>
  <si>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</si>
  <si>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</si>
  <si>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</si>
  <si>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</si>
  <si>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</si>
  <si>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</si>
  <si>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</si>
  <si>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</si>
  <si>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</si>
  <si>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</si>
  <si>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</si>
  <si>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</si>
  <si>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</si>
  <si>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</si>
  <si>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</si>
  <si>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</si>
  <si>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</si>
  <si>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</si>
  <si>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</si>
  <si>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</si>
  <si>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</si>
  <si>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</si>
  <si>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</si>
  <si>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</si>
  <si>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</si>
  <si>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</si>
  <si>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</si>
  <si>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</si>
  <si>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</si>
  <si>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</si>
  <si>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</si>
  <si>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</si>
  <si>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</si>
  <si>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</si>
  <si>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</si>
  <si>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</si>
  <si>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</si>
  <si>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</si>
  <si>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</si>
  <si>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</si>
  <si>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</si>
  <si>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</si>
  <si>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</si>
  <si>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</si>
  <si>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</si>
  <si>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</si>
  <si>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</si>
  <si>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</si>
  <si>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</si>
  <si>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</si>
  <si>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</si>
  <si>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</si>
  <si>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</si>
  <si>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</si>
  <si>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</si>
  <si>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</si>
  <si>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</si>
  <si>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</si>
  <si>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</si>
  <si>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</si>
  <si>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</si>
  <si>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</si>
  <si>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</si>
  <si>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</si>
  <si>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</si>
  <si>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</si>
  <si>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</si>
  <si>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</si>
  <si>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</si>
  <si>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</si>
  <si>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</si>
  <si>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</si>
  <si>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</si>
  <si>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</si>
  <si>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</si>
  <si>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</si>
  <si>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</si>
  <si>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</si>
  <si>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</si>
  <si>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</si>
  <si>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</si>
  <si>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</si>
  <si>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</si>
  <si>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</si>
  <si>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</si>
  <si>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</si>
  <si>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</si>
  <si>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</si>
  <si>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</si>
  <si>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</si>
  <si>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</si>
  <si>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</si>
  <si>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</si>
  <si>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</si>
  <si>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</si>
  <si>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</si>
  <si>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</si>
  <si>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</si>
  <si>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</si>
  <si>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</si>
  <si>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</si>
  <si>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</si>
  <si>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</si>
  <si>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</si>
  <si>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</si>
  <si>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</si>
  <si>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</si>
  <si>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</si>
  <si>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</si>
  <si>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</si>
  <si>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</si>
  <si>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</si>
  <si>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</si>
  <si>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</si>
  <si>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</si>
  <si>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</si>
  <si>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</si>
  <si>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</si>
  <si>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</si>
  <si>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</si>
  <si>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</si>
  <si>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</si>
  <si>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</si>
  <si>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</si>
  <si>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</si>
  <si>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</si>
  <si>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</si>
  <si>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</si>
  <si>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</si>
  <si>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</si>
  <si>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</si>
  <si>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</si>
  <si>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</si>
  <si>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</si>
  <si>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</si>
  <si>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</si>
  <si>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</si>
  <si>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Macros</t>
  </si>
  <si>
    <t>Métodos</t>
  </si>
  <si>
    <t>"API"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</si>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</sst>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46268.688094675927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2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2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15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15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15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15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15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15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15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15">
      <c r="A37" s="37" t="s">
        <v>2680</v>
      </c>
      <c r="B37" s="57" t="s">
        <v>2681</v>
      </c>
      <c r="C37" s="40" t="s">
        <v>2289</v>
      </c>
    </row>
    <row r="38" spans="1:3" customFormat="1" ht="9.9499999999999993" customHeight="1" x14ac:dyDescent="0.2">
      <c r="A38" s="14" t="s">
        <v>2682</v>
      </c>
      <c r="B38" s="60" t="s">
        <v>2683</v>
      </c>
      <c r="C38" s="40" t="s">
        <v>2289</v>
      </c>
    </row>
    <row r="39" spans="1:3" s="62" customFormat="1" ht="9.6" customHeight="1" x14ac:dyDescent="0.15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D67"/>
  <sheetViews>
    <sheetView tabSelected="1" topLeftCell="V1" zoomScale="205" zoomScaleNormal="205" workbookViewId="0">
      <pane ySplit="1" topLeftCell="A50" activePane="bottomLeft" state="frozen"/>
      <selection pane="bottomLeft" activeCell="AD2" sqref="AD2"/>
    </sheetView>
  </sheetViews>
  <sheetFormatPr defaultRowHeight="6.75" customHeight="1" x14ac:dyDescent="0.2"/>
  <cols>
    <col min="1" max="1" width="1.83203125" bestFit="1" customWidth="1"/>
    <col min="2" max="2" width="5.5" bestFit="1" customWidth="1"/>
    <col min="3" max="3" width="8.83203125" bestFit="1" customWidth="1"/>
    <col min="4" max="4" width="13.83203125" bestFit="1" customWidth="1"/>
    <col min="5" max="5" width="13.33203125" bestFit="1" customWidth="1"/>
    <col min="6" max="6" width="16.5" bestFit="1" customWidth="1"/>
    <col min="7" max="11" width="8.33203125" bestFit="1" customWidth="1"/>
    <col min="12" max="12" width="8.8320312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640625" bestFit="1" customWidth="1"/>
    <col min="18" max="18" width="56.83203125" bestFit="1" customWidth="1"/>
    <col min="19" max="19" width="4.83203125" style="53" bestFit="1" customWidth="1"/>
    <col min="20" max="20" width="8.83203125" bestFit="1" customWidth="1"/>
    <col min="21" max="21" width="14" bestFit="1" customWidth="1"/>
    <col min="22" max="22" width="13.5" bestFit="1" customWidth="1"/>
    <col min="23" max="23" width="7.83203125" bestFit="1" customWidth="1"/>
    <col min="24" max="24" width="7.5" style="53" bestFit="1" customWidth="1"/>
    <col min="25" max="25" width="31.1640625" customWidth="1"/>
    <col min="26" max="26" width="8.83203125" bestFit="1" customWidth="1"/>
    <col min="27" max="27" width="35.83203125" bestFit="1" customWidth="1"/>
    <col min="28" max="28" width="7.1640625" bestFit="1" customWidth="1"/>
    <col min="29" max="29" width="15.1640625" bestFit="1" customWidth="1"/>
    <col min="30" max="30" width="7.1640625" bestFit="1" customWidth="1"/>
  </cols>
  <sheetData>
    <row r="1" spans="1:30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2702</v>
      </c>
      <c r="AA1" s="19" t="s">
        <v>2283</v>
      </c>
      <c r="AB1" s="19" t="s">
        <v>2703</v>
      </c>
      <c r="AC1" s="19" t="s">
        <v>2254</v>
      </c>
      <c r="AD1" s="19" t="s">
        <v>2750</v>
      </c>
    </row>
    <row r="2" spans="1:30" ht="6.75" customHeight="1" x14ac:dyDescent="0.2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2697</v>
      </c>
      <c r="Z2" s="68" t="s">
        <v>2224</v>
      </c>
      <c r="AA2" s="36" t="s">
        <v>2698</v>
      </c>
      <c r="AB2" s="68" t="s">
        <v>2224</v>
      </c>
      <c r="AC2" s="36" t="s">
        <v>2304</v>
      </c>
      <c r="AD2" s="68" t="s">
        <v>2224</v>
      </c>
    </row>
    <row r="3" spans="1:30" ht="6.75" customHeight="1" x14ac:dyDescent="0.2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2701</v>
      </c>
      <c r="Z3" s="68" t="s">
        <v>2224</v>
      </c>
      <c r="AA3" s="36" t="s">
        <v>2699</v>
      </c>
      <c r="AB3" s="68" t="s">
        <v>2224</v>
      </c>
      <c r="AC3" s="36" t="s">
        <v>2223</v>
      </c>
      <c r="AD3" s="68" t="s">
        <v>2224</v>
      </c>
    </row>
    <row r="4" spans="1:30" ht="6.75" customHeight="1" x14ac:dyDescent="0.2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68" t="s">
        <v>2224</v>
      </c>
      <c r="Z4" s="68" t="s">
        <v>2224</v>
      </c>
      <c r="AA4" s="36" t="s">
        <v>2691</v>
      </c>
      <c r="AB4" s="68" t="s">
        <v>2224</v>
      </c>
      <c r="AC4" s="36" t="s">
        <v>2303</v>
      </c>
      <c r="AD4" s="68" t="s">
        <v>2224</v>
      </c>
    </row>
    <row r="5" spans="1:30" ht="6.75" customHeight="1" x14ac:dyDescent="0.2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2692</v>
      </c>
      <c r="Z5" s="68" t="s">
        <v>2224</v>
      </c>
      <c r="AA5" s="36" t="s">
        <v>2693</v>
      </c>
      <c r="AB5" s="68" t="s">
        <v>2224</v>
      </c>
      <c r="AC5" s="36" t="s">
        <v>2305</v>
      </c>
      <c r="AD5" s="68" t="s">
        <v>2224</v>
      </c>
    </row>
    <row r="6" spans="1:30" ht="6.75" customHeight="1" x14ac:dyDescent="0.2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68" t="s">
        <v>2224</v>
      </c>
      <c r="Z6" s="68" t="s">
        <v>2224</v>
      </c>
      <c r="AA6" s="36" t="s">
        <v>2691</v>
      </c>
      <c r="AB6" s="68" t="s">
        <v>2224</v>
      </c>
      <c r="AC6" s="36" t="s">
        <v>2306</v>
      </c>
      <c r="AD6" s="68" t="s">
        <v>2224</v>
      </c>
    </row>
    <row r="7" spans="1:30" ht="6.75" customHeight="1" x14ac:dyDescent="0.2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68" t="s">
        <v>2224</v>
      </c>
      <c r="Z7" s="68" t="s">
        <v>2224</v>
      </c>
      <c r="AA7" s="68" t="s">
        <v>2224</v>
      </c>
      <c r="AB7" s="68" t="s">
        <v>2224</v>
      </c>
      <c r="AC7" s="36" t="s">
        <v>2307</v>
      </c>
      <c r="AD7" s="68" t="s">
        <v>2224</v>
      </c>
    </row>
    <row r="8" spans="1:30" ht="6.75" customHeight="1" x14ac:dyDescent="0.2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68" t="s">
        <v>2224</v>
      </c>
      <c r="Z8" s="68" t="s">
        <v>2224</v>
      </c>
      <c r="AA8" s="68" t="s">
        <v>2224</v>
      </c>
      <c r="AB8" s="68" t="s">
        <v>2224</v>
      </c>
      <c r="AC8" s="36" t="s">
        <v>2308</v>
      </c>
      <c r="AD8" s="68" t="s">
        <v>2224</v>
      </c>
    </row>
    <row r="9" spans="1:30" ht="6.75" customHeight="1" x14ac:dyDescent="0.2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68" t="s">
        <v>2224</v>
      </c>
      <c r="Z9" s="68" t="s">
        <v>2224</v>
      </c>
      <c r="AA9" s="68" t="s">
        <v>2224</v>
      </c>
      <c r="AB9" s="68" t="s">
        <v>2224</v>
      </c>
      <c r="AC9" s="36" t="s">
        <v>2309</v>
      </c>
      <c r="AD9" s="68" t="s">
        <v>2224</v>
      </c>
    </row>
    <row r="10" spans="1:30" ht="6.75" customHeight="1" x14ac:dyDescent="0.2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68" t="s">
        <v>2224</v>
      </c>
      <c r="Z10" s="68" t="s">
        <v>2224</v>
      </c>
      <c r="AA10" s="68" t="s">
        <v>2224</v>
      </c>
      <c r="AB10" s="68" t="s">
        <v>2224</v>
      </c>
      <c r="AC10" s="36" t="s">
        <v>2310</v>
      </c>
      <c r="AD10" s="68" t="s">
        <v>2224</v>
      </c>
    </row>
    <row r="11" spans="1:30" ht="6.75" customHeight="1" x14ac:dyDescent="0.2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68" t="s">
        <v>2224</v>
      </c>
      <c r="Z11" s="68" t="s">
        <v>2224</v>
      </c>
      <c r="AA11" s="68" t="s">
        <v>2224</v>
      </c>
      <c r="AB11" s="68" t="s">
        <v>2224</v>
      </c>
      <c r="AC11" s="36" t="s">
        <v>2311</v>
      </c>
      <c r="AD11" s="68" t="s">
        <v>2224</v>
      </c>
    </row>
    <row r="12" spans="1:30" ht="6.75" customHeight="1" x14ac:dyDescent="0.2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2694</v>
      </c>
      <c r="Z12" s="68" t="s">
        <v>2224</v>
      </c>
      <c r="AA12" s="36" t="s">
        <v>2700</v>
      </c>
      <c r="AB12" s="68" t="s">
        <v>2224</v>
      </c>
      <c r="AC12" s="36" t="s">
        <v>2312</v>
      </c>
      <c r="AD12" s="68" t="s">
        <v>2224</v>
      </c>
    </row>
    <row r="13" spans="1:30" ht="6.75" customHeight="1" x14ac:dyDescent="0.2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2694</v>
      </c>
      <c r="Z13" s="68" t="s">
        <v>2224</v>
      </c>
      <c r="AA13" s="36" t="s">
        <v>2700</v>
      </c>
      <c r="AB13" s="68" t="s">
        <v>2224</v>
      </c>
      <c r="AC13" s="36" t="s">
        <v>2313</v>
      </c>
      <c r="AD13" s="68" t="s">
        <v>2224</v>
      </c>
    </row>
    <row r="14" spans="1:30" ht="6.75" customHeight="1" x14ac:dyDescent="0.2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2695</v>
      </c>
      <c r="Z14" s="68" t="s">
        <v>2224</v>
      </c>
      <c r="AA14" s="64" t="s">
        <v>2696</v>
      </c>
      <c r="AB14" s="68" t="s">
        <v>2224</v>
      </c>
      <c r="AC14" s="36" t="s">
        <v>2314</v>
      </c>
      <c r="AD14" s="68" t="s">
        <v>2224</v>
      </c>
    </row>
    <row r="15" spans="1:30" ht="6.75" customHeight="1" x14ac:dyDescent="0.2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2701</v>
      </c>
      <c r="Z15" s="68" t="s">
        <v>2224</v>
      </c>
      <c r="AA15" s="36" t="s">
        <v>2699</v>
      </c>
      <c r="AB15" s="68" t="s">
        <v>2224</v>
      </c>
      <c r="AC15" s="36" t="s">
        <v>2479</v>
      </c>
      <c r="AD15" s="68" t="s">
        <v>2224</v>
      </c>
    </row>
    <row r="16" spans="1:30" ht="6.75" customHeight="1" x14ac:dyDescent="0.2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2701</v>
      </c>
      <c r="Z16" s="68" t="s">
        <v>2224</v>
      </c>
      <c r="AA16" s="36" t="s">
        <v>2699</v>
      </c>
      <c r="AB16" s="68" t="s">
        <v>2224</v>
      </c>
      <c r="AC16" s="36" t="s">
        <v>2511</v>
      </c>
      <c r="AD16" s="68" t="s">
        <v>2224</v>
      </c>
    </row>
    <row r="17" spans="1:30" ht="6.75" customHeight="1" x14ac:dyDescent="0.2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2701</v>
      </c>
      <c r="Z17" s="68" t="s">
        <v>2224</v>
      </c>
      <c r="AA17" s="36" t="s">
        <v>2699</v>
      </c>
      <c r="AB17" s="68" t="s">
        <v>2224</v>
      </c>
      <c r="AC17" s="36" t="s">
        <v>2488</v>
      </c>
      <c r="AD17" s="68" t="s">
        <v>2224</v>
      </c>
    </row>
    <row r="18" spans="1:30" ht="6.75" customHeight="1" x14ac:dyDescent="0.2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2701</v>
      </c>
      <c r="Z18" s="68" t="s">
        <v>2224</v>
      </c>
      <c r="AA18" s="36" t="s">
        <v>2699</v>
      </c>
      <c r="AB18" s="68" t="s">
        <v>2224</v>
      </c>
      <c r="AC18" s="36" t="s">
        <v>2514</v>
      </c>
      <c r="AD18" s="68" t="s">
        <v>2224</v>
      </c>
    </row>
    <row r="19" spans="1:30" ht="6.75" customHeight="1" x14ac:dyDescent="0.2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2701</v>
      </c>
      <c r="Z19" s="68" t="s">
        <v>2224</v>
      </c>
      <c r="AA19" s="36" t="s">
        <v>2699</v>
      </c>
      <c r="AB19" s="68" t="s">
        <v>2224</v>
      </c>
      <c r="AC19" s="36" t="s">
        <v>2487</v>
      </c>
      <c r="AD19" s="68" t="s">
        <v>2224</v>
      </c>
    </row>
    <row r="20" spans="1:30" ht="6.75" customHeight="1" x14ac:dyDescent="0.2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2701</v>
      </c>
      <c r="Z20" s="68" t="s">
        <v>2224</v>
      </c>
      <c r="AA20" s="36" t="s">
        <v>2699</v>
      </c>
      <c r="AB20" s="68" t="s">
        <v>2224</v>
      </c>
      <c r="AC20" s="36" t="s">
        <v>2516</v>
      </c>
      <c r="AD20" s="68" t="s">
        <v>2224</v>
      </c>
    </row>
    <row r="21" spans="1:30" ht="6.75" customHeight="1" x14ac:dyDescent="0.2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2701</v>
      </c>
      <c r="Z21" s="68" t="s">
        <v>2224</v>
      </c>
      <c r="AA21" s="36" t="s">
        <v>2699</v>
      </c>
      <c r="AB21" s="68" t="s">
        <v>2224</v>
      </c>
      <c r="AC21" s="36" t="s">
        <v>2478</v>
      </c>
      <c r="AD21" s="68" t="s">
        <v>2224</v>
      </c>
    </row>
    <row r="22" spans="1:30" ht="6.75" customHeight="1" x14ac:dyDescent="0.2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2701</v>
      </c>
      <c r="Z22" s="68" t="s">
        <v>2224</v>
      </c>
      <c r="AA22" s="36" t="s">
        <v>2699</v>
      </c>
      <c r="AB22" s="68" t="s">
        <v>2224</v>
      </c>
      <c r="AC22" s="36" t="s">
        <v>2484</v>
      </c>
      <c r="AD22" s="68" t="s">
        <v>2224</v>
      </c>
    </row>
    <row r="23" spans="1:30" ht="6.75" customHeight="1" x14ac:dyDescent="0.2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2701</v>
      </c>
      <c r="Z23" s="68" t="s">
        <v>2224</v>
      </c>
      <c r="AA23" s="36" t="s">
        <v>2699</v>
      </c>
      <c r="AB23" s="68" t="s">
        <v>2224</v>
      </c>
      <c r="AC23" s="36" t="s">
        <v>2486</v>
      </c>
      <c r="AD23" s="68" t="s">
        <v>2224</v>
      </c>
    </row>
    <row r="24" spans="1:30" ht="6.75" customHeight="1" x14ac:dyDescent="0.2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2701</v>
      </c>
      <c r="Z24" s="68" t="s">
        <v>2224</v>
      </c>
      <c r="AA24" s="36" t="s">
        <v>2699</v>
      </c>
      <c r="AB24" s="68" t="s">
        <v>2224</v>
      </c>
      <c r="AC24" s="36" t="s">
        <v>2475</v>
      </c>
      <c r="AD24" s="68" t="s">
        <v>2224</v>
      </c>
    </row>
    <row r="25" spans="1:30" ht="6.75" customHeight="1" x14ac:dyDescent="0.2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2701</v>
      </c>
      <c r="Z25" s="68" t="s">
        <v>2224</v>
      </c>
      <c r="AA25" s="36" t="s">
        <v>2699</v>
      </c>
      <c r="AB25" s="68" t="s">
        <v>2224</v>
      </c>
      <c r="AC25" s="36" t="s">
        <v>2512</v>
      </c>
      <c r="AD25" s="68" t="s">
        <v>2224</v>
      </c>
    </row>
    <row r="26" spans="1:30" ht="6.75" customHeight="1" x14ac:dyDescent="0.2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2701</v>
      </c>
      <c r="Z26" s="68" t="s">
        <v>2224</v>
      </c>
      <c r="AA26" s="36" t="s">
        <v>2699</v>
      </c>
      <c r="AB26" s="68" t="s">
        <v>2224</v>
      </c>
      <c r="AC26" s="36" t="s">
        <v>2515</v>
      </c>
      <c r="AD26" s="68" t="s">
        <v>2224</v>
      </c>
    </row>
    <row r="27" spans="1:30" ht="6.75" customHeight="1" x14ac:dyDescent="0.2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2701</v>
      </c>
      <c r="Z27" s="68" t="s">
        <v>2224</v>
      </c>
      <c r="AA27" s="36" t="s">
        <v>2699</v>
      </c>
      <c r="AB27" s="68" t="s">
        <v>2224</v>
      </c>
      <c r="AC27" s="36" t="s">
        <v>2517</v>
      </c>
      <c r="AD27" s="68" t="s">
        <v>2224</v>
      </c>
    </row>
    <row r="28" spans="1:30" ht="6.75" customHeight="1" x14ac:dyDescent="0.2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2701</v>
      </c>
      <c r="Z28" s="68" t="s">
        <v>2224</v>
      </c>
      <c r="AA28" s="36" t="s">
        <v>2699</v>
      </c>
      <c r="AB28" s="68" t="s">
        <v>2224</v>
      </c>
      <c r="AC28" s="36" t="s">
        <v>2476</v>
      </c>
      <c r="AD28" s="68" t="s">
        <v>2224</v>
      </c>
    </row>
    <row r="29" spans="1:30" ht="6.75" customHeight="1" x14ac:dyDescent="0.2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2701</v>
      </c>
      <c r="Z29" s="68" t="s">
        <v>2224</v>
      </c>
      <c r="AA29" s="36" t="s">
        <v>2699</v>
      </c>
      <c r="AB29" s="68" t="s">
        <v>2224</v>
      </c>
      <c r="AC29" s="36" t="s">
        <v>2480</v>
      </c>
      <c r="AD29" s="68" t="s">
        <v>2224</v>
      </c>
    </row>
    <row r="30" spans="1:30" ht="6.75" customHeight="1" x14ac:dyDescent="0.2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2701</v>
      </c>
      <c r="Z30" s="68" t="s">
        <v>2224</v>
      </c>
      <c r="AA30" s="36" t="s">
        <v>2699</v>
      </c>
      <c r="AB30" s="68" t="s">
        <v>2224</v>
      </c>
      <c r="AC30" s="36" t="s">
        <v>2521</v>
      </c>
      <c r="AD30" s="68" t="s">
        <v>2224</v>
      </c>
    </row>
    <row r="31" spans="1:30" ht="6.75" customHeight="1" x14ac:dyDescent="0.2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2701</v>
      </c>
      <c r="Z31" s="68" t="s">
        <v>2224</v>
      </c>
      <c r="AA31" s="36" t="s">
        <v>2699</v>
      </c>
      <c r="AB31" s="68" t="s">
        <v>2224</v>
      </c>
      <c r="AC31" s="36" t="s">
        <v>2490</v>
      </c>
      <c r="AD31" s="68" t="s">
        <v>2224</v>
      </c>
    </row>
    <row r="32" spans="1:30" ht="6.75" customHeight="1" x14ac:dyDescent="0.2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2701</v>
      </c>
      <c r="Z32" s="68" t="s">
        <v>2224</v>
      </c>
      <c r="AA32" s="36" t="s">
        <v>2699</v>
      </c>
      <c r="AB32" s="68" t="s">
        <v>2224</v>
      </c>
      <c r="AC32" s="36" t="s">
        <v>2547</v>
      </c>
      <c r="AD32" s="68" t="s">
        <v>2224</v>
      </c>
    </row>
    <row r="33" spans="1:30" ht="6.75" customHeight="1" x14ac:dyDescent="0.2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2701</v>
      </c>
      <c r="Z33" s="68" t="s">
        <v>2224</v>
      </c>
      <c r="AA33" s="36" t="s">
        <v>2699</v>
      </c>
      <c r="AB33" s="68" t="s">
        <v>2224</v>
      </c>
      <c r="AC33" s="36" t="s">
        <v>2491</v>
      </c>
      <c r="AD33" s="68" t="s">
        <v>2224</v>
      </c>
    </row>
    <row r="34" spans="1:30" ht="6.75" customHeight="1" x14ac:dyDescent="0.2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2701</v>
      </c>
      <c r="Z34" s="68" t="s">
        <v>2224</v>
      </c>
      <c r="AA34" s="36" t="s">
        <v>2699</v>
      </c>
      <c r="AB34" s="68" t="s">
        <v>2224</v>
      </c>
      <c r="AC34" s="36" t="s">
        <v>2530</v>
      </c>
      <c r="AD34" s="68" t="s">
        <v>2224</v>
      </c>
    </row>
    <row r="35" spans="1:30" ht="6.75" customHeight="1" x14ac:dyDescent="0.2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2701</v>
      </c>
      <c r="Z35" s="68" t="s">
        <v>2224</v>
      </c>
      <c r="AA35" s="36" t="s">
        <v>2699</v>
      </c>
      <c r="AB35" s="68" t="s">
        <v>2224</v>
      </c>
      <c r="AC35" s="36" t="s">
        <v>2518</v>
      </c>
      <c r="AD35" s="68" t="s">
        <v>2224</v>
      </c>
    </row>
    <row r="36" spans="1:30" ht="6.75" customHeight="1" x14ac:dyDescent="0.2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2701</v>
      </c>
      <c r="Z36" s="68" t="s">
        <v>2224</v>
      </c>
      <c r="AA36" s="36" t="s">
        <v>2699</v>
      </c>
      <c r="AB36" s="68" t="s">
        <v>2224</v>
      </c>
      <c r="AC36" s="36" t="s">
        <v>2519</v>
      </c>
      <c r="AD36" s="68" t="s">
        <v>2224</v>
      </c>
    </row>
    <row r="37" spans="1:30" ht="6.75" customHeight="1" x14ac:dyDescent="0.2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2701</v>
      </c>
      <c r="Z37" s="68" t="s">
        <v>2224</v>
      </c>
      <c r="AA37" s="36" t="s">
        <v>2699</v>
      </c>
      <c r="AB37" s="68" t="s">
        <v>2224</v>
      </c>
      <c r="AC37" s="36" t="s">
        <v>2483</v>
      </c>
      <c r="AD37" s="68" t="s">
        <v>2224</v>
      </c>
    </row>
    <row r="38" spans="1:30" ht="6.75" customHeight="1" x14ac:dyDescent="0.2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2701</v>
      </c>
      <c r="Z38" s="68" t="s">
        <v>2224</v>
      </c>
      <c r="AA38" s="36" t="s">
        <v>2699</v>
      </c>
      <c r="AB38" s="68" t="s">
        <v>2224</v>
      </c>
      <c r="AC38" s="36" t="s">
        <v>2498</v>
      </c>
      <c r="AD38" s="68" t="s">
        <v>2224</v>
      </c>
    </row>
    <row r="39" spans="1:30" ht="6.75" customHeight="1" x14ac:dyDescent="0.2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2701</v>
      </c>
      <c r="Z39" s="68" t="s">
        <v>2224</v>
      </c>
      <c r="AA39" s="36" t="s">
        <v>2699</v>
      </c>
      <c r="AB39" s="68" t="s">
        <v>2224</v>
      </c>
      <c r="AC39" s="36" t="s">
        <v>2525</v>
      </c>
      <c r="AD39" s="68" t="s">
        <v>2224</v>
      </c>
    </row>
    <row r="40" spans="1:30" ht="6.75" customHeight="1" x14ac:dyDescent="0.2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2701</v>
      </c>
      <c r="Z40" s="68" t="s">
        <v>2224</v>
      </c>
      <c r="AA40" s="36" t="s">
        <v>2699</v>
      </c>
      <c r="AB40" s="68" t="s">
        <v>2224</v>
      </c>
      <c r="AC40" s="36" t="s">
        <v>2499</v>
      </c>
      <c r="AD40" s="68" t="s">
        <v>2224</v>
      </c>
    </row>
    <row r="41" spans="1:30" ht="6.75" customHeight="1" x14ac:dyDescent="0.2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2701</v>
      </c>
      <c r="Z41" s="68" t="s">
        <v>2224</v>
      </c>
      <c r="AA41" s="36" t="s">
        <v>2699</v>
      </c>
      <c r="AB41" s="68" t="s">
        <v>2224</v>
      </c>
      <c r="AC41" s="36" t="s">
        <v>2500</v>
      </c>
      <c r="AD41" s="68" t="s">
        <v>2224</v>
      </c>
    </row>
    <row r="42" spans="1:30" ht="6.75" customHeight="1" x14ac:dyDescent="0.2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2701</v>
      </c>
      <c r="Z42" s="68" t="s">
        <v>2224</v>
      </c>
      <c r="AA42" s="36" t="s">
        <v>2699</v>
      </c>
      <c r="AB42" s="68" t="s">
        <v>2224</v>
      </c>
      <c r="AC42" s="36" t="s">
        <v>2501</v>
      </c>
      <c r="AD42" s="68" t="s">
        <v>2224</v>
      </c>
    </row>
    <row r="43" spans="1:30" ht="6.75" customHeight="1" x14ac:dyDescent="0.2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2701</v>
      </c>
      <c r="Z43" s="68" t="s">
        <v>2224</v>
      </c>
      <c r="AA43" s="36" t="s">
        <v>2699</v>
      </c>
      <c r="AB43" s="68" t="s">
        <v>2224</v>
      </c>
      <c r="AC43" s="36" t="s">
        <v>2520</v>
      </c>
      <c r="AD43" s="68" t="s">
        <v>2224</v>
      </c>
    </row>
    <row r="44" spans="1:30" ht="6.75" customHeight="1" x14ac:dyDescent="0.2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2701</v>
      </c>
      <c r="Z44" s="68" t="s">
        <v>2224</v>
      </c>
      <c r="AA44" s="36" t="s">
        <v>2699</v>
      </c>
      <c r="AB44" s="68" t="s">
        <v>2224</v>
      </c>
      <c r="AC44" s="36" t="s">
        <v>2485</v>
      </c>
      <c r="AD44" s="68" t="s">
        <v>2224</v>
      </c>
    </row>
    <row r="45" spans="1:30" ht="6.75" customHeight="1" x14ac:dyDescent="0.2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2701</v>
      </c>
      <c r="Z45" s="68" t="s">
        <v>2224</v>
      </c>
      <c r="AA45" s="36" t="s">
        <v>2699</v>
      </c>
      <c r="AB45" s="68" t="s">
        <v>2224</v>
      </c>
      <c r="AC45" s="36" t="s">
        <v>2482</v>
      </c>
      <c r="AD45" s="68" t="s">
        <v>2224</v>
      </c>
    </row>
    <row r="46" spans="1:30" ht="6.75" customHeight="1" x14ac:dyDescent="0.2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2701</v>
      </c>
      <c r="Z46" s="68" t="s">
        <v>2224</v>
      </c>
      <c r="AA46" s="36" t="s">
        <v>2699</v>
      </c>
      <c r="AB46" s="68" t="s">
        <v>2224</v>
      </c>
      <c r="AC46" s="36" t="s">
        <v>2494</v>
      </c>
      <c r="AD46" s="68" t="s">
        <v>2224</v>
      </c>
    </row>
    <row r="47" spans="1:30" ht="6.75" customHeight="1" x14ac:dyDescent="0.2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2701</v>
      </c>
      <c r="Z47" s="68" t="s">
        <v>2224</v>
      </c>
      <c r="AA47" s="36" t="s">
        <v>2699</v>
      </c>
      <c r="AB47" s="68" t="s">
        <v>2224</v>
      </c>
      <c r="AC47" s="36" t="s">
        <v>2481</v>
      </c>
      <c r="AD47" s="68" t="s">
        <v>2224</v>
      </c>
    </row>
    <row r="48" spans="1:30" ht="6.75" customHeight="1" x14ac:dyDescent="0.2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2701</v>
      </c>
      <c r="Z48" s="68" t="s">
        <v>2224</v>
      </c>
      <c r="AA48" s="36" t="s">
        <v>2699</v>
      </c>
      <c r="AB48" s="68" t="s">
        <v>2224</v>
      </c>
      <c r="AC48" s="36" t="s">
        <v>2533</v>
      </c>
      <c r="AD48" s="68" t="s">
        <v>2224</v>
      </c>
    </row>
    <row r="49" spans="1:30" ht="6.75" customHeight="1" x14ac:dyDescent="0.2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2701</v>
      </c>
      <c r="Z49" s="68" t="s">
        <v>2224</v>
      </c>
      <c r="AA49" s="36" t="s">
        <v>2699</v>
      </c>
      <c r="AB49" s="68" t="s">
        <v>2224</v>
      </c>
      <c r="AC49" s="36" t="s">
        <v>2513</v>
      </c>
      <c r="AD49" s="68" t="s">
        <v>2224</v>
      </c>
    </row>
    <row r="50" spans="1:30" ht="6.75" customHeight="1" x14ac:dyDescent="0.2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2701</v>
      </c>
      <c r="Z50" s="68" t="s">
        <v>2224</v>
      </c>
      <c r="AA50" s="36" t="s">
        <v>2699</v>
      </c>
      <c r="AB50" s="68" t="s">
        <v>2224</v>
      </c>
      <c r="AC50" s="36" t="s">
        <v>2534</v>
      </c>
      <c r="AD50" s="68" t="s">
        <v>2224</v>
      </c>
    </row>
    <row r="51" spans="1:30" ht="6.75" customHeight="1" x14ac:dyDescent="0.2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2701</v>
      </c>
      <c r="Z51" s="68" t="s">
        <v>2224</v>
      </c>
      <c r="AA51" s="36" t="s">
        <v>2699</v>
      </c>
      <c r="AB51" s="68" t="s">
        <v>2224</v>
      </c>
      <c r="AC51" s="36" t="s">
        <v>2546</v>
      </c>
      <c r="AD51" s="68" t="s">
        <v>2224</v>
      </c>
    </row>
    <row r="52" spans="1:30" ht="6.75" customHeight="1" x14ac:dyDescent="0.2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2701</v>
      </c>
      <c r="Z52" s="68" t="s">
        <v>2224</v>
      </c>
      <c r="AA52" s="36" t="s">
        <v>2699</v>
      </c>
      <c r="AB52" s="68" t="s">
        <v>2224</v>
      </c>
      <c r="AC52" s="36" t="s">
        <v>2531</v>
      </c>
      <c r="AD52" s="68" t="s">
        <v>2224</v>
      </c>
    </row>
    <row r="53" spans="1:30" ht="6.75" customHeight="1" x14ac:dyDescent="0.2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2701</v>
      </c>
      <c r="Z53" s="68" t="s">
        <v>2224</v>
      </c>
      <c r="AA53" s="36" t="s">
        <v>2699</v>
      </c>
      <c r="AB53" s="68" t="s">
        <v>2224</v>
      </c>
      <c r="AC53" s="36" t="s">
        <v>2535</v>
      </c>
      <c r="AD53" s="68" t="s">
        <v>2224</v>
      </c>
    </row>
    <row r="54" spans="1:30" ht="6.75" customHeight="1" x14ac:dyDescent="0.2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2701</v>
      </c>
      <c r="Z54" s="68" t="s">
        <v>2224</v>
      </c>
      <c r="AA54" s="36" t="s">
        <v>2699</v>
      </c>
      <c r="AB54" s="68" t="s">
        <v>2224</v>
      </c>
      <c r="AC54" s="36" t="s">
        <v>2536</v>
      </c>
      <c r="AD54" s="68" t="s">
        <v>2224</v>
      </c>
    </row>
    <row r="55" spans="1:30" ht="6.75" customHeight="1" x14ac:dyDescent="0.2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2701</v>
      </c>
      <c r="Z55" s="68" t="s">
        <v>2224</v>
      </c>
      <c r="AA55" s="36" t="s">
        <v>2699</v>
      </c>
      <c r="AB55" s="68" t="s">
        <v>2224</v>
      </c>
      <c r="AC55" s="36" t="s">
        <v>2532</v>
      </c>
      <c r="AD55" s="68" t="s">
        <v>2224</v>
      </c>
    </row>
    <row r="56" spans="1:30" ht="6.75" customHeight="1" x14ac:dyDescent="0.2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2701</v>
      </c>
      <c r="Z56" s="68" t="s">
        <v>2224</v>
      </c>
      <c r="AA56" s="36" t="s">
        <v>2699</v>
      </c>
      <c r="AB56" s="68" t="s">
        <v>2224</v>
      </c>
      <c r="AC56" s="36" t="s">
        <v>2545</v>
      </c>
      <c r="AD56" s="68" t="s">
        <v>2224</v>
      </c>
    </row>
    <row r="57" spans="1:30" ht="6.75" customHeight="1" x14ac:dyDescent="0.2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2701</v>
      </c>
      <c r="Z57" s="68" t="s">
        <v>2224</v>
      </c>
      <c r="AA57" s="36" t="s">
        <v>2699</v>
      </c>
      <c r="AB57" s="68" t="s">
        <v>2224</v>
      </c>
      <c r="AC57" s="36" t="s">
        <v>2489</v>
      </c>
      <c r="AD57" s="68" t="s">
        <v>2224</v>
      </c>
    </row>
    <row r="58" spans="1:30" ht="6.75" customHeight="1" x14ac:dyDescent="0.2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2701</v>
      </c>
      <c r="Z58" s="68" t="s">
        <v>2224</v>
      </c>
      <c r="AA58" s="36" t="s">
        <v>2699</v>
      </c>
      <c r="AB58" s="68" t="s">
        <v>2224</v>
      </c>
      <c r="AC58" s="36" t="s">
        <v>2492</v>
      </c>
      <c r="AD58" s="68" t="s">
        <v>2224</v>
      </c>
    </row>
    <row r="59" spans="1:30" ht="6.75" customHeight="1" x14ac:dyDescent="0.2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2701</v>
      </c>
      <c r="Z59" s="68" t="s">
        <v>2224</v>
      </c>
      <c r="AA59" s="36" t="s">
        <v>2699</v>
      </c>
      <c r="AB59" s="68" t="s">
        <v>2224</v>
      </c>
      <c r="AC59" s="36" t="s">
        <v>2529</v>
      </c>
      <c r="AD59" s="68" t="s">
        <v>2224</v>
      </c>
    </row>
    <row r="60" spans="1:30" ht="6.75" customHeight="1" x14ac:dyDescent="0.2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2701</v>
      </c>
      <c r="Z60" s="68" t="s">
        <v>2224</v>
      </c>
      <c r="AA60" s="36" t="s">
        <v>2699</v>
      </c>
      <c r="AB60" s="68" t="s">
        <v>2224</v>
      </c>
      <c r="AC60" s="36" t="s">
        <v>2477</v>
      </c>
      <c r="AD60" s="68" t="s">
        <v>2224</v>
      </c>
    </row>
    <row r="61" spans="1:30" ht="6.75" customHeight="1" x14ac:dyDescent="0.2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2701</v>
      </c>
      <c r="Z61" s="68" t="s">
        <v>2224</v>
      </c>
      <c r="AA61" s="36" t="s">
        <v>2699</v>
      </c>
      <c r="AB61" s="68" t="s">
        <v>2224</v>
      </c>
      <c r="AC61" s="36" t="s">
        <v>2495</v>
      </c>
      <c r="AD61" s="68" t="s">
        <v>2224</v>
      </c>
    </row>
    <row r="62" spans="1:30" ht="6.75" customHeight="1" x14ac:dyDescent="0.2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7" si="47">CONCATENATE("Key-ABNT-",A62)</f>
        <v>Key-ABNT-62</v>
      </c>
      <c r="Y62" s="36" t="s">
        <v>2701</v>
      </c>
      <c r="Z62" s="68" t="s">
        <v>2224</v>
      </c>
      <c r="AA62" s="36" t="s">
        <v>2699</v>
      </c>
      <c r="AB62" s="68" t="s">
        <v>2224</v>
      </c>
      <c r="AC62" s="36" t="s">
        <v>2493</v>
      </c>
      <c r="AD62" s="68" t="s">
        <v>2224</v>
      </c>
    </row>
    <row r="63" spans="1:30" s="69" customFormat="1" ht="6.75" customHeight="1" x14ac:dyDescent="0.2">
      <c r="A63" s="44">
        <v>63</v>
      </c>
      <c r="B63" s="45" t="s">
        <v>2705</v>
      </c>
      <c r="C63" s="28" t="s">
        <v>2720</v>
      </c>
      <c r="D63" s="28" t="s">
        <v>2721</v>
      </c>
      <c r="E63" s="28" t="s">
        <v>2722</v>
      </c>
      <c r="F63" s="28" t="s">
        <v>2729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7" si="48">SUBSTITUTE(CONCATENATE("", C63), ".", " ")</f>
        <v>De API</v>
      </c>
      <c r="M63" s="46" t="str">
        <f t="shared" si="48"/>
        <v>Macros</v>
      </c>
      <c r="N63" s="46" t="str">
        <f t="shared" si="48"/>
        <v>Métodos</v>
      </c>
      <c r="O63" s="46" t="str">
        <f t="shared" si="48"/>
        <v>Função Auxiliar</v>
      </c>
      <c r="P63" s="36" t="s">
        <v>2730</v>
      </c>
      <c r="Q63" s="36" t="s">
        <v>2731</v>
      </c>
      <c r="R63" s="36" t="s">
        <v>2732</v>
      </c>
      <c r="S63" s="36" t="s">
        <v>2224</v>
      </c>
      <c r="T63" s="36" t="str">
        <f t="shared" ref="T63:V67" si="49">SUBSTITUTE(C63, ".", " ")</f>
        <v>De API</v>
      </c>
      <c r="U63" s="36" t="str">
        <f t="shared" si="49"/>
        <v>Macros</v>
      </c>
      <c r="V63" s="47" t="str">
        <f t="shared" si="49"/>
        <v>Métodos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  <c r="AD63" s="68" t="s">
        <v>2224</v>
      </c>
    </row>
    <row r="64" spans="1:30" s="69" customFormat="1" ht="6.75" customHeight="1" x14ac:dyDescent="0.2">
      <c r="A64" s="44">
        <v>64</v>
      </c>
      <c r="B64" s="45" t="s">
        <v>2705</v>
      </c>
      <c r="C64" s="28" t="s">
        <v>2720</v>
      </c>
      <c r="D64" s="28" t="s">
        <v>2721</v>
      </c>
      <c r="E64" s="28" t="s">
        <v>2722</v>
      </c>
      <c r="F64" s="28" t="s">
        <v>2733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6" t="str">
        <f t="shared" si="48"/>
        <v>De API</v>
      </c>
      <c r="M64" s="46" t="str">
        <f t="shared" si="48"/>
        <v>Macros</v>
      </c>
      <c r="N64" s="46" t="str">
        <f t="shared" si="48"/>
        <v>Métodos</v>
      </c>
      <c r="O64" s="46" t="str">
        <f t="shared" si="48"/>
        <v>Função Global</v>
      </c>
      <c r="P64" s="36" t="s">
        <v>2734</v>
      </c>
      <c r="Q64" s="36" t="s">
        <v>2735</v>
      </c>
      <c r="R64" s="36" t="s">
        <v>2736</v>
      </c>
      <c r="S64" s="36" t="s">
        <v>2224</v>
      </c>
      <c r="T64" s="36" t="str">
        <f t="shared" si="49"/>
        <v>De API</v>
      </c>
      <c r="U64" s="36" t="str">
        <f t="shared" si="49"/>
        <v>Macros</v>
      </c>
      <c r="V64" s="47" t="str">
        <f t="shared" si="49"/>
        <v>Métodos</v>
      </c>
      <c r="W64" s="36" t="s">
        <v>2690</v>
      </c>
      <c r="X64" s="52" t="str">
        <f t="shared" si="47"/>
        <v>Key-ABNT-64</v>
      </c>
      <c r="Y64" s="68" t="s">
        <v>2224</v>
      </c>
      <c r="Z64" s="68" t="s">
        <v>2224</v>
      </c>
      <c r="AA64" s="68" t="s">
        <v>2224</v>
      </c>
      <c r="AB64" s="68" t="s">
        <v>2224</v>
      </c>
      <c r="AC64" s="68" t="s">
        <v>2224</v>
      </c>
      <c r="AD64" s="68" t="s">
        <v>2224</v>
      </c>
    </row>
    <row r="65" spans="1:30" s="69" customFormat="1" ht="6.75" customHeight="1" x14ac:dyDescent="0.2">
      <c r="A65" s="44">
        <v>65</v>
      </c>
      <c r="B65" s="45" t="s">
        <v>2705</v>
      </c>
      <c r="C65" s="28" t="s">
        <v>2720</v>
      </c>
      <c r="D65" s="28" t="s">
        <v>2721</v>
      </c>
      <c r="E65" s="28" t="s">
        <v>2722</v>
      </c>
      <c r="F65" s="28" t="s">
        <v>2737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6" t="str">
        <f t="shared" si="48"/>
        <v>De API</v>
      </c>
      <c r="M65" s="46" t="str">
        <f t="shared" si="48"/>
        <v>Macros</v>
      </c>
      <c r="N65" s="46" t="str">
        <f t="shared" si="48"/>
        <v>Métodos</v>
      </c>
      <c r="O65" s="46" t="str">
        <f t="shared" si="48"/>
        <v>Função Local</v>
      </c>
      <c r="P65" s="36" t="s">
        <v>2738</v>
      </c>
      <c r="Q65" s="36" t="s">
        <v>2739</v>
      </c>
      <c r="R65" s="36" t="s">
        <v>2740</v>
      </c>
      <c r="S65" s="36" t="s">
        <v>2224</v>
      </c>
      <c r="T65" s="36" t="str">
        <f t="shared" si="49"/>
        <v>De API</v>
      </c>
      <c r="U65" s="36" t="str">
        <f t="shared" si="49"/>
        <v>Macros</v>
      </c>
      <c r="V65" s="47" t="str">
        <f t="shared" si="49"/>
        <v>Métodos</v>
      </c>
      <c r="W65" s="36" t="s">
        <v>2690</v>
      </c>
      <c r="X65" s="52" t="str">
        <f t="shared" si="47"/>
        <v>Key-ABNT-65</v>
      </c>
      <c r="Y65" s="68" t="s">
        <v>2224</v>
      </c>
      <c r="Z65" s="68" t="s">
        <v>2224</v>
      </c>
      <c r="AA65" s="68" t="s">
        <v>2224</v>
      </c>
      <c r="AB65" s="68" t="s">
        <v>2224</v>
      </c>
      <c r="AC65" s="68" t="s">
        <v>2224</v>
      </c>
      <c r="AD65" s="68" t="s">
        <v>2224</v>
      </c>
    </row>
    <row r="66" spans="1:30" s="69" customFormat="1" ht="6.75" customHeight="1" x14ac:dyDescent="0.2">
      <c r="A66" s="44">
        <v>66</v>
      </c>
      <c r="B66" s="45" t="s">
        <v>2705</v>
      </c>
      <c r="C66" s="28" t="s">
        <v>2720</v>
      </c>
      <c r="D66" s="28" t="s">
        <v>2721</v>
      </c>
      <c r="E66" s="28" t="s">
        <v>2722</v>
      </c>
      <c r="F66" s="28" t="s">
        <v>2741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6" t="str">
        <f t="shared" si="48"/>
        <v>De API</v>
      </c>
      <c r="M66" s="46" t="str">
        <f t="shared" si="48"/>
        <v>Macros</v>
      </c>
      <c r="N66" s="46" t="str">
        <f t="shared" si="48"/>
        <v>Métodos</v>
      </c>
      <c r="O66" s="46" t="str">
        <f t="shared" si="48"/>
        <v>Função Filtro</v>
      </c>
      <c r="P66" s="36" t="s">
        <v>2742</v>
      </c>
      <c r="Q66" s="36" t="s">
        <v>2743</v>
      </c>
      <c r="R66" s="36" t="s">
        <v>2744</v>
      </c>
      <c r="S66" s="36" t="s">
        <v>2224</v>
      </c>
      <c r="T66" s="36" t="str">
        <f t="shared" si="49"/>
        <v>De API</v>
      </c>
      <c r="U66" s="36" t="str">
        <f t="shared" si="49"/>
        <v>Macros</v>
      </c>
      <c r="V66" s="47" t="str">
        <f t="shared" si="49"/>
        <v>Métodos</v>
      </c>
      <c r="W66" s="36" t="s">
        <v>2690</v>
      </c>
      <c r="X66" s="52" t="str">
        <f t="shared" si="47"/>
        <v>Key-ABNT-66</v>
      </c>
      <c r="Y66" s="68" t="s">
        <v>2224</v>
      </c>
      <c r="Z66" s="68" t="s">
        <v>2224</v>
      </c>
      <c r="AA66" s="68" t="s">
        <v>2224</v>
      </c>
      <c r="AB66" s="68" t="s">
        <v>2224</v>
      </c>
      <c r="AC66" s="68" t="s">
        <v>2224</v>
      </c>
      <c r="AD66" s="68" t="s">
        <v>2224</v>
      </c>
    </row>
    <row r="67" spans="1:30" s="69" customFormat="1" ht="6.75" customHeight="1" x14ac:dyDescent="0.2">
      <c r="A67" s="44">
        <v>67</v>
      </c>
      <c r="B67" s="45" t="s">
        <v>2705</v>
      </c>
      <c r="C67" s="28" t="s">
        <v>2720</v>
      </c>
      <c r="D67" s="28" t="s">
        <v>2721</v>
      </c>
      <c r="E67" s="28" t="s">
        <v>2745</v>
      </c>
      <c r="F67" s="28" t="s">
        <v>2746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6" t="str">
        <f t="shared" si="48"/>
        <v>De API</v>
      </c>
      <c r="M67" s="46" t="str">
        <f t="shared" si="48"/>
        <v>Macros</v>
      </c>
      <c r="N67" s="46" t="str">
        <f t="shared" si="48"/>
        <v>Códigos Visuais</v>
      </c>
      <c r="O67" s="46" t="str">
        <f t="shared" si="48"/>
        <v>Bloco de Código</v>
      </c>
      <c r="P67" s="36" t="s">
        <v>2747</v>
      </c>
      <c r="Q67" s="36" t="s">
        <v>2748</v>
      </c>
      <c r="R67" s="36" t="s">
        <v>2749</v>
      </c>
      <c r="S67" s="36" t="s">
        <v>2224</v>
      </c>
      <c r="T67" s="36" t="str">
        <f t="shared" si="49"/>
        <v>De API</v>
      </c>
      <c r="U67" s="36" t="str">
        <f t="shared" si="49"/>
        <v>Macros</v>
      </c>
      <c r="V67" s="47" t="str">
        <f t="shared" si="49"/>
        <v>Códigos Visuais</v>
      </c>
      <c r="W67" s="36" t="s">
        <v>2690</v>
      </c>
      <c r="X67" s="52" t="str">
        <f t="shared" si="47"/>
        <v>Key-ABNT-67</v>
      </c>
      <c r="Y67" s="68" t="s">
        <v>2224</v>
      </c>
      <c r="Z67" s="68" t="s">
        <v>2224</v>
      </c>
      <c r="AA67" s="68" t="s">
        <v>2224</v>
      </c>
      <c r="AB67" s="68" t="s">
        <v>2224</v>
      </c>
      <c r="AC67" s="68" t="s">
        <v>2224</v>
      </c>
      <c r="AD67" s="68" t="s">
        <v>2224</v>
      </c>
    </row>
  </sheetData>
  <conditionalFormatting sqref="A2:B67">
    <cfRule type="cellIs" dxfId="22" priority="1" operator="equal">
      <formula>"null"</formula>
    </cfRule>
  </conditionalFormatting>
  <conditionalFormatting sqref="E67:F67">
    <cfRule type="duplicateValues" dxfId="21" priority="2"/>
  </conditionalFormatting>
  <conditionalFormatting sqref="F2:F14">
    <cfRule type="duplicateValues" dxfId="20" priority="21"/>
  </conditionalFormatting>
  <conditionalFormatting sqref="F15:F62">
    <cfRule type="duplicateValues" dxfId="19" priority="75"/>
  </conditionalFormatting>
  <conditionalFormatting sqref="F63:F66">
    <cfRule type="duplicateValues" dxfId="18" priority="7"/>
  </conditionalFormatting>
  <conditionalFormatting sqref="F68:F1048576 F1">
    <cfRule type="duplicateValues" dxfId="17" priority="52"/>
  </conditionalFormatting>
  <conditionalFormatting sqref="R1:R62">
    <cfRule type="cellIs" dxfId="16" priority="8" operator="equal">
      <formula>"null"</formula>
    </cfRule>
  </conditionalFormatting>
  <conditionalFormatting sqref="Y2 AA2">
    <cfRule type="cellIs" dxfId="15" priority="1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opLeftCell="A1086" zoomScale="220" zoomScaleNormal="220" workbookViewId="0">
      <selection activeCell="C1102" sqref="C1102"/>
    </sheetView>
  </sheetViews>
  <sheetFormatPr defaultColWidth="8.83203125" defaultRowHeight="6" customHeight="1" x14ac:dyDescent="0.2"/>
  <cols>
    <col min="1" max="1" width="3.1640625" style="41" bestFit="1" customWidth="1"/>
    <col min="2" max="2" width="9.83203125" style="41" bestFit="1" customWidth="1"/>
    <col min="3" max="3" width="16.6640625" style="41" bestFit="1" customWidth="1"/>
    <col min="4" max="4" width="8.1640625" style="41" bestFit="1" customWidth="1"/>
    <col min="5" max="5" width="5.83203125" style="41" bestFit="1" customWidth="1"/>
    <col min="6" max="6" width="3.6640625" style="41" bestFit="1" customWidth="1"/>
    <col min="7" max="7" width="7.6640625" style="41" bestFit="1" customWidth="1"/>
    <col min="8" max="8" width="3.1640625" style="41" bestFit="1" customWidth="1"/>
    <col min="9" max="9" width="5.1640625" style="41" bestFit="1" customWidth="1"/>
    <col min="10" max="10" width="3.1640625" style="41" bestFit="1" customWidth="1"/>
    <col min="11" max="11" width="8.1640625" style="41" bestFit="1" customWidth="1"/>
    <col min="12" max="12" width="4.83203125" style="41" bestFit="1" customWidth="1"/>
    <col min="13" max="13" width="27.83203125" style="41" bestFit="1" customWidth="1"/>
    <col min="14" max="14" width="5.33203125" style="41" bestFit="1" customWidth="1"/>
    <col min="15" max="15" width="43.5" style="41" bestFit="1" customWidth="1"/>
    <col min="16" max="16" width="7.5" style="41" bestFit="1" customWidth="1"/>
    <col min="17" max="17" width="11" style="41" bestFit="1" customWidth="1"/>
    <col min="18" max="18" width="5.1640625" style="41" bestFit="1" customWidth="1"/>
    <col min="19" max="19" width="8.5" style="41" bestFit="1" customWidth="1"/>
    <col min="20" max="20" width="3.1640625" style="70" bestFit="1" customWidth="1"/>
    <col min="21" max="21" width="3.6640625" style="70" bestFit="1" customWidth="1"/>
    <col min="22" max="22" width="3.1640625" style="70" bestFit="1" customWidth="1"/>
    <col min="23" max="23" width="3.6640625" style="70" bestFit="1" customWidth="1"/>
    <col min="24" max="24" width="3.1640625" style="41" bestFit="1" customWidth="1"/>
    <col min="25" max="25" width="3.6640625" style="41" bestFit="1" customWidth="1"/>
    <col min="26" max="26" width="3.1640625" style="41" bestFit="1" customWidth="1"/>
    <col min="27" max="27" width="3.6640625" style="41" bestFit="1" customWidth="1"/>
    <col min="28" max="28" width="3.1640625" style="41" bestFit="1" customWidth="1"/>
    <col min="29" max="29" width="3.6640625" style="41" bestFit="1" customWidth="1"/>
    <col min="30" max="30" width="3.1640625" style="41" bestFit="1" customWidth="1"/>
    <col min="31" max="31" width="3.6640625" style="41" bestFit="1" customWidth="1"/>
    <col min="32" max="32" width="3.1640625" style="41" bestFit="1" customWidth="1"/>
    <col min="33" max="33" width="3.6640625" style="41" bestFit="1" customWidth="1"/>
    <col min="34" max="16384" width="8.83203125" style="41"/>
  </cols>
  <sheetData>
    <row r="1" spans="1:3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1" t="s">
        <v>1125</v>
      </c>
      <c r="Y1" s="71" t="s">
        <v>2</v>
      </c>
      <c r="Z1" s="71" t="s">
        <v>1125</v>
      </c>
      <c r="AA1" s="71" t="s">
        <v>2</v>
      </c>
      <c r="AB1" s="71" t="s">
        <v>1125</v>
      </c>
      <c r="AC1" s="71" t="s">
        <v>2</v>
      </c>
      <c r="AD1" s="71" t="s">
        <v>1125</v>
      </c>
      <c r="AE1" s="71" t="s">
        <v>2</v>
      </c>
      <c r="AF1" s="71" t="s">
        <v>1125</v>
      </c>
      <c r="AG1" s="71" t="s">
        <v>2</v>
      </c>
    </row>
    <row r="2" spans="1:33" ht="6" customHeight="1" x14ac:dyDescent="0.2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2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2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2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2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2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2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2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2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2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2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2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2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2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2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2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2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2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2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2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2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2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2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2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2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2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2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2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2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2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2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2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2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2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2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2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2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2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2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2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2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2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2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2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2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2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2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2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2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2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2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2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2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2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2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2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2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2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2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2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2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2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2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2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2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2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2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2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2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2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2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2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2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2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2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2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2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2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2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2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2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2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2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2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2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2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2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2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2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2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2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2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2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2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2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2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2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2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2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2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2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2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2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2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2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2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2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2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2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2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2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2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2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2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2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2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2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2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2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2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2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2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2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2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2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2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2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2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2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2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2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2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2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2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2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2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2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2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2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2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2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2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2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2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2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2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2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2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2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2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2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2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2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2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2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2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2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2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2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2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2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2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2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2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2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2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2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2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2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2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2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2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2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2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2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2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2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2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2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2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2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2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2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2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2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2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2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2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2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2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2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2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2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2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2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2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2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2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2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2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2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2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2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2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2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2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2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2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2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2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2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2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2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2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2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2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2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2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2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2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2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2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2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2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2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2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2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2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2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2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2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2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2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2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2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2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2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2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2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2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2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2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2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2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2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2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2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2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2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2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2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2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2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2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2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2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2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2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2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2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2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2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2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2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2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2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2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2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2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2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2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2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2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2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2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2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2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2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2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2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2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2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2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2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2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2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2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2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2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2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2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2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2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2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2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2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2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2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2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2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2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2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2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2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2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2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2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2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2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2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2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2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2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2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2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2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2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2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2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2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2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2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2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2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2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2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2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2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2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2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2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2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2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2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2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2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2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2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2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2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2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2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2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2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2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2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2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2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2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2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2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2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2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2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2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2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2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2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2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2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2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2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2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2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2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2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2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2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2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2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2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2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2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2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2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2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2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2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2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2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2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2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2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2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2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2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2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2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2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2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2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2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2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2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2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2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2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2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2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2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2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2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2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2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2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2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2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2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2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2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2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2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2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2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2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2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2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2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2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2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2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2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2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2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2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2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2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2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2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2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2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2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2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2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2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2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2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2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2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2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2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2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2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2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2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2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2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2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2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2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2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2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2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2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2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2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2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2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2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2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2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2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2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2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2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2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2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2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2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2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2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2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2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2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2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2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2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2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2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2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2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2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2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2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2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2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2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2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2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2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2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2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2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2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2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2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2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2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2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2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2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2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2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2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2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2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2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2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2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2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2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2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2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2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2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2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2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2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2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2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2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2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2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2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2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2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2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2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2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2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2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2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2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2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2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2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2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2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2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2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2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2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2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2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2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2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2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2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2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2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2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2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2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2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2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2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2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2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2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2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2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2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2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2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2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2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2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2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2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2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2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2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2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2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2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2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2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2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2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2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2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2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2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2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2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2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2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2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2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2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2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2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2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2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2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2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2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2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2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2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2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2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2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2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2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2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2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2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2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2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2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2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2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2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2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2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2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2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2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2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2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2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2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2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2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2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2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2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2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2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2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2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2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2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2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2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2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2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2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2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2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2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2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2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2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2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2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2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2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2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2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2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2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2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2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2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2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2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2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2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2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2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2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2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2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2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2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2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2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2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2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2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2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2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2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2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2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2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2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2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2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2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2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2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2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2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2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2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2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2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2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2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2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2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2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2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2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2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2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2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2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2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2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2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2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2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2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2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2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2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2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2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2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2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2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2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2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2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2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2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2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2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2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2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2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2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2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2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2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2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2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2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2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2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2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2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2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2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2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2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2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2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2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2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2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2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2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2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2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2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2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2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2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2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2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2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2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2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2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2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2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2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2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2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2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2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2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2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2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2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2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2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2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2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2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2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2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2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2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2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2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2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2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2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2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2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2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2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2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2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2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2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2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2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2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2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2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2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2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2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2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2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2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2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2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2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2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2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2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2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2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2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2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2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2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2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2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2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2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2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2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2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2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2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2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2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2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2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2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2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2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2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2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2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2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2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2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2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2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2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2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2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2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2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2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2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2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2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2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2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2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2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2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2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2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2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2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2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2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2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2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2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2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2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2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2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2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2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2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2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2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2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2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2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2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2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2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2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2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2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2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2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2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2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2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2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2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2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2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2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2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2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2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2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2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2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2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2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2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2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2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2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2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2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2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2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2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2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2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2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2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2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2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2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2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2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2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2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2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2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2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2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2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2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2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2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2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2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2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2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2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2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2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2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2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2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2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2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2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2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2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2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2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2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2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2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2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2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2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2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2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2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2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2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2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2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2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2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2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2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2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2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2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2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2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2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2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2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2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2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2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2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2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2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2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2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2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2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2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2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2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2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2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2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2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2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2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2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2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2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2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2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2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2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2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2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2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2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2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2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2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2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2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2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2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2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2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2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2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2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2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2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2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2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2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2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2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2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2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2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2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2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2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2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2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2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2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2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2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2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2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2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2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2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2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2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2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2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2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2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2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2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2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2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2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2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2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2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2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2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2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2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2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2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2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2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2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2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2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2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2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2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2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2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2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2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2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2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2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2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2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2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2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2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2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2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2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2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2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2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2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2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2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2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2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2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2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2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2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2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2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2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2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2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2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2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">
      <c r="A1098" s="4">
        <v>1098</v>
      </c>
      <c r="B1098" s="42" t="s">
        <v>2704</v>
      </c>
      <c r="C1098" s="28" t="s">
        <v>2741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2723</v>
      </c>
      <c r="L1098" s="32" t="s">
        <v>2278</v>
      </c>
      <c r="M1098" s="6" t="s">
        <v>2706</v>
      </c>
      <c r="N1098" s="33" t="s">
        <v>1</v>
      </c>
      <c r="O1098" s="6" t="s">
        <v>2707</v>
      </c>
      <c r="P1098" s="72" t="str">
        <f t="shared" ref="P1098:P1102" si="0">IF(Q1098="null", "null", "método.revit")</f>
        <v>método.revit</v>
      </c>
      <c r="Q1098" s="73" t="s">
        <v>2724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">
      <c r="A1099" s="4">
        <v>1099</v>
      </c>
      <c r="B1099" s="42" t="s">
        <v>2708</v>
      </c>
      <c r="C1099" s="28" t="s">
        <v>2741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2723</v>
      </c>
      <c r="L1099" s="32" t="s">
        <v>2278</v>
      </c>
      <c r="M1099" s="6" t="s">
        <v>2709</v>
      </c>
      <c r="N1099" s="33" t="s">
        <v>1</v>
      </c>
      <c r="O1099" s="6" t="s">
        <v>2710</v>
      </c>
      <c r="P1099" s="72" t="str">
        <f t="shared" si="0"/>
        <v>método.revit</v>
      </c>
      <c r="Q1099" s="73" t="s">
        <v>2725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">
      <c r="A1100" s="4">
        <v>1100</v>
      </c>
      <c r="B1100" s="42" t="s">
        <v>2711</v>
      </c>
      <c r="C1100" s="28" t="s">
        <v>2741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2723</v>
      </c>
      <c r="L1100" s="32" t="s">
        <v>2278</v>
      </c>
      <c r="M1100" s="6" t="s">
        <v>2712</v>
      </c>
      <c r="N1100" s="33" t="s">
        <v>1</v>
      </c>
      <c r="O1100" s="6" t="s">
        <v>2713</v>
      </c>
      <c r="P1100" s="72" t="str">
        <f t="shared" si="0"/>
        <v>método.revit</v>
      </c>
      <c r="Q1100" s="73" t="s">
        <v>2726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">
      <c r="A1101" s="4">
        <v>1101</v>
      </c>
      <c r="B1101" s="42" t="s">
        <v>2714</v>
      </c>
      <c r="C1101" s="28" t="s">
        <v>2741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2723</v>
      </c>
      <c r="L1101" s="32" t="s">
        <v>2278</v>
      </c>
      <c r="M1101" s="6" t="s">
        <v>2715</v>
      </c>
      <c r="N1101" s="33" t="s">
        <v>1</v>
      </c>
      <c r="O1101" s="6" t="s">
        <v>2716</v>
      </c>
      <c r="P1101" s="72" t="str">
        <f t="shared" si="0"/>
        <v>método.revit</v>
      </c>
      <c r="Q1101" s="73" t="s">
        <v>2727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">
      <c r="A1102" s="4">
        <v>1102</v>
      </c>
      <c r="B1102" s="42" t="s">
        <v>2717</v>
      </c>
      <c r="C1102" s="28" t="s">
        <v>2741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2723</v>
      </c>
      <c r="L1102" s="32" t="s">
        <v>2278</v>
      </c>
      <c r="M1102" s="6" t="s">
        <v>2718</v>
      </c>
      <c r="N1102" s="33" t="s">
        <v>1</v>
      </c>
      <c r="O1102" s="6" t="s">
        <v>2719</v>
      </c>
      <c r="P1102" s="72" t="str">
        <f t="shared" si="0"/>
        <v>método.revit</v>
      </c>
      <c r="Q1102" s="73" t="s">
        <v>2728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12" priority="38"/>
  </conditionalFormatting>
  <conditionalFormatting sqref="B1098:B1102">
    <cfRule type="duplicateValues" dxfId="11" priority="28"/>
    <cfRule type="duplicateValues" dxfId="10" priority="29"/>
  </conditionalFormatting>
  <conditionalFormatting sqref="R1098:W1102">
    <cfRule type="cellIs" dxfId="9" priority="27" operator="equal">
      <formula>"null"</formula>
    </cfRule>
  </conditionalFormatting>
  <conditionalFormatting sqref="T1:W1097">
    <cfRule type="cellIs" dxfId="8" priority="39" operator="equal">
      <formula>"null"</formula>
    </cfRule>
  </conditionalFormatting>
  <conditionalFormatting sqref="X1">
    <cfRule type="cellIs" dxfId="7" priority="4" operator="equal">
      <formula>"null"</formula>
    </cfRule>
    <cfRule type="cellIs" dxfId="6" priority="5" operator="equal">
      <formula>"null"</formula>
    </cfRule>
  </conditionalFormatting>
  <conditionalFormatting sqref="X2:AG1102">
    <cfRule type="cellIs" dxfId="5" priority="2" operator="equal">
      <formula>"null"</formula>
    </cfRule>
  </conditionalFormatting>
  <conditionalFormatting sqref="Y1:AG1">
    <cfRule type="cellIs" dxfId="4" priority="14" operator="equal">
      <formula>"null"</formula>
    </cfRule>
  </conditionalFormatting>
  <conditionalFormatting sqref="Z1">
    <cfRule type="cellIs" dxfId="3" priority="13" operator="equal">
      <formula>"null"</formula>
    </cfRule>
  </conditionalFormatting>
  <conditionalFormatting sqref="AB1">
    <cfRule type="cellIs" dxfId="2" priority="12" operator="equal">
      <formula>"null"</formula>
    </cfRule>
  </conditionalFormatting>
  <conditionalFormatting sqref="AD1">
    <cfRule type="cellIs" dxfId="1" priority="11" operator="equal">
      <formula>"null"</formula>
    </cfRule>
  </conditionalFormatting>
  <conditionalFormatting sqref="AF1">
    <cfRule type="cellIs" dxfId="0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2026-09-03T19:30:59Z</dcterms:modified>
</cp:coreProperties>
</file>