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05BE79A-AF5A-4CC0-9D13-6932C2B2F11E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3" i="4"/>
  <c r="AA2" i="4"/>
  <c r="AA4" i="4"/>
  <c r="AA6" i="4"/>
  <c r="AA5" i="4"/>
  <c r="U28" i="4" l="1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B18" i="8"/>
  <c r="B6" i="8"/>
  <c r="B5" i="8"/>
  <c r="B20" i="8"/>
  <c r="Q28" i="4"/>
  <c r="Q27" i="4"/>
  <c r="AA25" i="4"/>
  <c r="Q23" i="4"/>
  <c r="AA22" i="4"/>
  <c r="AA21" i="4"/>
  <c r="Q25" i="4"/>
  <c r="AA23" i="4"/>
  <c r="Q26" i="4"/>
  <c r="AA27" i="4"/>
  <c r="Q20" i="4"/>
  <c r="AA26" i="4"/>
  <c r="Q22" i="4"/>
  <c r="AA28" i="4"/>
  <c r="Q21" i="4"/>
  <c r="AA20" i="4"/>
  <c r="AA24" i="4"/>
  <c r="Q24" i="4"/>
  <c r="B21" i="8" l="1"/>
</calcChain>
</file>

<file path=xl/sharedStrings.xml><?xml version="1.0" encoding="utf-8"?>
<sst xmlns="http://schemas.openxmlformats.org/spreadsheetml/2006/main" count="4375" uniqueCount="546">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</sst>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0D90F96-026A-4EEB-BDCF-93327D239D7A}"/>
  </cellStyles>
  <dxfs count="7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70" dataDxfId="68" headerRowBorderDxfId="69" tableBorderDxfId="67" totalsRowBorderDxfId="66">
  <tableColumns count="25">
    <tableColumn id="1" xr3:uid="{D841A366-4823-4EF9-B009-219AA94AF50A}" name="1" headerRowDxfId="65" dataDxfId="64"/>
    <tableColumn id="2" xr3:uid="{41E717E1-E3DE-44C1-91C4-719DAB59A464}" name="Indivíduo" headerRowDxfId="63" dataDxfId="62"/>
    <tableColumn id="3" xr3:uid="{38346B1D-47C6-4B44-A19C-766D16435669}" name="Classe" headerRowDxfId="61" dataDxfId="60"/>
    <tableColumn id="5" xr3:uid="{27FF4C79-5131-4593-84DE-98F435DB6954}" name="Coluna2" headerRowDxfId="59" dataDxfId="58"/>
    <tableColumn id="4" xr3:uid="{B4C1140F-50EB-4951-8734-6338EB3CF628}" name="Coluna1" headerRowDxfId="57" dataDxfId="56"/>
    <tableColumn id="11" xr3:uid="{1EE4C35C-9E89-4C7C-8F68-2AC866434D95}" name="Coluna8" headerRowDxfId="55" dataDxfId="54"/>
    <tableColumn id="10" xr3:uid="{0C28831F-E05A-4812-BB49-6E3DB059FDDA}" name="Coluna7" headerRowDxfId="53" dataDxfId="52"/>
    <tableColumn id="9" xr3:uid="{C46F6396-5D54-4379-8FE7-47754ED408FB}" name="Coluna6" headerRowDxfId="51" dataDxfId="50"/>
    <tableColumn id="14" xr3:uid="{7255F88A-C196-4C7D-BC78-487E43C6076E}" name="Coluna9" headerRowDxfId="49" dataDxfId="48"/>
    <tableColumn id="15" xr3:uid="{CB39996D-E39C-41DF-9024-09188503F3A9}" name="Coluna10" headerRowDxfId="47" dataDxfId="46"/>
    <tableColumn id="8" xr3:uid="{DC6BCDF7-14DD-4B0D-951F-937897AADF11}" name="Coluna5" headerRowDxfId="45" dataDxfId="44"/>
    <tableColumn id="25" xr3:uid="{6E36A2EC-C3DA-4DF1-80AB-262ECBFDA8D3}" name="Coluna20" headerRowDxfId="43" dataDxfId="42"/>
    <tableColumn id="24" xr3:uid="{7DA1B28C-8D87-49B1-8B12-94BDA4E3634B}" name="Coluna19" headerRowDxfId="41" dataDxfId="40"/>
    <tableColumn id="12" xr3:uid="{72731FBF-D3F4-42FD-AF7E-09CD79716DE3}" name="Fato (11)" headerRowDxfId="39" dataDxfId="38"/>
    <tableColumn id="13" xr3:uid="{40ED8FBD-39D6-4C0F-867B-9AA8C9C09316}" name="Valor8" headerRowDxfId="37" dataDxfId="36"/>
    <tableColumn id="6" xr3:uid="{D7E37E62-C3F1-48D0-9ECE-1603C43E1947}" name="Coluna3" headerRowDxfId="35" dataDxfId="34"/>
    <tableColumn id="7" xr3:uid="{8EAEA0F2-9F55-4FEE-86F2-D1912AEFC7F4}" name="Coluna4" headerRowDxfId="33" dataDxfId="32"/>
    <tableColumn id="16" xr3:uid="{CB767617-3A28-42EC-8E47-CE6204F6D856}" name="Coluna11" headerRowDxfId="31" dataDxfId="30"/>
    <tableColumn id="17" xr3:uid="{E29ADF84-36FF-41F7-9847-17BC340BAE5F}" name="Coluna12" headerRowDxfId="29" dataDxfId="28"/>
    <tableColumn id="18" xr3:uid="{B5ADD4A7-EE28-45D9-B6FF-C285C2CD6E37}" name="Coluna13" headerRowDxfId="27" dataDxfId="26"/>
    <tableColumn id="19" xr3:uid="{7FEDF53D-D312-4CF1-8EB3-4A56B77DEAA1}" name="Coluna14" headerRowDxfId="25" dataDxfId="24"/>
    <tableColumn id="20" xr3:uid="{44C51568-5619-4D1B-B5B4-F2CF79CAB094}" name="Coluna15" headerRowDxfId="23" dataDxfId="22"/>
    <tableColumn id="21" xr3:uid="{2A7C2A78-BAF9-429F-B898-EF931D80D830}" name="Coluna16" headerRowDxfId="21" dataDxfId="20"/>
    <tableColumn id="22" xr3:uid="{3BB87186-A8C3-4EE2-9555-ACB7C40B9882}" name="Coluna17" headerRowDxfId="19" dataDxfId="18"/>
    <tableColumn id="23" xr3:uid="{C574DFC8-E441-4BB1-A97D-83D5A9C08508}" name="Coluna18" headerRowDxfId="17" dataDxfId="1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3"/>
  <cols>
    <col min="1" max="1" width="9.69921875" style="43" bestFit="1" customWidth="1"/>
    <col min="2" max="2" width="65.69921875" style="43" bestFit="1" customWidth="1"/>
    <col min="3" max="3" width="4.5" style="43" bestFit="1" customWidth="1"/>
    <col min="4" max="16384" width="11" style="43"/>
  </cols>
  <sheetData>
    <row r="1" spans="1:3" ht="19" customHeight="1" x14ac:dyDescent="0.3">
      <c r="A1" s="1" t="s">
        <v>4</v>
      </c>
      <c r="B1" s="1" t="s">
        <v>3</v>
      </c>
      <c r="C1" s="41" t="s">
        <v>403</v>
      </c>
    </row>
    <row r="2" spans="1:3" ht="7.4" customHeight="1" x14ac:dyDescent="0.3">
      <c r="A2" s="3" t="s">
        <v>168</v>
      </c>
      <c r="B2" s="3" t="s">
        <v>396</v>
      </c>
      <c r="C2" s="42" t="s">
        <v>404</v>
      </c>
    </row>
    <row r="3" spans="1:3" ht="7.4" customHeight="1" x14ac:dyDescent="0.3">
      <c r="A3" s="3" t="s">
        <v>169</v>
      </c>
      <c r="B3" s="3" t="s">
        <v>166</v>
      </c>
      <c r="C3" s="42" t="s">
        <v>404</v>
      </c>
    </row>
    <row r="4" spans="1:3" ht="7.4" customHeight="1" x14ac:dyDescent="0.3">
      <c r="A4" s="4" t="s">
        <v>5</v>
      </c>
      <c r="B4" s="4" t="s">
        <v>348</v>
      </c>
      <c r="C4" s="42" t="s">
        <v>404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2" t="s">
        <v>404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2" t="s">
        <v>404</v>
      </c>
    </row>
    <row r="7" spans="1:3" ht="7.4" customHeight="1" x14ac:dyDescent="0.3">
      <c r="A7" s="4" t="s">
        <v>8</v>
      </c>
      <c r="B7" s="4" t="s">
        <v>183</v>
      </c>
      <c r="C7" s="42" t="s">
        <v>404</v>
      </c>
    </row>
    <row r="8" spans="1:3" ht="7.4" customHeight="1" x14ac:dyDescent="0.3">
      <c r="A8" s="39" t="s">
        <v>9</v>
      </c>
      <c r="B8" s="39" t="s">
        <v>402</v>
      </c>
      <c r="C8" s="42" t="s">
        <v>404</v>
      </c>
    </row>
    <row r="9" spans="1:3" ht="7.4" customHeight="1" x14ac:dyDescent="0.3">
      <c r="A9" s="4" t="s">
        <v>170</v>
      </c>
      <c r="B9" s="4" t="s">
        <v>171</v>
      </c>
      <c r="C9" s="42" t="s">
        <v>404</v>
      </c>
    </row>
    <row r="10" spans="1:3" ht="7.4" customHeight="1" x14ac:dyDescent="0.3">
      <c r="A10" s="4" t="s">
        <v>172</v>
      </c>
      <c r="B10" s="4" t="s">
        <v>15</v>
      </c>
      <c r="C10" s="42" t="s">
        <v>404</v>
      </c>
    </row>
    <row r="11" spans="1:3" ht="7.4" customHeight="1" x14ac:dyDescent="0.3">
      <c r="A11" s="4" t="s">
        <v>173</v>
      </c>
      <c r="B11" s="4" t="s">
        <v>182</v>
      </c>
      <c r="C11" s="42" t="s">
        <v>404</v>
      </c>
    </row>
    <row r="12" spans="1:3" ht="7.4" customHeight="1" x14ac:dyDescent="0.3">
      <c r="A12" s="4" t="s">
        <v>10</v>
      </c>
      <c r="B12" s="4" t="s">
        <v>16</v>
      </c>
      <c r="C12" s="42" t="s">
        <v>404</v>
      </c>
    </row>
    <row r="13" spans="1:3" ht="7.4" customHeight="1" x14ac:dyDescent="0.3">
      <c r="A13" s="4" t="s">
        <v>174</v>
      </c>
      <c r="B13" s="4" t="s">
        <v>18</v>
      </c>
      <c r="C13" s="42" t="s">
        <v>404</v>
      </c>
    </row>
    <row r="14" spans="1:3" ht="7.4" customHeight="1" x14ac:dyDescent="0.3">
      <c r="A14" s="4" t="s">
        <v>175</v>
      </c>
      <c r="B14" s="4" t="s">
        <v>11</v>
      </c>
      <c r="C14" s="42" t="s">
        <v>404</v>
      </c>
    </row>
    <row r="15" spans="1:3" ht="7.4" customHeight="1" x14ac:dyDescent="0.3">
      <c r="A15" s="4" t="s">
        <v>176</v>
      </c>
      <c r="B15" s="4" t="s">
        <v>11</v>
      </c>
      <c r="C15" s="42" t="s">
        <v>404</v>
      </c>
    </row>
    <row r="16" spans="1:3" ht="7.4" customHeight="1" x14ac:dyDescent="0.3">
      <c r="A16" s="4" t="s">
        <v>177</v>
      </c>
      <c r="B16" s="4" t="s">
        <v>11</v>
      </c>
      <c r="C16" s="42" t="s">
        <v>404</v>
      </c>
    </row>
    <row r="17" spans="1:3" ht="7.4" customHeight="1" x14ac:dyDescent="0.3">
      <c r="A17" s="4" t="s">
        <v>12</v>
      </c>
      <c r="B17" s="4" t="s">
        <v>13</v>
      </c>
      <c r="C17" s="42" t="s">
        <v>404</v>
      </c>
    </row>
    <row r="18" spans="1:3" ht="7.4" customHeight="1" x14ac:dyDescent="0.3">
      <c r="A18" s="4" t="s">
        <v>178</v>
      </c>
      <c r="B18" s="5">
        <f ca="1">NOW()</f>
        <v>46232.780858680555</v>
      </c>
      <c r="C18" s="42" t="s">
        <v>404</v>
      </c>
    </row>
    <row r="19" spans="1:3" ht="7.4" customHeight="1" x14ac:dyDescent="0.3">
      <c r="A19" s="4" t="s">
        <v>415</v>
      </c>
      <c r="B19" s="5" t="s">
        <v>410</v>
      </c>
      <c r="C19" s="42" t="s">
        <v>404</v>
      </c>
    </row>
    <row r="20" spans="1:3" ht="7.4" customHeight="1" x14ac:dyDescent="0.3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4" customHeight="1" x14ac:dyDescent="0.3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4" customHeight="1" x14ac:dyDescent="0.3">
      <c r="A22" s="4" t="s">
        <v>167</v>
      </c>
      <c r="B22" s="4" t="s">
        <v>11</v>
      </c>
      <c r="C22" s="42" t="s">
        <v>404</v>
      </c>
    </row>
    <row r="23" spans="1:3" ht="7.4" customHeight="1" x14ac:dyDescent="0.3">
      <c r="A23" s="4" t="s">
        <v>179</v>
      </c>
      <c r="B23" s="4" t="s">
        <v>11</v>
      </c>
      <c r="C23" s="42" t="s">
        <v>404</v>
      </c>
    </row>
    <row r="24" spans="1:3" ht="7.4" customHeight="1" x14ac:dyDescent="0.3">
      <c r="A24" s="4" t="s">
        <v>184</v>
      </c>
      <c r="B24" s="4" t="s">
        <v>185</v>
      </c>
      <c r="C24" s="42" t="s">
        <v>404</v>
      </c>
    </row>
    <row r="25" spans="1:3" ht="7.4" customHeight="1" x14ac:dyDescent="0.3">
      <c r="A25" s="4" t="s">
        <v>186</v>
      </c>
      <c r="B25" s="4" t="s">
        <v>187</v>
      </c>
      <c r="C25" s="42" t="s">
        <v>405</v>
      </c>
    </row>
    <row r="26" spans="1:3" ht="7.4" customHeight="1" x14ac:dyDescent="0.3">
      <c r="A26" s="39" t="s">
        <v>400</v>
      </c>
      <c r="B26" s="40" t="s">
        <v>401</v>
      </c>
      <c r="C26" s="42" t="s">
        <v>406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8"/>
  <sheetViews>
    <sheetView tabSelected="1" zoomScale="280" zoomScaleNormal="280" workbookViewId="0">
      <pane ySplit="1" topLeftCell="A5" activePane="bottomLeft" state="frozen"/>
      <selection pane="bottomLeft" activeCell="A7" sqref="A7:XFD19"/>
    </sheetView>
  </sheetViews>
  <sheetFormatPr defaultRowHeight="6.75" customHeight="1" x14ac:dyDescent="0.3"/>
  <cols>
    <col min="1" max="1" width="2.296875" bestFit="1" customWidth="1"/>
    <col min="2" max="3" width="6.796875" style="34" customWidth="1"/>
    <col min="4" max="4" width="8.69921875" style="34" customWidth="1"/>
    <col min="5" max="5" width="5.796875" style="34" bestFit="1" customWidth="1"/>
    <col min="6" max="6" width="14" style="34" bestFit="1" customWidth="1"/>
    <col min="7" max="11" width="8.69921875" style="34" bestFit="1" customWidth="1"/>
    <col min="12" max="12" width="7" customWidth="1"/>
    <col min="13" max="13" width="7.296875" bestFit="1" customWidth="1"/>
    <col min="14" max="14" width="7" customWidth="1"/>
    <col min="15" max="15" width="12" bestFit="1" customWidth="1"/>
    <col min="16" max="16" width="62" bestFit="1" customWidth="1"/>
    <col min="17" max="17" width="60.69921875" bestFit="1" customWidth="1"/>
    <col min="18" max="18" width="5.796875" style="34" customWidth="1"/>
    <col min="19" max="19" width="7" customWidth="1"/>
    <col min="20" max="20" width="9.19921875" customWidth="1"/>
    <col min="21" max="21" width="8" customWidth="1"/>
    <col min="22" max="22" width="8.19921875" customWidth="1"/>
    <col min="23" max="23" width="8.69921875" style="34" customWidth="1"/>
    <col min="26" max="26" width="7.296875" customWidth="1"/>
    <col min="27" max="27" width="64.5" bestFit="1" customWidth="1"/>
  </cols>
  <sheetData>
    <row r="1" spans="1:27" ht="37.5" customHeight="1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4" t="s">
        <v>393</v>
      </c>
      <c r="S1" s="24" t="s">
        <v>351</v>
      </c>
      <c r="T1" s="24" t="s">
        <v>370</v>
      </c>
      <c r="U1" s="24" t="s">
        <v>353</v>
      </c>
      <c r="V1" s="24" t="s">
        <v>352</v>
      </c>
      <c r="W1" s="60" t="s">
        <v>371</v>
      </c>
      <c r="X1" s="24" t="s">
        <v>397</v>
      </c>
      <c r="Y1" s="24" t="s">
        <v>398</v>
      </c>
      <c r="Z1" s="24" t="s">
        <v>372</v>
      </c>
      <c r="AA1" s="37" t="s">
        <v>399</v>
      </c>
    </row>
    <row r="2" spans="1:27" s="34" customFormat="1" ht="6.75" customHeight="1" x14ac:dyDescent="0.3">
      <c r="A2" s="49">
        <v>2</v>
      </c>
      <c r="B2" s="50" t="s">
        <v>495</v>
      </c>
      <c r="C2" s="50" t="s">
        <v>419</v>
      </c>
      <c r="D2" s="50" t="s">
        <v>421</v>
      </c>
      <c r="E2" s="51" t="s">
        <v>496</v>
      </c>
      <c r="F2" s="51" t="s">
        <v>420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2" t="str">
        <f t="shared" ref="L2:N17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497</v>
      </c>
      <c r="Q2" s="38" t="s">
        <v>498</v>
      </c>
      <c r="R2" s="38" t="s">
        <v>181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422</v>
      </c>
      <c r="W2" s="59" t="str">
        <f>CONCATENATE("Key-ABNT-",A2)</f>
        <v>Key-ABNT-2</v>
      </c>
      <c r="X2" s="38" t="s">
        <v>181</v>
      </c>
      <c r="Y2" s="38" t="s">
        <v>181</v>
      </c>
      <c r="Z2" s="38" t="s">
        <v>499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4" customFormat="1" ht="6.75" customHeight="1" x14ac:dyDescent="0.3">
      <c r="A3" s="49">
        <v>3</v>
      </c>
      <c r="B3" s="50" t="s">
        <v>495</v>
      </c>
      <c r="C3" s="50" t="s">
        <v>419</v>
      </c>
      <c r="D3" s="50" t="s">
        <v>421</v>
      </c>
      <c r="E3" s="51" t="s">
        <v>496</v>
      </c>
      <c r="F3" s="51" t="s">
        <v>423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500</v>
      </c>
      <c r="Q3" s="38" t="s">
        <v>498</v>
      </c>
      <c r="R3" s="38" t="s">
        <v>181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422</v>
      </c>
      <c r="W3" s="59" t="str">
        <f t="shared" ref="W3:W28" si="4">CONCATENATE("Key-ABNT-",A3)</f>
        <v>Key-ABNT-3</v>
      </c>
      <c r="X3" s="38" t="s">
        <v>181</v>
      </c>
      <c r="Y3" s="38" t="s">
        <v>181</v>
      </c>
      <c r="Z3" s="38" t="s">
        <v>181</v>
      </c>
      <c r="AA3" s="38" t="str">
        <f t="shared" si="3"/>
        <v>Defines an information container in accordance with the NBR 19650-1 standard. Spatial Requirements for the Project.</v>
      </c>
    </row>
    <row r="4" spans="1:27" s="34" customFormat="1" ht="6.75" customHeight="1" x14ac:dyDescent="0.3">
      <c r="A4" s="49">
        <v>4</v>
      </c>
      <c r="B4" s="50" t="s">
        <v>495</v>
      </c>
      <c r="C4" s="50" t="s">
        <v>419</v>
      </c>
      <c r="D4" s="50" t="s">
        <v>421</v>
      </c>
      <c r="E4" s="51" t="s">
        <v>496</v>
      </c>
      <c r="F4" s="51" t="s">
        <v>424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501</v>
      </c>
      <c r="Q4" s="38" t="s">
        <v>498</v>
      </c>
      <c r="R4" s="38" t="s">
        <v>181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422</v>
      </c>
      <c r="W4" s="59" t="str">
        <f t="shared" si="4"/>
        <v>Key-ABNT-4</v>
      </c>
      <c r="X4" s="38" t="s">
        <v>181</v>
      </c>
      <c r="Y4" s="38" t="s">
        <v>181</v>
      </c>
      <c r="Z4" s="38" t="s">
        <v>181</v>
      </c>
      <c r="AA4" s="38" t="str">
        <f t="shared" si="3"/>
        <v>Defines an information container in accordance with the NBR 19650-1 standard. Furniture Requirements for the Project.</v>
      </c>
    </row>
    <row r="5" spans="1:27" s="34" customFormat="1" ht="6.75" customHeight="1" x14ac:dyDescent="0.3">
      <c r="A5" s="49">
        <v>5</v>
      </c>
      <c r="B5" s="50" t="s">
        <v>495</v>
      </c>
      <c r="C5" s="50" t="s">
        <v>419</v>
      </c>
      <c r="D5" s="50" t="s">
        <v>421</v>
      </c>
      <c r="E5" s="51" t="s">
        <v>496</v>
      </c>
      <c r="F5" s="51" t="s">
        <v>425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502</v>
      </c>
      <c r="Q5" s="38" t="s">
        <v>498</v>
      </c>
      <c r="R5" s="38" t="s">
        <v>181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422</v>
      </c>
      <c r="W5" s="59" t="str">
        <f t="shared" si="4"/>
        <v>Key-ABNT-5</v>
      </c>
      <c r="X5" s="38" t="s">
        <v>181</v>
      </c>
      <c r="Y5" s="38" t="s">
        <v>181</v>
      </c>
      <c r="Z5" s="38" t="s">
        <v>181</v>
      </c>
      <c r="AA5" s="38" t="str">
        <f t="shared" si="3"/>
        <v>Defines an information container in accordance with the NBR 19650-1 standard. Equipment Requirements for the Project.</v>
      </c>
    </row>
    <row r="6" spans="1:27" s="34" customFormat="1" ht="6.75" customHeight="1" x14ac:dyDescent="0.3">
      <c r="A6" s="49">
        <v>6</v>
      </c>
      <c r="B6" s="50" t="s">
        <v>495</v>
      </c>
      <c r="C6" s="50" t="s">
        <v>419</v>
      </c>
      <c r="D6" s="50" t="s">
        <v>421</v>
      </c>
      <c r="E6" s="51" t="s">
        <v>496</v>
      </c>
      <c r="F6" s="51" t="s">
        <v>426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503</v>
      </c>
      <c r="Q6" s="38" t="s">
        <v>498</v>
      </c>
      <c r="R6" s="38" t="s">
        <v>181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422</v>
      </c>
      <c r="W6" s="59" t="str">
        <f t="shared" si="4"/>
        <v>Key-ABNT-6</v>
      </c>
      <c r="X6" s="38" t="s">
        <v>181</v>
      </c>
      <c r="Y6" s="38" t="s">
        <v>181</v>
      </c>
      <c r="Z6" s="38" t="s">
        <v>181</v>
      </c>
      <c r="AA6" s="38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9">
        <v>7</v>
      </c>
      <c r="B7" s="50" t="s">
        <v>495</v>
      </c>
      <c r="C7" s="33" t="s">
        <v>504</v>
      </c>
      <c r="D7" s="33" t="s">
        <v>372</v>
      </c>
      <c r="E7" s="33" t="s">
        <v>451</v>
      </c>
      <c r="F7" s="26" t="s">
        <v>452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2" t="str">
        <f t="shared" si="0"/>
        <v>Normativo</v>
      </c>
      <c r="M7" s="52" t="str">
        <f t="shared" si="0"/>
        <v>ABNT</v>
      </c>
      <c r="N7" s="52" t="str">
        <f t="shared" si="0"/>
        <v>NBR.Parte</v>
      </c>
      <c r="O7" s="52" t="str">
        <f t="shared" ref="O7:O19" si="5">F7</f>
        <v>NBR.0M</v>
      </c>
      <c r="P7" s="52" t="s">
        <v>506</v>
      </c>
      <c r="Q7" s="52" t="s">
        <v>507</v>
      </c>
      <c r="R7" s="38" t="s">
        <v>181</v>
      </c>
      <c r="S7" s="53" t="str">
        <f t="shared" ref="S7:U19" si="6">SUBSTITUTE(C7, "_", " ")</f>
        <v>Normativo</v>
      </c>
      <c r="T7" s="53" t="str">
        <f t="shared" si="6"/>
        <v>ABNT</v>
      </c>
      <c r="U7" s="52" t="str">
        <f t="shared" si="6"/>
        <v>NBR.Parte</v>
      </c>
      <c r="V7" s="38" t="s">
        <v>508</v>
      </c>
      <c r="W7" s="59" t="str">
        <f t="shared" si="4"/>
        <v>Key-ABNT-7</v>
      </c>
      <c r="X7" s="38" t="s">
        <v>181</v>
      </c>
      <c r="Y7" s="38" t="s">
        <v>181</v>
      </c>
      <c r="Z7" s="38" t="s">
        <v>427</v>
      </c>
      <c r="AA7" s="54" t="s">
        <v>509</v>
      </c>
    </row>
    <row r="8" spans="1:27" ht="6.75" customHeight="1" x14ac:dyDescent="0.3">
      <c r="A8" s="49">
        <v>8</v>
      </c>
      <c r="B8" s="50" t="s">
        <v>495</v>
      </c>
      <c r="C8" s="33" t="s">
        <v>504</v>
      </c>
      <c r="D8" s="33" t="s">
        <v>372</v>
      </c>
      <c r="E8" s="33" t="s">
        <v>451</v>
      </c>
      <c r="F8" s="26" t="s">
        <v>453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2" t="str">
        <f t="shared" si="0"/>
        <v>Normativo</v>
      </c>
      <c r="M8" s="52" t="str">
        <f t="shared" si="0"/>
        <v>ABNT</v>
      </c>
      <c r="N8" s="52" t="str">
        <f t="shared" si="0"/>
        <v>NBR.Parte</v>
      </c>
      <c r="O8" s="52" t="str">
        <f t="shared" si="5"/>
        <v>NBR.0P</v>
      </c>
      <c r="P8" s="52" t="s">
        <v>510</v>
      </c>
      <c r="Q8" s="52" t="s">
        <v>511</v>
      </c>
      <c r="R8" s="38" t="s">
        <v>181</v>
      </c>
      <c r="S8" s="53" t="str">
        <f t="shared" si="6"/>
        <v>Normativo</v>
      </c>
      <c r="T8" s="53" t="str">
        <f t="shared" si="6"/>
        <v>ABNT</v>
      </c>
      <c r="U8" s="52" t="str">
        <f t="shared" si="6"/>
        <v>NBR.Parte</v>
      </c>
      <c r="V8" s="38" t="s">
        <v>508</v>
      </c>
      <c r="W8" s="59" t="str">
        <f t="shared" si="4"/>
        <v>Key-ABNT-8</v>
      </c>
      <c r="X8" s="38" t="s">
        <v>181</v>
      </c>
      <c r="Y8" s="38" t="s">
        <v>181</v>
      </c>
      <c r="Z8" s="38" t="s">
        <v>428</v>
      </c>
      <c r="AA8" s="54" t="s">
        <v>512</v>
      </c>
    </row>
    <row r="9" spans="1:27" ht="6.75" customHeight="1" x14ac:dyDescent="0.3">
      <c r="A9" s="49">
        <v>9</v>
      </c>
      <c r="B9" s="50" t="s">
        <v>495</v>
      </c>
      <c r="C9" s="33" t="s">
        <v>504</v>
      </c>
      <c r="D9" s="33" t="s">
        <v>372</v>
      </c>
      <c r="E9" s="33" t="s">
        <v>451</v>
      </c>
      <c r="F9" s="26" t="s">
        <v>454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2" t="str">
        <f t="shared" si="0"/>
        <v>Normativo</v>
      </c>
      <c r="M9" s="52" t="str">
        <f t="shared" si="0"/>
        <v>ABNT</v>
      </c>
      <c r="N9" s="52" t="str">
        <f t="shared" si="0"/>
        <v>NBR.Parte</v>
      </c>
      <c r="O9" s="52" t="str">
        <f t="shared" si="5"/>
        <v>NBR.1D</v>
      </c>
      <c r="P9" s="52" t="s">
        <v>513</v>
      </c>
      <c r="Q9" s="52" t="s">
        <v>514</v>
      </c>
      <c r="R9" s="38" t="s">
        <v>181</v>
      </c>
      <c r="S9" s="53" t="str">
        <f t="shared" si="6"/>
        <v>Normativo</v>
      </c>
      <c r="T9" s="53" t="str">
        <f t="shared" si="6"/>
        <v>ABNT</v>
      </c>
      <c r="U9" s="52" t="str">
        <f t="shared" si="6"/>
        <v>NBR.Parte</v>
      </c>
      <c r="V9" s="38" t="s">
        <v>508</v>
      </c>
      <c r="W9" s="59" t="str">
        <f t="shared" si="4"/>
        <v>Key-ABNT-9</v>
      </c>
      <c r="X9" s="38" t="s">
        <v>181</v>
      </c>
      <c r="Y9" s="38" t="s">
        <v>181</v>
      </c>
      <c r="Z9" s="38" t="s">
        <v>429</v>
      </c>
      <c r="AA9" s="54" t="s">
        <v>515</v>
      </c>
    </row>
    <row r="10" spans="1:27" ht="6.75" customHeight="1" x14ac:dyDescent="0.3">
      <c r="A10" s="49">
        <v>10</v>
      </c>
      <c r="B10" s="50" t="s">
        <v>495</v>
      </c>
      <c r="C10" s="33" t="s">
        <v>504</v>
      </c>
      <c r="D10" s="33" t="s">
        <v>372</v>
      </c>
      <c r="E10" s="33" t="s">
        <v>451</v>
      </c>
      <c r="F10" s="26" t="s">
        <v>455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2" t="str">
        <f t="shared" si="0"/>
        <v>Normativo</v>
      </c>
      <c r="M10" s="52" t="str">
        <f t="shared" si="0"/>
        <v>ABNT</v>
      </c>
      <c r="N10" s="52" t="str">
        <f t="shared" si="0"/>
        <v>NBR.Parte</v>
      </c>
      <c r="O10" s="52" t="str">
        <f t="shared" si="5"/>
        <v>NBR.1F</v>
      </c>
      <c r="P10" s="52" t="s">
        <v>516</v>
      </c>
      <c r="Q10" s="52" t="s">
        <v>517</v>
      </c>
      <c r="R10" s="38" t="s">
        <v>181</v>
      </c>
      <c r="S10" s="53" t="str">
        <f t="shared" si="6"/>
        <v>Normativo</v>
      </c>
      <c r="T10" s="53" t="str">
        <f t="shared" si="6"/>
        <v>ABNT</v>
      </c>
      <c r="U10" s="52" t="str">
        <f t="shared" si="6"/>
        <v>NBR.Parte</v>
      </c>
      <c r="V10" s="38" t="s">
        <v>508</v>
      </c>
      <c r="W10" s="59" t="str">
        <f t="shared" si="4"/>
        <v>Key-ABNT-10</v>
      </c>
      <c r="X10" s="38" t="s">
        <v>181</v>
      </c>
      <c r="Y10" s="38" t="s">
        <v>181</v>
      </c>
      <c r="Z10" s="38" t="s">
        <v>430</v>
      </c>
      <c r="AA10" s="54" t="s">
        <v>518</v>
      </c>
    </row>
    <row r="11" spans="1:27" ht="6.75" customHeight="1" x14ac:dyDescent="0.3">
      <c r="A11" s="49">
        <v>11</v>
      </c>
      <c r="B11" s="50" t="s">
        <v>495</v>
      </c>
      <c r="C11" s="33" t="s">
        <v>504</v>
      </c>
      <c r="D11" s="33" t="s">
        <v>372</v>
      </c>
      <c r="E11" s="33" t="s">
        <v>451</v>
      </c>
      <c r="F11" s="26" t="s">
        <v>456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2" t="str">
        <f t="shared" si="0"/>
        <v>Normativo</v>
      </c>
      <c r="M11" s="52" t="str">
        <f t="shared" si="0"/>
        <v>ABNT</v>
      </c>
      <c r="N11" s="52" t="str">
        <f t="shared" si="0"/>
        <v>NBR.Parte</v>
      </c>
      <c r="O11" s="52" t="str">
        <f t="shared" si="5"/>
        <v>NBR.1S</v>
      </c>
      <c r="P11" s="52" t="s">
        <v>519</v>
      </c>
      <c r="Q11" s="52" t="s">
        <v>520</v>
      </c>
      <c r="R11" s="38" t="s">
        <v>181</v>
      </c>
      <c r="S11" s="53" t="str">
        <f t="shared" si="6"/>
        <v>Normativo</v>
      </c>
      <c r="T11" s="53" t="str">
        <f t="shared" si="6"/>
        <v>ABNT</v>
      </c>
      <c r="U11" s="52" t="str">
        <f t="shared" si="6"/>
        <v>NBR.Parte</v>
      </c>
      <c r="V11" s="38" t="s">
        <v>508</v>
      </c>
      <c r="W11" s="59" t="str">
        <f t="shared" si="4"/>
        <v>Key-ABNT-11</v>
      </c>
      <c r="X11" s="38" t="s">
        <v>181</v>
      </c>
      <c r="Y11" s="38" t="s">
        <v>181</v>
      </c>
      <c r="Z11" s="38" t="s">
        <v>431</v>
      </c>
      <c r="AA11" s="54" t="s">
        <v>521</v>
      </c>
    </row>
    <row r="12" spans="1:27" ht="6.75" customHeight="1" x14ac:dyDescent="0.3">
      <c r="A12" s="49">
        <v>12</v>
      </c>
      <c r="B12" s="50" t="s">
        <v>495</v>
      </c>
      <c r="C12" s="33" t="s">
        <v>504</v>
      </c>
      <c r="D12" s="33" t="s">
        <v>372</v>
      </c>
      <c r="E12" s="33" t="s">
        <v>451</v>
      </c>
      <c r="F12" s="26" t="s">
        <v>457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2" t="str">
        <f t="shared" si="0"/>
        <v>Normativo</v>
      </c>
      <c r="M12" s="52" t="str">
        <f t="shared" si="0"/>
        <v>ABNT</v>
      </c>
      <c r="N12" s="52" t="str">
        <f t="shared" si="0"/>
        <v>NBR.Parte</v>
      </c>
      <c r="O12" s="52" t="str">
        <f t="shared" si="5"/>
        <v>NBR.2C</v>
      </c>
      <c r="P12" s="52" t="s">
        <v>522</v>
      </c>
      <c r="Q12" s="52" t="s">
        <v>523</v>
      </c>
      <c r="R12" s="38" t="s">
        <v>181</v>
      </c>
      <c r="S12" s="53" t="str">
        <f t="shared" si="6"/>
        <v>Normativo</v>
      </c>
      <c r="T12" s="53" t="str">
        <f t="shared" si="6"/>
        <v>ABNT</v>
      </c>
      <c r="U12" s="52" t="str">
        <f t="shared" si="6"/>
        <v>NBR.Parte</v>
      </c>
      <c r="V12" s="38" t="s">
        <v>508</v>
      </c>
      <c r="W12" s="59" t="str">
        <f t="shared" si="4"/>
        <v>Key-ABNT-12</v>
      </c>
      <c r="X12" s="38" t="s">
        <v>181</v>
      </c>
      <c r="Y12" s="38" t="s">
        <v>181</v>
      </c>
      <c r="Z12" s="38" t="s">
        <v>432</v>
      </c>
      <c r="AA12" s="54" t="s">
        <v>524</v>
      </c>
    </row>
    <row r="13" spans="1:27" ht="6.75" customHeight="1" x14ac:dyDescent="0.3">
      <c r="A13" s="49">
        <v>13</v>
      </c>
      <c r="B13" s="50" t="s">
        <v>495</v>
      </c>
      <c r="C13" s="33" t="s">
        <v>504</v>
      </c>
      <c r="D13" s="33" t="s">
        <v>372</v>
      </c>
      <c r="E13" s="33" t="s">
        <v>451</v>
      </c>
      <c r="F13" s="26" t="s">
        <v>458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2" t="str">
        <f t="shared" si="0"/>
        <v>Normativo</v>
      </c>
      <c r="M13" s="52" t="str">
        <f t="shared" si="0"/>
        <v>ABNT</v>
      </c>
      <c r="N13" s="52" t="str">
        <f t="shared" si="0"/>
        <v>NBR.Parte</v>
      </c>
      <c r="O13" s="52" t="str">
        <f t="shared" si="5"/>
        <v>NBR.2N</v>
      </c>
      <c r="P13" s="52" t="s">
        <v>525</v>
      </c>
      <c r="Q13" s="52" t="s">
        <v>526</v>
      </c>
      <c r="R13" s="38" t="s">
        <v>181</v>
      </c>
      <c r="S13" s="53" t="str">
        <f t="shared" si="6"/>
        <v>Normativo</v>
      </c>
      <c r="T13" s="53" t="str">
        <f t="shared" si="6"/>
        <v>ABNT</v>
      </c>
      <c r="U13" s="52" t="str">
        <f t="shared" si="6"/>
        <v>NBR.Parte</v>
      </c>
      <c r="V13" s="38" t="s">
        <v>508</v>
      </c>
      <c r="W13" s="59" t="str">
        <f t="shared" si="4"/>
        <v>Key-ABNT-13</v>
      </c>
      <c r="X13" s="38" t="s">
        <v>181</v>
      </c>
      <c r="Y13" s="38" t="s">
        <v>181</v>
      </c>
      <c r="Z13" s="38" t="s">
        <v>342</v>
      </c>
      <c r="AA13" s="54" t="s">
        <v>527</v>
      </c>
    </row>
    <row r="14" spans="1:27" ht="6.75" customHeight="1" x14ac:dyDescent="0.3">
      <c r="A14" s="49">
        <v>14</v>
      </c>
      <c r="B14" s="50" t="s">
        <v>495</v>
      </c>
      <c r="C14" s="33" t="s">
        <v>504</v>
      </c>
      <c r="D14" s="33" t="s">
        <v>372</v>
      </c>
      <c r="E14" s="33" t="s">
        <v>451</v>
      </c>
      <c r="F14" s="26" t="s">
        <v>459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2" t="str">
        <f t="shared" si="0"/>
        <v>Normativo</v>
      </c>
      <c r="M14" s="52" t="str">
        <f t="shared" si="0"/>
        <v>ABNT</v>
      </c>
      <c r="N14" s="52" t="str">
        <f t="shared" si="0"/>
        <v>NBR.Parte</v>
      </c>
      <c r="O14" s="52" t="str">
        <f t="shared" si="5"/>
        <v>NBR.2Q</v>
      </c>
      <c r="P14" s="52" t="s">
        <v>528</v>
      </c>
      <c r="Q14" s="52" t="s">
        <v>529</v>
      </c>
      <c r="R14" s="38" t="s">
        <v>181</v>
      </c>
      <c r="S14" s="53" t="str">
        <f t="shared" si="6"/>
        <v>Normativo</v>
      </c>
      <c r="T14" s="53" t="str">
        <f t="shared" si="6"/>
        <v>ABNT</v>
      </c>
      <c r="U14" s="52" t="str">
        <f t="shared" si="6"/>
        <v>NBR.Parte</v>
      </c>
      <c r="V14" s="38" t="s">
        <v>508</v>
      </c>
      <c r="W14" s="59" t="str">
        <f t="shared" si="4"/>
        <v>Key-ABNT-14</v>
      </c>
      <c r="X14" s="38" t="s">
        <v>181</v>
      </c>
      <c r="Y14" s="38" t="s">
        <v>181</v>
      </c>
      <c r="Z14" s="38" t="s">
        <v>433</v>
      </c>
      <c r="AA14" s="54" t="s">
        <v>530</v>
      </c>
    </row>
    <row r="15" spans="1:27" ht="6.75" customHeight="1" x14ac:dyDescent="0.3">
      <c r="A15" s="49">
        <v>15</v>
      </c>
      <c r="B15" s="50" t="s">
        <v>495</v>
      </c>
      <c r="C15" s="33" t="s">
        <v>504</v>
      </c>
      <c r="D15" s="33" t="s">
        <v>372</v>
      </c>
      <c r="E15" s="33" t="s">
        <v>451</v>
      </c>
      <c r="F15" s="26" t="s">
        <v>460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2" t="str">
        <f t="shared" si="0"/>
        <v>Normativo</v>
      </c>
      <c r="M15" s="52" t="str">
        <f t="shared" si="0"/>
        <v>ABNT</v>
      </c>
      <c r="N15" s="52" t="str">
        <f t="shared" si="0"/>
        <v>NBR.Parte</v>
      </c>
      <c r="O15" s="52" t="str">
        <f t="shared" si="5"/>
        <v>NBR.3E</v>
      </c>
      <c r="P15" s="52" t="s">
        <v>531</v>
      </c>
      <c r="Q15" s="52" t="s">
        <v>532</v>
      </c>
      <c r="R15" s="38" t="s">
        <v>181</v>
      </c>
      <c r="S15" s="53" t="str">
        <f t="shared" si="6"/>
        <v>Normativo</v>
      </c>
      <c r="T15" s="53" t="str">
        <f t="shared" si="6"/>
        <v>ABNT</v>
      </c>
      <c r="U15" s="52" t="str">
        <f t="shared" si="6"/>
        <v>NBR.Parte</v>
      </c>
      <c r="V15" s="38" t="s">
        <v>508</v>
      </c>
      <c r="W15" s="59" t="str">
        <f t="shared" si="4"/>
        <v>Key-ABNT-15</v>
      </c>
      <c r="X15" s="38" t="s">
        <v>181</v>
      </c>
      <c r="Y15" s="38" t="s">
        <v>181</v>
      </c>
      <c r="Z15" s="38" t="s">
        <v>434</v>
      </c>
      <c r="AA15" s="54" t="s">
        <v>533</v>
      </c>
    </row>
    <row r="16" spans="1:27" ht="6.75" customHeight="1" x14ac:dyDescent="0.3">
      <c r="A16" s="49">
        <v>16</v>
      </c>
      <c r="B16" s="50" t="s">
        <v>495</v>
      </c>
      <c r="C16" s="33" t="s">
        <v>504</v>
      </c>
      <c r="D16" s="33" t="s">
        <v>372</v>
      </c>
      <c r="E16" s="33" t="s">
        <v>451</v>
      </c>
      <c r="F16" s="26" t="s">
        <v>461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2" t="str">
        <f t="shared" si="0"/>
        <v>Normativo</v>
      </c>
      <c r="M16" s="52" t="str">
        <f t="shared" si="0"/>
        <v>ABNT</v>
      </c>
      <c r="N16" s="52" t="str">
        <f t="shared" si="0"/>
        <v>NBR.Parte</v>
      </c>
      <c r="O16" s="52" t="str">
        <f t="shared" si="5"/>
        <v>NBR.3R</v>
      </c>
      <c r="P16" s="52" t="s">
        <v>534</v>
      </c>
      <c r="Q16" s="52" t="s">
        <v>535</v>
      </c>
      <c r="R16" s="38" t="s">
        <v>181</v>
      </c>
      <c r="S16" s="53" t="str">
        <f t="shared" si="6"/>
        <v>Normativo</v>
      </c>
      <c r="T16" s="53" t="str">
        <f t="shared" si="6"/>
        <v>ABNT</v>
      </c>
      <c r="U16" s="52" t="str">
        <f t="shared" si="6"/>
        <v>NBR.Parte</v>
      </c>
      <c r="V16" s="38" t="s">
        <v>508</v>
      </c>
      <c r="W16" s="59" t="str">
        <f t="shared" si="4"/>
        <v>Key-ABNT-16</v>
      </c>
      <c r="X16" s="38" t="s">
        <v>181</v>
      </c>
      <c r="Y16" s="38" t="s">
        <v>181</v>
      </c>
      <c r="Z16" s="38" t="s">
        <v>435</v>
      </c>
      <c r="AA16" s="54" t="s">
        <v>536</v>
      </c>
    </row>
    <row r="17" spans="1:27" ht="6.75" customHeight="1" x14ac:dyDescent="0.3">
      <c r="A17" s="49">
        <v>17</v>
      </c>
      <c r="B17" s="50" t="s">
        <v>495</v>
      </c>
      <c r="C17" s="33" t="s">
        <v>504</v>
      </c>
      <c r="D17" s="33" t="s">
        <v>372</v>
      </c>
      <c r="E17" s="33" t="s">
        <v>451</v>
      </c>
      <c r="F17" s="26" t="s">
        <v>462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2" t="str">
        <f t="shared" si="0"/>
        <v>Normativo</v>
      </c>
      <c r="M17" s="52" t="str">
        <f t="shared" si="0"/>
        <v>ABNT</v>
      </c>
      <c r="N17" s="52" t="str">
        <f t="shared" si="0"/>
        <v>NBR.Parte</v>
      </c>
      <c r="O17" s="52" t="str">
        <f t="shared" si="5"/>
        <v>NBR.4A</v>
      </c>
      <c r="P17" s="52" t="s">
        <v>537</v>
      </c>
      <c r="Q17" s="52" t="s">
        <v>538</v>
      </c>
      <c r="R17" s="38" t="s">
        <v>181</v>
      </c>
      <c r="S17" s="53" t="str">
        <f t="shared" si="6"/>
        <v>Normativo</v>
      </c>
      <c r="T17" s="53" t="str">
        <f t="shared" si="6"/>
        <v>ABNT</v>
      </c>
      <c r="U17" s="52" t="str">
        <f t="shared" si="6"/>
        <v>NBR.Parte</v>
      </c>
      <c r="V17" s="38" t="s">
        <v>508</v>
      </c>
      <c r="W17" s="59" t="str">
        <f t="shared" si="4"/>
        <v>Key-ABNT-17</v>
      </c>
      <c r="X17" s="38" t="s">
        <v>181</v>
      </c>
      <c r="Y17" s="38" t="s">
        <v>181</v>
      </c>
      <c r="Z17" s="38" t="s">
        <v>436</v>
      </c>
      <c r="AA17" s="54" t="s">
        <v>539</v>
      </c>
    </row>
    <row r="18" spans="1:27" ht="6.75" customHeight="1" x14ac:dyDescent="0.3">
      <c r="A18" s="49">
        <v>18</v>
      </c>
      <c r="B18" s="50" t="s">
        <v>495</v>
      </c>
      <c r="C18" s="33" t="s">
        <v>504</v>
      </c>
      <c r="D18" s="33" t="s">
        <v>372</v>
      </c>
      <c r="E18" s="33" t="s">
        <v>451</v>
      </c>
      <c r="F18" s="26" t="s">
        <v>463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2" t="str">
        <f t="shared" ref="L18:N19" si="7">CONCATENATE("", C18)</f>
        <v>Normativo</v>
      </c>
      <c r="M18" s="52" t="str">
        <f t="shared" si="7"/>
        <v>ABNT</v>
      </c>
      <c r="N18" s="52" t="str">
        <f t="shared" si="7"/>
        <v>NBR.Parte</v>
      </c>
      <c r="O18" s="52" t="str">
        <f t="shared" si="5"/>
        <v>NBR.4U</v>
      </c>
      <c r="P18" s="52" t="s">
        <v>540</v>
      </c>
      <c r="Q18" s="52" t="s">
        <v>541</v>
      </c>
      <c r="R18" s="38" t="s">
        <v>181</v>
      </c>
      <c r="S18" s="53" t="str">
        <f t="shared" si="6"/>
        <v>Normativo</v>
      </c>
      <c r="T18" s="53" t="str">
        <f t="shared" si="6"/>
        <v>ABNT</v>
      </c>
      <c r="U18" s="52" t="str">
        <f t="shared" si="6"/>
        <v>NBR.Parte</v>
      </c>
      <c r="V18" s="38" t="s">
        <v>508</v>
      </c>
      <c r="W18" s="59" t="str">
        <f t="shared" si="4"/>
        <v>Key-ABNT-18</v>
      </c>
      <c r="X18" s="38" t="s">
        <v>181</v>
      </c>
      <c r="Y18" s="38" t="s">
        <v>181</v>
      </c>
      <c r="Z18" s="38" t="s">
        <v>437</v>
      </c>
      <c r="AA18" s="54" t="s">
        <v>542</v>
      </c>
    </row>
    <row r="19" spans="1:27" ht="6.75" customHeight="1" x14ac:dyDescent="0.3">
      <c r="A19" s="49">
        <v>19</v>
      </c>
      <c r="B19" s="50" t="s">
        <v>495</v>
      </c>
      <c r="C19" s="33" t="s">
        <v>504</v>
      </c>
      <c r="D19" s="33" t="s">
        <v>372</v>
      </c>
      <c r="E19" s="33" t="s">
        <v>451</v>
      </c>
      <c r="F19" s="26" t="s">
        <v>464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2" t="str">
        <f t="shared" si="7"/>
        <v>Normativo</v>
      </c>
      <c r="M19" s="52" t="str">
        <f t="shared" si="7"/>
        <v>ABNT</v>
      </c>
      <c r="N19" s="52" t="str">
        <f t="shared" si="7"/>
        <v>NBR.Parte</v>
      </c>
      <c r="O19" s="52" t="str">
        <f t="shared" si="5"/>
        <v>NBR.5I</v>
      </c>
      <c r="P19" s="52" t="s">
        <v>543</v>
      </c>
      <c r="Q19" s="52" t="s">
        <v>544</v>
      </c>
      <c r="R19" s="38" t="s">
        <v>181</v>
      </c>
      <c r="S19" s="53" t="str">
        <f t="shared" si="6"/>
        <v>Normativo</v>
      </c>
      <c r="T19" s="53" t="str">
        <f t="shared" si="6"/>
        <v>ABNT</v>
      </c>
      <c r="U19" s="52" t="str">
        <f t="shared" si="6"/>
        <v>NBR.Parte</v>
      </c>
      <c r="V19" s="38" t="s">
        <v>508</v>
      </c>
      <c r="W19" s="59" t="str">
        <f t="shared" si="4"/>
        <v>Key-ABNT-19</v>
      </c>
      <c r="X19" s="38" t="s">
        <v>181</v>
      </c>
      <c r="Y19" s="38" t="s">
        <v>181</v>
      </c>
      <c r="Z19" s="38" t="s">
        <v>438</v>
      </c>
      <c r="AA19" s="54" t="s">
        <v>545</v>
      </c>
    </row>
    <row r="20" spans="1:27" ht="6.75" customHeight="1" x14ac:dyDescent="0.3">
      <c r="A20" s="49">
        <v>20</v>
      </c>
      <c r="B20" s="50" t="s">
        <v>495</v>
      </c>
      <c r="C20" s="33" t="s">
        <v>504</v>
      </c>
      <c r="D20" s="33" t="s">
        <v>505</v>
      </c>
      <c r="E20" s="33" t="s">
        <v>465</v>
      </c>
      <c r="F20" s="14" t="s">
        <v>466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2" t="str">
        <f t="shared" ref="L18:N28" si="8">CONCATENATE("", C20)</f>
        <v>Normativo</v>
      </c>
      <c r="M20" s="52" t="str">
        <f t="shared" si="8"/>
        <v>NBR.Temática</v>
      </c>
      <c r="N20" s="52" t="str">
        <f t="shared" si="8"/>
        <v>NBR.N.RH</v>
      </c>
      <c r="O20" s="52" t="str">
        <f t="shared" ref="O7:O28" si="9">F20</f>
        <v>NBR.N.Empreendedor</v>
      </c>
      <c r="P20" s="58" t="s">
        <v>475</v>
      </c>
      <c r="Q20" s="52" t="str">
        <f>_xlfn.TRANSLATE(P20,"pt","es")</f>
        <v>Emprendedores</v>
      </c>
      <c r="R20" s="38" t="s">
        <v>181</v>
      </c>
      <c r="S20" s="53" t="str">
        <f t="shared" ref="S7:U22" si="10">SUBSTITUTE(C20, "_", " ")</f>
        <v>Normativo</v>
      </c>
      <c r="T20" s="53" t="str">
        <f t="shared" si="10"/>
        <v>NBR.Temática</v>
      </c>
      <c r="U20" s="52" t="str">
        <f t="shared" si="10"/>
        <v>NBR.N.RH</v>
      </c>
      <c r="V20" s="38" t="s">
        <v>422</v>
      </c>
      <c r="W20" s="59" t="str">
        <f t="shared" si="4"/>
        <v>Key-ABNT-20</v>
      </c>
      <c r="X20" s="38" t="s">
        <v>181</v>
      </c>
      <c r="Y20" s="38" t="s">
        <v>181</v>
      </c>
      <c r="Z20" s="54" t="s">
        <v>484</v>
      </c>
      <c r="AA20" s="54" t="str">
        <f>_xlfn.TRANSLATE(P20,"pt","en")</f>
        <v>Entrepreneurs</v>
      </c>
    </row>
    <row r="21" spans="1:27" ht="6.75" customHeight="1" x14ac:dyDescent="0.3">
      <c r="A21" s="49">
        <v>21</v>
      </c>
      <c r="B21" s="50" t="s">
        <v>495</v>
      </c>
      <c r="C21" s="33" t="s">
        <v>504</v>
      </c>
      <c r="D21" s="33" t="s">
        <v>505</v>
      </c>
      <c r="E21" s="33" t="s">
        <v>465</v>
      </c>
      <c r="F21" s="14" t="s">
        <v>467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2" t="str">
        <f t="shared" si="8"/>
        <v>Normativo</v>
      </c>
      <c r="M21" s="52" t="str">
        <f t="shared" si="8"/>
        <v>NBR.Temática</v>
      </c>
      <c r="N21" s="52" t="str">
        <f t="shared" si="8"/>
        <v>NBR.N.RH</v>
      </c>
      <c r="O21" s="52" t="str">
        <f t="shared" si="9"/>
        <v>NBR.N.Projetista</v>
      </c>
      <c r="P21" s="58" t="s">
        <v>476</v>
      </c>
      <c r="Q21" s="52" t="str">
        <f t="shared" ref="Q21:Q28" si="11">_xlfn.TRANSLATE(P21,"pt","es")</f>
        <v>Diseñadores</v>
      </c>
      <c r="R21" s="38" t="s">
        <v>181</v>
      </c>
      <c r="S21" s="53" t="str">
        <f t="shared" si="10"/>
        <v>Normativo</v>
      </c>
      <c r="T21" s="53" t="str">
        <f t="shared" si="10"/>
        <v>NBR.Temática</v>
      </c>
      <c r="U21" s="52" t="str">
        <f t="shared" si="10"/>
        <v>NBR.N.RH</v>
      </c>
      <c r="V21" s="38" t="s">
        <v>422</v>
      </c>
      <c r="W21" s="59" t="str">
        <f t="shared" si="4"/>
        <v>Key-ABNT-21</v>
      </c>
      <c r="X21" s="38" t="s">
        <v>181</v>
      </c>
      <c r="Y21" s="38" t="s">
        <v>181</v>
      </c>
      <c r="Z21" s="54" t="s">
        <v>485</v>
      </c>
      <c r="AA21" s="54" t="str">
        <f t="shared" ref="AA21:AA28" si="12">_xlfn.TRANSLATE(P21,"pt","en")</f>
        <v>Designers</v>
      </c>
    </row>
    <row r="22" spans="1:27" ht="6.75" customHeight="1" x14ac:dyDescent="0.3">
      <c r="A22" s="49">
        <v>22</v>
      </c>
      <c r="B22" s="50" t="s">
        <v>495</v>
      </c>
      <c r="C22" s="33" t="s">
        <v>504</v>
      </c>
      <c r="D22" s="33" t="s">
        <v>505</v>
      </c>
      <c r="E22" s="33" t="s">
        <v>465</v>
      </c>
      <c r="F22" s="14" t="s">
        <v>468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2" t="str">
        <f t="shared" si="8"/>
        <v>Normativo</v>
      </c>
      <c r="M22" s="52" t="str">
        <f t="shared" si="8"/>
        <v>NBR.Temática</v>
      </c>
      <c r="N22" s="52" t="str">
        <f t="shared" si="8"/>
        <v>NBR.N.RH</v>
      </c>
      <c r="O22" s="52" t="str">
        <f t="shared" si="9"/>
        <v>NBR.N.Gestor</v>
      </c>
      <c r="P22" s="58" t="s">
        <v>477</v>
      </c>
      <c r="Q22" s="52" t="str">
        <f t="shared" si="11"/>
        <v>Entrenadores</v>
      </c>
      <c r="R22" s="38" t="s">
        <v>181</v>
      </c>
      <c r="S22" s="53" t="str">
        <f t="shared" si="10"/>
        <v>Normativo</v>
      </c>
      <c r="T22" s="53" t="str">
        <f t="shared" si="10"/>
        <v>NBR.Temática</v>
      </c>
      <c r="U22" s="52" t="str">
        <f t="shared" si="10"/>
        <v>NBR.N.RH</v>
      </c>
      <c r="V22" s="38" t="s">
        <v>422</v>
      </c>
      <c r="W22" s="59" t="str">
        <f t="shared" si="4"/>
        <v>Key-ABNT-22</v>
      </c>
      <c r="X22" s="38" t="s">
        <v>181</v>
      </c>
      <c r="Y22" s="38" t="s">
        <v>181</v>
      </c>
      <c r="Z22" s="54" t="s">
        <v>486</v>
      </c>
      <c r="AA22" s="54" t="str">
        <f t="shared" si="12"/>
        <v>Managers</v>
      </c>
    </row>
    <row r="23" spans="1:27" ht="6.75" customHeight="1" x14ac:dyDescent="0.3">
      <c r="A23" s="49">
        <v>23</v>
      </c>
      <c r="B23" s="50" t="s">
        <v>495</v>
      </c>
      <c r="C23" s="33" t="s">
        <v>504</v>
      </c>
      <c r="D23" s="33" t="s">
        <v>505</v>
      </c>
      <c r="E23" s="33" t="s">
        <v>465</v>
      </c>
      <c r="F23" s="14" t="s">
        <v>469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2" t="str">
        <f t="shared" si="8"/>
        <v>Normativo</v>
      </c>
      <c r="M23" s="52" t="str">
        <f t="shared" si="8"/>
        <v>NBR.Temática</v>
      </c>
      <c r="N23" s="52" t="str">
        <f t="shared" si="8"/>
        <v>NBR.N.RH</v>
      </c>
      <c r="O23" s="52" t="str">
        <f t="shared" si="9"/>
        <v>NBR.N.Construtor</v>
      </c>
      <c r="P23" s="58" t="s">
        <v>478</v>
      </c>
      <c r="Q23" s="52" t="str">
        <f t="shared" si="11"/>
        <v>Constructores y contratistas</v>
      </c>
      <c r="R23" s="38" t="s">
        <v>181</v>
      </c>
      <c r="S23" s="53" t="str">
        <f t="shared" ref="S23:U28" si="13">SUBSTITUTE(C23, "_", " ")</f>
        <v>Normativo</v>
      </c>
      <c r="T23" s="53" t="str">
        <f t="shared" si="13"/>
        <v>NBR.Temática</v>
      </c>
      <c r="U23" s="52" t="str">
        <f t="shared" si="13"/>
        <v>NBR.N.RH</v>
      </c>
      <c r="V23" s="38" t="s">
        <v>422</v>
      </c>
      <c r="W23" s="59" t="str">
        <f t="shared" si="4"/>
        <v>Key-ABNT-23</v>
      </c>
      <c r="X23" s="38" t="s">
        <v>181</v>
      </c>
      <c r="Y23" s="38" t="s">
        <v>181</v>
      </c>
      <c r="Z23" s="54" t="s">
        <v>487</v>
      </c>
      <c r="AA23" s="54" t="str">
        <f t="shared" si="12"/>
        <v>Builders and Contractors</v>
      </c>
    </row>
    <row r="24" spans="1:27" ht="6.75" customHeight="1" x14ac:dyDescent="0.3">
      <c r="A24" s="49">
        <v>24</v>
      </c>
      <c r="B24" s="50" t="s">
        <v>495</v>
      </c>
      <c r="C24" s="33" t="s">
        <v>504</v>
      </c>
      <c r="D24" s="33" t="s">
        <v>505</v>
      </c>
      <c r="E24" s="33" t="s">
        <v>465</v>
      </c>
      <c r="F24" s="14" t="s">
        <v>470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2" t="str">
        <f t="shared" si="8"/>
        <v>Normativo</v>
      </c>
      <c r="M24" s="52" t="str">
        <f t="shared" si="8"/>
        <v>NBR.Temática</v>
      </c>
      <c r="N24" s="52" t="str">
        <f t="shared" si="8"/>
        <v>NBR.N.RH</v>
      </c>
      <c r="O24" s="52" t="str">
        <f t="shared" si="9"/>
        <v>NBR.N.Fiscal</v>
      </c>
      <c r="P24" s="58" t="s">
        <v>479</v>
      </c>
      <c r="Q24" s="52" t="str">
        <f t="shared" si="11"/>
        <v>Inspectores de construcción</v>
      </c>
      <c r="R24" s="38" t="s">
        <v>181</v>
      </c>
      <c r="S24" s="53" t="str">
        <f t="shared" si="13"/>
        <v>Normativo</v>
      </c>
      <c r="T24" s="53" t="str">
        <f t="shared" si="13"/>
        <v>NBR.Temática</v>
      </c>
      <c r="U24" s="52" t="str">
        <f t="shared" si="13"/>
        <v>NBR.N.RH</v>
      </c>
      <c r="V24" s="38" t="s">
        <v>422</v>
      </c>
      <c r="W24" s="59" t="str">
        <f t="shared" si="4"/>
        <v>Key-ABNT-24</v>
      </c>
      <c r="X24" s="38" t="s">
        <v>181</v>
      </c>
      <c r="Y24" s="38" t="s">
        <v>181</v>
      </c>
      <c r="Z24" s="54" t="s">
        <v>488</v>
      </c>
      <c r="AA24" s="54" t="str">
        <f t="shared" si="12"/>
        <v>Construction inspectors</v>
      </c>
    </row>
    <row r="25" spans="1:27" ht="6.75" customHeight="1" x14ac:dyDescent="0.3">
      <c r="A25" s="49">
        <v>25</v>
      </c>
      <c r="B25" s="50" t="s">
        <v>495</v>
      </c>
      <c r="C25" s="33" t="s">
        <v>504</v>
      </c>
      <c r="D25" s="33" t="s">
        <v>505</v>
      </c>
      <c r="E25" s="33" t="s">
        <v>465</v>
      </c>
      <c r="F25" s="14" t="s">
        <v>471</v>
      </c>
      <c r="G25" s="36" t="s">
        <v>181</v>
      </c>
      <c r="H25" s="36" t="s">
        <v>181</v>
      </c>
      <c r="I25" s="36" t="s">
        <v>181</v>
      </c>
      <c r="J25" s="36" t="s">
        <v>181</v>
      </c>
      <c r="K25" s="36" t="s">
        <v>181</v>
      </c>
      <c r="L25" s="52" t="str">
        <f t="shared" si="8"/>
        <v>Normativo</v>
      </c>
      <c r="M25" s="52" t="str">
        <f t="shared" si="8"/>
        <v>NBR.Temática</v>
      </c>
      <c r="N25" s="52" t="str">
        <f t="shared" si="8"/>
        <v>NBR.N.RH</v>
      </c>
      <c r="O25" s="52" t="str">
        <f t="shared" si="9"/>
        <v>NBR.N.Apoiador</v>
      </c>
      <c r="P25" s="58" t="s">
        <v>480</v>
      </c>
      <c r="Q25" s="52" t="str">
        <f t="shared" si="11"/>
        <v>Aficionados</v>
      </c>
      <c r="R25" s="38" t="s">
        <v>181</v>
      </c>
      <c r="S25" s="53" t="str">
        <f t="shared" si="13"/>
        <v>Normativo</v>
      </c>
      <c r="T25" s="53" t="str">
        <f t="shared" si="13"/>
        <v>NBR.Temática</v>
      </c>
      <c r="U25" s="52" t="str">
        <f t="shared" si="13"/>
        <v>NBR.N.RH</v>
      </c>
      <c r="V25" s="38" t="s">
        <v>422</v>
      </c>
      <c r="W25" s="59" t="str">
        <f t="shared" si="4"/>
        <v>Key-ABNT-25</v>
      </c>
      <c r="X25" s="38" t="s">
        <v>181</v>
      </c>
      <c r="Y25" s="38" t="s">
        <v>181</v>
      </c>
      <c r="Z25" s="54" t="s">
        <v>489</v>
      </c>
      <c r="AA25" s="54" t="str">
        <f t="shared" si="12"/>
        <v>Supporters</v>
      </c>
    </row>
    <row r="26" spans="1:27" ht="6.75" customHeight="1" x14ac:dyDescent="0.3">
      <c r="A26" s="49">
        <v>26</v>
      </c>
      <c r="B26" s="50" t="s">
        <v>495</v>
      </c>
      <c r="C26" s="33" t="s">
        <v>504</v>
      </c>
      <c r="D26" s="33" t="s">
        <v>505</v>
      </c>
      <c r="E26" s="33" t="s">
        <v>465</v>
      </c>
      <c r="F26" s="14" t="s">
        <v>472</v>
      </c>
      <c r="G26" s="36" t="s">
        <v>181</v>
      </c>
      <c r="H26" s="36" t="s">
        <v>181</v>
      </c>
      <c r="I26" s="36" t="s">
        <v>181</v>
      </c>
      <c r="J26" s="36" t="s">
        <v>181</v>
      </c>
      <c r="K26" s="36" t="s">
        <v>181</v>
      </c>
      <c r="L26" s="52" t="str">
        <f t="shared" si="8"/>
        <v>Normativo</v>
      </c>
      <c r="M26" s="52" t="str">
        <f t="shared" si="8"/>
        <v>NBR.Temática</v>
      </c>
      <c r="N26" s="52" t="str">
        <f t="shared" si="8"/>
        <v>NBR.N.RH</v>
      </c>
      <c r="O26" s="52" t="str">
        <f t="shared" si="9"/>
        <v>NBR.N.Marketero</v>
      </c>
      <c r="P26" s="58" t="s">
        <v>481</v>
      </c>
      <c r="Q26" s="52" t="str">
        <f t="shared" si="11"/>
        <v>Profesionales del marketing</v>
      </c>
      <c r="R26" s="38" t="s">
        <v>181</v>
      </c>
      <c r="S26" s="53" t="str">
        <f t="shared" si="13"/>
        <v>Normativo</v>
      </c>
      <c r="T26" s="53" t="str">
        <f t="shared" si="13"/>
        <v>NBR.Temática</v>
      </c>
      <c r="U26" s="52" t="str">
        <f t="shared" si="13"/>
        <v>NBR.N.RH</v>
      </c>
      <c r="V26" s="38" t="s">
        <v>422</v>
      </c>
      <c r="W26" s="59" t="str">
        <f t="shared" si="4"/>
        <v>Key-ABNT-26</v>
      </c>
      <c r="X26" s="38" t="s">
        <v>181</v>
      </c>
      <c r="Y26" s="38" t="s">
        <v>181</v>
      </c>
      <c r="Z26" s="54" t="s">
        <v>490</v>
      </c>
      <c r="AA26" s="54" t="str">
        <f t="shared" si="12"/>
        <v>Marketers</v>
      </c>
    </row>
    <row r="27" spans="1:27" ht="6.75" customHeight="1" x14ac:dyDescent="0.3">
      <c r="A27" s="49">
        <v>27</v>
      </c>
      <c r="B27" s="50" t="s">
        <v>495</v>
      </c>
      <c r="C27" s="33" t="s">
        <v>504</v>
      </c>
      <c r="D27" s="33" t="s">
        <v>505</v>
      </c>
      <c r="E27" s="33" t="s">
        <v>465</v>
      </c>
      <c r="F27" s="14" t="s">
        <v>473</v>
      </c>
      <c r="G27" s="36" t="s">
        <v>181</v>
      </c>
      <c r="H27" s="36" t="s">
        <v>181</v>
      </c>
      <c r="I27" s="36" t="s">
        <v>181</v>
      </c>
      <c r="J27" s="36" t="s">
        <v>181</v>
      </c>
      <c r="K27" s="36" t="s">
        <v>181</v>
      </c>
      <c r="L27" s="52" t="str">
        <f t="shared" si="8"/>
        <v>Normativo</v>
      </c>
      <c r="M27" s="52" t="str">
        <f t="shared" si="8"/>
        <v>NBR.Temática</v>
      </c>
      <c r="N27" s="52" t="str">
        <f t="shared" si="8"/>
        <v>NBR.N.RH</v>
      </c>
      <c r="O27" s="52" t="str">
        <f t="shared" si="9"/>
        <v>NBR.N.Tercerizado</v>
      </c>
      <c r="P27" s="58" t="s">
        <v>482</v>
      </c>
      <c r="Q27" s="52" t="str">
        <f t="shared" si="11"/>
        <v>Subcontratado</v>
      </c>
      <c r="R27" s="38" t="s">
        <v>181</v>
      </c>
      <c r="S27" s="53" t="str">
        <f t="shared" si="13"/>
        <v>Normativo</v>
      </c>
      <c r="T27" s="53" t="str">
        <f t="shared" si="13"/>
        <v>NBR.Temática</v>
      </c>
      <c r="U27" s="52" t="str">
        <f t="shared" si="13"/>
        <v>NBR.N.RH</v>
      </c>
      <c r="V27" s="38" t="s">
        <v>422</v>
      </c>
      <c r="W27" s="59" t="str">
        <f t="shared" si="4"/>
        <v>Key-ABNT-27</v>
      </c>
      <c r="X27" s="38" t="s">
        <v>181</v>
      </c>
      <c r="Y27" s="38" t="s">
        <v>181</v>
      </c>
      <c r="Z27" s="54" t="s">
        <v>491</v>
      </c>
      <c r="AA27" s="54" t="str">
        <f t="shared" si="12"/>
        <v>Outsourced</v>
      </c>
    </row>
    <row r="28" spans="1:27" ht="6.75" customHeight="1" x14ac:dyDescent="0.3">
      <c r="A28" s="49">
        <v>28</v>
      </c>
      <c r="B28" s="50" t="s">
        <v>495</v>
      </c>
      <c r="C28" s="33" t="s">
        <v>504</v>
      </c>
      <c r="D28" s="33" t="s">
        <v>505</v>
      </c>
      <c r="E28" s="33" t="s">
        <v>465</v>
      </c>
      <c r="F28" s="14" t="s">
        <v>474</v>
      </c>
      <c r="G28" s="36" t="s">
        <v>181</v>
      </c>
      <c r="H28" s="36" t="s">
        <v>181</v>
      </c>
      <c r="I28" s="36" t="s">
        <v>181</v>
      </c>
      <c r="J28" s="36" t="s">
        <v>181</v>
      </c>
      <c r="K28" s="36" t="s">
        <v>181</v>
      </c>
      <c r="L28" s="52" t="str">
        <f t="shared" si="8"/>
        <v>Normativo</v>
      </c>
      <c r="M28" s="52" t="str">
        <f t="shared" si="8"/>
        <v>NBR.Temática</v>
      </c>
      <c r="N28" s="52" t="str">
        <f t="shared" si="8"/>
        <v>NBR.N.RH</v>
      </c>
      <c r="O28" s="52" t="str">
        <f t="shared" si="9"/>
        <v>NBR.N.Empresa</v>
      </c>
      <c r="P28" s="58" t="s">
        <v>483</v>
      </c>
      <c r="Q28" s="52" t="str">
        <f t="shared" si="11"/>
        <v>Empresas y Grupos Participantes</v>
      </c>
      <c r="R28" s="38" t="s">
        <v>181</v>
      </c>
      <c r="S28" s="53" t="str">
        <f t="shared" si="13"/>
        <v>Normativo</v>
      </c>
      <c r="T28" s="53" t="str">
        <f t="shared" si="13"/>
        <v>NBR.Temática</v>
      </c>
      <c r="U28" s="52" t="str">
        <f t="shared" si="13"/>
        <v>NBR.N.RH</v>
      </c>
      <c r="V28" s="38" t="s">
        <v>422</v>
      </c>
      <c r="W28" s="59" t="str">
        <f t="shared" si="4"/>
        <v>Key-ABNT-28</v>
      </c>
      <c r="X28" s="38" t="s">
        <v>181</v>
      </c>
      <c r="Y28" s="38" t="s">
        <v>181</v>
      </c>
      <c r="Z28" s="54" t="s">
        <v>492</v>
      </c>
      <c r="AA28" s="54" t="str">
        <f t="shared" si="12"/>
        <v>Participating Companies and Groups</v>
      </c>
    </row>
  </sheetData>
  <conditionalFormatting sqref="A2:B6 A20:B28">
    <cfRule type="cellIs" dxfId="15" priority="7" operator="equal">
      <formula>"null"</formula>
    </cfRule>
  </conditionalFormatting>
  <conditionalFormatting sqref="F3:F6">
    <cfRule type="duplicateValues" dxfId="14" priority="9"/>
    <cfRule type="duplicateValues" dxfId="13" priority="10"/>
    <cfRule type="duplicateValues" dxfId="12" priority="11"/>
    <cfRule type="duplicateValues" dxfId="11" priority="12"/>
  </conditionalFormatting>
  <conditionalFormatting sqref="AA1:AA6 AA20:AA28">
    <cfRule type="cellIs" dxfId="10" priority="13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3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0">
        <v>1</v>
      </c>
      <c r="B1" s="31" t="s">
        <v>394</v>
      </c>
      <c r="C1" s="31" t="s">
        <v>395</v>
      </c>
    </row>
    <row r="2" spans="1:3" x14ac:dyDescent="0.3">
      <c r="A2" s="21">
        <v>2</v>
      </c>
      <c r="B2" s="32" t="s">
        <v>181</v>
      </c>
      <c r="C2" s="32" t="s">
        <v>181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zoomScale="175" zoomScaleNormal="175" workbookViewId="0">
      <pane ySplit="1" topLeftCell="A35" activePane="bottomLeft" state="frozen"/>
      <selection pane="bottomLeft" activeCell="K54" sqref="K54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14.796875" style="2" customWidth="1"/>
    <col min="4" max="4" width="10.19921875" style="2" bestFit="1" customWidth="1"/>
    <col min="5" max="5" width="7.69921875" style="2" bestFit="1" customWidth="1"/>
    <col min="6" max="6" width="7.296875" style="48" customWidth="1"/>
    <col min="7" max="7" width="10" style="48" customWidth="1"/>
    <col min="8" max="9" width="7.296875" style="48" customWidth="1"/>
    <col min="10" max="10" width="4.296875" style="48" customWidth="1"/>
    <col min="11" max="11" width="14" style="48" bestFit="1" customWidth="1"/>
    <col min="12" max="12" width="7.5" style="48" bestFit="1" customWidth="1"/>
    <col min="13" max="13" width="29.19921875" style="48" customWidth="1"/>
    <col min="14" max="14" width="7" style="48" bestFit="1" customWidth="1"/>
    <col min="15" max="15" width="43.796875" style="2" bestFit="1" customWidth="1"/>
    <col min="16" max="16" width="8.69921875" style="48" customWidth="1"/>
    <col min="17" max="17" width="5" style="48" customWidth="1"/>
    <col min="18" max="18" width="5.5" style="48" customWidth="1"/>
    <col min="19" max="25" width="5" style="48" customWidth="1"/>
    <col min="26" max="16384" width="11.296875" style="2"/>
  </cols>
  <sheetData>
    <row r="1" spans="1:25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44" t="s">
        <v>2</v>
      </c>
      <c r="Y1" s="8" t="s">
        <v>3</v>
      </c>
    </row>
    <row r="2" spans="1:25" ht="6" customHeight="1" x14ac:dyDescent="0.25">
      <c r="A2" s="9">
        <v>2</v>
      </c>
      <c r="B2" s="10" t="s">
        <v>345</v>
      </c>
      <c r="C2" s="11" t="s">
        <v>504</v>
      </c>
      <c r="D2" s="56" t="s">
        <v>181</v>
      </c>
      <c r="E2" s="57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448</v>
      </c>
      <c r="L2" s="45" t="s">
        <v>412</v>
      </c>
      <c r="M2" s="46" t="s">
        <v>449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45" t="s">
        <v>181</v>
      </c>
      <c r="Y2" s="46" t="s">
        <v>181</v>
      </c>
    </row>
    <row r="3" spans="1:25" ht="6" customHeight="1" x14ac:dyDescent="0.25">
      <c r="A3" s="9">
        <v>3</v>
      </c>
      <c r="B3" s="6" t="s">
        <v>344</v>
      </c>
      <c r="C3" s="11" t="s">
        <v>451</v>
      </c>
      <c r="D3" s="56" t="s">
        <v>450</v>
      </c>
      <c r="E3" s="57" t="s">
        <v>345</v>
      </c>
      <c r="F3" s="45" t="s">
        <v>346</v>
      </c>
      <c r="G3" s="46" t="s">
        <v>347</v>
      </c>
      <c r="H3" s="47" t="s">
        <v>339</v>
      </c>
      <c r="I3" s="55" t="s">
        <v>341</v>
      </c>
      <c r="J3" s="45" t="s">
        <v>340</v>
      </c>
      <c r="K3" s="46" t="s">
        <v>448</v>
      </c>
      <c r="L3" s="45" t="s">
        <v>412</v>
      </c>
      <c r="M3" s="46" t="s">
        <v>493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45" t="s">
        <v>181</v>
      </c>
      <c r="Y3" s="46" t="s">
        <v>181</v>
      </c>
    </row>
    <row r="4" spans="1:25" ht="6" customHeight="1" x14ac:dyDescent="0.25">
      <c r="A4" s="9">
        <v>4</v>
      </c>
      <c r="B4" s="6" t="s">
        <v>342</v>
      </c>
      <c r="C4" s="14" t="s">
        <v>458</v>
      </c>
      <c r="D4" s="56" t="s">
        <v>450</v>
      </c>
      <c r="E4" s="57" t="s">
        <v>344</v>
      </c>
      <c r="F4" s="45" t="s">
        <v>346</v>
      </c>
      <c r="G4" s="46" t="s">
        <v>347</v>
      </c>
      <c r="H4" s="47" t="s">
        <v>339</v>
      </c>
      <c r="I4" s="55" t="s">
        <v>341</v>
      </c>
      <c r="J4" s="45" t="s">
        <v>340</v>
      </c>
      <c r="K4" s="46" t="s">
        <v>448</v>
      </c>
      <c r="L4" s="45" t="s">
        <v>412</v>
      </c>
      <c r="M4" s="46" t="s">
        <v>494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45" t="s">
        <v>181</v>
      </c>
      <c r="Y4" s="46" t="s">
        <v>181</v>
      </c>
    </row>
    <row r="5" spans="1:25" ht="6" customHeight="1" x14ac:dyDescent="0.25">
      <c r="A5" s="9">
        <v>5</v>
      </c>
      <c r="B5" s="15" t="s">
        <v>188</v>
      </c>
      <c r="C5" s="14" t="s">
        <v>466</v>
      </c>
      <c r="D5" s="56" t="s">
        <v>450</v>
      </c>
      <c r="E5" s="57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439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45" t="s">
        <v>181</v>
      </c>
      <c r="Y5" s="46" t="s">
        <v>181</v>
      </c>
    </row>
    <row r="6" spans="1:25" ht="6" customHeight="1" x14ac:dyDescent="0.25">
      <c r="A6" s="9">
        <v>6</v>
      </c>
      <c r="B6" s="15" t="s">
        <v>189</v>
      </c>
      <c r="C6" s="14" t="s">
        <v>466</v>
      </c>
      <c r="D6" s="56" t="s">
        <v>450</v>
      </c>
      <c r="E6" s="57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439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45" t="s">
        <v>181</v>
      </c>
      <c r="Y6" s="46" t="s">
        <v>181</v>
      </c>
    </row>
    <row r="7" spans="1:25" ht="6" customHeight="1" x14ac:dyDescent="0.25">
      <c r="A7" s="9">
        <v>7</v>
      </c>
      <c r="B7" s="15" t="s">
        <v>190</v>
      </c>
      <c r="C7" s="14" t="s">
        <v>466</v>
      </c>
      <c r="D7" s="56" t="s">
        <v>450</v>
      </c>
      <c r="E7" s="57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439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45" t="s">
        <v>181</v>
      </c>
      <c r="Y7" s="46" t="s">
        <v>181</v>
      </c>
    </row>
    <row r="8" spans="1:25" ht="6" customHeight="1" x14ac:dyDescent="0.25">
      <c r="A8" s="9">
        <v>8</v>
      </c>
      <c r="B8" s="15" t="s">
        <v>191</v>
      </c>
      <c r="C8" s="14" t="s">
        <v>466</v>
      </c>
      <c r="D8" s="56" t="s">
        <v>450</v>
      </c>
      <c r="E8" s="57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439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45" t="s">
        <v>181</v>
      </c>
      <c r="Y8" s="46" t="s">
        <v>181</v>
      </c>
    </row>
    <row r="9" spans="1:25" ht="6" customHeight="1" x14ac:dyDescent="0.25">
      <c r="A9" s="9">
        <v>9</v>
      </c>
      <c r="B9" s="15" t="s">
        <v>192</v>
      </c>
      <c r="C9" s="14" t="s">
        <v>466</v>
      </c>
      <c r="D9" s="56" t="s">
        <v>450</v>
      </c>
      <c r="E9" s="57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439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45" t="s">
        <v>181</v>
      </c>
      <c r="Y9" s="46" t="s">
        <v>181</v>
      </c>
    </row>
    <row r="10" spans="1:25" ht="6" customHeight="1" x14ac:dyDescent="0.25">
      <c r="A10" s="9">
        <v>10</v>
      </c>
      <c r="B10" s="15" t="s">
        <v>193</v>
      </c>
      <c r="C10" s="14" t="s">
        <v>466</v>
      </c>
      <c r="D10" s="56" t="s">
        <v>450</v>
      </c>
      <c r="E10" s="57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439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45" t="s">
        <v>181</v>
      </c>
      <c r="Y10" s="46" t="s">
        <v>181</v>
      </c>
    </row>
    <row r="11" spans="1:25" ht="6" customHeight="1" x14ac:dyDescent="0.25">
      <c r="A11" s="9">
        <v>11</v>
      </c>
      <c r="B11" s="15" t="s">
        <v>194</v>
      </c>
      <c r="C11" s="14" t="s">
        <v>466</v>
      </c>
      <c r="D11" s="56" t="s">
        <v>450</v>
      </c>
      <c r="E11" s="57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439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45" t="s">
        <v>181</v>
      </c>
      <c r="Y11" s="46" t="s">
        <v>181</v>
      </c>
    </row>
    <row r="12" spans="1:25" ht="6" customHeight="1" x14ac:dyDescent="0.25">
      <c r="A12" s="9">
        <v>12</v>
      </c>
      <c r="B12" s="15" t="s">
        <v>195</v>
      </c>
      <c r="C12" s="14" t="s">
        <v>466</v>
      </c>
      <c r="D12" s="56" t="s">
        <v>450</v>
      </c>
      <c r="E12" s="57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439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45" t="s">
        <v>181</v>
      </c>
      <c r="Y12" s="46" t="s">
        <v>181</v>
      </c>
    </row>
    <row r="13" spans="1:25" ht="6" customHeight="1" x14ac:dyDescent="0.25">
      <c r="A13" s="9">
        <v>13</v>
      </c>
      <c r="B13" s="15" t="s">
        <v>196</v>
      </c>
      <c r="C13" s="14" t="s">
        <v>466</v>
      </c>
      <c r="D13" s="56" t="s">
        <v>450</v>
      </c>
      <c r="E13" s="57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439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45" t="s">
        <v>181</v>
      </c>
      <c r="Y13" s="46" t="s">
        <v>181</v>
      </c>
    </row>
    <row r="14" spans="1:25" ht="6" customHeight="1" x14ac:dyDescent="0.25">
      <c r="A14" s="9">
        <v>14</v>
      </c>
      <c r="B14" s="15" t="s">
        <v>197</v>
      </c>
      <c r="C14" s="14" t="s">
        <v>466</v>
      </c>
      <c r="D14" s="56" t="s">
        <v>450</v>
      </c>
      <c r="E14" s="57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439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45" t="s">
        <v>181</v>
      </c>
      <c r="Y14" s="46" t="s">
        <v>181</v>
      </c>
    </row>
    <row r="15" spans="1:25" ht="6" customHeight="1" x14ac:dyDescent="0.25">
      <c r="A15" s="9">
        <v>15</v>
      </c>
      <c r="B15" s="15" t="s">
        <v>198</v>
      </c>
      <c r="C15" s="14" t="s">
        <v>466</v>
      </c>
      <c r="D15" s="56" t="s">
        <v>450</v>
      </c>
      <c r="E15" s="57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439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45" t="s">
        <v>181</v>
      </c>
      <c r="Y15" s="46" t="s">
        <v>181</v>
      </c>
    </row>
    <row r="16" spans="1:25" ht="6" customHeight="1" x14ac:dyDescent="0.25">
      <c r="A16" s="9">
        <v>16</v>
      </c>
      <c r="B16" s="15" t="s">
        <v>199</v>
      </c>
      <c r="C16" s="14" t="s">
        <v>466</v>
      </c>
      <c r="D16" s="56" t="s">
        <v>450</v>
      </c>
      <c r="E16" s="57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439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45" t="s">
        <v>181</v>
      </c>
      <c r="Y16" s="46" t="s">
        <v>181</v>
      </c>
    </row>
    <row r="17" spans="1:25" ht="6" customHeight="1" x14ac:dyDescent="0.25">
      <c r="A17" s="9">
        <v>17</v>
      </c>
      <c r="B17" s="15" t="s">
        <v>200</v>
      </c>
      <c r="C17" s="14" t="s">
        <v>466</v>
      </c>
      <c r="D17" s="56" t="s">
        <v>450</v>
      </c>
      <c r="E17" s="57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439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45" t="s">
        <v>181</v>
      </c>
      <c r="Y17" s="46" t="s">
        <v>181</v>
      </c>
    </row>
    <row r="18" spans="1:25" ht="6" customHeight="1" x14ac:dyDescent="0.25">
      <c r="A18" s="9">
        <v>18</v>
      </c>
      <c r="B18" s="15" t="s">
        <v>201</v>
      </c>
      <c r="C18" s="14" t="s">
        <v>466</v>
      </c>
      <c r="D18" s="56" t="s">
        <v>450</v>
      </c>
      <c r="E18" s="57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439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45" t="s">
        <v>181</v>
      </c>
      <c r="Y18" s="46" t="s">
        <v>181</v>
      </c>
    </row>
    <row r="19" spans="1:25" ht="6" customHeight="1" x14ac:dyDescent="0.25">
      <c r="A19" s="9">
        <v>19</v>
      </c>
      <c r="B19" s="15" t="s">
        <v>202</v>
      </c>
      <c r="C19" s="14" t="s">
        <v>466</v>
      </c>
      <c r="D19" s="56" t="s">
        <v>450</v>
      </c>
      <c r="E19" s="57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439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45" t="s">
        <v>181</v>
      </c>
      <c r="Y19" s="46" t="s">
        <v>181</v>
      </c>
    </row>
    <row r="20" spans="1:25" ht="6" customHeight="1" x14ac:dyDescent="0.25">
      <c r="A20" s="9">
        <v>20</v>
      </c>
      <c r="B20" s="15" t="s">
        <v>203</v>
      </c>
      <c r="C20" s="14" t="s">
        <v>466</v>
      </c>
      <c r="D20" s="56" t="s">
        <v>450</v>
      </c>
      <c r="E20" s="57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439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45" t="s">
        <v>181</v>
      </c>
      <c r="Y20" s="46" t="s">
        <v>181</v>
      </c>
    </row>
    <row r="21" spans="1:25" ht="6" customHeight="1" x14ac:dyDescent="0.25">
      <c r="A21" s="9">
        <v>21</v>
      </c>
      <c r="B21" s="15" t="s">
        <v>204</v>
      </c>
      <c r="C21" s="14" t="s">
        <v>466</v>
      </c>
      <c r="D21" s="56" t="s">
        <v>450</v>
      </c>
      <c r="E21" s="57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439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45" t="s">
        <v>181</v>
      </c>
      <c r="Y21" s="46" t="s">
        <v>181</v>
      </c>
    </row>
    <row r="22" spans="1:25" ht="6" customHeight="1" x14ac:dyDescent="0.25">
      <c r="A22" s="9">
        <v>22</v>
      </c>
      <c r="B22" s="15" t="s">
        <v>205</v>
      </c>
      <c r="C22" s="14" t="s">
        <v>466</v>
      </c>
      <c r="D22" s="56" t="s">
        <v>450</v>
      </c>
      <c r="E22" s="57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439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45" t="s">
        <v>181</v>
      </c>
      <c r="Y22" s="46" t="s">
        <v>181</v>
      </c>
    </row>
    <row r="23" spans="1:25" ht="6" customHeight="1" x14ac:dyDescent="0.25">
      <c r="A23" s="9">
        <v>23</v>
      </c>
      <c r="B23" s="15" t="s">
        <v>206</v>
      </c>
      <c r="C23" s="14" t="s">
        <v>466</v>
      </c>
      <c r="D23" s="56" t="s">
        <v>450</v>
      </c>
      <c r="E23" s="57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439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45" t="s">
        <v>181</v>
      </c>
      <c r="Y23" s="46" t="s">
        <v>181</v>
      </c>
    </row>
    <row r="24" spans="1:25" ht="6" customHeight="1" x14ac:dyDescent="0.25">
      <c r="A24" s="9">
        <v>24</v>
      </c>
      <c r="B24" s="15" t="s">
        <v>207</v>
      </c>
      <c r="C24" s="14" t="s">
        <v>466</v>
      </c>
      <c r="D24" s="56" t="s">
        <v>450</v>
      </c>
      <c r="E24" s="57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439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45" t="s">
        <v>181</v>
      </c>
      <c r="Y24" s="46" t="s">
        <v>181</v>
      </c>
    </row>
    <row r="25" spans="1:25" ht="6" customHeight="1" x14ac:dyDescent="0.25">
      <c r="A25" s="9">
        <v>25</v>
      </c>
      <c r="B25" s="15" t="s">
        <v>208</v>
      </c>
      <c r="C25" s="14" t="s">
        <v>466</v>
      </c>
      <c r="D25" s="56" t="s">
        <v>450</v>
      </c>
      <c r="E25" s="57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439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45" t="s">
        <v>181</v>
      </c>
      <c r="Y25" s="46" t="s">
        <v>181</v>
      </c>
    </row>
    <row r="26" spans="1:25" ht="6" customHeight="1" x14ac:dyDescent="0.25">
      <c r="A26" s="9">
        <v>26</v>
      </c>
      <c r="B26" s="15" t="s">
        <v>209</v>
      </c>
      <c r="C26" s="14" t="s">
        <v>466</v>
      </c>
      <c r="D26" s="56" t="s">
        <v>450</v>
      </c>
      <c r="E26" s="57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439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45" t="s">
        <v>181</v>
      </c>
      <c r="Y26" s="46" t="s">
        <v>181</v>
      </c>
    </row>
    <row r="27" spans="1:25" ht="6" customHeight="1" x14ac:dyDescent="0.25">
      <c r="A27" s="9">
        <v>27</v>
      </c>
      <c r="B27" s="15" t="s">
        <v>210</v>
      </c>
      <c r="C27" s="14" t="s">
        <v>466</v>
      </c>
      <c r="D27" s="56" t="s">
        <v>450</v>
      </c>
      <c r="E27" s="57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439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45" t="s">
        <v>181</v>
      </c>
      <c r="Y27" s="46" t="s">
        <v>181</v>
      </c>
    </row>
    <row r="28" spans="1:25" ht="6" customHeight="1" x14ac:dyDescent="0.25">
      <c r="A28" s="9">
        <v>28</v>
      </c>
      <c r="B28" s="15" t="s">
        <v>211</v>
      </c>
      <c r="C28" s="14" t="s">
        <v>466</v>
      </c>
      <c r="D28" s="56" t="s">
        <v>450</v>
      </c>
      <c r="E28" s="57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439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45" t="s">
        <v>181</v>
      </c>
      <c r="Y28" s="46" t="s">
        <v>181</v>
      </c>
    </row>
    <row r="29" spans="1:25" ht="6" customHeight="1" x14ac:dyDescent="0.25">
      <c r="A29" s="9">
        <v>29</v>
      </c>
      <c r="B29" s="15" t="s">
        <v>212</v>
      </c>
      <c r="C29" s="14" t="s">
        <v>467</v>
      </c>
      <c r="D29" s="56" t="s">
        <v>450</v>
      </c>
      <c r="E29" s="57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440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45" t="s">
        <v>181</v>
      </c>
      <c r="Y29" s="46" t="s">
        <v>181</v>
      </c>
    </row>
    <row r="30" spans="1:25" ht="6" customHeight="1" x14ac:dyDescent="0.25">
      <c r="A30" s="9">
        <v>30</v>
      </c>
      <c r="B30" s="15" t="s">
        <v>213</v>
      </c>
      <c r="C30" s="14" t="s">
        <v>467</v>
      </c>
      <c r="D30" s="56" t="s">
        <v>450</v>
      </c>
      <c r="E30" s="57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440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45" t="s">
        <v>181</v>
      </c>
      <c r="Y30" s="46" t="s">
        <v>181</v>
      </c>
    </row>
    <row r="31" spans="1:25" ht="6" customHeight="1" x14ac:dyDescent="0.25">
      <c r="A31" s="9">
        <v>31</v>
      </c>
      <c r="B31" s="15" t="s">
        <v>214</v>
      </c>
      <c r="C31" s="14" t="s">
        <v>467</v>
      </c>
      <c r="D31" s="56" t="s">
        <v>450</v>
      </c>
      <c r="E31" s="57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440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45" t="s">
        <v>181</v>
      </c>
      <c r="Y31" s="46" t="s">
        <v>181</v>
      </c>
    </row>
    <row r="32" spans="1:25" ht="6" customHeight="1" x14ac:dyDescent="0.25">
      <c r="A32" s="9">
        <v>32</v>
      </c>
      <c r="B32" s="15" t="s">
        <v>215</v>
      </c>
      <c r="C32" s="14" t="s">
        <v>467</v>
      </c>
      <c r="D32" s="56" t="s">
        <v>450</v>
      </c>
      <c r="E32" s="57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440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45" t="s">
        <v>181</v>
      </c>
      <c r="Y32" s="46" t="s">
        <v>181</v>
      </c>
    </row>
    <row r="33" spans="1:25" ht="6" customHeight="1" x14ac:dyDescent="0.25">
      <c r="A33" s="9">
        <v>33</v>
      </c>
      <c r="B33" s="15" t="s">
        <v>216</v>
      </c>
      <c r="C33" s="14" t="s">
        <v>467</v>
      </c>
      <c r="D33" s="56" t="s">
        <v>450</v>
      </c>
      <c r="E33" s="57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440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45" t="s">
        <v>181</v>
      </c>
      <c r="Y33" s="46" t="s">
        <v>181</v>
      </c>
    </row>
    <row r="34" spans="1:25" ht="6" customHeight="1" x14ac:dyDescent="0.25">
      <c r="A34" s="9">
        <v>34</v>
      </c>
      <c r="B34" s="15" t="s">
        <v>217</v>
      </c>
      <c r="C34" s="14" t="s">
        <v>467</v>
      </c>
      <c r="D34" s="56" t="s">
        <v>450</v>
      </c>
      <c r="E34" s="57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440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45" t="s">
        <v>181</v>
      </c>
      <c r="Y34" s="46" t="s">
        <v>181</v>
      </c>
    </row>
    <row r="35" spans="1:25" ht="6" customHeight="1" x14ac:dyDescent="0.25">
      <c r="A35" s="9">
        <v>35</v>
      </c>
      <c r="B35" s="15" t="s">
        <v>218</v>
      </c>
      <c r="C35" s="14" t="s">
        <v>468</v>
      </c>
      <c r="D35" s="56" t="s">
        <v>450</v>
      </c>
      <c r="E35" s="57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442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45" t="s">
        <v>181</v>
      </c>
      <c r="Y35" s="46" t="s">
        <v>181</v>
      </c>
    </row>
    <row r="36" spans="1:25" ht="6" customHeight="1" x14ac:dyDescent="0.25">
      <c r="A36" s="9">
        <v>36</v>
      </c>
      <c r="B36" s="15" t="s">
        <v>417</v>
      </c>
      <c r="C36" s="14" t="s">
        <v>468</v>
      </c>
      <c r="D36" s="56" t="s">
        <v>450</v>
      </c>
      <c r="E36" s="57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442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45" t="s">
        <v>181</v>
      </c>
      <c r="Y36" s="46" t="s">
        <v>181</v>
      </c>
    </row>
    <row r="37" spans="1:25" ht="6" customHeight="1" x14ac:dyDescent="0.25">
      <c r="A37" s="9">
        <v>37</v>
      </c>
      <c r="B37" s="15" t="s">
        <v>219</v>
      </c>
      <c r="C37" s="14" t="s">
        <v>468</v>
      </c>
      <c r="D37" s="56" t="s">
        <v>450</v>
      </c>
      <c r="E37" s="57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442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45" t="s">
        <v>181</v>
      </c>
      <c r="Y37" s="46" t="s">
        <v>181</v>
      </c>
    </row>
    <row r="38" spans="1:25" ht="6" customHeight="1" x14ac:dyDescent="0.25">
      <c r="A38" s="9">
        <v>38</v>
      </c>
      <c r="B38" s="15" t="s">
        <v>220</v>
      </c>
      <c r="C38" s="14" t="s">
        <v>468</v>
      </c>
      <c r="D38" s="56" t="s">
        <v>450</v>
      </c>
      <c r="E38" s="57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442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45" t="s">
        <v>181</v>
      </c>
      <c r="Y38" s="46" t="s">
        <v>181</v>
      </c>
    </row>
    <row r="39" spans="1:25" ht="6" customHeight="1" x14ac:dyDescent="0.25">
      <c r="A39" s="9">
        <v>39</v>
      </c>
      <c r="B39" s="15" t="s">
        <v>221</v>
      </c>
      <c r="C39" s="14" t="s">
        <v>468</v>
      </c>
      <c r="D39" s="56" t="s">
        <v>450</v>
      </c>
      <c r="E39" s="57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442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45" t="s">
        <v>181</v>
      </c>
      <c r="Y39" s="46" t="s">
        <v>181</v>
      </c>
    </row>
    <row r="40" spans="1:25" ht="6" customHeight="1" x14ac:dyDescent="0.25">
      <c r="A40" s="9">
        <v>40</v>
      </c>
      <c r="B40" s="15" t="s">
        <v>222</v>
      </c>
      <c r="C40" s="14" t="s">
        <v>468</v>
      </c>
      <c r="D40" s="56" t="s">
        <v>450</v>
      </c>
      <c r="E40" s="57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442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45" t="s">
        <v>181</v>
      </c>
      <c r="Y40" s="46" t="s">
        <v>181</v>
      </c>
    </row>
    <row r="41" spans="1:25" ht="6" customHeight="1" x14ac:dyDescent="0.25">
      <c r="A41" s="9">
        <v>41</v>
      </c>
      <c r="B41" s="15" t="s">
        <v>223</v>
      </c>
      <c r="C41" s="14" t="s">
        <v>468</v>
      </c>
      <c r="D41" s="56" t="s">
        <v>450</v>
      </c>
      <c r="E41" s="57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442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45" t="s">
        <v>181</v>
      </c>
      <c r="Y41" s="46" t="s">
        <v>181</v>
      </c>
    </row>
    <row r="42" spans="1:25" ht="6" customHeight="1" x14ac:dyDescent="0.25">
      <c r="A42" s="9">
        <v>42</v>
      </c>
      <c r="B42" s="15" t="s">
        <v>224</v>
      </c>
      <c r="C42" s="14" t="s">
        <v>468</v>
      </c>
      <c r="D42" s="56" t="s">
        <v>450</v>
      </c>
      <c r="E42" s="57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442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45" t="s">
        <v>181</v>
      </c>
      <c r="Y42" s="46" t="s">
        <v>181</v>
      </c>
    </row>
    <row r="43" spans="1:25" ht="6" customHeight="1" x14ac:dyDescent="0.25">
      <c r="A43" s="9">
        <v>43</v>
      </c>
      <c r="B43" s="15" t="s">
        <v>225</v>
      </c>
      <c r="C43" s="14" t="s">
        <v>468</v>
      </c>
      <c r="D43" s="56" t="s">
        <v>450</v>
      </c>
      <c r="E43" s="57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442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45" t="s">
        <v>181</v>
      </c>
      <c r="Y43" s="46" t="s">
        <v>181</v>
      </c>
    </row>
    <row r="44" spans="1:25" ht="6" customHeight="1" x14ac:dyDescent="0.25">
      <c r="A44" s="9">
        <v>44</v>
      </c>
      <c r="B44" s="15" t="s">
        <v>226</v>
      </c>
      <c r="C44" s="14" t="s">
        <v>468</v>
      </c>
      <c r="D44" s="56" t="s">
        <v>450</v>
      </c>
      <c r="E44" s="57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442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45" t="s">
        <v>181</v>
      </c>
      <c r="Y44" s="46" t="s">
        <v>181</v>
      </c>
    </row>
    <row r="45" spans="1:25" ht="6" customHeight="1" x14ac:dyDescent="0.25">
      <c r="A45" s="9">
        <v>45</v>
      </c>
      <c r="B45" s="15" t="s">
        <v>227</v>
      </c>
      <c r="C45" s="14" t="s">
        <v>468</v>
      </c>
      <c r="D45" s="56" t="s">
        <v>450</v>
      </c>
      <c r="E45" s="57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442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45" t="s">
        <v>181</v>
      </c>
      <c r="Y45" s="46" t="s">
        <v>181</v>
      </c>
    </row>
    <row r="46" spans="1:25" ht="6" customHeight="1" x14ac:dyDescent="0.25">
      <c r="A46" s="9">
        <v>46</v>
      </c>
      <c r="B46" s="15" t="s">
        <v>228</v>
      </c>
      <c r="C46" s="14" t="s">
        <v>469</v>
      </c>
      <c r="D46" s="56" t="s">
        <v>450</v>
      </c>
      <c r="E46" s="57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441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45" t="s">
        <v>181</v>
      </c>
      <c r="Y46" s="46" t="s">
        <v>181</v>
      </c>
    </row>
    <row r="47" spans="1:25" ht="6" customHeight="1" x14ac:dyDescent="0.25">
      <c r="A47" s="9">
        <v>47</v>
      </c>
      <c r="B47" s="15" t="s">
        <v>229</v>
      </c>
      <c r="C47" s="14" t="s">
        <v>469</v>
      </c>
      <c r="D47" s="56" t="s">
        <v>450</v>
      </c>
      <c r="E47" s="57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441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45" t="s">
        <v>181</v>
      </c>
      <c r="Y47" s="46" t="s">
        <v>181</v>
      </c>
    </row>
    <row r="48" spans="1:25" ht="6" customHeight="1" x14ac:dyDescent="0.25">
      <c r="A48" s="9">
        <v>48</v>
      </c>
      <c r="B48" s="15" t="s">
        <v>230</v>
      </c>
      <c r="C48" s="14" t="s">
        <v>469</v>
      </c>
      <c r="D48" s="56" t="s">
        <v>450</v>
      </c>
      <c r="E48" s="57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441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45" t="s">
        <v>181</v>
      </c>
      <c r="Y48" s="46" t="s">
        <v>181</v>
      </c>
    </row>
    <row r="49" spans="1:25" ht="6" customHeight="1" x14ac:dyDescent="0.25">
      <c r="A49" s="9">
        <v>49</v>
      </c>
      <c r="B49" s="15" t="s">
        <v>231</v>
      </c>
      <c r="C49" s="14" t="s">
        <v>469</v>
      </c>
      <c r="D49" s="56" t="s">
        <v>450</v>
      </c>
      <c r="E49" s="57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441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45" t="s">
        <v>181</v>
      </c>
      <c r="Y49" s="46" t="s">
        <v>181</v>
      </c>
    </row>
    <row r="50" spans="1:25" ht="6" customHeight="1" x14ac:dyDescent="0.25">
      <c r="A50" s="9">
        <v>50</v>
      </c>
      <c r="B50" s="15" t="s">
        <v>232</v>
      </c>
      <c r="C50" s="14" t="s">
        <v>469</v>
      </c>
      <c r="D50" s="56" t="s">
        <v>450</v>
      </c>
      <c r="E50" s="57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441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45" t="s">
        <v>181</v>
      </c>
      <c r="Y50" s="46" t="s">
        <v>181</v>
      </c>
    </row>
    <row r="51" spans="1:25" ht="6" customHeight="1" x14ac:dyDescent="0.25">
      <c r="A51" s="9">
        <v>51</v>
      </c>
      <c r="B51" s="15" t="s">
        <v>233</v>
      </c>
      <c r="C51" s="14" t="s">
        <v>469</v>
      </c>
      <c r="D51" s="56" t="s">
        <v>450</v>
      </c>
      <c r="E51" s="57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441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45" t="s">
        <v>181</v>
      </c>
      <c r="Y51" s="46" t="s">
        <v>181</v>
      </c>
    </row>
    <row r="52" spans="1:25" ht="6" customHeight="1" x14ac:dyDescent="0.25">
      <c r="A52" s="9">
        <v>52</v>
      </c>
      <c r="B52" s="15" t="s">
        <v>234</v>
      </c>
      <c r="C52" s="14" t="s">
        <v>469</v>
      </c>
      <c r="D52" s="56" t="s">
        <v>450</v>
      </c>
      <c r="E52" s="57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441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45" t="s">
        <v>181</v>
      </c>
      <c r="Y52" s="46" t="s">
        <v>181</v>
      </c>
    </row>
    <row r="53" spans="1:25" ht="6" customHeight="1" x14ac:dyDescent="0.25">
      <c r="A53" s="9">
        <v>53</v>
      </c>
      <c r="B53" s="15" t="s">
        <v>235</v>
      </c>
      <c r="C53" s="14" t="s">
        <v>469</v>
      </c>
      <c r="D53" s="56" t="s">
        <v>450</v>
      </c>
      <c r="E53" s="57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441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45" t="s">
        <v>181</v>
      </c>
      <c r="Y53" s="46" t="s">
        <v>181</v>
      </c>
    </row>
    <row r="54" spans="1:25" ht="6" customHeight="1" x14ac:dyDescent="0.25">
      <c r="A54" s="9">
        <v>54</v>
      </c>
      <c r="B54" s="15" t="s">
        <v>236</v>
      </c>
      <c r="C54" s="14" t="s">
        <v>469</v>
      </c>
      <c r="D54" s="56" t="s">
        <v>450</v>
      </c>
      <c r="E54" s="57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441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45" t="s">
        <v>181</v>
      </c>
      <c r="Y54" s="46" t="s">
        <v>181</v>
      </c>
    </row>
    <row r="55" spans="1:25" ht="6" customHeight="1" x14ac:dyDescent="0.25">
      <c r="A55" s="9">
        <v>55</v>
      </c>
      <c r="B55" s="15" t="s">
        <v>237</v>
      </c>
      <c r="C55" s="14" t="s">
        <v>469</v>
      </c>
      <c r="D55" s="56" t="s">
        <v>450</v>
      </c>
      <c r="E55" s="57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441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45" t="s">
        <v>181</v>
      </c>
      <c r="Y55" s="46" t="s">
        <v>181</v>
      </c>
    </row>
    <row r="56" spans="1:25" ht="6" customHeight="1" x14ac:dyDescent="0.25">
      <c r="A56" s="9">
        <v>56</v>
      </c>
      <c r="B56" s="15" t="s">
        <v>238</v>
      </c>
      <c r="C56" s="14" t="s">
        <v>469</v>
      </c>
      <c r="D56" s="56" t="s">
        <v>450</v>
      </c>
      <c r="E56" s="57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441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45" t="s">
        <v>181</v>
      </c>
      <c r="Y56" s="46" t="s">
        <v>181</v>
      </c>
    </row>
    <row r="57" spans="1:25" ht="6" customHeight="1" x14ac:dyDescent="0.25">
      <c r="A57" s="9">
        <v>57</v>
      </c>
      <c r="B57" s="15" t="s">
        <v>239</v>
      </c>
      <c r="C57" s="14" t="s">
        <v>469</v>
      </c>
      <c r="D57" s="56" t="s">
        <v>450</v>
      </c>
      <c r="E57" s="57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441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45" t="s">
        <v>181</v>
      </c>
      <c r="Y57" s="46" t="s">
        <v>181</v>
      </c>
    </row>
    <row r="58" spans="1:25" ht="6" customHeight="1" x14ac:dyDescent="0.25">
      <c r="A58" s="9">
        <v>58</v>
      </c>
      <c r="B58" s="15" t="s">
        <v>240</v>
      </c>
      <c r="C58" s="14" t="s">
        <v>469</v>
      </c>
      <c r="D58" s="56" t="s">
        <v>450</v>
      </c>
      <c r="E58" s="57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441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45" t="s">
        <v>181</v>
      </c>
      <c r="Y58" s="46" t="s">
        <v>181</v>
      </c>
    </row>
    <row r="59" spans="1:25" ht="6" customHeight="1" x14ac:dyDescent="0.25">
      <c r="A59" s="9">
        <v>59</v>
      </c>
      <c r="B59" s="15" t="s">
        <v>241</v>
      </c>
      <c r="C59" s="14" t="s">
        <v>469</v>
      </c>
      <c r="D59" s="56" t="s">
        <v>450</v>
      </c>
      <c r="E59" s="57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441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45" t="s">
        <v>181</v>
      </c>
      <c r="Y59" s="46" t="s">
        <v>181</v>
      </c>
    </row>
    <row r="60" spans="1:25" ht="6" customHeight="1" x14ac:dyDescent="0.25">
      <c r="A60" s="9">
        <v>60</v>
      </c>
      <c r="B60" s="15" t="s">
        <v>242</v>
      </c>
      <c r="C60" s="14" t="s">
        <v>469</v>
      </c>
      <c r="D60" s="56" t="s">
        <v>450</v>
      </c>
      <c r="E60" s="57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441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45" t="s">
        <v>181</v>
      </c>
      <c r="Y60" s="46" t="s">
        <v>181</v>
      </c>
    </row>
    <row r="61" spans="1:25" ht="6" customHeight="1" x14ac:dyDescent="0.25">
      <c r="A61" s="9">
        <v>61</v>
      </c>
      <c r="B61" s="15" t="s">
        <v>243</v>
      </c>
      <c r="C61" s="14" t="s">
        <v>469</v>
      </c>
      <c r="D61" s="56" t="s">
        <v>450</v>
      </c>
      <c r="E61" s="57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441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45" t="s">
        <v>181</v>
      </c>
      <c r="Y61" s="46" t="s">
        <v>181</v>
      </c>
    </row>
    <row r="62" spans="1:25" ht="6" customHeight="1" x14ac:dyDescent="0.25">
      <c r="A62" s="9">
        <v>62</v>
      </c>
      <c r="B62" s="15" t="s">
        <v>244</v>
      </c>
      <c r="C62" s="14" t="s">
        <v>469</v>
      </c>
      <c r="D62" s="56" t="s">
        <v>450</v>
      </c>
      <c r="E62" s="57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441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45" t="s">
        <v>181</v>
      </c>
      <c r="Y62" s="46" t="s">
        <v>181</v>
      </c>
    </row>
    <row r="63" spans="1:25" ht="6" customHeight="1" x14ac:dyDescent="0.25">
      <c r="A63" s="9">
        <v>63</v>
      </c>
      <c r="B63" s="15" t="s">
        <v>245</v>
      </c>
      <c r="C63" s="14" t="s">
        <v>469</v>
      </c>
      <c r="D63" s="56" t="s">
        <v>450</v>
      </c>
      <c r="E63" s="57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441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45" t="s">
        <v>181</v>
      </c>
      <c r="Y63" s="46" t="s">
        <v>181</v>
      </c>
    </row>
    <row r="64" spans="1:25" ht="6" customHeight="1" x14ac:dyDescent="0.25">
      <c r="A64" s="9">
        <v>64</v>
      </c>
      <c r="B64" s="15" t="s">
        <v>246</v>
      </c>
      <c r="C64" s="14" t="s">
        <v>469</v>
      </c>
      <c r="D64" s="56" t="s">
        <v>450</v>
      </c>
      <c r="E64" s="57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441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45" t="s">
        <v>181</v>
      </c>
      <c r="Y64" s="46" t="s">
        <v>181</v>
      </c>
    </row>
    <row r="65" spans="1:25" ht="6" customHeight="1" x14ac:dyDescent="0.25">
      <c r="A65" s="9">
        <v>65</v>
      </c>
      <c r="B65" s="15" t="s">
        <v>247</v>
      </c>
      <c r="C65" s="14" t="s">
        <v>469</v>
      </c>
      <c r="D65" s="56" t="s">
        <v>450</v>
      </c>
      <c r="E65" s="57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441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45" t="s">
        <v>181</v>
      </c>
      <c r="Y65" s="46" t="s">
        <v>181</v>
      </c>
    </row>
    <row r="66" spans="1:25" ht="6" customHeight="1" x14ac:dyDescent="0.25">
      <c r="A66" s="9">
        <v>66</v>
      </c>
      <c r="B66" s="15" t="s">
        <v>248</v>
      </c>
      <c r="C66" s="14" t="s">
        <v>469</v>
      </c>
      <c r="D66" s="56" t="s">
        <v>450</v>
      </c>
      <c r="E66" s="57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441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45" t="s">
        <v>181</v>
      </c>
      <c r="Y66" s="46" t="s">
        <v>181</v>
      </c>
    </row>
    <row r="67" spans="1:25" ht="6" customHeight="1" x14ac:dyDescent="0.25">
      <c r="A67" s="9">
        <v>67</v>
      </c>
      <c r="B67" s="15" t="s">
        <v>249</v>
      </c>
      <c r="C67" s="14" t="s">
        <v>469</v>
      </c>
      <c r="D67" s="56" t="s">
        <v>450</v>
      </c>
      <c r="E67" s="57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441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45" t="s">
        <v>181</v>
      </c>
      <c r="Y67" s="46" t="s">
        <v>181</v>
      </c>
    </row>
    <row r="68" spans="1:25" ht="6" customHeight="1" x14ac:dyDescent="0.25">
      <c r="A68" s="9">
        <v>68</v>
      </c>
      <c r="B68" s="15" t="s">
        <v>250</v>
      </c>
      <c r="C68" s="14" t="s">
        <v>469</v>
      </c>
      <c r="D68" s="56" t="s">
        <v>450</v>
      </c>
      <c r="E68" s="57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441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45" t="s">
        <v>181</v>
      </c>
      <c r="Y68" s="46" t="s">
        <v>181</v>
      </c>
    </row>
    <row r="69" spans="1:25" ht="6" customHeight="1" x14ac:dyDescent="0.25">
      <c r="A69" s="9">
        <v>69</v>
      </c>
      <c r="B69" s="15" t="s">
        <v>251</v>
      </c>
      <c r="C69" s="14" t="s">
        <v>469</v>
      </c>
      <c r="D69" s="56" t="s">
        <v>450</v>
      </c>
      <c r="E69" s="57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441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45" t="s">
        <v>181</v>
      </c>
      <c r="Y69" s="46" t="s">
        <v>181</v>
      </c>
    </row>
    <row r="70" spans="1:25" ht="6" customHeight="1" x14ac:dyDescent="0.25">
      <c r="A70" s="9">
        <v>70</v>
      </c>
      <c r="B70" s="15" t="s">
        <v>252</v>
      </c>
      <c r="C70" s="14" t="s">
        <v>469</v>
      </c>
      <c r="D70" s="56" t="s">
        <v>450</v>
      </c>
      <c r="E70" s="57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441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45" t="s">
        <v>181</v>
      </c>
      <c r="Y70" s="46" t="s">
        <v>181</v>
      </c>
    </row>
    <row r="71" spans="1:25" ht="6" customHeight="1" x14ac:dyDescent="0.25">
      <c r="A71" s="9">
        <v>71</v>
      </c>
      <c r="B71" s="15" t="s">
        <v>253</v>
      </c>
      <c r="C71" s="14" t="s">
        <v>470</v>
      </c>
      <c r="D71" s="56" t="s">
        <v>450</v>
      </c>
      <c r="E71" s="57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443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45" t="s">
        <v>181</v>
      </c>
      <c r="Y71" s="46" t="s">
        <v>181</v>
      </c>
    </row>
    <row r="72" spans="1:25" ht="6" customHeight="1" x14ac:dyDescent="0.25">
      <c r="A72" s="9">
        <v>72</v>
      </c>
      <c r="B72" s="15" t="s">
        <v>254</v>
      </c>
      <c r="C72" s="14" t="s">
        <v>470</v>
      </c>
      <c r="D72" s="56" t="s">
        <v>450</v>
      </c>
      <c r="E72" s="57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443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45" t="s">
        <v>181</v>
      </c>
      <c r="Y72" s="46" t="s">
        <v>181</v>
      </c>
    </row>
    <row r="73" spans="1:25" ht="6" customHeight="1" x14ac:dyDescent="0.25">
      <c r="A73" s="9">
        <v>73</v>
      </c>
      <c r="B73" s="15" t="s">
        <v>255</v>
      </c>
      <c r="C73" s="14" t="s">
        <v>470</v>
      </c>
      <c r="D73" s="56" t="s">
        <v>450</v>
      </c>
      <c r="E73" s="57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443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45" t="s">
        <v>181</v>
      </c>
      <c r="Y73" s="46" t="s">
        <v>181</v>
      </c>
    </row>
    <row r="74" spans="1:25" ht="6" customHeight="1" x14ac:dyDescent="0.25">
      <c r="A74" s="9">
        <v>74</v>
      </c>
      <c r="B74" s="15" t="s">
        <v>256</v>
      </c>
      <c r="C74" s="14" t="s">
        <v>470</v>
      </c>
      <c r="D74" s="56" t="s">
        <v>450</v>
      </c>
      <c r="E74" s="57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443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45" t="s">
        <v>181</v>
      </c>
      <c r="Y74" s="46" t="s">
        <v>181</v>
      </c>
    </row>
    <row r="75" spans="1:25" ht="6" customHeight="1" x14ac:dyDescent="0.25">
      <c r="A75" s="9">
        <v>75</v>
      </c>
      <c r="B75" s="15" t="s">
        <v>257</v>
      </c>
      <c r="C75" s="14" t="s">
        <v>470</v>
      </c>
      <c r="D75" s="56" t="s">
        <v>450</v>
      </c>
      <c r="E75" s="57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443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45" t="s">
        <v>181</v>
      </c>
      <c r="Y75" s="46" t="s">
        <v>181</v>
      </c>
    </row>
    <row r="76" spans="1:25" ht="6" customHeight="1" x14ac:dyDescent="0.25">
      <c r="A76" s="9">
        <v>76</v>
      </c>
      <c r="B76" s="15" t="s">
        <v>258</v>
      </c>
      <c r="C76" s="14" t="s">
        <v>470</v>
      </c>
      <c r="D76" s="56" t="s">
        <v>450</v>
      </c>
      <c r="E76" s="57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443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45" t="s">
        <v>181</v>
      </c>
      <c r="Y76" s="46" t="s">
        <v>181</v>
      </c>
    </row>
    <row r="77" spans="1:25" ht="6" customHeight="1" x14ac:dyDescent="0.25">
      <c r="A77" s="9">
        <v>77</v>
      </c>
      <c r="B77" s="15" t="s">
        <v>259</v>
      </c>
      <c r="C77" s="14" t="s">
        <v>470</v>
      </c>
      <c r="D77" s="56" t="s">
        <v>450</v>
      </c>
      <c r="E77" s="57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443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45" t="s">
        <v>181</v>
      </c>
      <c r="Y77" s="46" t="s">
        <v>181</v>
      </c>
    </row>
    <row r="78" spans="1:25" ht="6" customHeight="1" x14ac:dyDescent="0.25">
      <c r="A78" s="9">
        <v>78</v>
      </c>
      <c r="B78" s="15" t="s">
        <v>260</v>
      </c>
      <c r="C78" s="14" t="s">
        <v>470</v>
      </c>
      <c r="D78" s="56" t="s">
        <v>450</v>
      </c>
      <c r="E78" s="57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443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45" t="s">
        <v>181</v>
      </c>
      <c r="Y78" s="46" t="s">
        <v>181</v>
      </c>
    </row>
    <row r="79" spans="1:25" ht="6" customHeight="1" x14ac:dyDescent="0.25">
      <c r="A79" s="9">
        <v>79</v>
      </c>
      <c r="B79" s="15" t="s">
        <v>261</v>
      </c>
      <c r="C79" s="14" t="s">
        <v>470</v>
      </c>
      <c r="D79" s="56" t="s">
        <v>450</v>
      </c>
      <c r="E79" s="57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443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45" t="s">
        <v>181</v>
      </c>
      <c r="Y79" s="46" t="s">
        <v>181</v>
      </c>
    </row>
    <row r="80" spans="1:25" ht="6" customHeight="1" x14ac:dyDescent="0.25">
      <c r="A80" s="9">
        <v>80</v>
      </c>
      <c r="B80" s="15" t="s">
        <v>262</v>
      </c>
      <c r="C80" s="14" t="s">
        <v>470</v>
      </c>
      <c r="D80" s="56" t="s">
        <v>450</v>
      </c>
      <c r="E80" s="57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443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45" t="s">
        <v>181</v>
      </c>
      <c r="Y80" s="46" t="s">
        <v>181</v>
      </c>
    </row>
    <row r="81" spans="1:25" ht="6" customHeight="1" x14ac:dyDescent="0.25">
      <c r="A81" s="9">
        <v>81</v>
      </c>
      <c r="B81" s="15" t="s">
        <v>263</v>
      </c>
      <c r="C81" s="14" t="s">
        <v>471</v>
      </c>
      <c r="D81" s="56" t="s">
        <v>450</v>
      </c>
      <c r="E81" s="57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444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45" t="s">
        <v>181</v>
      </c>
      <c r="Y81" s="46" t="s">
        <v>181</v>
      </c>
    </row>
    <row r="82" spans="1:25" ht="6" customHeight="1" x14ac:dyDescent="0.25">
      <c r="A82" s="9">
        <v>82</v>
      </c>
      <c r="B82" s="15" t="s">
        <v>264</v>
      </c>
      <c r="C82" s="14" t="s">
        <v>471</v>
      </c>
      <c r="D82" s="56" t="s">
        <v>450</v>
      </c>
      <c r="E82" s="57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444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45" t="s">
        <v>181</v>
      </c>
      <c r="Y82" s="46" t="s">
        <v>181</v>
      </c>
    </row>
    <row r="83" spans="1:25" ht="6" customHeight="1" x14ac:dyDescent="0.25">
      <c r="A83" s="9">
        <v>83</v>
      </c>
      <c r="B83" s="15" t="s">
        <v>265</v>
      </c>
      <c r="C83" s="14" t="s">
        <v>471</v>
      </c>
      <c r="D83" s="56" t="s">
        <v>450</v>
      </c>
      <c r="E83" s="57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444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45" t="s">
        <v>181</v>
      </c>
      <c r="Y83" s="46" t="s">
        <v>181</v>
      </c>
    </row>
    <row r="84" spans="1:25" ht="6" customHeight="1" x14ac:dyDescent="0.25">
      <c r="A84" s="9">
        <v>84</v>
      </c>
      <c r="B84" s="15" t="s">
        <v>266</v>
      </c>
      <c r="C84" s="14" t="s">
        <v>471</v>
      </c>
      <c r="D84" s="56" t="s">
        <v>450</v>
      </c>
      <c r="E84" s="57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444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45" t="s">
        <v>181</v>
      </c>
      <c r="Y84" s="46" t="s">
        <v>181</v>
      </c>
    </row>
    <row r="85" spans="1:25" ht="6" customHeight="1" x14ac:dyDescent="0.25">
      <c r="A85" s="9">
        <v>85</v>
      </c>
      <c r="B85" s="15" t="s">
        <v>267</v>
      </c>
      <c r="C85" s="14" t="s">
        <v>471</v>
      </c>
      <c r="D85" s="56" t="s">
        <v>450</v>
      </c>
      <c r="E85" s="57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444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45" t="s">
        <v>181</v>
      </c>
      <c r="Y85" s="46" t="s">
        <v>181</v>
      </c>
    </row>
    <row r="86" spans="1:25" ht="6" customHeight="1" x14ac:dyDescent="0.25">
      <c r="A86" s="9">
        <v>86</v>
      </c>
      <c r="B86" s="15" t="s">
        <v>268</v>
      </c>
      <c r="C86" s="14" t="s">
        <v>471</v>
      </c>
      <c r="D86" s="56" t="s">
        <v>450</v>
      </c>
      <c r="E86" s="57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444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45" t="s">
        <v>181</v>
      </c>
      <c r="Y86" s="46" t="s">
        <v>181</v>
      </c>
    </row>
    <row r="87" spans="1:25" ht="6" customHeight="1" x14ac:dyDescent="0.25">
      <c r="A87" s="9">
        <v>87</v>
      </c>
      <c r="B87" s="15" t="s">
        <v>269</v>
      </c>
      <c r="C87" s="14" t="s">
        <v>471</v>
      </c>
      <c r="D87" s="56" t="s">
        <v>450</v>
      </c>
      <c r="E87" s="57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444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45" t="s">
        <v>181</v>
      </c>
      <c r="Y87" s="46" t="s">
        <v>181</v>
      </c>
    </row>
    <row r="88" spans="1:25" ht="6" customHeight="1" x14ac:dyDescent="0.25">
      <c r="A88" s="9">
        <v>88</v>
      </c>
      <c r="B88" s="15" t="s">
        <v>270</v>
      </c>
      <c r="C88" s="14" t="s">
        <v>471</v>
      </c>
      <c r="D88" s="56" t="s">
        <v>450</v>
      </c>
      <c r="E88" s="57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444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45" t="s">
        <v>181</v>
      </c>
      <c r="Y88" s="46" t="s">
        <v>181</v>
      </c>
    </row>
    <row r="89" spans="1:25" ht="6" customHeight="1" x14ac:dyDescent="0.25">
      <c r="A89" s="9">
        <v>89</v>
      </c>
      <c r="B89" s="15" t="s">
        <v>271</v>
      </c>
      <c r="C89" s="14" t="s">
        <v>471</v>
      </c>
      <c r="D89" s="56" t="s">
        <v>450</v>
      </c>
      <c r="E89" s="57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444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45" t="s">
        <v>181</v>
      </c>
      <c r="Y89" s="46" t="s">
        <v>181</v>
      </c>
    </row>
    <row r="90" spans="1:25" ht="6" customHeight="1" x14ac:dyDescent="0.25">
      <c r="A90" s="9">
        <v>90</v>
      </c>
      <c r="B90" s="15" t="s">
        <v>272</v>
      </c>
      <c r="C90" s="14" t="s">
        <v>471</v>
      </c>
      <c r="D90" s="56" t="s">
        <v>450</v>
      </c>
      <c r="E90" s="57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444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45" t="s">
        <v>181</v>
      </c>
      <c r="Y90" s="46" t="s">
        <v>181</v>
      </c>
    </row>
    <row r="91" spans="1:25" ht="6" customHeight="1" x14ac:dyDescent="0.25">
      <c r="A91" s="9">
        <v>91</v>
      </c>
      <c r="B91" s="15" t="s">
        <v>273</v>
      </c>
      <c r="C91" s="14" t="s">
        <v>471</v>
      </c>
      <c r="D91" s="56" t="s">
        <v>450</v>
      </c>
      <c r="E91" s="57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444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45" t="s">
        <v>181</v>
      </c>
      <c r="Y91" s="46" t="s">
        <v>181</v>
      </c>
    </row>
    <row r="92" spans="1:25" ht="6" customHeight="1" x14ac:dyDescent="0.25">
      <c r="A92" s="9">
        <v>92</v>
      </c>
      <c r="B92" s="15" t="s">
        <v>274</v>
      </c>
      <c r="C92" s="14" t="s">
        <v>471</v>
      </c>
      <c r="D92" s="56" t="s">
        <v>450</v>
      </c>
      <c r="E92" s="57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444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45" t="s">
        <v>181</v>
      </c>
      <c r="Y92" s="46" t="s">
        <v>181</v>
      </c>
    </row>
    <row r="93" spans="1:25" ht="6" customHeight="1" x14ac:dyDescent="0.25">
      <c r="A93" s="9">
        <v>93</v>
      </c>
      <c r="B93" s="15" t="s">
        <v>275</v>
      </c>
      <c r="C93" s="14" t="s">
        <v>471</v>
      </c>
      <c r="D93" s="56" t="s">
        <v>450</v>
      </c>
      <c r="E93" s="57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444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45" t="s">
        <v>181</v>
      </c>
      <c r="Y93" s="46" t="s">
        <v>181</v>
      </c>
    </row>
    <row r="94" spans="1:25" ht="6" customHeight="1" x14ac:dyDescent="0.25">
      <c r="A94" s="9">
        <v>94</v>
      </c>
      <c r="B94" s="15" t="s">
        <v>276</v>
      </c>
      <c r="C94" s="14" t="s">
        <v>471</v>
      </c>
      <c r="D94" s="56" t="s">
        <v>450</v>
      </c>
      <c r="E94" s="57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444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45" t="s">
        <v>181</v>
      </c>
      <c r="Y94" s="46" t="s">
        <v>181</v>
      </c>
    </row>
    <row r="95" spans="1:25" ht="6" customHeight="1" x14ac:dyDescent="0.25">
      <c r="A95" s="9">
        <v>95</v>
      </c>
      <c r="B95" s="15" t="s">
        <v>277</v>
      </c>
      <c r="C95" s="14" t="s">
        <v>471</v>
      </c>
      <c r="D95" s="56" t="s">
        <v>450</v>
      </c>
      <c r="E95" s="57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444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45" t="s">
        <v>181</v>
      </c>
      <c r="Y95" s="46" t="s">
        <v>181</v>
      </c>
    </row>
    <row r="96" spans="1:25" ht="6" customHeight="1" x14ac:dyDescent="0.25">
      <c r="A96" s="9">
        <v>96</v>
      </c>
      <c r="B96" s="15" t="s">
        <v>278</v>
      </c>
      <c r="C96" s="14" t="s">
        <v>472</v>
      </c>
      <c r="D96" s="56" t="s">
        <v>450</v>
      </c>
      <c r="E96" s="57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445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45" t="s">
        <v>181</v>
      </c>
      <c r="Y96" s="46" t="s">
        <v>181</v>
      </c>
    </row>
    <row r="97" spans="1:25" ht="6" customHeight="1" x14ac:dyDescent="0.25">
      <c r="A97" s="9">
        <v>97</v>
      </c>
      <c r="B97" s="15" t="s">
        <v>279</v>
      </c>
      <c r="C97" s="14" t="s">
        <v>472</v>
      </c>
      <c r="D97" s="56" t="s">
        <v>450</v>
      </c>
      <c r="E97" s="57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445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45" t="s">
        <v>181</v>
      </c>
      <c r="Y97" s="46" t="s">
        <v>181</v>
      </c>
    </row>
    <row r="98" spans="1:25" ht="6" customHeight="1" x14ac:dyDescent="0.25">
      <c r="A98" s="9">
        <v>98</v>
      </c>
      <c r="B98" s="15" t="s">
        <v>280</v>
      </c>
      <c r="C98" s="14" t="s">
        <v>472</v>
      </c>
      <c r="D98" s="56" t="s">
        <v>450</v>
      </c>
      <c r="E98" s="57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445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45" t="s">
        <v>181</v>
      </c>
      <c r="Y98" s="46" t="s">
        <v>181</v>
      </c>
    </row>
    <row r="99" spans="1:25" ht="6" customHeight="1" x14ac:dyDescent="0.25">
      <c r="A99" s="9">
        <v>99</v>
      </c>
      <c r="B99" s="15" t="s">
        <v>281</v>
      </c>
      <c r="C99" s="14" t="s">
        <v>472</v>
      </c>
      <c r="D99" s="56" t="s">
        <v>450</v>
      </c>
      <c r="E99" s="57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445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45" t="s">
        <v>181</v>
      </c>
      <c r="Y99" s="46" t="s">
        <v>181</v>
      </c>
    </row>
    <row r="100" spans="1:25" ht="6" customHeight="1" x14ac:dyDescent="0.25">
      <c r="A100" s="9">
        <v>100</v>
      </c>
      <c r="B100" s="15" t="s">
        <v>282</v>
      </c>
      <c r="C100" s="14" t="s">
        <v>472</v>
      </c>
      <c r="D100" s="56" t="s">
        <v>450</v>
      </c>
      <c r="E100" s="57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445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45" t="s">
        <v>181</v>
      </c>
      <c r="Y100" s="46" t="s">
        <v>181</v>
      </c>
    </row>
    <row r="101" spans="1:25" ht="6" customHeight="1" x14ac:dyDescent="0.25">
      <c r="A101" s="9">
        <v>101</v>
      </c>
      <c r="B101" s="15" t="s">
        <v>283</v>
      </c>
      <c r="C101" s="14" t="s">
        <v>472</v>
      </c>
      <c r="D101" s="56" t="s">
        <v>450</v>
      </c>
      <c r="E101" s="57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445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45" t="s">
        <v>181</v>
      </c>
      <c r="Y101" s="46" t="s">
        <v>181</v>
      </c>
    </row>
    <row r="102" spans="1:25" ht="6" customHeight="1" x14ac:dyDescent="0.25">
      <c r="A102" s="9">
        <v>102</v>
      </c>
      <c r="B102" s="15" t="s">
        <v>284</v>
      </c>
      <c r="C102" s="14" t="s">
        <v>472</v>
      </c>
      <c r="D102" s="56" t="s">
        <v>450</v>
      </c>
      <c r="E102" s="57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445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45" t="s">
        <v>181</v>
      </c>
      <c r="Y102" s="46" t="s">
        <v>181</v>
      </c>
    </row>
    <row r="103" spans="1:25" ht="6" customHeight="1" x14ac:dyDescent="0.25">
      <c r="A103" s="9">
        <v>103</v>
      </c>
      <c r="B103" s="15" t="s">
        <v>285</v>
      </c>
      <c r="C103" s="14" t="s">
        <v>472</v>
      </c>
      <c r="D103" s="56" t="s">
        <v>450</v>
      </c>
      <c r="E103" s="57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445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45" t="s">
        <v>181</v>
      </c>
      <c r="Y103" s="46" t="s">
        <v>181</v>
      </c>
    </row>
    <row r="104" spans="1:25" ht="6" customHeight="1" x14ac:dyDescent="0.25">
      <c r="A104" s="9">
        <v>104</v>
      </c>
      <c r="B104" s="15" t="s">
        <v>286</v>
      </c>
      <c r="C104" s="14" t="s">
        <v>472</v>
      </c>
      <c r="D104" s="56" t="s">
        <v>450</v>
      </c>
      <c r="E104" s="57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445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45" t="s">
        <v>181</v>
      </c>
      <c r="Y104" s="46" t="s">
        <v>181</v>
      </c>
    </row>
    <row r="105" spans="1:25" ht="6" customHeight="1" x14ac:dyDescent="0.25">
      <c r="A105" s="9">
        <v>105</v>
      </c>
      <c r="B105" s="15" t="s">
        <v>287</v>
      </c>
      <c r="C105" s="14" t="s">
        <v>472</v>
      </c>
      <c r="D105" s="56" t="s">
        <v>450</v>
      </c>
      <c r="E105" s="57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445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45" t="s">
        <v>181</v>
      </c>
      <c r="Y105" s="46" t="s">
        <v>181</v>
      </c>
    </row>
    <row r="106" spans="1:25" ht="6" customHeight="1" x14ac:dyDescent="0.25">
      <c r="A106" s="9">
        <v>106</v>
      </c>
      <c r="B106" s="15" t="s">
        <v>288</v>
      </c>
      <c r="C106" s="14" t="s">
        <v>472</v>
      </c>
      <c r="D106" s="56" t="s">
        <v>450</v>
      </c>
      <c r="E106" s="57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445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45" t="s">
        <v>181</v>
      </c>
      <c r="Y106" s="46" t="s">
        <v>181</v>
      </c>
    </row>
    <row r="107" spans="1:25" ht="6" customHeight="1" x14ac:dyDescent="0.25">
      <c r="A107" s="9">
        <v>107</v>
      </c>
      <c r="B107" s="15" t="s">
        <v>289</v>
      </c>
      <c r="C107" s="14" t="s">
        <v>472</v>
      </c>
      <c r="D107" s="56" t="s">
        <v>450</v>
      </c>
      <c r="E107" s="57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445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45" t="s">
        <v>181</v>
      </c>
      <c r="Y107" s="46" t="s">
        <v>181</v>
      </c>
    </row>
    <row r="108" spans="1:25" ht="6" customHeight="1" x14ac:dyDescent="0.25">
      <c r="A108" s="9">
        <v>108</v>
      </c>
      <c r="B108" s="15" t="s">
        <v>290</v>
      </c>
      <c r="C108" s="14" t="s">
        <v>473</v>
      </c>
      <c r="D108" s="56" t="s">
        <v>450</v>
      </c>
      <c r="E108" s="57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446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45" t="s">
        <v>181</v>
      </c>
      <c r="Y108" s="46" t="s">
        <v>181</v>
      </c>
    </row>
    <row r="109" spans="1:25" ht="6" customHeight="1" x14ac:dyDescent="0.25">
      <c r="A109" s="9">
        <v>109</v>
      </c>
      <c r="B109" s="15" t="s">
        <v>291</v>
      </c>
      <c r="C109" s="14" t="s">
        <v>473</v>
      </c>
      <c r="D109" s="56" t="s">
        <v>450</v>
      </c>
      <c r="E109" s="57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446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45" t="s">
        <v>181</v>
      </c>
      <c r="Y109" s="46" t="s">
        <v>181</v>
      </c>
    </row>
    <row r="110" spans="1:25" ht="6" customHeight="1" x14ac:dyDescent="0.25">
      <c r="A110" s="9">
        <v>110</v>
      </c>
      <c r="B110" s="15" t="s">
        <v>292</v>
      </c>
      <c r="C110" s="14" t="s">
        <v>473</v>
      </c>
      <c r="D110" s="56" t="s">
        <v>450</v>
      </c>
      <c r="E110" s="57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446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45" t="s">
        <v>181</v>
      </c>
      <c r="Y110" s="46" t="s">
        <v>181</v>
      </c>
    </row>
    <row r="111" spans="1:25" ht="6" customHeight="1" x14ac:dyDescent="0.25">
      <c r="A111" s="9">
        <v>111</v>
      </c>
      <c r="B111" s="15" t="s">
        <v>293</v>
      </c>
      <c r="C111" s="14" t="s">
        <v>473</v>
      </c>
      <c r="D111" s="56" t="s">
        <v>450</v>
      </c>
      <c r="E111" s="57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446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45" t="s">
        <v>181</v>
      </c>
      <c r="Y111" s="46" t="s">
        <v>181</v>
      </c>
    </row>
    <row r="112" spans="1:25" ht="6" customHeight="1" x14ac:dyDescent="0.25">
      <c r="A112" s="9">
        <v>112</v>
      </c>
      <c r="B112" s="15" t="s">
        <v>294</v>
      </c>
      <c r="C112" s="14" t="s">
        <v>473</v>
      </c>
      <c r="D112" s="56" t="s">
        <v>450</v>
      </c>
      <c r="E112" s="57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446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45" t="s">
        <v>181</v>
      </c>
      <c r="Y112" s="46" t="s">
        <v>181</v>
      </c>
    </row>
    <row r="113" spans="1:25" ht="6" customHeight="1" x14ac:dyDescent="0.25">
      <c r="A113" s="9">
        <v>113</v>
      </c>
      <c r="B113" s="15" t="s">
        <v>295</v>
      </c>
      <c r="C113" s="14" t="s">
        <v>473</v>
      </c>
      <c r="D113" s="56" t="s">
        <v>450</v>
      </c>
      <c r="E113" s="57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446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45" t="s">
        <v>181</v>
      </c>
      <c r="Y113" s="46" t="s">
        <v>181</v>
      </c>
    </row>
    <row r="114" spans="1:25" ht="6" customHeight="1" x14ac:dyDescent="0.25">
      <c r="A114" s="9">
        <v>114</v>
      </c>
      <c r="B114" s="15" t="s">
        <v>296</v>
      </c>
      <c r="C114" s="14" t="s">
        <v>473</v>
      </c>
      <c r="D114" s="56" t="s">
        <v>450</v>
      </c>
      <c r="E114" s="57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446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45" t="s">
        <v>181</v>
      </c>
      <c r="Y114" s="46" t="s">
        <v>181</v>
      </c>
    </row>
    <row r="115" spans="1:25" ht="6" customHeight="1" x14ac:dyDescent="0.25">
      <c r="A115" s="9">
        <v>115</v>
      </c>
      <c r="B115" s="15" t="s">
        <v>297</v>
      </c>
      <c r="C115" s="14" t="s">
        <v>473</v>
      </c>
      <c r="D115" s="56" t="s">
        <v>450</v>
      </c>
      <c r="E115" s="57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446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45" t="s">
        <v>181</v>
      </c>
      <c r="Y115" s="46" t="s">
        <v>181</v>
      </c>
    </row>
    <row r="116" spans="1:25" ht="6" customHeight="1" x14ac:dyDescent="0.25">
      <c r="A116" s="9">
        <v>116</v>
      </c>
      <c r="B116" s="15" t="s">
        <v>298</v>
      </c>
      <c r="C116" s="14" t="s">
        <v>473</v>
      </c>
      <c r="D116" s="56" t="s">
        <v>450</v>
      </c>
      <c r="E116" s="57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446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45" t="s">
        <v>181</v>
      </c>
      <c r="Y116" s="46" t="s">
        <v>181</v>
      </c>
    </row>
    <row r="117" spans="1:25" ht="6" customHeight="1" x14ac:dyDescent="0.25">
      <c r="A117" s="9">
        <v>117</v>
      </c>
      <c r="B117" s="15" t="s">
        <v>299</v>
      </c>
      <c r="C117" s="14" t="s">
        <v>473</v>
      </c>
      <c r="D117" s="56" t="s">
        <v>450</v>
      </c>
      <c r="E117" s="57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446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45" t="s">
        <v>181</v>
      </c>
      <c r="Y117" s="46" t="s">
        <v>181</v>
      </c>
    </row>
    <row r="118" spans="1:25" ht="6" customHeight="1" x14ac:dyDescent="0.25">
      <c r="A118" s="9">
        <v>118</v>
      </c>
      <c r="B118" s="15" t="s">
        <v>300</v>
      </c>
      <c r="C118" s="14" t="s">
        <v>473</v>
      </c>
      <c r="D118" s="56" t="s">
        <v>450</v>
      </c>
      <c r="E118" s="57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446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45" t="s">
        <v>181</v>
      </c>
      <c r="Y118" s="46" t="s">
        <v>181</v>
      </c>
    </row>
    <row r="119" spans="1:25" ht="6" customHeight="1" x14ac:dyDescent="0.25">
      <c r="A119" s="9">
        <v>119</v>
      </c>
      <c r="B119" s="15" t="s">
        <v>301</v>
      </c>
      <c r="C119" s="14" t="s">
        <v>473</v>
      </c>
      <c r="D119" s="56" t="s">
        <v>450</v>
      </c>
      <c r="E119" s="57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446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45" t="s">
        <v>181</v>
      </c>
      <c r="Y119" s="46" t="s">
        <v>181</v>
      </c>
    </row>
    <row r="120" spans="1:25" ht="6" customHeight="1" x14ac:dyDescent="0.25">
      <c r="A120" s="9">
        <v>120</v>
      </c>
      <c r="B120" s="15" t="s">
        <v>302</v>
      </c>
      <c r="C120" s="14" t="s">
        <v>473</v>
      </c>
      <c r="D120" s="56" t="s">
        <v>450</v>
      </c>
      <c r="E120" s="57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446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45" t="s">
        <v>181</v>
      </c>
      <c r="Y120" s="46" t="s">
        <v>181</v>
      </c>
    </row>
    <row r="121" spans="1:25" ht="6" customHeight="1" x14ac:dyDescent="0.25">
      <c r="A121" s="9">
        <v>121</v>
      </c>
      <c r="B121" s="15" t="s">
        <v>303</v>
      </c>
      <c r="C121" s="14" t="s">
        <v>473</v>
      </c>
      <c r="D121" s="56" t="s">
        <v>450</v>
      </c>
      <c r="E121" s="57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446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45" t="s">
        <v>181</v>
      </c>
      <c r="Y121" s="46" t="s">
        <v>181</v>
      </c>
    </row>
    <row r="122" spans="1:25" ht="6" customHeight="1" x14ac:dyDescent="0.25">
      <c r="A122" s="9">
        <v>122</v>
      </c>
      <c r="B122" s="15" t="s">
        <v>304</v>
      </c>
      <c r="C122" s="14" t="s">
        <v>473</v>
      </c>
      <c r="D122" s="56" t="s">
        <v>450</v>
      </c>
      <c r="E122" s="57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446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45" t="s">
        <v>181</v>
      </c>
      <c r="Y122" s="46" t="s">
        <v>181</v>
      </c>
    </row>
    <row r="123" spans="1:25" ht="6" customHeight="1" x14ac:dyDescent="0.25">
      <c r="A123" s="9">
        <v>123</v>
      </c>
      <c r="B123" s="15" t="s">
        <v>305</v>
      </c>
      <c r="C123" s="14" t="s">
        <v>473</v>
      </c>
      <c r="D123" s="56" t="s">
        <v>450</v>
      </c>
      <c r="E123" s="57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446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45" t="s">
        <v>181</v>
      </c>
      <c r="Y123" s="46" t="s">
        <v>181</v>
      </c>
    </row>
    <row r="124" spans="1:25" ht="6" customHeight="1" x14ac:dyDescent="0.25">
      <c r="A124" s="9">
        <v>124</v>
      </c>
      <c r="B124" s="15" t="s">
        <v>306</v>
      </c>
      <c r="C124" s="14" t="s">
        <v>473</v>
      </c>
      <c r="D124" s="56" t="s">
        <v>450</v>
      </c>
      <c r="E124" s="57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446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45" t="s">
        <v>181</v>
      </c>
      <c r="Y124" s="46" t="s">
        <v>181</v>
      </c>
    </row>
    <row r="125" spans="1:25" ht="6" customHeight="1" x14ac:dyDescent="0.25">
      <c r="A125" s="9">
        <v>125</v>
      </c>
      <c r="B125" s="15" t="s">
        <v>307</v>
      </c>
      <c r="C125" s="14" t="s">
        <v>473</v>
      </c>
      <c r="D125" s="56" t="s">
        <v>450</v>
      </c>
      <c r="E125" s="57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446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45" t="s">
        <v>181</v>
      </c>
      <c r="Y125" s="46" t="s">
        <v>181</v>
      </c>
    </row>
    <row r="126" spans="1:25" ht="6" customHeight="1" x14ac:dyDescent="0.25">
      <c r="A126" s="9">
        <v>126</v>
      </c>
      <c r="B126" s="15" t="s">
        <v>308</v>
      </c>
      <c r="C126" s="14" t="s">
        <v>473</v>
      </c>
      <c r="D126" s="56" t="s">
        <v>450</v>
      </c>
      <c r="E126" s="57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446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45" t="s">
        <v>181</v>
      </c>
      <c r="Y126" s="46" t="s">
        <v>181</v>
      </c>
    </row>
    <row r="127" spans="1:25" ht="6" customHeight="1" x14ac:dyDescent="0.25">
      <c r="A127" s="9">
        <v>127</v>
      </c>
      <c r="B127" s="15" t="s">
        <v>309</v>
      </c>
      <c r="C127" s="14" t="s">
        <v>473</v>
      </c>
      <c r="D127" s="56" t="s">
        <v>450</v>
      </c>
      <c r="E127" s="57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446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45" t="s">
        <v>181</v>
      </c>
      <c r="Y127" s="46" t="s">
        <v>181</v>
      </c>
    </row>
    <row r="128" spans="1:25" ht="6" customHeight="1" x14ac:dyDescent="0.25">
      <c r="A128" s="9">
        <v>128</v>
      </c>
      <c r="B128" s="15" t="s">
        <v>310</v>
      </c>
      <c r="C128" s="14" t="s">
        <v>473</v>
      </c>
      <c r="D128" s="56" t="s">
        <v>450</v>
      </c>
      <c r="E128" s="57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446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45" t="s">
        <v>181</v>
      </c>
      <c r="Y128" s="46" t="s">
        <v>181</v>
      </c>
    </row>
    <row r="129" spans="1:25" ht="6" customHeight="1" x14ac:dyDescent="0.25">
      <c r="A129" s="9">
        <v>129</v>
      </c>
      <c r="B129" s="15" t="s">
        <v>311</v>
      </c>
      <c r="C129" s="14" t="s">
        <v>473</v>
      </c>
      <c r="D129" s="56" t="s">
        <v>450</v>
      </c>
      <c r="E129" s="57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446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45" t="s">
        <v>181</v>
      </c>
      <c r="Y129" s="46" t="s">
        <v>181</v>
      </c>
    </row>
    <row r="130" spans="1:25" ht="6" customHeight="1" x14ac:dyDescent="0.25">
      <c r="A130" s="9">
        <v>130</v>
      </c>
      <c r="B130" s="15" t="s">
        <v>312</v>
      </c>
      <c r="C130" s="14" t="s">
        <v>473</v>
      </c>
      <c r="D130" s="56" t="s">
        <v>450</v>
      </c>
      <c r="E130" s="57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446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45" t="s">
        <v>181</v>
      </c>
      <c r="Y130" s="46" t="s">
        <v>181</v>
      </c>
    </row>
    <row r="131" spans="1:25" ht="6" customHeight="1" x14ac:dyDescent="0.25">
      <c r="A131" s="9">
        <v>131</v>
      </c>
      <c r="B131" s="15" t="s">
        <v>313</v>
      </c>
      <c r="C131" s="14" t="s">
        <v>473</v>
      </c>
      <c r="D131" s="56" t="s">
        <v>450</v>
      </c>
      <c r="E131" s="57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446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45" t="s">
        <v>181</v>
      </c>
      <c r="Y131" s="46" t="s">
        <v>181</v>
      </c>
    </row>
    <row r="132" spans="1:25" ht="6" customHeight="1" x14ac:dyDescent="0.25">
      <c r="A132" s="9">
        <v>132</v>
      </c>
      <c r="B132" s="15" t="s">
        <v>314</v>
      </c>
      <c r="C132" s="14" t="s">
        <v>473</v>
      </c>
      <c r="D132" s="56" t="s">
        <v>450</v>
      </c>
      <c r="E132" s="57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446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45" t="s">
        <v>181</v>
      </c>
      <c r="Y132" s="46" t="s">
        <v>181</v>
      </c>
    </row>
    <row r="133" spans="1:25" ht="6" customHeight="1" x14ac:dyDescent="0.25">
      <c r="A133" s="9">
        <v>133</v>
      </c>
      <c r="B133" s="15" t="s">
        <v>315</v>
      </c>
      <c r="C133" s="14" t="s">
        <v>473</v>
      </c>
      <c r="D133" s="56" t="s">
        <v>450</v>
      </c>
      <c r="E133" s="57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446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45" t="s">
        <v>181</v>
      </c>
      <c r="Y133" s="46" t="s">
        <v>181</v>
      </c>
    </row>
    <row r="134" spans="1:25" ht="6" customHeight="1" x14ac:dyDescent="0.25">
      <c r="A134" s="9">
        <v>134</v>
      </c>
      <c r="B134" s="15" t="s">
        <v>316</v>
      </c>
      <c r="C134" s="14" t="s">
        <v>473</v>
      </c>
      <c r="D134" s="56" t="s">
        <v>450</v>
      </c>
      <c r="E134" s="57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446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45" t="s">
        <v>181</v>
      </c>
      <c r="Y134" s="46" t="s">
        <v>181</v>
      </c>
    </row>
    <row r="135" spans="1:25" ht="6" customHeight="1" x14ac:dyDescent="0.25">
      <c r="A135" s="9">
        <v>135</v>
      </c>
      <c r="B135" s="15" t="s">
        <v>317</v>
      </c>
      <c r="C135" s="14" t="s">
        <v>473</v>
      </c>
      <c r="D135" s="56" t="s">
        <v>450</v>
      </c>
      <c r="E135" s="57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446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45" t="s">
        <v>181</v>
      </c>
      <c r="Y135" s="46" t="s">
        <v>181</v>
      </c>
    </row>
    <row r="136" spans="1:25" ht="6" customHeight="1" x14ac:dyDescent="0.25">
      <c r="A136" s="9">
        <v>136</v>
      </c>
      <c r="B136" s="15" t="s">
        <v>318</v>
      </c>
      <c r="C136" s="14" t="s">
        <v>473</v>
      </c>
      <c r="D136" s="56" t="s">
        <v>450</v>
      </c>
      <c r="E136" s="57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446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45" t="s">
        <v>181</v>
      </c>
      <c r="Y136" s="46" t="s">
        <v>181</v>
      </c>
    </row>
    <row r="137" spans="1:25" ht="6" customHeight="1" x14ac:dyDescent="0.25">
      <c r="A137" s="9">
        <v>137</v>
      </c>
      <c r="B137" s="15" t="s">
        <v>319</v>
      </c>
      <c r="C137" s="14" t="s">
        <v>474</v>
      </c>
      <c r="D137" s="56" t="s">
        <v>450</v>
      </c>
      <c r="E137" s="57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447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45" t="s">
        <v>181</v>
      </c>
      <c r="Y137" s="46" t="s">
        <v>181</v>
      </c>
    </row>
    <row r="138" spans="1:25" ht="6" customHeight="1" x14ac:dyDescent="0.25">
      <c r="A138" s="9">
        <v>138</v>
      </c>
      <c r="B138" s="15" t="s">
        <v>320</v>
      </c>
      <c r="C138" s="14" t="s">
        <v>474</v>
      </c>
      <c r="D138" s="56" t="s">
        <v>450</v>
      </c>
      <c r="E138" s="57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447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45" t="s">
        <v>181</v>
      </c>
      <c r="Y138" s="46" t="s">
        <v>181</v>
      </c>
    </row>
    <row r="139" spans="1:25" ht="6" customHeight="1" x14ac:dyDescent="0.25">
      <c r="A139" s="9">
        <v>139</v>
      </c>
      <c r="B139" s="15" t="s">
        <v>321</v>
      </c>
      <c r="C139" s="14" t="s">
        <v>474</v>
      </c>
      <c r="D139" s="56" t="s">
        <v>450</v>
      </c>
      <c r="E139" s="57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447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45" t="s">
        <v>181</v>
      </c>
      <c r="Y139" s="46" t="s">
        <v>181</v>
      </c>
    </row>
    <row r="140" spans="1:25" ht="6" customHeight="1" x14ac:dyDescent="0.25">
      <c r="A140" s="9">
        <v>140</v>
      </c>
      <c r="B140" s="15" t="s">
        <v>322</v>
      </c>
      <c r="C140" s="14" t="s">
        <v>474</v>
      </c>
      <c r="D140" s="56" t="s">
        <v>450</v>
      </c>
      <c r="E140" s="57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447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45" t="s">
        <v>181</v>
      </c>
      <c r="Y140" s="46" t="s">
        <v>181</v>
      </c>
    </row>
    <row r="141" spans="1:25" ht="6" customHeight="1" x14ac:dyDescent="0.25">
      <c r="A141" s="9">
        <v>141</v>
      </c>
      <c r="B141" s="15" t="s">
        <v>323</v>
      </c>
      <c r="C141" s="14" t="s">
        <v>474</v>
      </c>
      <c r="D141" s="56" t="s">
        <v>450</v>
      </c>
      <c r="E141" s="57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447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45" t="s">
        <v>181</v>
      </c>
      <c r="Y141" s="46" t="s">
        <v>181</v>
      </c>
    </row>
    <row r="142" spans="1:25" ht="6" customHeight="1" x14ac:dyDescent="0.25">
      <c r="A142" s="9">
        <v>142</v>
      </c>
      <c r="B142" s="15" t="s">
        <v>324</v>
      </c>
      <c r="C142" s="14" t="s">
        <v>474</v>
      </c>
      <c r="D142" s="56" t="s">
        <v>450</v>
      </c>
      <c r="E142" s="57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447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45" t="s">
        <v>181</v>
      </c>
      <c r="Y142" s="46" t="s">
        <v>181</v>
      </c>
    </row>
    <row r="143" spans="1:25" ht="6" customHeight="1" x14ac:dyDescent="0.25">
      <c r="A143" s="9">
        <v>143</v>
      </c>
      <c r="B143" s="15" t="s">
        <v>325</v>
      </c>
      <c r="C143" s="14" t="s">
        <v>474</v>
      </c>
      <c r="D143" s="56" t="s">
        <v>450</v>
      </c>
      <c r="E143" s="57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447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45" t="s">
        <v>181</v>
      </c>
      <c r="Y143" s="46" t="s">
        <v>181</v>
      </c>
    </row>
    <row r="144" spans="1:25" ht="6" customHeight="1" x14ac:dyDescent="0.25">
      <c r="A144" s="9">
        <v>144</v>
      </c>
      <c r="B144" s="15" t="s">
        <v>418</v>
      </c>
      <c r="C144" s="14" t="s">
        <v>474</v>
      </c>
      <c r="D144" s="56" t="s">
        <v>450</v>
      </c>
      <c r="E144" s="57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447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45" t="s">
        <v>181</v>
      </c>
      <c r="Y144" s="46" t="s">
        <v>181</v>
      </c>
    </row>
    <row r="145" spans="1:25" ht="6" customHeight="1" x14ac:dyDescent="0.25">
      <c r="A145" s="9">
        <v>145</v>
      </c>
      <c r="B145" s="15" t="s">
        <v>326</v>
      </c>
      <c r="C145" s="14" t="s">
        <v>474</v>
      </c>
      <c r="D145" s="56" t="s">
        <v>450</v>
      </c>
      <c r="E145" s="57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447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45" t="s">
        <v>181</v>
      </c>
      <c r="Y145" s="46" t="s">
        <v>181</v>
      </c>
    </row>
    <row r="146" spans="1:25" ht="6" customHeight="1" x14ac:dyDescent="0.25">
      <c r="A146" s="9">
        <v>146</v>
      </c>
      <c r="B146" s="15" t="s">
        <v>327</v>
      </c>
      <c r="C146" s="14" t="s">
        <v>474</v>
      </c>
      <c r="D146" s="56" t="s">
        <v>450</v>
      </c>
      <c r="E146" s="57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447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45" t="s">
        <v>181</v>
      </c>
      <c r="Y146" s="46" t="s">
        <v>181</v>
      </c>
    </row>
    <row r="147" spans="1:25" ht="6" customHeight="1" x14ac:dyDescent="0.25">
      <c r="A147" s="9">
        <v>147</v>
      </c>
      <c r="B147" s="15" t="s">
        <v>328</v>
      </c>
      <c r="C147" s="14" t="s">
        <v>474</v>
      </c>
      <c r="D147" s="56" t="s">
        <v>450</v>
      </c>
      <c r="E147" s="57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447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45" t="s">
        <v>181</v>
      </c>
      <c r="Y147" s="46" t="s">
        <v>181</v>
      </c>
    </row>
    <row r="148" spans="1:25" ht="6" customHeight="1" x14ac:dyDescent="0.25">
      <c r="A148" s="9">
        <v>148</v>
      </c>
      <c r="B148" s="15" t="s">
        <v>329</v>
      </c>
      <c r="C148" s="14" t="s">
        <v>474</v>
      </c>
      <c r="D148" s="56" t="s">
        <v>450</v>
      </c>
      <c r="E148" s="57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447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45" t="s">
        <v>181</v>
      </c>
      <c r="Y148" s="46" t="s">
        <v>181</v>
      </c>
    </row>
    <row r="149" spans="1:25" ht="6" customHeight="1" x14ac:dyDescent="0.25">
      <c r="A149" s="9">
        <v>149</v>
      </c>
      <c r="B149" s="15" t="s">
        <v>330</v>
      </c>
      <c r="C149" s="14" t="s">
        <v>474</v>
      </c>
      <c r="D149" s="56" t="s">
        <v>450</v>
      </c>
      <c r="E149" s="57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447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45" t="s">
        <v>181</v>
      </c>
      <c r="Y149" s="46" t="s">
        <v>181</v>
      </c>
    </row>
    <row r="150" spans="1:25" ht="6" customHeight="1" x14ac:dyDescent="0.25">
      <c r="A150" s="9">
        <v>150</v>
      </c>
      <c r="B150" s="15" t="s">
        <v>331</v>
      </c>
      <c r="C150" s="14" t="s">
        <v>474</v>
      </c>
      <c r="D150" s="56" t="s">
        <v>450</v>
      </c>
      <c r="E150" s="57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447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45" t="s">
        <v>181</v>
      </c>
      <c r="Y150" s="46" t="s">
        <v>181</v>
      </c>
    </row>
    <row r="151" spans="1:25" ht="6" customHeight="1" x14ac:dyDescent="0.25">
      <c r="A151" s="9">
        <v>151</v>
      </c>
      <c r="B151" s="15" t="s">
        <v>332</v>
      </c>
      <c r="C151" s="14" t="s">
        <v>474</v>
      </c>
      <c r="D151" s="56" t="s">
        <v>450</v>
      </c>
      <c r="E151" s="57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447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45" t="s">
        <v>181</v>
      </c>
      <c r="Y151" s="46" t="s">
        <v>181</v>
      </c>
    </row>
    <row r="152" spans="1:25" ht="6" customHeight="1" x14ac:dyDescent="0.25">
      <c r="A152" s="9">
        <v>152</v>
      </c>
      <c r="B152" s="15" t="s">
        <v>333</v>
      </c>
      <c r="C152" s="14" t="s">
        <v>474</v>
      </c>
      <c r="D152" s="56" t="s">
        <v>450</v>
      </c>
      <c r="E152" s="57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447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45" t="s">
        <v>181</v>
      </c>
      <c r="Y152" s="46" t="s">
        <v>181</v>
      </c>
    </row>
    <row r="153" spans="1:25" ht="6" customHeight="1" x14ac:dyDescent="0.25">
      <c r="A153" s="9">
        <v>153</v>
      </c>
      <c r="B153" s="15" t="s">
        <v>334</v>
      </c>
      <c r="C153" s="14" t="s">
        <v>474</v>
      </c>
      <c r="D153" s="56" t="s">
        <v>450</v>
      </c>
      <c r="E153" s="57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447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45" t="s">
        <v>181</v>
      </c>
      <c r="Y153" s="46" t="s">
        <v>181</v>
      </c>
    </row>
    <row r="154" spans="1:25" ht="6" customHeight="1" x14ac:dyDescent="0.25">
      <c r="A154" s="9">
        <v>154</v>
      </c>
      <c r="B154" s="15" t="s">
        <v>335</v>
      </c>
      <c r="C154" s="14" t="s">
        <v>474</v>
      </c>
      <c r="D154" s="56" t="s">
        <v>450</v>
      </c>
      <c r="E154" s="57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447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45" t="s">
        <v>181</v>
      </c>
      <c r="Y154" s="46" t="s">
        <v>181</v>
      </c>
    </row>
    <row r="155" spans="1:25" ht="6" customHeight="1" x14ac:dyDescent="0.25">
      <c r="A155" s="9">
        <v>155</v>
      </c>
      <c r="B155" s="15" t="s">
        <v>336</v>
      </c>
      <c r="C155" s="14" t="s">
        <v>474</v>
      </c>
      <c r="D155" s="56" t="s">
        <v>450</v>
      </c>
      <c r="E155" s="57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447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45" t="s">
        <v>181</v>
      </c>
      <c r="Y155" s="46" t="s">
        <v>181</v>
      </c>
    </row>
    <row r="156" spans="1:25" ht="6" customHeight="1" x14ac:dyDescent="0.25">
      <c r="A156" s="9">
        <v>156</v>
      </c>
      <c r="B156" s="15" t="s">
        <v>337</v>
      </c>
      <c r="C156" s="14" t="s">
        <v>474</v>
      </c>
      <c r="D156" s="56" t="s">
        <v>450</v>
      </c>
      <c r="E156" s="57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447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45" t="s">
        <v>181</v>
      </c>
      <c r="Y156" s="46" t="s">
        <v>181</v>
      </c>
    </row>
    <row r="157" spans="1:25" ht="6" customHeight="1" x14ac:dyDescent="0.25">
      <c r="A157" s="9">
        <v>157</v>
      </c>
      <c r="B157" s="19" t="s">
        <v>338</v>
      </c>
      <c r="C157" s="14" t="s">
        <v>474</v>
      </c>
      <c r="D157" s="56" t="s">
        <v>450</v>
      </c>
      <c r="E157" s="57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447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45" t="s">
        <v>181</v>
      </c>
      <c r="Y157" s="46" t="s">
        <v>181</v>
      </c>
    </row>
  </sheetData>
  <phoneticPr fontId="2" type="noConversion"/>
  <conditionalFormatting sqref="B1:B1048576">
    <cfRule type="duplicateValues" dxfId="7" priority="1"/>
  </conditionalFormatting>
  <conditionalFormatting sqref="T1:Y1048576">
    <cfRule type="cellIs" dxfId="6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2026-07-29T21:46:48Z</dcterms:modified>
</cp:coreProperties>
</file>