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1DE850D-183D-4D72-91AF-439F1A76508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X3" i="39"/>
  <c r="X4" i="39" s="1"/>
  <c r="X5" i="39" s="1"/>
  <c r="X6" i="39" s="1"/>
  <c r="X7" i="39"/>
  <c r="X8" i="39" s="1"/>
  <c r="X9" i="39" s="1"/>
  <c r="X10" i="39" s="1"/>
  <c r="X11" i="39" s="1"/>
  <c r="X12" i="39"/>
  <c r="X13" i="39" s="1"/>
  <c r="X14" i="39" s="1"/>
  <c r="X15" i="39" s="1"/>
  <c r="X16" i="39" s="1"/>
  <c r="X17" i="39" s="1"/>
  <c r="X18" i="39"/>
  <c r="X19" i="39"/>
  <c r="X20" i="39" s="1"/>
  <c r="X21" i="39"/>
  <c r="X22" i="39" s="1"/>
  <c r="X23" i="39" s="1"/>
  <c r="X24" i="39" s="1"/>
  <c r="X25" i="39" s="1"/>
  <c r="X26" i="39" s="1"/>
  <c r="X27" i="39" s="1"/>
  <c r="X28" i="39" s="1"/>
  <c r="X29" i="39" s="1"/>
  <c r="X30" i="39" s="1"/>
  <c r="X31" i="39"/>
  <c r="X32" i="39" s="1"/>
  <c r="X33" i="39"/>
  <c r="X34" i="39"/>
  <c r="X35" i="39"/>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c r="X75" i="39"/>
  <c r="X76" i="39" s="1"/>
  <c r="X77" i="39" s="1"/>
  <c r="X78" i="39" s="1"/>
  <c r="X79" i="39" s="1"/>
  <c r="X80" i="39" s="1"/>
  <c r="X81" i="39" s="1"/>
  <c r="X82" i="39"/>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s="1"/>
  <c r="X121" i="39" s="1"/>
  <c r="X122" i="39" s="1"/>
  <c r="X123" i="39" s="1"/>
  <c r="X124" i="39" s="1"/>
  <c r="X125" i="39"/>
  <c r="X126" i="39"/>
  <c r="X127" i="39" s="1"/>
  <c r="X128" i="39" s="1"/>
  <c r="X129" i="39" s="1"/>
  <c r="X130" i="39" s="1"/>
  <c r="X131" i="39" s="1"/>
  <c r="X132" i="39" s="1"/>
  <c r="X133" i="39" s="1"/>
  <c r="X134" i="39" s="1"/>
  <c r="X135" i="39"/>
  <c r="X136" i="39" s="1"/>
  <c r="X137" i="39" s="1"/>
  <c r="X138" i="39" s="1"/>
  <c r="X139" i="39"/>
  <c r="X140" i="39"/>
  <c r="X141" i="39" s="1"/>
  <c r="X142" i="39" s="1"/>
  <c r="X143" i="39" s="1"/>
  <c r="X144" i="39" s="1"/>
  <c r="X145" i="39" s="1"/>
  <c r="X146" i="39"/>
  <c r="X147" i="39" s="1"/>
  <c r="X148" i="39" s="1"/>
  <c r="X149" i="39" s="1"/>
  <c r="X150" i="39" s="1"/>
  <c r="X151" i="39" s="1"/>
  <c r="X152" i="39"/>
  <c r="X153" i="39"/>
  <c r="X154" i="39" s="1"/>
  <c r="X155" i="39" s="1"/>
  <c r="X156" i="39"/>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s="1"/>
  <c r="X196" i="39" s="1"/>
  <c r="X197" i="39" s="1"/>
  <c r="X198" i="39" s="1"/>
  <c r="X199"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c r="X230" i="39" s="1"/>
  <c r="X231" i="39" s="1"/>
  <c r="X232" i="39" s="1"/>
  <c r="X233" i="39"/>
  <c r="X234" i="39"/>
  <c r="X235" i="39"/>
  <c r="X236" i="39"/>
  <c r="X237" i="39"/>
  <c r="X238" i="39" s="1"/>
  <c r="X239" i="39" s="1"/>
  <c r="X240" i="39" s="1"/>
  <c r="X241" i="39" s="1"/>
  <c r="X242" i="39" s="1"/>
  <c r="X243" i="39" s="1"/>
  <c r="X244" i="39" s="1"/>
  <c r="X245" i="39" s="1"/>
  <c r="X246" i="39" s="1"/>
  <c r="X247" i="39" s="1"/>
  <c r="X248" i="39" s="1"/>
  <c r="X249" i="39" s="1"/>
  <c r="X250" i="39" s="1"/>
  <c r="X251" i="39" s="1"/>
  <c r="X252" i="39"/>
  <c r="X253" i="39"/>
  <c r="X254" i="39"/>
  <c r="X255" i="39"/>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s="1"/>
  <c r="X303" i="39" s="1"/>
  <c r="X304" i="39" s="1"/>
  <c r="X305" i="39" s="1"/>
  <c r="X306" i="39" s="1"/>
  <c r="X307" i="39" s="1"/>
  <c r="X308" i="39" s="1"/>
  <c r="X309" i="39" s="1"/>
  <c r="X310" i="39" s="1"/>
  <c r="X311" i="39" s="1"/>
  <c r="X312" i="39" s="1"/>
  <c r="X313" i="39" s="1"/>
  <c r="X314" i="39" s="1"/>
  <c r="X315" i="39" s="1"/>
  <c r="X316" i="39" s="1"/>
  <c r="X317" i="39"/>
  <c r="X318" i="39" s="1"/>
  <c r="X319" i="39" s="1"/>
  <c r="X320" i="39"/>
  <c r="X321" i="39" s="1"/>
  <c r="X322" i="39" s="1"/>
  <c r="X323" i="39" s="1"/>
  <c r="X324" i="39" s="1"/>
  <c r="X325" i="39" s="1"/>
  <c r="X326" i="39" s="1"/>
  <c r="X327" i="39" s="1"/>
  <c r="X328" i="39" s="1"/>
  <c r="X329" i="39"/>
  <c r="X330" i="39"/>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c r="X368" i="39"/>
  <c r="X369" i="39"/>
  <c r="X370" i="39"/>
  <c r="X371" i="39" s="1"/>
  <c r="X372" i="39" s="1"/>
  <c r="X373" i="39" s="1"/>
  <c r="X374" i="39" s="1"/>
  <c r="X375" i="39"/>
  <c r="X376" i="39"/>
  <c r="X377" i="39" s="1"/>
  <c r="X378" i="39" s="1"/>
  <c r="X379" i="39" s="1"/>
  <c r="X380" i="39" s="1"/>
  <c r="X381" i="39" s="1"/>
  <c r="X382" i="39" s="1"/>
  <c r="X383" i="39" s="1"/>
  <c r="X384" i="39"/>
  <c r="X385" i="39"/>
  <c r="X386" i="39"/>
  <c r="X387" i="39"/>
  <c r="X388" i="39"/>
  <c r="X389" i="39" s="1"/>
  <c r="X390" i="39" s="1"/>
  <c r="X391" i="39" s="1"/>
  <c r="X392" i="39" s="1"/>
  <c r="X393" i="39"/>
  <c r="X394" i="39"/>
  <c r="X395" i="39"/>
  <c r="X396" i="39" s="1"/>
  <c r="X397" i="39"/>
  <c r="X398" i="39"/>
  <c r="X399" i="39" s="1"/>
  <c r="X400" i="39" s="1"/>
  <c r="X401" i="39" s="1"/>
  <c r="X402" i="39"/>
  <c r="X403" i="39" s="1"/>
  <c r="X404" i="39" s="1"/>
  <c r="X405" i="39" s="1"/>
  <c r="X406" i="39" s="1"/>
  <c r="X407" i="39" s="1"/>
  <c r="X408" i="39"/>
  <c r="X409" i="39" s="1"/>
  <c r="X410" i="39" s="1"/>
  <c r="X411" i="39" s="1"/>
  <c r="X412" i="39" s="1"/>
  <c r="X413" i="39" s="1"/>
  <c r="X414" i="39" s="1"/>
  <c r="X415" i="39"/>
  <c r="X416" i="39"/>
  <c r="X417" i="39" s="1"/>
  <c r="X418" i="39" s="1"/>
  <c r="X419" i="39" s="1"/>
  <c r="X420" i="39"/>
  <c r="X421" i="39" s="1"/>
  <c r="X422" i="39" s="1"/>
  <c r="X423" i="39" s="1"/>
  <c r="X424" i="39"/>
  <c r="X425" i="39" s="1"/>
  <c r="X426" i="39"/>
  <c r="X427" i="39"/>
  <c r="X428" i="39" s="1"/>
  <c r="X429" i="39"/>
  <c r="X430" i="39"/>
  <c r="X431" i="39"/>
  <c r="X432" i="39"/>
  <c r="X433" i="39"/>
  <c r="X434" i="39" s="1"/>
  <c r="X435" i="39" s="1"/>
  <c r="X436" i="39" s="1"/>
  <c r="X437" i="39" s="1"/>
  <c r="X438" i="39" s="1"/>
  <c r="X439" i="39" s="1"/>
  <c r="X440" i="39" s="1"/>
  <c r="X441" i="39"/>
  <c r="X442" i="39"/>
  <c r="X443" i="39" s="1"/>
  <c r="X444" i="39" s="1"/>
  <c r="X445" i="39" s="1"/>
  <c r="X446" i="39" s="1"/>
  <c r="X447" i="39" s="1"/>
  <c r="X448" i="39" s="1"/>
  <c r="X449" i="39"/>
  <c r="X450" i="39"/>
  <c r="X451" i="39"/>
  <c r="X452" i="39"/>
  <c r="X453" i="39"/>
  <c r="X454" i="39"/>
  <c r="X455" i="39"/>
  <c r="X456" i="39"/>
  <c r="X457" i="39"/>
  <c r="X458" i="39"/>
  <c r="X459" i="39"/>
  <c r="X460" i="39"/>
  <c r="X461" i="39"/>
  <c r="X462" i="39" s="1"/>
  <c r="X463" i="39" s="1"/>
  <c r="X464" i="39" s="1"/>
  <c r="X465" i="39" s="1"/>
  <c r="X466" i="39" s="1"/>
  <c r="X467" i="39" s="1"/>
  <c r="X468" i="39" s="1"/>
  <c r="X469" i="39"/>
  <c r="X470" i="39"/>
  <c r="X471" i="39" s="1"/>
  <c r="X472" i="39" s="1"/>
  <c r="X473" i="39" s="1"/>
  <c r="X474" i="39" s="1"/>
  <c r="X475" i="39"/>
  <c r="X476" i="39" s="1"/>
  <c r="X477" i="39" s="1"/>
  <c r="X478" i="39" s="1"/>
  <c r="X479" i="39" s="1"/>
  <c r="X480" i="39" s="1"/>
  <c r="X481" i="39" s="1"/>
  <c r="X482" i="39" s="1"/>
  <c r="X483" i="39" s="1"/>
  <c r="X484" i="39" s="1"/>
  <c r="X485" i="39" s="1"/>
  <c r="X486" i="39" s="1"/>
  <c r="X487" i="39" s="1"/>
  <c r="X488" i="39" s="1"/>
  <c r="X489" i="39" s="1"/>
  <c r="X490" i="39" s="1"/>
  <c r="X491" i="39" s="1"/>
  <c r="X492" i="39" s="1"/>
  <c r="X493" i="39"/>
  <c r="X494" i="39" s="1"/>
  <c r="X495" i="39" s="1"/>
  <c r="X496" i="39" s="1"/>
  <c r="X497" i="39" s="1"/>
  <c r="X498" i="39" s="1"/>
  <c r="X499" i="39" s="1"/>
  <c r="X500" i="39" s="1"/>
  <c r="X501" i="39" s="1"/>
  <c r="X502" i="39" s="1"/>
  <c r="X503" i="39" s="1"/>
  <c r="X504" i="39" s="1"/>
  <c r="X505" i="39"/>
  <c r="X506" i="39"/>
  <c r="X507" i="39" s="1"/>
  <c r="X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c r="X536" i="39"/>
  <c r="X537" i="39"/>
  <c r="X538" i="39" s="1"/>
  <c r="X539" i="39"/>
  <c r="X540" i="39"/>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s="1"/>
  <c r="X571" i="39" s="1"/>
  <c r="X572" i="39" s="1"/>
  <c r="X573" i="39" s="1"/>
  <c r="X574" i="39" s="1"/>
  <c r="X575" i="39" s="1"/>
  <c r="X576" i="39"/>
  <c r="X577" i="39" s="1"/>
  <c r="X578" i="39" s="1"/>
  <c r="X579" i="39" s="1"/>
  <c r="X580" i="39" s="1"/>
  <c r="X581" i="39" s="1"/>
  <c r="X582" i="39" s="1"/>
  <c r="X583" i="39" s="1"/>
  <c r="X584" i="39"/>
  <c r="X585" i="39"/>
  <c r="X586" i="39"/>
  <c r="X587" i="39" s="1"/>
  <c r="X588" i="39" s="1"/>
  <c r="X589" i="39" s="1"/>
  <c r="X590" i="39" s="1"/>
  <c r="X591" i="39" s="1"/>
  <c r="X592" i="39" s="1"/>
  <c r="X593" i="39" s="1"/>
  <c r="X594" i="39" s="1"/>
  <c r="X595" i="39"/>
  <c r="X596" i="39"/>
  <c r="X597" i="39" s="1"/>
  <c r="X598" i="39" s="1"/>
  <c r="X599" i="39" s="1"/>
  <c r="X600" i="39"/>
  <c r="X601" i="39" s="1"/>
  <c r="X602" i="39" s="1"/>
  <c r="X603" i="39" s="1"/>
  <c r="X604" i="39" s="1"/>
  <c r="X605" i="39" s="1"/>
  <c r="X606" i="39" s="1"/>
  <c r="X607" i="39" s="1"/>
  <c r="X608" i="39" s="1"/>
  <c r="X609" i="39"/>
  <c r="X610" i="39" s="1"/>
  <c r="X611" i="39"/>
  <c r="X612" i="39" s="1"/>
  <c r="X613" i="39" s="1"/>
  <c r="X614" i="39" s="1"/>
  <c r="X615" i="39"/>
  <c r="X616" i="39"/>
  <c r="X617" i="39"/>
  <c r="X618" i="39"/>
  <c r="X619" i="39"/>
  <c r="X620" i="39" s="1"/>
  <c r="X621" i="39" s="1"/>
  <c r="X622" i="39"/>
  <c r="X623" i="39" s="1"/>
  <c r="X624" i="39" s="1"/>
  <c r="X625" i="39" s="1"/>
  <c r="X626" i="39" s="1"/>
  <c r="X627" i="39" s="1"/>
  <c r="X628" i="39" s="1"/>
  <c r="X629" i="39" s="1"/>
  <c r="X630" i="39" s="1"/>
  <c r="X631" i="39" s="1"/>
  <c r="X632" i="39" s="1"/>
  <c r="X633" i="39" s="1"/>
  <c r="X634" i="39" s="1"/>
  <c r="X635" i="39" s="1"/>
  <c r="X636" i="39" s="1"/>
  <c r="X637" i="39" s="1"/>
  <c r="X638" i="39"/>
  <c r="X639" i="39" s="1"/>
  <c r="X640" i="39" s="1"/>
  <c r="X641" i="39" s="1"/>
  <c r="X642" i="39" s="1"/>
  <c r="X643" i="39"/>
  <c r="X644" i="39"/>
  <c r="X645" i="39" s="1"/>
  <c r="X646" i="39" s="1"/>
  <c r="X647" i="39" s="1"/>
  <c r="X648" i="39" s="1"/>
  <c r="X649" i="39" s="1"/>
  <c r="X650" i="39" s="1"/>
  <c r="X651" i="39" s="1"/>
  <c r="X652" i="39" s="1"/>
  <c r="X653" i="39" s="1"/>
  <c r="X654" i="39" s="1"/>
  <c r="X655" i="39" s="1"/>
  <c r="X656" i="39" s="1"/>
  <c r="X657" i="39" s="1"/>
  <c r="X658" i="39" s="1"/>
  <c r="X659" i="39" s="1"/>
  <c r="X660" i="39"/>
  <c r="X661" i="39"/>
  <c r="X662" i="39"/>
  <c r="X663" i="39" s="1"/>
  <c r="X664" i="39" s="1"/>
  <c r="X665" i="39" s="1"/>
  <c r="X666" i="39"/>
  <c r="X667" i="39"/>
  <c r="X668" i="39"/>
  <c r="X669" i="39"/>
  <c r="X670" i="39" s="1"/>
  <c r="X671" i="39"/>
  <c r="X672" i="39"/>
  <c r="X673" i="39"/>
  <c r="X674" i="39"/>
  <c r="X675" i="39"/>
  <c r="X676" i="39"/>
  <c r="X677" i="39" s="1"/>
  <c r="X678" i="39" s="1"/>
  <c r="X679" i="39" s="1"/>
  <c r="X680" i="39" s="1"/>
  <c r="X681" i="39" s="1"/>
  <c r="X682" i="39"/>
  <c r="X683" i="39"/>
  <c r="X684" i="39"/>
  <c r="X685" i="39" s="1"/>
  <c r="X686" i="39" s="1"/>
  <c r="X687" i="39" s="1"/>
  <c r="X688" i="39" s="1"/>
  <c r="X689" i="39" s="1"/>
  <c r="X690" i="39" s="1"/>
  <c r="X691" i="39" s="1"/>
  <c r="X692" i="39" s="1"/>
  <c r="X693" i="39" s="1"/>
  <c r="X694" i="39" s="1"/>
  <c r="X695" i="39" s="1"/>
  <c r="X696" i="39" s="1"/>
  <c r="X697" i="39"/>
  <c r="X698" i="39"/>
  <c r="X699" i="39"/>
  <c r="X700" i="39"/>
  <c r="X701" i="39"/>
  <c r="X702" i="39"/>
  <c r="X703" i="39"/>
  <c r="X704" i="39"/>
  <c r="X705" i="39" s="1"/>
  <c r="X706" i="39" s="1"/>
  <c r="X707" i="39" s="1"/>
  <c r="X708" i="39" s="1"/>
  <c r="X709" i="39" s="1"/>
  <c r="X710" i="39" s="1"/>
  <c r="X711" i="39" s="1"/>
  <c r="X712" i="39" s="1"/>
  <c r="X713" i="39"/>
  <c r="X714" i="39" s="1"/>
  <c r="X715" i="39" s="1"/>
  <c r="X716" i="39" s="1"/>
  <c r="X717" i="39" s="1"/>
  <c r="X718" i="39" s="1"/>
  <c r="X719" i="39" s="1"/>
  <c r="X720" i="39"/>
  <c r="X721" i="39" s="1"/>
  <c r="X722" i="39" s="1"/>
  <c r="X723" i="39" s="1"/>
  <c r="X724" i="39"/>
  <c r="X725" i="39"/>
  <c r="X726" i="39" s="1"/>
  <c r="X727" i="39" s="1"/>
  <c r="X728" i="39" s="1"/>
  <c r="X729" i="39" s="1"/>
  <c r="X730" i="39" s="1"/>
  <c r="X731" i="39" s="1"/>
  <c r="X732" i="39"/>
  <c r="X733" i="39"/>
  <c r="X734" i="39" s="1"/>
  <c r="X735" i="39" s="1"/>
  <c r="X736" i="39" s="1"/>
  <c r="X737" i="39" s="1"/>
  <c r="X738" i="39" s="1"/>
  <c r="X739" i="39" s="1"/>
  <c r="X740" i="39"/>
  <c r="X741" i="39"/>
  <c r="X742" i="39" s="1"/>
  <c r="X743" i="39"/>
  <c r="X744" i="39"/>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c r="X770" i="39"/>
  <c r="X771" i="39"/>
  <c r="X772" i="39"/>
  <c r="X773" i="39" s="1"/>
  <c r="X774" i="39" s="1"/>
  <c r="X775" i="39" s="1"/>
  <c r="X776" i="39"/>
  <c r="X777" i="39"/>
  <c r="X778" i="39"/>
  <c r="X779" i="39"/>
  <c r="X780" i="39" s="1"/>
  <c r="X781" i="39"/>
  <c r="X782" i="39"/>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s="1"/>
  <c r="X803" i="39"/>
  <c r="X804" i="39" s="1"/>
  <c r="X805" i="39" s="1"/>
  <c r="X806" i="39" s="1"/>
  <c r="X807" i="39" s="1"/>
  <c r="X808" i="39" s="1"/>
  <c r="X809" i="39" s="1"/>
  <c r="X810" i="39" s="1"/>
  <c r="X811" i="39" s="1"/>
  <c r="X812" i="39"/>
  <c r="X813" i="39" s="1"/>
  <c r="X814" i="39" s="1"/>
  <c r="X815" i="39" s="1"/>
  <c r="X816" i="39" s="1"/>
  <c r="X817" i="39" s="1"/>
  <c r="X818" i="39" s="1"/>
  <c r="X819" i="39" s="1"/>
  <c r="X820" i="39"/>
  <c r="X821" i="39"/>
  <c r="X822" i="39" s="1"/>
  <c r="X823" i="39" s="1"/>
  <c r="X824" i="39" s="1"/>
  <c r="X825" i="39"/>
  <c r="X826" i="39" s="1"/>
  <c r="X827" i="39" s="1"/>
  <c r="X828" i="39" s="1"/>
  <c r="X829" i="39"/>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c r="X875" i="39"/>
  <c r="X876" i="39" s="1"/>
  <c r="X877" i="39"/>
  <c r="X878" i="39"/>
  <c r="X879" i="39"/>
  <c r="X880" i="39"/>
  <c r="X881" i="39"/>
  <c r="X882" i="39"/>
  <c r="X883" i="39" s="1"/>
  <c r="X884" i="39" s="1"/>
  <c r="X885" i="39" s="1"/>
  <c r="X886" i="39"/>
  <c r="X887" i="39"/>
  <c r="X888" i="39"/>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c r="X936" i="39"/>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c r="X968" i="39"/>
  <c r="X969" i="39" s="1"/>
  <c r="X970" i="39" s="1"/>
  <c r="X971" i="39" s="1"/>
  <c r="X972" i="39" s="1"/>
  <c r="X973" i="39" s="1"/>
  <c r="X974" i="39" s="1"/>
  <c r="X975" i="39"/>
  <c r="X976" i="39"/>
  <c r="X977" i="39" s="1"/>
  <c r="X978" i="39"/>
  <c r="X979" i="39"/>
  <c r="X980" i="39"/>
  <c r="X981" i="39"/>
  <c r="X982" i="39" s="1"/>
  <c r="X983" i="39"/>
  <c r="X984" i="39"/>
  <c r="X985" i="39"/>
  <c r="X986" i="39"/>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c r="X1013" i="39"/>
  <c r="X1014" i="39"/>
  <c r="X1015" i="39" s="1"/>
  <c r="X1016" i="39" s="1"/>
  <c r="X1017" i="39" s="1"/>
  <c r="X1018" i="39"/>
  <c r="X1019" i="39"/>
  <c r="X1020" i="39"/>
  <c r="X1021" i="39"/>
  <c r="X1022" i="39" s="1"/>
  <c r="X1023" i="39"/>
  <c r="X1024" i="39"/>
  <c r="X1025" i="39" s="1"/>
  <c r="X1026" i="39" s="1"/>
  <c r="X1027" i="39" s="1"/>
  <c r="X1028" i="39" s="1"/>
  <c r="X1029" i="39" s="1"/>
  <c r="X1030" i="39" s="1"/>
  <c r="X1031" i="39" s="1"/>
  <c r="X1032" i="39" s="1"/>
  <c r="X1033" i="39" s="1"/>
  <c r="X1034" i="39" s="1"/>
  <c r="X1035" i="39" s="1"/>
  <c r="X1036" i="39" s="1"/>
  <c r="X1037" i="39" s="1"/>
  <c r="X1038" i="39"/>
  <c r="X1039" i="39" s="1"/>
  <c r="X1040" i="39"/>
  <c r="X1041" i="39" s="1"/>
  <c r="X1042" i="39" s="1"/>
  <c r="X1043" i="39" s="1"/>
  <c r="X1044" i="39" s="1"/>
  <c r="X1045" i="39" s="1"/>
  <c r="X1046" i="39" s="1"/>
  <c r="X1047" i="39" s="1"/>
  <c r="X1048" i="39" s="1"/>
  <c r="X1049" i="39" s="1"/>
  <c r="X1050" i="39" s="1"/>
  <c r="X1051" i="39" s="1"/>
  <c r="X1052" i="39" s="1"/>
  <c r="X1053" i="39" s="1"/>
  <c r="X1054" i="39"/>
  <c r="X1055" i="39"/>
  <c r="X1056" i="39"/>
  <c r="X1057" i="39"/>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c r="X1080" i="39" s="1"/>
  <c r="X1081" i="39" s="1"/>
  <c r="X1082" i="39" s="1"/>
  <c r="X1083" i="39" s="1"/>
  <c r="X1084" i="39" s="1"/>
  <c r="X1085" i="39" s="1"/>
  <c r="X1086" i="39"/>
  <c r="X1087" i="39"/>
  <c r="X1088" i="39" s="1"/>
  <c r="X1089" i="39" s="1"/>
  <c r="X1090" i="39"/>
  <c r="X1091" i="39"/>
  <c r="X1092" i="39"/>
  <c r="X1093" i="39"/>
  <c r="X1094" i="39"/>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c r="X1114" i="39"/>
  <c r="X1115" i="39" s="1"/>
  <c r="X1116" i="39"/>
  <c r="X1117" i="39"/>
  <c r="X1118" i="39"/>
  <c r="X1119" i="39"/>
  <c r="X1120" i="39"/>
  <c r="X1121" i="39"/>
  <c r="X1122" i="39"/>
  <c r="X1123" i="39"/>
  <c r="X1124" i="39" s="1"/>
  <c r="X1125" i="39"/>
  <c r="X1126" i="39" s="1"/>
  <c r="X1127" i="39" s="1"/>
  <c r="X1128" i="39" s="1"/>
  <c r="X1129" i="39"/>
  <c r="X1130" i="39" s="1"/>
  <c r="X1131" i="39"/>
  <c r="X1132" i="39" s="1"/>
  <c r="X1133" i="39" s="1"/>
  <c r="X1134" i="39" s="1"/>
  <c r="X1135" i="39" s="1"/>
  <c r="X1136" i="39" s="1"/>
  <c r="X1137" i="39" s="1"/>
  <c r="X1138" i="39" s="1"/>
  <c r="X1139" i="39" s="1"/>
  <c r="X1140" i="39"/>
  <c r="X1141" i="39"/>
  <c r="X1142" i="39"/>
  <c r="X1143" i="39"/>
  <c r="X1144" i="39"/>
  <c r="X1145" i="39"/>
  <c r="X1146" i="39"/>
  <c r="X1147" i="39"/>
  <c r="X1148" i="39" s="1"/>
  <c r="X1149" i="39" s="1"/>
  <c r="X1150" i="39"/>
  <c r="X1151" i="39"/>
  <c r="X1152" i="39"/>
  <c r="X1153" i="39"/>
  <c r="X1154" i="39" s="1"/>
  <c r="X1155" i="39"/>
  <c r="X1156" i="39"/>
  <c r="X1157" i="39" s="1"/>
  <c r="X1158" i="39" s="1"/>
  <c r="X1159" i="39" s="1"/>
  <c r="X1160" i="39" s="1"/>
  <c r="X1161" i="39"/>
  <c r="X1162" i="39"/>
  <c r="X1163" i="39"/>
  <c r="X1164" i="39" s="1"/>
  <c r="X1165" i="39" s="1"/>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c r="X1186" i="39"/>
  <c r="X1187" i="39"/>
  <c r="X1188" i="39"/>
  <c r="X1189" i="39"/>
  <c r="X1190" i="39" s="1"/>
  <c r="X1191" i="39" s="1"/>
  <c r="X1192" i="39" s="1"/>
  <c r="X1193" i="39" s="1"/>
  <c r="X1194" i="39" s="1"/>
  <c r="X1195" i="39" s="1"/>
  <c r="X1196" i="39" s="1"/>
  <c r="X1197" i="39"/>
  <c r="X1198" i="39" s="1"/>
  <c r="X1199" i="39"/>
  <c r="X1200" i="39" s="1"/>
  <c r="X1201" i="39" s="1"/>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s="1"/>
  <c r="X1268" i="39" s="1"/>
  <c r="X1269" i="39" s="1"/>
  <c r="X1270" i="39"/>
  <c r="X1271" i="39"/>
  <c r="X1272" i="39" s="1"/>
  <c r="X1273" i="39" s="1"/>
  <c r="X1274" i="39" s="1"/>
  <c r="X1275" i="39" s="1"/>
  <c r="X1276" i="39" s="1"/>
  <c r="X1277" i="39" s="1"/>
  <c r="X1278" i="39"/>
  <c r="X1279" i="39" s="1"/>
  <c r="X1280" i="39" s="1"/>
  <c r="X1281" i="39" s="1"/>
  <c r="X1282" i="39"/>
  <c r="X1283" i="39"/>
  <c r="X1284" i="39"/>
  <c r="X1285" i="39"/>
  <c r="X1286" i="39" s="1"/>
  <c r="X1287" i="39"/>
  <c r="X1288" i="39" s="1"/>
  <c r="X1289" i="39" s="1"/>
  <c r="X1290" i="39" s="1"/>
  <c r="X1291" i="39" s="1"/>
  <c r="X1292" i="39" s="1"/>
  <c r="X1293" i="39" s="1"/>
  <c r="X1294" i="39" s="1"/>
  <c r="X1295" i="39" s="1"/>
  <c r="X1296" i="39"/>
  <c r="X1297" i="39"/>
  <c r="X1298" i="39" s="1"/>
  <c r="X1299" i="39" s="1"/>
  <c r="X1300" i="39" s="1"/>
  <c r="X1301" i="39" s="1"/>
  <c r="X1302" i="39" s="1"/>
  <c r="X1303" i="39" s="1"/>
  <c r="X1304" i="39"/>
  <c r="X1305" i="39"/>
  <c r="X1306" i="39"/>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c r="X1326" i="39"/>
  <c r="X1327" i="39"/>
  <c r="X1328" i="39"/>
  <c r="X1329" i="39" s="1"/>
  <c r="X1330" i="39" s="1"/>
  <c r="X1331" i="39"/>
  <c r="X1332" i="39" s="1"/>
  <c r="X1333" i="39" s="1"/>
  <c r="X1334" i="39" s="1"/>
  <c r="X1335" i="39" s="1"/>
  <c r="X1336" i="39" s="1"/>
  <c r="X1337" i="39" s="1"/>
  <c r="X1338" i="39"/>
  <c r="X1339" i="39"/>
  <c r="X1340" i="39"/>
  <c r="X1341" i="39"/>
  <c r="X1342" i="39" s="1"/>
  <c r="X1343" i="39"/>
  <c r="X1344" i="39" s="1"/>
  <c r="X1345" i="39" s="1"/>
  <c r="X1346" i="39" s="1"/>
  <c r="X1347" i="39" s="1"/>
  <c r="X1348" i="39" s="1"/>
  <c r="X1349" i="39" s="1"/>
  <c r="X1350" i="39"/>
  <c r="X1351" i="39"/>
  <c r="X1352" i="39" s="1"/>
  <c r="X1353" i="39" s="1"/>
  <c r="X1354" i="39"/>
  <c r="X1355" i="39"/>
  <c r="X1356" i="39"/>
  <c r="X1357" i="39"/>
  <c r="X1358" i="39"/>
  <c r="X1359" i="39" s="1"/>
  <c r="X1360" i="39" s="1"/>
  <c r="X1361" i="39" s="1"/>
  <c r="X1362" i="39" s="1"/>
  <c r="X1363" i="39" s="1"/>
  <c r="X1364" i="39"/>
  <c r="X1365" i="39"/>
  <c r="X1366" i="39"/>
  <c r="X1367" i="39" s="1"/>
  <c r="X1368" i="39" s="1"/>
  <c r="X1369" i="39" s="1"/>
  <c r="X1370" i="39"/>
  <c r="X1371" i="39" s="1"/>
  <c r="X1372" i="39" s="1"/>
  <c r="X1373" i="39" s="1"/>
  <c r="X1374" i="39" s="1"/>
  <c r="X1375" i="39" s="1"/>
  <c r="X1376" i="39" s="1"/>
  <c r="X1377" i="39" s="1"/>
  <c r="X1378" i="39" s="1"/>
  <c r="X1379" i="39" s="1"/>
  <c r="X1380" i="39" s="1"/>
  <c r="X1381" i="39" s="1"/>
  <c r="X1382" i="39" s="1"/>
  <c r="X1383" i="39" s="1"/>
  <c r="X1384" i="39"/>
  <c r="X1385" i="39"/>
  <c r="X1386" i="39"/>
  <c r="X1387" i="39"/>
  <c r="X1388" i="39"/>
  <c r="X1389" i="39" s="1"/>
  <c r="X1390" i="39" s="1"/>
  <c r="X1391" i="39" s="1"/>
  <c r="X1392" i="39"/>
  <c r="X1393" i="39" s="1"/>
  <c r="X1394" i="39" s="1"/>
  <c r="X1395" i="39"/>
  <c r="X1396" i="39" s="1"/>
  <c r="X1397" i="39"/>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c r="X1421" i="39" s="1"/>
  <c r="X1422" i="39" s="1"/>
  <c r="X1423" i="39" s="1"/>
  <c r="X1424" i="39"/>
  <c r="X1425" i="39"/>
  <c r="X1426" i="39"/>
  <c r="X1427" i="39"/>
  <c r="X1428" i="39"/>
  <c r="X1429" i="39"/>
  <c r="X1430" i="39" s="1"/>
  <c r="X1431" i="39" s="1"/>
  <c r="X1432" i="39" s="1"/>
  <c r="X1433" i="39" s="1"/>
  <c r="X1434" i="39" s="1"/>
  <c r="X1435" i="39" s="1"/>
  <c r="X1436" i="39" s="1"/>
  <c r="X1437" i="39" s="1"/>
  <c r="X1438" i="39" s="1"/>
  <c r="X1439" i="39" s="1"/>
  <c r="X1440" i="39" s="1"/>
  <c r="X1441" i="39" s="1"/>
  <c r="X1442" i="39" s="1"/>
  <c r="X1443" i="39" s="1"/>
  <c r="X1444" i="39" s="1"/>
  <c r="X1445" i="39"/>
  <c r="X1446" i="39"/>
  <c r="X1447" i="39"/>
  <c r="X1448" i="39"/>
  <c r="X1449" i="39"/>
  <c r="X1450" i="39" s="1"/>
  <c r="X1451" i="39"/>
  <c r="X1452" i="39" s="1"/>
  <c r="X1453" i="39" s="1"/>
  <c r="X1454" i="39" s="1"/>
  <c r="X1455" i="39" s="1"/>
  <c r="X1456" i="39" s="1"/>
  <c r="X1457" i="39" s="1"/>
  <c r="X1458" i="39"/>
  <c r="X1459" i="39" s="1"/>
  <c r="X1460" i="39" s="1"/>
  <c r="X1461" i="39" s="1"/>
  <c r="X1462" i="39" s="1"/>
  <c r="X1463" i="39" s="1"/>
  <c r="X1464" i="39"/>
  <c r="X1465" i="39" s="1"/>
  <c r="X1466" i="39" s="1"/>
  <c r="X1467" i="39" s="1"/>
  <c r="X1468" i="39" s="1"/>
  <c r="X1469" i="39" s="1"/>
  <c r="X1470" i="39" s="1"/>
  <c r="X1471" i="39"/>
  <c r="X1472" i="39"/>
  <c r="X1473" i="39"/>
  <c r="X1474" i="39"/>
  <c r="X1475" i="39"/>
  <c r="X1476" i="39" s="1"/>
  <c r="X1477" i="39"/>
  <c r="X1478" i="39" s="1"/>
  <c r="X1479" i="39" s="1"/>
  <c r="X1480" i="39" s="1"/>
  <c r="X1481" i="39" s="1"/>
  <c r="X1482" i="39" s="1"/>
  <c r="X1483" i="39"/>
  <c r="X1484" i="39" s="1"/>
  <c r="X1485" i="39"/>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c r="X1542" i="39"/>
  <c r="X1543" i="39" s="1"/>
  <c r="X1544" i="39"/>
  <c r="X1545" i="39" s="1"/>
  <c r="X1546" i="39"/>
  <c r="X1547" i="39"/>
  <c r="X1548" i="39"/>
  <c r="X1549" i="39"/>
  <c r="X1550" i="39" s="1"/>
  <c r="X1551" i="39" s="1"/>
  <c r="X1552" i="39" s="1"/>
  <c r="X1553" i="39" s="1"/>
  <c r="X1554" i="39" s="1"/>
  <c r="X1555" i="39" s="1"/>
  <c r="X1556" i="39" s="1"/>
  <c r="X1557" i="39" s="1"/>
  <c r="X1558" i="39" s="1"/>
  <c r="X1559" i="39"/>
  <c r="X1560" i="39"/>
  <c r="X1561" i="39" s="1"/>
  <c r="X1562" i="39" s="1"/>
  <c r="X1563" i="39" s="1"/>
  <c r="X1564" i="39"/>
  <c r="X1565" i="39" s="1"/>
  <c r="X1566" i="39" s="1"/>
  <c r="X1567" i="39" s="1"/>
  <c r="X1568" i="39"/>
  <c r="X1569" i="39" s="1"/>
  <c r="X1570" i="39" s="1"/>
  <c r="X1571" i="39" s="1"/>
  <c r="X1572" i="39" s="1"/>
  <c r="X1573" i="39" s="1"/>
  <c r="X1574" i="39" s="1"/>
  <c r="X1575" i="39" s="1"/>
  <c r="X1576" i="39" s="1"/>
  <c r="X1577" i="39"/>
  <c r="X1578" i="39"/>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c r="X1611" i="39" s="1"/>
  <c r="X1612" i="39" s="1"/>
  <c r="X1613" i="39" s="1"/>
  <c r="X1614" i="39"/>
  <c r="X1615" i="39"/>
  <c r="X1616" i="39" s="1"/>
  <c r="X1617" i="39"/>
  <c r="X1618" i="39" s="1"/>
  <c r="X1619" i="39"/>
  <c r="X1620" i="39" s="1"/>
  <c r="X1621" i="39"/>
  <c r="X1622" i="39" s="1"/>
  <c r="X1623" i="39"/>
  <c r="X1624" i="39" s="1"/>
  <c r="X1625" i="39" s="1"/>
  <c r="X1626" i="39" s="1"/>
  <c r="X1627" i="39" s="1"/>
  <c r="X1628" i="39" s="1"/>
  <c r="X1629" i="39" s="1"/>
  <c r="X1630" i="39" s="1"/>
  <c r="X1631" i="39" s="1"/>
  <c r="X1632" i="39" s="1"/>
  <c r="X1633" i="39"/>
  <c r="X1634" i="39"/>
  <c r="X1635" i="39" s="1"/>
  <c r="X1636" i="39"/>
  <c r="X1637" i="39" s="1"/>
  <c r="X1638" i="39" s="1"/>
  <c r="X1639" i="39" s="1"/>
  <c r="X1640" i="39"/>
  <c r="X1641" i="39"/>
  <c r="X1642" i="39"/>
  <c r="X1643" i="39" s="1"/>
  <c r="X1644" i="39"/>
  <c r="X1645" i="39" s="1"/>
  <c r="X1646" i="39" s="1"/>
  <c r="X1647" i="39"/>
  <c r="X1648" i="39" s="1"/>
  <c r="X1649" i="39" s="1"/>
  <c r="X1650" i="39" s="1"/>
  <c r="X1651" i="39" s="1"/>
  <c r="X1652" i="39" s="1"/>
  <c r="X1653" i="39"/>
  <c r="X1654" i="39" s="1"/>
  <c r="X1655" i="39" s="1"/>
  <c r="X1656" i="39"/>
  <c r="X1657" i="39"/>
  <c r="X1658" i="39"/>
  <c r="X1659" i="39"/>
  <c r="X1660" i="39" s="1"/>
  <c r="X1661" i="39" s="1"/>
  <c r="X1662" i="39" s="1"/>
  <c r="X1663" i="39" s="1"/>
  <c r="X1664" i="39" s="1"/>
  <c r="X1665" i="39" s="1"/>
  <c r="X1666" i="39" s="1"/>
  <c r="X1667" i="39"/>
  <c r="X1668" i="39" s="1"/>
  <c r="X1669" i="39"/>
  <c r="X1670" i="39"/>
  <c r="X1671" i="39"/>
  <c r="X1672" i="39"/>
  <c r="X1673" i="39"/>
  <c r="X1674" i="39"/>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c r="X1696" i="39"/>
  <c r="X1697" i="39" s="1"/>
  <c r="X1698" i="39" s="1"/>
  <c r="X1699" i="39" s="1"/>
  <c r="X1700" i="39"/>
  <c r="X1701" i="39"/>
  <c r="X1702" i="39"/>
  <c r="X1703" i="39"/>
  <c r="X1704" i="39" s="1"/>
  <c r="X1705" i="39"/>
  <c r="X1706" i="39"/>
  <c r="X1707" i="39"/>
  <c r="X1708" i="39"/>
  <c r="X1709" i="39"/>
  <c r="X1710" i="39"/>
  <c r="X1711" i="39"/>
  <c r="X1712" i="39" s="1"/>
  <c r="X1713" i="39" s="1"/>
  <c r="X1714" i="39"/>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c r="X1768" i="39" s="1"/>
  <c r="X1769" i="39"/>
  <c r="X1770" i="39" s="1"/>
  <c r="X1771" i="39" s="1"/>
  <c r="X1772" i="39" s="1"/>
  <c r="X1773" i="39"/>
  <c r="X1774" i="39"/>
  <c r="X1775" i="39"/>
  <c r="X1776" i="39" s="1"/>
  <c r="X1777" i="39"/>
  <c r="X1778" i="39" s="1"/>
  <c r="X1779" i="39" s="1"/>
  <c r="X1780" i="39" s="1"/>
  <c r="X1781" i="39" s="1"/>
  <c r="X1782" i="39" s="1"/>
  <c r="X1783" i="39" s="1"/>
  <c r="X1784" i="39" s="1"/>
  <c r="X1785" i="39" s="1"/>
  <c r="X1786" i="39" s="1"/>
  <c r="X1787" i="39" s="1"/>
  <c r="X1788" i="39" s="1"/>
  <c r="X1789" i="39" s="1"/>
  <c r="X1790" i="39"/>
  <c r="X1791" i="39"/>
  <c r="X1792" i="39" s="1"/>
  <c r="X1793" i="39"/>
  <c r="X1794" i="39"/>
  <c r="X1795" i="39" s="1"/>
  <c r="X1796" i="39"/>
  <c r="X1797" i="39" s="1"/>
  <c r="X1798" i="39" s="1"/>
  <c r="X1799" i="39"/>
  <c r="X1800" i="39"/>
  <c r="X1801" i="39"/>
  <c r="X1802" i="39" s="1"/>
  <c r="X1803" i="39"/>
  <c r="X1804" i="39"/>
  <c r="X1805" i="39"/>
  <c r="X1806" i="39" s="1"/>
  <c r="X1807" i="39" s="1"/>
  <c r="X1808" i="39" s="1"/>
  <c r="X1809" i="39" s="1"/>
  <c r="X1810" i="39" s="1"/>
  <c r="X1811" i="39" s="1"/>
  <c r="X1812" i="39"/>
  <c r="X1813" i="39" s="1"/>
  <c r="X1814" i="39" s="1"/>
  <c r="X1815" i="39" s="1"/>
  <c r="X1816" i="39" s="1"/>
  <c r="X1817" i="39" s="1"/>
  <c r="X1818" i="39" s="1"/>
  <c r="X1819" i="39" s="1"/>
  <c r="X1820" i="39"/>
  <c r="X1821" i="39" s="1"/>
  <c r="X1822" i="39"/>
  <c r="X1823" i="39" s="1"/>
  <c r="X1824" i="39" s="1"/>
  <c r="X1825" i="39"/>
  <c r="X1826" i="39"/>
  <c r="X1827" i="39"/>
  <c r="X1828" i="39" s="1"/>
  <c r="X1829" i="39" s="1"/>
  <c r="X1830" i="39" s="1"/>
  <c r="X1831" i="39" s="1"/>
  <c r="X1832" i="39"/>
  <c r="X1833" i="39"/>
  <c r="X1834" i="39"/>
  <c r="X1835" i="39"/>
  <c r="X1836" i="39"/>
  <c r="X1837" i="39"/>
  <c r="X1838" i="39"/>
  <c r="X1839" i="39" s="1"/>
  <c r="X1840" i="39" s="1"/>
  <c r="X1841" i="39" s="1"/>
  <c r="X1842" i="39" s="1"/>
  <c r="X1843" i="39" s="1"/>
  <c r="X1844" i="39" s="1"/>
  <c r="X1845" i="39" s="1"/>
  <c r="X1846" i="39" s="1"/>
  <c r="X1847" i="39" s="1"/>
  <c r="X1848" i="39" s="1"/>
  <c r="X1849" i="39" s="1"/>
  <c r="X1850" i="39"/>
  <c r="X1851" i="39" s="1"/>
  <c r="X1852" i="39" s="1"/>
  <c r="X1853" i="39" s="1"/>
  <c r="X1854" i="39" s="1"/>
  <c r="X1855" i="39"/>
  <c r="X1856" i="39" s="1"/>
  <c r="X1857" i="39"/>
  <c r="X1858" i="39" s="1"/>
  <c r="X1859" i="39"/>
  <c r="X1860" i="39"/>
  <c r="X1861" i="39"/>
  <c r="F1834" i="39"/>
  <c r="F1835" i="39" s="1"/>
  <c r="AE1631" i="39"/>
  <c r="AC1631" i="39"/>
  <c r="AA1631" i="39"/>
  <c r="I1631" i="39"/>
  <c r="D1631" i="39"/>
  <c r="A1631" i="39"/>
  <c r="F1611" i="39"/>
  <c r="F1612" i="39" s="1"/>
  <c r="F1613" i="39" s="1"/>
  <c r="AE1611" i="39"/>
  <c r="AC1611" i="39"/>
  <c r="AA1611" i="39"/>
  <c r="I1611" i="39"/>
  <c r="D1611" i="39"/>
  <c r="A1611"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F1821" i="39"/>
  <c r="D1821" i="39"/>
  <c r="A1821" i="39"/>
  <c r="AE1820" i="39"/>
  <c r="AC1820" i="39"/>
  <c r="AA1820" i="39"/>
  <c r="V1820" i="39"/>
  <c r="I1820" i="39"/>
  <c r="D1820" i="39"/>
  <c r="C1820" i="39"/>
  <c r="A1820" i="39"/>
  <c r="A1845" i="39"/>
  <c r="A1846" i="39"/>
  <c r="A1847" i="39"/>
  <c r="A1848" i="39"/>
  <c r="A1849" i="39"/>
  <c r="A1850" i="39"/>
  <c r="A1851" i="39"/>
  <c r="A1852" i="39"/>
  <c r="A1853" i="39"/>
  <c r="A1854" i="39"/>
  <c r="A1855" i="39"/>
  <c r="A1856" i="39"/>
  <c r="A1857" i="39"/>
  <c r="A1858" i="39"/>
  <c r="A1859" i="39"/>
  <c r="A1860" i="39"/>
  <c r="A1861" i="39"/>
  <c r="AE1852" i="39"/>
  <c r="AC1852" i="39"/>
  <c r="AA1852" i="39"/>
  <c r="I1852" i="39"/>
  <c r="D1852" i="39"/>
  <c r="AE1853" i="39"/>
  <c r="AC1853" i="39"/>
  <c r="AA1853" i="39"/>
  <c r="I1853" i="39"/>
  <c r="D1853" i="39"/>
  <c r="AE1854" i="39"/>
  <c r="AC1854" i="39"/>
  <c r="AA1854" i="39"/>
  <c r="I1854" i="39"/>
  <c r="D1854" i="39"/>
  <c r="AE1851" i="39"/>
  <c r="AC1851" i="39"/>
  <c r="AA1851" i="39"/>
  <c r="I1851" i="39"/>
  <c r="F1851" i="39"/>
  <c r="D1851" i="39"/>
  <c r="AE1850" i="39"/>
  <c r="AC1850" i="39"/>
  <c r="AA1850" i="39"/>
  <c r="V1850" i="39"/>
  <c r="I1850" i="39"/>
  <c r="D1850" i="39"/>
  <c r="C1850" i="39"/>
  <c r="C643" i="39"/>
  <c r="F821" i="39"/>
  <c r="AE820" i="39"/>
  <c r="AC820" i="39"/>
  <c r="AA820" i="39"/>
  <c r="V820" i="39"/>
  <c r="I820" i="39"/>
  <c r="D820" i="39"/>
  <c r="C820" i="39"/>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2" i="39"/>
  <c r="A1613" i="39"/>
  <c r="A1614" i="39"/>
  <c r="A1615" i="39"/>
  <c r="A1616" i="39"/>
  <c r="A1617" i="39"/>
  <c r="A1618" i="39"/>
  <c r="A1619" i="39"/>
  <c r="A1620" i="39"/>
  <c r="A1621" i="39"/>
  <c r="A1622" i="39"/>
  <c r="A1623" i="39"/>
  <c r="A1624" i="39"/>
  <c r="A1625" i="39"/>
  <c r="A1626" i="39"/>
  <c r="A1627" i="39"/>
  <c r="A1628" i="39"/>
  <c r="A1629" i="39"/>
  <c r="A1630"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36" i="39"/>
  <c r="A1837" i="39"/>
  <c r="A1838" i="39"/>
  <c r="A1839" i="39"/>
  <c r="A1840" i="39"/>
  <c r="A1841" i="39"/>
  <c r="A1842" i="39"/>
  <c r="A1843" i="39"/>
  <c r="A1844"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D1204" i="39"/>
  <c r="AE1203" i="39"/>
  <c r="AC1203" i="39"/>
  <c r="AA1203" i="39"/>
  <c r="V1203" i="39"/>
  <c r="I1203" i="39"/>
  <c r="D1203" i="39"/>
  <c r="C1203" i="39"/>
  <c r="Z1631" i="39"/>
  <c r="Z1830" i="39"/>
  <c r="Z1248" i="39"/>
  <c r="AG1245" i="39"/>
  <c r="Z1825" i="39"/>
  <c r="Z1831" i="39"/>
  <c r="Z1832" i="39"/>
  <c r="Z1821" i="39"/>
  <c r="Z1245" i="39"/>
  <c r="Z1833" i="39"/>
  <c r="Z1822" i="39"/>
  <c r="AG1248" i="39"/>
  <c r="Z1820" i="39"/>
  <c r="Z1823" i="39"/>
  <c r="Z1835" i="39"/>
  <c r="Z1829" i="39"/>
  <c r="Z1828" i="39"/>
  <c r="Z1826" i="39"/>
  <c r="Z1834" i="39"/>
  <c r="Z1824" i="39"/>
  <c r="Z1827" i="39"/>
  <c r="U1820" i="39" l="1"/>
  <c r="C1821" i="39"/>
  <c r="C1851" i="39"/>
  <c r="U1851" i="39" s="1"/>
  <c r="U1821" i="39"/>
  <c r="F1822" i="39"/>
  <c r="V1821" i="39"/>
  <c r="U820" i="39"/>
  <c r="V1822" i="39"/>
  <c r="F1852" i="39"/>
  <c r="V1851" i="39"/>
  <c r="C821" i="39"/>
  <c r="U1850" i="39"/>
  <c r="C1204" i="39"/>
  <c r="U1204" i="39" s="1"/>
  <c r="U1203" i="39"/>
  <c r="F1205" i="39"/>
  <c r="V1204" i="39"/>
  <c r="C1822" i="39" l="1"/>
  <c r="U1822" i="39" s="1"/>
  <c r="F1823" i="39"/>
  <c r="F1853" i="39"/>
  <c r="F1206" i="39"/>
  <c r="C1205" i="39"/>
  <c r="U1205" i="39" s="1"/>
  <c r="V1205" i="39"/>
  <c r="V1823" i="39" l="1"/>
  <c r="C1823" i="39"/>
  <c r="U1823" i="39" s="1"/>
  <c r="F1824" i="39"/>
  <c r="F1854" i="39"/>
  <c r="C1853" i="39"/>
  <c r="U1853" i="39" s="1"/>
  <c r="V1853" i="39"/>
  <c r="F1207" i="39"/>
  <c r="V1206" i="39"/>
  <c r="C1206" i="39"/>
  <c r="U1206" i="39" s="1"/>
  <c r="C1824" i="39" l="1"/>
  <c r="U1824" i="39" s="1"/>
  <c r="F1825" i="39"/>
  <c r="V1824" i="39"/>
  <c r="V1854" i="39"/>
  <c r="C1854" i="39"/>
  <c r="U1854" i="39" s="1"/>
  <c r="C1207" i="39"/>
  <c r="U1207" i="39" s="1"/>
  <c r="F1208" i="39"/>
  <c r="V1207" i="39"/>
  <c r="C1825" i="39" l="1"/>
  <c r="U1825" i="39" s="1"/>
  <c r="V1825" i="39"/>
  <c r="F1826" i="39"/>
  <c r="V1208" i="39"/>
  <c r="C1208" i="39"/>
  <c r="U1208" i="39" s="1"/>
  <c r="F1209" i="39"/>
  <c r="V1826" i="39" l="1"/>
  <c r="C1826" i="39"/>
  <c r="U1826" i="39" s="1"/>
  <c r="F1827" i="39"/>
  <c r="F1210" i="39"/>
  <c r="C1209" i="39"/>
  <c r="U1209" i="39" s="1"/>
  <c r="V1209" i="39"/>
  <c r="C1827" i="39" l="1"/>
  <c r="U1827" i="39" s="1"/>
  <c r="F1828" i="39"/>
  <c r="V1827" i="39"/>
  <c r="C1210" i="39"/>
  <c r="U1210" i="39" s="1"/>
  <c r="V1210" i="39"/>
  <c r="F1211" i="39"/>
  <c r="C1828" i="39" l="1"/>
  <c r="U1828" i="39" s="1"/>
  <c r="F1829" i="39"/>
  <c r="V1828" i="39"/>
  <c r="V1211" i="39"/>
  <c r="F1212" i="39"/>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D470" i="39"/>
  <c r="AE469" i="39"/>
  <c r="AC469" i="39"/>
  <c r="AA469" i="39"/>
  <c r="V469" i="39"/>
  <c r="I469" i="39"/>
  <c r="D469" i="39"/>
  <c r="C469" i="39"/>
  <c r="AE404" i="39"/>
  <c r="AC404" i="39"/>
  <c r="AA404" i="39"/>
  <c r="I404" i="39"/>
  <c r="D404" i="39"/>
  <c r="AE70" i="39"/>
  <c r="AC70" i="39"/>
  <c r="AA70" i="39"/>
  <c r="I70" i="39"/>
  <c r="D70"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F1791" i="39"/>
  <c r="D1791" i="39"/>
  <c r="AE1790" i="39"/>
  <c r="AC1790" i="39"/>
  <c r="AA1790" i="39"/>
  <c r="V1790" i="39"/>
  <c r="I1790" i="39"/>
  <c r="D1790" i="39"/>
  <c r="C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F1775" i="39"/>
  <c r="D1775" i="39"/>
  <c r="AE1774" i="39"/>
  <c r="AC1774" i="39"/>
  <c r="AA1774" i="39"/>
  <c r="V1774" i="39"/>
  <c r="I1774" i="39"/>
  <c r="D1774" i="39"/>
  <c r="C1774"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8" i="39"/>
  <c r="AE1648" i="39"/>
  <c r="AC1648" i="39"/>
  <c r="AA1648" i="39"/>
  <c r="I1648" i="39"/>
  <c r="D1648" i="39"/>
  <c r="AE1649" i="39"/>
  <c r="AC1649" i="39"/>
  <c r="AA1649" i="39"/>
  <c r="I1649" i="39"/>
  <c r="D1649" i="39"/>
  <c r="AE1519" i="39"/>
  <c r="AC1519" i="39"/>
  <c r="AA1519" i="39"/>
  <c r="I1519" i="39"/>
  <c r="D1519" i="39"/>
  <c r="AE1535" i="39"/>
  <c r="AC1535" i="39"/>
  <c r="AA1535" i="39"/>
  <c r="I1535" i="39"/>
  <c r="D1535" i="39"/>
  <c r="AE1652" i="39"/>
  <c r="AC1652" i="39"/>
  <c r="AA1652" i="39"/>
  <c r="I1652" i="39"/>
  <c r="D1652" i="39"/>
  <c r="AE1651" i="39"/>
  <c r="AC1651" i="39"/>
  <c r="AA1651" i="39"/>
  <c r="I1651" i="39"/>
  <c r="D1651" i="39"/>
  <c r="AE1650" i="39"/>
  <c r="AC1650" i="39"/>
  <c r="AA1650" i="39"/>
  <c r="I1650" i="39"/>
  <c r="D1650" i="39"/>
  <c r="AE1647" i="39"/>
  <c r="AC1647" i="39"/>
  <c r="AA1647" i="39"/>
  <c r="V1647" i="39"/>
  <c r="I1647" i="39"/>
  <c r="D1647" i="39"/>
  <c r="C1647" i="39"/>
  <c r="AE1487" i="39"/>
  <c r="AC1487" i="39"/>
  <c r="AA1487" i="39"/>
  <c r="I1487" i="39"/>
  <c r="D1487" i="39"/>
  <c r="AE1699" i="39"/>
  <c r="AC1699" i="39"/>
  <c r="AA1699" i="39"/>
  <c r="I1699" i="39"/>
  <c r="D1699"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F1702" i="39"/>
  <c r="D1702" i="39"/>
  <c r="AE1701" i="39"/>
  <c r="AC1701" i="39"/>
  <c r="AA1701" i="39"/>
  <c r="V1701" i="39"/>
  <c r="I1701" i="39"/>
  <c r="D1701" i="39"/>
  <c r="C1701" i="39"/>
  <c r="F1696" i="39"/>
  <c r="AE1696" i="39"/>
  <c r="AC1696" i="39"/>
  <c r="AA1696" i="39"/>
  <c r="I1696" i="39"/>
  <c r="D1696" i="39"/>
  <c r="AE1695" i="39"/>
  <c r="AC1695" i="39"/>
  <c r="AA1695" i="39"/>
  <c r="V1695" i="39"/>
  <c r="I1695" i="39"/>
  <c r="D1695" i="39"/>
  <c r="C1695"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F1659" i="39"/>
  <c r="D1659" i="39"/>
  <c r="AE1658" i="39"/>
  <c r="AC1658" i="39"/>
  <c r="AA1658" i="39"/>
  <c r="V1658" i="39"/>
  <c r="I1658" i="39"/>
  <c r="D1658" i="39"/>
  <c r="C1658"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F1768" i="39"/>
  <c r="D1768" i="39"/>
  <c r="AE1767" i="39"/>
  <c r="AC1767" i="39"/>
  <c r="AA1767" i="39"/>
  <c r="V1767" i="39"/>
  <c r="I1767" i="39"/>
  <c r="D1767" i="39"/>
  <c r="C1767" i="39"/>
  <c r="AE1700" i="39"/>
  <c r="AC1700" i="39"/>
  <c r="AA1700" i="39"/>
  <c r="I1700" i="39"/>
  <c r="D1700" i="39"/>
  <c r="AE1698" i="39"/>
  <c r="AC1698" i="39"/>
  <c r="AA1698" i="39"/>
  <c r="I1698" i="39"/>
  <c r="D1698" i="39"/>
  <c r="AE1697" i="39"/>
  <c r="AC1697" i="39"/>
  <c r="AA1697" i="39"/>
  <c r="I1697" i="39"/>
  <c r="D1697"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F1673" i="39"/>
  <c r="AE1672" i="39"/>
  <c r="AC1672" i="39"/>
  <c r="AA1672" i="39"/>
  <c r="I1672" i="39"/>
  <c r="C1672" i="39"/>
  <c r="AE1668" i="39"/>
  <c r="AC1668" i="39"/>
  <c r="AA1668" i="39"/>
  <c r="I1668" i="39"/>
  <c r="F1668" i="39"/>
  <c r="D1668" i="39"/>
  <c r="AE1667" i="39"/>
  <c r="AC1667" i="39"/>
  <c r="AA1667" i="39"/>
  <c r="V1667" i="39"/>
  <c r="I1667" i="39"/>
  <c r="D1667" i="39"/>
  <c r="C1667" i="39"/>
  <c r="AE1657" i="39"/>
  <c r="AC1657" i="39"/>
  <c r="AA1657" i="39"/>
  <c r="I1657" i="39"/>
  <c r="F1657" i="39"/>
  <c r="D1657" i="39"/>
  <c r="AE1656" i="39"/>
  <c r="AC1656" i="39"/>
  <c r="AA1656" i="39"/>
  <c r="V1656" i="39"/>
  <c r="I1656" i="39"/>
  <c r="D1656" i="39"/>
  <c r="C1656" i="39"/>
  <c r="AE1655" i="39"/>
  <c r="AC1655" i="39"/>
  <c r="AA1655" i="39"/>
  <c r="I1655" i="39"/>
  <c r="D1655" i="39"/>
  <c r="AE1654" i="39"/>
  <c r="AC1654" i="39"/>
  <c r="AA1654" i="39"/>
  <c r="I1654" i="39"/>
  <c r="F1654" i="39"/>
  <c r="D1654" i="39"/>
  <c r="AE1653" i="39"/>
  <c r="AC1653" i="39"/>
  <c r="AA1653" i="39"/>
  <c r="V1653" i="39"/>
  <c r="I1653" i="39"/>
  <c r="D1653" i="39"/>
  <c r="C1653"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F1634" i="39"/>
  <c r="D1634" i="39"/>
  <c r="AE1633" i="39"/>
  <c r="AC1633" i="39"/>
  <c r="AA1633" i="39"/>
  <c r="V1633" i="39"/>
  <c r="I1633" i="39"/>
  <c r="D1633" i="39"/>
  <c r="C1633"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9" i="39"/>
  <c r="AC1669" i="39"/>
  <c r="AA1669" i="39"/>
  <c r="I1669" i="39"/>
  <c r="D1669" i="39"/>
  <c r="AE1670" i="39"/>
  <c r="AC1670" i="39"/>
  <c r="AA1670" i="39"/>
  <c r="I1670" i="39"/>
  <c r="D1670"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1" i="39"/>
  <c r="AC1671" i="39"/>
  <c r="AA1671" i="39"/>
  <c r="I1671" i="39"/>
  <c r="D1671" i="39"/>
  <c r="AE1150" i="39"/>
  <c r="AC1150" i="39"/>
  <c r="AA1150" i="39"/>
  <c r="I1150" i="39"/>
  <c r="D1150" i="39"/>
  <c r="AE1149" i="39"/>
  <c r="AC1149" i="39"/>
  <c r="AA1149" i="39"/>
  <c r="I1149" i="39"/>
  <c r="F1149" i="39"/>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2" i="39"/>
  <c r="D1613" i="39"/>
  <c r="D1614" i="39"/>
  <c r="D1615" i="39"/>
  <c r="D1616" i="39"/>
  <c r="D1617" i="39"/>
  <c r="D1618" i="39"/>
  <c r="D1619" i="39"/>
  <c r="D1620" i="39"/>
  <c r="D1621" i="39"/>
  <c r="D1622" i="39"/>
  <c r="D1623" i="39"/>
  <c r="D1624" i="39"/>
  <c r="D1625" i="39"/>
  <c r="D1626" i="39"/>
  <c r="D1627" i="39"/>
  <c r="D1628" i="39"/>
  <c r="D1629" i="39"/>
  <c r="D1630" i="39"/>
  <c r="D1632"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36" i="39"/>
  <c r="D1837" i="39"/>
  <c r="D1838" i="39"/>
  <c r="D1839" i="39"/>
  <c r="D1840" i="39"/>
  <c r="D1841" i="39"/>
  <c r="D1842" i="39"/>
  <c r="D1843" i="39"/>
  <c r="D1844" i="39"/>
  <c r="D1845" i="39"/>
  <c r="D1846" i="39"/>
  <c r="D1847" i="39"/>
  <c r="D1848" i="39"/>
  <c r="D1849" i="39"/>
  <c r="D1855" i="39"/>
  <c r="D1856" i="39"/>
  <c r="D1857" i="39"/>
  <c r="D1858" i="39"/>
  <c r="D1859" i="39"/>
  <c r="D1860" i="39"/>
  <c r="D1861"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2" i="39"/>
  <c r="AG253" i="39"/>
  <c r="AG254" i="39"/>
  <c r="C1829" i="39" l="1"/>
  <c r="U1829" i="39" s="1"/>
  <c r="F1830" i="39"/>
  <c r="V1829" i="39"/>
  <c r="F602" i="39"/>
  <c r="V721" i="39"/>
  <c r="V1212" i="39"/>
  <c r="C1212" i="39"/>
  <c r="U1212" i="39" s="1"/>
  <c r="F1213" i="39"/>
  <c r="C721" i="39"/>
  <c r="U721" i="39" s="1"/>
  <c r="F890" i="39"/>
  <c r="F723" i="39"/>
  <c r="F699" i="39"/>
  <c r="C1168" i="39"/>
  <c r="U1168" i="39" s="1"/>
  <c r="U697" i="39"/>
  <c r="F1169" i="39"/>
  <c r="V1168" i="39"/>
  <c r="U1167" i="39"/>
  <c r="U1790" i="39"/>
  <c r="C1791" i="39"/>
  <c r="U1791" i="39" s="1"/>
  <c r="F1013" i="39"/>
  <c r="U469" i="39"/>
  <c r="C470" i="39"/>
  <c r="U470" i="39" s="1"/>
  <c r="U1774" i="39"/>
  <c r="V470" i="39"/>
  <c r="F471" i="39"/>
  <c r="C136" i="39"/>
  <c r="U136" i="39" s="1"/>
  <c r="F113" i="39"/>
  <c r="F70" i="39"/>
  <c r="F1776" i="39"/>
  <c r="C1775" i="39"/>
  <c r="U1775" i="39" s="1"/>
  <c r="F1792" i="39"/>
  <c r="F69" i="39"/>
  <c r="V1791" i="39"/>
  <c r="V1775" i="39"/>
  <c r="F429" i="39"/>
  <c r="F430" i="39"/>
  <c r="C722" i="39"/>
  <c r="U722" i="39" s="1"/>
  <c r="U427" i="39"/>
  <c r="U720" i="39"/>
  <c r="V722"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703" i="39"/>
  <c r="F435" i="39"/>
  <c r="C434" i="39"/>
  <c r="U434" i="39" s="1"/>
  <c r="V434" i="39"/>
  <c r="F1649" i="39"/>
  <c r="C1648" i="39"/>
  <c r="U1648" i="39" s="1"/>
  <c r="V1648" i="39"/>
  <c r="U1647" i="39"/>
  <c r="C1386" i="39"/>
  <c r="U1386" i="39" s="1"/>
  <c r="C1634" i="39"/>
  <c r="U1634" i="39" s="1"/>
  <c r="F1697" i="39"/>
  <c r="U1701" i="39"/>
  <c r="F987" i="39"/>
  <c r="C1702" i="39"/>
  <c r="U1702" i="39" s="1"/>
  <c r="V1702" i="39"/>
  <c r="U985" i="39"/>
  <c r="C986" i="39"/>
  <c r="U986" i="39" s="1"/>
  <c r="U1695" i="39"/>
  <c r="V986" i="39"/>
  <c r="C1768" i="39"/>
  <c r="U1768" i="39" s="1"/>
  <c r="F1387" i="39"/>
  <c r="V1386" i="39"/>
  <c r="U1385" i="39"/>
  <c r="V570" i="39"/>
  <c r="U569" i="39"/>
  <c r="F571" i="39"/>
  <c r="C570" i="39"/>
  <c r="U570" i="39" s="1"/>
  <c r="F1548" i="39"/>
  <c r="C1545" i="39"/>
  <c r="U1545" i="39" s="1"/>
  <c r="F1546" i="39"/>
  <c r="V1545" i="39"/>
  <c r="F230" i="39"/>
  <c r="U1544" i="39"/>
  <c r="D1693" i="39"/>
  <c r="D1691" i="39"/>
  <c r="D1690" i="39"/>
  <c r="D1688" i="39"/>
  <c r="D1686" i="39"/>
  <c r="D1678" i="39"/>
  <c r="D1674" i="39"/>
  <c r="D1694" i="39"/>
  <c r="D1692" i="39"/>
  <c r="D1689" i="39"/>
  <c r="D1687" i="39"/>
  <c r="D1680" i="39"/>
  <c r="D1677" i="39"/>
  <c r="D1675" i="39"/>
  <c r="D1673" i="39"/>
  <c r="D1685" i="39"/>
  <c r="D1684" i="39"/>
  <c r="D1683" i="39"/>
  <c r="D1682" i="39"/>
  <c r="D1681" i="39"/>
  <c r="D1679" i="39"/>
  <c r="D1676" i="39"/>
  <c r="D1672" i="39"/>
  <c r="V1672" i="39"/>
  <c r="U228" i="39"/>
  <c r="V1659" i="39"/>
  <c r="U1658" i="39"/>
  <c r="C1659" i="39"/>
  <c r="U1659" i="39" s="1"/>
  <c r="F1660" i="39"/>
  <c r="F1769" i="39"/>
  <c r="V1768" i="39"/>
  <c r="U1767" i="39"/>
  <c r="C1673" i="39"/>
  <c r="C1668" i="39"/>
  <c r="U1668" i="39" s="1"/>
  <c r="F1674" i="39"/>
  <c r="V1673" i="39"/>
  <c r="C416" i="39"/>
  <c r="V1668" i="39"/>
  <c r="F1655" i="39"/>
  <c r="C1657" i="39"/>
  <c r="U1657" i="39" s="1"/>
  <c r="U1656" i="39"/>
  <c r="V1654" i="39"/>
  <c r="V1657" i="39"/>
  <c r="C1654" i="39"/>
  <c r="U1654" i="39" s="1"/>
  <c r="U1667" i="39"/>
  <c r="U1653" i="39"/>
  <c r="F1635" i="39"/>
  <c r="U1633" i="39"/>
  <c r="V1634" i="39"/>
  <c r="U1304" i="39"/>
  <c r="C1305" i="39"/>
  <c r="U1305" i="39" s="1"/>
  <c r="F1306" i="39"/>
  <c r="V1305" i="39"/>
  <c r="F417" i="39"/>
  <c r="U415" i="39"/>
  <c r="V416" i="39"/>
  <c r="F37" i="39"/>
  <c r="C36" i="39"/>
  <c r="U36" i="39" s="1"/>
  <c r="V36" i="39"/>
  <c r="U35" i="39"/>
  <c r="C19" i="39"/>
  <c r="U19" i="39" s="1"/>
  <c r="F20" i="39"/>
  <c r="U18" i="39"/>
  <c r="V19" i="39"/>
  <c r="F1669" i="39"/>
  <c r="C1452" i="39"/>
  <c r="U1452" i="39" s="1"/>
  <c r="V1452" i="39"/>
  <c r="F1453" i="39"/>
  <c r="U1451" i="39"/>
  <c r="U200" i="39"/>
  <c r="F1150" i="39"/>
  <c r="C1148" i="39"/>
  <c r="U1148" i="39" s="1"/>
  <c r="V1148" i="39"/>
  <c r="U1147" i="39"/>
  <c r="C1609" i="39"/>
  <c r="V201" i="39"/>
  <c r="F202" i="39"/>
  <c r="F1579" i="39"/>
  <c r="C1149" i="39"/>
  <c r="U1149" i="39" s="1"/>
  <c r="V1149" i="39"/>
  <c r="C201" i="39"/>
  <c r="U201" i="39" s="1"/>
  <c r="C1608" i="39"/>
  <c r="U1608" i="39" s="1"/>
  <c r="U1577" i="39"/>
  <c r="V1608" i="39"/>
  <c r="C1578" i="39"/>
  <c r="U1578" i="39" s="1"/>
  <c r="V1578" i="39"/>
  <c r="F771" i="39"/>
  <c r="F734" i="39"/>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2" i="39"/>
  <c r="I1613" i="39"/>
  <c r="I1614" i="39"/>
  <c r="I1615" i="39"/>
  <c r="I1616" i="39"/>
  <c r="I1617" i="39"/>
  <c r="I1618" i="39"/>
  <c r="I1619" i="39"/>
  <c r="I1620" i="39"/>
  <c r="I1621" i="39"/>
  <c r="I1622" i="39"/>
  <c r="I1623" i="39"/>
  <c r="I1624" i="39"/>
  <c r="I1625" i="39"/>
  <c r="I1626" i="39"/>
  <c r="I1627" i="39"/>
  <c r="I1628" i="39"/>
  <c r="I1629" i="39"/>
  <c r="I1630" i="39"/>
  <c r="I1632"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36" i="39"/>
  <c r="I1837" i="39"/>
  <c r="I1838" i="39"/>
  <c r="I1839" i="39"/>
  <c r="I1840" i="39"/>
  <c r="I1841" i="39"/>
  <c r="I1842" i="39"/>
  <c r="I1843" i="39"/>
  <c r="I1844" i="39"/>
  <c r="I1845" i="39"/>
  <c r="I1846" i="39"/>
  <c r="I1847" i="39"/>
  <c r="I1848" i="39"/>
  <c r="I1849" i="39"/>
  <c r="I1855" i="39"/>
  <c r="I1856" i="39"/>
  <c r="I1857" i="39"/>
  <c r="I1858" i="39"/>
  <c r="I1859" i="39"/>
  <c r="I1860" i="39"/>
  <c r="I1861" i="39"/>
  <c r="I2" i="39"/>
  <c r="AE1443" i="39"/>
  <c r="AC1443" i="39"/>
  <c r="AA1443" i="39"/>
  <c r="AE1861" i="39"/>
  <c r="AC1861" i="39"/>
  <c r="AA1861" i="39"/>
  <c r="AE1860" i="39"/>
  <c r="AC1860" i="39"/>
  <c r="AA1860" i="39"/>
  <c r="AE1859" i="39"/>
  <c r="AC1859" i="39"/>
  <c r="AA1859" i="39"/>
  <c r="AE1858" i="39"/>
  <c r="AC1858" i="39"/>
  <c r="AA1858" i="39"/>
  <c r="AE1857" i="39"/>
  <c r="AC1857" i="39"/>
  <c r="AA1857" i="39"/>
  <c r="AE1856" i="39"/>
  <c r="AC1856" i="39"/>
  <c r="AA1856" i="39"/>
  <c r="F1856" i="39"/>
  <c r="AE1855" i="39"/>
  <c r="AC1855" i="39"/>
  <c r="AA1855" i="39"/>
  <c r="V1855" i="39"/>
  <c r="C1855" i="39"/>
  <c r="AE1849" i="39"/>
  <c r="AC1849" i="39"/>
  <c r="AA1849" i="39"/>
  <c r="AE1848" i="39"/>
  <c r="AC1848" i="39"/>
  <c r="AA1848" i="39"/>
  <c r="AE1847" i="39"/>
  <c r="AC1847" i="39"/>
  <c r="AA1847" i="39"/>
  <c r="AE1846" i="39"/>
  <c r="AC1846" i="39"/>
  <c r="AA1846" i="39"/>
  <c r="AE1845" i="39"/>
  <c r="AC1845" i="39"/>
  <c r="AA1845" i="39"/>
  <c r="AE1844" i="39"/>
  <c r="AC1844" i="39"/>
  <c r="AA1844" i="39"/>
  <c r="AE1843" i="39"/>
  <c r="AC1843" i="39"/>
  <c r="AA1843" i="39"/>
  <c r="AE1842" i="39"/>
  <c r="AC1842" i="39"/>
  <c r="AA1842" i="39"/>
  <c r="AE1841" i="39"/>
  <c r="AC1841" i="39"/>
  <c r="AA1841" i="39"/>
  <c r="AE1840" i="39"/>
  <c r="AC1840" i="39"/>
  <c r="AA1840" i="39"/>
  <c r="AE1839" i="39"/>
  <c r="AC1839" i="39"/>
  <c r="AA1839" i="39"/>
  <c r="AE1838" i="39"/>
  <c r="AC1838" i="39"/>
  <c r="AA1838" i="39"/>
  <c r="AE1837" i="39"/>
  <c r="AC1837" i="39"/>
  <c r="AA1837" i="39"/>
  <c r="F1837" i="39"/>
  <c r="AE1836" i="39"/>
  <c r="AC1836" i="39"/>
  <c r="AA1836" i="39"/>
  <c r="V1836" i="39"/>
  <c r="C1836" i="39"/>
  <c r="AE1819" i="39"/>
  <c r="AC1819" i="39"/>
  <c r="AA1819" i="39"/>
  <c r="AE1818" i="39"/>
  <c r="AC1818" i="39"/>
  <c r="AA1818" i="39"/>
  <c r="AE1817" i="39"/>
  <c r="AC1817" i="39"/>
  <c r="AA1817" i="39"/>
  <c r="AE1816" i="39"/>
  <c r="AC1816" i="39"/>
  <c r="AA1816" i="39"/>
  <c r="AE1815" i="39"/>
  <c r="AC1815" i="39"/>
  <c r="AA1815" i="39"/>
  <c r="AE1814" i="39"/>
  <c r="AC1814" i="39"/>
  <c r="AA1814" i="39"/>
  <c r="AE1813" i="39"/>
  <c r="AC1813" i="39"/>
  <c r="AA1813" i="39"/>
  <c r="F1813" i="39"/>
  <c r="AE1812" i="39"/>
  <c r="AC1812" i="39"/>
  <c r="AA1812" i="39"/>
  <c r="V1812" i="39"/>
  <c r="C1812" i="39"/>
  <c r="AE1811" i="39"/>
  <c r="AC1811" i="39"/>
  <c r="AA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F1797" i="39"/>
  <c r="AE1796" i="39"/>
  <c r="AC1796" i="39"/>
  <c r="AA1796" i="39"/>
  <c r="V1796" i="39"/>
  <c r="C1796" i="39"/>
  <c r="AE1632" i="39"/>
  <c r="AC1632" i="39"/>
  <c r="AA1632"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V1611" i="39" l="1"/>
  <c r="C1611" i="39"/>
  <c r="U1611" i="39" s="1"/>
  <c r="C1830" i="39"/>
  <c r="U1830" i="39" s="1"/>
  <c r="V1830" i="39"/>
  <c r="F1831" i="39"/>
  <c r="C1213" i="39"/>
  <c r="U1213" i="39" s="1"/>
  <c r="V1213" i="39"/>
  <c r="F1214" i="39"/>
  <c r="F603" i="39"/>
  <c r="F891" i="39"/>
  <c r="F700" i="39"/>
  <c r="V1169" i="39"/>
  <c r="C1169" i="39"/>
  <c r="U1169" i="39" s="1"/>
  <c r="F1170" i="39"/>
  <c r="F1793" i="39"/>
  <c r="F1014" i="39"/>
  <c r="C70" i="39"/>
  <c r="U70" i="39" s="1"/>
  <c r="F71" i="39"/>
  <c r="V69" i="39"/>
  <c r="C113" i="39"/>
  <c r="U113" i="39" s="1"/>
  <c r="V113" i="39"/>
  <c r="F114" i="39"/>
  <c r="C69" i="39"/>
  <c r="U69" i="39" s="1"/>
  <c r="V1792" i="39"/>
  <c r="C1792" i="39"/>
  <c r="U1792" i="39" s="1"/>
  <c r="F472" i="39"/>
  <c r="V471" i="39"/>
  <c r="C471" i="39"/>
  <c r="U471" i="39" s="1"/>
  <c r="V70" i="39"/>
  <c r="V1776" i="39"/>
  <c r="C1776" i="39"/>
  <c r="U1776" i="39" s="1"/>
  <c r="F1777" i="39"/>
  <c r="C429" i="39"/>
  <c r="U429" i="39" s="1"/>
  <c r="V430" i="39"/>
  <c r="C430" i="39"/>
  <c r="U430" i="39" s="1"/>
  <c r="F431" i="39"/>
  <c r="V429" i="39"/>
  <c r="V368" i="39"/>
  <c r="V723" i="39"/>
  <c r="C723" i="39"/>
  <c r="U723" i="39" s="1"/>
  <c r="C368" i="39"/>
  <c r="U368" i="39" s="1"/>
  <c r="F369" i="39"/>
  <c r="C137" i="39"/>
  <c r="U137" i="39" s="1"/>
  <c r="V137" i="39"/>
  <c r="F138" i="39"/>
  <c r="V597" i="39"/>
  <c r="V1649" i="39"/>
  <c r="C1703" i="39"/>
  <c r="U1703" i="39" s="1"/>
  <c r="C435" i="39"/>
  <c r="U435" i="39" s="1"/>
  <c r="V435" i="39"/>
  <c r="F436" i="39"/>
  <c r="F598" i="39"/>
  <c r="C597" i="39"/>
  <c r="U597" i="39" s="1"/>
  <c r="C1649" i="39"/>
  <c r="U1649" i="39" s="1"/>
  <c r="V1703" i="39"/>
  <c r="F1704" i="39"/>
  <c r="F1650" i="39"/>
  <c r="V1697" i="39"/>
  <c r="C1697" i="39"/>
  <c r="U1697" i="39" s="1"/>
  <c r="F1698" i="39"/>
  <c r="F1549" i="39"/>
  <c r="C987" i="39"/>
  <c r="U987" i="39" s="1"/>
  <c r="F988" i="39"/>
  <c r="V987" i="39"/>
  <c r="V1546" i="39"/>
  <c r="C1546" i="39"/>
  <c r="U1546" i="39" s="1"/>
  <c r="V1387" i="39"/>
  <c r="F1388" i="39"/>
  <c r="C1387" i="39"/>
  <c r="U1387" i="39" s="1"/>
  <c r="F1547" i="39"/>
  <c r="C571" i="39"/>
  <c r="U571" i="39" s="1"/>
  <c r="V571" i="39"/>
  <c r="F572" i="39"/>
  <c r="F1670" i="39"/>
  <c r="V1548" i="39"/>
  <c r="C1548" i="39"/>
  <c r="U1548" i="39" s="1"/>
  <c r="F231" i="39"/>
  <c r="U1673" i="39"/>
  <c r="U1672" i="39"/>
  <c r="F1661" i="39"/>
  <c r="C1660" i="39"/>
  <c r="U1660" i="39" s="1"/>
  <c r="V1660" i="39"/>
  <c r="V1769" i="39"/>
  <c r="F1770" i="39"/>
  <c r="C1769" i="39"/>
  <c r="U1769" i="39" s="1"/>
  <c r="V1674" i="39"/>
  <c r="F1675" i="39"/>
  <c r="C1674" i="39"/>
  <c r="U1674" i="39" s="1"/>
  <c r="U416" i="39"/>
  <c r="V1655" i="39"/>
  <c r="C1655" i="39"/>
  <c r="U1655" i="39" s="1"/>
  <c r="V1635" i="39"/>
  <c r="C1635" i="39"/>
  <c r="U1635" i="39" s="1"/>
  <c r="F1636" i="39"/>
  <c r="V1306" i="39"/>
  <c r="F1307" i="39"/>
  <c r="C1306" i="39"/>
  <c r="U1306" i="39" s="1"/>
  <c r="V417" i="39"/>
  <c r="F418" i="39"/>
  <c r="C417" i="39"/>
  <c r="U417" i="39" s="1"/>
  <c r="V37" i="39"/>
  <c r="F38" i="39"/>
  <c r="C37" i="39"/>
  <c r="U37" i="39" s="1"/>
  <c r="V20" i="39"/>
  <c r="F21" i="39"/>
  <c r="C20" i="39"/>
  <c r="U20" i="39" s="1"/>
  <c r="V1453" i="39"/>
  <c r="C1453" i="39"/>
  <c r="U1453" i="39" s="1"/>
  <c r="F1454" i="39"/>
  <c r="C1150" i="39"/>
  <c r="U1150" i="39" s="1"/>
  <c r="V1150" i="39"/>
  <c r="V202" i="39"/>
  <c r="F203" i="39"/>
  <c r="F1580" i="39"/>
  <c r="C202" i="39"/>
  <c r="U202" i="39" s="1"/>
  <c r="V1579" i="39"/>
  <c r="C1579" i="39"/>
  <c r="U1579" i="39" s="1"/>
  <c r="F772" i="39"/>
  <c r="F735" i="39"/>
  <c r="V734" i="39"/>
  <c r="C734" i="39"/>
  <c r="U734" i="39" s="1"/>
  <c r="C822" i="39"/>
  <c r="U822" i="39" s="1"/>
  <c r="C1187" i="39"/>
  <c r="U1187" i="39" s="1"/>
  <c r="F874" i="39"/>
  <c r="C1112" i="39"/>
  <c r="U1112" i="39" s="1"/>
  <c r="F1131" i="39"/>
  <c r="C1478" i="39"/>
  <c r="U1478" i="39" s="1"/>
  <c r="C1279" i="39"/>
  <c r="U1279" i="39" s="1"/>
  <c r="V1126" i="39"/>
  <c r="F1429" i="39"/>
  <c r="V976" i="39"/>
  <c r="F1366" i="39"/>
  <c r="F1146" i="39"/>
  <c r="F1080" i="39"/>
  <c r="C826" i="39"/>
  <c r="U826" i="39" s="1"/>
  <c r="C935" i="39"/>
  <c r="U935" i="39" s="1"/>
  <c r="C1359" i="39"/>
  <c r="U1359" i="39" s="1"/>
  <c r="C1797" i="39"/>
  <c r="U1797" i="39" s="1"/>
  <c r="C1130" i="39"/>
  <c r="U1130" i="39" s="1"/>
  <c r="F823" i="39"/>
  <c r="V1425" i="39"/>
  <c r="V1162" i="39"/>
  <c r="C1297" i="39"/>
  <c r="U1297" i="39" s="1"/>
  <c r="F803" i="39"/>
  <c r="V1265" i="39"/>
  <c r="C1472" i="39"/>
  <c r="U1472" i="39" s="1"/>
  <c r="F1042" i="39"/>
  <c r="F1397" i="39"/>
  <c r="V1039" i="39"/>
  <c r="F1056" i="39"/>
  <c r="C1856" i="39"/>
  <c r="U1856" i="39" s="1"/>
  <c r="U1836" i="39"/>
  <c r="U1796" i="39"/>
  <c r="U1125" i="39"/>
  <c r="C889" i="39"/>
  <c r="U889" i="39" s="1"/>
  <c r="U975" i="39"/>
  <c r="U1559" i="39"/>
  <c r="U1358" i="39"/>
  <c r="F1127" i="39"/>
  <c r="F1128" i="39"/>
  <c r="U1855" i="39"/>
  <c r="U801" i="39"/>
  <c r="V822" i="39"/>
  <c r="V1297" i="39"/>
  <c r="U1143" i="39"/>
  <c r="V1055" i="39"/>
  <c r="V1446" i="39"/>
  <c r="C1055" i="39"/>
  <c r="U1055" i="39" s="1"/>
  <c r="F1473" i="39"/>
  <c r="U888" i="39"/>
  <c r="U1111" i="39"/>
  <c r="U1477" i="39"/>
  <c r="U1610" i="39"/>
  <c r="C1396" i="39"/>
  <c r="U1396" i="39" s="1"/>
  <c r="C1565" i="39"/>
  <c r="U1565" i="39" s="1"/>
  <c r="V826" i="39"/>
  <c r="F1298" i="39"/>
  <c r="F1113" i="39"/>
  <c r="F1447" i="39"/>
  <c r="V1326" i="39"/>
  <c r="C802" i="39"/>
  <c r="U802" i="39" s="1"/>
  <c r="U934" i="39"/>
  <c r="F969" i="39"/>
  <c r="C1126" i="39"/>
  <c r="U1126" i="39" s="1"/>
  <c r="U1161" i="39"/>
  <c r="F1266" i="39"/>
  <c r="U1395" i="39"/>
  <c r="U1426" i="39"/>
  <c r="V1144" i="39"/>
  <c r="F827" i="39"/>
  <c r="U1325" i="39"/>
  <c r="U1564" i="39"/>
  <c r="U825" i="39"/>
  <c r="U967" i="39"/>
  <c r="U1040" i="39"/>
  <c r="U1264" i="39"/>
  <c r="U1038" i="39"/>
  <c r="U1296" i="39"/>
  <c r="U1364" i="39"/>
  <c r="U1471" i="39"/>
  <c r="V1565" i="39"/>
  <c r="V1856" i="39"/>
  <c r="U1445" i="39"/>
  <c r="U1151" i="39"/>
  <c r="V1396" i="39"/>
  <c r="V1130" i="39"/>
  <c r="U1609" i="39"/>
  <c r="F1814" i="39"/>
  <c r="V802" i="39"/>
  <c r="C1041" i="39"/>
  <c r="U1041" i="39" s="1"/>
  <c r="F1566" i="39"/>
  <c r="U1078" i="39"/>
  <c r="U1142" i="39"/>
  <c r="C1446" i="39"/>
  <c r="U1446" i="39" s="1"/>
  <c r="U1812" i="39"/>
  <c r="C968" i="39"/>
  <c r="U968" i="39" s="1"/>
  <c r="V935" i="39"/>
  <c r="F980" i="39"/>
  <c r="V968" i="39"/>
  <c r="V1112" i="39"/>
  <c r="C976" i="39"/>
  <c r="U976" i="39" s="1"/>
  <c r="C979" i="39"/>
  <c r="U979" i="39" s="1"/>
  <c r="U1129" i="39"/>
  <c r="V1813" i="39"/>
  <c r="C1813" i="39"/>
  <c r="U1813"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41" i="39"/>
  <c r="U1541" i="39" s="1"/>
  <c r="V1541" i="39"/>
  <c r="F1542" i="39"/>
  <c r="F1280" i="39"/>
  <c r="V1279" i="39"/>
  <c r="F977" i="39"/>
  <c r="V979" i="39"/>
  <c r="C1162" i="39"/>
  <c r="U1162" i="39" s="1"/>
  <c r="F1163" i="39"/>
  <c r="C1265" i="39"/>
  <c r="U1265" i="39" s="1"/>
  <c r="V1478" i="39"/>
  <c r="F1479" i="39"/>
  <c r="V1041" i="39"/>
  <c r="V1472" i="39"/>
  <c r="C1560" i="39"/>
  <c r="U1560" i="39" s="1"/>
  <c r="V1560" i="39"/>
  <c r="F1561" i="39"/>
  <c r="V1612" i="39"/>
  <c r="C1612" i="39"/>
  <c r="U1612" i="39" s="1"/>
  <c r="F1188" i="39"/>
  <c r="V1187" i="39"/>
  <c r="C1145" i="39"/>
  <c r="U1145" i="39" s="1"/>
  <c r="V1145" i="39"/>
  <c r="C1365" i="39"/>
  <c r="U1365" i="39" s="1"/>
  <c r="V1365" i="39"/>
  <c r="C1427" i="39"/>
  <c r="U1427" i="39" s="1"/>
  <c r="F1428" i="39"/>
  <c r="C1326" i="39"/>
  <c r="U1326" i="39" s="1"/>
  <c r="F1327" i="39"/>
  <c r="V1339" i="39"/>
  <c r="C1339" i="39"/>
  <c r="U1339" i="39" s="1"/>
  <c r="F1340" i="39"/>
  <c r="V1427" i="39"/>
  <c r="F1430" i="39"/>
  <c r="V1837" i="39"/>
  <c r="C1837" i="39"/>
  <c r="U1837" i="39" s="1"/>
  <c r="F1838" i="39"/>
  <c r="V889" i="39"/>
  <c r="U1278" i="39"/>
  <c r="F1360" i="39"/>
  <c r="V1359" i="39"/>
  <c r="C1425" i="39"/>
  <c r="U1425" i="39" s="1"/>
  <c r="F1798" i="39"/>
  <c r="V1797" i="39"/>
  <c r="U1540" i="39"/>
  <c r="F1857" i="39"/>
  <c r="F1832" i="39" l="1"/>
  <c r="C1831" i="39"/>
  <c r="U1831" i="39" s="1"/>
  <c r="V1831" i="39"/>
  <c r="F604" i="39"/>
  <c r="C1214" i="39"/>
  <c r="U1214" i="39" s="1"/>
  <c r="F1215" i="39"/>
  <c r="V1214" i="39"/>
  <c r="F892" i="39"/>
  <c r="C700" i="39"/>
  <c r="U700" i="39" s="1"/>
  <c r="V700" i="39"/>
  <c r="F1171" i="39"/>
  <c r="V1170" i="39"/>
  <c r="C1170" i="39"/>
  <c r="U1170" i="39" s="1"/>
  <c r="C1793" i="39"/>
  <c r="U1793" i="39" s="1"/>
  <c r="V1793" i="39"/>
  <c r="F1794" i="39"/>
  <c r="F478" i="39"/>
  <c r="F1015" i="39"/>
  <c r="C114" i="39"/>
  <c r="U114" i="39" s="1"/>
  <c r="C71" i="39"/>
  <c r="U71" i="39" s="1"/>
  <c r="F115" i="39"/>
  <c r="F72" i="39"/>
  <c r="V114" i="39"/>
  <c r="V71" i="39"/>
  <c r="V1777" i="39"/>
  <c r="F1778" i="39"/>
  <c r="C1777" i="39"/>
  <c r="U1777"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704" i="39"/>
  <c r="C1704" i="39"/>
  <c r="U1704" i="39" s="1"/>
  <c r="F1705" i="39"/>
  <c r="F1651" i="39"/>
  <c r="V1650" i="39"/>
  <c r="C1650" i="39"/>
  <c r="U1650" i="39" s="1"/>
  <c r="F1699" i="39"/>
  <c r="F1700" i="39"/>
  <c r="V1698" i="39"/>
  <c r="C1698" i="39"/>
  <c r="U1698" i="39" s="1"/>
  <c r="C1549" i="39"/>
  <c r="U1549" i="39" s="1"/>
  <c r="F989" i="39"/>
  <c r="V988" i="39"/>
  <c r="C988" i="39"/>
  <c r="U988" i="39" s="1"/>
  <c r="F1551" i="39"/>
  <c r="V1549" i="39"/>
  <c r="F1550" i="39"/>
  <c r="V1547" i="39"/>
  <c r="C1547" i="39"/>
  <c r="U1547" i="39" s="1"/>
  <c r="F1671" i="39"/>
  <c r="V1388" i="39"/>
  <c r="F1389" i="39"/>
  <c r="C1388" i="39"/>
  <c r="U1388" i="39" s="1"/>
  <c r="V572" i="39"/>
  <c r="F573" i="39"/>
  <c r="C572" i="39"/>
  <c r="U572" i="39" s="1"/>
  <c r="V231" i="39"/>
  <c r="C231" i="39"/>
  <c r="U231" i="39" s="1"/>
  <c r="F232" i="39"/>
  <c r="F1662" i="39"/>
  <c r="C1661" i="39"/>
  <c r="U1661" i="39" s="1"/>
  <c r="V1661" i="39"/>
  <c r="V1770" i="39"/>
  <c r="F1771" i="39"/>
  <c r="C1770" i="39"/>
  <c r="U1770" i="39" s="1"/>
  <c r="V1675" i="39"/>
  <c r="F1676" i="39"/>
  <c r="C1675" i="39"/>
  <c r="U1675" i="39" s="1"/>
  <c r="F1637" i="39"/>
  <c r="V1636" i="39"/>
  <c r="C1636" i="39"/>
  <c r="U1636" i="39" s="1"/>
  <c r="V1307" i="39"/>
  <c r="F1308" i="39"/>
  <c r="C1307" i="39"/>
  <c r="U1307" i="39" s="1"/>
  <c r="V418" i="39"/>
  <c r="C418" i="39"/>
  <c r="U418" i="39" s="1"/>
  <c r="F419" i="39"/>
  <c r="V38" i="39"/>
  <c r="C38" i="39"/>
  <c r="U38" i="39" s="1"/>
  <c r="F39" i="39"/>
  <c r="V21" i="39"/>
  <c r="F22" i="39"/>
  <c r="C21" i="39"/>
  <c r="U21" i="39" s="1"/>
  <c r="V1454" i="39"/>
  <c r="F1455" i="39"/>
  <c r="C1454" i="39"/>
  <c r="U1454" i="39" s="1"/>
  <c r="V1580" i="39"/>
  <c r="C1580" i="39"/>
  <c r="U1580" i="39" s="1"/>
  <c r="C203" i="39"/>
  <c r="U203" i="39" s="1"/>
  <c r="V203" i="39"/>
  <c r="F204" i="39"/>
  <c r="F1581" i="39"/>
  <c r="V735" i="39"/>
  <c r="C735" i="39"/>
  <c r="U735" i="39" s="1"/>
  <c r="F736" i="39"/>
  <c r="C772" i="39"/>
  <c r="F773" i="39"/>
  <c r="F1132" i="39"/>
  <c r="C1131" i="39"/>
  <c r="U1131" i="39" s="1"/>
  <c r="V1146" i="39"/>
  <c r="C1397" i="39"/>
  <c r="U1397" i="39" s="1"/>
  <c r="F1367" i="39"/>
  <c r="C1080" i="39"/>
  <c r="U1080" i="39" s="1"/>
  <c r="F875" i="39"/>
  <c r="V1366" i="39"/>
  <c r="V1080" i="39"/>
  <c r="F1081" i="39"/>
  <c r="F804" i="39"/>
  <c r="V823" i="39"/>
  <c r="C1128" i="39"/>
  <c r="U1128" i="39" s="1"/>
  <c r="C1056" i="39"/>
  <c r="U1056" i="39" s="1"/>
  <c r="V1473" i="39"/>
  <c r="C1127" i="39"/>
  <c r="U1127" i="39" s="1"/>
  <c r="F824" i="39"/>
  <c r="V1429" i="39"/>
  <c r="F1114" i="39"/>
  <c r="V1397" i="39"/>
  <c r="C1429" i="39"/>
  <c r="U1429" i="39" s="1"/>
  <c r="F981" i="39"/>
  <c r="C1298" i="39"/>
  <c r="U1298" i="39" s="1"/>
  <c r="C1366" i="39"/>
  <c r="U1366" i="39" s="1"/>
  <c r="C1146" i="39"/>
  <c r="U1146" i="39" s="1"/>
  <c r="C874" i="39"/>
  <c r="U874" i="39" s="1"/>
  <c r="V890" i="39"/>
  <c r="F828" i="39"/>
  <c r="V1131" i="39"/>
  <c r="C890" i="39"/>
  <c r="U890" i="39" s="1"/>
  <c r="V874" i="39"/>
  <c r="F1057" i="39"/>
  <c r="V803" i="39"/>
  <c r="C803" i="39"/>
  <c r="U803" i="39" s="1"/>
  <c r="V1127" i="39"/>
  <c r="V1056" i="39"/>
  <c r="F1043" i="39"/>
  <c r="C1042" i="39"/>
  <c r="U1042" i="39" s="1"/>
  <c r="V1042" i="39"/>
  <c r="C823" i="39"/>
  <c r="U823" i="39" s="1"/>
  <c r="F970" i="39"/>
  <c r="F1398" i="39"/>
  <c r="V1128" i="39"/>
  <c r="C827" i="39"/>
  <c r="U827" i="39" s="1"/>
  <c r="F1267" i="39"/>
  <c r="F1474" i="39"/>
  <c r="V969" i="39"/>
  <c r="C1473" i="39"/>
  <c r="U1473" i="39" s="1"/>
  <c r="C1266" i="39"/>
  <c r="U1266" i="39" s="1"/>
  <c r="V1266" i="39"/>
  <c r="F1449" i="39"/>
  <c r="C1113" i="39"/>
  <c r="U1113" i="39" s="1"/>
  <c r="V1113" i="39"/>
  <c r="C1447" i="39"/>
  <c r="U1447" i="39" s="1"/>
  <c r="F1448" i="39"/>
  <c r="F1299" i="39"/>
  <c r="V1447" i="39"/>
  <c r="V1298" i="39"/>
  <c r="C969" i="39"/>
  <c r="U969" i="39" s="1"/>
  <c r="V827" i="39"/>
  <c r="F1115" i="39"/>
  <c r="V1566" i="39"/>
  <c r="F1567" i="39"/>
  <c r="C1566" i="39"/>
  <c r="U1566" i="39" s="1"/>
  <c r="C980" i="39"/>
  <c r="U980" i="39" s="1"/>
  <c r="F1815" i="39"/>
  <c r="C1814" i="39"/>
  <c r="U1814" i="39" s="1"/>
  <c r="V1814" i="39"/>
  <c r="V980" i="39"/>
  <c r="F1431" i="39"/>
  <c r="V1428" i="39"/>
  <c r="C1428" i="39"/>
  <c r="U1428" i="39" s="1"/>
  <c r="C1280" i="39"/>
  <c r="U1280" i="39" s="1"/>
  <c r="V1280" i="39"/>
  <c r="F1281" i="39"/>
  <c r="V1542" i="39"/>
  <c r="F1543" i="39"/>
  <c r="C1542" i="39"/>
  <c r="U1542" i="39" s="1"/>
  <c r="V1163" i="39"/>
  <c r="F1164" i="39"/>
  <c r="C1163" i="39"/>
  <c r="U1163" i="39" s="1"/>
  <c r="V1430" i="39"/>
  <c r="C1430" i="39"/>
  <c r="U1430" i="39" s="1"/>
  <c r="F1202" i="39"/>
  <c r="C1201" i="39"/>
  <c r="U1201" i="39" s="1"/>
  <c r="V1201" i="39"/>
  <c r="V1857" i="39"/>
  <c r="F1858" i="39"/>
  <c r="C1857" i="39"/>
  <c r="U1857" i="39" s="1"/>
  <c r="V1613" i="39"/>
  <c r="F1614" i="39"/>
  <c r="C1613" i="39"/>
  <c r="U1613" i="39" s="1"/>
  <c r="V1360" i="39"/>
  <c r="C1360" i="39"/>
  <c r="U1360" i="39" s="1"/>
  <c r="F1361" i="39"/>
  <c r="C1561" i="39"/>
  <c r="U1561" i="39" s="1"/>
  <c r="F1562" i="39"/>
  <c r="V1561" i="39"/>
  <c r="C1479" i="39"/>
  <c r="U1479" i="39" s="1"/>
  <c r="F1480" i="39"/>
  <c r="V1479" i="39"/>
  <c r="C977" i="39"/>
  <c r="U977" i="39" s="1"/>
  <c r="V977" i="39"/>
  <c r="V1188" i="39"/>
  <c r="C1188" i="39"/>
  <c r="U1188" i="39" s="1"/>
  <c r="F1189" i="39"/>
  <c r="V1838" i="39"/>
  <c r="F1839" i="39"/>
  <c r="F1841" i="39"/>
  <c r="F1848" i="39"/>
  <c r="F1843" i="39"/>
  <c r="C1838" i="39"/>
  <c r="U1838" i="39" s="1"/>
  <c r="F1845" i="39"/>
  <c r="F1840" i="39"/>
  <c r="F1847" i="39"/>
  <c r="F1842" i="39"/>
  <c r="F1846" i="39"/>
  <c r="F1844" i="39"/>
  <c r="F1341" i="39"/>
  <c r="C1340" i="39"/>
  <c r="U1340" i="39" s="1"/>
  <c r="V1340" i="39"/>
  <c r="V1798" i="39"/>
  <c r="C1798" i="39"/>
  <c r="U1798" i="39" s="1"/>
  <c r="F1799" i="39"/>
  <c r="C936" i="39"/>
  <c r="U936" i="39" s="1"/>
  <c r="V936" i="39"/>
  <c r="F937" i="39"/>
  <c r="F1154" i="39"/>
  <c r="C1153" i="39"/>
  <c r="U1153" i="39" s="1"/>
  <c r="V1153" i="39"/>
  <c r="F1328" i="39"/>
  <c r="V1327" i="39"/>
  <c r="C1327" i="39"/>
  <c r="U1327" i="39" s="1"/>
  <c r="F1833" i="39" l="1"/>
  <c r="V1832" i="39"/>
  <c r="C1832" i="39"/>
  <c r="U1832" i="39" s="1"/>
  <c r="V1215" i="39"/>
  <c r="F1216" i="39"/>
  <c r="C1215" i="39"/>
  <c r="U1215" i="39" s="1"/>
  <c r="F605" i="39"/>
  <c r="F893" i="39"/>
  <c r="V115" i="39"/>
  <c r="F116" i="39"/>
  <c r="V1794" i="39"/>
  <c r="C1794" i="39"/>
  <c r="U1794" i="39" s="1"/>
  <c r="F1795" i="39"/>
  <c r="V1171" i="39"/>
  <c r="F1172" i="39"/>
  <c r="C1171" i="39"/>
  <c r="U1171" i="39" s="1"/>
  <c r="V478" i="39"/>
  <c r="C478" i="39"/>
  <c r="U478" i="39" s="1"/>
  <c r="F479" i="39"/>
  <c r="F1016" i="39"/>
  <c r="F1779" i="39"/>
  <c r="V1778" i="39"/>
  <c r="C1778" i="39"/>
  <c r="U1778"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705" i="39"/>
  <c r="U1705" i="39" s="1"/>
  <c r="F1706" i="39"/>
  <c r="V1705" i="39"/>
  <c r="C1700" i="39"/>
  <c r="U1700" i="39" s="1"/>
  <c r="V1651" i="39"/>
  <c r="C1651" i="39"/>
  <c r="U1651" i="39" s="1"/>
  <c r="C1699" i="39"/>
  <c r="U1699" i="39" s="1"/>
  <c r="V1699" i="39"/>
  <c r="F1652" i="39"/>
  <c r="V1700" i="39"/>
  <c r="F1552" i="39"/>
  <c r="F990" i="39"/>
  <c r="V989" i="39"/>
  <c r="C989" i="39"/>
  <c r="U989" i="39" s="1"/>
  <c r="V1550" i="39"/>
  <c r="C1551" i="39"/>
  <c r="U1551" i="39" s="1"/>
  <c r="C1671" i="39"/>
  <c r="U1671" i="39" s="1"/>
  <c r="V1551" i="39"/>
  <c r="C1550" i="39"/>
  <c r="U1550" i="39" s="1"/>
  <c r="V1671" i="39"/>
  <c r="V1389" i="39"/>
  <c r="F1390" i="39"/>
  <c r="C1389" i="39"/>
  <c r="U1389" i="39" s="1"/>
  <c r="C573" i="39"/>
  <c r="U573" i="39" s="1"/>
  <c r="V573" i="39"/>
  <c r="F574" i="39"/>
  <c r="C232" i="39"/>
  <c r="U232" i="39" s="1"/>
  <c r="V232" i="39"/>
  <c r="F1663" i="39"/>
  <c r="V1662" i="39"/>
  <c r="C1662" i="39"/>
  <c r="U1662" i="39" s="1"/>
  <c r="V1771" i="39"/>
  <c r="F1772" i="39"/>
  <c r="C1771" i="39"/>
  <c r="U1771" i="39" s="1"/>
  <c r="V1676" i="39"/>
  <c r="F1677" i="39"/>
  <c r="C1676" i="39"/>
  <c r="U1676" i="39" s="1"/>
  <c r="V1637" i="39"/>
  <c r="F1638" i="39"/>
  <c r="C1637" i="39"/>
  <c r="U1637" i="39" s="1"/>
  <c r="F1309" i="39"/>
  <c r="V1308" i="39"/>
  <c r="C1308" i="39"/>
  <c r="U1308" i="39" s="1"/>
  <c r="C419" i="39"/>
  <c r="U419" i="39" s="1"/>
  <c r="V419" i="39"/>
  <c r="F420" i="39"/>
  <c r="C39" i="39"/>
  <c r="U39" i="39" s="1"/>
  <c r="V39" i="39"/>
  <c r="F40" i="39"/>
  <c r="F23" i="39"/>
  <c r="C22" i="39"/>
  <c r="U22" i="39" s="1"/>
  <c r="V22" i="39"/>
  <c r="V1455" i="39"/>
  <c r="F1456" i="39"/>
  <c r="C1455" i="39"/>
  <c r="U1455" i="39" s="1"/>
  <c r="C1581" i="39"/>
  <c r="U1581" i="39" s="1"/>
  <c r="C204" i="39"/>
  <c r="U204" i="39" s="1"/>
  <c r="V204" i="39"/>
  <c r="F205" i="39"/>
  <c r="F1582" i="39"/>
  <c r="V1581" i="39"/>
  <c r="C1015" i="39"/>
  <c r="U1015" i="39" s="1"/>
  <c r="V1015" i="39"/>
  <c r="F737" i="39"/>
  <c r="V736" i="39"/>
  <c r="C736" i="39"/>
  <c r="U736" i="39" s="1"/>
  <c r="C773" i="39"/>
  <c r="U773" i="39" s="1"/>
  <c r="V773" i="39"/>
  <c r="F774" i="39"/>
  <c r="V1132" i="39"/>
  <c r="C1132" i="39"/>
  <c r="U1132" i="39" s="1"/>
  <c r="F1133" i="39"/>
  <c r="F1082" i="39"/>
  <c r="C1081" i="39"/>
  <c r="U1081" i="39" s="1"/>
  <c r="F876" i="39"/>
  <c r="V875" i="39"/>
  <c r="V1081" i="39"/>
  <c r="C875" i="39"/>
  <c r="U875" i="39" s="1"/>
  <c r="C804" i="39"/>
  <c r="U804" i="39" s="1"/>
  <c r="C891" i="39"/>
  <c r="U891" i="39" s="1"/>
  <c r="V891" i="39"/>
  <c r="F1368" i="39"/>
  <c r="F805" i="39"/>
  <c r="V1114" i="39"/>
  <c r="V824" i="39"/>
  <c r="V1367" i="39"/>
  <c r="C1367" i="39"/>
  <c r="U1367" i="39" s="1"/>
  <c r="F1116" i="39"/>
  <c r="C824" i="39"/>
  <c r="U824" i="39" s="1"/>
  <c r="V1057" i="39"/>
  <c r="F1058" i="39"/>
  <c r="C1057" i="39"/>
  <c r="U1057" i="39" s="1"/>
  <c r="F1300" i="39"/>
  <c r="F1450" i="39"/>
  <c r="F829" i="39"/>
  <c r="F1044" i="39"/>
  <c r="V804" i="39"/>
  <c r="C1114" i="39"/>
  <c r="U1114" i="39" s="1"/>
  <c r="C828" i="39"/>
  <c r="U828" i="39" s="1"/>
  <c r="F982" i="39"/>
  <c r="C981" i="39"/>
  <c r="U981" i="39" s="1"/>
  <c r="C1474" i="39"/>
  <c r="U1474" i="39" s="1"/>
  <c r="C1267" i="39"/>
  <c r="U1267" i="39" s="1"/>
  <c r="V828" i="39"/>
  <c r="V981" i="39"/>
  <c r="V1043" i="39"/>
  <c r="V1115" i="39"/>
  <c r="C1043" i="39"/>
  <c r="U1043" i="39" s="1"/>
  <c r="C970" i="39"/>
  <c r="U970" i="39" s="1"/>
  <c r="V1448" i="39"/>
  <c r="F971" i="39"/>
  <c r="C1448" i="39"/>
  <c r="U1448" i="39" s="1"/>
  <c r="F1399" i="39"/>
  <c r="V1398" i="39"/>
  <c r="C1398" i="39"/>
  <c r="U1398" i="39" s="1"/>
  <c r="V970" i="39"/>
  <c r="V1474" i="39"/>
  <c r="F1475" i="39"/>
  <c r="V1267" i="39"/>
  <c r="C1449" i="39"/>
  <c r="U1449" i="39" s="1"/>
  <c r="F1268" i="39"/>
  <c r="V1449" i="39"/>
  <c r="C1115" i="39"/>
  <c r="U1115" i="39" s="1"/>
  <c r="F1117" i="39"/>
  <c r="C1299" i="39"/>
  <c r="U1299" i="39" s="1"/>
  <c r="V1299" i="39"/>
  <c r="C1815" i="39"/>
  <c r="U1815" i="39" s="1"/>
  <c r="F1816" i="39"/>
  <c r="V1815" i="39"/>
  <c r="C1567" i="39"/>
  <c r="U1567" i="39" s="1"/>
  <c r="F1568" i="39"/>
  <c r="V1567" i="39"/>
  <c r="V1843" i="39"/>
  <c r="C1843" i="39"/>
  <c r="U1843" i="39" s="1"/>
  <c r="V1848" i="39"/>
  <c r="C1848" i="39"/>
  <c r="U1848" i="39" s="1"/>
  <c r="V1858" i="39"/>
  <c r="C1858" i="39"/>
  <c r="U1858" i="39" s="1"/>
  <c r="F1859" i="39"/>
  <c r="C1164" i="39"/>
  <c r="U1164" i="39" s="1"/>
  <c r="F1165" i="39"/>
  <c r="V1164" i="39"/>
  <c r="C1431" i="39"/>
  <c r="U1431" i="39" s="1"/>
  <c r="F1436" i="39"/>
  <c r="V1431" i="39"/>
  <c r="F1437" i="39"/>
  <c r="F1432" i="39"/>
  <c r="F938" i="39"/>
  <c r="C937" i="39"/>
  <c r="U937" i="39" s="1"/>
  <c r="V937" i="39"/>
  <c r="V1841" i="39"/>
  <c r="C1841" i="39"/>
  <c r="U1841" i="39" s="1"/>
  <c r="F1800" i="39"/>
  <c r="C1799" i="39"/>
  <c r="U1799" i="39" s="1"/>
  <c r="V1799" i="39"/>
  <c r="C1543" i="39"/>
  <c r="U1543" i="39" s="1"/>
  <c r="V1543" i="39"/>
  <c r="C1281" i="39"/>
  <c r="U1281" i="39" s="1"/>
  <c r="F1282" i="39"/>
  <c r="V1281" i="39"/>
  <c r="F1190" i="39"/>
  <c r="V1189" i="39"/>
  <c r="C1189" i="39"/>
  <c r="U1189" i="39" s="1"/>
  <c r="C1341" i="39"/>
  <c r="U1341" i="39" s="1"/>
  <c r="F1342" i="39"/>
  <c r="V1341" i="39"/>
  <c r="V1845" i="39"/>
  <c r="C1845" i="39"/>
  <c r="U1845" i="39" s="1"/>
  <c r="C1847" i="39"/>
  <c r="U1847" i="39" s="1"/>
  <c r="V1847" i="39"/>
  <c r="V1154" i="39"/>
  <c r="C1154" i="39"/>
  <c r="U1154" i="39" s="1"/>
  <c r="F1155" i="39"/>
  <c r="V1840" i="39"/>
  <c r="C1840" i="39"/>
  <c r="U1840" i="39" s="1"/>
  <c r="C1839" i="39"/>
  <c r="U1839" i="39" s="1"/>
  <c r="V1839" i="39"/>
  <c r="F1849" i="39"/>
  <c r="F1481" i="39"/>
  <c r="V1480" i="39"/>
  <c r="C1480" i="39"/>
  <c r="U1480" i="39" s="1"/>
  <c r="V1844" i="39"/>
  <c r="C1844" i="39"/>
  <c r="U1844" i="39" s="1"/>
  <c r="V1846" i="39"/>
  <c r="C1846" i="39"/>
  <c r="U1846" i="39" s="1"/>
  <c r="C1202" i="39"/>
  <c r="U1202" i="39" s="1"/>
  <c r="V1202" i="39"/>
  <c r="F1615" i="39"/>
  <c r="V1614" i="39"/>
  <c r="C1614" i="39"/>
  <c r="U1614" i="39" s="1"/>
  <c r="C1328" i="39"/>
  <c r="U1328" i="39" s="1"/>
  <c r="V1328" i="39"/>
  <c r="F1329" i="39"/>
  <c r="F1362" i="39"/>
  <c r="C1361" i="39"/>
  <c r="U1361" i="39" s="1"/>
  <c r="V1361" i="39"/>
  <c r="V1842" i="39"/>
  <c r="C1842" i="39"/>
  <c r="U1842" i="39" s="1"/>
  <c r="F1563" i="39"/>
  <c r="V1562" i="39"/>
  <c r="C1562" i="39"/>
  <c r="U1562" i="39" s="1"/>
  <c r="C1833" i="39" l="1"/>
  <c r="U1833" i="39" s="1"/>
  <c r="V1833" i="39"/>
  <c r="F606" i="39"/>
  <c r="F1217" i="39"/>
  <c r="V1216" i="39"/>
  <c r="C1216" i="39"/>
  <c r="U1216" i="39" s="1"/>
  <c r="V116" i="39"/>
  <c r="F894" i="39"/>
  <c r="C116" i="39"/>
  <c r="U116" i="39" s="1"/>
  <c r="C1795" i="39"/>
  <c r="U1795" i="39" s="1"/>
  <c r="V1795" i="39"/>
  <c r="V1172" i="39"/>
  <c r="C1172" i="39"/>
  <c r="U1172" i="39" s="1"/>
  <c r="F1173" i="39"/>
  <c r="F1780" i="39"/>
  <c r="V479" i="39"/>
  <c r="C479" i="39"/>
  <c r="U479" i="39" s="1"/>
  <c r="F480" i="39"/>
  <c r="V1779" i="39"/>
  <c r="F1017" i="39"/>
  <c r="V73" i="39"/>
  <c r="C1779" i="39"/>
  <c r="U1779" i="39" s="1"/>
  <c r="C73" i="39"/>
  <c r="U73" i="39" s="1"/>
  <c r="C474" i="39"/>
  <c r="U474" i="39" s="1"/>
  <c r="F475" i="39"/>
  <c r="V474" i="39"/>
  <c r="F439" i="39"/>
  <c r="C438" i="39"/>
  <c r="U438" i="39" s="1"/>
  <c r="V438" i="39"/>
  <c r="C1706" i="39"/>
  <c r="U1706" i="39" s="1"/>
  <c r="V1706" i="39"/>
  <c r="F1707" i="39"/>
  <c r="V1652" i="39"/>
  <c r="V1552" i="39"/>
  <c r="C1552" i="39"/>
  <c r="U1552" i="39" s="1"/>
  <c r="C1652" i="39"/>
  <c r="U1652" i="39" s="1"/>
  <c r="F1553" i="39"/>
  <c r="C990" i="39"/>
  <c r="U990" i="39" s="1"/>
  <c r="V990" i="39"/>
  <c r="F991" i="39"/>
  <c r="V1390" i="39"/>
  <c r="F1391" i="39"/>
  <c r="C1390" i="39"/>
  <c r="U1390" i="39" s="1"/>
  <c r="F575" i="39"/>
  <c r="C574" i="39"/>
  <c r="U574" i="39" s="1"/>
  <c r="V574" i="39"/>
  <c r="F1664" i="39"/>
  <c r="C1663" i="39"/>
  <c r="U1663" i="39" s="1"/>
  <c r="V1663" i="39"/>
  <c r="V1772" i="39"/>
  <c r="F1773" i="39"/>
  <c r="C1772" i="39"/>
  <c r="U1772" i="39" s="1"/>
  <c r="V1677" i="39"/>
  <c r="F1678" i="39"/>
  <c r="C1677" i="39"/>
  <c r="U1677" i="39" s="1"/>
  <c r="C1638" i="39"/>
  <c r="U1638" i="39" s="1"/>
  <c r="F1639" i="39"/>
  <c r="V1638" i="39"/>
  <c r="F1310" i="39"/>
  <c r="C1309" i="39"/>
  <c r="U1309" i="39" s="1"/>
  <c r="V1309" i="39"/>
  <c r="V420" i="39"/>
  <c r="C420" i="39"/>
  <c r="U420" i="39" s="1"/>
  <c r="F421" i="39"/>
  <c r="C40" i="39"/>
  <c r="U40" i="39" s="1"/>
  <c r="V40" i="39"/>
  <c r="F41" i="39"/>
  <c r="V23" i="39"/>
  <c r="C23" i="39"/>
  <c r="U23" i="39" s="1"/>
  <c r="F24" i="39"/>
  <c r="F1457" i="39"/>
  <c r="C1456" i="39"/>
  <c r="U1456" i="39" s="1"/>
  <c r="V1456" i="39"/>
  <c r="C1582" i="39"/>
  <c r="U1582" i="39" s="1"/>
  <c r="F206" i="39"/>
  <c r="C205" i="39"/>
  <c r="U205" i="39" s="1"/>
  <c r="V205" i="39"/>
  <c r="V1582" i="39"/>
  <c r="F1583" i="39"/>
  <c r="V1016" i="39"/>
  <c r="C1016" i="39"/>
  <c r="U1016" i="39" s="1"/>
  <c r="C737" i="39"/>
  <c r="U737" i="39" s="1"/>
  <c r="F738" i="39"/>
  <c r="V737" i="39"/>
  <c r="F775" i="39"/>
  <c r="C774" i="39"/>
  <c r="U774" i="39" s="1"/>
  <c r="V774" i="39"/>
  <c r="F1134" i="39"/>
  <c r="V1133" i="39"/>
  <c r="C1133" i="39"/>
  <c r="U1133" i="39" s="1"/>
  <c r="F1118" i="39"/>
  <c r="V892" i="39"/>
  <c r="C892" i="39"/>
  <c r="U892" i="39" s="1"/>
  <c r="C1082" i="39"/>
  <c r="U1082" i="39" s="1"/>
  <c r="F1083" i="39"/>
  <c r="V1082" i="39"/>
  <c r="F877" i="39"/>
  <c r="C876" i="39"/>
  <c r="U876" i="39" s="1"/>
  <c r="V876" i="39"/>
  <c r="V1116" i="39"/>
  <c r="C1116" i="39"/>
  <c r="U1116" i="39" s="1"/>
  <c r="C1368" i="39"/>
  <c r="U1368" i="39" s="1"/>
  <c r="V805" i="39"/>
  <c r="F806" i="39"/>
  <c r="C805" i="39"/>
  <c r="U805" i="39" s="1"/>
  <c r="V1368" i="39"/>
  <c r="F1369" i="39"/>
  <c r="C1058" i="39"/>
  <c r="U1058" i="39" s="1"/>
  <c r="F1301" i="39"/>
  <c r="C1300" i="39"/>
  <c r="U1300" i="39" s="1"/>
  <c r="V1300" i="39"/>
  <c r="V1058" i="39"/>
  <c r="F1059" i="39"/>
  <c r="C1450" i="39"/>
  <c r="U1450" i="39" s="1"/>
  <c r="C829" i="39"/>
  <c r="U829" i="39" s="1"/>
  <c r="V829" i="39"/>
  <c r="F830" i="39"/>
  <c r="F1045" i="39"/>
  <c r="V1044" i="39"/>
  <c r="C1044" i="39"/>
  <c r="U1044" i="39" s="1"/>
  <c r="F1119" i="39"/>
  <c r="V1450" i="39"/>
  <c r="V971" i="39"/>
  <c r="C982" i="39"/>
  <c r="U982" i="39" s="1"/>
  <c r="V982" i="39"/>
  <c r="F983" i="39"/>
  <c r="V1117" i="39"/>
  <c r="C1117" i="39"/>
  <c r="U1117" i="39" s="1"/>
  <c r="C1475" i="39"/>
  <c r="U1475" i="39" s="1"/>
  <c r="F1476" i="39"/>
  <c r="V1475" i="39"/>
  <c r="F972" i="39"/>
  <c r="C971" i="39"/>
  <c r="U971" i="39" s="1"/>
  <c r="F1400" i="39"/>
  <c r="V1399" i="39"/>
  <c r="C1399" i="39"/>
  <c r="U1399" i="39" s="1"/>
  <c r="F1269" i="39"/>
  <c r="C1268" i="39"/>
  <c r="U1268" i="39" s="1"/>
  <c r="V1268" i="39"/>
  <c r="V1568" i="39"/>
  <c r="F1569" i="39"/>
  <c r="C1568" i="39"/>
  <c r="U1568" i="39" s="1"/>
  <c r="F1817" i="39"/>
  <c r="C1816" i="39"/>
  <c r="U1816" i="39" s="1"/>
  <c r="V1816" i="39"/>
  <c r="C1437" i="39"/>
  <c r="U1437" i="39" s="1"/>
  <c r="V1437" i="39"/>
  <c r="F1283" i="39"/>
  <c r="V1282" i="39"/>
  <c r="C1282" i="39"/>
  <c r="U1282" i="39" s="1"/>
  <c r="F1343" i="39"/>
  <c r="V1342" i="39"/>
  <c r="C1342" i="39"/>
  <c r="U1342" i="39" s="1"/>
  <c r="V1165" i="39"/>
  <c r="F1166" i="39"/>
  <c r="C1165" i="39"/>
  <c r="U1165" i="39" s="1"/>
  <c r="V1155" i="39"/>
  <c r="C1155" i="39"/>
  <c r="U1155" i="39" s="1"/>
  <c r="F1156" i="39"/>
  <c r="V1800" i="39"/>
  <c r="C1800" i="39"/>
  <c r="U1800" i="39" s="1"/>
  <c r="F1801" i="39"/>
  <c r="V938" i="39"/>
  <c r="C938" i="39"/>
  <c r="U938" i="39" s="1"/>
  <c r="F939" i="39"/>
  <c r="F1435" i="39"/>
  <c r="V1432" i="39"/>
  <c r="F1438" i="39"/>
  <c r="F1433" i="39"/>
  <c r="C1432" i="39"/>
  <c r="U1432" i="39" s="1"/>
  <c r="C1859" i="39"/>
  <c r="U1859" i="39" s="1"/>
  <c r="F1860" i="39"/>
  <c r="V1859" i="39"/>
  <c r="V1362" i="39"/>
  <c r="C1362" i="39"/>
  <c r="U1362" i="39" s="1"/>
  <c r="F1363" i="39"/>
  <c r="C1849" i="39"/>
  <c r="U1849" i="39" s="1"/>
  <c r="V1849" i="39"/>
  <c r="C1436" i="39"/>
  <c r="U1436" i="39" s="1"/>
  <c r="V1436" i="39"/>
  <c r="C1563" i="39"/>
  <c r="U1563" i="39" s="1"/>
  <c r="V1563" i="39"/>
  <c r="C1481" i="39"/>
  <c r="U1481" i="39" s="1"/>
  <c r="F1482" i="39"/>
  <c r="F1483" i="39"/>
  <c r="V1481" i="39"/>
  <c r="F1330" i="39"/>
  <c r="V1329" i="39"/>
  <c r="C1329" i="39"/>
  <c r="U1329" i="39" s="1"/>
  <c r="V1190" i="39"/>
  <c r="C1190" i="39"/>
  <c r="U1190" i="39" s="1"/>
  <c r="F1191" i="39"/>
  <c r="C1615" i="39"/>
  <c r="U1615" i="39" s="1"/>
  <c r="F1616" i="39"/>
  <c r="V1615" i="39"/>
  <c r="V1852" i="39" l="1"/>
  <c r="C1852" i="39"/>
  <c r="U1852" i="39" s="1"/>
  <c r="F607" i="39"/>
  <c r="C1217" i="39"/>
  <c r="U1217" i="39" s="1"/>
  <c r="V1217" i="39"/>
  <c r="F1218" i="39"/>
  <c r="F895" i="39"/>
  <c r="F1781" i="39"/>
  <c r="C1780" i="39"/>
  <c r="U1780" i="39" s="1"/>
  <c r="V1780" i="39"/>
  <c r="C1173" i="39"/>
  <c r="U1173" i="39" s="1"/>
  <c r="V1173" i="39"/>
  <c r="F1174" i="39"/>
  <c r="F483" i="39"/>
  <c r="F482" i="39"/>
  <c r="V480" i="39"/>
  <c r="C480" i="39"/>
  <c r="U480" i="39" s="1"/>
  <c r="F481" i="39"/>
  <c r="F477" i="39"/>
  <c r="F1018" i="39"/>
  <c r="V475" i="39"/>
  <c r="C475" i="39"/>
  <c r="U475" i="39" s="1"/>
  <c r="F476" i="39"/>
  <c r="V439" i="39"/>
  <c r="F440" i="39"/>
  <c r="C439" i="39"/>
  <c r="U439" i="39" s="1"/>
  <c r="F1708" i="39"/>
  <c r="V1707" i="39"/>
  <c r="C1707" i="39"/>
  <c r="U1707" i="39" s="1"/>
  <c r="C1553" i="39"/>
  <c r="U1553" i="39" s="1"/>
  <c r="F1555" i="39"/>
  <c r="F1554" i="39"/>
  <c r="V1553" i="39"/>
  <c r="C991" i="39"/>
  <c r="U991" i="39" s="1"/>
  <c r="V991" i="39"/>
  <c r="F992" i="39"/>
  <c r="V1391" i="39"/>
  <c r="F1392" i="39"/>
  <c r="C1391" i="39"/>
  <c r="U1391" i="39" s="1"/>
  <c r="C575" i="39"/>
  <c r="U575" i="39" s="1"/>
  <c r="V575" i="39"/>
  <c r="C1664" i="39"/>
  <c r="U1664" i="39" s="1"/>
  <c r="V1664" i="39"/>
  <c r="F1665" i="39"/>
  <c r="V1773" i="39"/>
  <c r="C1773" i="39"/>
  <c r="U1773" i="39" s="1"/>
  <c r="V1678" i="39"/>
  <c r="F1679" i="39"/>
  <c r="C1678" i="39"/>
  <c r="U1678" i="39" s="1"/>
  <c r="V1639" i="39"/>
  <c r="F1640" i="39"/>
  <c r="C1639" i="39"/>
  <c r="U1639" i="39" s="1"/>
  <c r="F1311" i="39"/>
  <c r="V1310" i="39"/>
  <c r="C1310" i="39"/>
  <c r="U1310" i="39" s="1"/>
  <c r="F422" i="39"/>
  <c r="V421" i="39"/>
  <c r="C421" i="39"/>
  <c r="U421" i="39" s="1"/>
  <c r="C41" i="39"/>
  <c r="U41" i="39" s="1"/>
  <c r="F42" i="39"/>
  <c r="V41" i="39"/>
  <c r="C24" i="39"/>
  <c r="U24" i="39" s="1"/>
  <c r="V24" i="39"/>
  <c r="F25" i="39"/>
  <c r="V1457" i="39"/>
  <c r="C1457" i="39"/>
  <c r="U1457" i="39" s="1"/>
  <c r="F1458" i="39"/>
  <c r="C206" i="39"/>
  <c r="U206" i="39" s="1"/>
  <c r="F207" i="39"/>
  <c r="V206" i="39"/>
  <c r="F1584" i="39"/>
  <c r="V1583" i="39"/>
  <c r="C1583" i="39"/>
  <c r="U1583" i="39" s="1"/>
  <c r="V1017" i="39"/>
  <c r="C1017" i="39"/>
  <c r="U1017" i="39" s="1"/>
  <c r="F739" i="39"/>
  <c r="C738" i="39"/>
  <c r="U738" i="39" s="1"/>
  <c r="V738" i="39"/>
  <c r="C1134" i="39"/>
  <c r="U1134" i="39" s="1"/>
  <c r="F1135" i="39"/>
  <c r="V1134" i="39"/>
  <c r="C1118" i="39"/>
  <c r="U1118" i="39" s="1"/>
  <c r="V1118" i="39"/>
  <c r="F1120" i="39"/>
  <c r="C775" i="39"/>
  <c r="U775" i="39" s="1"/>
  <c r="F776" i="39"/>
  <c r="V775" i="39"/>
  <c r="V1083" i="39"/>
  <c r="C1083" i="39"/>
  <c r="U1083" i="39" s="1"/>
  <c r="F1084" i="39"/>
  <c r="V893" i="39"/>
  <c r="C893" i="39"/>
  <c r="U893" i="39" s="1"/>
  <c r="V806" i="39"/>
  <c r="F878" i="39"/>
  <c r="C877" i="39"/>
  <c r="U877" i="39" s="1"/>
  <c r="V877" i="39"/>
  <c r="V1301" i="39"/>
  <c r="C1301" i="39"/>
  <c r="U1301" i="39" s="1"/>
  <c r="V1369" i="39"/>
  <c r="C1369" i="39"/>
  <c r="U1369" i="39" s="1"/>
  <c r="F1370" i="39"/>
  <c r="F807" i="39"/>
  <c r="C806" i="39"/>
  <c r="U806" i="39" s="1"/>
  <c r="F1302" i="39"/>
  <c r="C1059" i="39"/>
  <c r="U1059" i="39" s="1"/>
  <c r="F1060" i="39"/>
  <c r="V1059" i="39"/>
  <c r="F831" i="39"/>
  <c r="C830" i="39"/>
  <c r="U830" i="39" s="1"/>
  <c r="V830" i="39"/>
  <c r="V1045" i="39"/>
  <c r="C1045" i="39"/>
  <c r="U1045" i="39" s="1"/>
  <c r="F1046" i="39"/>
  <c r="F984" i="39"/>
  <c r="C983" i="39"/>
  <c r="U983" i="39" s="1"/>
  <c r="V983" i="39"/>
  <c r="F1121" i="39"/>
  <c r="C1269" i="39"/>
  <c r="U1269" i="39" s="1"/>
  <c r="C1119" i="39"/>
  <c r="U1119" i="39" s="1"/>
  <c r="V1119" i="39"/>
  <c r="C1476" i="39"/>
  <c r="U1476" i="39" s="1"/>
  <c r="V1476" i="39"/>
  <c r="F1270" i="39"/>
  <c r="V1269" i="39"/>
  <c r="C1400" i="39"/>
  <c r="U1400" i="39" s="1"/>
  <c r="F1401" i="39"/>
  <c r="V1400" i="39"/>
  <c r="F973" i="39"/>
  <c r="C972" i="39"/>
  <c r="U972" i="39" s="1"/>
  <c r="V972" i="39"/>
  <c r="F1818" i="39"/>
  <c r="V1817" i="39"/>
  <c r="C1817" i="39"/>
  <c r="U1817" i="39" s="1"/>
  <c r="F1570" i="39"/>
  <c r="V1569" i="39"/>
  <c r="C1569" i="39"/>
  <c r="U1569" i="39" s="1"/>
  <c r="F1192" i="39"/>
  <c r="V1191" i="39"/>
  <c r="C1191" i="39"/>
  <c r="U1191" i="39" s="1"/>
  <c r="C1433" i="39"/>
  <c r="U1433" i="39" s="1"/>
  <c r="V1433" i="39"/>
  <c r="F1439" i="39"/>
  <c r="F1434" i="39"/>
  <c r="C1166" i="39"/>
  <c r="U1166" i="39" s="1"/>
  <c r="V1166" i="39"/>
  <c r="C1435" i="39"/>
  <c r="U1435" i="39" s="1"/>
  <c r="V1435" i="39"/>
  <c r="V939" i="39"/>
  <c r="C939" i="39"/>
  <c r="U939" i="39" s="1"/>
  <c r="F940" i="39"/>
  <c r="V1156" i="39"/>
  <c r="C1156" i="39"/>
  <c r="U1156" i="39" s="1"/>
  <c r="F1157" i="39"/>
  <c r="C1363" i="39"/>
  <c r="U1363" i="39" s="1"/>
  <c r="V1363" i="39"/>
  <c r="F1861" i="39"/>
  <c r="V1860" i="39"/>
  <c r="C1860" i="39"/>
  <c r="U1860" i="39" s="1"/>
  <c r="F1802" i="39"/>
  <c r="C1801" i="39"/>
  <c r="U1801" i="39" s="1"/>
  <c r="V1801" i="39"/>
  <c r="C1283" i="39"/>
  <c r="U1283" i="39" s="1"/>
  <c r="V1283" i="39"/>
  <c r="F1284" i="39"/>
  <c r="C1483" i="39"/>
  <c r="U1483" i="39" s="1"/>
  <c r="V1483" i="39"/>
  <c r="V1438" i="39"/>
  <c r="C1438" i="39"/>
  <c r="U1438" i="39" s="1"/>
  <c r="F1484" i="39"/>
  <c r="C1482" i="39"/>
  <c r="U1482" i="39" s="1"/>
  <c r="V1482" i="39"/>
  <c r="F1344" i="39"/>
  <c r="V1343" i="39"/>
  <c r="C1343" i="39"/>
  <c r="U1343" i="39" s="1"/>
  <c r="F1617" i="39"/>
  <c r="V1616" i="39"/>
  <c r="C1616" i="39"/>
  <c r="U1616" i="39" s="1"/>
  <c r="C1330" i="39"/>
  <c r="U1330" i="39" s="1"/>
  <c r="F1331" i="39"/>
  <c r="V1330" i="39"/>
  <c r="C1834" i="39" l="1"/>
  <c r="U1834" i="39" s="1"/>
  <c r="V1834" i="39"/>
  <c r="F608" i="39"/>
  <c r="C1218" i="39"/>
  <c r="U1218" i="39" s="1"/>
  <c r="F1219" i="39"/>
  <c r="V1218" i="39"/>
  <c r="F896" i="39"/>
  <c r="F1782" i="39"/>
  <c r="C1781" i="39"/>
  <c r="U1781" i="39" s="1"/>
  <c r="V1781"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54" i="39"/>
  <c r="U1554" i="39" s="1"/>
  <c r="C992" i="39"/>
  <c r="U992" i="39" s="1"/>
  <c r="F993" i="39"/>
  <c r="V992" i="39"/>
  <c r="V1554" i="39"/>
  <c r="F1557" i="39"/>
  <c r="V1555" i="39"/>
  <c r="F1556" i="39"/>
  <c r="F1709" i="39"/>
  <c r="C1708" i="39"/>
  <c r="U1708" i="39" s="1"/>
  <c r="V1708" i="39"/>
  <c r="C1555" i="39"/>
  <c r="U1555" i="39" s="1"/>
  <c r="F832" i="39"/>
  <c r="V1392" i="39"/>
  <c r="F1393" i="39"/>
  <c r="C1392" i="39"/>
  <c r="U1392" i="39" s="1"/>
  <c r="V1665" i="39"/>
  <c r="F1666" i="39"/>
  <c r="C1665" i="39"/>
  <c r="U1665" i="39" s="1"/>
  <c r="V1679" i="39"/>
  <c r="F1680" i="39"/>
  <c r="F1681" i="39"/>
  <c r="F1682" i="39"/>
  <c r="C1679" i="39"/>
  <c r="U1679" i="39" s="1"/>
  <c r="F1641" i="39"/>
  <c r="V1640" i="39"/>
  <c r="C1640" i="39"/>
  <c r="U1640" i="39" s="1"/>
  <c r="F1312" i="39"/>
  <c r="C1311" i="39"/>
  <c r="U1311" i="39" s="1"/>
  <c r="V1311" i="39"/>
  <c r="V422" i="39"/>
  <c r="C422" i="39"/>
  <c r="U422" i="39" s="1"/>
  <c r="F423" i="39"/>
  <c r="F43" i="39"/>
  <c r="C42" i="39"/>
  <c r="U42" i="39" s="1"/>
  <c r="V42" i="39"/>
  <c r="F26" i="39"/>
  <c r="V25" i="39"/>
  <c r="C25" i="39"/>
  <c r="U25" i="39" s="1"/>
  <c r="V1458" i="39"/>
  <c r="F1459" i="39"/>
  <c r="F1460" i="39"/>
  <c r="C1458" i="39"/>
  <c r="U1458" i="39" s="1"/>
  <c r="V207" i="39"/>
  <c r="C207" i="39"/>
  <c r="U207" i="39" s="1"/>
  <c r="F208" i="39"/>
  <c r="V1584" i="39"/>
  <c r="C1584" i="39"/>
  <c r="U1584" i="39" s="1"/>
  <c r="F1585" i="39"/>
  <c r="V1018" i="39"/>
  <c r="C1018" i="39"/>
  <c r="U1018" i="39" s="1"/>
  <c r="C739" i="39"/>
  <c r="U739" i="39" s="1"/>
  <c r="F740" i="39"/>
  <c r="V739" i="39"/>
  <c r="V1135" i="39"/>
  <c r="C1135" i="39"/>
  <c r="U1135" i="39" s="1"/>
  <c r="F1136" i="39"/>
  <c r="V1120" i="39"/>
  <c r="F1122" i="39"/>
  <c r="C1120" i="39"/>
  <c r="U1120" i="39" s="1"/>
  <c r="C776" i="39"/>
  <c r="U776" i="39" s="1"/>
  <c r="V776" i="39"/>
  <c r="F777" i="39"/>
  <c r="C1084" i="39"/>
  <c r="U1084" i="39" s="1"/>
  <c r="F1085" i="39"/>
  <c r="V1084" i="39"/>
  <c r="V894" i="39"/>
  <c r="C894" i="39"/>
  <c r="U894" i="39" s="1"/>
  <c r="F879" i="39"/>
  <c r="V878" i="39"/>
  <c r="C878" i="39"/>
  <c r="U878" i="39" s="1"/>
  <c r="C807" i="39"/>
  <c r="U807" i="39" s="1"/>
  <c r="F1371" i="39"/>
  <c r="C1370" i="39"/>
  <c r="U1370" i="39" s="1"/>
  <c r="V1370" i="39"/>
  <c r="F1303" i="39"/>
  <c r="V1302" i="39"/>
  <c r="C1302" i="39"/>
  <c r="U1302" i="39" s="1"/>
  <c r="F808" i="39"/>
  <c r="V807" i="39"/>
  <c r="F1061" i="39"/>
  <c r="V1060" i="39"/>
  <c r="C1060" i="39"/>
  <c r="U1060" i="39" s="1"/>
  <c r="C831" i="39"/>
  <c r="U831" i="39" s="1"/>
  <c r="V831" i="39"/>
  <c r="V1046" i="39"/>
  <c r="F1047" i="39"/>
  <c r="C1046" i="39"/>
  <c r="U1046" i="39" s="1"/>
  <c r="C1270" i="39"/>
  <c r="U1270" i="39" s="1"/>
  <c r="F1271" i="39"/>
  <c r="V1270" i="39"/>
  <c r="C1121" i="39"/>
  <c r="U1121" i="39" s="1"/>
  <c r="F1123" i="39"/>
  <c r="V973" i="39"/>
  <c r="V1121" i="39"/>
  <c r="C984" i="39"/>
  <c r="U984" i="39" s="1"/>
  <c r="V984" i="39"/>
  <c r="F1402" i="39"/>
  <c r="C1401" i="39"/>
  <c r="U1401" i="39" s="1"/>
  <c r="V1401" i="39"/>
  <c r="F974" i="39"/>
  <c r="C973" i="39"/>
  <c r="U973" i="39" s="1"/>
  <c r="V1570" i="39"/>
  <c r="F1571" i="39"/>
  <c r="C1570" i="39"/>
  <c r="U1570" i="39" s="1"/>
  <c r="C1818" i="39"/>
  <c r="U1818" i="39" s="1"/>
  <c r="F1819" i="39"/>
  <c r="V1818" i="39"/>
  <c r="V940" i="39"/>
  <c r="F941" i="39"/>
  <c r="C940" i="39"/>
  <c r="U940" i="39" s="1"/>
  <c r="V1861" i="39"/>
  <c r="C1861" i="39"/>
  <c r="U1861" i="39" s="1"/>
  <c r="C1434" i="39"/>
  <c r="U1434" i="39" s="1"/>
  <c r="F1440" i="39"/>
  <c r="V1434" i="39"/>
  <c r="V1157" i="39"/>
  <c r="C1157" i="39"/>
  <c r="U1157" i="39" s="1"/>
  <c r="F1158" i="39"/>
  <c r="C1439" i="39"/>
  <c r="U1439" i="39" s="1"/>
  <c r="V1439" i="39"/>
  <c r="F1285" i="39"/>
  <c r="V1284" i="39"/>
  <c r="C1284" i="39"/>
  <c r="U1284" i="39" s="1"/>
  <c r="F1345" i="39"/>
  <c r="V1344" i="39"/>
  <c r="C1344" i="39"/>
  <c r="U1344" i="39" s="1"/>
  <c r="V1617" i="39"/>
  <c r="C1617" i="39"/>
  <c r="U1617" i="39" s="1"/>
  <c r="F1618" i="39"/>
  <c r="C1484" i="39"/>
  <c r="U1484" i="39" s="1"/>
  <c r="F1485" i="39"/>
  <c r="V1484" i="39"/>
  <c r="F1332" i="39"/>
  <c r="V1331" i="39"/>
  <c r="C1331" i="39"/>
  <c r="U1331" i="39" s="1"/>
  <c r="V1802" i="39"/>
  <c r="C1802" i="39"/>
  <c r="U1802" i="39" s="1"/>
  <c r="F1803" i="39"/>
  <c r="V1192" i="39"/>
  <c r="F1193" i="39"/>
  <c r="C1192" i="39"/>
  <c r="U1192" i="39" s="1"/>
  <c r="V1835" i="39" l="1"/>
  <c r="C1835" i="39"/>
  <c r="U1835" i="39" s="1"/>
  <c r="V1219" i="39"/>
  <c r="F1220" i="39"/>
  <c r="C1219" i="39"/>
  <c r="U1219" i="39" s="1"/>
  <c r="F897" i="39"/>
  <c r="F1783" i="39"/>
  <c r="C1782" i="39"/>
  <c r="U1782" i="39" s="1"/>
  <c r="V1782" i="39"/>
  <c r="C1175" i="39"/>
  <c r="U1175" i="39" s="1"/>
  <c r="F1176" i="39"/>
  <c r="V1175" i="39"/>
  <c r="F1020" i="39"/>
  <c r="C484" i="39"/>
  <c r="U484" i="39" s="1"/>
  <c r="F485" i="39"/>
  <c r="V484" i="39"/>
  <c r="V993" i="39"/>
  <c r="F994" i="39"/>
  <c r="C993" i="39"/>
  <c r="U993" i="39" s="1"/>
  <c r="C1557" i="39"/>
  <c r="U1557" i="39" s="1"/>
  <c r="V1557" i="39"/>
  <c r="C1556" i="39"/>
  <c r="U1556" i="39" s="1"/>
  <c r="V1556" i="39"/>
  <c r="F1558" i="39"/>
  <c r="C1709" i="39"/>
  <c r="U1709" i="39" s="1"/>
  <c r="V1709" i="39"/>
  <c r="F1710" i="39"/>
  <c r="F1487" i="39"/>
  <c r="F833" i="39"/>
  <c r="V1393" i="39"/>
  <c r="F1394" i="39"/>
  <c r="C1393" i="39"/>
  <c r="U1393" i="39" s="1"/>
  <c r="V1666" i="39"/>
  <c r="C1666" i="39"/>
  <c r="U1666" i="39" s="1"/>
  <c r="V1680" i="39"/>
  <c r="F1683" i="39"/>
  <c r="C1680" i="39"/>
  <c r="U1680" i="39" s="1"/>
  <c r="V1681" i="39"/>
  <c r="C1681" i="39"/>
  <c r="U1681" i="39" s="1"/>
  <c r="V1682" i="39"/>
  <c r="C1682" i="39"/>
  <c r="U1682" i="39" s="1"/>
  <c r="V1641" i="39"/>
  <c r="F1642" i="39"/>
  <c r="C1641" i="39"/>
  <c r="U1641" i="39" s="1"/>
  <c r="V1312" i="39"/>
  <c r="F1313" i="39"/>
  <c r="C1312" i="39"/>
  <c r="U1312" i="39" s="1"/>
  <c r="V423" i="39"/>
  <c r="F424" i="39"/>
  <c r="C423" i="39"/>
  <c r="U423" i="39" s="1"/>
  <c r="V43" i="39"/>
  <c r="F44" i="39"/>
  <c r="C43" i="39"/>
  <c r="U43" i="39" s="1"/>
  <c r="V26" i="39"/>
  <c r="C26" i="39"/>
  <c r="U26" i="39" s="1"/>
  <c r="F27" i="39"/>
  <c r="V1669" i="39"/>
  <c r="C1669" i="39"/>
  <c r="U1669" i="39" s="1"/>
  <c r="V1459" i="39"/>
  <c r="F1461" i="39"/>
  <c r="C1459" i="39"/>
  <c r="U1459" i="39" s="1"/>
  <c r="V1460" i="39"/>
  <c r="C1460" i="39"/>
  <c r="U1460" i="39" s="1"/>
  <c r="C208" i="39"/>
  <c r="U208" i="39" s="1"/>
  <c r="F209" i="39"/>
  <c r="V208" i="39"/>
  <c r="C1585" i="39"/>
  <c r="U1585" i="39" s="1"/>
  <c r="F1586" i="39"/>
  <c r="V1585" i="39"/>
  <c r="F741" i="39"/>
  <c r="V740" i="39"/>
  <c r="C740" i="39"/>
  <c r="U740" i="39" s="1"/>
  <c r="V1136" i="39"/>
  <c r="F1137" i="39"/>
  <c r="C1136" i="39"/>
  <c r="U1136" i="39" s="1"/>
  <c r="V1122" i="39"/>
  <c r="C1122" i="39"/>
  <c r="U1122" i="39" s="1"/>
  <c r="F1124" i="39"/>
  <c r="F1086" i="39"/>
  <c r="V895" i="39"/>
  <c r="C895" i="39"/>
  <c r="U895" i="39" s="1"/>
  <c r="V1303" i="39"/>
  <c r="C1303" i="39"/>
  <c r="U1303" i="39" s="1"/>
  <c r="V777" i="39"/>
  <c r="C777" i="39"/>
  <c r="U777" i="39" s="1"/>
  <c r="F778" i="39"/>
  <c r="V1085" i="39"/>
  <c r="C1085" i="39"/>
  <c r="U1085" i="39" s="1"/>
  <c r="V879" i="39"/>
  <c r="F880" i="39"/>
  <c r="C879" i="39"/>
  <c r="U879" i="39" s="1"/>
  <c r="F1372" i="39"/>
  <c r="V1371" i="39"/>
  <c r="C1371" i="39"/>
  <c r="U1371" i="39" s="1"/>
  <c r="F809" i="39"/>
  <c r="V808" i="39"/>
  <c r="C808" i="39"/>
  <c r="U808" i="39" s="1"/>
  <c r="F1062" i="39"/>
  <c r="V1061" i="39"/>
  <c r="C1061" i="39"/>
  <c r="U1061" i="39" s="1"/>
  <c r="C1271" i="39"/>
  <c r="U1271" i="39" s="1"/>
  <c r="V1047" i="39"/>
  <c r="F1048" i="39"/>
  <c r="C1047" i="39"/>
  <c r="U1047" i="39" s="1"/>
  <c r="V1271" i="39"/>
  <c r="F1272" i="39"/>
  <c r="F1443" i="39"/>
  <c r="V1123" i="39"/>
  <c r="C1123" i="39"/>
  <c r="U1123" i="39" s="1"/>
  <c r="C974" i="39"/>
  <c r="U974" i="39" s="1"/>
  <c r="V974" i="39"/>
  <c r="F1403" i="39"/>
  <c r="V1402" i="39"/>
  <c r="C1402" i="39"/>
  <c r="U1402" i="39" s="1"/>
  <c r="C1819" i="39"/>
  <c r="U1819" i="39" s="1"/>
  <c r="V1819" i="39"/>
  <c r="V1571" i="39"/>
  <c r="C1571" i="39"/>
  <c r="U1571" i="39" s="1"/>
  <c r="F1572" i="39"/>
  <c r="V1158" i="39"/>
  <c r="F1159" i="39"/>
  <c r="C1158" i="39"/>
  <c r="U1158" i="39" s="1"/>
  <c r="C1332" i="39"/>
  <c r="U1332" i="39" s="1"/>
  <c r="V1332" i="39"/>
  <c r="F1333" i="39"/>
  <c r="C1485" i="39"/>
  <c r="U1485" i="39" s="1"/>
  <c r="F1486" i="39"/>
  <c r="V1485" i="39"/>
  <c r="V941" i="39"/>
  <c r="F942" i="39"/>
  <c r="C941" i="39"/>
  <c r="U941" i="39" s="1"/>
  <c r="C1345" i="39"/>
  <c r="U1345" i="39" s="1"/>
  <c r="V1345" i="39"/>
  <c r="F1346" i="39"/>
  <c r="F1619" i="39"/>
  <c r="C1618" i="39"/>
  <c r="U1618" i="39" s="1"/>
  <c r="V1618" i="39"/>
  <c r="F1194" i="39"/>
  <c r="C1193" i="39"/>
  <c r="U1193" i="39" s="1"/>
  <c r="V1193" i="39"/>
  <c r="C1285" i="39"/>
  <c r="U1285" i="39" s="1"/>
  <c r="V1285" i="39"/>
  <c r="F1286" i="39"/>
  <c r="C1803" i="39"/>
  <c r="U1803" i="39" s="1"/>
  <c r="F1804" i="39"/>
  <c r="V1803" i="39"/>
  <c r="V1440" i="39"/>
  <c r="C1440" i="39"/>
  <c r="U1440" i="39" s="1"/>
  <c r="F1441" i="39"/>
  <c r="C1220" i="39" l="1"/>
  <c r="U1220" i="39" s="1"/>
  <c r="V1220" i="39"/>
  <c r="F1221" i="39"/>
  <c r="F898" i="39"/>
  <c r="C1783" i="39"/>
  <c r="U1783" i="39" s="1"/>
  <c r="V1783" i="39"/>
  <c r="F1784" i="39"/>
  <c r="F1177" i="39"/>
  <c r="V1176" i="39"/>
  <c r="C1176" i="39"/>
  <c r="U1176" i="39" s="1"/>
  <c r="F1021" i="39"/>
  <c r="F486" i="39"/>
  <c r="C485" i="39"/>
  <c r="U485" i="39" s="1"/>
  <c r="V485" i="39"/>
  <c r="F995" i="39"/>
  <c r="V994" i="39"/>
  <c r="C994" i="39"/>
  <c r="U994" i="39" s="1"/>
  <c r="V1558" i="39"/>
  <c r="C1710" i="39"/>
  <c r="U1710" i="39" s="1"/>
  <c r="F1711" i="39"/>
  <c r="V1710" i="39"/>
  <c r="C1558" i="39"/>
  <c r="U1558" i="39" s="1"/>
  <c r="V1487" i="39"/>
  <c r="C1487" i="39"/>
  <c r="U1487" i="39" s="1"/>
  <c r="F834" i="39"/>
  <c r="V1394" i="39"/>
  <c r="C1394" i="39"/>
  <c r="U1394" i="39" s="1"/>
  <c r="V1683" i="39"/>
  <c r="F1684" i="39"/>
  <c r="C1683" i="39"/>
  <c r="U1683" i="39" s="1"/>
  <c r="V1642" i="39"/>
  <c r="F1643" i="39"/>
  <c r="C1642" i="39"/>
  <c r="U1642" i="39" s="1"/>
  <c r="V1313" i="39"/>
  <c r="F1314" i="39"/>
  <c r="C1313" i="39"/>
  <c r="U1313" i="39" s="1"/>
  <c r="F425" i="39"/>
  <c r="V424" i="39"/>
  <c r="C424" i="39"/>
  <c r="U424" i="39" s="1"/>
  <c r="V44" i="39"/>
  <c r="F45" i="39"/>
  <c r="C44" i="39"/>
  <c r="U44" i="39" s="1"/>
  <c r="F28" i="39"/>
  <c r="V27" i="39"/>
  <c r="C27" i="39"/>
  <c r="U27" i="39" s="1"/>
  <c r="V1670" i="39"/>
  <c r="C1670" i="39"/>
  <c r="U1670" i="39" s="1"/>
  <c r="F210" i="39"/>
  <c r="V1461" i="39"/>
  <c r="C1461" i="39"/>
  <c r="U1461" i="39" s="1"/>
  <c r="F1462" i="39"/>
  <c r="C209" i="39"/>
  <c r="U209" i="39" s="1"/>
  <c r="V209" i="39"/>
  <c r="C1586" i="39"/>
  <c r="U1586" i="39" s="1"/>
  <c r="V1586" i="39"/>
  <c r="F1587" i="39"/>
  <c r="V1019" i="39"/>
  <c r="C1019" i="39"/>
  <c r="U1019" i="39" s="1"/>
  <c r="V741" i="39"/>
  <c r="C741" i="39"/>
  <c r="U741" i="39" s="1"/>
  <c r="F742"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73" i="39"/>
  <c r="V1372" i="39"/>
  <c r="C1372" i="39"/>
  <c r="U1372" i="39" s="1"/>
  <c r="V778" i="39"/>
  <c r="C778" i="39"/>
  <c r="U778" i="39" s="1"/>
  <c r="F779" i="39"/>
  <c r="F1063" i="39"/>
  <c r="C809" i="39"/>
  <c r="U809" i="39" s="1"/>
  <c r="F810" i="39"/>
  <c r="V809" i="39"/>
  <c r="C1062" i="39"/>
  <c r="U1062" i="39" s="1"/>
  <c r="V1062" i="39"/>
  <c r="V1048" i="39"/>
  <c r="C1048" i="39"/>
  <c r="U1048" i="39" s="1"/>
  <c r="F1049" i="39"/>
  <c r="V1272" i="39"/>
  <c r="F1273" i="39"/>
  <c r="C1272" i="39"/>
  <c r="U1272" i="39" s="1"/>
  <c r="V1443" i="39"/>
  <c r="C1443" i="39"/>
  <c r="U1443" i="39" s="1"/>
  <c r="F1404" i="39"/>
  <c r="V1403" i="39"/>
  <c r="C1403" i="39"/>
  <c r="U1403" i="39" s="1"/>
  <c r="V1572" i="39"/>
  <c r="F1573" i="39"/>
  <c r="C1572" i="39"/>
  <c r="U1572" i="39" s="1"/>
  <c r="C1804" i="39"/>
  <c r="U1804" i="39" s="1"/>
  <c r="F1805" i="39"/>
  <c r="V1804" i="39"/>
  <c r="C1486" i="39"/>
  <c r="U1486" i="39" s="1"/>
  <c r="F1488" i="39"/>
  <c r="V1486" i="39"/>
  <c r="F1160" i="39"/>
  <c r="C1159" i="39"/>
  <c r="U1159" i="39" s="1"/>
  <c r="V1159" i="39"/>
  <c r="V942" i="39"/>
  <c r="F943" i="39"/>
  <c r="C942" i="39"/>
  <c r="U942" i="39" s="1"/>
  <c r="V1194" i="39"/>
  <c r="C1194" i="39"/>
  <c r="U1194" i="39" s="1"/>
  <c r="F1195" i="39"/>
  <c r="V1619" i="39"/>
  <c r="F1620" i="39"/>
  <c r="C1619" i="39"/>
  <c r="U1619" i="39" s="1"/>
  <c r="V1346" i="39"/>
  <c r="F1347" i="39"/>
  <c r="C1346" i="39"/>
  <c r="U1346" i="39" s="1"/>
  <c r="C1441" i="39"/>
  <c r="U1441" i="39" s="1"/>
  <c r="V1441" i="39"/>
  <c r="F1442" i="39"/>
  <c r="F1334" i="39"/>
  <c r="V1333" i="39"/>
  <c r="C1333" i="39"/>
  <c r="U1333" i="39" s="1"/>
  <c r="C1286" i="39"/>
  <c r="U1286" i="39" s="1"/>
  <c r="F1287" i="39"/>
  <c r="V1286" i="39"/>
  <c r="V1221" i="39" l="1"/>
  <c r="F1222" i="39"/>
  <c r="C1221" i="39"/>
  <c r="U1221" i="39" s="1"/>
  <c r="F899" i="39"/>
  <c r="V1784" i="39"/>
  <c r="F1785" i="39"/>
  <c r="C1784" i="39"/>
  <c r="U1784" i="39" s="1"/>
  <c r="V1177" i="39"/>
  <c r="C1177" i="39"/>
  <c r="U1177" i="39" s="1"/>
  <c r="F1178" i="39"/>
  <c r="F1022" i="39"/>
  <c r="V1021" i="39"/>
  <c r="C1021" i="39"/>
  <c r="U1021" i="39" s="1"/>
  <c r="V486" i="39"/>
  <c r="C486" i="39"/>
  <c r="U486" i="39" s="1"/>
  <c r="F487" i="39"/>
  <c r="C995" i="39"/>
  <c r="U995" i="39" s="1"/>
  <c r="V995" i="39"/>
  <c r="F996" i="39"/>
  <c r="C1711" i="39"/>
  <c r="U1711" i="39" s="1"/>
  <c r="F1712" i="39"/>
  <c r="V1711" i="39"/>
  <c r="F835" i="39"/>
  <c r="V1684" i="39"/>
  <c r="F1685" i="39"/>
  <c r="C1684" i="39"/>
  <c r="U1684" i="39" s="1"/>
  <c r="V1643" i="39"/>
  <c r="F1644" i="39"/>
  <c r="C1643" i="39"/>
  <c r="U1643" i="39" s="1"/>
  <c r="V1314" i="39"/>
  <c r="C1314" i="39"/>
  <c r="U1314" i="39" s="1"/>
  <c r="F1315" i="39"/>
  <c r="C425" i="39"/>
  <c r="U425" i="39" s="1"/>
  <c r="F426" i="39"/>
  <c r="V425" i="39"/>
  <c r="C45" i="39"/>
  <c r="U45" i="39" s="1"/>
  <c r="V45" i="39"/>
  <c r="F46" i="39"/>
  <c r="V28" i="39"/>
  <c r="F29" i="39"/>
  <c r="C28" i="39"/>
  <c r="U28" i="39" s="1"/>
  <c r="F211" i="39"/>
  <c r="V1462" i="39"/>
  <c r="C1462" i="39"/>
  <c r="U1462" i="39" s="1"/>
  <c r="F1463" i="39"/>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V1087" i="39"/>
  <c r="C1087" i="39"/>
  <c r="U1087" i="39" s="1"/>
  <c r="C833" i="39"/>
  <c r="U833" i="39" s="1"/>
  <c r="V833" i="39"/>
  <c r="C881" i="39"/>
  <c r="U881" i="39" s="1"/>
  <c r="F882" i="39"/>
  <c r="V881" i="39"/>
  <c r="C1373" i="39"/>
  <c r="U1373" i="39" s="1"/>
  <c r="F1374" i="39"/>
  <c r="V1373" i="39"/>
  <c r="V779" i="39"/>
  <c r="F780" i="39"/>
  <c r="C779" i="39"/>
  <c r="U779" i="39" s="1"/>
  <c r="F1064" i="39"/>
  <c r="V1063" i="39"/>
  <c r="C1063" i="39"/>
  <c r="U1063" i="39" s="1"/>
  <c r="F811" i="39"/>
  <c r="C810" i="39"/>
  <c r="U810" i="39" s="1"/>
  <c r="V810" i="39"/>
  <c r="C1049" i="39"/>
  <c r="U1049" i="39" s="1"/>
  <c r="F1050" i="39"/>
  <c r="V1049" i="39"/>
  <c r="C1273" i="39"/>
  <c r="U1273" i="39" s="1"/>
  <c r="F1274" i="39"/>
  <c r="V1273" i="39"/>
  <c r="V1404" i="39"/>
  <c r="C1404" i="39"/>
  <c r="U1404" i="39" s="1"/>
  <c r="F1405" i="39"/>
  <c r="V1573" i="39"/>
  <c r="C1573" i="39"/>
  <c r="U1573" i="39" s="1"/>
  <c r="F1574" i="39"/>
  <c r="V1442" i="39"/>
  <c r="F1444" i="39"/>
  <c r="C1442" i="39"/>
  <c r="U1442" i="39" s="1"/>
  <c r="F1806" i="39"/>
  <c r="V1805" i="39"/>
  <c r="C1805" i="39"/>
  <c r="U1805" i="39" s="1"/>
  <c r="F1621" i="39"/>
  <c r="C1620" i="39"/>
  <c r="U1620" i="39" s="1"/>
  <c r="V1620" i="39"/>
  <c r="C943" i="39"/>
  <c r="U943" i="39" s="1"/>
  <c r="F944" i="39"/>
  <c r="V943" i="39"/>
  <c r="C1488" i="39"/>
  <c r="U1488" i="39" s="1"/>
  <c r="F1489" i="39"/>
  <c r="V1488" i="39"/>
  <c r="V1287" i="39"/>
  <c r="F1288" i="39"/>
  <c r="C1287" i="39"/>
  <c r="U1287" i="39" s="1"/>
  <c r="F1196" i="39"/>
  <c r="V1195" i="39"/>
  <c r="C1195" i="39"/>
  <c r="U1195" i="39" s="1"/>
  <c r="C1334" i="39"/>
  <c r="U1334" i="39" s="1"/>
  <c r="V1334" i="39"/>
  <c r="F1335" i="39"/>
  <c r="C1160" i="39"/>
  <c r="U1160" i="39" s="1"/>
  <c r="V1160" i="39"/>
  <c r="F1348" i="39"/>
  <c r="V1347" i="39"/>
  <c r="C1347" i="39"/>
  <c r="U1347" i="39" s="1"/>
  <c r="F1223" i="39" l="1"/>
  <c r="C1222" i="39"/>
  <c r="U1222" i="39" s="1"/>
  <c r="V1222" i="39"/>
  <c r="C1785" i="39"/>
  <c r="U1785" i="39" s="1"/>
  <c r="F1786" i="39"/>
  <c r="V1785" i="39"/>
  <c r="F900" i="39"/>
  <c r="V1178" i="39"/>
  <c r="F1179" i="39"/>
  <c r="C1178" i="39"/>
  <c r="U1178" i="39" s="1"/>
  <c r="F1023" i="39"/>
  <c r="C1022" i="39"/>
  <c r="U1022" i="39" s="1"/>
  <c r="V1022" i="39"/>
  <c r="F997" i="39"/>
  <c r="V996" i="39"/>
  <c r="C996" i="39"/>
  <c r="U996" i="39" s="1"/>
  <c r="F488" i="39"/>
  <c r="V487" i="39"/>
  <c r="C487" i="39"/>
  <c r="U487" i="39" s="1"/>
  <c r="V1712" i="39"/>
  <c r="C1712" i="39"/>
  <c r="U1712" i="39" s="1"/>
  <c r="F1713" i="39"/>
  <c r="F836" i="39"/>
  <c r="V1685" i="39"/>
  <c r="F1686" i="39"/>
  <c r="C1685" i="39"/>
  <c r="U1685" i="39" s="1"/>
  <c r="V1644" i="39"/>
  <c r="F1645" i="39"/>
  <c r="C1644" i="39"/>
  <c r="U1644" i="39" s="1"/>
  <c r="F1316" i="39"/>
  <c r="V1315" i="39"/>
  <c r="C1315" i="39"/>
  <c r="U1315" i="39" s="1"/>
  <c r="V426" i="39"/>
  <c r="C426" i="39"/>
  <c r="U426" i="39" s="1"/>
  <c r="V46" i="39"/>
  <c r="F47" i="39"/>
  <c r="C46" i="39"/>
  <c r="U46" i="39" s="1"/>
  <c r="F30" i="39"/>
  <c r="C29" i="39"/>
  <c r="U29" i="39" s="1"/>
  <c r="V29" i="39"/>
  <c r="F212" i="39"/>
  <c r="F1464" i="39"/>
  <c r="V1463" i="39"/>
  <c r="C1463" i="39"/>
  <c r="U1463" i="39" s="1"/>
  <c r="F1589" i="39"/>
  <c r="C1588" i="39"/>
  <c r="U1588" i="39" s="1"/>
  <c r="V1588" i="39"/>
  <c r="V743" i="39"/>
  <c r="F744" i="39"/>
  <c r="C743" i="39"/>
  <c r="U743"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74" i="39"/>
  <c r="U1374" i="39" s="1"/>
  <c r="V1374" i="39"/>
  <c r="F1375" i="39"/>
  <c r="V811" i="39"/>
  <c r="C811" i="39"/>
  <c r="U811" i="39" s="1"/>
  <c r="F812" i="39"/>
  <c r="F781" i="39"/>
  <c r="F1275" i="39"/>
  <c r="C1274" i="39"/>
  <c r="U1274" i="39" s="1"/>
  <c r="V1274" i="39"/>
  <c r="C780" i="39"/>
  <c r="U780" i="39" s="1"/>
  <c r="V780" i="39"/>
  <c r="C1405" i="39"/>
  <c r="U1405" i="39" s="1"/>
  <c r="V1405" i="39"/>
  <c r="F1406" i="39"/>
  <c r="F1575" i="39"/>
  <c r="V1574" i="39"/>
  <c r="C1574" i="39"/>
  <c r="U1574" i="39" s="1"/>
  <c r="F1622" i="39"/>
  <c r="C1621" i="39"/>
  <c r="U1621" i="39" s="1"/>
  <c r="V1621" i="39"/>
  <c r="C1444" i="39"/>
  <c r="U1444" i="39" s="1"/>
  <c r="V1444" i="39"/>
  <c r="F945" i="39"/>
  <c r="C944" i="39"/>
  <c r="U944" i="39" s="1"/>
  <c r="V944" i="39"/>
  <c r="V1489" i="39"/>
  <c r="C1489" i="39"/>
  <c r="U1489" i="39" s="1"/>
  <c r="F1490" i="39"/>
  <c r="F1807" i="39"/>
  <c r="C1806" i="39"/>
  <c r="U1806" i="39" s="1"/>
  <c r="V1806" i="39"/>
  <c r="C1196" i="39"/>
  <c r="U1196" i="39" s="1"/>
  <c r="V1196" i="39"/>
  <c r="F1197" i="39"/>
  <c r="C1348" i="39"/>
  <c r="U1348" i="39" s="1"/>
  <c r="F1349" i="39"/>
  <c r="V1348" i="39"/>
  <c r="V1288" i="39"/>
  <c r="C1288" i="39"/>
  <c r="U1288" i="39" s="1"/>
  <c r="F1289" i="39"/>
  <c r="F1336" i="39"/>
  <c r="C1335" i="39"/>
  <c r="U1335" i="39" s="1"/>
  <c r="V1335" i="39"/>
  <c r="F1224" i="39" l="1"/>
  <c r="C1223" i="39"/>
  <c r="U1223" i="39" s="1"/>
  <c r="V1223" i="39"/>
  <c r="F1787" i="39"/>
  <c r="C1786" i="39"/>
  <c r="U1786" i="39" s="1"/>
  <c r="V1786" i="39"/>
  <c r="F901" i="39"/>
  <c r="C1179" i="39"/>
  <c r="U1179" i="39" s="1"/>
  <c r="V1179" i="39"/>
  <c r="F1180" i="39"/>
  <c r="C997" i="39"/>
  <c r="U997" i="39" s="1"/>
  <c r="V997" i="39"/>
  <c r="F998" i="39"/>
  <c r="F1024" i="39"/>
  <c r="C1023" i="39"/>
  <c r="U1023" i="39" s="1"/>
  <c r="V1023" i="39"/>
  <c r="C488" i="39"/>
  <c r="U488" i="39" s="1"/>
  <c r="F489" i="39"/>
  <c r="V488" i="39"/>
  <c r="V428" i="39"/>
  <c r="C428" i="39"/>
  <c r="U428" i="39" s="1"/>
  <c r="C1713" i="39"/>
  <c r="U1713" i="39" s="1"/>
  <c r="V1713" i="39"/>
  <c r="F1714" i="39"/>
  <c r="F837" i="39"/>
  <c r="V1686" i="39"/>
  <c r="F1687" i="39"/>
  <c r="C1686" i="39"/>
  <c r="U1686" i="39" s="1"/>
  <c r="F1646" i="39"/>
  <c r="V1645" i="39"/>
  <c r="C1645" i="39"/>
  <c r="U1645" i="39" s="1"/>
  <c r="V1316" i="39"/>
  <c r="C1316" i="39"/>
  <c r="U1316" i="39" s="1"/>
  <c r="F1317" i="39"/>
  <c r="C47" i="39"/>
  <c r="U47" i="39" s="1"/>
  <c r="F48" i="39"/>
  <c r="V47" i="39"/>
  <c r="V30" i="39"/>
  <c r="F31" i="39"/>
  <c r="C30" i="39"/>
  <c r="U30" i="39" s="1"/>
  <c r="F213" i="39"/>
  <c r="F1466" i="39"/>
  <c r="V1464" i="39"/>
  <c r="F1465" i="39"/>
  <c r="C1464" i="39"/>
  <c r="U1464" i="39" s="1"/>
  <c r="V744" i="39"/>
  <c r="C744" i="39"/>
  <c r="U744" i="39" s="1"/>
  <c r="C835" i="39"/>
  <c r="U835" i="39" s="1"/>
  <c r="V835" i="39"/>
  <c r="V1589" i="39"/>
  <c r="F1590" i="39"/>
  <c r="C1589" i="39"/>
  <c r="U1589" i="39" s="1"/>
  <c r="F745"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75" i="39"/>
  <c r="F1376" i="39"/>
  <c r="C1375" i="39"/>
  <c r="U1375" i="39" s="1"/>
  <c r="V812" i="39"/>
  <c r="C812" i="39"/>
  <c r="U812" i="39" s="1"/>
  <c r="F813" i="39"/>
  <c r="F1276" i="39"/>
  <c r="V1275" i="39"/>
  <c r="C1275" i="39"/>
  <c r="U1275" i="39" s="1"/>
  <c r="F782" i="39"/>
  <c r="V781" i="39"/>
  <c r="C781" i="39"/>
  <c r="U781" i="39" s="1"/>
  <c r="F1407" i="39"/>
  <c r="V1406" i="39"/>
  <c r="C1406" i="39"/>
  <c r="U1406" i="39" s="1"/>
  <c r="V1575" i="39"/>
  <c r="C1575" i="39"/>
  <c r="U1575" i="39" s="1"/>
  <c r="F1576" i="39"/>
  <c r="F1808" i="39"/>
  <c r="V1807" i="39"/>
  <c r="C1807" i="39"/>
  <c r="U1807" i="39" s="1"/>
  <c r="C1349" i="39"/>
  <c r="U1349" i="39" s="1"/>
  <c r="F1350" i="39"/>
  <c r="V1349" i="39"/>
  <c r="C945" i="39"/>
  <c r="U945" i="39" s="1"/>
  <c r="F946" i="39"/>
  <c r="V945" i="39"/>
  <c r="F1623" i="39"/>
  <c r="C1622" i="39"/>
  <c r="U1622" i="39" s="1"/>
  <c r="V1622" i="39"/>
  <c r="C1490" i="39"/>
  <c r="U1490" i="39" s="1"/>
  <c r="V1490" i="39"/>
  <c r="F1491" i="39"/>
  <c r="C1336" i="39"/>
  <c r="U1336" i="39" s="1"/>
  <c r="V1336" i="39"/>
  <c r="F1337" i="39"/>
  <c r="F1290" i="39"/>
  <c r="V1289" i="39"/>
  <c r="C1289" i="39"/>
  <c r="U1289" i="39" s="1"/>
  <c r="F1198" i="39"/>
  <c r="V1197" i="39"/>
  <c r="C1197" i="39"/>
  <c r="U1197" i="39" s="1"/>
  <c r="V1787" i="39" l="1"/>
  <c r="F1788" i="39"/>
  <c r="C1787" i="39"/>
  <c r="U1787" i="39" s="1"/>
  <c r="F1225" i="39"/>
  <c r="V1224" i="39"/>
  <c r="C1224" i="39"/>
  <c r="U1224" i="39" s="1"/>
  <c r="F999" i="39"/>
  <c r="V1180" i="39"/>
  <c r="F1181" i="39"/>
  <c r="C1180" i="39"/>
  <c r="U1180" i="39" s="1"/>
  <c r="V998" i="39"/>
  <c r="C998" i="39"/>
  <c r="U998" i="39" s="1"/>
  <c r="F1025" i="39"/>
  <c r="V1024" i="39"/>
  <c r="C1024" i="39"/>
  <c r="U1024" i="39" s="1"/>
  <c r="F490" i="39"/>
  <c r="V489" i="39"/>
  <c r="C489" i="39"/>
  <c r="U489" i="39" s="1"/>
  <c r="C1714" i="39"/>
  <c r="U1714" i="39" s="1"/>
  <c r="V1714" i="39"/>
  <c r="F1715" i="39"/>
  <c r="F838" i="39"/>
  <c r="V1687" i="39"/>
  <c r="F1688" i="39"/>
  <c r="C1687" i="39"/>
  <c r="U1687" i="39" s="1"/>
  <c r="V1466" i="39"/>
  <c r="C1466" i="39"/>
  <c r="U1466" i="39" s="1"/>
  <c r="F49" i="39"/>
  <c r="C1646" i="39"/>
  <c r="U1646" i="39" s="1"/>
  <c r="V1646" i="39"/>
  <c r="F1318" i="39"/>
  <c r="V1317" i="39"/>
  <c r="C1317" i="39"/>
  <c r="U1317" i="39" s="1"/>
  <c r="V48" i="39"/>
  <c r="C48" i="39"/>
  <c r="U48" i="39" s="1"/>
  <c r="V31" i="39"/>
  <c r="C31" i="39"/>
  <c r="U31" i="39" s="1"/>
  <c r="F32" i="39"/>
  <c r="F214" i="39"/>
  <c r="F1467" i="39"/>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C1066" i="39"/>
  <c r="U1066" i="39" s="1"/>
  <c r="V1066" i="39"/>
  <c r="F1091" i="39"/>
  <c r="C1090" i="39"/>
  <c r="U1090" i="39" s="1"/>
  <c r="F885" i="39"/>
  <c r="V884" i="39"/>
  <c r="C884" i="39"/>
  <c r="U884" i="39" s="1"/>
  <c r="V1376" i="39"/>
  <c r="F1377" i="39"/>
  <c r="V1090" i="39"/>
  <c r="C1376" i="39"/>
  <c r="U1376" i="39" s="1"/>
  <c r="C813" i="39"/>
  <c r="U813" i="39" s="1"/>
  <c r="V813" i="39"/>
  <c r="F814" i="39"/>
  <c r="V1276" i="39"/>
  <c r="F1277" i="39"/>
  <c r="C1276" i="39"/>
  <c r="U1276" i="39" s="1"/>
  <c r="F783" i="39"/>
  <c r="V782" i="39"/>
  <c r="C782" i="39"/>
  <c r="U782" i="39" s="1"/>
  <c r="V1407" i="39"/>
  <c r="C1407" i="39"/>
  <c r="U1407" i="39" s="1"/>
  <c r="F1408" i="39"/>
  <c r="C1576" i="39"/>
  <c r="U1576" i="39" s="1"/>
  <c r="V1576" i="39"/>
  <c r="C1623" i="39"/>
  <c r="U1623" i="39" s="1"/>
  <c r="F1624" i="39"/>
  <c r="V1623" i="39"/>
  <c r="V1337" i="39"/>
  <c r="C1337" i="39"/>
  <c r="U1337" i="39" s="1"/>
  <c r="C1198" i="39"/>
  <c r="U1198" i="39" s="1"/>
  <c r="V1198" i="39"/>
  <c r="F947" i="39"/>
  <c r="V946" i="39"/>
  <c r="C946" i="39"/>
  <c r="U946" i="39" s="1"/>
  <c r="V1808" i="39"/>
  <c r="C1808" i="39"/>
  <c r="U1808" i="39" s="1"/>
  <c r="F1809" i="39"/>
  <c r="F1351" i="39"/>
  <c r="V1350" i="39"/>
  <c r="C1350" i="39"/>
  <c r="U1350" i="39" s="1"/>
  <c r="V1491" i="39"/>
  <c r="C1491" i="39"/>
  <c r="U1491" i="39" s="1"/>
  <c r="F1492" i="39"/>
  <c r="V1290" i="39"/>
  <c r="C1290" i="39"/>
  <c r="U1290" i="39" s="1"/>
  <c r="F1291" i="39"/>
  <c r="V1788" i="39" l="1"/>
  <c r="F1789" i="39"/>
  <c r="C1788" i="39"/>
  <c r="U1788" i="39" s="1"/>
  <c r="C1225" i="39"/>
  <c r="U1225" i="39" s="1"/>
  <c r="F1226" i="39"/>
  <c r="V1225" i="39"/>
  <c r="F1000" i="39"/>
  <c r="V999" i="39"/>
  <c r="C999" i="39"/>
  <c r="U999" i="39" s="1"/>
  <c r="V1181" i="39"/>
  <c r="F1182" i="39"/>
  <c r="C1181" i="39"/>
  <c r="U1181" i="39" s="1"/>
  <c r="F1026" i="39"/>
  <c r="V1025" i="39"/>
  <c r="C1025" i="39"/>
  <c r="U1025" i="39" s="1"/>
  <c r="C490" i="39"/>
  <c r="U490" i="39" s="1"/>
  <c r="F491" i="39"/>
  <c r="V490" i="39"/>
  <c r="C1715" i="39"/>
  <c r="U1715" i="39" s="1"/>
  <c r="V1715" i="39"/>
  <c r="F1716" i="39"/>
  <c r="F839" i="39"/>
  <c r="V1688" i="39"/>
  <c r="F1689" i="39"/>
  <c r="C1688" i="39"/>
  <c r="U1688" i="39" s="1"/>
  <c r="F50" i="39"/>
  <c r="C1318" i="39"/>
  <c r="U1318" i="39" s="1"/>
  <c r="V1318" i="39"/>
  <c r="F1319" i="39"/>
  <c r="F33" i="39"/>
  <c r="V32" i="39"/>
  <c r="C32" i="39"/>
  <c r="U32" i="39" s="1"/>
  <c r="F215" i="39"/>
  <c r="V1467" i="39"/>
  <c r="F1468" i="39"/>
  <c r="C1467" i="39"/>
  <c r="U1467" i="39" s="1"/>
  <c r="C837" i="39"/>
  <c r="U837" i="39" s="1"/>
  <c r="V837" i="39"/>
  <c r="V901" i="39"/>
  <c r="C901" i="39"/>
  <c r="U901" i="39" s="1"/>
  <c r="F902" i="39"/>
  <c r="V746" i="39"/>
  <c r="V1591" i="39"/>
  <c r="C1591" i="39"/>
  <c r="U1591" i="39" s="1"/>
  <c r="F1592" i="39"/>
  <c r="F747" i="39"/>
  <c r="F749" i="39"/>
  <c r="C746" i="39"/>
  <c r="U746" i="39" s="1"/>
  <c r="V214" i="39"/>
  <c r="C214" i="39"/>
  <c r="U214" i="39" s="1"/>
  <c r="V1053" i="39"/>
  <c r="C1053" i="39"/>
  <c r="U1053" i="39" s="1"/>
  <c r="V1067" i="39"/>
  <c r="C1067" i="39"/>
  <c r="U1067" i="39" s="1"/>
  <c r="F1068" i="39"/>
  <c r="C1091" i="39"/>
  <c r="U1091" i="39" s="1"/>
  <c r="F1092" i="39"/>
  <c r="V1091" i="39"/>
  <c r="F886" i="39"/>
  <c r="V885" i="39"/>
  <c r="C885" i="39"/>
  <c r="U885" i="39" s="1"/>
  <c r="F1378" i="39"/>
  <c r="C1377" i="39"/>
  <c r="U1377" i="39" s="1"/>
  <c r="V1377" i="39"/>
  <c r="C814" i="39"/>
  <c r="U814" i="39" s="1"/>
  <c r="F815" i="39"/>
  <c r="V814" i="39"/>
  <c r="V1277" i="39"/>
  <c r="C1277" i="39"/>
  <c r="U1277" i="39" s="1"/>
  <c r="F784" i="39"/>
  <c r="V783" i="39"/>
  <c r="C783" i="39"/>
  <c r="U783" i="39" s="1"/>
  <c r="C1408" i="39"/>
  <c r="U1408" i="39" s="1"/>
  <c r="V1408" i="39"/>
  <c r="F1409" i="39"/>
  <c r="C1492" i="39"/>
  <c r="U1492" i="39" s="1"/>
  <c r="F1493" i="39"/>
  <c r="V1492" i="39"/>
  <c r="F1625" i="39"/>
  <c r="V1624" i="39"/>
  <c r="C1624" i="39"/>
  <c r="U1624" i="39" s="1"/>
  <c r="F1810" i="39"/>
  <c r="C1809" i="39"/>
  <c r="U1809" i="39" s="1"/>
  <c r="V1809" i="39"/>
  <c r="F949" i="39"/>
  <c r="V947" i="39"/>
  <c r="C947" i="39"/>
  <c r="U947" i="39" s="1"/>
  <c r="F948" i="39"/>
  <c r="C1351" i="39"/>
  <c r="U1351" i="39" s="1"/>
  <c r="F1352" i="39"/>
  <c r="V1351" i="39"/>
  <c r="C1291" i="39"/>
  <c r="U1291" i="39" s="1"/>
  <c r="V1291" i="39"/>
  <c r="F1292" i="39"/>
  <c r="V1789" i="39" l="1"/>
  <c r="C1789" i="39"/>
  <c r="U1789" i="39" s="1"/>
  <c r="V1226" i="39"/>
  <c r="F1227" i="39"/>
  <c r="C1226" i="39"/>
  <c r="U1226" i="39" s="1"/>
  <c r="C1000" i="39"/>
  <c r="U1000" i="39" s="1"/>
  <c r="F1001" i="39"/>
  <c r="V1000" i="39"/>
  <c r="F1183" i="39"/>
  <c r="V1182" i="39"/>
  <c r="C1182" i="39"/>
  <c r="U1182" i="39" s="1"/>
  <c r="F1027" i="39"/>
  <c r="C1026" i="39"/>
  <c r="U1026" i="39" s="1"/>
  <c r="V1026" i="39"/>
  <c r="V491" i="39"/>
  <c r="C491" i="39"/>
  <c r="U491" i="39" s="1"/>
  <c r="F492" i="39"/>
  <c r="F1717" i="39"/>
  <c r="C1716" i="39"/>
  <c r="U1716" i="39" s="1"/>
  <c r="V1716" i="39"/>
  <c r="F840" i="39"/>
  <c r="V1689" i="39"/>
  <c r="F1690" i="39"/>
  <c r="C1689" i="39"/>
  <c r="U1689" i="39" s="1"/>
  <c r="F51" i="39"/>
  <c r="V1319" i="39"/>
  <c r="F1320" i="39"/>
  <c r="C1319" i="39"/>
  <c r="U1319" i="39" s="1"/>
  <c r="V33" i="39"/>
  <c r="F34" i="39"/>
  <c r="C33" i="39"/>
  <c r="U33" i="39" s="1"/>
  <c r="V49" i="39"/>
  <c r="C49" i="39"/>
  <c r="U49" i="39" s="1"/>
  <c r="F216" i="39"/>
  <c r="V1468" i="39"/>
  <c r="F1469" i="39"/>
  <c r="C1468" i="39"/>
  <c r="U1468" i="39" s="1"/>
  <c r="C838" i="39"/>
  <c r="U838" i="39" s="1"/>
  <c r="V838" i="39"/>
  <c r="F748" i="39"/>
  <c r="V747" i="39"/>
  <c r="C747" i="39"/>
  <c r="U747" i="39" s="1"/>
  <c r="V902" i="39"/>
  <c r="C902" i="39"/>
  <c r="U902" i="39" s="1"/>
  <c r="F903" i="39"/>
  <c r="F1593" i="39"/>
  <c r="C1592" i="39"/>
  <c r="U1592" i="39" s="1"/>
  <c r="V1592" i="39"/>
  <c r="F750" i="39"/>
  <c r="C749" i="39"/>
  <c r="U749" i="39" s="1"/>
  <c r="V749" i="39"/>
  <c r="V215" i="39"/>
  <c r="C215" i="39"/>
  <c r="U215" i="39" s="1"/>
  <c r="C1092" i="39"/>
  <c r="U1092" i="39" s="1"/>
  <c r="F1093" i="39"/>
  <c r="V1092" i="39"/>
  <c r="V1068" i="39"/>
  <c r="C1068" i="39"/>
  <c r="U1068" i="39" s="1"/>
  <c r="F1069" i="39"/>
  <c r="F887" i="39"/>
  <c r="V886" i="39"/>
  <c r="C886" i="39"/>
  <c r="U886" i="39" s="1"/>
  <c r="C1378" i="39"/>
  <c r="U1378" i="39" s="1"/>
  <c r="F1379" i="39"/>
  <c r="V1378" i="39"/>
  <c r="C815" i="39"/>
  <c r="U815" i="39" s="1"/>
  <c r="F818" i="39"/>
  <c r="F816" i="39"/>
  <c r="V815" i="39"/>
  <c r="F817" i="39"/>
  <c r="F785" i="39"/>
  <c r="V784" i="39"/>
  <c r="C784" i="39"/>
  <c r="U784" i="39" s="1"/>
  <c r="F1410" i="39"/>
  <c r="C1409" i="39"/>
  <c r="U1409" i="39" s="1"/>
  <c r="V1409" i="39"/>
  <c r="V1810" i="39"/>
  <c r="C1810" i="39"/>
  <c r="U1810" i="39" s="1"/>
  <c r="F1811" i="39"/>
  <c r="F1494" i="39"/>
  <c r="V1493" i="39"/>
  <c r="C1493" i="39"/>
  <c r="U1493" i="39" s="1"/>
  <c r="F1293" i="39"/>
  <c r="V1292" i="39"/>
  <c r="C1292" i="39"/>
  <c r="U1292" i="39" s="1"/>
  <c r="V1625" i="39"/>
  <c r="F1626" i="39"/>
  <c r="C1625" i="39"/>
  <c r="U1625" i="39" s="1"/>
  <c r="V1352" i="39"/>
  <c r="C1352" i="39"/>
  <c r="U1352" i="39" s="1"/>
  <c r="F1353" i="39"/>
  <c r="V949" i="39"/>
  <c r="C949" i="39"/>
  <c r="U949" i="39" s="1"/>
  <c r="V948" i="39"/>
  <c r="C948" i="39"/>
  <c r="U948" i="39" s="1"/>
  <c r="F950" i="39"/>
  <c r="F1228" i="39" l="1"/>
  <c r="C1227" i="39"/>
  <c r="U1227" i="39" s="1"/>
  <c r="V1227" i="39"/>
  <c r="C1001" i="39"/>
  <c r="U1001" i="39" s="1"/>
  <c r="V1001" i="39"/>
  <c r="F1002" i="39"/>
  <c r="C1183" i="39"/>
  <c r="U1183" i="39" s="1"/>
  <c r="V1183" i="39"/>
  <c r="F1184" i="39"/>
  <c r="F1028" i="39"/>
  <c r="C1027" i="39"/>
  <c r="U1027" i="39" s="1"/>
  <c r="V1027" i="39"/>
  <c r="C492" i="39"/>
  <c r="U492" i="39" s="1"/>
  <c r="F493" i="39"/>
  <c r="V492" i="39"/>
  <c r="C1717" i="39"/>
  <c r="U1717" i="39" s="1"/>
  <c r="V1717" i="39"/>
  <c r="F1718" i="39"/>
  <c r="F841" i="39"/>
  <c r="V1690" i="39"/>
  <c r="F1691" i="39"/>
  <c r="C1690" i="39"/>
  <c r="U1690" i="39" s="1"/>
  <c r="F52" i="39"/>
  <c r="F1321" i="39"/>
  <c r="C1320" i="39"/>
  <c r="U1320" i="39" s="1"/>
  <c r="V1320" i="39"/>
  <c r="V34" i="39"/>
  <c r="C34" i="39"/>
  <c r="U34" i="39" s="1"/>
  <c r="C50" i="39"/>
  <c r="U50" i="39" s="1"/>
  <c r="V50" i="39"/>
  <c r="F217" i="39"/>
  <c r="V839" i="39"/>
  <c r="V1469" i="39"/>
  <c r="C1469" i="39"/>
  <c r="U1469" i="39" s="1"/>
  <c r="F1470" i="39"/>
  <c r="C839" i="39"/>
  <c r="U839" i="39" s="1"/>
  <c r="C748" i="39"/>
  <c r="U748" i="39" s="1"/>
  <c r="F751" i="39"/>
  <c r="V748" i="39"/>
  <c r="V903" i="39"/>
  <c r="F904" i="39"/>
  <c r="C903" i="39"/>
  <c r="U903" i="39" s="1"/>
  <c r="C750" i="39"/>
  <c r="U750" i="39" s="1"/>
  <c r="V1593" i="39"/>
  <c r="C1593" i="39"/>
  <c r="U1593" i="39" s="1"/>
  <c r="F1594" i="39"/>
  <c r="V750" i="39"/>
  <c r="C216" i="39"/>
  <c r="U216" i="39" s="1"/>
  <c r="V216" i="39"/>
  <c r="V1093" i="39"/>
  <c r="F1094" i="39"/>
  <c r="C1093" i="39"/>
  <c r="U1093" i="39" s="1"/>
  <c r="V1069" i="39"/>
  <c r="C1069" i="39"/>
  <c r="U1069" i="39" s="1"/>
  <c r="F1070" i="39"/>
  <c r="V887" i="39"/>
  <c r="C887" i="39"/>
  <c r="U887" i="39" s="1"/>
  <c r="V1379" i="39"/>
  <c r="F1380" i="39"/>
  <c r="C1379" i="39"/>
  <c r="U1379" i="39" s="1"/>
  <c r="F819" i="39"/>
  <c r="V816" i="39"/>
  <c r="C816" i="39"/>
  <c r="U816" i="39" s="1"/>
  <c r="C817" i="39"/>
  <c r="U817" i="39" s="1"/>
  <c r="V817" i="39"/>
  <c r="V818" i="39"/>
  <c r="C818" i="39"/>
  <c r="U818" i="39" s="1"/>
  <c r="F786" i="39"/>
  <c r="V785" i="39"/>
  <c r="C785" i="39"/>
  <c r="U785" i="39" s="1"/>
  <c r="V1410" i="39"/>
  <c r="F1411" i="39"/>
  <c r="C1410" i="39"/>
  <c r="U1410" i="39" s="1"/>
  <c r="V1811" i="39"/>
  <c r="C1811" i="39"/>
  <c r="U1811" i="39" s="1"/>
  <c r="C1293" i="39"/>
  <c r="U1293" i="39" s="1"/>
  <c r="F1294" i="39"/>
  <c r="V1293" i="39"/>
  <c r="C1494" i="39"/>
  <c r="U1494" i="39" s="1"/>
  <c r="V1494" i="39"/>
  <c r="F1495" i="39"/>
  <c r="F951" i="39"/>
  <c r="V950" i="39"/>
  <c r="C950" i="39"/>
  <c r="U950" i="39" s="1"/>
  <c r="F1627" i="39"/>
  <c r="C1626" i="39"/>
  <c r="U1626" i="39" s="1"/>
  <c r="V1626" i="39"/>
  <c r="C1353" i="39"/>
  <c r="U1353" i="39" s="1"/>
  <c r="V1353" i="39"/>
  <c r="F1354" i="39"/>
  <c r="V1228" i="39" l="1"/>
  <c r="C1228" i="39"/>
  <c r="U1228" i="39" s="1"/>
  <c r="F1229" i="39"/>
  <c r="C1002" i="39"/>
  <c r="U1002" i="39" s="1"/>
  <c r="F1003" i="39"/>
  <c r="V1002" i="39"/>
  <c r="F1185" i="39"/>
  <c r="V1184" i="39"/>
  <c r="C1184" i="39"/>
  <c r="U1184" i="39" s="1"/>
  <c r="F1029" i="39"/>
  <c r="C1028" i="39"/>
  <c r="U1028" i="39" s="1"/>
  <c r="V1028" i="39"/>
  <c r="V493" i="39"/>
  <c r="C493" i="39"/>
  <c r="U493" i="39" s="1"/>
  <c r="F494" i="39"/>
  <c r="F1719" i="39"/>
  <c r="V1718" i="39"/>
  <c r="C1718" i="39"/>
  <c r="U1718" i="39" s="1"/>
  <c r="F842" i="39"/>
  <c r="F755" i="39"/>
  <c r="V1691" i="39"/>
  <c r="F1692" i="39"/>
  <c r="C1691" i="39"/>
  <c r="U1691" i="39" s="1"/>
  <c r="F53" i="39"/>
  <c r="V1321" i="39"/>
  <c r="C1321" i="39"/>
  <c r="U1321" i="39" s="1"/>
  <c r="F1322" i="39"/>
  <c r="V51" i="39"/>
  <c r="C51" i="39"/>
  <c r="U51" i="39" s="1"/>
  <c r="F218" i="39"/>
  <c r="V1470" i="39"/>
  <c r="C1470" i="39"/>
  <c r="U1470" i="39" s="1"/>
  <c r="V840" i="39"/>
  <c r="C840" i="39"/>
  <c r="U840" i="39" s="1"/>
  <c r="C904" i="39"/>
  <c r="U904" i="39" s="1"/>
  <c r="V904" i="39"/>
  <c r="F905" i="39"/>
  <c r="V751" i="39"/>
  <c r="F752" i="39"/>
  <c r="C751" i="39"/>
  <c r="U751" i="39" s="1"/>
  <c r="F1595" i="39"/>
  <c r="V1594" i="39"/>
  <c r="C1594" i="39"/>
  <c r="U1594" i="39" s="1"/>
  <c r="V217" i="39"/>
  <c r="C217" i="39"/>
  <c r="U217" i="39" s="1"/>
  <c r="F1095" i="39"/>
  <c r="V1094" i="39"/>
  <c r="C1094" i="39"/>
  <c r="U1094" i="39" s="1"/>
  <c r="F1071" i="39"/>
  <c r="V1070" i="39"/>
  <c r="C1070" i="39"/>
  <c r="U1070" i="39" s="1"/>
  <c r="F1381" i="39"/>
  <c r="C1380" i="39"/>
  <c r="U1380" i="39" s="1"/>
  <c r="V1380" i="39"/>
  <c r="C819" i="39"/>
  <c r="U819" i="39" s="1"/>
  <c r="V819" i="39"/>
  <c r="F787" i="39"/>
  <c r="C786" i="39"/>
  <c r="U786" i="39" s="1"/>
  <c r="V786" i="39"/>
  <c r="C1411" i="39"/>
  <c r="U1411" i="39" s="1"/>
  <c r="V1411" i="39"/>
  <c r="F1412" i="39"/>
  <c r="F1355" i="39"/>
  <c r="C1354" i="39"/>
  <c r="U1354" i="39" s="1"/>
  <c r="V1354" i="39"/>
  <c r="V1495" i="39"/>
  <c r="F1496" i="39"/>
  <c r="C1495" i="39"/>
  <c r="U1495" i="39" s="1"/>
  <c r="C1627" i="39"/>
  <c r="U1627" i="39" s="1"/>
  <c r="V1627" i="39"/>
  <c r="F1628" i="39"/>
  <c r="C1294" i="39"/>
  <c r="U1294" i="39" s="1"/>
  <c r="F1295" i="39"/>
  <c r="V1294" i="39"/>
  <c r="C951" i="39"/>
  <c r="U951" i="39" s="1"/>
  <c r="V951" i="39"/>
  <c r="F952" i="39"/>
  <c r="F1230" i="39" l="1"/>
  <c r="C1229" i="39"/>
  <c r="U1229" i="39" s="1"/>
  <c r="V1229" i="39"/>
  <c r="C1003" i="39"/>
  <c r="U1003" i="39" s="1"/>
  <c r="V1003" i="39"/>
  <c r="F1004" i="39"/>
  <c r="V1185" i="39"/>
  <c r="C1185" i="39"/>
  <c r="U1185" i="39" s="1"/>
  <c r="F1030" i="39"/>
  <c r="V1029" i="39"/>
  <c r="C1029" i="39"/>
  <c r="U1029" i="39" s="1"/>
  <c r="F495" i="39"/>
  <c r="V494" i="39"/>
  <c r="C494" i="39"/>
  <c r="U494" i="39" s="1"/>
  <c r="C1719" i="39"/>
  <c r="U1719" i="39" s="1"/>
  <c r="F1720" i="39"/>
  <c r="V1719" i="39"/>
  <c r="F843" i="39"/>
  <c r="V755" i="39"/>
  <c r="C755" i="39"/>
  <c r="U755" i="39" s="1"/>
  <c r="V1692" i="39"/>
  <c r="F1693" i="39"/>
  <c r="C1692" i="39"/>
  <c r="U1692" i="39" s="1"/>
  <c r="F54" i="39"/>
  <c r="V1322" i="39"/>
  <c r="C1322" i="39"/>
  <c r="U1322" i="39" s="1"/>
  <c r="F1323" i="39"/>
  <c r="F219" i="39"/>
  <c r="V52" i="39"/>
  <c r="C52" i="39"/>
  <c r="U52" i="39" s="1"/>
  <c r="C841" i="39"/>
  <c r="U841" i="39" s="1"/>
  <c r="V841" i="39"/>
  <c r="F753" i="39"/>
  <c r="V905" i="39"/>
  <c r="F757" i="39"/>
  <c r="C752" i="39"/>
  <c r="U752" i="39" s="1"/>
  <c r="V752" i="39"/>
  <c r="F758" i="39"/>
  <c r="F756" i="39"/>
  <c r="F906" i="39"/>
  <c r="C905" i="39"/>
  <c r="U905" i="39" s="1"/>
  <c r="V1595" i="39"/>
  <c r="C1595" i="39"/>
  <c r="U1595" i="39" s="1"/>
  <c r="F1596" i="39"/>
  <c r="C218" i="39"/>
  <c r="U218" i="39" s="1"/>
  <c r="V218" i="39"/>
  <c r="C1095" i="39"/>
  <c r="U1095" i="39" s="1"/>
  <c r="V1095" i="39"/>
  <c r="F1096" i="39"/>
  <c r="V1071" i="39"/>
  <c r="C1071" i="39"/>
  <c r="U1071" i="39" s="1"/>
  <c r="F1072" i="39"/>
  <c r="C1381" i="39"/>
  <c r="U1381" i="39" s="1"/>
  <c r="F1382" i="39"/>
  <c r="V1381" i="39"/>
  <c r="F788" i="39"/>
  <c r="V787" i="39"/>
  <c r="C787" i="39"/>
  <c r="U787" i="39" s="1"/>
  <c r="F1413" i="39"/>
  <c r="V1412" i="39"/>
  <c r="C1412" i="39"/>
  <c r="U1412" i="39" s="1"/>
  <c r="C1496" i="39"/>
  <c r="U1496" i="39" s="1"/>
  <c r="V1496" i="39"/>
  <c r="F1497" i="39"/>
  <c r="F1629" i="39"/>
  <c r="V1628" i="39"/>
  <c r="C1628" i="39"/>
  <c r="U1628" i="39" s="1"/>
  <c r="C1295" i="39"/>
  <c r="U1295" i="39" s="1"/>
  <c r="V1295" i="39"/>
  <c r="V1355" i="39"/>
  <c r="C1355" i="39"/>
  <c r="U1355" i="39" s="1"/>
  <c r="F1356" i="39"/>
  <c r="F953" i="39"/>
  <c r="C952" i="39"/>
  <c r="U952" i="39" s="1"/>
  <c r="V952" i="39"/>
  <c r="V1004" i="39" l="1"/>
  <c r="F1005" i="39"/>
  <c r="C1004" i="39"/>
  <c r="U1004" i="39" s="1"/>
  <c r="V1230" i="39"/>
  <c r="C1230" i="39"/>
  <c r="U1230" i="39" s="1"/>
  <c r="F1231" i="39"/>
  <c r="F1031" i="39"/>
  <c r="C1030" i="39"/>
  <c r="U1030" i="39" s="1"/>
  <c r="V1030" i="39"/>
  <c r="C495" i="39"/>
  <c r="U495" i="39" s="1"/>
  <c r="F496" i="39"/>
  <c r="V495" i="39"/>
  <c r="F1721" i="39"/>
  <c r="V1720" i="39"/>
  <c r="C1720" i="39"/>
  <c r="U1720" i="39" s="1"/>
  <c r="F844" i="39"/>
  <c r="V1693" i="39"/>
  <c r="F1694" i="39"/>
  <c r="C1693" i="39"/>
  <c r="U1693" i="39" s="1"/>
  <c r="F55" i="39"/>
  <c r="V1323" i="39"/>
  <c r="F1324" i="39"/>
  <c r="C1323" i="39"/>
  <c r="U1323" i="39" s="1"/>
  <c r="F220" i="39"/>
  <c r="V53" i="39"/>
  <c r="C53" i="39"/>
  <c r="U53" i="39" s="1"/>
  <c r="V842" i="39"/>
  <c r="C842" i="39"/>
  <c r="U842" i="39" s="1"/>
  <c r="V753" i="39"/>
  <c r="C753" i="39"/>
  <c r="U753" i="39" s="1"/>
  <c r="F759" i="39"/>
  <c r="F754" i="39"/>
  <c r="C757" i="39"/>
  <c r="U757" i="39" s="1"/>
  <c r="V757" i="39"/>
  <c r="V758" i="39"/>
  <c r="V756" i="39"/>
  <c r="C756" i="39"/>
  <c r="U756" i="39" s="1"/>
  <c r="C758" i="39"/>
  <c r="U758" i="39" s="1"/>
  <c r="V906" i="39"/>
  <c r="C906" i="39"/>
  <c r="U906" i="39" s="1"/>
  <c r="F907" i="39"/>
  <c r="V1596" i="39"/>
  <c r="C1596" i="39"/>
  <c r="U1596" i="39" s="1"/>
  <c r="F1597" i="39"/>
  <c r="C219" i="39"/>
  <c r="U219" i="39" s="1"/>
  <c r="V219" i="39"/>
  <c r="F1097" i="39"/>
  <c r="C1096" i="39"/>
  <c r="U1096" i="39" s="1"/>
  <c r="V1096" i="39"/>
  <c r="F1073" i="39"/>
  <c r="V1072" i="39"/>
  <c r="C1072" i="39"/>
  <c r="U1072" i="39" s="1"/>
  <c r="C1382" i="39"/>
  <c r="U1382" i="39" s="1"/>
  <c r="F1383" i="39"/>
  <c r="V1382" i="39"/>
  <c r="F789" i="39"/>
  <c r="C788" i="39"/>
  <c r="U788" i="39" s="1"/>
  <c r="V788" i="39"/>
  <c r="F1414" i="39"/>
  <c r="V1413" i="39"/>
  <c r="C1413" i="39"/>
  <c r="U1413" i="39" s="1"/>
  <c r="V953" i="39"/>
  <c r="F954" i="39"/>
  <c r="C953" i="39"/>
  <c r="U953" i="39" s="1"/>
  <c r="F1498" i="39"/>
  <c r="C1497" i="39"/>
  <c r="U1497" i="39" s="1"/>
  <c r="V1497" i="39"/>
  <c r="C1629" i="39"/>
  <c r="U1629" i="39" s="1"/>
  <c r="F1630" i="39"/>
  <c r="V1629" i="39"/>
  <c r="V1356" i="39"/>
  <c r="F1357" i="39"/>
  <c r="C1356" i="39"/>
  <c r="U1356" i="39" s="1"/>
  <c r="F1631" i="39" l="1"/>
  <c r="F1006" i="39"/>
  <c r="C1005" i="39"/>
  <c r="U1005" i="39" s="1"/>
  <c r="V1005" i="39"/>
  <c r="F1232" i="39"/>
  <c r="C1231" i="39"/>
  <c r="U1231" i="39" s="1"/>
  <c r="V1231" i="39"/>
  <c r="F1032" i="39"/>
  <c r="V1031" i="39"/>
  <c r="C1031" i="39"/>
  <c r="U1031" i="39" s="1"/>
  <c r="F497" i="39"/>
  <c r="C496" i="39"/>
  <c r="U496" i="39" s="1"/>
  <c r="V496" i="39"/>
  <c r="C1721" i="39"/>
  <c r="U1721" i="39" s="1"/>
  <c r="F1722" i="39"/>
  <c r="V1721" i="39"/>
  <c r="V1696" i="39"/>
  <c r="C1696" i="39"/>
  <c r="U1696" i="39" s="1"/>
  <c r="F845" i="39"/>
  <c r="F221" i="39"/>
  <c r="V1694" i="39"/>
  <c r="C1694" i="39"/>
  <c r="U1694" i="39" s="1"/>
  <c r="F56" i="39"/>
  <c r="C1324" i="39"/>
  <c r="U1324" i="39" s="1"/>
  <c r="V1324" i="39"/>
  <c r="C54" i="39"/>
  <c r="U54" i="39" s="1"/>
  <c r="V54" i="39"/>
  <c r="V843" i="39"/>
  <c r="C843" i="39"/>
  <c r="U843" i="39" s="1"/>
  <c r="C754" i="39"/>
  <c r="U754" i="39" s="1"/>
  <c r="F760" i="39"/>
  <c r="V754" i="39"/>
  <c r="F761" i="39"/>
  <c r="V759" i="39"/>
  <c r="C759" i="39"/>
  <c r="U759" i="39" s="1"/>
  <c r="F908" i="39"/>
  <c r="C907" i="39"/>
  <c r="U907" i="39" s="1"/>
  <c r="V907" i="39"/>
  <c r="V1597" i="39"/>
  <c r="C1597" i="39"/>
  <c r="U1597" i="39" s="1"/>
  <c r="F1598" i="39"/>
  <c r="V220" i="39"/>
  <c r="C220" i="39"/>
  <c r="U220" i="39" s="1"/>
  <c r="F1098" i="39"/>
  <c r="V1097" i="39"/>
  <c r="C1097" i="39"/>
  <c r="U1097" i="39" s="1"/>
  <c r="C1073" i="39"/>
  <c r="U1073" i="39" s="1"/>
  <c r="V1073" i="39"/>
  <c r="F1074" i="39"/>
  <c r="C1383" i="39"/>
  <c r="U1383" i="39" s="1"/>
  <c r="F1384" i="39"/>
  <c r="V1383" i="39"/>
  <c r="F790" i="39"/>
  <c r="V789" i="39"/>
  <c r="C789" i="39"/>
  <c r="U789" i="39" s="1"/>
  <c r="C1414" i="39"/>
  <c r="U1414" i="39" s="1"/>
  <c r="F1415" i="39"/>
  <c r="V1414" i="39"/>
  <c r="C1498" i="39"/>
  <c r="U1498" i="39" s="1"/>
  <c r="F1499" i="39"/>
  <c r="V1498" i="39"/>
  <c r="F1632" i="39"/>
  <c r="V1630" i="39"/>
  <c r="C1630" i="39"/>
  <c r="U1630" i="39" s="1"/>
  <c r="C1357" i="39"/>
  <c r="U1357" i="39" s="1"/>
  <c r="V1357" i="39"/>
  <c r="V954" i="39"/>
  <c r="C954" i="39"/>
  <c r="U954" i="39" s="1"/>
  <c r="F955" i="39"/>
  <c r="V1631" i="39" l="1"/>
  <c r="C1631" i="39"/>
  <c r="U1631" i="39" s="1"/>
  <c r="C1006" i="39"/>
  <c r="U1006" i="39" s="1"/>
  <c r="V1006" i="39"/>
  <c r="F1007" i="39"/>
  <c r="F1235" i="39"/>
  <c r="C1232" i="39"/>
  <c r="U1232" i="39" s="1"/>
  <c r="V1232" i="39"/>
  <c r="F1233" i="39"/>
  <c r="F1033" i="39"/>
  <c r="V1032" i="39"/>
  <c r="C1032" i="39"/>
  <c r="U1032" i="39" s="1"/>
  <c r="V497" i="39"/>
  <c r="C497" i="39"/>
  <c r="U497" i="39" s="1"/>
  <c r="F498" i="39"/>
  <c r="C1722" i="39"/>
  <c r="U1722" i="39" s="1"/>
  <c r="F1723" i="39"/>
  <c r="V1722" i="39"/>
  <c r="F846" i="39"/>
  <c r="F222" i="39"/>
  <c r="F57" i="39"/>
  <c r="C55" i="39"/>
  <c r="U55" i="39" s="1"/>
  <c r="V55" i="39"/>
  <c r="C844" i="39"/>
  <c r="U844" i="39" s="1"/>
  <c r="V844" i="39"/>
  <c r="V761" i="39"/>
  <c r="F763" i="39"/>
  <c r="C761" i="39"/>
  <c r="U761" i="39" s="1"/>
  <c r="V760" i="39"/>
  <c r="F762" i="39"/>
  <c r="C760" i="39"/>
  <c r="U760" i="39" s="1"/>
  <c r="V908" i="39"/>
  <c r="F909" i="39"/>
  <c r="C908" i="39"/>
  <c r="U908" i="39" s="1"/>
  <c r="C1598" i="39"/>
  <c r="U1598" i="39" s="1"/>
  <c r="V1598" i="39"/>
  <c r="F1599" i="39"/>
  <c r="C221" i="39"/>
  <c r="U221" i="39" s="1"/>
  <c r="V221" i="39"/>
  <c r="C1098" i="39"/>
  <c r="U1098" i="39" s="1"/>
  <c r="V1098" i="39"/>
  <c r="F1099" i="39"/>
  <c r="C1074" i="39"/>
  <c r="U1074" i="39" s="1"/>
  <c r="F1075" i="39"/>
  <c r="V1074" i="39"/>
  <c r="V1384" i="39"/>
  <c r="C1384" i="39"/>
  <c r="U1384" i="39" s="1"/>
  <c r="F791" i="39"/>
  <c r="C790" i="39"/>
  <c r="U790" i="39" s="1"/>
  <c r="V790" i="39"/>
  <c r="C1415" i="39"/>
  <c r="U1415" i="39" s="1"/>
  <c r="V1415" i="39"/>
  <c r="F1416" i="39"/>
  <c r="V955" i="39"/>
  <c r="F956" i="39"/>
  <c r="C955" i="39"/>
  <c r="U955" i="39" s="1"/>
  <c r="C1499" i="39"/>
  <c r="U1499" i="39" s="1"/>
  <c r="V1499" i="39"/>
  <c r="F1500" i="39"/>
  <c r="C1632" i="39"/>
  <c r="U1632" i="39" s="1"/>
  <c r="V1632" i="39"/>
  <c r="F1008" i="39" l="1"/>
  <c r="V1007" i="39"/>
  <c r="C1007" i="39"/>
  <c r="U1007" i="39" s="1"/>
  <c r="V1235" i="39"/>
  <c r="C1235" i="39"/>
  <c r="U1235" i="39" s="1"/>
  <c r="F1236" i="39"/>
  <c r="F1234" i="39"/>
  <c r="C1233" i="39"/>
  <c r="U1233" i="39" s="1"/>
  <c r="V1233" i="39"/>
  <c r="F1034" i="39"/>
  <c r="C1033" i="39"/>
  <c r="U1033" i="39" s="1"/>
  <c r="V1033" i="39"/>
  <c r="F499" i="39"/>
  <c r="C498" i="39"/>
  <c r="U498" i="39" s="1"/>
  <c r="V498" i="39"/>
  <c r="V1723" i="39"/>
  <c r="C1723" i="39"/>
  <c r="U1723" i="39" s="1"/>
  <c r="F1724" i="39"/>
  <c r="F847" i="39"/>
  <c r="F223" i="39"/>
  <c r="F58" i="39"/>
  <c r="C56" i="39"/>
  <c r="U56" i="39" s="1"/>
  <c r="V56" i="39"/>
  <c r="V845" i="39"/>
  <c r="C845" i="39"/>
  <c r="U845" i="39" s="1"/>
  <c r="V909" i="39"/>
  <c r="C909" i="39"/>
  <c r="U909" i="39" s="1"/>
  <c r="F910" i="39"/>
  <c r="V762" i="39"/>
  <c r="F764" i="39"/>
  <c r="C762" i="39"/>
  <c r="U762" i="39" s="1"/>
  <c r="F765" i="39"/>
  <c r="C763" i="39"/>
  <c r="U763" i="39" s="1"/>
  <c r="V763" i="39"/>
  <c r="C1099" i="39"/>
  <c r="U1099" i="39" s="1"/>
  <c r="C1599" i="39"/>
  <c r="U1599" i="39" s="1"/>
  <c r="V1599" i="39"/>
  <c r="F1600" i="39"/>
  <c r="C1075" i="39"/>
  <c r="U1075" i="39" s="1"/>
  <c r="F1076" i="39"/>
  <c r="V1075" i="39"/>
  <c r="V1099" i="39"/>
  <c r="F1100" i="39"/>
  <c r="V222" i="39"/>
  <c r="C222" i="39"/>
  <c r="U222" i="39" s="1"/>
  <c r="F792" i="39"/>
  <c r="V791" i="39"/>
  <c r="C791" i="39"/>
  <c r="U791" i="39" s="1"/>
  <c r="V1416" i="39"/>
  <c r="F1417" i="39"/>
  <c r="C1416" i="39"/>
  <c r="U1416" i="39" s="1"/>
  <c r="V956" i="39"/>
  <c r="F957" i="39"/>
  <c r="C956" i="39"/>
  <c r="U956" i="39" s="1"/>
  <c r="C1500" i="39"/>
  <c r="U1500" i="39" s="1"/>
  <c r="F1501" i="39"/>
  <c r="V1500" i="39"/>
  <c r="F1009" i="39" l="1"/>
  <c r="V1008" i="39"/>
  <c r="C1008" i="39"/>
  <c r="U1008" i="39" s="1"/>
  <c r="C1234" i="39"/>
  <c r="U1234" i="39" s="1"/>
  <c r="V1234" i="39"/>
  <c r="F1237" i="39"/>
  <c r="V1236" i="39"/>
  <c r="C1236" i="39"/>
  <c r="U1236" i="39" s="1"/>
  <c r="F1035" i="39"/>
  <c r="C1034" i="39"/>
  <c r="U1034" i="39" s="1"/>
  <c r="V1034" i="39"/>
  <c r="C499" i="39"/>
  <c r="U499" i="39" s="1"/>
  <c r="F500" i="39"/>
  <c r="V499" i="39"/>
  <c r="C1724" i="39"/>
  <c r="U1724" i="39" s="1"/>
  <c r="F1725" i="39"/>
  <c r="V1724" i="39"/>
  <c r="F224" i="39"/>
  <c r="F59" i="39"/>
  <c r="V57" i="39"/>
  <c r="C57" i="39"/>
  <c r="U57" i="39" s="1"/>
  <c r="V846" i="39"/>
  <c r="C846" i="39"/>
  <c r="U846" i="39" s="1"/>
  <c r="F911" i="39"/>
  <c r="V910" i="39"/>
  <c r="C910" i="39"/>
  <c r="U910" i="39" s="1"/>
  <c r="C765" i="39"/>
  <c r="U765" i="39" s="1"/>
  <c r="F767" i="39"/>
  <c r="V765" i="39"/>
  <c r="F766" i="39"/>
  <c r="C764" i="39"/>
  <c r="U764" i="39" s="1"/>
  <c r="V764" i="39"/>
  <c r="F1101" i="39"/>
  <c r="V1100" i="39"/>
  <c r="C1100" i="39"/>
  <c r="U1100" i="39" s="1"/>
  <c r="C1076" i="39"/>
  <c r="U1076" i="39" s="1"/>
  <c r="V1076" i="39"/>
  <c r="F1601" i="39"/>
  <c r="C1600" i="39"/>
  <c r="U1600" i="39" s="1"/>
  <c r="V1600" i="39"/>
  <c r="F1077" i="39"/>
  <c r="C223" i="39"/>
  <c r="U223" i="39" s="1"/>
  <c r="V223" i="39"/>
  <c r="F793" i="39"/>
  <c r="C792" i="39"/>
  <c r="U792" i="39" s="1"/>
  <c r="V792" i="39"/>
  <c r="V1417" i="39"/>
  <c r="C1417" i="39"/>
  <c r="U1417" i="39" s="1"/>
  <c r="F1418" i="39"/>
  <c r="V1501" i="39"/>
  <c r="C1501" i="39"/>
  <c r="U1501" i="39" s="1"/>
  <c r="F1502" i="39"/>
  <c r="C957" i="39"/>
  <c r="U957" i="39" s="1"/>
  <c r="F958" i="39"/>
  <c r="V957" i="39"/>
  <c r="C1009" i="39" l="1"/>
  <c r="U1009" i="39" s="1"/>
  <c r="V1009" i="39"/>
  <c r="F1010" i="39"/>
  <c r="F1238" i="39"/>
  <c r="C1237" i="39"/>
  <c r="U1237" i="39" s="1"/>
  <c r="V1237" i="39"/>
  <c r="F1036" i="39"/>
  <c r="V1035" i="39"/>
  <c r="C1035" i="39"/>
  <c r="U1035" i="39" s="1"/>
  <c r="F501" i="39"/>
  <c r="V500" i="39"/>
  <c r="C500" i="39"/>
  <c r="U500" i="39" s="1"/>
  <c r="C1725" i="39"/>
  <c r="U1725" i="39" s="1"/>
  <c r="F1726" i="39"/>
  <c r="V1725" i="39"/>
  <c r="F60" i="39"/>
  <c r="C58" i="39"/>
  <c r="U58" i="39" s="1"/>
  <c r="V58" i="39"/>
  <c r="V847" i="39"/>
  <c r="C847" i="39"/>
  <c r="U847" i="39" s="1"/>
  <c r="F848" i="39"/>
  <c r="F912" i="39"/>
  <c r="V911" i="39"/>
  <c r="C911" i="39"/>
  <c r="U911" i="39" s="1"/>
  <c r="C767" i="39"/>
  <c r="U767" i="39" s="1"/>
  <c r="V767" i="39"/>
  <c r="C766" i="39"/>
  <c r="U766" i="39" s="1"/>
  <c r="V766" i="39"/>
  <c r="F768" i="39"/>
  <c r="V1101" i="39"/>
  <c r="F1102" i="39"/>
  <c r="C1101" i="39"/>
  <c r="U1101" i="39" s="1"/>
  <c r="C1077" i="39"/>
  <c r="U1077" i="39" s="1"/>
  <c r="V1601" i="39"/>
  <c r="C1601" i="39"/>
  <c r="U1601" i="39" s="1"/>
  <c r="F1602" i="39"/>
  <c r="V1077" i="39"/>
  <c r="V224" i="39"/>
  <c r="C224" i="39"/>
  <c r="U224" i="39" s="1"/>
  <c r="V1012" i="39"/>
  <c r="C1012" i="39"/>
  <c r="U1012" i="39" s="1"/>
  <c r="F794" i="39"/>
  <c r="V793" i="39"/>
  <c r="C793" i="39"/>
  <c r="U793" i="39" s="1"/>
  <c r="C1418" i="39"/>
  <c r="U1418" i="39" s="1"/>
  <c r="V1418" i="39"/>
  <c r="F1419" i="39"/>
  <c r="F1503" i="39"/>
  <c r="V1502" i="39"/>
  <c r="C1502" i="39"/>
  <c r="U1502" i="39" s="1"/>
  <c r="V958" i="39"/>
  <c r="C958" i="39"/>
  <c r="U958" i="39" s="1"/>
  <c r="F959" i="39"/>
  <c r="V1010" i="39" l="1"/>
  <c r="C1010" i="39"/>
  <c r="U1010" i="39" s="1"/>
  <c r="V1238" i="39"/>
  <c r="C1238" i="39"/>
  <c r="U1238" i="39" s="1"/>
  <c r="F1239" i="39"/>
  <c r="F1037" i="39"/>
  <c r="V1036" i="39"/>
  <c r="C1036" i="39"/>
  <c r="U1036" i="39" s="1"/>
  <c r="C501" i="39"/>
  <c r="U501" i="39" s="1"/>
  <c r="F502" i="39"/>
  <c r="V501" i="39"/>
  <c r="V1726" i="39"/>
  <c r="C1726" i="39"/>
  <c r="U1726" i="39" s="1"/>
  <c r="F1727" i="39"/>
  <c r="F61" i="39"/>
  <c r="V59" i="39"/>
  <c r="C59" i="39"/>
  <c r="U59" i="39" s="1"/>
  <c r="C912" i="39"/>
  <c r="U912" i="39" s="1"/>
  <c r="F913" i="39"/>
  <c r="V912" i="39"/>
  <c r="F849" i="39"/>
  <c r="C848" i="39"/>
  <c r="U848" i="39" s="1"/>
  <c r="V848" i="39"/>
  <c r="C768" i="39"/>
  <c r="U768" i="39" s="1"/>
  <c r="V768" i="39"/>
  <c r="V1102" i="39"/>
  <c r="C1102" i="39"/>
  <c r="U1102" i="39" s="1"/>
  <c r="F1103" i="39"/>
  <c r="V1602" i="39"/>
  <c r="C1602" i="39"/>
  <c r="U1602" i="39" s="1"/>
  <c r="F1603" i="39"/>
  <c r="V1013" i="39"/>
  <c r="C1013" i="39"/>
  <c r="U1013" i="39" s="1"/>
  <c r="F795" i="39"/>
  <c r="U769" i="39"/>
  <c r="V769" i="39"/>
  <c r="V794" i="39"/>
  <c r="C794" i="39"/>
  <c r="U794" i="39" s="1"/>
  <c r="V1419" i="39"/>
  <c r="C1419" i="39"/>
  <c r="U1419" i="39" s="1"/>
  <c r="F1420" i="39"/>
  <c r="V1503" i="39"/>
  <c r="F1504" i="39"/>
  <c r="C1503" i="39"/>
  <c r="U1503" i="39" s="1"/>
  <c r="C959" i="39"/>
  <c r="U959" i="39" s="1"/>
  <c r="V959" i="39"/>
  <c r="F960" i="39"/>
  <c r="C1239" i="39" l="1"/>
  <c r="U1239" i="39" s="1"/>
  <c r="V1239" i="39"/>
  <c r="F1240" i="39"/>
  <c r="C1037" i="39"/>
  <c r="U1037" i="39" s="1"/>
  <c r="V1037" i="39"/>
  <c r="V502" i="39"/>
  <c r="C502" i="39"/>
  <c r="U502" i="39" s="1"/>
  <c r="F503" i="39"/>
  <c r="F1728" i="39"/>
  <c r="V1727" i="39"/>
  <c r="C1727" i="39"/>
  <c r="U1727" i="39" s="1"/>
  <c r="V913" i="39"/>
  <c r="F914" i="39"/>
  <c r="F62" i="39"/>
  <c r="C913" i="39"/>
  <c r="U913" i="39" s="1"/>
  <c r="V60" i="39"/>
  <c r="C60" i="39"/>
  <c r="U60" i="39" s="1"/>
  <c r="V849" i="39"/>
  <c r="F850" i="39"/>
  <c r="C849" i="39"/>
  <c r="U849" i="39" s="1"/>
  <c r="C1103" i="39"/>
  <c r="U1103" i="39" s="1"/>
  <c r="V1103" i="39"/>
  <c r="F1104" i="39"/>
  <c r="F1604" i="39"/>
  <c r="C1603" i="39"/>
  <c r="U1603" i="39" s="1"/>
  <c r="V1603" i="39"/>
  <c r="V1014" i="39"/>
  <c r="C1014" i="39"/>
  <c r="U1014" i="39" s="1"/>
  <c r="F796" i="39"/>
  <c r="C795" i="39"/>
  <c r="U795" i="39" s="1"/>
  <c r="V795" i="39"/>
  <c r="V770" i="39"/>
  <c r="C770" i="39"/>
  <c r="U770" i="39" s="1"/>
  <c r="F1421" i="39"/>
  <c r="V1420" i="39"/>
  <c r="C1420" i="39"/>
  <c r="U1420" i="39" s="1"/>
  <c r="C1504" i="39"/>
  <c r="U1504" i="39" s="1"/>
  <c r="F1505" i="39"/>
  <c r="V1504" i="39"/>
  <c r="F961" i="39"/>
  <c r="C960" i="39"/>
  <c r="U960" i="39" s="1"/>
  <c r="V960" i="39"/>
  <c r="F1241" i="39" l="1"/>
  <c r="V1240" i="39"/>
  <c r="C1240" i="39"/>
  <c r="U1240" i="39" s="1"/>
  <c r="C503" i="39"/>
  <c r="U503" i="39" s="1"/>
  <c r="F504" i="39"/>
  <c r="V503" i="39"/>
  <c r="V1728" i="39"/>
  <c r="C1728" i="39"/>
  <c r="U1728" i="39" s="1"/>
  <c r="F1729" i="39"/>
  <c r="V914" i="39"/>
  <c r="F915" i="39"/>
  <c r="C914" i="39"/>
  <c r="U914" i="39" s="1"/>
  <c r="F63" i="39"/>
  <c r="F851" i="39"/>
  <c r="V850" i="39"/>
  <c r="C850" i="39"/>
  <c r="U850" i="39" s="1"/>
  <c r="V1104" i="39"/>
  <c r="F1105" i="39"/>
  <c r="C1104" i="39"/>
  <c r="U1104" i="39" s="1"/>
  <c r="C1604" i="39"/>
  <c r="U1604" i="39" s="1"/>
  <c r="F1605" i="39"/>
  <c r="V1604" i="39"/>
  <c r="F797" i="39"/>
  <c r="C771" i="39"/>
  <c r="U771" i="39" s="1"/>
  <c r="V771" i="39"/>
  <c r="C796" i="39"/>
  <c r="U796" i="39" s="1"/>
  <c r="V796" i="39"/>
  <c r="C1421" i="39"/>
  <c r="U1421" i="39" s="1"/>
  <c r="F1422" i="39"/>
  <c r="V1421" i="39"/>
  <c r="F962" i="39"/>
  <c r="V961" i="39"/>
  <c r="C961" i="39"/>
  <c r="U961" i="39" s="1"/>
  <c r="V1505" i="39"/>
  <c r="C1505" i="39"/>
  <c r="U1505" i="39" s="1"/>
  <c r="F1506" i="39"/>
  <c r="V1241" i="39" l="1"/>
  <c r="C1241" i="39"/>
  <c r="U1241" i="39" s="1"/>
  <c r="F1242" i="39"/>
  <c r="V504" i="39"/>
  <c r="C504" i="39"/>
  <c r="U504" i="39" s="1"/>
  <c r="V1729" i="39"/>
  <c r="C1729" i="39"/>
  <c r="U1729" i="39" s="1"/>
  <c r="F1730" i="39"/>
  <c r="F916" i="39"/>
  <c r="V915" i="39"/>
  <c r="C915" i="39"/>
  <c r="U915" i="39" s="1"/>
  <c r="F64" i="39"/>
  <c r="F852" i="39"/>
  <c r="C851" i="39"/>
  <c r="U851" i="39" s="1"/>
  <c r="V851" i="39"/>
  <c r="V1105" i="39"/>
  <c r="F1106" i="39"/>
  <c r="C1105" i="39"/>
  <c r="U1105" i="39" s="1"/>
  <c r="C1605" i="39"/>
  <c r="U1605" i="39" s="1"/>
  <c r="V1605" i="39"/>
  <c r="F1606" i="39"/>
  <c r="V1607" i="39"/>
  <c r="U1607" i="39"/>
  <c r="F798" i="39"/>
  <c r="V772" i="39"/>
  <c r="U772" i="39"/>
  <c r="V797" i="39"/>
  <c r="C797" i="39"/>
  <c r="U797" i="39" s="1"/>
  <c r="V1422" i="39"/>
  <c r="C1422" i="39"/>
  <c r="U1422" i="39" s="1"/>
  <c r="F1423" i="39"/>
  <c r="F963" i="39"/>
  <c r="V962" i="39"/>
  <c r="C962" i="39"/>
  <c r="U962" i="39" s="1"/>
  <c r="V1506" i="39"/>
  <c r="C1506" i="39"/>
  <c r="U1506" i="39" s="1"/>
  <c r="F1507" i="39"/>
  <c r="F1243" i="39" l="1"/>
  <c r="C1242" i="39"/>
  <c r="U1242" i="39" s="1"/>
  <c r="V1242" i="39"/>
  <c r="F1731" i="39"/>
  <c r="C1730" i="39"/>
  <c r="U1730" i="39" s="1"/>
  <c r="V1730" i="39"/>
  <c r="V916" i="39"/>
  <c r="F917" i="39"/>
  <c r="C916" i="39"/>
  <c r="U916" i="39" s="1"/>
  <c r="F853" i="39"/>
  <c r="V852" i="39"/>
  <c r="C852" i="39"/>
  <c r="U852" i="39" s="1"/>
  <c r="F65" i="39"/>
  <c r="V61" i="39"/>
  <c r="C61" i="39"/>
  <c r="U61" i="39" s="1"/>
  <c r="F1107" i="39"/>
  <c r="V1106" i="39"/>
  <c r="C1106" i="39"/>
  <c r="U1106" i="39" s="1"/>
  <c r="C1606" i="39"/>
  <c r="U1606" i="39" s="1"/>
  <c r="V1606" i="39"/>
  <c r="F799" i="39"/>
  <c r="C798" i="39"/>
  <c r="U798" i="39" s="1"/>
  <c r="V798" i="39"/>
  <c r="V1423" i="39"/>
  <c r="C1423" i="39"/>
  <c r="U1423" i="39" s="1"/>
  <c r="V963" i="39"/>
  <c r="C963" i="39"/>
  <c r="U963" i="39" s="1"/>
  <c r="F964" i="39"/>
  <c r="V1507" i="39"/>
  <c r="F1508" i="39"/>
  <c r="C1507" i="39"/>
  <c r="U1507" i="39" s="1"/>
  <c r="C1243" i="39" l="1"/>
  <c r="U1243" i="39" s="1"/>
  <c r="F1244" i="39"/>
  <c r="V1243" i="39"/>
  <c r="C1731" i="39"/>
  <c r="U1731" i="39" s="1"/>
  <c r="V1731" i="39"/>
  <c r="F1732" i="39"/>
  <c r="C917" i="39"/>
  <c r="U917" i="39" s="1"/>
  <c r="V917" i="39"/>
  <c r="F918" i="39"/>
  <c r="F854" i="39"/>
  <c r="C853" i="39"/>
  <c r="U853" i="39" s="1"/>
  <c r="V853" i="39"/>
  <c r="F66" i="39"/>
  <c r="C62" i="39"/>
  <c r="U62" i="39" s="1"/>
  <c r="V62" i="39"/>
  <c r="C1107" i="39"/>
  <c r="U1107" i="39" s="1"/>
  <c r="F1108" i="39"/>
  <c r="V1107" i="39"/>
  <c r="F800" i="39"/>
  <c r="C799" i="39"/>
  <c r="U799" i="39" s="1"/>
  <c r="V799" i="39"/>
  <c r="V964" i="39"/>
  <c r="F965" i="39"/>
  <c r="C964" i="39"/>
  <c r="U964" i="39" s="1"/>
  <c r="V1508" i="39"/>
  <c r="F1509" i="39"/>
  <c r="C1508" i="39"/>
  <c r="U1508" i="39" s="1"/>
  <c r="F1245" i="39" l="1"/>
  <c r="C1244" i="39"/>
  <c r="U1244" i="39" s="1"/>
  <c r="V1244" i="39"/>
  <c r="C1732" i="39"/>
  <c r="U1732" i="39" s="1"/>
  <c r="V1732" i="39"/>
  <c r="F1733" i="39"/>
  <c r="V918" i="39"/>
  <c r="C918" i="39"/>
  <c r="U918" i="39" s="1"/>
  <c r="F919" i="39"/>
  <c r="F855" i="39"/>
  <c r="V854" i="39"/>
  <c r="C854" i="39"/>
  <c r="U854" i="39" s="1"/>
  <c r="C63" i="39"/>
  <c r="U63" i="39" s="1"/>
  <c r="V63" i="39"/>
  <c r="F1109" i="39"/>
  <c r="C1108" i="39"/>
  <c r="U1108" i="39" s="1"/>
  <c r="V1108" i="39"/>
  <c r="V800" i="39"/>
  <c r="C800" i="39"/>
  <c r="U800" i="39" s="1"/>
  <c r="V1509" i="39"/>
  <c r="C1509" i="39"/>
  <c r="U1509" i="39" s="1"/>
  <c r="F1510" i="39"/>
  <c r="V965" i="39"/>
  <c r="C965" i="39"/>
  <c r="U965" i="39" s="1"/>
  <c r="F966" i="39"/>
  <c r="C1245" i="39" l="1"/>
  <c r="U1245" i="39" s="1"/>
  <c r="V1245" i="39"/>
  <c r="F1246" i="39"/>
  <c r="C1733" i="39"/>
  <c r="U1733" i="39" s="1"/>
  <c r="F1734" i="39"/>
  <c r="V1733" i="39"/>
  <c r="F921" i="39"/>
  <c r="F920" i="39"/>
  <c r="V919" i="39"/>
  <c r="C919" i="39"/>
  <c r="U919" i="39" s="1"/>
  <c r="C855" i="39"/>
  <c r="U855" i="39" s="1"/>
  <c r="V855" i="39"/>
  <c r="F856" i="39"/>
  <c r="V64" i="39"/>
  <c r="C64" i="39"/>
  <c r="U64" i="39" s="1"/>
  <c r="F1110" i="39"/>
  <c r="V1109" i="39"/>
  <c r="C1109" i="39"/>
  <c r="U1109" i="39" s="1"/>
  <c r="C966" i="39"/>
  <c r="U966" i="39" s="1"/>
  <c r="V966" i="39"/>
  <c r="C1510" i="39"/>
  <c r="U1510" i="39" s="1"/>
  <c r="F1511" i="39"/>
  <c r="V1510" i="39"/>
  <c r="V1246" i="39" l="1"/>
  <c r="C1246" i="39"/>
  <c r="U1246" i="39" s="1"/>
  <c r="F1247" i="39"/>
  <c r="V1247" i="39"/>
  <c r="C1247" i="39"/>
  <c r="U1247" i="39" s="1"/>
  <c r="F1735" i="39"/>
  <c r="C1734" i="39"/>
  <c r="U1734" i="39" s="1"/>
  <c r="V1734" i="39"/>
  <c r="C921" i="39"/>
  <c r="U921" i="39" s="1"/>
  <c r="V921" i="39"/>
  <c r="V920" i="39"/>
  <c r="F922" i="39"/>
  <c r="C920" i="39"/>
  <c r="U920" i="39" s="1"/>
  <c r="F857" i="39"/>
  <c r="C856" i="39"/>
  <c r="U856" i="39" s="1"/>
  <c r="V856" i="39"/>
  <c r="V65" i="39"/>
  <c r="C65" i="39"/>
  <c r="U65" i="39" s="1"/>
  <c r="C1110" i="39"/>
  <c r="U1110" i="39" s="1"/>
  <c r="V1110" i="39"/>
  <c r="V1511" i="39"/>
  <c r="C1511" i="39"/>
  <c r="U1511" i="39" s="1"/>
  <c r="F1512" i="39"/>
  <c r="F1248" i="39" l="1"/>
  <c r="V1735" i="39"/>
  <c r="F1736" i="39"/>
  <c r="C1735" i="39"/>
  <c r="U1735" i="39" s="1"/>
  <c r="F923" i="39"/>
  <c r="V922" i="39"/>
  <c r="C922" i="39"/>
  <c r="U922" i="39" s="1"/>
  <c r="V857" i="39"/>
  <c r="C857" i="39"/>
  <c r="U857" i="39" s="1"/>
  <c r="F858" i="39"/>
  <c r="V66" i="39"/>
  <c r="C66" i="39"/>
  <c r="U66" i="39" s="1"/>
  <c r="C1512" i="39"/>
  <c r="U1512" i="39" s="1"/>
  <c r="F1513" i="39"/>
  <c r="V1512" i="39"/>
  <c r="F1249" i="39" l="1"/>
  <c r="C1248" i="39"/>
  <c r="U1248" i="39" s="1"/>
  <c r="V1248" i="39"/>
  <c r="F924" i="39"/>
  <c r="C1736" i="39"/>
  <c r="U1736" i="39" s="1"/>
  <c r="F1737" i="39"/>
  <c r="V1736" i="39"/>
  <c r="V923" i="39"/>
  <c r="C923" i="39"/>
  <c r="U923" i="39" s="1"/>
  <c r="F859" i="39"/>
  <c r="V858" i="39"/>
  <c r="C858" i="39"/>
  <c r="U858" i="39" s="1"/>
  <c r="V1513" i="39"/>
  <c r="F1514" i="39"/>
  <c r="C1513" i="39"/>
  <c r="U1513" i="39" s="1"/>
  <c r="F1250" i="39" l="1"/>
  <c r="C1249" i="39"/>
  <c r="U1249" i="39" s="1"/>
  <c r="V1249" i="39"/>
  <c r="F925" i="39"/>
  <c r="V924" i="39"/>
  <c r="C924" i="39"/>
  <c r="U924" i="39" s="1"/>
  <c r="V1737" i="39"/>
  <c r="C1737" i="39"/>
  <c r="U1737" i="39" s="1"/>
  <c r="F1738" i="39"/>
  <c r="F860" i="39"/>
  <c r="V859" i="39"/>
  <c r="C859" i="39"/>
  <c r="U859" i="39" s="1"/>
  <c r="F1515" i="39"/>
  <c r="C1514" i="39"/>
  <c r="U1514" i="39" s="1"/>
  <c r="V1514" i="39"/>
  <c r="F1251" i="39" l="1"/>
  <c r="C1250" i="39"/>
  <c r="U1250" i="39" s="1"/>
  <c r="V1250" i="39"/>
  <c r="C925" i="39"/>
  <c r="U925" i="39" s="1"/>
  <c r="V925" i="39"/>
  <c r="F926" i="39"/>
  <c r="F1739" i="39"/>
  <c r="C1738" i="39"/>
  <c r="U1738" i="39" s="1"/>
  <c r="V1738" i="39"/>
  <c r="V926" i="39"/>
  <c r="C926" i="39"/>
  <c r="U926" i="39" s="1"/>
  <c r="F861" i="39"/>
  <c r="C860" i="39"/>
  <c r="U860" i="39" s="1"/>
  <c r="V860" i="39"/>
  <c r="V1515" i="39"/>
  <c r="F1516" i="39"/>
  <c r="C1515" i="39"/>
  <c r="U1515" i="39" s="1"/>
  <c r="F1252" i="39" l="1"/>
  <c r="C1251" i="39"/>
  <c r="U1251" i="39" s="1"/>
  <c r="V1251" i="39"/>
  <c r="F927" i="39"/>
  <c r="V1739" i="39"/>
  <c r="F1740" i="39"/>
  <c r="C1739" i="39"/>
  <c r="U1739" i="39" s="1"/>
  <c r="F1519" i="39"/>
  <c r="F862" i="39"/>
  <c r="C861" i="39"/>
  <c r="U861" i="39" s="1"/>
  <c r="V861" i="39"/>
  <c r="C1516" i="39"/>
  <c r="U1516" i="39" s="1"/>
  <c r="F1517" i="39"/>
  <c r="V1516" i="39"/>
  <c r="F1253" i="39" l="1"/>
  <c r="V1252" i="39"/>
  <c r="C1252" i="39"/>
  <c r="U1252" i="39" s="1"/>
  <c r="F928" i="39"/>
  <c r="C927" i="39"/>
  <c r="U927" i="39" s="1"/>
  <c r="V927" i="39"/>
  <c r="C1740" i="39"/>
  <c r="U1740" i="39" s="1"/>
  <c r="F1741" i="39"/>
  <c r="V1740" i="39"/>
  <c r="V1519" i="39"/>
  <c r="C1519" i="39"/>
  <c r="U1519" i="39" s="1"/>
  <c r="V928" i="39"/>
  <c r="F929" i="39"/>
  <c r="F863" i="39"/>
  <c r="V862" i="39"/>
  <c r="C862" i="39"/>
  <c r="U862" i="39" s="1"/>
  <c r="V1517" i="39"/>
  <c r="F1518" i="39"/>
  <c r="C1517" i="39"/>
  <c r="U1517" i="39" s="1"/>
  <c r="C928" i="39" l="1"/>
  <c r="U928" i="39" s="1"/>
  <c r="F1254" i="39"/>
  <c r="C1253" i="39"/>
  <c r="U1253" i="39" s="1"/>
  <c r="V1253" i="39"/>
  <c r="C1741" i="39"/>
  <c r="U1741" i="39" s="1"/>
  <c r="F1742" i="39"/>
  <c r="F1743" i="39"/>
  <c r="V1741" i="39"/>
  <c r="F930" i="39"/>
  <c r="V929" i="39"/>
  <c r="C929" i="39"/>
  <c r="U929" i="39" s="1"/>
  <c r="V863" i="39"/>
  <c r="F864" i="39"/>
  <c r="C863" i="39"/>
  <c r="U863" i="39" s="1"/>
  <c r="V1518" i="39"/>
  <c r="F1520" i="39"/>
  <c r="C1518" i="39"/>
  <c r="U1518" i="39" s="1"/>
  <c r="F1255" i="39" l="1"/>
  <c r="V1254" i="39"/>
  <c r="C1254" i="39"/>
  <c r="U1254" i="39" s="1"/>
  <c r="C1743" i="39"/>
  <c r="U1743" i="39" s="1"/>
  <c r="V1743" i="39"/>
  <c r="F1744" i="39"/>
  <c r="C1742" i="39"/>
  <c r="U1742" i="39" s="1"/>
  <c r="V1742" i="39"/>
  <c r="F931" i="39"/>
  <c r="V930" i="39"/>
  <c r="C930" i="39"/>
  <c r="U930" i="39" s="1"/>
  <c r="F865" i="39"/>
  <c r="V864" i="39"/>
  <c r="C864" i="39"/>
  <c r="U864" i="39" s="1"/>
  <c r="V1520" i="39"/>
  <c r="F1521" i="39"/>
  <c r="C1520" i="39"/>
  <c r="U1520" i="39" s="1"/>
  <c r="F1256" i="39" l="1"/>
  <c r="V1255" i="39"/>
  <c r="C1255" i="39"/>
  <c r="U1255" i="39" s="1"/>
  <c r="V1744" i="39"/>
  <c r="C1744" i="39"/>
  <c r="U1744" i="39" s="1"/>
  <c r="F1745" i="39"/>
  <c r="C931" i="39"/>
  <c r="U931" i="39" s="1"/>
  <c r="V931" i="39"/>
  <c r="F932" i="39"/>
  <c r="F866" i="39"/>
  <c r="C865" i="39"/>
  <c r="U865" i="39" s="1"/>
  <c r="V865" i="39"/>
  <c r="V1521" i="39"/>
  <c r="C1521" i="39"/>
  <c r="U1521" i="39" s="1"/>
  <c r="F1522" i="39"/>
  <c r="F1257" i="39" l="1"/>
  <c r="C1256" i="39"/>
  <c r="U1256" i="39" s="1"/>
  <c r="V1256" i="39"/>
  <c r="V932" i="39"/>
  <c r="C932" i="39"/>
  <c r="U932" i="39" s="1"/>
  <c r="F933" i="39"/>
  <c r="F1746" i="39"/>
  <c r="V1745" i="39"/>
  <c r="C1745" i="39"/>
  <c r="U1745" i="39" s="1"/>
  <c r="F867" i="39"/>
  <c r="V866" i="39"/>
  <c r="C866" i="39"/>
  <c r="U866" i="39" s="1"/>
  <c r="V1522" i="39"/>
  <c r="C1522" i="39"/>
  <c r="U1522" i="39" s="1"/>
  <c r="F1523" i="39"/>
  <c r="F1258" i="39" l="1"/>
  <c r="V1257" i="39"/>
  <c r="C1257" i="39"/>
  <c r="U1257" i="39" s="1"/>
  <c r="V933" i="39"/>
  <c r="C933" i="39"/>
  <c r="U933" i="39" s="1"/>
  <c r="F1747" i="39"/>
  <c r="C1746" i="39"/>
  <c r="U1746" i="39" s="1"/>
  <c r="V1746" i="39"/>
  <c r="V867" i="39"/>
  <c r="C867" i="39"/>
  <c r="U867" i="39" s="1"/>
  <c r="F868" i="39"/>
  <c r="F1524" i="39"/>
  <c r="V1523" i="39"/>
  <c r="C1523" i="39"/>
  <c r="U1523" i="39" s="1"/>
  <c r="F1259" i="39" l="1"/>
  <c r="C1258" i="39"/>
  <c r="U1258" i="39" s="1"/>
  <c r="V1258" i="39"/>
  <c r="F1748" i="39"/>
  <c r="C1747" i="39"/>
  <c r="U1747" i="39" s="1"/>
  <c r="V1747" i="39"/>
  <c r="F869" i="39"/>
  <c r="V868" i="39"/>
  <c r="C868" i="39"/>
  <c r="U868" i="39" s="1"/>
  <c r="V1524" i="39"/>
  <c r="C1524" i="39"/>
  <c r="U1524" i="39" s="1"/>
  <c r="F1525" i="39"/>
  <c r="F1260" i="39" l="1"/>
  <c r="C1259" i="39"/>
  <c r="U1259" i="39" s="1"/>
  <c r="V1259" i="39"/>
  <c r="V1748" i="39"/>
  <c r="C1748" i="39"/>
  <c r="U1748" i="39" s="1"/>
  <c r="F1749" i="39"/>
  <c r="F870" i="39"/>
  <c r="C869" i="39"/>
  <c r="U869" i="39" s="1"/>
  <c r="V869" i="39"/>
  <c r="F1526" i="39"/>
  <c r="V1525" i="39"/>
  <c r="C1525" i="39"/>
  <c r="U1525" i="39" s="1"/>
  <c r="F1261" i="39" l="1"/>
  <c r="C1260" i="39"/>
  <c r="U1260" i="39" s="1"/>
  <c r="V1260" i="39"/>
  <c r="F1750" i="39"/>
  <c r="V1749" i="39"/>
  <c r="C1749" i="39"/>
  <c r="U1749" i="39" s="1"/>
  <c r="F871" i="39"/>
  <c r="C870" i="39"/>
  <c r="U870" i="39" s="1"/>
  <c r="V870" i="39"/>
  <c r="V1526" i="39"/>
  <c r="F1527" i="39"/>
  <c r="C1526" i="39"/>
  <c r="U1526" i="39" s="1"/>
  <c r="F1262" i="39" l="1"/>
  <c r="C1261" i="39"/>
  <c r="U1261" i="39" s="1"/>
  <c r="V1261" i="39"/>
  <c r="C1750" i="39"/>
  <c r="U1750" i="39" s="1"/>
  <c r="F1751" i="39"/>
  <c r="V1750" i="39"/>
  <c r="C871" i="39"/>
  <c r="U871" i="39" s="1"/>
  <c r="V871" i="39"/>
  <c r="F1528" i="39"/>
  <c r="C1527" i="39"/>
  <c r="U1527" i="39" s="1"/>
  <c r="V1527" i="39"/>
  <c r="F1263" i="39" l="1"/>
  <c r="V1262" i="39"/>
  <c r="C1262" i="39"/>
  <c r="U1262" i="39" s="1"/>
  <c r="F1752" i="39"/>
  <c r="C1751" i="39"/>
  <c r="U1751" i="39" s="1"/>
  <c r="V1751" i="39"/>
  <c r="V1528" i="39"/>
  <c r="C1528" i="39"/>
  <c r="U1528" i="39" s="1"/>
  <c r="F1529" i="39"/>
  <c r="C1263" i="39" l="1"/>
  <c r="U1263" i="39" s="1"/>
  <c r="V1263" i="39"/>
  <c r="V1752" i="39"/>
  <c r="C1752" i="39"/>
  <c r="U1752" i="39" s="1"/>
  <c r="F1753" i="39"/>
  <c r="C1529" i="39"/>
  <c r="U1529" i="39" s="1"/>
  <c r="V1529" i="39"/>
  <c r="F1530" i="39"/>
  <c r="V1753" i="39" l="1"/>
  <c r="F1754" i="39"/>
  <c r="C1753" i="39"/>
  <c r="U1753" i="39" s="1"/>
  <c r="V1530" i="39"/>
  <c r="F1531" i="39"/>
  <c r="C1530" i="39"/>
  <c r="U1530" i="39" s="1"/>
  <c r="F1532" i="39"/>
  <c r="C1754" i="39" l="1"/>
  <c r="U1754" i="39" s="1"/>
  <c r="F1755" i="39"/>
  <c r="V1754" i="39"/>
  <c r="F1534" i="39"/>
  <c r="F1533" i="39"/>
  <c r="V1532" i="39"/>
  <c r="C1532" i="39"/>
  <c r="U1532" i="39" s="1"/>
  <c r="C1531" i="39"/>
  <c r="U1531" i="39" s="1"/>
  <c r="V1531" i="39"/>
  <c r="V1755" i="39" l="1"/>
  <c r="F1756" i="39"/>
  <c r="C1755" i="39"/>
  <c r="U1755" i="39" s="1"/>
  <c r="F1535" i="39"/>
  <c r="F1536" i="39"/>
  <c r="V1533" i="39"/>
  <c r="C1533" i="39"/>
  <c r="U1533" i="39" s="1"/>
  <c r="V1534" i="39"/>
  <c r="C1534" i="39"/>
  <c r="U1534" i="39" s="1"/>
  <c r="C1535" i="39" l="1"/>
  <c r="U1535" i="39" s="1"/>
  <c r="V1535" i="39"/>
  <c r="F1757" i="39"/>
  <c r="C1756" i="39"/>
  <c r="U1756" i="39" s="1"/>
  <c r="V1756" i="39"/>
  <c r="F1538" i="39"/>
  <c r="C1536" i="39"/>
  <c r="U1536" i="39" s="1"/>
  <c r="F1537" i="39"/>
  <c r="V1536" i="39"/>
  <c r="V1757" i="39" l="1"/>
  <c r="C1757" i="39"/>
  <c r="U1757" i="39" s="1"/>
  <c r="F1758" i="39"/>
  <c r="F1539" i="39"/>
  <c r="C1537" i="39"/>
  <c r="U1537" i="39" s="1"/>
  <c r="C1538" i="39"/>
  <c r="U1538" i="39" s="1"/>
  <c r="V1538" i="39"/>
  <c r="V1537" i="39"/>
  <c r="C1758" i="39" l="1"/>
  <c r="U1758" i="39" s="1"/>
  <c r="V1758" i="39"/>
  <c r="F1759" i="39"/>
  <c r="C1539" i="39"/>
  <c r="U1539" i="39" s="1"/>
  <c r="V1539" i="39"/>
  <c r="C1759" i="39" l="1"/>
  <c r="U1759" i="39" s="1"/>
  <c r="F1760" i="39"/>
  <c r="V1759" i="39"/>
  <c r="C1760" i="39" l="1"/>
  <c r="U1760" i="39" s="1"/>
  <c r="V1760" i="39"/>
  <c r="F1761" i="39"/>
  <c r="C1761" i="39" l="1"/>
  <c r="U1761" i="39" s="1"/>
  <c r="F1762" i="39"/>
  <c r="V1761" i="39"/>
  <c r="F1763" i="39" l="1"/>
  <c r="V1762" i="39"/>
  <c r="C1762" i="39"/>
  <c r="U1762" i="39" s="1"/>
  <c r="V1763" i="39" l="1"/>
  <c r="F1764" i="39"/>
  <c r="C1763" i="39"/>
  <c r="U1763" i="39" s="1"/>
  <c r="V1764" i="39" l="1"/>
  <c r="C1764" i="39"/>
  <c r="U1764" i="39" s="1"/>
  <c r="F1765" i="39"/>
  <c r="V1765" i="39" l="1"/>
  <c r="C1765" i="39"/>
  <c r="U1765" i="39" s="1"/>
  <c r="F1766" i="39"/>
  <c r="C233" i="39"/>
  <c r="V1766" i="39" l="1"/>
  <c r="C1766" i="39"/>
  <c r="U1766"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F513" i="39" l="1"/>
  <c r="V255" i="39"/>
  <c r="C255" i="39"/>
  <c r="U255" i="39" s="1"/>
  <c r="C254" i="39"/>
  <c r="U254" i="39" s="1"/>
  <c r="V128" i="39"/>
  <c r="C512" i="39"/>
  <c r="U512" i="39" s="1"/>
  <c r="V512" i="39"/>
  <c r="V254" i="39"/>
  <c r="F256" i="39"/>
  <c r="F129" i="39"/>
  <c r="D676" i="39"/>
  <c r="B21" i="37"/>
  <c r="B20" i="37"/>
  <c r="B25" i="37"/>
  <c r="B26" i="37"/>
  <c r="F514" i="39" l="1"/>
  <c r="V256" i="39"/>
  <c r="V513" i="39"/>
  <c r="C513" i="39"/>
  <c r="U513" i="39" s="1"/>
  <c r="C256" i="39"/>
  <c r="U256" i="39" s="1"/>
  <c r="F130" i="39"/>
  <c r="V129" i="39"/>
  <c r="F257" i="39"/>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78" i="39" l="1"/>
  <c r="F515" i="39"/>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4" i="39"/>
  <c r="C661" i="39"/>
  <c r="U661" i="39" s="1"/>
  <c r="F386" i="39"/>
  <c r="F621" i="39"/>
  <c r="U576" i="39"/>
  <c r="C195" i="39"/>
  <c r="U195" i="39" s="1"/>
  <c r="U125" i="39"/>
  <c r="U175" i="39"/>
  <c r="F715" i="39"/>
  <c r="C226" i="39"/>
  <c r="U226" i="39" s="1"/>
  <c r="U609" i="39"/>
  <c r="U619" i="39"/>
  <c r="U616" i="39"/>
  <c r="U584" i="39"/>
  <c r="U660" i="39"/>
  <c r="F234" i="39"/>
  <c r="U236" i="39"/>
  <c r="U300" i="39"/>
  <c r="U450" i="39"/>
  <c r="C184" i="39"/>
  <c r="U184" i="39" s="1"/>
  <c r="C702" i="39"/>
  <c r="U702" i="39" s="1"/>
  <c r="U701" i="39"/>
  <c r="F377" i="39"/>
  <c r="U682" i="39"/>
  <c r="V394" i="39"/>
  <c r="C725" i="39"/>
  <c r="U725" i="39" s="1"/>
  <c r="V371" i="39"/>
  <c r="U384" i="39"/>
  <c r="C620" i="39"/>
  <c r="U620" i="39" s="1"/>
  <c r="C75" i="39"/>
  <c r="U75" i="39" s="1"/>
  <c r="U393" i="39"/>
  <c r="U194" i="39"/>
  <c r="U408" i="39"/>
  <c r="U317" i="39"/>
  <c r="C371" i="39"/>
  <c r="U371" i="39" s="1"/>
  <c r="V661" i="39"/>
  <c r="F726" i="39"/>
  <c r="F185" i="39"/>
  <c r="V725" i="39"/>
  <c r="U370" i="39"/>
  <c r="F395" i="39"/>
  <c r="U183" i="39"/>
  <c r="F662" i="39"/>
  <c r="U117" i="39"/>
  <c r="C83" i="39"/>
  <c r="U83" i="39" s="1"/>
  <c r="U600" i="39"/>
  <c r="C617" i="39"/>
  <c r="U617" i="39" s="1"/>
  <c r="C714" i="39"/>
  <c r="U714" i="39" s="1"/>
  <c r="V180" i="39"/>
  <c r="U2" i="39"/>
  <c r="C178" i="39"/>
  <c r="U178" i="39" s="1"/>
  <c r="F181" i="39"/>
  <c r="C142" i="39"/>
  <c r="U142" i="39" s="1"/>
  <c r="U724" i="39"/>
  <c r="V83" i="39"/>
  <c r="U225" i="39"/>
  <c r="F84" i="39"/>
  <c r="F76" i="39"/>
  <c r="U82" i="39"/>
  <c r="C176" i="39"/>
  <c r="U176" i="39" s="1"/>
  <c r="V233" i="39"/>
  <c r="C376" i="39"/>
  <c r="U376" i="39" s="1"/>
  <c r="C394" i="39"/>
  <c r="U394" i="39" s="1"/>
  <c r="V617" i="39"/>
  <c r="V702" i="39"/>
  <c r="U140" i="39"/>
  <c r="V184" i="39"/>
  <c r="F372" i="39"/>
  <c r="U713" i="39"/>
  <c r="V195" i="39"/>
  <c r="F196" i="39"/>
  <c r="F618" i="39"/>
  <c r="V226" i="39"/>
  <c r="V75" i="39"/>
  <c r="V176" i="39"/>
  <c r="F144" i="39"/>
  <c r="V376" i="39"/>
  <c r="V451" i="39"/>
  <c r="F452" i="39"/>
  <c r="F703" i="39"/>
  <c r="C179" i="39"/>
  <c r="U179" i="39" s="1"/>
  <c r="V179" i="39"/>
  <c r="C3" i="39"/>
  <c r="U3" i="39" s="1"/>
  <c r="U74" i="39"/>
  <c r="F119" i="39"/>
  <c r="V118" i="39"/>
  <c r="F143" i="39"/>
  <c r="V141" i="39"/>
  <c r="V3" i="39"/>
  <c r="U233" i="39"/>
  <c r="C237" i="39"/>
  <c r="U237" i="39" s="1"/>
  <c r="C177" i="39"/>
  <c r="U177" i="39" s="1"/>
  <c r="C683" i="39"/>
  <c r="U683" i="39" s="1"/>
  <c r="F684" i="39"/>
  <c r="V683"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4" i="39"/>
  <c r="C577" i="39"/>
  <c r="U577" i="39" s="1"/>
  <c r="U643" i="39"/>
  <c r="V620" i="39"/>
  <c r="V577" i="39"/>
  <c r="V643" i="39"/>
  <c r="F579" i="39" l="1"/>
  <c r="V578" i="39"/>
  <c r="C578" i="39"/>
  <c r="U578" i="39" s="1"/>
  <c r="F516" i="39"/>
  <c r="V229" i="39"/>
  <c r="C229" i="39"/>
  <c r="U229" i="39" s="1"/>
  <c r="F239" i="39"/>
  <c r="C515" i="39"/>
  <c r="U515" i="39" s="1"/>
  <c r="V515" i="39"/>
  <c r="V144" i="39"/>
  <c r="C181" i="39"/>
  <c r="U181" i="39" s="1"/>
  <c r="F132" i="39"/>
  <c r="V131" i="39"/>
  <c r="F259" i="39"/>
  <c r="V258" i="39"/>
  <c r="C258" i="39"/>
  <c r="U258" i="39" s="1"/>
  <c r="C4" i="39"/>
  <c r="U4" i="39" s="1"/>
  <c r="F387" i="39"/>
  <c r="V4" i="39"/>
  <c r="V644" i="39"/>
  <c r="F622" i="39"/>
  <c r="C726" i="39"/>
  <c r="U726" i="39" s="1"/>
  <c r="C644" i="39"/>
  <c r="U644" i="39" s="1"/>
  <c r="F5" i="39"/>
  <c r="F645" i="39"/>
  <c r="C386" i="39"/>
  <c r="U386" i="39" s="1"/>
  <c r="C196" i="39"/>
  <c r="U196" i="39" s="1"/>
  <c r="V227" i="39"/>
  <c r="V621" i="39"/>
  <c r="C234" i="39"/>
  <c r="U234" i="39" s="1"/>
  <c r="V386" i="39"/>
  <c r="C621" i="39"/>
  <c r="U621" i="39" s="1"/>
  <c r="C715" i="39"/>
  <c r="U715" i="39" s="1"/>
  <c r="C227" i="39"/>
  <c r="U227" i="39" s="1"/>
  <c r="F186" i="39"/>
  <c r="V181" i="39"/>
  <c r="F378" i="39"/>
  <c r="V377" i="39"/>
  <c r="V715" i="39"/>
  <c r="C618" i="39"/>
  <c r="U618" i="39" s="1"/>
  <c r="C395" i="39"/>
  <c r="U395" i="39" s="1"/>
  <c r="F716" i="39"/>
  <c r="C703" i="39"/>
  <c r="U703" i="39" s="1"/>
  <c r="C377" i="39"/>
  <c r="U377" i="39" s="1"/>
  <c r="F235" i="39"/>
  <c r="V234" i="39"/>
  <c r="V618" i="39"/>
  <c r="F396" i="39"/>
  <c r="V395" i="39"/>
  <c r="V196" i="39"/>
  <c r="V372" i="39"/>
  <c r="V726" i="39"/>
  <c r="V601" i="39"/>
  <c r="C452" i="39"/>
  <c r="U452" i="39" s="1"/>
  <c r="F727" i="39"/>
  <c r="V662" i="39"/>
  <c r="C662" i="39"/>
  <c r="U662" i="39" s="1"/>
  <c r="F663" i="39"/>
  <c r="C601" i="39"/>
  <c r="U601" i="39" s="1"/>
  <c r="V185" i="39"/>
  <c r="C372" i="39"/>
  <c r="U372" i="39" s="1"/>
  <c r="C185" i="39"/>
  <c r="U185" i="39" s="1"/>
  <c r="F146" i="39"/>
  <c r="C238" i="39"/>
  <c r="U238" i="39" s="1"/>
  <c r="V238" i="39"/>
  <c r="V703" i="39"/>
  <c r="F704"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5" i="39"/>
  <c r="V684" i="39"/>
  <c r="C684" i="39"/>
  <c r="U684" i="39" s="1"/>
  <c r="F320" i="39"/>
  <c r="V319" i="39"/>
  <c r="C319" i="39"/>
  <c r="U319" i="39" s="1"/>
  <c r="C302" i="39"/>
  <c r="U302" i="39" s="1"/>
  <c r="V302" i="39"/>
  <c r="F303" i="39"/>
  <c r="F612" i="39"/>
  <c r="V611" i="39"/>
  <c r="C611" i="39"/>
  <c r="U611" i="39" s="1"/>
  <c r="C579" i="39" l="1"/>
  <c r="U579" i="39" s="1"/>
  <c r="V579" i="39"/>
  <c r="F580" i="39"/>
  <c r="F517" i="39"/>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235" i="39"/>
  <c r="U235" i="39" s="1"/>
  <c r="F624" i="39"/>
  <c r="F623" i="39"/>
  <c r="V622" i="39"/>
  <c r="F664" i="39"/>
  <c r="C645" i="39"/>
  <c r="U645" i="39" s="1"/>
  <c r="V645" i="39"/>
  <c r="V5" i="39"/>
  <c r="F646" i="39"/>
  <c r="F6" i="39"/>
  <c r="C186" i="39"/>
  <c r="U186" i="39" s="1"/>
  <c r="V186" i="39"/>
  <c r="F187" i="39"/>
  <c r="F148" i="39"/>
  <c r="C146" i="39"/>
  <c r="U146" i="39" s="1"/>
  <c r="F454" i="39"/>
  <c r="V235" i="39"/>
  <c r="F397" i="39"/>
  <c r="V704" i="39"/>
  <c r="C716" i="39"/>
  <c r="U716" i="39" s="1"/>
  <c r="V716" i="39"/>
  <c r="F717" i="39"/>
  <c r="F379" i="39"/>
  <c r="V378" i="39"/>
  <c r="C378" i="39"/>
  <c r="U378" i="39" s="1"/>
  <c r="V396" i="39"/>
  <c r="C453" i="39"/>
  <c r="U453" i="39" s="1"/>
  <c r="V453" i="39"/>
  <c r="C396" i="39"/>
  <c r="U396" i="39" s="1"/>
  <c r="C663" i="39"/>
  <c r="U663" i="39" s="1"/>
  <c r="V663" i="39"/>
  <c r="F728" i="39"/>
  <c r="V727" i="39"/>
  <c r="C727" i="39"/>
  <c r="U727" i="39" s="1"/>
  <c r="F705" i="39"/>
  <c r="C704" i="39"/>
  <c r="U704"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6" i="39"/>
  <c r="V685" i="39"/>
  <c r="C685" i="39"/>
  <c r="U685"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81" i="39" l="1"/>
  <c r="C580" i="39"/>
  <c r="U580" i="39" s="1"/>
  <c r="V580" i="39"/>
  <c r="F518" i="39"/>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F625" i="39"/>
  <c r="C664" i="39"/>
  <c r="U664" i="39" s="1"/>
  <c r="F398" i="39"/>
  <c r="C624" i="39"/>
  <c r="U624" i="39" s="1"/>
  <c r="C623" i="39"/>
  <c r="U623" i="39" s="1"/>
  <c r="V664" i="39"/>
  <c r="F665" i="39"/>
  <c r="F647" i="39"/>
  <c r="C646" i="39"/>
  <c r="U646" i="39" s="1"/>
  <c r="V646" i="39"/>
  <c r="C6" i="39"/>
  <c r="U6" i="39" s="1"/>
  <c r="V6" i="39"/>
  <c r="V397" i="39"/>
  <c r="F7" i="39"/>
  <c r="F150" i="39"/>
  <c r="C148" i="39"/>
  <c r="U148" i="39" s="1"/>
  <c r="V454" i="39"/>
  <c r="C454" i="39"/>
  <c r="U454" i="39" s="1"/>
  <c r="F188" i="39"/>
  <c r="C187" i="39"/>
  <c r="U187" i="39" s="1"/>
  <c r="F706" i="39"/>
  <c r="F718" i="39"/>
  <c r="F719" i="39"/>
  <c r="V717" i="39"/>
  <c r="C717" i="39"/>
  <c r="U717" i="39" s="1"/>
  <c r="C397" i="39"/>
  <c r="U397" i="39" s="1"/>
  <c r="F380" i="39"/>
  <c r="C379" i="39"/>
  <c r="U379" i="39" s="1"/>
  <c r="V379" i="39"/>
  <c r="F79" i="39"/>
  <c r="V705" i="39"/>
  <c r="C705" i="39"/>
  <c r="U705" i="39" s="1"/>
  <c r="C728" i="39"/>
  <c r="U728" i="39" s="1"/>
  <c r="F730" i="39"/>
  <c r="F729" i="39"/>
  <c r="V728" i="39"/>
  <c r="C78" i="39"/>
  <c r="U78" i="39" s="1"/>
  <c r="C374" i="39"/>
  <c r="U374" i="39" s="1"/>
  <c r="V374" i="39"/>
  <c r="V240" i="39"/>
  <c r="C240" i="39"/>
  <c r="U240" i="39" s="1"/>
  <c r="F199" i="39"/>
  <c r="V198" i="39"/>
  <c r="C198" i="39"/>
  <c r="U198" i="39" s="1"/>
  <c r="V86" i="39"/>
  <c r="C86" i="39"/>
  <c r="U86" i="39" s="1"/>
  <c r="F87" i="39"/>
  <c r="C588" i="39"/>
  <c r="U588" i="39" s="1"/>
  <c r="V588" i="39"/>
  <c r="F589" i="39"/>
  <c r="C686" i="39"/>
  <c r="U686" i="39" s="1"/>
  <c r="F687" i="39"/>
  <c r="V686"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82" i="39" l="1"/>
  <c r="C581" i="39"/>
  <c r="U581" i="39" s="1"/>
  <c r="V581" i="39"/>
  <c r="F519" i="39"/>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6" i="39"/>
  <c r="C706" i="39"/>
  <c r="U706" i="39" s="1"/>
  <c r="C604" i="39"/>
  <c r="U604" i="39" s="1"/>
  <c r="V604" i="39"/>
  <c r="C625" i="39"/>
  <c r="U625" i="39" s="1"/>
  <c r="V625" i="39"/>
  <c r="F648" i="39"/>
  <c r="V188" i="39"/>
  <c r="F399" i="39"/>
  <c r="V7" i="39"/>
  <c r="C647" i="39"/>
  <c r="U647" i="39" s="1"/>
  <c r="C398" i="39"/>
  <c r="U398" i="39" s="1"/>
  <c r="V398" i="39"/>
  <c r="C665" i="39"/>
  <c r="U665" i="39" s="1"/>
  <c r="V647" i="39"/>
  <c r="V150" i="39"/>
  <c r="C150" i="39"/>
  <c r="U150" i="39" s="1"/>
  <c r="V665" i="39"/>
  <c r="F8" i="39"/>
  <c r="F707" i="39"/>
  <c r="C188" i="39"/>
  <c r="U188" i="39" s="1"/>
  <c r="F189" i="39"/>
  <c r="V706" i="39"/>
  <c r="F80" i="39"/>
  <c r="V718" i="39"/>
  <c r="C718" i="39"/>
  <c r="U718" i="39" s="1"/>
  <c r="C380" i="39"/>
  <c r="U380" i="39" s="1"/>
  <c r="V380" i="39"/>
  <c r="F381" i="39"/>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7" i="39"/>
  <c r="U687" i="39" s="1"/>
  <c r="F688" i="39"/>
  <c r="V687" i="39"/>
  <c r="V582" i="39" l="1"/>
  <c r="F583" i="39"/>
  <c r="C582" i="39"/>
  <c r="U582" i="39" s="1"/>
  <c r="F520" i="39"/>
  <c r="F243" i="39"/>
  <c r="C519" i="39"/>
  <c r="U519" i="39" s="1"/>
  <c r="V519" i="39"/>
  <c r="F391" i="39"/>
  <c r="V390" i="39"/>
  <c r="V456" i="39"/>
  <c r="F152" i="39"/>
  <c r="V151" i="39"/>
  <c r="C390" i="39"/>
  <c r="U390" i="39" s="1"/>
  <c r="F627" i="39"/>
  <c r="C456" i="39"/>
  <c r="U456" i="39" s="1"/>
  <c r="C151" i="39"/>
  <c r="U151" i="39" s="1"/>
  <c r="V626" i="39"/>
  <c r="C626" i="39"/>
  <c r="U626" i="39" s="1"/>
  <c r="V648" i="39"/>
  <c r="C666" i="39"/>
  <c r="U666" i="39" s="1"/>
  <c r="V666" i="39"/>
  <c r="V189" i="39"/>
  <c r="V605" i="39"/>
  <c r="C605" i="39"/>
  <c r="U605" i="39" s="1"/>
  <c r="F457" i="39"/>
  <c r="F667" i="39"/>
  <c r="F263" i="39"/>
  <c r="V262" i="39"/>
  <c r="C262" i="39"/>
  <c r="U262" i="39" s="1"/>
  <c r="C80" i="39"/>
  <c r="U80" i="39" s="1"/>
  <c r="V399" i="39"/>
  <c r="F649" i="39"/>
  <c r="C648" i="39"/>
  <c r="U648" i="39" s="1"/>
  <c r="C399" i="39"/>
  <c r="U399" i="39" s="1"/>
  <c r="V707" i="39"/>
  <c r="F400" i="39"/>
  <c r="F708" i="39"/>
  <c r="F9" i="39"/>
  <c r="V8" i="39"/>
  <c r="C8" i="39"/>
  <c r="U8" i="39" s="1"/>
  <c r="C707" i="39"/>
  <c r="U707" i="39" s="1"/>
  <c r="F190" i="39"/>
  <c r="C189" i="39"/>
  <c r="U189" i="39" s="1"/>
  <c r="F382" i="39"/>
  <c r="V381" i="39"/>
  <c r="C381" i="39"/>
  <c r="U381" i="39" s="1"/>
  <c r="V80" i="39"/>
  <c r="F81" i="39"/>
  <c r="C731" i="39"/>
  <c r="U731" i="39" s="1"/>
  <c r="V731" i="39"/>
  <c r="C242" i="39"/>
  <c r="U242" i="39" s="1"/>
  <c r="V242" i="39"/>
  <c r="F89" i="39"/>
  <c r="C88" i="39"/>
  <c r="U88" i="39" s="1"/>
  <c r="V88" i="39"/>
  <c r="F689" i="39"/>
  <c r="V688" i="39"/>
  <c r="C688" i="39"/>
  <c r="U688" i="39" s="1"/>
  <c r="V615" i="39"/>
  <c r="C615" i="39"/>
  <c r="U615" i="39" s="1"/>
  <c r="F324" i="39"/>
  <c r="V323" i="39"/>
  <c r="C323" i="39"/>
  <c r="U323" i="39" s="1"/>
  <c r="F591" i="39"/>
  <c r="V590" i="39"/>
  <c r="C590" i="39"/>
  <c r="U590" i="39" s="1"/>
  <c r="F124" i="39"/>
  <c r="V123" i="39"/>
  <c r="C123" i="39"/>
  <c r="U123" i="39" s="1"/>
  <c r="C306" i="39"/>
  <c r="U306" i="39" s="1"/>
  <c r="V306" i="39"/>
  <c r="F307" i="39"/>
  <c r="C583" i="39" l="1"/>
  <c r="U583" i="39" s="1"/>
  <c r="V583" i="39"/>
  <c r="F521" i="39"/>
  <c r="F244" i="39"/>
  <c r="V520" i="39"/>
  <c r="C520" i="39"/>
  <c r="U520" i="39" s="1"/>
  <c r="F668" i="39"/>
  <c r="F392" i="39"/>
  <c r="V391" i="39"/>
  <c r="C627" i="39"/>
  <c r="U627" i="39" s="1"/>
  <c r="V627" i="39"/>
  <c r="V457" i="39"/>
  <c r="F458" i="39"/>
  <c r="C667" i="39"/>
  <c r="U667" i="39" s="1"/>
  <c r="V667" i="39"/>
  <c r="V152" i="39"/>
  <c r="C152" i="39"/>
  <c r="U152" i="39" s="1"/>
  <c r="F153" i="39"/>
  <c r="C457" i="39"/>
  <c r="U457" i="39" s="1"/>
  <c r="C391" i="39"/>
  <c r="U391" i="39" s="1"/>
  <c r="C606" i="39"/>
  <c r="U606" i="39" s="1"/>
  <c r="V606" i="39"/>
  <c r="F628" i="39"/>
  <c r="F264" i="39"/>
  <c r="C263" i="39"/>
  <c r="U263" i="39" s="1"/>
  <c r="V263" i="39"/>
  <c r="F401" i="39"/>
  <c r="C649" i="39"/>
  <c r="U649" i="39" s="1"/>
  <c r="F709" i="39"/>
  <c r="F650" i="39"/>
  <c r="V649" i="39"/>
  <c r="V400" i="39"/>
  <c r="C708" i="39"/>
  <c r="U708" i="39" s="1"/>
  <c r="V708"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89" i="39"/>
  <c r="F690" i="39"/>
  <c r="C689" i="39"/>
  <c r="U689" i="39" s="1"/>
  <c r="C307" i="39"/>
  <c r="U307" i="39" s="1"/>
  <c r="F308" i="39"/>
  <c r="V307" i="39"/>
  <c r="C591" i="39"/>
  <c r="U591" i="39" s="1"/>
  <c r="F592" i="39"/>
  <c r="V591" i="39"/>
  <c r="C124" i="39"/>
  <c r="U124" i="39" s="1"/>
  <c r="V124" i="39"/>
  <c r="F522" i="39" l="1"/>
  <c r="F404" i="39"/>
  <c r="F311" i="39"/>
  <c r="F310" i="39"/>
  <c r="F245" i="39"/>
  <c r="C668" i="39"/>
  <c r="U668" i="39" s="1"/>
  <c r="V521" i="39"/>
  <c r="C521" i="39"/>
  <c r="U521" i="39" s="1"/>
  <c r="V668" i="39"/>
  <c r="F669"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1" i="39"/>
  <c r="F265" i="39"/>
  <c r="C264" i="39"/>
  <c r="U264" i="39" s="1"/>
  <c r="V264" i="39"/>
  <c r="V709" i="39"/>
  <c r="F192" i="39"/>
  <c r="F402" i="39"/>
  <c r="C709" i="39"/>
  <c r="U709" i="39" s="1"/>
  <c r="F710" i="39"/>
  <c r="V650" i="39"/>
  <c r="C650" i="39"/>
  <c r="U650" i="39" s="1"/>
  <c r="F11" i="39"/>
  <c r="V10" i="39"/>
  <c r="C10" i="39"/>
  <c r="U10" i="39" s="1"/>
  <c r="C191" i="39"/>
  <c r="U191" i="39" s="1"/>
  <c r="V191" i="39"/>
  <c r="C383" i="39"/>
  <c r="U383" i="39" s="1"/>
  <c r="V383" i="39"/>
  <c r="V243" i="39"/>
  <c r="C243" i="39"/>
  <c r="U243" i="39" s="1"/>
  <c r="F91" i="39"/>
  <c r="V90" i="39"/>
  <c r="C90" i="39"/>
  <c r="U90" i="39" s="1"/>
  <c r="F691" i="39"/>
  <c r="V690" i="39"/>
  <c r="C690" i="39"/>
  <c r="U690"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69" i="39"/>
  <c r="U669" i="39" s="1"/>
  <c r="V522" i="39"/>
  <c r="C522" i="39"/>
  <c r="U522" i="39" s="1"/>
  <c r="F670" i="39"/>
  <c r="V669" i="39"/>
  <c r="F460" i="39"/>
  <c r="C459" i="39"/>
  <c r="U459" i="39" s="1"/>
  <c r="F630" i="39"/>
  <c r="C154" i="39"/>
  <c r="U154" i="39" s="1"/>
  <c r="V154" i="39"/>
  <c r="F155" i="39"/>
  <c r="V629" i="39"/>
  <c r="C608" i="39"/>
  <c r="U608" i="39" s="1"/>
  <c r="V608" i="39"/>
  <c r="C629" i="39"/>
  <c r="U629" i="39" s="1"/>
  <c r="C192" i="39"/>
  <c r="U192" i="39" s="1"/>
  <c r="C651" i="39"/>
  <c r="U651" i="39" s="1"/>
  <c r="V651" i="39"/>
  <c r="F652" i="39"/>
  <c r="C710" i="39"/>
  <c r="U710" i="39" s="1"/>
  <c r="V402" i="39"/>
  <c r="F405" i="39"/>
  <c r="F403" i="39"/>
  <c r="C402" i="39"/>
  <c r="U402" i="39" s="1"/>
  <c r="V192" i="39"/>
  <c r="F266" i="39"/>
  <c r="V265" i="39"/>
  <c r="C265" i="39"/>
  <c r="U265" i="39" s="1"/>
  <c r="F193" i="39"/>
  <c r="V710" i="39"/>
  <c r="F711" i="39"/>
  <c r="C11" i="39"/>
  <c r="U11" i="39" s="1"/>
  <c r="F12" i="39"/>
  <c r="V11" i="39"/>
  <c r="C244" i="39"/>
  <c r="U244" i="39" s="1"/>
  <c r="V244" i="39"/>
  <c r="V91" i="39"/>
  <c r="F92" i="39"/>
  <c r="C91" i="39"/>
  <c r="U91" i="39" s="1"/>
  <c r="C128" i="39"/>
  <c r="U128" i="39" s="1"/>
  <c r="C326" i="39"/>
  <c r="U326" i="39" s="1"/>
  <c r="F327" i="39"/>
  <c r="V326" i="39"/>
  <c r="V691" i="39"/>
  <c r="F692" i="39"/>
  <c r="C691" i="39"/>
  <c r="U691"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0" i="39"/>
  <c r="U670" i="39" s="1"/>
  <c r="V670" i="39"/>
  <c r="F671" i="39"/>
  <c r="F631" i="39"/>
  <c r="V460" i="39"/>
  <c r="C630" i="39"/>
  <c r="U630" i="39" s="1"/>
  <c r="V630" i="39"/>
  <c r="F461" i="39"/>
  <c r="V711" i="39"/>
  <c r="F712" i="39"/>
  <c r="C711" i="39"/>
  <c r="U711" i="39" s="1"/>
  <c r="V193" i="39"/>
  <c r="F653" i="39"/>
  <c r="V652" i="39"/>
  <c r="C652" i="39"/>
  <c r="U652"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5" i="39"/>
  <c r="C692" i="39"/>
  <c r="U692" i="39" s="1"/>
  <c r="F693" i="39"/>
  <c r="V692" i="39"/>
  <c r="F694"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1" i="39"/>
  <c r="U671" i="39" s="1"/>
  <c r="V671" i="39"/>
  <c r="F672" i="39"/>
  <c r="V712" i="39"/>
  <c r="C461" i="39"/>
  <c r="U461" i="39" s="1"/>
  <c r="F462" i="39"/>
  <c r="C712" i="39"/>
  <c r="U712" i="39" s="1"/>
  <c r="F268" i="39"/>
  <c r="V653" i="39"/>
  <c r="F654" i="39"/>
  <c r="C653" i="39"/>
  <c r="U653" i="39" s="1"/>
  <c r="V267" i="39"/>
  <c r="C267" i="39"/>
  <c r="U267" i="39" s="1"/>
  <c r="V406" i="39"/>
  <c r="C406" i="39"/>
  <c r="U406" i="39" s="1"/>
  <c r="F407" i="39"/>
  <c r="V13" i="39"/>
  <c r="C13" i="39"/>
  <c r="U13" i="39" s="1"/>
  <c r="F14" i="39"/>
  <c r="U441" i="39"/>
  <c r="V441" i="39"/>
  <c r="V93" i="39"/>
  <c r="C93" i="39"/>
  <c r="U93" i="39" s="1"/>
  <c r="F94" i="39"/>
  <c r="V693" i="39"/>
  <c r="F696" i="39"/>
  <c r="C693" i="39"/>
  <c r="U693" i="39" s="1"/>
  <c r="V695" i="39"/>
  <c r="C695" i="39"/>
  <c r="U695" i="39" s="1"/>
  <c r="F329" i="39"/>
  <c r="V328" i="39"/>
  <c r="C328" i="39"/>
  <c r="U328" i="39" s="1"/>
  <c r="C313" i="39"/>
  <c r="U313" i="39" s="1"/>
  <c r="F314" i="39"/>
  <c r="V313" i="39"/>
  <c r="V694" i="39"/>
  <c r="C694" i="39"/>
  <c r="U694" i="39" s="1"/>
  <c r="C130" i="39"/>
  <c r="U130" i="39" s="1"/>
  <c r="F526" i="39" l="1"/>
  <c r="F249" i="39"/>
  <c r="C248" i="39"/>
  <c r="U248" i="39" s="1"/>
  <c r="V248" i="39"/>
  <c r="V157" i="39"/>
  <c r="F269" i="39"/>
  <c r="F158" i="39"/>
  <c r="C157" i="39"/>
  <c r="U157" i="39" s="1"/>
  <c r="V632" i="39"/>
  <c r="C632" i="39"/>
  <c r="U632" i="39" s="1"/>
  <c r="F633" i="39"/>
  <c r="C525" i="39"/>
  <c r="U525" i="39" s="1"/>
  <c r="V525" i="39"/>
  <c r="V672" i="39"/>
  <c r="C672" i="39"/>
  <c r="U672" i="39" s="1"/>
  <c r="F673" i="39"/>
  <c r="V462" i="39"/>
  <c r="F463" i="39"/>
  <c r="C462" i="39"/>
  <c r="U462" i="39" s="1"/>
  <c r="C654" i="39"/>
  <c r="U654" i="39" s="1"/>
  <c r="V654" i="39"/>
  <c r="F655"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6" i="39"/>
  <c r="U696" i="39" s="1"/>
  <c r="V696" i="39"/>
  <c r="V699" i="39" l="1"/>
  <c r="C699" i="39"/>
  <c r="U699" i="39" s="1"/>
  <c r="V698" i="39"/>
  <c r="C698" i="39"/>
  <c r="U698" i="39" s="1"/>
  <c r="F527" i="39"/>
  <c r="F250" i="39"/>
  <c r="C249" i="39"/>
  <c r="U249" i="39" s="1"/>
  <c r="V249" i="39"/>
  <c r="F159" i="39"/>
  <c r="C158" i="39"/>
  <c r="U158" i="39" s="1"/>
  <c r="V158" i="39"/>
  <c r="F270" i="39"/>
  <c r="F634" i="39"/>
  <c r="V633" i="39"/>
  <c r="C633" i="39"/>
  <c r="U633" i="39" s="1"/>
  <c r="V463" i="39"/>
  <c r="F464" i="39"/>
  <c r="C463" i="39"/>
  <c r="U463" i="39" s="1"/>
  <c r="C673" i="39"/>
  <c r="U673" i="39" s="1"/>
  <c r="C526" i="39"/>
  <c r="U526" i="39" s="1"/>
  <c r="V526" i="39"/>
  <c r="V673" i="39"/>
  <c r="F676" i="39"/>
  <c r="F674" i="39"/>
  <c r="C655" i="39"/>
  <c r="U655" i="39" s="1"/>
  <c r="V655" i="39"/>
  <c r="F656"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4" i="39"/>
  <c r="F675" i="39"/>
  <c r="F677" i="39"/>
  <c r="C676" i="39"/>
  <c r="U676" i="39" s="1"/>
  <c r="F679" i="39"/>
  <c r="C674" i="39"/>
  <c r="U674" i="39" s="1"/>
  <c r="F678" i="39"/>
  <c r="V676" i="39"/>
  <c r="F680" i="39"/>
  <c r="F657" i="39"/>
  <c r="V656" i="39"/>
  <c r="C656" i="39"/>
  <c r="U656"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0" i="39"/>
  <c r="U680" i="39" s="1"/>
  <c r="V680" i="39"/>
  <c r="V677" i="39"/>
  <c r="C677" i="39"/>
  <c r="U677" i="39" s="1"/>
  <c r="C675" i="39"/>
  <c r="U675" i="39" s="1"/>
  <c r="V675" i="39"/>
  <c r="C528" i="39"/>
  <c r="U528" i="39" s="1"/>
  <c r="V528" i="39"/>
  <c r="F681" i="39"/>
  <c r="F658" i="39"/>
  <c r="C679" i="39"/>
  <c r="U679" i="39" s="1"/>
  <c r="V678" i="39"/>
  <c r="V679" i="39"/>
  <c r="C678" i="39"/>
  <c r="U678" i="39" s="1"/>
  <c r="C657" i="39"/>
  <c r="U657" i="39" s="1"/>
  <c r="V657"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1" i="39"/>
  <c r="V466" i="39"/>
  <c r="C681" i="39"/>
  <c r="U681" i="39" s="1"/>
  <c r="V658" i="39"/>
  <c r="F659" i="39"/>
  <c r="C658" i="39"/>
  <c r="U658"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59" i="39"/>
  <c r="U659" i="39" s="1"/>
  <c r="V659"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<sst xmlns="http://schemas.openxmlformats.org/spreadsheetml/2006/main" count="39299" uniqueCount="7852">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</sst>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4326</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4327</v>
      </c>
      <c r="C17" s="57" t="s">
        <v>2579</v>
      </c>
    </row>
    <row r="18" spans="1:3" ht="8.25" customHeight="1" x14ac:dyDescent="0.4">
      <c r="A18" s="28" t="s">
        <v>1124</v>
      </c>
      <c r="B18" s="31">
        <f ca="1">NOW()</f>
        <v>46188.56220659722</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61"/>
  <sheetViews>
    <sheetView tabSelected="1" topLeftCell="W1" zoomScale="250" zoomScaleNormal="250" workbookViewId="0">
      <pane ySplit="1" topLeftCell="A2" activePane="bottomLeft" state="frozen"/>
      <selection pane="bottomLeft" activeCell="Y2" sqref="Y2:Y1861"/>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19.850000000000001" customHeight="1" x14ac:dyDescent="0.4">
      <c r="A1" s="11" t="s">
        <v>2</v>
      </c>
      <c r="B1" s="37" t="s">
        <v>14</v>
      </c>
      <c r="C1" s="53" t="s">
        <v>15</v>
      </c>
      <c r="D1" s="53" t="s">
        <v>16</v>
      </c>
      <c r="E1" s="36" t="s">
        <v>14</v>
      </c>
      <c r="F1" s="40" t="s">
        <v>17</v>
      </c>
      <c r="G1" s="40" t="s">
        <v>4374</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5517</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5093</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5518</v>
      </c>
      <c r="X3" s="24" t="str">
        <f t="shared" ref="X3:X66" si="8">IF(F2&lt;&gt;F3,_xlfn.CONCAT(RIGHT(LEFT(F3,7),5),".100"),_xlfn.CONCAT(RIGHT(LEFT(F3,7),5),".",SUM(VALUE(RIGHT(X2,3)),1)))</f>
        <v>abast.101</v>
      </c>
      <c r="Y3" s="24" t="str">
        <f t="shared" si="4"/>
        <v>Ação abastecer</v>
      </c>
      <c r="Z3" s="47" t="s">
        <v>7731</v>
      </c>
      <c r="AA3" s="25" t="str">
        <f t="shared" ref="AA3:AA17" si="9">IF(AB3="null", "null", "categoria.revit")</f>
        <v>null</v>
      </c>
      <c r="AB3" s="26" t="s">
        <v>0</v>
      </c>
      <c r="AC3" s="25" t="str">
        <f t="shared" ref="AC3:AC17" si="10">IF(AD3="null", "null", "classe.ifc")</f>
        <v>null</v>
      </c>
      <c r="AD3" s="26" t="s">
        <v>0</v>
      </c>
      <c r="AE3" s="25" t="str">
        <f t="shared" si="5"/>
        <v>null</v>
      </c>
      <c r="AF3" s="26" t="s">
        <v>0</v>
      </c>
      <c r="AG3" s="47" t="s">
        <v>5210</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5519</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5094</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5520</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5095</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5521</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5522</v>
      </c>
      <c r="X7" s="24" t="str">
        <f t="shared" si="8"/>
        <v>abast.105</v>
      </c>
      <c r="Y7" s="24" t="str">
        <f t="shared" si="4"/>
        <v>Ação abastecer</v>
      </c>
      <c r="Z7" s="47" t="s">
        <v>7730</v>
      </c>
      <c r="AA7" s="25" t="str">
        <f t="shared" si="9"/>
        <v>categoria.revit</v>
      </c>
      <c r="AB7" s="26" t="s">
        <v>3920</v>
      </c>
      <c r="AC7" s="25" t="str">
        <f t="shared" si="10"/>
        <v>classe.ifc</v>
      </c>
      <c r="AD7" s="26" t="s">
        <v>3885</v>
      </c>
      <c r="AE7" s="25" t="str">
        <f t="shared" si="5"/>
        <v>null</v>
      </c>
      <c r="AF7" s="26" t="s">
        <v>0</v>
      </c>
      <c r="AG7" s="47" t="s">
        <v>5211</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5523</v>
      </c>
      <c r="X8" s="24" t="str">
        <f t="shared" si="8"/>
        <v>abast.106</v>
      </c>
      <c r="Y8" s="24" t="str">
        <f t="shared" si="4"/>
        <v>Ação abastecer</v>
      </c>
      <c r="Z8" s="47" t="s">
        <v>7732</v>
      </c>
      <c r="AA8" s="25" t="str">
        <f t="shared" si="9"/>
        <v>categoria.revit</v>
      </c>
      <c r="AB8" s="26" t="s">
        <v>3920</v>
      </c>
      <c r="AC8" s="25" t="str">
        <f t="shared" si="10"/>
        <v>classe.ifc</v>
      </c>
      <c r="AD8" s="26" t="s">
        <v>3885</v>
      </c>
      <c r="AE8" s="25" t="str">
        <f t="shared" si="5"/>
        <v>null</v>
      </c>
      <c r="AF8" s="26" t="s">
        <v>0</v>
      </c>
      <c r="AG8" s="47" t="s">
        <v>5212</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5524</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5525</v>
      </c>
      <c r="X10" s="24" t="str">
        <f t="shared" si="8"/>
        <v>abast.108</v>
      </c>
      <c r="Y10" s="24" t="str">
        <f t="shared" si="4"/>
        <v>Ação abastecer</v>
      </c>
      <c r="Z10" s="47" t="s">
        <v>7733</v>
      </c>
      <c r="AA10" s="25" t="str">
        <f t="shared" si="9"/>
        <v>categoria.revit</v>
      </c>
      <c r="AB10" s="26" t="s">
        <v>3920</v>
      </c>
      <c r="AC10" s="25" t="str">
        <f t="shared" si="10"/>
        <v>classe.ifc</v>
      </c>
      <c r="AD10" s="26" t="s">
        <v>3885</v>
      </c>
      <c r="AE10" s="25" t="str">
        <f t="shared" si="5"/>
        <v>null</v>
      </c>
      <c r="AF10" s="26" t="s">
        <v>0</v>
      </c>
      <c r="AG10" s="47" t="s">
        <v>5213</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5526</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5527</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5528</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5529</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5530</v>
      </c>
      <c r="X15" s="24" t="str">
        <f t="shared" si="8"/>
        <v>abast.113</v>
      </c>
      <c r="Y15" s="24" t="str">
        <f t="shared" si="4"/>
        <v>Ação abastecer</v>
      </c>
      <c r="Z15" s="47" t="s">
        <v>7734</v>
      </c>
      <c r="AA15" s="25" t="str">
        <f t="shared" si="9"/>
        <v>categoria.revit</v>
      </c>
      <c r="AB15" s="26" t="s">
        <v>3920</v>
      </c>
      <c r="AC15" s="25" t="str">
        <f t="shared" si="10"/>
        <v>classe.ifc</v>
      </c>
      <c r="AD15" s="26" t="s">
        <v>3885</v>
      </c>
      <c r="AE15" s="25" t="str">
        <f t="shared" si="5"/>
        <v>null</v>
      </c>
      <c r="AF15" s="26" t="s">
        <v>0</v>
      </c>
      <c r="AG15" s="47" t="s">
        <v>5214</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5531</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5532</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5533</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5534</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5535</v>
      </c>
      <c r="X20" s="24" t="str">
        <f t="shared" si="8"/>
        <v>abrir.102</v>
      </c>
      <c r="Y20" s="24" t="str">
        <f t="shared" si="4"/>
        <v>Ação abrir</v>
      </c>
      <c r="Z20" s="47" t="s">
        <v>4714</v>
      </c>
      <c r="AA20" s="25" t="str">
        <f t="shared" si="15"/>
        <v>categoria.revit</v>
      </c>
      <c r="AB20" s="26" t="s">
        <v>3923</v>
      </c>
      <c r="AC20" s="25" t="str">
        <f t="shared" si="16"/>
        <v>classe.ifc</v>
      </c>
      <c r="AD20" s="26" t="s">
        <v>3887</v>
      </c>
      <c r="AE20" s="25" t="str">
        <f t="shared" si="17"/>
        <v>null</v>
      </c>
      <c r="AF20" s="26" t="s">
        <v>0</v>
      </c>
      <c r="AG20" s="47" t="s">
        <v>4715</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5536</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4723</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5537</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4850</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5538</v>
      </c>
      <c r="X23" s="24" t="str">
        <f t="shared" si="8"/>
        <v>abrir.105</v>
      </c>
      <c r="Y23" s="24" t="str">
        <f t="shared" si="4"/>
        <v>Ação abrir</v>
      </c>
      <c r="Z23" s="47" t="s">
        <v>4376</v>
      </c>
      <c r="AA23" s="25" t="str">
        <f t="shared" si="15"/>
        <v>categoria.revit</v>
      </c>
      <c r="AB23" s="26" t="s">
        <v>3923</v>
      </c>
      <c r="AC23" s="25" t="str">
        <f t="shared" si="16"/>
        <v>classe.ifc</v>
      </c>
      <c r="AD23" s="26" t="s">
        <v>3887</v>
      </c>
      <c r="AE23" s="25" t="str">
        <f t="shared" si="17"/>
        <v>null</v>
      </c>
      <c r="AF23" s="26" t="s">
        <v>0</v>
      </c>
      <c r="AG23" s="47" t="s">
        <v>4436</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4851</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5539</v>
      </c>
      <c r="X24" s="24" t="str">
        <f t="shared" si="8"/>
        <v>abrir.106</v>
      </c>
      <c r="Y24" s="24" t="str">
        <f t="shared" si="4"/>
        <v>Ação abrir</v>
      </c>
      <c r="Z24" s="47" t="s">
        <v>4710</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4722</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5540</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4716</v>
      </c>
    </row>
    <row r="26" spans="1:33" ht="6" customHeight="1" x14ac:dyDescent="0.4">
      <c r="A26" s="4">
        <f>ROW()</f>
        <v>26</v>
      </c>
      <c r="B26" s="9" t="s">
        <v>27</v>
      </c>
      <c r="C26" s="55" t="str">
        <f t="shared" si="19"/>
        <v>p.abrir</v>
      </c>
      <c r="D26" s="6" t="str">
        <f t="shared" si="27"/>
        <v>é.janela.batente</v>
      </c>
      <c r="E26" s="8" t="s">
        <v>28</v>
      </c>
      <c r="F26" s="42" t="str">
        <f t="shared" si="18"/>
        <v>d.abrir</v>
      </c>
      <c r="G26" s="17" t="s">
        <v>4708</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5541</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4717</v>
      </c>
    </row>
    <row r="27" spans="1:33" ht="6" customHeight="1" x14ac:dyDescent="0.4">
      <c r="A27" s="4">
        <f>ROW()</f>
        <v>27</v>
      </c>
      <c r="B27" s="9" t="s">
        <v>27</v>
      </c>
      <c r="C27" s="55" t="str">
        <f t="shared" si="19"/>
        <v>p.abrir</v>
      </c>
      <c r="D27" s="6" t="str">
        <f t="shared" si="27"/>
        <v>é.janela.correr</v>
      </c>
      <c r="E27" s="8" t="s">
        <v>28</v>
      </c>
      <c r="F27" s="42" t="str">
        <f t="shared" si="18"/>
        <v>d.abrir</v>
      </c>
      <c r="G27" s="17" t="s">
        <v>4709</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5542</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4718</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5543</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5544</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4719</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5545</v>
      </c>
      <c r="X30" s="24" t="str">
        <f t="shared" si="8"/>
        <v>abrir.112</v>
      </c>
      <c r="Y30" s="24" t="str">
        <f t="shared" si="4"/>
        <v>Ação abrir</v>
      </c>
      <c r="Z30" s="47" t="s">
        <v>4713</v>
      </c>
      <c r="AA30" s="25" t="str">
        <f t="shared" si="31"/>
        <v>categoria.revit</v>
      </c>
      <c r="AB30" s="26" t="s">
        <v>3923</v>
      </c>
      <c r="AC30" s="25" t="str">
        <f t="shared" si="32"/>
        <v>classe.ifc</v>
      </c>
      <c r="AD30" s="26" t="s">
        <v>3887</v>
      </c>
      <c r="AE30" s="25" t="str">
        <f t="shared" si="33"/>
        <v>null</v>
      </c>
      <c r="AF30" s="26" t="s">
        <v>0</v>
      </c>
      <c r="AG30" s="47" t="s">
        <v>4720</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5546</v>
      </c>
      <c r="X31" s="24" t="str">
        <f t="shared" si="8"/>
        <v>abrir.113</v>
      </c>
      <c r="Y31" s="24" t="str">
        <f t="shared" si="4"/>
        <v>Ação abrir</v>
      </c>
      <c r="Z31" s="47" t="s">
        <v>4712</v>
      </c>
      <c r="AA31" s="25" t="str">
        <f t="shared" si="31"/>
        <v>categoria.revit</v>
      </c>
      <c r="AB31" s="26" t="s">
        <v>3923</v>
      </c>
      <c r="AC31" s="25" t="str">
        <f t="shared" si="32"/>
        <v>classe.ifc</v>
      </c>
      <c r="AD31" s="26" t="s">
        <v>3887</v>
      </c>
      <c r="AE31" s="25" t="str">
        <f t="shared" si="33"/>
        <v>null</v>
      </c>
      <c r="AF31" s="26" t="s">
        <v>0</v>
      </c>
      <c r="AG31" s="47" t="s">
        <v>4721</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5547</v>
      </c>
      <c r="X32" s="24" t="str">
        <f t="shared" si="8"/>
        <v>abrir.114</v>
      </c>
      <c r="Y32" s="24" t="str">
        <f t="shared" si="4"/>
        <v>Ação abrir</v>
      </c>
      <c r="Z32" s="47" t="s">
        <v>4711</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5548</v>
      </c>
      <c r="X33" s="24" t="str">
        <f t="shared" si="8"/>
        <v>abrir.115</v>
      </c>
      <c r="Y33" s="24" t="str">
        <f t="shared" si="4"/>
        <v>Ação abrir</v>
      </c>
      <c r="Z33" s="47" t="s">
        <v>4734</v>
      </c>
      <c r="AA33" s="25" t="str">
        <f t="shared" si="31"/>
        <v>null</v>
      </c>
      <c r="AB33" s="26" t="s">
        <v>0</v>
      </c>
      <c r="AC33" s="25" t="str">
        <f t="shared" si="32"/>
        <v>null</v>
      </c>
      <c r="AD33" s="26" t="s">
        <v>0</v>
      </c>
      <c r="AE33" s="25" t="str">
        <f t="shared" si="33"/>
        <v>null</v>
      </c>
      <c r="AF33" s="26" t="s">
        <v>0</v>
      </c>
      <c r="AG33" s="47" t="s">
        <v>4736</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5549</v>
      </c>
      <c r="X34" s="24" t="str">
        <f t="shared" si="8"/>
        <v>abrir.116</v>
      </c>
      <c r="Y34" s="24" t="str">
        <f t="shared" si="4"/>
        <v>Ação abrir</v>
      </c>
      <c r="Z34" s="47" t="s">
        <v>4735</v>
      </c>
      <c r="AA34" s="25" t="str">
        <f t="shared" si="31"/>
        <v>null</v>
      </c>
      <c r="AB34" s="26" t="s">
        <v>0</v>
      </c>
      <c r="AC34" s="25" t="str">
        <f t="shared" si="32"/>
        <v>null</v>
      </c>
      <c r="AD34" s="26" t="s">
        <v>0</v>
      </c>
      <c r="AE34" s="25" t="str">
        <f t="shared" si="33"/>
        <v>null</v>
      </c>
      <c r="AF34" s="26" t="s">
        <v>0</v>
      </c>
      <c r="AG34" s="47" t="s">
        <v>4737</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5550</v>
      </c>
      <c r="X35" s="24" t="str">
        <f t="shared" si="8"/>
        <v>acaba.100</v>
      </c>
      <c r="Y35" s="24" t="str">
        <f t="shared" si="4"/>
        <v>Ação acabar</v>
      </c>
      <c r="Z35" s="47" t="s">
        <v>5473</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5551</v>
      </c>
      <c r="X36" s="24" t="str">
        <f t="shared" si="8"/>
        <v>acaba.101</v>
      </c>
      <c r="Y36" s="24" t="str">
        <f t="shared" si="4"/>
        <v>Ação acabar</v>
      </c>
      <c r="Z36" s="47" t="s">
        <v>5472</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5552</v>
      </c>
      <c r="X37" s="24" t="str">
        <f t="shared" si="8"/>
        <v>acaba.102</v>
      </c>
      <c r="Y37" s="24" t="str">
        <f t="shared" si="4"/>
        <v>Ação acabar</v>
      </c>
      <c r="Z37" s="47" t="s">
        <v>5474</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5553</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5554</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5555</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5556</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5557</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5558</v>
      </c>
      <c r="X43" s="24" t="str">
        <f t="shared" si="8"/>
        <v>acaba.108</v>
      </c>
      <c r="Y43" s="24" t="str">
        <f t="shared" si="4"/>
        <v>Ação acabar</v>
      </c>
      <c r="Z43" s="47" t="s">
        <v>5475</v>
      </c>
      <c r="AA43" s="25" t="str">
        <f t="shared" si="31"/>
        <v>null</v>
      </c>
      <c r="AB43" s="26" t="s">
        <v>0</v>
      </c>
      <c r="AC43" s="25" t="str">
        <f t="shared" si="32"/>
        <v>null</v>
      </c>
      <c r="AD43" s="26" t="s">
        <v>0</v>
      </c>
      <c r="AE43" s="25" t="str">
        <f t="shared" si="33"/>
        <v>propiedade</v>
      </c>
      <c r="AF43" s="26" t="s">
        <v>2696</v>
      </c>
      <c r="AG43" s="47" t="s">
        <v>5365</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5559</v>
      </c>
      <c r="X44" s="24" t="str">
        <f t="shared" si="8"/>
        <v>acaba.109</v>
      </c>
      <c r="Y44" s="24" t="str">
        <f t="shared" si="4"/>
        <v>Ação acabar</v>
      </c>
      <c r="Z44" s="47" t="s">
        <v>5476</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5560</v>
      </c>
      <c r="X45" s="24" t="str">
        <f t="shared" si="8"/>
        <v>acaba.110</v>
      </c>
      <c r="Y45" s="24" t="str">
        <f t="shared" si="4"/>
        <v>Ação acabar</v>
      </c>
      <c r="Z45" s="47" t="s">
        <v>5477</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5561</v>
      </c>
      <c r="X46" s="24" t="str">
        <f t="shared" si="8"/>
        <v>acaba.111</v>
      </c>
      <c r="Y46" s="24" t="str">
        <f t="shared" si="4"/>
        <v>Ação acabar</v>
      </c>
      <c r="Z46" s="47" t="s">
        <v>5478</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5562</v>
      </c>
      <c r="X47" s="24" t="str">
        <f t="shared" si="8"/>
        <v>acaba.112</v>
      </c>
      <c r="Y47" s="24" t="str">
        <f t="shared" si="4"/>
        <v>Ação acabar</v>
      </c>
      <c r="Z47" s="47" t="s">
        <v>5479</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5563</v>
      </c>
      <c r="X48" s="24" t="str">
        <f t="shared" si="8"/>
        <v>acaba.113</v>
      </c>
      <c r="Y48" s="24" t="str">
        <f t="shared" si="4"/>
        <v>Ação acabar</v>
      </c>
      <c r="Z48" s="47" t="s">
        <v>5480</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5564</v>
      </c>
      <c r="X49" s="24" t="str">
        <f t="shared" si="8"/>
        <v>acaba.114</v>
      </c>
      <c r="Y49" s="24" t="str">
        <f t="shared" si="4"/>
        <v>Ação acabar</v>
      </c>
      <c r="Z49" s="47" t="s">
        <v>5481</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5565</v>
      </c>
      <c r="X50" s="24" t="str">
        <f t="shared" si="8"/>
        <v>acaba.115</v>
      </c>
      <c r="Y50" s="24" t="str">
        <f t="shared" si="4"/>
        <v>Ação acabar</v>
      </c>
      <c r="Z50" s="47" t="s">
        <v>5482</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5566</v>
      </c>
      <c r="X51" s="24" t="str">
        <f t="shared" si="8"/>
        <v>acaba.116</v>
      </c>
      <c r="Y51" s="24" t="str">
        <f t="shared" si="4"/>
        <v>Ação acabar</v>
      </c>
      <c r="Z51" s="47" t="s">
        <v>5483</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5567</v>
      </c>
      <c r="X52" s="24" t="str">
        <f t="shared" si="8"/>
        <v>acaba.117</v>
      </c>
      <c r="Y52" s="24" t="str">
        <f t="shared" si="4"/>
        <v>Ação acabar</v>
      </c>
      <c r="Z52" s="47" t="s">
        <v>5484</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5568</v>
      </c>
      <c r="X53" s="24" t="str">
        <f t="shared" si="8"/>
        <v>acaba.118</v>
      </c>
      <c r="Y53" s="24" t="str">
        <f t="shared" si="4"/>
        <v>Ação acabar</v>
      </c>
      <c r="Z53" s="47" t="s">
        <v>5485</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5569</v>
      </c>
      <c r="X54" s="24" t="str">
        <f t="shared" si="8"/>
        <v>acaba.119</v>
      </c>
      <c r="Y54" s="24" t="str">
        <f t="shared" si="4"/>
        <v>Ação acabar</v>
      </c>
      <c r="Z54" s="47" t="s">
        <v>5486</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4731</v>
      </c>
      <c r="S55" s="10" t="s">
        <v>1</v>
      </c>
      <c r="T55" s="10" t="s">
        <v>32</v>
      </c>
      <c r="U55" s="5" t="str">
        <f t="shared" si="29"/>
        <v>Propriedade destinada a acabar: é.chapiscada.com</v>
      </c>
      <c r="V55" s="5" t="str">
        <f t="shared" si="30"/>
        <v>Dado para acabar:  chapiscada.com  Deve ser formatado como (rdfs:Literal  or  xsd:string)</v>
      </c>
      <c r="W55" s="5" t="s">
        <v>5570</v>
      </c>
      <c r="X55" s="24" t="str">
        <f t="shared" si="8"/>
        <v>acaba.120</v>
      </c>
      <c r="Y55" s="24" t="str">
        <f t="shared" si="4"/>
        <v>Ação acabar</v>
      </c>
      <c r="Z55" s="47" t="s">
        <v>5366</v>
      </c>
      <c r="AA55" s="25" t="str">
        <f t="shared" si="31"/>
        <v>null</v>
      </c>
      <c r="AB55" s="26" t="s">
        <v>0</v>
      </c>
      <c r="AC55" s="25" t="str">
        <f t="shared" si="32"/>
        <v>null</v>
      </c>
      <c r="AD55" s="26" t="s">
        <v>0</v>
      </c>
      <c r="AE55" s="25" t="str">
        <f t="shared" si="33"/>
        <v>null</v>
      </c>
      <c r="AF55" s="26" t="s">
        <v>0</v>
      </c>
      <c r="AG55" s="47" t="s">
        <v>5215</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4730</v>
      </c>
      <c r="S56" s="10" t="s">
        <v>1</v>
      </c>
      <c r="T56" s="10" t="s">
        <v>32</v>
      </c>
      <c r="U56" s="5" t="str">
        <f t="shared" si="29"/>
        <v>Propriedade destinada a acabar: é.chapiscado.com</v>
      </c>
      <c r="V56" s="5" t="str">
        <f t="shared" si="30"/>
        <v>Dado para acabar:  chapiscado.com  Deve ser formatado como (rdfs:Literal  or  xsd:string)</v>
      </c>
      <c r="W56" s="5" t="s">
        <v>5570</v>
      </c>
      <c r="X56" s="24" t="str">
        <f t="shared" si="8"/>
        <v>acaba.121</v>
      </c>
      <c r="Y56" s="24" t="str">
        <f t="shared" si="4"/>
        <v>Ação acabar</v>
      </c>
      <c r="Z56" s="47" t="s">
        <v>5366</v>
      </c>
      <c r="AA56" s="25" t="str">
        <f t="shared" si="31"/>
        <v>null</v>
      </c>
      <c r="AB56" s="26" t="s">
        <v>0</v>
      </c>
      <c r="AC56" s="25" t="str">
        <f t="shared" si="32"/>
        <v>null</v>
      </c>
      <c r="AD56" s="26" t="s">
        <v>0</v>
      </c>
      <c r="AE56" s="25" t="str">
        <f t="shared" si="33"/>
        <v>null</v>
      </c>
      <c r="AF56" s="26" t="s">
        <v>0</v>
      </c>
      <c r="AG56" s="47" t="s">
        <v>5215</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4733</v>
      </c>
      <c r="S57" s="10" t="s">
        <v>1</v>
      </c>
      <c r="T57" s="10" t="s">
        <v>32</v>
      </c>
      <c r="U57" s="5" t="str">
        <f t="shared" si="29"/>
        <v>Propriedade destinada a acabar: é.emboçada.com</v>
      </c>
      <c r="V57" s="5" t="str">
        <f t="shared" si="30"/>
        <v>Dado para acabar:  emboçada.com  Deve ser formatado como (rdfs:Literal  or  xsd:string)</v>
      </c>
      <c r="W57" s="5" t="s">
        <v>7559</v>
      </c>
      <c r="X57" s="24" t="str">
        <f t="shared" si="8"/>
        <v>acaba.122</v>
      </c>
      <c r="Y57" s="24" t="str">
        <f t="shared" si="4"/>
        <v>Ação acabar</v>
      </c>
      <c r="Z57" s="47" t="s">
        <v>7562</v>
      </c>
      <c r="AA57" s="25" t="str">
        <f t="shared" si="31"/>
        <v>null</v>
      </c>
      <c r="AB57" s="26" t="s">
        <v>0</v>
      </c>
      <c r="AC57" s="25" t="str">
        <f t="shared" si="32"/>
        <v>null</v>
      </c>
      <c r="AD57" s="26" t="s">
        <v>0</v>
      </c>
      <c r="AE57" s="25" t="str">
        <f t="shared" si="33"/>
        <v>null</v>
      </c>
      <c r="AF57" s="26" t="s">
        <v>0</v>
      </c>
      <c r="AG57" s="47" t="s">
        <v>5215</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4732</v>
      </c>
      <c r="S58" s="10" t="s">
        <v>1</v>
      </c>
      <c r="T58" s="10" t="s">
        <v>32</v>
      </c>
      <c r="U58" s="5" t="str">
        <f t="shared" si="29"/>
        <v>Propriedade destinada a acabar: é.emboçado.com</v>
      </c>
      <c r="V58" s="5" t="str">
        <f t="shared" si="30"/>
        <v>Dado para acabar:  emboçado.com  Deve ser formatado como (rdfs:Literal  or  xsd:string)</v>
      </c>
      <c r="W58" s="5" t="s">
        <v>7559</v>
      </c>
      <c r="X58" s="24" t="str">
        <f t="shared" si="8"/>
        <v>acaba.123</v>
      </c>
      <c r="Y58" s="24" t="str">
        <f t="shared" si="4"/>
        <v>Ação acabar</v>
      </c>
      <c r="Z58" s="47" t="s">
        <v>7562</v>
      </c>
      <c r="AA58" s="25" t="str">
        <f t="shared" si="31"/>
        <v>null</v>
      </c>
      <c r="AB58" s="26" t="s">
        <v>0</v>
      </c>
      <c r="AC58" s="25" t="str">
        <f t="shared" si="32"/>
        <v>null</v>
      </c>
      <c r="AD58" s="26" t="s">
        <v>0</v>
      </c>
      <c r="AE58" s="25" t="str">
        <f t="shared" si="33"/>
        <v>null</v>
      </c>
      <c r="AF58" s="26" t="s">
        <v>0</v>
      </c>
      <c r="AG58" s="47" t="s">
        <v>5215</v>
      </c>
    </row>
    <row r="59" spans="1:33" ht="6" customHeight="1" x14ac:dyDescent="0.4">
      <c r="A59" s="4">
        <f>ROW()</f>
        <v>59</v>
      </c>
      <c r="B59" s="9" t="s">
        <v>27</v>
      </c>
      <c r="C59" s="55" t="str">
        <f t="shared" si="35"/>
        <v>p.acabar</v>
      </c>
      <c r="D59" s="6" t="str">
        <f t="shared" si="36"/>
        <v>é.emassada.com</v>
      </c>
      <c r="E59" s="8" t="s">
        <v>28</v>
      </c>
      <c r="F59" s="42" t="str">
        <f t="shared" si="37"/>
        <v>d.acabar</v>
      </c>
      <c r="G59" s="17" t="s">
        <v>7503</v>
      </c>
      <c r="H59" s="41" t="s">
        <v>2321</v>
      </c>
      <c r="I59" s="16" t="str">
        <f t="shared" si="28"/>
        <v>null</v>
      </c>
      <c r="J59" s="15" t="s">
        <v>0</v>
      </c>
      <c r="K59" s="15" t="s">
        <v>0</v>
      </c>
      <c r="L59" s="15" t="s">
        <v>0</v>
      </c>
      <c r="M59" s="15" t="s">
        <v>0</v>
      </c>
      <c r="N59" s="15" t="s">
        <v>0</v>
      </c>
      <c r="O59" s="15" t="s">
        <v>0</v>
      </c>
      <c r="P59" s="15" t="s">
        <v>0</v>
      </c>
      <c r="Q59" s="15" t="s">
        <v>0</v>
      </c>
      <c r="R59" s="15" t="s">
        <v>7505</v>
      </c>
      <c r="S59" s="10" t="s">
        <v>1</v>
      </c>
      <c r="T59" s="10" t="s">
        <v>32</v>
      </c>
      <c r="U59" s="5" t="str">
        <f t="shared" si="29"/>
        <v>Propriedade destinada a acabar: é.emassada.com</v>
      </c>
      <c r="V59" s="5" t="str">
        <f t="shared" si="30"/>
        <v>Dado para acabar:  emassada.com  Deve ser formatado como (rdfs:Literal  or  xsd:string)</v>
      </c>
      <c r="W59" s="5" t="s">
        <v>7554</v>
      </c>
      <c r="X59" s="24" t="str">
        <f t="shared" si="8"/>
        <v>acaba.124</v>
      </c>
      <c r="Y59" s="24" t="str">
        <f t="shared" si="4"/>
        <v>Ação acabar</v>
      </c>
      <c r="Z59" s="47" t="s">
        <v>7560</v>
      </c>
      <c r="AA59" s="25" t="str">
        <f t="shared" si="31"/>
        <v>null</v>
      </c>
      <c r="AB59" s="26" t="s">
        <v>0</v>
      </c>
      <c r="AC59" s="25" t="str">
        <f t="shared" si="32"/>
        <v>null</v>
      </c>
      <c r="AD59" s="26" t="s">
        <v>0</v>
      </c>
      <c r="AE59" s="25" t="str">
        <f t="shared" si="33"/>
        <v>null</v>
      </c>
      <c r="AF59" s="26" t="s">
        <v>0</v>
      </c>
      <c r="AG59" s="47" t="s">
        <v>7556</v>
      </c>
    </row>
    <row r="60" spans="1:33" ht="6" customHeight="1" x14ac:dyDescent="0.4">
      <c r="A60" s="4">
        <f>ROW()</f>
        <v>60</v>
      </c>
      <c r="B60" s="9" t="s">
        <v>27</v>
      </c>
      <c r="C60" s="55" t="str">
        <f t="shared" si="35"/>
        <v>p.acabar</v>
      </c>
      <c r="D60" s="6" t="str">
        <f t="shared" si="36"/>
        <v>é.emassado.com</v>
      </c>
      <c r="E60" s="8" t="s">
        <v>28</v>
      </c>
      <c r="F60" s="42" t="str">
        <f t="shared" si="37"/>
        <v>d.acabar</v>
      </c>
      <c r="G60" s="17" t="s">
        <v>7504</v>
      </c>
      <c r="H60" s="41" t="s">
        <v>2321</v>
      </c>
      <c r="I60" s="16" t="str">
        <f t="shared" si="28"/>
        <v>null</v>
      </c>
      <c r="J60" s="15" t="s">
        <v>0</v>
      </c>
      <c r="K60" s="15" t="s">
        <v>0</v>
      </c>
      <c r="L60" s="15" t="s">
        <v>0</v>
      </c>
      <c r="M60" s="15" t="s">
        <v>0</v>
      </c>
      <c r="N60" s="15" t="s">
        <v>0</v>
      </c>
      <c r="O60" s="15" t="s">
        <v>0</v>
      </c>
      <c r="P60" s="15" t="s">
        <v>0</v>
      </c>
      <c r="Q60" s="15" t="s">
        <v>0</v>
      </c>
      <c r="R60" s="15" t="s">
        <v>7506</v>
      </c>
      <c r="S60" s="10" t="s">
        <v>1</v>
      </c>
      <c r="T60" s="10" t="s">
        <v>32</v>
      </c>
      <c r="U60" s="5" t="str">
        <f t="shared" si="29"/>
        <v>Propriedade destinada a acabar: é.emassado.com</v>
      </c>
      <c r="V60" s="5" t="str">
        <f t="shared" si="30"/>
        <v>Dado para acabar:  emassado.com  Deve ser formatado como (rdfs:Literal  or  xsd:string)</v>
      </c>
      <c r="W60" s="5" t="s">
        <v>7554</v>
      </c>
      <c r="X60" s="24" t="str">
        <f t="shared" si="8"/>
        <v>acaba.125</v>
      </c>
      <c r="Y60" s="24" t="str">
        <f t="shared" si="4"/>
        <v>Ação acabar</v>
      </c>
      <c r="Z60" s="47" t="s">
        <v>7560</v>
      </c>
      <c r="AA60" s="25" t="str">
        <f t="shared" si="31"/>
        <v>null</v>
      </c>
      <c r="AB60" s="26" t="s">
        <v>0</v>
      </c>
      <c r="AC60" s="25" t="str">
        <f t="shared" si="32"/>
        <v>null</v>
      </c>
      <c r="AD60" s="26" t="s">
        <v>0</v>
      </c>
      <c r="AE60" s="25" t="str">
        <f t="shared" si="33"/>
        <v>null</v>
      </c>
      <c r="AF60" s="26" t="s">
        <v>0</v>
      </c>
      <c r="AG60" s="47" t="s">
        <v>7556</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4728</v>
      </c>
      <c r="S61" s="10" t="s">
        <v>1</v>
      </c>
      <c r="T61" s="10" t="s">
        <v>32</v>
      </c>
      <c r="U61" s="5" t="str">
        <f t="shared" si="29"/>
        <v>Propriedade destinada a acabar: é.pintada.com</v>
      </c>
      <c r="V61" s="5" t="str">
        <f t="shared" si="30"/>
        <v>Dado para acabar:  pintada.com  Deve ser formatado como (rdfs:Literal  or  xsd:string)</v>
      </c>
      <c r="W61" s="5" t="s">
        <v>7555</v>
      </c>
      <c r="X61" s="24" t="str">
        <f t="shared" si="8"/>
        <v>acaba.126</v>
      </c>
      <c r="Y61" s="24" t="str">
        <f t="shared" si="4"/>
        <v>Ação acabar</v>
      </c>
      <c r="Z61" s="47" t="s">
        <v>7558</v>
      </c>
      <c r="AA61" s="25" t="str">
        <f t="shared" si="31"/>
        <v>null</v>
      </c>
      <c r="AB61" s="26" t="s">
        <v>0</v>
      </c>
      <c r="AC61" s="25" t="str">
        <f t="shared" si="32"/>
        <v>null</v>
      </c>
      <c r="AD61" s="26" t="s">
        <v>0</v>
      </c>
      <c r="AE61" s="25" t="str">
        <f t="shared" si="33"/>
        <v>null</v>
      </c>
      <c r="AF61" s="26" t="s">
        <v>0</v>
      </c>
      <c r="AG61" s="47" t="s">
        <v>7557</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4729</v>
      </c>
      <c r="S62" s="10" t="s">
        <v>1</v>
      </c>
      <c r="T62" s="10" t="s">
        <v>32</v>
      </c>
      <c r="U62" s="5" t="str">
        <f t="shared" si="29"/>
        <v>Propriedade destinada a acabar: é.pintado.com</v>
      </c>
      <c r="V62" s="5" t="str">
        <f t="shared" si="30"/>
        <v>Dado para acabar:  pintado.com  Deve ser formatado como (rdfs:Literal  or  xsd:string)</v>
      </c>
      <c r="W62" s="5" t="s">
        <v>7555</v>
      </c>
      <c r="X62" s="24" t="str">
        <f t="shared" si="8"/>
        <v>acaba.127</v>
      </c>
      <c r="Y62" s="24" t="str">
        <f t="shared" si="4"/>
        <v>Ação acabar</v>
      </c>
      <c r="Z62" s="47" t="s">
        <v>7558</v>
      </c>
      <c r="AA62" s="25" t="str">
        <f t="shared" si="31"/>
        <v>null</v>
      </c>
      <c r="AB62" s="26" t="s">
        <v>0</v>
      </c>
      <c r="AC62" s="25" t="str">
        <f t="shared" si="32"/>
        <v>null</v>
      </c>
      <c r="AD62" s="26" t="s">
        <v>0</v>
      </c>
      <c r="AE62" s="25" t="str">
        <f t="shared" si="33"/>
        <v>null</v>
      </c>
      <c r="AF62" s="26" t="s">
        <v>0</v>
      </c>
      <c r="AG62" s="47" t="s">
        <v>7557</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4726</v>
      </c>
      <c r="S63" s="10" t="s">
        <v>1</v>
      </c>
      <c r="T63" s="10" t="s">
        <v>32</v>
      </c>
      <c r="U63" s="5" t="str">
        <f t="shared" si="29"/>
        <v>Propriedade destinada a acabar: é.rebocada.com</v>
      </c>
      <c r="V63" s="5" t="str">
        <f t="shared" si="30"/>
        <v>Dado para acabar:  rebocada.com  Deve ser formatado como (rdfs:Literal  or  xsd:string)</v>
      </c>
      <c r="W63" s="5" t="s">
        <v>5571</v>
      </c>
      <c r="X63" s="24" t="str">
        <f t="shared" si="8"/>
        <v>acaba.128</v>
      </c>
      <c r="Y63" s="24" t="str">
        <f t="shared" si="4"/>
        <v>Ação acabar</v>
      </c>
      <c r="Z63" s="47" t="s">
        <v>7561</v>
      </c>
      <c r="AA63" s="25" t="str">
        <f t="shared" si="31"/>
        <v>null</v>
      </c>
      <c r="AB63" s="26" t="s">
        <v>0</v>
      </c>
      <c r="AC63" s="25" t="str">
        <f t="shared" si="32"/>
        <v>null</v>
      </c>
      <c r="AD63" s="26" t="s">
        <v>0</v>
      </c>
      <c r="AE63" s="25" t="str">
        <f t="shared" si="33"/>
        <v>null</v>
      </c>
      <c r="AF63" s="26" t="s">
        <v>0</v>
      </c>
      <c r="AG63" s="47" t="s">
        <v>5215</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4727</v>
      </c>
      <c r="S64" s="10" t="s">
        <v>1</v>
      </c>
      <c r="T64" s="10" t="s">
        <v>32</v>
      </c>
      <c r="U64" s="5" t="str">
        <f t="shared" si="29"/>
        <v>Propriedade destinada a acabar: é.rebocado.com</v>
      </c>
      <c r="V64" s="5" t="str">
        <f t="shared" si="30"/>
        <v>Dado para acabar:  rebocado.com  Deve ser formatado como (rdfs:Literal  or  xsd:string)</v>
      </c>
      <c r="W64" s="5" t="s">
        <v>5571</v>
      </c>
      <c r="X64" s="24" t="str">
        <f t="shared" si="8"/>
        <v>acaba.129</v>
      </c>
      <c r="Y64" s="24" t="str">
        <f t="shared" si="4"/>
        <v>Ação acabar</v>
      </c>
      <c r="Z64" s="47" t="s">
        <v>7561</v>
      </c>
      <c r="AA64" s="25" t="str">
        <f t="shared" si="31"/>
        <v>null</v>
      </c>
      <c r="AB64" s="26" t="s">
        <v>0</v>
      </c>
      <c r="AC64" s="25" t="str">
        <f t="shared" si="32"/>
        <v>null</v>
      </c>
      <c r="AD64" s="26" t="s">
        <v>0</v>
      </c>
      <c r="AE64" s="25" t="str">
        <f t="shared" si="33"/>
        <v>null</v>
      </c>
      <c r="AF64" s="26" t="s">
        <v>0</v>
      </c>
      <c r="AG64" s="47" t="s">
        <v>5215</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4724</v>
      </c>
      <c r="S65" s="10" t="s">
        <v>1</v>
      </c>
      <c r="T65" s="10" t="s">
        <v>32</v>
      </c>
      <c r="U65" s="5" t="str">
        <f t="shared" si="29"/>
        <v>Propriedade destinada a acabar: é.revestida.com</v>
      </c>
      <c r="V65" s="5" t="str">
        <f t="shared" si="30"/>
        <v>Dado para acabar:  revestida.com  Deve ser formatado como (rdfs:Literal  or  xsd:string)</v>
      </c>
      <c r="W65" s="5" t="s">
        <v>5572</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4725</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5573</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5574</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5575</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5576</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5577</v>
      </c>
      <c r="X70" s="24" t="str">
        <f t="shared" si="46"/>
        <v>acede.103</v>
      </c>
      <c r="Y70" s="24" t="str">
        <f t="shared" si="42"/>
        <v>Ação aceder</v>
      </c>
      <c r="Z70" s="47" t="s">
        <v>5487</v>
      </c>
      <c r="AA70" s="25" t="str">
        <f t="shared" si="51"/>
        <v>null</v>
      </c>
      <c r="AB70" s="26" t="s">
        <v>0</v>
      </c>
      <c r="AC70" s="25" t="str">
        <f t="shared" si="52"/>
        <v>null</v>
      </c>
      <c r="AD70" s="26" t="s">
        <v>0</v>
      </c>
      <c r="AE70" s="25" t="str">
        <f t="shared" si="53"/>
        <v>null</v>
      </c>
      <c r="AF70" s="26" t="s">
        <v>0</v>
      </c>
      <c r="AG70" s="47" t="s">
        <v>5489</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7478</v>
      </c>
      <c r="S71" s="10" t="s">
        <v>1</v>
      </c>
      <c r="T71" s="10" t="s">
        <v>32</v>
      </c>
      <c r="U71" s="5" t="str">
        <f t="shared" si="49"/>
        <v>Propriedade destinada a aceder: é.inclinação.máxima</v>
      </c>
      <c r="V71" s="5" t="str">
        <f t="shared" si="50"/>
        <v>Dado para aceder:  inclinação.máxima  Deve ser formatado como (xsd:double)</v>
      </c>
      <c r="W71" s="5" t="s">
        <v>5578</v>
      </c>
      <c r="X71" s="24" t="str">
        <f t="shared" si="46"/>
        <v>acede.104</v>
      </c>
      <c r="Y71" s="24" t="str">
        <f t="shared" si="42"/>
        <v>Ação aceder</v>
      </c>
      <c r="Z71" s="47" t="s">
        <v>5488</v>
      </c>
      <c r="AA71" s="25" t="str">
        <f t="shared" si="51"/>
        <v>null</v>
      </c>
      <c r="AB71" s="26" t="s">
        <v>0</v>
      </c>
      <c r="AC71" s="25" t="str">
        <f t="shared" si="52"/>
        <v>null</v>
      </c>
      <c r="AD71" s="26" t="s">
        <v>0</v>
      </c>
      <c r="AE71" s="25" t="str">
        <f t="shared" si="53"/>
        <v>null</v>
      </c>
      <c r="AF71" s="26" t="s">
        <v>0</v>
      </c>
      <c r="AG71" s="47" t="s">
        <v>5490</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5579</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5580</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5581</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5582</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5583</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5584</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5585</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5586</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5587</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5096</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5588</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5097</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5589</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7640</v>
      </c>
      <c r="X83" s="24" t="str">
        <f t="shared" si="46"/>
        <v>admin.101</v>
      </c>
      <c r="Y83" s="24" t="str">
        <f t="shared" si="42"/>
        <v>Ação administrar</v>
      </c>
      <c r="Z83" s="47" t="s">
        <v>7735</v>
      </c>
      <c r="AA83" s="25" t="str">
        <f t="shared" si="62"/>
        <v>null</v>
      </c>
      <c r="AB83" s="26" t="s">
        <v>0</v>
      </c>
      <c r="AC83" s="25" t="str">
        <f t="shared" si="63"/>
        <v>null</v>
      </c>
      <c r="AD83" s="26" t="s">
        <v>0</v>
      </c>
      <c r="AE83" s="25" t="str">
        <f t="shared" si="64"/>
        <v>null</v>
      </c>
      <c r="AF83" s="26" t="s">
        <v>0</v>
      </c>
      <c r="AG83" s="47" t="s">
        <v>5491</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7651</v>
      </c>
      <c r="X84" s="24" t="str">
        <f t="shared" si="46"/>
        <v>admin.102</v>
      </c>
      <c r="Y84" s="24" t="str">
        <f t="shared" si="42"/>
        <v>Ação administrar</v>
      </c>
      <c r="Z84" s="47" t="s">
        <v>7737</v>
      </c>
      <c r="AA84" s="25" t="str">
        <f t="shared" si="62"/>
        <v>null</v>
      </c>
      <c r="AB84" s="26" t="s">
        <v>0</v>
      </c>
      <c r="AC84" s="25" t="str">
        <f t="shared" si="63"/>
        <v>null</v>
      </c>
      <c r="AD84" s="26" t="s">
        <v>0</v>
      </c>
      <c r="AE84" s="25" t="str">
        <f t="shared" si="64"/>
        <v>null</v>
      </c>
      <c r="AF84" s="26" t="s">
        <v>0</v>
      </c>
      <c r="AG84" s="47" t="s">
        <v>5492</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7649</v>
      </c>
      <c r="X85" s="24" t="str">
        <f t="shared" si="46"/>
        <v>admin.103</v>
      </c>
      <c r="Y85" s="24" t="str">
        <f t="shared" si="42"/>
        <v>Ação administrar</v>
      </c>
      <c r="Z85" s="47" t="s">
        <v>7736</v>
      </c>
      <c r="AA85" s="25" t="str">
        <f t="shared" si="62"/>
        <v>null</v>
      </c>
      <c r="AB85" s="26" t="s">
        <v>0</v>
      </c>
      <c r="AC85" s="25" t="str">
        <f t="shared" si="63"/>
        <v>null</v>
      </c>
      <c r="AD85" s="26" t="s">
        <v>0</v>
      </c>
      <c r="AE85" s="25" t="str">
        <f t="shared" si="64"/>
        <v>null</v>
      </c>
      <c r="AF85" s="26" t="s">
        <v>0</v>
      </c>
      <c r="AG85" s="47" t="s">
        <v>5493</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7650</v>
      </c>
      <c r="X86" s="24" t="str">
        <f t="shared" si="46"/>
        <v>admin.104</v>
      </c>
      <c r="Y86" s="24" t="str">
        <f t="shared" si="42"/>
        <v>Ação administrar</v>
      </c>
      <c r="Z86" s="47" t="s">
        <v>7739</v>
      </c>
      <c r="AA86" s="25" t="str">
        <f t="shared" si="62"/>
        <v>null</v>
      </c>
      <c r="AB86" s="26" t="s">
        <v>0</v>
      </c>
      <c r="AC86" s="25" t="str">
        <f t="shared" si="63"/>
        <v>null</v>
      </c>
      <c r="AD86" s="26" t="s">
        <v>0</v>
      </c>
      <c r="AE86" s="25" t="str">
        <f t="shared" si="64"/>
        <v>null</v>
      </c>
      <c r="AF86" s="26" t="s">
        <v>0</v>
      </c>
      <c r="AG86" s="47" t="s">
        <v>5494</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7648</v>
      </c>
      <c r="X87" s="24" t="str">
        <f t="shared" si="46"/>
        <v>admin.105</v>
      </c>
      <c r="Y87" s="24" t="str">
        <f t="shared" si="42"/>
        <v>Ação administrar</v>
      </c>
      <c r="Z87" s="47" t="s">
        <v>7738</v>
      </c>
      <c r="AA87" s="25" t="str">
        <f t="shared" si="62"/>
        <v>null</v>
      </c>
      <c r="AB87" s="26" t="s">
        <v>0</v>
      </c>
      <c r="AC87" s="25" t="str">
        <f t="shared" si="63"/>
        <v>null</v>
      </c>
      <c r="AD87" s="26" t="s">
        <v>0</v>
      </c>
      <c r="AE87" s="25" t="str">
        <f t="shared" si="64"/>
        <v>null</v>
      </c>
      <c r="AF87" s="26" t="s">
        <v>0</v>
      </c>
      <c r="AG87" s="47" t="s">
        <v>5502</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7647</v>
      </c>
      <c r="X88" s="24" t="str">
        <f t="shared" si="46"/>
        <v>admin.106</v>
      </c>
      <c r="Y88" s="24" t="str">
        <f t="shared" si="42"/>
        <v>Ação administrar</v>
      </c>
      <c r="Z88" s="47" t="s">
        <v>7740</v>
      </c>
      <c r="AA88" s="25" t="str">
        <f t="shared" si="62"/>
        <v>null</v>
      </c>
      <c r="AB88" s="26" t="s">
        <v>0</v>
      </c>
      <c r="AC88" s="25" t="str">
        <f t="shared" si="63"/>
        <v>null</v>
      </c>
      <c r="AD88" s="26" t="s">
        <v>0</v>
      </c>
      <c r="AE88" s="25" t="str">
        <f t="shared" si="64"/>
        <v>null</v>
      </c>
      <c r="AF88" s="26" t="s">
        <v>0</v>
      </c>
      <c r="AG88" s="47" t="s">
        <v>5501</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7646</v>
      </c>
      <c r="X89" s="24" t="str">
        <f t="shared" si="46"/>
        <v>admin.107</v>
      </c>
      <c r="Y89" s="24" t="str">
        <f t="shared" si="42"/>
        <v>Ação administrar</v>
      </c>
      <c r="Z89" s="47" t="s">
        <v>7741</v>
      </c>
      <c r="AA89" s="25" t="str">
        <f t="shared" si="62"/>
        <v>null</v>
      </c>
      <c r="AB89" s="26" t="s">
        <v>0</v>
      </c>
      <c r="AC89" s="25" t="str">
        <f t="shared" si="63"/>
        <v>null</v>
      </c>
      <c r="AD89" s="26" t="s">
        <v>0</v>
      </c>
      <c r="AE89" s="25" t="str">
        <f t="shared" si="64"/>
        <v>null</v>
      </c>
      <c r="AF89" s="26" t="s">
        <v>0</v>
      </c>
      <c r="AG89" s="47" t="s">
        <v>5500</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7645</v>
      </c>
      <c r="X90" s="24" t="str">
        <f t="shared" si="46"/>
        <v>admin.108</v>
      </c>
      <c r="Y90" s="24" t="str">
        <f t="shared" si="42"/>
        <v>Ação administrar</v>
      </c>
      <c r="Z90" s="47" t="s">
        <v>7742</v>
      </c>
      <c r="AA90" s="25" t="str">
        <f t="shared" si="62"/>
        <v>null</v>
      </c>
      <c r="AB90" s="26" t="s">
        <v>0</v>
      </c>
      <c r="AC90" s="25" t="str">
        <f t="shared" si="63"/>
        <v>null</v>
      </c>
      <c r="AD90" s="26" t="s">
        <v>0</v>
      </c>
      <c r="AE90" s="25" t="str">
        <f t="shared" si="64"/>
        <v>null</v>
      </c>
      <c r="AF90" s="26" t="s">
        <v>0</v>
      </c>
      <c r="AG90" s="47" t="s">
        <v>5499</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7644</v>
      </c>
      <c r="X91" s="24" t="str">
        <f t="shared" si="46"/>
        <v>admin.109</v>
      </c>
      <c r="Y91" s="24" t="str">
        <f t="shared" si="42"/>
        <v>Ação administrar</v>
      </c>
      <c r="Z91" s="47" t="s">
        <v>7743</v>
      </c>
      <c r="AA91" s="25" t="str">
        <f t="shared" si="62"/>
        <v>null</v>
      </c>
      <c r="AB91" s="26" t="s">
        <v>0</v>
      </c>
      <c r="AC91" s="25" t="str">
        <f t="shared" si="63"/>
        <v>null</v>
      </c>
      <c r="AD91" s="26" t="s">
        <v>0</v>
      </c>
      <c r="AE91" s="25" t="str">
        <f t="shared" si="64"/>
        <v>null</v>
      </c>
      <c r="AF91" s="26" t="s">
        <v>0</v>
      </c>
      <c r="AG91" s="47" t="s">
        <v>5498</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7643</v>
      </c>
      <c r="X92" s="24" t="str">
        <f t="shared" si="46"/>
        <v>admin.110</v>
      </c>
      <c r="Y92" s="24" t="str">
        <f t="shared" si="42"/>
        <v>Ação administrar</v>
      </c>
      <c r="Z92" s="47" t="s">
        <v>7744</v>
      </c>
      <c r="AA92" s="25" t="str">
        <f t="shared" si="62"/>
        <v>null</v>
      </c>
      <c r="AB92" s="26" t="s">
        <v>0</v>
      </c>
      <c r="AC92" s="25" t="str">
        <f t="shared" si="63"/>
        <v>null</v>
      </c>
      <c r="AD92" s="26" t="s">
        <v>0</v>
      </c>
      <c r="AE92" s="25" t="str">
        <f t="shared" si="64"/>
        <v>null</v>
      </c>
      <c r="AF92" s="26" t="s">
        <v>0</v>
      </c>
      <c r="AG92" s="47" t="s">
        <v>5497</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7642</v>
      </c>
      <c r="X93" s="24" t="str">
        <f t="shared" si="46"/>
        <v>admin.111</v>
      </c>
      <c r="Y93" s="24" t="str">
        <f t="shared" si="42"/>
        <v>Ação administrar</v>
      </c>
      <c r="Z93" s="47" t="s">
        <v>7745</v>
      </c>
      <c r="AA93" s="25" t="str">
        <f t="shared" si="62"/>
        <v>null</v>
      </c>
      <c r="AB93" s="26" t="s">
        <v>0</v>
      </c>
      <c r="AC93" s="25" t="str">
        <f t="shared" si="63"/>
        <v>null</v>
      </c>
      <c r="AD93" s="26" t="s">
        <v>0</v>
      </c>
      <c r="AE93" s="25" t="str">
        <f t="shared" si="64"/>
        <v>null</v>
      </c>
      <c r="AF93" s="26" t="s">
        <v>0</v>
      </c>
      <c r="AG93" s="47" t="s">
        <v>5496</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7641</v>
      </c>
      <c r="X94" s="24" t="str">
        <f t="shared" si="46"/>
        <v>admin.112</v>
      </c>
      <c r="Y94" s="24" t="str">
        <f t="shared" si="42"/>
        <v>Ação administrar</v>
      </c>
      <c r="Z94" s="47" t="s">
        <v>7746</v>
      </c>
      <c r="AA94" s="25" t="str">
        <f t="shared" si="62"/>
        <v>null</v>
      </c>
      <c r="AB94" s="26" t="s">
        <v>0</v>
      </c>
      <c r="AC94" s="25" t="str">
        <f t="shared" si="63"/>
        <v>null</v>
      </c>
      <c r="AD94" s="26" t="s">
        <v>0</v>
      </c>
      <c r="AE94" s="25" t="str">
        <f t="shared" si="64"/>
        <v>null</v>
      </c>
      <c r="AF94" s="26" t="s">
        <v>0</v>
      </c>
      <c r="AG94" s="47" t="s">
        <v>5495</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5590</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5591</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5592</v>
      </c>
      <c r="X97" s="24" t="str">
        <f t="shared" si="46"/>
        <v>admin.115</v>
      </c>
      <c r="Y97" s="24" t="str">
        <f t="shared" si="42"/>
        <v>Ação administrar</v>
      </c>
      <c r="Z97" s="47" t="s">
        <v>7747</v>
      </c>
      <c r="AA97" s="25" t="str">
        <f t="shared" si="62"/>
        <v>null</v>
      </c>
      <c r="AB97" s="26" t="s">
        <v>0</v>
      </c>
      <c r="AC97" s="25" t="str">
        <f t="shared" si="63"/>
        <v>null</v>
      </c>
      <c r="AD97" s="26" t="s">
        <v>0</v>
      </c>
      <c r="AE97" s="25" t="str">
        <f t="shared" si="64"/>
        <v>null</v>
      </c>
      <c r="AF97" s="26" t="s">
        <v>0</v>
      </c>
      <c r="AG97" s="47" t="s">
        <v>5503</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5593</v>
      </c>
      <c r="X98" s="24" t="str">
        <f t="shared" si="46"/>
        <v>admin.116</v>
      </c>
      <c r="Y98" s="24" t="str">
        <f t="shared" si="42"/>
        <v>Ação administrar</v>
      </c>
      <c r="Z98" s="47" t="s">
        <v>7748</v>
      </c>
      <c r="AA98" s="25" t="str">
        <f t="shared" si="62"/>
        <v>null</v>
      </c>
      <c r="AB98" s="26" t="s">
        <v>0</v>
      </c>
      <c r="AC98" s="25" t="str">
        <f t="shared" si="63"/>
        <v>null</v>
      </c>
      <c r="AD98" s="26" t="s">
        <v>0</v>
      </c>
      <c r="AE98" s="25" t="str">
        <f t="shared" si="64"/>
        <v>null</v>
      </c>
      <c r="AF98" s="26" t="s">
        <v>0</v>
      </c>
      <c r="AG98" s="47" t="s">
        <v>5504</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5594</v>
      </c>
      <c r="X99" s="24" t="str">
        <f t="shared" si="46"/>
        <v>admin.117</v>
      </c>
      <c r="Y99" s="24" t="str">
        <f t="shared" si="42"/>
        <v>Ação administrar</v>
      </c>
      <c r="Z99" s="47" t="s">
        <v>7749</v>
      </c>
      <c r="AA99" s="25" t="str">
        <f t="shared" si="62"/>
        <v>null</v>
      </c>
      <c r="AB99" s="26" t="s">
        <v>0</v>
      </c>
      <c r="AC99" s="25" t="str">
        <f t="shared" si="63"/>
        <v>null</v>
      </c>
      <c r="AD99" s="26" t="s">
        <v>0</v>
      </c>
      <c r="AE99" s="25" t="str">
        <f t="shared" si="64"/>
        <v>null</v>
      </c>
      <c r="AF99" s="26" t="s">
        <v>0</v>
      </c>
      <c r="AG99" s="47" t="s">
        <v>5505</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5595</v>
      </c>
      <c r="X100" s="24" t="str">
        <f t="shared" si="46"/>
        <v>admin.118</v>
      </c>
      <c r="Y100" s="24" t="str">
        <f t="shared" si="42"/>
        <v>Ação administrar</v>
      </c>
      <c r="Z100" s="47" t="s">
        <v>7750</v>
      </c>
      <c r="AA100" s="25" t="str">
        <f t="shared" si="62"/>
        <v>null</v>
      </c>
      <c r="AB100" s="26" t="s">
        <v>0</v>
      </c>
      <c r="AC100" s="25" t="str">
        <f t="shared" si="63"/>
        <v>null</v>
      </c>
      <c r="AD100" s="26" t="s">
        <v>0</v>
      </c>
      <c r="AE100" s="25" t="str">
        <f t="shared" si="64"/>
        <v>null</v>
      </c>
      <c r="AF100" s="26" t="s">
        <v>0</v>
      </c>
      <c r="AG100" s="47" t="s">
        <v>5506</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5596</v>
      </c>
      <c r="X101" s="24" t="str">
        <f t="shared" si="46"/>
        <v>admin.119</v>
      </c>
      <c r="Y101" s="24" t="str">
        <f t="shared" si="42"/>
        <v>Ação administrar</v>
      </c>
      <c r="Z101" s="47" t="s">
        <v>7751</v>
      </c>
      <c r="AA101" s="25" t="str">
        <f t="shared" si="62"/>
        <v>null</v>
      </c>
      <c r="AB101" s="26" t="s">
        <v>0</v>
      </c>
      <c r="AC101" s="25" t="str">
        <f t="shared" si="63"/>
        <v>null</v>
      </c>
      <c r="AD101" s="26" t="s">
        <v>0</v>
      </c>
      <c r="AE101" s="25" t="str">
        <f t="shared" si="64"/>
        <v>null</v>
      </c>
      <c r="AF101" s="26" t="s">
        <v>0</v>
      </c>
      <c r="AG101" s="47" t="s">
        <v>5507</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5597</v>
      </c>
      <c r="X102" s="24" t="str">
        <f t="shared" si="46"/>
        <v>admin.120</v>
      </c>
      <c r="Y102" s="24" t="str">
        <f t="shared" si="42"/>
        <v>Ação administrar</v>
      </c>
      <c r="Z102" s="47" t="s">
        <v>7752</v>
      </c>
      <c r="AA102" s="25" t="str">
        <f t="shared" si="62"/>
        <v>null</v>
      </c>
      <c r="AB102" s="26" t="s">
        <v>0</v>
      </c>
      <c r="AC102" s="25" t="str">
        <f t="shared" si="63"/>
        <v>null</v>
      </c>
      <c r="AD102" s="26" t="s">
        <v>0</v>
      </c>
      <c r="AE102" s="25" t="str">
        <f t="shared" si="64"/>
        <v>null</v>
      </c>
      <c r="AF102" s="26" t="s">
        <v>0</v>
      </c>
      <c r="AG102" s="47" t="s">
        <v>5508</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5598</v>
      </c>
      <c r="X103" s="24" t="str">
        <f t="shared" si="46"/>
        <v>admin.121</v>
      </c>
      <c r="Y103" s="24" t="str">
        <f t="shared" si="42"/>
        <v>Ação administrar</v>
      </c>
      <c r="Z103" s="47" t="s">
        <v>7753</v>
      </c>
      <c r="AA103" s="25" t="str">
        <f t="shared" si="62"/>
        <v>null</v>
      </c>
      <c r="AB103" s="26" t="s">
        <v>0</v>
      </c>
      <c r="AC103" s="25" t="str">
        <f t="shared" si="63"/>
        <v>null</v>
      </c>
      <c r="AD103" s="26" t="s">
        <v>0</v>
      </c>
      <c r="AE103" s="25" t="str">
        <f t="shared" si="64"/>
        <v>null</v>
      </c>
      <c r="AF103" s="26" t="s">
        <v>0</v>
      </c>
      <c r="AG103" s="47" t="s">
        <v>5509</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7652</v>
      </c>
      <c r="X104" s="24" t="str">
        <f t="shared" si="46"/>
        <v>admin.122</v>
      </c>
      <c r="Y104" s="24" t="str">
        <f t="shared" si="42"/>
        <v>Ação administrar</v>
      </c>
      <c r="Z104" s="47" t="s">
        <v>7761</v>
      </c>
      <c r="AA104" s="25" t="str">
        <f t="shared" si="62"/>
        <v>null</v>
      </c>
      <c r="AB104" s="26" t="s">
        <v>0</v>
      </c>
      <c r="AC104" s="25" t="str">
        <f t="shared" si="63"/>
        <v>null</v>
      </c>
      <c r="AD104" s="26" t="s">
        <v>0</v>
      </c>
      <c r="AE104" s="25" t="str">
        <f t="shared" si="64"/>
        <v>null</v>
      </c>
      <c r="AF104" s="26" t="s">
        <v>0</v>
      </c>
      <c r="AG104" s="47" t="s">
        <v>5510</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7653</v>
      </c>
      <c r="X105" s="24" t="str">
        <f t="shared" si="46"/>
        <v>admin.123</v>
      </c>
      <c r="Y105" s="24" t="str">
        <f t="shared" si="42"/>
        <v>Ação administrar</v>
      </c>
      <c r="Z105" s="47" t="s">
        <v>7760</v>
      </c>
      <c r="AA105" s="25" t="str">
        <f t="shared" si="62"/>
        <v>null</v>
      </c>
      <c r="AB105" s="26" t="s">
        <v>0</v>
      </c>
      <c r="AC105" s="25" t="str">
        <f t="shared" si="63"/>
        <v>null</v>
      </c>
      <c r="AD105" s="26" t="s">
        <v>0</v>
      </c>
      <c r="AE105" s="25" t="str">
        <f t="shared" si="64"/>
        <v>null</v>
      </c>
      <c r="AF105" s="26" t="s">
        <v>0</v>
      </c>
      <c r="AG105" s="47" t="s">
        <v>5511</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7654</v>
      </c>
      <c r="X106" s="24" t="str">
        <f t="shared" si="46"/>
        <v>admin.124</v>
      </c>
      <c r="Y106" s="24" t="str">
        <f t="shared" si="42"/>
        <v>Ação administrar</v>
      </c>
      <c r="Z106" s="47" t="s">
        <v>7759</v>
      </c>
      <c r="AA106" s="25" t="str">
        <f t="shared" si="62"/>
        <v>null</v>
      </c>
      <c r="AB106" s="26" t="s">
        <v>0</v>
      </c>
      <c r="AC106" s="25" t="str">
        <f t="shared" si="63"/>
        <v>null</v>
      </c>
      <c r="AD106" s="26" t="s">
        <v>0</v>
      </c>
      <c r="AE106" s="25" t="str">
        <f t="shared" si="64"/>
        <v>null</v>
      </c>
      <c r="AF106" s="26" t="s">
        <v>0</v>
      </c>
      <c r="AG106" s="47" t="s">
        <v>5512</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7655</v>
      </c>
      <c r="X107" s="24" t="str">
        <f t="shared" si="46"/>
        <v>admin.125</v>
      </c>
      <c r="Y107" s="24" t="str">
        <f t="shared" si="42"/>
        <v>Ação administrar</v>
      </c>
      <c r="Z107" s="47" t="s">
        <v>7758</v>
      </c>
      <c r="AA107" s="25" t="str">
        <f t="shared" si="62"/>
        <v>null</v>
      </c>
      <c r="AB107" s="26" t="s">
        <v>0</v>
      </c>
      <c r="AC107" s="25" t="str">
        <f t="shared" si="63"/>
        <v>null</v>
      </c>
      <c r="AD107" s="26" t="s">
        <v>0</v>
      </c>
      <c r="AE107" s="25" t="str">
        <f t="shared" si="64"/>
        <v>null</v>
      </c>
      <c r="AF107" s="26" t="s">
        <v>0</v>
      </c>
      <c r="AG107" s="47" t="s">
        <v>5513</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7656</v>
      </c>
      <c r="X108" s="24" t="str">
        <f t="shared" si="46"/>
        <v>admin.126</v>
      </c>
      <c r="Y108" s="24" t="str">
        <f t="shared" si="42"/>
        <v>Ação administrar</v>
      </c>
      <c r="Z108" s="47" t="s">
        <v>7757</v>
      </c>
      <c r="AA108" s="25" t="str">
        <f t="shared" si="62"/>
        <v>null</v>
      </c>
      <c r="AB108" s="26" t="s">
        <v>0</v>
      </c>
      <c r="AC108" s="25" t="str">
        <f t="shared" si="63"/>
        <v>null</v>
      </c>
      <c r="AD108" s="26" t="s">
        <v>0</v>
      </c>
      <c r="AE108" s="25" t="str">
        <f t="shared" si="64"/>
        <v>null</v>
      </c>
      <c r="AF108" s="26" t="s">
        <v>0</v>
      </c>
      <c r="AG108" s="47" t="s">
        <v>5514</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7657</v>
      </c>
      <c r="X109" s="24" t="str">
        <f t="shared" si="46"/>
        <v>admin.127</v>
      </c>
      <c r="Y109" s="24" t="str">
        <f t="shared" si="42"/>
        <v>Ação administrar</v>
      </c>
      <c r="Z109" s="47" t="s">
        <v>7756</v>
      </c>
      <c r="AA109" s="25" t="str">
        <f t="shared" si="62"/>
        <v>null</v>
      </c>
      <c r="AB109" s="26" t="s">
        <v>0</v>
      </c>
      <c r="AC109" s="25" t="str">
        <f t="shared" si="63"/>
        <v>null</v>
      </c>
      <c r="AD109" s="26" t="s">
        <v>0</v>
      </c>
      <c r="AE109" s="25" t="str">
        <f t="shared" si="64"/>
        <v>null</v>
      </c>
      <c r="AF109" s="26" t="s">
        <v>0</v>
      </c>
      <c r="AG109" s="47" t="s">
        <v>5515</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7658</v>
      </c>
      <c r="X110" s="24" t="str">
        <f t="shared" si="46"/>
        <v>admin.128</v>
      </c>
      <c r="Y110" s="24" t="str">
        <f t="shared" si="42"/>
        <v>Ação administrar</v>
      </c>
      <c r="Z110" s="47" t="s">
        <v>7755</v>
      </c>
      <c r="AA110" s="25" t="str">
        <f t="shared" si="62"/>
        <v>null</v>
      </c>
      <c r="AB110" s="26" t="s">
        <v>0</v>
      </c>
      <c r="AC110" s="25" t="str">
        <f t="shared" si="63"/>
        <v>null</v>
      </c>
      <c r="AD110" s="26" t="s">
        <v>0</v>
      </c>
      <c r="AE110" s="25" t="str">
        <f t="shared" si="64"/>
        <v>null</v>
      </c>
      <c r="AF110" s="26" t="s">
        <v>0</v>
      </c>
      <c r="AG110" s="47" t="s">
        <v>5516</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5599</v>
      </c>
      <c r="X111" s="24" t="str">
        <f t="shared" si="46"/>
        <v>afirm.100</v>
      </c>
      <c r="Y111" s="24" t="str">
        <f t="shared" si="42"/>
        <v>Ação afirmar</v>
      </c>
      <c r="Z111" s="47" t="s">
        <v>7754</v>
      </c>
      <c r="AA111" s="25" t="str">
        <f>IF(AB111="null", "null", "categoria.revit")</f>
        <v>null</v>
      </c>
      <c r="AB111" s="26" t="s">
        <v>0</v>
      </c>
      <c r="AC111" s="25" t="str">
        <f>IF(AD111="null", "null", "classe.ifc")</f>
        <v>null</v>
      </c>
      <c r="AD111" s="26" t="s">
        <v>0</v>
      </c>
      <c r="AE111" s="25" t="str">
        <f>IF(AF111="null", "null", "propiedade")</f>
        <v>null</v>
      </c>
      <c r="AF111" s="26" t="s">
        <v>0</v>
      </c>
      <c r="AG111" s="47" t="s">
        <v>5216</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5600</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5601</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5602</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5603</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5604</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4852</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5605</v>
      </c>
      <c r="X117" s="24" t="str">
        <f t="shared" si="46"/>
        <v>alinh.100</v>
      </c>
      <c r="Y117" s="24" t="str">
        <f t="shared" si="42"/>
        <v>Ação alinhar</v>
      </c>
      <c r="Z117" s="47" t="s">
        <v>4377</v>
      </c>
      <c r="AA117" s="25" t="str">
        <f t="shared" si="62"/>
        <v>null</v>
      </c>
      <c r="AB117" s="26" t="s">
        <v>0</v>
      </c>
      <c r="AC117" s="25" t="str">
        <f t="shared" si="63"/>
        <v>null</v>
      </c>
      <c r="AD117" s="26" t="s">
        <v>0</v>
      </c>
      <c r="AE117" s="25" t="str">
        <f t="shared" si="64"/>
        <v>null</v>
      </c>
      <c r="AF117" s="26" t="s">
        <v>0</v>
      </c>
      <c r="AG117" s="47" t="s">
        <v>4437</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4853</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5606</v>
      </c>
      <c r="X118" s="24" t="str">
        <f t="shared" si="46"/>
        <v>alinh.101</v>
      </c>
      <c r="Y118" s="24" t="str">
        <f t="shared" si="42"/>
        <v>Ação alinhar</v>
      </c>
      <c r="Z118" s="47" t="s">
        <v>4378</v>
      </c>
      <c r="AA118" s="25" t="str">
        <f t="shared" si="62"/>
        <v>null</v>
      </c>
      <c r="AB118" s="26" t="s">
        <v>0</v>
      </c>
      <c r="AC118" s="25" t="str">
        <f t="shared" si="63"/>
        <v>null</v>
      </c>
      <c r="AD118" s="26" t="s">
        <v>0</v>
      </c>
      <c r="AE118" s="25" t="str">
        <f t="shared" si="64"/>
        <v>null</v>
      </c>
      <c r="AF118" s="26" t="s">
        <v>0</v>
      </c>
      <c r="AG118" s="47" t="s">
        <v>4438</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4854</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5607</v>
      </c>
      <c r="X119" s="24" t="str">
        <f t="shared" si="46"/>
        <v>alinh.102</v>
      </c>
      <c r="Y119" s="24" t="str">
        <f t="shared" si="42"/>
        <v>Ação alinhar</v>
      </c>
      <c r="Z119" s="47" t="s">
        <v>4379</v>
      </c>
      <c r="AA119" s="25" t="str">
        <f t="shared" si="62"/>
        <v>null</v>
      </c>
      <c r="AB119" s="26" t="s">
        <v>0</v>
      </c>
      <c r="AC119" s="25" t="str">
        <f t="shared" si="63"/>
        <v>null</v>
      </c>
      <c r="AD119" s="26" t="s">
        <v>0</v>
      </c>
      <c r="AE119" s="25" t="str">
        <f t="shared" si="64"/>
        <v>null</v>
      </c>
      <c r="AF119" s="26" t="s">
        <v>0</v>
      </c>
      <c r="AG119" s="47" t="s">
        <v>4439</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4855</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5608</v>
      </c>
      <c r="X120" s="24" t="str">
        <f t="shared" si="46"/>
        <v>alinh.103</v>
      </c>
      <c r="Y120" s="24" t="str">
        <f t="shared" si="42"/>
        <v>Ação alinhar</v>
      </c>
      <c r="Z120" s="47" t="s">
        <v>4380</v>
      </c>
      <c r="AA120" s="25" t="str">
        <f t="shared" si="62"/>
        <v>null</v>
      </c>
      <c r="AB120" s="26" t="s">
        <v>0</v>
      </c>
      <c r="AC120" s="25" t="str">
        <f t="shared" si="63"/>
        <v>null</v>
      </c>
      <c r="AD120" s="26" t="s">
        <v>0</v>
      </c>
      <c r="AE120" s="25" t="str">
        <f t="shared" si="64"/>
        <v>null</v>
      </c>
      <c r="AF120" s="26" t="s">
        <v>0</v>
      </c>
      <c r="AG120" s="47" t="s">
        <v>4440</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4856</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5609</v>
      </c>
      <c r="X121" s="24" t="str">
        <f t="shared" si="46"/>
        <v>alinh.104</v>
      </c>
      <c r="Y121" s="24" t="str">
        <f t="shared" si="42"/>
        <v>Ação alinhar</v>
      </c>
      <c r="Z121" s="47" t="s">
        <v>4381</v>
      </c>
      <c r="AA121" s="25" t="str">
        <f t="shared" si="62"/>
        <v>null</v>
      </c>
      <c r="AB121" s="26" t="s">
        <v>0</v>
      </c>
      <c r="AC121" s="25" t="str">
        <f t="shared" si="63"/>
        <v>null</v>
      </c>
      <c r="AD121" s="26" t="s">
        <v>0</v>
      </c>
      <c r="AE121" s="25" t="str">
        <f t="shared" si="64"/>
        <v>null</v>
      </c>
      <c r="AF121" s="26" t="s">
        <v>0</v>
      </c>
      <c r="AG121" s="47" t="s">
        <v>4441</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4857</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5610</v>
      </c>
      <c r="X122" s="24" t="str">
        <f t="shared" si="46"/>
        <v>alinh.105</v>
      </c>
      <c r="Y122" s="24" t="str">
        <f t="shared" si="42"/>
        <v>Ação alinhar</v>
      </c>
      <c r="Z122" s="47" t="s">
        <v>4382</v>
      </c>
      <c r="AA122" s="25" t="str">
        <f t="shared" si="62"/>
        <v>null</v>
      </c>
      <c r="AB122" s="26" t="s">
        <v>0</v>
      </c>
      <c r="AC122" s="25" t="str">
        <f t="shared" si="63"/>
        <v>null</v>
      </c>
      <c r="AD122" s="26" t="s">
        <v>0</v>
      </c>
      <c r="AE122" s="25" t="str">
        <f t="shared" si="64"/>
        <v>null</v>
      </c>
      <c r="AF122" s="26" t="s">
        <v>0</v>
      </c>
      <c r="AG122" s="47" t="s">
        <v>4442</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4858</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5611</v>
      </c>
      <c r="X123" s="24" t="str">
        <f t="shared" si="46"/>
        <v>alinh.106</v>
      </c>
      <c r="Y123" s="24" t="str">
        <f t="shared" si="42"/>
        <v>Ação alinhar</v>
      </c>
      <c r="Z123" s="47" t="s">
        <v>4383</v>
      </c>
      <c r="AA123" s="25" t="str">
        <f t="shared" si="62"/>
        <v>null</v>
      </c>
      <c r="AB123" s="26" t="s">
        <v>0</v>
      </c>
      <c r="AC123" s="25" t="str">
        <f t="shared" si="63"/>
        <v>null</v>
      </c>
      <c r="AD123" s="26" t="s">
        <v>0</v>
      </c>
      <c r="AE123" s="25" t="str">
        <f t="shared" si="64"/>
        <v>null</v>
      </c>
      <c r="AF123" s="26" t="s">
        <v>0</v>
      </c>
      <c r="AG123" s="47" t="s">
        <v>4443</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4859</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5612</v>
      </c>
      <c r="X124" s="24" t="str">
        <f t="shared" si="46"/>
        <v>alinh.107</v>
      </c>
      <c r="Y124" s="24" t="str">
        <f t="shared" si="42"/>
        <v>Ação alinhar</v>
      </c>
      <c r="Z124" s="47" t="s">
        <v>4384</v>
      </c>
      <c r="AA124" s="25" t="str">
        <f t="shared" si="62"/>
        <v>null</v>
      </c>
      <c r="AB124" s="26" t="s">
        <v>0</v>
      </c>
      <c r="AC124" s="25" t="str">
        <f t="shared" si="63"/>
        <v>null</v>
      </c>
      <c r="AD124" s="26" t="s">
        <v>0</v>
      </c>
      <c r="AE124" s="25" t="str">
        <f t="shared" si="64"/>
        <v>null</v>
      </c>
      <c r="AF124" s="26" t="s">
        <v>0</v>
      </c>
      <c r="AG124" s="47" t="s">
        <v>4444</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5613</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5098</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5614</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5615</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5099</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5616</v>
      </c>
      <c r="X128" s="24" t="str">
        <f t="shared" si="46"/>
        <v>aplic.103</v>
      </c>
      <c r="Y128" s="24" t="str">
        <f t="shared" si="42"/>
        <v>Ação aplicar</v>
      </c>
      <c r="Z128" s="47" t="s">
        <v>5033</v>
      </c>
      <c r="AA128" s="25" t="str">
        <f t="shared" si="62"/>
        <v>null</v>
      </c>
      <c r="AB128" s="26" t="s">
        <v>0</v>
      </c>
      <c r="AC128" s="25" t="str">
        <f t="shared" si="63"/>
        <v>null</v>
      </c>
      <c r="AD128" s="26" t="s">
        <v>0</v>
      </c>
      <c r="AE128" s="25" t="str">
        <f t="shared" si="64"/>
        <v>null</v>
      </c>
      <c r="AF128" s="26" t="s">
        <v>0</v>
      </c>
      <c r="AG128" s="47" t="s">
        <v>5100</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5617</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5618</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5619</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5620</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5621</v>
      </c>
      <c r="X133" s="24" t="str">
        <f t="shared" si="89"/>
        <v>aplic.108</v>
      </c>
      <c r="Y133" s="24" t="str">
        <f t="shared" si="86"/>
        <v>Ação aplicar</v>
      </c>
      <c r="Z133" s="47" t="s">
        <v>7762</v>
      </c>
      <c r="AA133" s="25" t="str">
        <f t="shared" si="90"/>
        <v>null</v>
      </c>
      <c r="AB133" s="26" t="s">
        <v>0</v>
      </c>
      <c r="AC133" s="25" t="str">
        <f t="shared" si="91"/>
        <v>null</v>
      </c>
      <c r="AD133" s="26" t="s">
        <v>0</v>
      </c>
      <c r="AE133" s="25" t="str">
        <f t="shared" si="87"/>
        <v>null</v>
      </c>
      <c r="AF133" s="26" t="s">
        <v>0</v>
      </c>
      <c r="AG133" s="47" t="s">
        <v>5217</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5622</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5623</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5624</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5625</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5626</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5627</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4519</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5628</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5101</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5629</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5102</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5630</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5103</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5631</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5104</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5632</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5105</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5633</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5106</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5634</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5107</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5635</v>
      </c>
      <c r="X147" s="24" t="str">
        <f t="shared" si="89"/>
        <v>arbor.107</v>
      </c>
      <c r="Y147" s="24" t="str">
        <f t="shared" si="86"/>
        <v>Ação arborizar</v>
      </c>
      <c r="Z147" s="47" t="s">
        <v>5034</v>
      </c>
      <c r="AA147" s="25" t="str">
        <f t="shared" si="90"/>
        <v>categoria.revit</v>
      </c>
      <c r="AB147" s="26" t="s">
        <v>3926</v>
      </c>
      <c r="AC147" s="25" t="str">
        <f t="shared" si="91"/>
        <v>classe.ifc</v>
      </c>
      <c r="AD147" s="26" t="s">
        <v>3889</v>
      </c>
      <c r="AE147" s="25" t="str">
        <f t="shared" si="87"/>
        <v>null</v>
      </c>
      <c r="AF147" s="26" t="s">
        <v>0</v>
      </c>
      <c r="AG147" s="47" t="s">
        <v>5218</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5636</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5637</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5638</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5639</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5108</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5640</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7445</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5641</v>
      </c>
      <c r="X153" s="24" t="str">
        <f t="shared" si="89"/>
        <v>arbor.113</v>
      </c>
      <c r="Y153" s="24" t="str">
        <f t="shared" si="86"/>
        <v>Ação arborizar</v>
      </c>
      <c r="Z153" s="47" t="s">
        <v>7764</v>
      </c>
      <c r="AA153" s="25" t="str">
        <f t="shared" si="90"/>
        <v>null</v>
      </c>
      <c r="AB153" s="26" t="s">
        <v>0</v>
      </c>
      <c r="AC153" s="25" t="str">
        <f t="shared" si="91"/>
        <v>null</v>
      </c>
      <c r="AD153" s="26" t="s">
        <v>0</v>
      </c>
      <c r="AE153" s="25" t="str">
        <f t="shared" si="87"/>
        <v>null</v>
      </c>
      <c r="AF153" s="26" t="s">
        <v>0</v>
      </c>
      <c r="AG153" s="47" t="s">
        <v>7446</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5642</v>
      </c>
      <c r="X154" s="24" t="str">
        <f t="shared" si="89"/>
        <v>arbor.114</v>
      </c>
      <c r="Y154" s="24" t="str">
        <f t="shared" si="86"/>
        <v>Ação arborizar</v>
      </c>
      <c r="Z154" s="47" t="s">
        <v>7763</v>
      </c>
      <c r="AA154" s="25" t="str">
        <f t="shared" si="90"/>
        <v>null</v>
      </c>
      <c r="AB154" s="26" t="s">
        <v>0</v>
      </c>
      <c r="AC154" s="25" t="str">
        <f t="shared" si="91"/>
        <v>null</v>
      </c>
      <c r="AD154" s="26" t="s">
        <v>0</v>
      </c>
      <c r="AE154" s="25" t="str">
        <f t="shared" si="87"/>
        <v>null</v>
      </c>
      <c r="AF154" s="26" t="s">
        <v>0</v>
      </c>
      <c r="AG154" s="47" t="s">
        <v>7447</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5643</v>
      </c>
      <c r="X155" s="24" t="str">
        <f t="shared" si="89"/>
        <v>arbor.115</v>
      </c>
      <c r="Y155" s="24" t="str">
        <f t="shared" si="86"/>
        <v>Ação arborizar</v>
      </c>
      <c r="Z155" s="47" t="s">
        <v>7765</v>
      </c>
      <c r="AA155" s="25" t="str">
        <f t="shared" si="90"/>
        <v>null</v>
      </c>
      <c r="AB155" s="26" t="s">
        <v>0</v>
      </c>
      <c r="AC155" s="25" t="str">
        <f t="shared" si="91"/>
        <v>null</v>
      </c>
      <c r="AD155" s="26" t="s">
        <v>0</v>
      </c>
      <c r="AE155" s="25" t="str">
        <f t="shared" si="87"/>
        <v>null</v>
      </c>
      <c r="AF155" s="26" t="s">
        <v>0</v>
      </c>
      <c r="AG155" s="47" t="s">
        <v>7448</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5644</v>
      </c>
      <c r="X156" s="24" t="str">
        <f t="shared" si="89"/>
        <v>arbor.116</v>
      </c>
      <c r="Y156" s="24" t="str">
        <f t="shared" si="86"/>
        <v>Ação arborizar</v>
      </c>
      <c r="Z156" s="47" t="s">
        <v>7766</v>
      </c>
      <c r="AA156" s="25" t="str">
        <f t="shared" si="90"/>
        <v>null</v>
      </c>
      <c r="AB156" s="26" t="s">
        <v>0</v>
      </c>
      <c r="AC156" s="25" t="str">
        <f t="shared" si="91"/>
        <v>null</v>
      </c>
      <c r="AD156" s="26" t="s">
        <v>0</v>
      </c>
      <c r="AE156" s="25" t="str">
        <f t="shared" si="87"/>
        <v>null</v>
      </c>
      <c r="AF156" s="26" t="s">
        <v>0</v>
      </c>
      <c r="AG156" s="47" t="s">
        <v>7449</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5645</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5109</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5646</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5647</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5110</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5648</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5649</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5454</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5650</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5455</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5651</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5456</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5652</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5653</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5654</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5655</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5656</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5657</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5658</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5659</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5660</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5661</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4539</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5662</v>
      </c>
      <c r="X174" s="24" t="str">
        <f t="shared" si="89"/>
        <v>arbor.134</v>
      </c>
      <c r="Y174" s="24" t="str">
        <f t="shared" si="86"/>
        <v>Ação arborizar</v>
      </c>
      <c r="Z174" s="47" t="s">
        <v>4540</v>
      </c>
      <c r="AA174" s="25" t="str">
        <f t="shared" si="90"/>
        <v>null</v>
      </c>
      <c r="AB174" s="26" t="s">
        <v>0</v>
      </c>
      <c r="AC174" s="25" t="str">
        <f t="shared" si="91"/>
        <v>null</v>
      </c>
      <c r="AD174" s="26" t="s">
        <v>0</v>
      </c>
      <c r="AE174" s="25" t="str">
        <f t="shared" si="87"/>
        <v>null</v>
      </c>
      <c r="AF174" s="26" t="s">
        <v>0</v>
      </c>
      <c r="AG174" s="47" t="s">
        <v>4541</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5663</v>
      </c>
      <c r="X175" s="24" t="str">
        <f t="shared" si="89"/>
        <v>assen.100</v>
      </c>
      <c r="Y175" s="24" t="str">
        <f t="shared" si="86"/>
        <v>Ação assentar</v>
      </c>
      <c r="Z175" s="47" t="s">
        <v>5035</v>
      </c>
      <c r="AA175" s="25" t="str">
        <f t="shared" si="90"/>
        <v>null</v>
      </c>
      <c r="AB175" s="26" t="s">
        <v>0</v>
      </c>
      <c r="AC175" s="25" t="str">
        <f t="shared" si="91"/>
        <v>null</v>
      </c>
      <c r="AD175" s="26" t="s">
        <v>0</v>
      </c>
      <c r="AE175" s="25" t="str">
        <f t="shared" si="87"/>
        <v>null</v>
      </c>
      <c r="AF175" s="26" t="s">
        <v>0</v>
      </c>
      <c r="AG175" s="47" t="s">
        <v>5219</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5664</v>
      </c>
      <c r="X176" s="24" t="str">
        <f t="shared" si="89"/>
        <v>assen.101</v>
      </c>
      <c r="Y176" s="24" t="str">
        <f t="shared" si="86"/>
        <v>Ação assentar</v>
      </c>
      <c r="Z176" s="47" t="s">
        <v>5036</v>
      </c>
      <c r="AA176" s="25" t="str">
        <f t="shared" si="90"/>
        <v>null</v>
      </c>
      <c r="AB176" s="26" t="s">
        <v>0</v>
      </c>
      <c r="AC176" s="25" t="str">
        <f t="shared" si="91"/>
        <v>null</v>
      </c>
      <c r="AD176" s="26" t="s">
        <v>0</v>
      </c>
      <c r="AE176" s="25" t="str">
        <f t="shared" si="87"/>
        <v>null</v>
      </c>
      <c r="AF176" s="26" t="s">
        <v>0</v>
      </c>
      <c r="AG176" s="47" t="s">
        <v>5220</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5665</v>
      </c>
      <c r="X177" s="24" t="str">
        <f t="shared" si="89"/>
        <v>assen.102</v>
      </c>
      <c r="Y177" s="24" t="str">
        <f t="shared" si="86"/>
        <v>Ação assentar</v>
      </c>
      <c r="Z177" s="47" t="s">
        <v>5037</v>
      </c>
      <c r="AA177" s="25" t="str">
        <f t="shared" si="90"/>
        <v>null</v>
      </c>
      <c r="AB177" s="26" t="s">
        <v>0</v>
      </c>
      <c r="AC177" s="25" t="str">
        <f t="shared" si="91"/>
        <v>null</v>
      </c>
      <c r="AD177" s="26" t="s">
        <v>0</v>
      </c>
      <c r="AE177" s="25" t="str">
        <f t="shared" si="87"/>
        <v>null</v>
      </c>
      <c r="AF177" s="26" t="s">
        <v>0</v>
      </c>
      <c r="AG177" s="47" t="s">
        <v>5221</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5666</v>
      </c>
      <c r="X178" s="24" t="str">
        <f t="shared" si="89"/>
        <v>assen.103</v>
      </c>
      <c r="Y178" s="24" t="str">
        <f t="shared" si="86"/>
        <v>Ação assentar</v>
      </c>
      <c r="Z178" s="47" t="s">
        <v>5038</v>
      </c>
      <c r="AA178" s="25" t="str">
        <f t="shared" si="90"/>
        <v>null</v>
      </c>
      <c r="AB178" s="26" t="s">
        <v>0</v>
      </c>
      <c r="AC178" s="25" t="str">
        <f t="shared" si="91"/>
        <v>null</v>
      </c>
      <c r="AD178" s="26" t="s">
        <v>0</v>
      </c>
      <c r="AE178" s="25" t="str">
        <f t="shared" si="87"/>
        <v>null</v>
      </c>
      <c r="AF178" s="26" t="s">
        <v>0</v>
      </c>
      <c r="AG178" s="47" t="s">
        <v>5222</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5667</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5286</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5668</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4537</v>
      </c>
      <c r="S181" s="10" t="s">
        <v>1</v>
      </c>
      <c r="T181" s="10" t="s">
        <v>32</v>
      </c>
      <c r="U181" s="5" t="str">
        <f t="shared" si="85"/>
        <v>Propriedade destinada a assentar: é.colada.com</v>
      </c>
      <c r="V181" s="5" t="str">
        <f t="shared" si="93"/>
        <v>Dado para assentar:  colada.com  Deve ser formatado como (rdfs:Literal  or  xsd:string)</v>
      </c>
      <c r="W181" s="5" t="s">
        <v>5669</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4538</v>
      </c>
      <c r="S182" s="10" t="s">
        <v>1</v>
      </c>
      <c r="T182" s="10" t="s">
        <v>32</v>
      </c>
      <c r="U182" s="5" t="str">
        <f t="shared" si="85"/>
        <v>Propriedade destinada a assentar: é.colado.com</v>
      </c>
      <c r="V182" s="5" t="str">
        <f t="shared" si="93"/>
        <v>Dado para assentar:  colado.com  Deve ser formatado como (rdfs:Literal  or  xsd:string)</v>
      </c>
      <c r="W182" s="5" t="s">
        <v>5670</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5671</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5672</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5673</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5674</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5675</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5676</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7430</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5677</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7431</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5678</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7432</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5679</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7433</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5680</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7434</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5681</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7435</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5682</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7436</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5683</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7437</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5684</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7438</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5685</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7439</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5686</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7440</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5687</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7441</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4614</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5688</v>
      </c>
      <c r="X200" s="24" t="str">
        <f t="shared" si="111"/>
        <v>audib.100</v>
      </c>
      <c r="Y200" s="24" t="str">
        <f t="shared" si="109"/>
        <v>Ação audibilizar</v>
      </c>
      <c r="Z200" s="47" t="s">
        <v>4647</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4834</v>
      </c>
      <c r="AG200" s="47" t="s">
        <v>4656</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5689</v>
      </c>
      <c r="X201" s="24" t="str">
        <f t="shared" si="111"/>
        <v>audib.101</v>
      </c>
      <c r="Y201" s="24" t="str">
        <f t="shared" si="109"/>
        <v>Ação audibilizar</v>
      </c>
      <c r="Z201" s="47" t="s">
        <v>4648</v>
      </c>
      <c r="AA201" s="25" t="str">
        <f t="shared" si="119"/>
        <v>null</v>
      </c>
      <c r="AB201" s="26" t="s">
        <v>0</v>
      </c>
      <c r="AC201" s="25" t="str">
        <f t="shared" si="120"/>
        <v>null</v>
      </c>
      <c r="AD201" s="26" t="s">
        <v>0</v>
      </c>
      <c r="AE201" s="25" t="str">
        <f t="shared" ref="AE201:AE208" si="122">IF(AF201="null", "null", "propiedade")</f>
        <v>propiedade</v>
      </c>
      <c r="AF201" s="26" t="s">
        <v>4834</v>
      </c>
      <c r="AG201" s="47" t="s">
        <v>4657</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5690</v>
      </c>
      <c r="X202" s="24" t="str">
        <f t="shared" si="111"/>
        <v>audib.102</v>
      </c>
      <c r="Y202" s="24" t="str">
        <f t="shared" si="109"/>
        <v>Ação audibilizar</v>
      </c>
      <c r="Z202" s="47" t="s">
        <v>4649</v>
      </c>
      <c r="AA202" s="25" t="str">
        <f t="shared" si="119"/>
        <v>null</v>
      </c>
      <c r="AB202" s="26" t="s">
        <v>0</v>
      </c>
      <c r="AC202" s="25" t="str">
        <f t="shared" si="120"/>
        <v>null</v>
      </c>
      <c r="AD202" s="26" t="s">
        <v>0</v>
      </c>
      <c r="AE202" s="25" t="str">
        <f t="shared" si="122"/>
        <v>propiedade</v>
      </c>
      <c r="AF202" s="26" t="s">
        <v>4834</v>
      </c>
      <c r="AG202" s="47" t="s">
        <v>4658</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5691</v>
      </c>
      <c r="X203" s="24" t="str">
        <f t="shared" si="111"/>
        <v>audib.103</v>
      </c>
      <c r="Y203" s="24" t="str">
        <f t="shared" si="109"/>
        <v>Ação audibilizar</v>
      </c>
      <c r="Z203" s="47" t="s">
        <v>4650</v>
      </c>
      <c r="AA203" s="25" t="str">
        <f t="shared" si="119"/>
        <v>null</v>
      </c>
      <c r="AB203" s="26" t="s">
        <v>0</v>
      </c>
      <c r="AC203" s="25" t="str">
        <f t="shared" si="120"/>
        <v>null</v>
      </c>
      <c r="AD203" s="26" t="s">
        <v>0</v>
      </c>
      <c r="AE203" s="25" t="str">
        <f t="shared" si="122"/>
        <v>propiedade</v>
      </c>
      <c r="AF203" s="26" t="s">
        <v>4834</v>
      </c>
      <c r="AG203" s="47" t="s">
        <v>5111</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5692</v>
      </c>
      <c r="X204" s="24" t="str">
        <f t="shared" si="111"/>
        <v>audib.104</v>
      </c>
      <c r="Y204" s="24" t="str">
        <f t="shared" si="109"/>
        <v>Ação audibilizar</v>
      </c>
      <c r="Z204" s="47" t="s">
        <v>4651</v>
      </c>
      <c r="AA204" s="25" t="str">
        <f t="shared" si="119"/>
        <v>null</v>
      </c>
      <c r="AB204" s="26" t="s">
        <v>0</v>
      </c>
      <c r="AC204" s="25" t="str">
        <f t="shared" si="120"/>
        <v>null</v>
      </c>
      <c r="AD204" s="26" t="s">
        <v>0</v>
      </c>
      <c r="AE204" s="25" t="str">
        <f t="shared" si="122"/>
        <v>propiedade</v>
      </c>
      <c r="AF204" s="26" t="s">
        <v>4834</v>
      </c>
      <c r="AG204" s="47" t="s">
        <v>5112</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5693</v>
      </c>
      <c r="X205" s="24" t="str">
        <f t="shared" si="111"/>
        <v>audib.105</v>
      </c>
      <c r="Y205" s="24" t="str">
        <f t="shared" si="109"/>
        <v>Ação audibilizar</v>
      </c>
      <c r="Z205" s="47" t="s">
        <v>4652</v>
      </c>
      <c r="AA205" s="25" t="str">
        <f t="shared" si="119"/>
        <v>null</v>
      </c>
      <c r="AB205" s="26" t="s">
        <v>0</v>
      </c>
      <c r="AC205" s="25" t="str">
        <f t="shared" si="120"/>
        <v>null</v>
      </c>
      <c r="AD205" s="26" t="s">
        <v>0</v>
      </c>
      <c r="AE205" s="25" t="str">
        <f t="shared" si="122"/>
        <v>propiedade</v>
      </c>
      <c r="AF205" s="26" t="s">
        <v>4834</v>
      </c>
      <c r="AG205" s="47" t="s">
        <v>5113</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5694</v>
      </c>
      <c r="X206" s="24" t="str">
        <f t="shared" si="111"/>
        <v>audib.106</v>
      </c>
      <c r="Y206" s="24" t="str">
        <f t="shared" si="109"/>
        <v>Ação audibilizar</v>
      </c>
      <c r="Z206" s="47" t="s">
        <v>4653</v>
      </c>
      <c r="AA206" s="25" t="str">
        <f t="shared" si="119"/>
        <v>null</v>
      </c>
      <c r="AB206" s="26" t="s">
        <v>0</v>
      </c>
      <c r="AC206" s="25" t="str">
        <f t="shared" si="120"/>
        <v>null</v>
      </c>
      <c r="AD206" s="26" t="s">
        <v>0</v>
      </c>
      <c r="AE206" s="25" t="str">
        <f t="shared" si="122"/>
        <v>propiedade</v>
      </c>
      <c r="AF206" s="26" t="s">
        <v>4834</v>
      </c>
      <c r="AG206" s="47" t="s">
        <v>4659</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5695</v>
      </c>
      <c r="X207" s="24" t="str">
        <f t="shared" si="111"/>
        <v>audib.107</v>
      </c>
      <c r="Y207" s="24" t="str">
        <f t="shared" si="109"/>
        <v>Ação audibilizar</v>
      </c>
      <c r="Z207" s="47" t="s">
        <v>4654</v>
      </c>
      <c r="AA207" s="25" t="str">
        <f t="shared" si="119"/>
        <v>null</v>
      </c>
      <c r="AB207" s="26" t="s">
        <v>0</v>
      </c>
      <c r="AC207" s="25" t="str">
        <f t="shared" si="120"/>
        <v>null</v>
      </c>
      <c r="AD207" s="26" t="s">
        <v>0</v>
      </c>
      <c r="AE207" s="25" t="str">
        <f t="shared" si="122"/>
        <v>propiedade</v>
      </c>
      <c r="AF207" s="26" t="s">
        <v>4834</v>
      </c>
      <c r="AG207" s="47" t="s">
        <v>4660</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5696</v>
      </c>
      <c r="X208" s="24" t="str">
        <f t="shared" si="111"/>
        <v>audib.108</v>
      </c>
      <c r="Y208" s="24" t="str">
        <f t="shared" si="109"/>
        <v>Ação audibilizar</v>
      </c>
      <c r="Z208" s="47" t="s">
        <v>4655</v>
      </c>
      <c r="AA208" s="25" t="str">
        <f t="shared" si="119"/>
        <v>null</v>
      </c>
      <c r="AB208" s="26" t="s">
        <v>0</v>
      </c>
      <c r="AC208" s="25" t="str">
        <f t="shared" si="120"/>
        <v>null</v>
      </c>
      <c r="AD208" s="26" t="s">
        <v>0</v>
      </c>
      <c r="AE208" s="25" t="str">
        <f t="shared" si="122"/>
        <v>propiedade</v>
      </c>
      <c r="AF208" s="26" t="s">
        <v>4834</v>
      </c>
      <c r="AG208" s="47" t="s">
        <v>4661</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5697</v>
      </c>
      <c r="X209" s="24" t="str">
        <f t="shared" si="111"/>
        <v>audib.109</v>
      </c>
      <c r="Y209" s="24" t="str">
        <f t="shared" si="109"/>
        <v>Ação audibilizar</v>
      </c>
      <c r="Z209" s="47" t="s">
        <v>4623</v>
      </c>
      <c r="AA209" s="25" t="str">
        <f t="shared" si="119"/>
        <v>null</v>
      </c>
      <c r="AB209" s="26" t="s">
        <v>0</v>
      </c>
      <c r="AC209" s="25" t="str">
        <f t="shared" si="120"/>
        <v>null</v>
      </c>
      <c r="AD209" s="26" t="s">
        <v>0</v>
      </c>
      <c r="AE209" s="25" t="str">
        <f t="shared" ref="AE209:AE224" si="125">IF(AF209="null", "null", "propiedade")</f>
        <v>propiedade</v>
      </c>
      <c r="AF209" s="26" t="s">
        <v>4835</v>
      </c>
      <c r="AG209" s="47" t="s">
        <v>4635</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7507</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5698</v>
      </c>
      <c r="X210" s="24" t="str">
        <f t="shared" si="111"/>
        <v>audib.110</v>
      </c>
      <c r="Y210" s="24" t="str">
        <f t="shared" si="109"/>
        <v>Ação audibilizar</v>
      </c>
      <c r="Z210" s="47" t="s">
        <v>4624</v>
      </c>
      <c r="AA210" s="25" t="str">
        <f t="shared" si="119"/>
        <v>null</v>
      </c>
      <c r="AB210" s="26" t="s">
        <v>0</v>
      </c>
      <c r="AC210" s="25" t="str">
        <f t="shared" si="120"/>
        <v>null</v>
      </c>
      <c r="AD210" s="26" t="s">
        <v>0</v>
      </c>
      <c r="AE210" s="25" t="str">
        <f t="shared" si="125"/>
        <v>propiedade</v>
      </c>
      <c r="AF210" s="26" t="s">
        <v>4835</v>
      </c>
      <c r="AG210" s="47" t="s">
        <v>4639</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4618</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5699</v>
      </c>
      <c r="X211" s="24" t="str">
        <f t="shared" si="111"/>
        <v>audib.111</v>
      </c>
      <c r="Y211" s="24" t="str">
        <f t="shared" si="109"/>
        <v>Ação audibilizar</v>
      </c>
      <c r="Z211" s="47" t="s">
        <v>4625</v>
      </c>
      <c r="AA211" s="25" t="str">
        <f t="shared" si="119"/>
        <v>null</v>
      </c>
      <c r="AB211" s="26" t="s">
        <v>0</v>
      </c>
      <c r="AC211" s="25" t="str">
        <f t="shared" si="120"/>
        <v>null</v>
      </c>
      <c r="AD211" s="26" t="s">
        <v>0</v>
      </c>
      <c r="AE211" s="25" t="str">
        <f t="shared" si="125"/>
        <v>propiedade</v>
      </c>
      <c r="AF211" s="26" t="s">
        <v>4835</v>
      </c>
      <c r="AG211" s="47" t="s">
        <v>4636</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4617</v>
      </c>
      <c r="H212" s="41" t="s">
        <v>36</v>
      </c>
      <c r="I212" s="16" t="str">
        <f t="shared" si="116"/>
        <v>null</v>
      </c>
      <c r="J212" s="13" t="s">
        <v>0</v>
      </c>
      <c r="K212" s="13" t="s">
        <v>0</v>
      </c>
      <c r="L212" s="13" t="s">
        <v>0</v>
      </c>
      <c r="M212" s="13" t="s">
        <v>0</v>
      </c>
      <c r="N212" s="15" t="s">
        <v>0</v>
      </c>
      <c r="O212" s="13" t="s">
        <v>0</v>
      </c>
      <c r="P212" s="13" t="s">
        <v>0</v>
      </c>
      <c r="Q212" s="13" t="s">
        <v>0</v>
      </c>
      <c r="R212" s="66" t="s">
        <v>4621</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5700</v>
      </c>
      <c r="X212" s="24" t="str">
        <f t="shared" si="111"/>
        <v>audib.112</v>
      </c>
      <c r="Y212" s="24" t="str">
        <f t="shared" si="109"/>
        <v>Ação audibilizar</v>
      </c>
      <c r="Z212" s="47" t="s">
        <v>4626</v>
      </c>
      <c r="AA212" s="25" t="str">
        <f t="shared" si="119"/>
        <v>null</v>
      </c>
      <c r="AB212" s="26" t="s">
        <v>0</v>
      </c>
      <c r="AC212" s="25" t="str">
        <f t="shared" si="120"/>
        <v>null</v>
      </c>
      <c r="AD212" s="26" t="s">
        <v>0</v>
      </c>
      <c r="AE212" s="25" t="str">
        <f t="shared" si="125"/>
        <v>propiedade</v>
      </c>
      <c r="AF212" s="26" t="s">
        <v>4836</v>
      </c>
      <c r="AG212" s="47" t="s">
        <v>4638</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5701</v>
      </c>
      <c r="X213" s="24" t="str">
        <f t="shared" si="111"/>
        <v>audib.113</v>
      </c>
      <c r="Y213" s="24" t="str">
        <f t="shared" si="109"/>
        <v>Ação audibilizar</v>
      </c>
      <c r="Z213" s="47" t="s">
        <v>4627</v>
      </c>
      <c r="AA213" s="25" t="str">
        <f t="shared" si="119"/>
        <v>null</v>
      </c>
      <c r="AB213" s="26" t="s">
        <v>0</v>
      </c>
      <c r="AC213" s="25" t="str">
        <f t="shared" si="120"/>
        <v>null</v>
      </c>
      <c r="AD213" s="26" t="s">
        <v>0</v>
      </c>
      <c r="AE213" s="25" t="str">
        <f t="shared" si="125"/>
        <v>propiedade</v>
      </c>
      <c r="AF213" s="26" t="s">
        <v>4835</v>
      </c>
      <c r="AG213" s="47" t="s">
        <v>4637</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5702</v>
      </c>
      <c r="X214" s="24" t="str">
        <f t="shared" si="111"/>
        <v>audib.114</v>
      </c>
      <c r="Y214" s="24" t="str">
        <f t="shared" si="109"/>
        <v>Ação audibilizar</v>
      </c>
      <c r="Z214" s="47" t="s">
        <v>4706</v>
      </c>
      <c r="AA214" s="25" t="str">
        <f t="shared" ref="AA214" si="130">IF(AB214="null", "null", "categoria.revit")</f>
        <v>null</v>
      </c>
      <c r="AB214" s="26" t="s">
        <v>0</v>
      </c>
      <c r="AC214" s="25" t="str">
        <f t="shared" ref="AC214" si="131">IF(AD214="null", "null", "classe.ifc")</f>
        <v>null</v>
      </c>
      <c r="AD214" s="26" t="s">
        <v>0</v>
      </c>
      <c r="AE214" s="25" t="str">
        <f t="shared" si="125"/>
        <v>propiedade</v>
      </c>
      <c r="AF214" s="26" t="s">
        <v>4835</v>
      </c>
      <c r="AG214" s="47" t="s">
        <v>4707</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5703</v>
      </c>
      <c r="X215" s="24" t="str">
        <f t="shared" si="111"/>
        <v>audib.115</v>
      </c>
      <c r="Y215" s="24" t="str">
        <f t="shared" si="109"/>
        <v>Ação audibilizar</v>
      </c>
      <c r="Z215" s="47" t="s">
        <v>4628</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4835</v>
      </c>
      <c r="AG215" s="47" t="s">
        <v>4640</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4615</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5704</v>
      </c>
      <c r="X216" s="24" t="str">
        <f t="shared" si="111"/>
        <v>audib.116</v>
      </c>
      <c r="Y216" s="24" t="str">
        <f t="shared" si="109"/>
        <v>Ação audibilizar</v>
      </c>
      <c r="Z216" s="47" t="s">
        <v>4629</v>
      </c>
      <c r="AA216" s="25" t="str">
        <f t="shared" si="136"/>
        <v>null</v>
      </c>
      <c r="AB216" s="26" t="s">
        <v>0</v>
      </c>
      <c r="AC216" s="25" t="str">
        <f t="shared" si="137"/>
        <v>null</v>
      </c>
      <c r="AD216" s="26" t="s">
        <v>0</v>
      </c>
      <c r="AE216" s="25" t="str">
        <f t="shared" si="125"/>
        <v>propiedade</v>
      </c>
      <c r="AF216" s="26" t="s">
        <v>4837</v>
      </c>
      <c r="AG216" s="47" t="s">
        <v>4641</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5705</v>
      </c>
      <c r="X217" s="24" t="str">
        <f t="shared" si="111"/>
        <v>audib.117</v>
      </c>
      <c r="Y217" s="24" t="str">
        <f t="shared" si="109"/>
        <v>Ação audibilizar</v>
      </c>
      <c r="Z217" s="47" t="s">
        <v>4630</v>
      </c>
      <c r="AA217" s="25" t="str">
        <f t="shared" si="136"/>
        <v>null</v>
      </c>
      <c r="AB217" s="26" t="s">
        <v>0</v>
      </c>
      <c r="AC217" s="25" t="str">
        <f t="shared" si="137"/>
        <v>null</v>
      </c>
      <c r="AD217" s="26" t="s">
        <v>0</v>
      </c>
      <c r="AE217" s="25" t="str">
        <f t="shared" si="125"/>
        <v>propiedade</v>
      </c>
      <c r="AF217" s="26" t="s">
        <v>4838</v>
      </c>
      <c r="AG217" s="47" t="s">
        <v>4642</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5706</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4835</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5707</v>
      </c>
      <c r="X219" s="24" t="str">
        <f t="shared" si="111"/>
        <v>audib.119</v>
      </c>
      <c r="Y219" s="24" t="str">
        <f t="shared" si="109"/>
        <v>Ação audibilizar</v>
      </c>
      <c r="Z219" s="47" t="s">
        <v>4619</v>
      </c>
      <c r="AA219" s="25" t="str">
        <f t="shared" si="136"/>
        <v>null</v>
      </c>
      <c r="AB219" s="26" t="s">
        <v>0</v>
      </c>
      <c r="AC219" s="25" t="str">
        <f t="shared" si="137"/>
        <v>null</v>
      </c>
      <c r="AD219" s="26" t="s">
        <v>0</v>
      </c>
      <c r="AE219" s="25" t="str">
        <f t="shared" si="125"/>
        <v>propiedade</v>
      </c>
      <c r="AF219" s="26" t="s">
        <v>4838</v>
      </c>
      <c r="AG219" s="47" t="s">
        <v>4622</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4620</v>
      </c>
      <c r="S220" s="10" t="s">
        <v>1</v>
      </c>
      <c r="T220" s="10" t="s">
        <v>32</v>
      </c>
      <c r="U220" s="5" t="str">
        <f t="shared" si="134"/>
        <v>Propriedade destinada a audibilizar: é.nrc</v>
      </c>
      <c r="V220" s="5" t="str">
        <f t="shared" si="135"/>
        <v>Dado para audibilizar:  nrc  Deve ser formatado como (xsd:double)</v>
      </c>
      <c r="W220" s="5" t="s">
        <v>5700</v>
      </c>
      <c r="X220" s="24" t="str">
        <f t="shared" si="111"/>
        <v>audib.120</v>
      </c>
      <c r="Y220" s="24" t="str">
        <f t="shared" si="109"/>
        <v>Ação audibilizar</v>
      </c>
      <c r="Z220" s="47" t="s">
        <v>4626</v>
      </c>
      <c r="AA220" s="25" t="str">
        <f t="shared" si="136"/>
        <v>null</v>
      </c>
      <c r="AB220" s="26" t="s">
        <v>0</v>
      </c>
      <c r="AC220" s="25" t="str">
        <f t="shared" si="137"/>
        <v>null</v>
      </c>
      <c r="AD220" s="26" t="s">
        <v>0</v>
      </c>
      <c r="AE220" s="25" t="str">
        <f t="shared" si="125"/>
        <v>propiedade</v>
      </c>
      <c r="AF220" s="26" t="s">
        <v>4836</v>
      </c>
      <c r="AG220" s="47" t="s">
        <v>4638</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4616</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5708</v>
      </c>
      <c r="X221" s="24" t="str">
        <f t="shared" si="111"/>
        <v>audib.121</v>
      </c>
      <c r="Y221" s="24" t="str">
        <f t="shared" si="109"/>
        <v>Ação audibilizar</v>
      </c>
      <c r="Z221" s="47" t="s">
        <v>4631</v>
      </c>
      <c r="AA221" s="25" t="str">
        <f t="shared" si="136"/>
        <v>null</v>
      </c>
      <c r="AB221" s="26" t="s">
        <v>0</v>
      </c>
      <c r="AC221" s="25" t="str">
        <f t="shared" si="137"/>
        <v>null</v>
      </c>
      <c r="AD221" s="26" t="s">
        <v>0</v>
      </c>
      <c r="AE221" s="25" t="str">
        <f t="shared" si="125"/>
        <v>propiedade</v>
      </c>
      <c r="AF221" s="26" t="s">
        <v>4835</v>
      </c>
      <c r="AG221" s="47" t="s">
        <v>4643</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5709</v>
      </c>
      <c r="X222" s="24" t="str">
        <f t="shared" si="111"/>
        <v>audib.122</v>
      </c>
      <c r="Y222" s="24" t="str">
        <f t="shared" si="109"/>
        <v>Ação audibilizar</v>
      </c>
      <c r="Z222" s="47" t="s">
        <v>4632</v>
      </c>
      <c r="AA222" s="25" t="str">
        <f t="shared" si="136"/>
        <v>null</v>
      </c>
      <c r="AB222" s="26" t="s">
        <v>0</v>
      </c>
      <c r="AC222" s="25" t="str">
        <f t="shared" si="137"/>
        <v>null</v>
      </c>
      <c r="AD222" s="26" t="s">
        <v>0</v>
      </c>
      <c r="AE222" s="25" t="str">
        <f t="shared" si="125"/>
        <v>propiedade</v>
      </c>
      <c r="AF222" s="26" t="s">
        <v>4835</v>
      </c>
      <c r="AG222" s="47" t="s">
        <v>4644</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5710</v>
      </c>
      <c r="X223" s="24" t="str">
        <f t="shared" si="111"/>
        <v>audib.123</v>
      </c>
      <c r="Y223" s="24" t="str">
        <f t="shared" si="109"/>
        <v>Ação audibilizar</v>
      </c>
      <c r="Z223" s="47" t="s">
        <v>4633</v>
      </c>
      <c r="AA223" s="25" t="str">
        <f t="shared" si="136"/>
        <v>null</v>
      </c>
      <c r="AB223" s="26" t="s">
        <v>0</v>
      </c>
      <c r="AC223" s="25" t="str">
        <f t="shared" si="137"/>
        <v>null</v>
      </c>
      <c r="AD223" s="26" t="s">
        <v>0</v>
      </c>
      <c r="AE223" s="25" t="str">
        <f t="shared" si="125"/>
        <v>propiedade</v>
      </c>
      <c r="AF223" s="26" t="s">
        <v>4835</v>
      </c>
      <c r="AG223" s="47" t="s">
        <v>4645</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5711</v>
      </c>
      <c r="X224" s="24" t="str">
        <f t="shared" si="111"/>
        <v>audib.124</v>
      </c>
      <c r="Y224" s="24" t="str">
        <f t="shared" si="109"/>
        <v>Ação audibilizar</v>
      </c>
      <c r="Z224" s="47" t="s">
        <v>4634</v>
      </c>
      <c r="AA224" s="25" t="str">
        <f t="shared" si="136"/>
        <v>null</v>
      </c>
      <c r="AB224" s="26" t="s">
        <v>0</v>
      </c>
      <c r="AC224" s="25" t="str">
        <f t="shared" si="137"/>
        <v>null</v>
      </c>
      <c r="AD224" s="26" t="s">
        <v>0</v>
      </c>
      <c r="AE224" s="25" t="str">
        <f t="shared" si="125"/>
        <v>propiedade</v>
      </c>
      <c r="AF224" s="26" t="s">
        <v>4835</v>
      </c>
      <c r="AG224" s="47" t="s">
        <v>4646</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5712</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7442</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5713</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7443</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5714</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7444</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4798</v>
      </c>
      <c r="G228" s="18" t="s">
        <v>4802</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5715</v>
      </c>
      <c r="X228" s="24" t="str">
        <f t="shared" si="111"/>
        <v>avali.100</v>
      </c>
      <c r="Y228" s="24" t="str">
        <f t="shared" si="109"/>
        <v>Ação avaliar</v>
      </c>
      <c r="Z228" s="47" t="s">
        <v>4799</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5334</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4803</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5715</v>
      </c>
      <c r="X229" s="24" t="str">
        <f t="shared" si="111"/>
        <v>avali.101</v>
      </c>
      <c r="Y229" s="24" t="str">
        <f t="shared" si="109"/>
        <v>Ação avaliar</v>
      </c>
      <c r="Z229" s="47" t="s">
        <v>4799</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5334</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4804</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5715</v>
      </c>
      <c r="X230" s="24" t="str">
        <f t="shared" si="111"/>
        <v>avali.102</v>
      </c>
      <c r="Y230" s="24" t="str">
        <f t="shared" si="109"/>
        <v>Ação avaliar</v>
      </c>
      <c r="Z230" s="47" t="s">
        <v>4799</v>
      </c>
      <c r="AA230" s="25" t="str">
        <f t="shared" si="151"/>
        <v>null</v>
      </c>
      <c r="AB230" s="26" t="s">
        <v>0</v>
      </c>
      <c r="AC230" s="25" t="str">
        <f t="shared" si="152"/>
        <v>null</v>
      </c>
      <c r="AD230" s="26" t="s">
        <v>0</v>
      </c>
      <c r="AE230" s="25" t="str">
        <f t="shared" si="153"/>
        <v>null</v>
      </c>
      <c r="AF230" s="26" t="s">
        <v>0</v>
      </c>
      <c r="AG230" s="47" t="s">
        <v>5334</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4800</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5715</v>
      </c>
      <c r="X231" s="24" t="str">
        <f t="shared" si="111"/>
        <v>avali.103</v>
      </c>
      <c r="Y231" s="24" t="str">
        <f t="shared" si="109"/>
        <v>Ação avaliar</v>
      </c>
      <c r="Z231" s="47" t="s">
        <v>4799</v>
      </c>
      <c r="AA231" s="25" t="str">
        <f t="shared" si="143"/>
        <v>null</v>
      </c>
      <c r="AB231" s="26" t="s">
        <v>0</v>
      </c>
      <c r="AC231" s="25" t="str">
        <f t="shared" si="144"/>
        <v>null</v>
      </c>
      <c r="AD231" s="26" t="s">
        <v>0</v>
      </c>
      <c r="AE231" s="25" t="str">
        <f t="shared" si="145"/>
        <v>null</v>
      </c>
      <c r="AF231" s="26" t="s">
        <v>0</v>
      </c>
      <c r="AG231" s="47" t="s">
        <v>5334</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4801</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5715</v>
      </c>
      <c r="X232" s="24" t="str">
        <f t="shared" si="111"/>
        <v>avali.104</v>
      </c>
      <c r="Y232" s="24" t="str">
        <f t="shared" si="109"/>
        <v>Ação avaliar</v>
      </c>
      <c r="Z232" s="47" t="s">
        <v>4799</v>
      </c>
      <c r="AA232" s="25" t="str">
        <f t="shared" si="143"/>
        <v>null</v>
      </c>
      <c r="AB232" s="26" t="s">
        <v>0</v>
      </c>
      <c r="AC232" s="25" t="str">
        <f t="shared" si="144"/>
        <v>null</v>
      </c>
      <c r="AD232" s="26" t="s">
        <v>0</v>
      </c>
      <c r="AE232" s="25" t="str">
        <f t="shared" si="145"/>
        <v>null</v>
      </c>
      <c r="AF232" s="26" t="s">
        <v>0</v>
      </c>
      <c r="AG232" s="47" t="s">
        <v>5334</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5716</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5717</v>
      </c>
      <c r="X234" s="24" t="str">
        <f t="shared" si="111"/>
        <v>calcu.101</v>
      </c>
      <c r="Y234" s="24" t="str">
        <f t="shared" si="109"/>
        <v>Ação calcular</v>
      </c>
      <c r="Z234" s="47" t="s">
        <v>4342</v>
      </c>
      <c r="AA234" s="25" t="str">
        <f t="shared" si="113"/>
        <v>null</v>
      </c>
      <c r="AB234" s="26" t="s">
        <v>0</v>
      </c>
      <c r="AC234" s="25" t="str">
        <f t="shared" si="114"/>
        <v>null</v>
      </c>
      <c r="AD234" s="26" t="s">
        <v>0</v>
      </c>
      <c r="AE234" s="25" t="str">
        <f t="shared" si="110"/>
        <v>null</v>
      </c>
      <c r="AF234" s="26" t="s">
        <v>0</v>
      </c>
      <c r="AG234" s="47" t="s">
        <v>4343</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7509</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5718</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4561</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7659</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4562</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7660</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4861</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5719</v>
      </c>
      <c r="X238" s="24" t="str">
        <f t="shared" si="111"/>
        <v>carre.102</v>
      </c>
      <c r="Y238" s="24" t="str">
        <f t="shared" si="109"/>
        <v>Ação carregar</v>
      </c>
      <c r="Z238" s="47" t="s">
        <v>4386</v>
      </c>
      <c r="AA238" s="25" t="str">
        <f t="shared" si="113"/>
        <v>null</v>
      </c>
      <c r="AB238" s="26" t="s">
        <v>0</v>
      </c>
      <c r="AC238" s="25" t="str">
        <f t="shared" si="114"/>
        <v>null</v>
      </c>
      <c r="AD238" s="26" t="s">
        <v>0</v>
      </c>
      <c r="AE238" s="25" t="str">
        <f t="shared" si="110"/>
        <v>null</v>
      </c>
      <c r="AF238" s="26" t="s">
        <v>0</v>
      </c>
      <c r="AG238" s="47" t="s">
        <v>4446</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4563</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7661</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4862</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5720</v>
      </c>
      <c r="X240" s="24" t="str">
        <f t="shared" si="111"/>
        <v>carre.104</v>
      </c>
      <c r="Y240" s="24" t="str">
        <f t="shared" si="109"/>
        <v>Ação carregar</v>
      </c>
      <c r="Z240" s="47" t="s">
        <v>4387</v>
      </c>
      <c r="AA240" s="25" t="str">
        <f t="shared" si="113"/>
        <v>null</v>
      </c>
      <c r="AB240" s="26" t="s">
        <v>0</v>
      </c>
      <c r="AC240" s="25" t="str">
        <f t="shared" si="114"/>
        <v>null</v>
      </c>
      <c r="AD240" s="26" t="s">
        <v>0</v>
      </c>
      <c r="AE240" s="25" t="str">
        <f t="shared" si="110"/>
        <v>null</v>
      </c>
      <c r="AF240" s="26" t="s">
        <v>0</v>
      </c>
      <c r="AG240" s="47" t="s">
        <v>4447</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4564</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7662</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4863</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5721</v>
      </c>
      <c r="X242" s="24" t="str">
        <f t="shared" si="111"/>
        <v>carre.106</v>
      </c>
      <c r="Y242" s="24" t="str">
        <f t="shared" si="109"/>
        <v>Ação carregar</v>
      </c>
      <c r="Z242" s="47" t="s">
        <v>4388</v>
      </c>
      <c r="AA242" s="25" t="str">
        <f t="shared" si="113"/>
        <v>null</v>
      </c>
      <c r="AB242" s="26" t="s">
        <v>0</v>
      </c>
      <c r="AC242" s="25" t="str">
        <f t="shared" si="114"/>
        <v>null</v>
      </c>
      <c r="AD242" s="26" t="s">
        <v>0</v>
      </c>
      <c r="AE242" s="25" t="str">
        <f t="shared" si="110"/>
        <v>null</v>
      </c>
      <c r="AF242" s="26" t="s">
        <v>0</v>
      </c>
      <c r="AG242" s="47" t="s">
        <v>4448</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7663</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4864</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5722</v>
      </c>
      <c r="X244" s="24" t="str">
        <f t="shared" si="111"/>
        <v>carre.108</v>
      </c>
      <c r="Y244" s="24" t="str">
        <f t="shared" si="109"/>
        <v>Ação carregar</v>
      </c>
      <c r="Z244" s="47" t="s">
        <v>4389</v>
      </c>
      <c r="AA244" s="25" t="str">
        <f t="shared" si="113"/>
        <v>null</v>
      </c>
      <c r="AB244" s="26" t="s">
        <v>0</v>
      </c>
      <c r="AC244" s="25" t="str">
        <f t="shared" si="114"/>
        <v>null</v>
      </c>
      <c r="AD244" s="26" t="s">
        <v>0</v>
      </c>
      <c r="AE244" s="25" t="str">
        <f t="shared" si="110"/>
        <v>null</v>
      </c>
      <c r="AF244" s="26" t="s">
        <v>0</v>
      </c>
      <c r="AG244" s="47" t="s">
        <v>4449</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4565</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7664</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4566</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5723</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5114</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4738</v>
      </c>
      <c r="S247" s="10" t="s">
        <v>1</v>
      </c>
      <c r="T247" s="10" t="s">
        <v>32</v>
      </c>
      <c r="U247" s="5" t="str">
        <f t="shared" si="107"/>
        <v>Propriedade destinada a carregar: é.carregada.com</v>
      </c>
      <c r="V247" s="5" t="str">
        <f t="shared" si="108"/>
        <v>Dado para carregar:  carregada.com  Deve ser formatado como (rdfs:Literal  or  xsd:string)</v>
      </c>
      <c r="W247" s="5" t="s">
        <v>5724</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4739</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5724</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5725</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5726</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5727</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7338</v>
      </c>
      <c r="X252" s="24" t="str">
        <f t="shared" si="111"/>
        <v>catal.100</v>
      </c>
      <c r="Y252" s="24" t="str">
        <f t="shared" si="109"/>
        <v>Ação catalogar</v>
      </c>
      <c r="Z252" s="47" t="s">
        <v>7361</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4598</v>
      </c>
      <c r="S253" s="10" t="s">
        <v>1</v>
      </c>
      <c r="T253" s="10" t="s">
        <v>32</v>
      </c>
      <c r="U253" s="5" t="str">
        <f t="shared" si="107"/>
        <v>Propriedade destinada a catalogar: é.aberta.em</v>
      </c>
      <c r="V253" s="5" t="str">
        <f t="shared" si="108"/>
        <v>Dado para catalogar:  aberta.em  Deve ser formatado como (xsd:date)</v>
      </c>
      <c r="W253" s="5" t="s">
        <v>7337</v>
      </c>
      <c r="X253" s="24" t="str">
        <f t="shared" si="111"/>
        <v>catal.101</v>
      </c>
      <c r="Y253" s="24" t="str">
        <f t="shared" si="109"/>
        <v>Ação catalogar</v>
      </c>
      <c r="Z253" s="47" t="s">
        <v>7362</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4597</v>
      </c>
      <c r="S254" s="10" t="s">
        <v>1</v>
      </c>
      <c r="T254" s="10" t="s">
        <v>32</v>
      </c>
      <c r="U254" s="5" t="str">
        <f t="shared" si="107"/>
        <v>Propriedade destinada a catalogar: é.aberto.em</v>
      </c>
      <c r="V254" s="5" t="str">
        <f t="shared" si="108"/>
        <v>Dado para catalogar:  aberto.em  Deve ser formatado como (xsd:date)</v>
      </c>
      <c r="W254" s="5" t="s">
        <v>7337</v>
      </c>
      <c r="X254" s="24" t="str">
        <f t="shared" si="111"/>
        <v>catal.102</v>
      </c>
      <c r="Y254" s="24" t="str">
        <f t="shared" si="109"/>
        <v>Ação catalogar</v>
      </c>
      <c r="Z254" s="47" t="s">
        <v>7362</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7333</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7336</v>
      </c>
      <c r="X255" s="24" t="str">
        <f t="shared" si="111"/>
        <v>catal.103</v>
      </c>
      <c r="Y255" s="24" t="str">
        <f t="shared" si="109"/>
        <v>Ação catalogar</v>
      </c>
      <c r="Z255" s="47" t="s">
        <v>7391</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7399</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7335</v>
      </c>
      <c r="X256" s="24" t="str">
        <f t="shared" si="111"/>
        <v>catal.104</v>
      </c>
      <c r="Y256" s="24" t="str">
        <f t="shared" si="109"/>
        <v>Ação catalogar</v>
      </c>
      <c r="Z256" s="47" t="s">
        <v>7363</v>
      </c>
      <c r="AA256" s="25" t="str">
        <f t="shared" si="113"/>
        <v>null</v>
      </c>
      <c r="AB256" s="26" t="s">
        <v>0</v>
      </c>
      <c r="AC256" s="25" t="str">
        <f t="shared" si="114"/>
        <v>null</v>
      </c>
      <c r="AD256" s="26" t="s">
        <v>0</v>
      </c>
      <c r="AE256" s="25" t="str">
        <f t="shared" si="110"/>
        <v>null</v>
      </c>
      <c r="AF256" s="26" t="s">
        <v>0</v>
      </c>
      <c r="AG256" s="47" t="s">
        <v>7400</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7334</v>
      </c>
      <c r="X257" s="24" t="str">
        <f t="shared" si="111"/>
        <v>catal.105</v>
      </c>
      <c r="Y257" s="24" t="str">
        <f t="shared" si="109"/>
        <v>Ação catalogar</v>
      </c>
      <c r="Z257" s="47" t="s">
        <v>7364</v>
      </c>
      <c r="AA257" s="25" t="str">
        <f t="shared" si="113"/>
        <v>null</v>
      </c>
      <c r="AB257" s="26" t="s">
        <v>0</v>
      </c>
      <c r="AC257" s="25" t="str">
        <f t="shared" si="114"/>
        <v>null</v>
      </c>
      <c r="AD257" s="26" t="s">
        <v>0</v>
      </c>
      <c r="AE257" s="25" t="str">
        <f t="shared" si="110"/>
        <v>null</v>
      </c>
      <c r="AF257" s="26" t="s">
        <v>0</v>
      </c>
      <c r="AG257" s="47" t="s">
        <v>7401</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7339</v>
      </c>
      <c r="X258" s="24" t="str">
        <f t="shared" si="111"/>
        <v>catal.106</v>
      </c>
      <c r="Y258" s="24" t="str">
        <f t="shared" ref="Y258:Y321" si="176">_xlfn.CONCAT("Ação ", SUBSTITUTE(F258, "d.",  ""))</f>
        <v>Ação catalogar</v>
      </c>
      <c r="Z258" s="47" t="s">
        <v>7365</v>
      </c>
      <c r="AA258" s="25" t="str">
        <f t="shared" si="113"/>
        <v>null</v>
      </c>
      <c r="AB258" s="26" t="s">
        <v>0</v>
      </c>
      <c r="AC258" s="25" t="str">
        <f t="shared" si="114"/>
        <v>null</v>
      </c>
      <c r="AD258" s="26" t="s">
        <v>0</v>
      </c>
      <c r="AE258" s="25" t="str">
        <f t="shared" si="110"/>
        <v>null</v>
      </c>
      <c r="AF258" s="26" t="s">
        <v>0</v>
      </c>
      <c r="AG258" s="47" t="s">
        <v>7402</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7340</v>
      </c>
      <c r="X259" s="24" t="str">
        <f t="shared" ref="X259:X322" si="177">IF(F258&lt;&gt;F259,_xlfn.CONCAT(RIGHT(LEFT(F259,7),5),".100"),_xlfn.CONCAT(RIGHT(LEFT(F259,7),5),".",SUM(VALUE(RIGHT(X258,3)),1)))</f>
        <v>catal.107</v>
      </c>
      <c r="Y259" s="24" t="str">
        <f t="shared" si="176"/>
        <v>Ação catalogar</v>
      </c>
      <c r="Z259" s="47" t="s">
        <v>7366</v>
      </c>
      <c r="AA259" s="25" t="str">
        <f t="shared" si="113"/>
        <v>null</v>
      </c>
      <c r="AB259" s="26" t="s">
        <v>0</v>
      </c>
      <c r="AC259" s="25" t="str">
        <f t="shared" si="114"/>
        <v>null</v>
      </c>
      <c r="AD259" s="26" t="s">
        <v>0</v>
      </c>
      <c r="AE259" s="25" t="str">
        <f t="shared" si="110"/>
        <v>null</v>
      </c>
      <c r="AF259" s="26" t="s">
        <v>0</v>
      </c>
      <c r="AG259" s="47" t="s">
        <v>7403</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7785</v>
      </c>
      <c r="S260" s="10" t="s">
        <v>1</v>
      </c>
      <c r="T260" s="10" t="s">
        <v>32</v>
      </c>
      <c r="U260" s="5" t="str">
        <f t="shared" si="107"/>
        <v>Propriedade destinada a catalogar: é.companhia</v>
      </c>
      <c r="V260" s="5" t="str">
        <f t="shared" si="108"/>
        <v>Dado para catalogar:  companhia  Deve ser formatado como (rdfs:Literal  or  xsd:string)</v>
      </c>
      <c r="W260" s="5" t="s">
        <v>7343</v>
      </c>
      <c r="X260" s="24" t="str">
        <f t="shared" si="177"/>
        <v>catal.108</v>
      </c>
      <c r="Y260" s="24" t="str">
        <f t="shared" si="176"/>
        <v>Ação catalogar</v>
      </c>
      <c r="Z260" s="47" t="s">
        <v>7392</v>
      </c>
      <c r="AA260" s="25" t="str">
        <f t="shared" si="113"/>
        <v>null</v>
      </c>
      <c r="AB260" s="26" t="s">
        <v>0</v>
      </c>
      <c r="AC260" s="25" t="str">
        <f t="shared" si="114"/>
        <v>null</v>
      </c>
      <c r="AD260" s="26" t="s">
        <v>0</v>
      </c>
      <c r="AE260" s="25" t="str">
        <f t="shared" si="110"/>
        <v>null</v>
      </c>
      <c r="AF260" s="26" t="s">
        <v>0</v>
      </c>
      <c r="AG260" s="47" t="s">
        <v>7398</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7341</v>
      </c>
      <c r="X261" s="24" t="str">
        <f t="shared" si="177"/>
        <v>catal.109</v>
      </c>
      <c r="Y261" s="24" t="str">
        <f t="shared" si="176"/>
        <v>Ação catalogar</v>
      </c>
      <c r="Z261" s="47" t="s">
        <v>7367</v>
      </c>
      <c r="AA261" s="25" t="str">
        <f t="shared" si="113"/>
        <v>null</v>
      </c>
      <c r="AB261" s="26" t="s">
        <v>0</v>
      </c>
      <c r="AC261" s="25" t="str">
        <f t="shared" si="114"/>
        <v>null</v>
      </c>
      <c r="AD261" s="26" t="s">
        <v>0</v>
      </c>
      <c r="AE261" s="25" t="str">
        <f t="shared" si="110"/>
        <v>null</v>
      </c>
      <c r="AF261" s="26" t="s">
        <v>0</v>
      </c>
      <c r="AG261" s="47" t="s">
        <v>7404</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5728</v>
      </c>
      <c r="X262" s="24" t="str">
        <f t="shared" si="177"/>
        <v>catal.110</v>
      </c>
      <c r="Y262" s="24" t="str">
        <f t="shared" si="176"/>
        <v>Ação catalogar</v>
      </c>
      <c r="Z262" s="47" t="s">
        <v>7368</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5729</v>
      </c>
      <c r="X263" s="24" t="str">
        <f t="shared" si="177"/>
        <v>catal.111</v>
      </c>
      <c r="Y263" s="24" t="str">
        <f t="shared" si="176"/>
        <v>Ação catalogar</v>
      </c>
      <c r="Z263" s="47" t="s">
        <v>7369</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7342</v>
      </c>
      <c r="X264" s="24" t="str">
        <f t="shared" si="177"/>
        <v>catal.112</v>
      </c>
      <c r="Y264" s="24" t="str">
        <f t="shared" si="176"/>
        <v>Ação catalogar</v>
      </c>
      <c r="Z264" s="47" t="s">
        <v>7370</v>
      </c>
      <c r="AA264" s="25" t="str">
        <f t="shared" si="178"/>
        <v>null</v>
      </c>
      <c r="AB264" s="26" t="s">
        <v>0</v>
      </c>
      <c r="AC264" s="25" t="str">
        <f t="shared" si="179"/>
        <v>null</v>
      </c>
      <c r="AD264" s="26" t="s">
        <v>0</v>
      </c>
      <c r="AE264" s="25" t="str">
        <f t="shared" ref="AE264:AE330" si="185">IF(AF264="null", "null", "propiedade")</f>
        <v>null</v>
      </c>
      <c r="AF264" s="26" t="s">
        <v>0</v>
      </c>
      <c r="AG264" s="47" t="s">
        <v>7405</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7345</v>
      </c>
      <c r="X265" s="24" t="str">
        <f t="shared" si="177"/>
        <v>catal.113</v>
      </c>
      <c r="Y265" s="24" t="str">
        <f t="shared" si="176"/>
        <v>Ação catalogar</v>
      </c>
      <c r="Z265" s="47" t="s">
        <v>7393</v>
      </c>
      <c r="AA265" s="25" t="str">
        <f t="shared" si="178"/>
        <v>null</v>
      </c>
      <c r="AB265" s="26" t="s">
        <v>0</v>
      </c>
      <c r="AC265" s="25" t="str">
        <f t="shared" si="179"/>
        <v>null</v>
      </c>
      <c r="AD265" s="26" t="s">
        <v>0</v>
      </c>
      <c r="AE265" s="25" t="str">
        <f t="shared" si="185"/>
        <v>null</v>
      </c>
      <c r="AF265" s="26" t="s">
        <v>0</v>
      </c>
      <c r="AG265" s="47" t="s">
        <v>7397</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7344</v>
      </c>
      <c r="X266" s="24" t="str">
        <f t="shared" si="177"/>
        <v>catal.114</v>
      </c>
      <c r="Y266" s="24" t="str">
        <f t="shared" si="176"/>
        <v>Ação catalogar</v>
      </c>
      <c r="Z266" s="47" t="s">
        <v>7371</v>
      </c>
      <c r="AA266" s="25" t="str">
        <f t="shared" si="178"/>
        <v>null</v>
      </c>
      <c r="AB266" s="26" t="s">
        <v>0</v>
      </c>
      <c r="AC266" s="25" t="str">
        <f t="shared" si="179"/>
        <v>null</v>
      </c>
      <c r="AD266" s="26" t="s">
        <v>0</v>
      </c>
      <c r="AE266" s="25" t="str">
        <f t="shared" si="185"/>
        <v>null</v>
      </c>
      <c r="AF266" s="26" t="s">
        <v>0</v>
      </c>
      <c r="AG266" s="47" t="s">
        <v>7406</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7346</v>
      </c>
      <c r="X267" s="24" t="str">
        <f t="shared" si="177"/>
        <v>catal.115</v>
      </c>
      <c r="Y267" s="24" t="str">
        <f t="shared" si="176"/>
        <v>Ação catalogar</v>
      </c>
      <c r="Z267" s="47" t="s">
        <v>7372</v>
      </c>
      <c r="AA267" s="25" t="str">
        <f t="shared" si="178"/>
        <v>null</v>
      </c>
      <c r="AB267" s="26" t="s">
        <v>0</v>
      </c>
      <c r="AC267" s="25" t="str">
        <f t="shared" si="179"/>
        <v>null</v>
      </c>
      <c r="AD267" s="26" t="s">
        <v>0</v>
      </c>
      <c r="AE267" s="25" t="str">
        <f t="shared" si="185"/>
        <v>propiedade</v>
      </c>
      <c r="AF267" s="26" t="s">
        <v>2630</v>
      </c>
      <c r="AG267" s="47" t="s">
        <v>7407</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5730</v>
      </c>
      <c r="X268" s="24" t="str">
        <f t="shared" si="177"/>
        <v>catal.116</v>
      </c>
      <c r="Y268" s="24" t="str">
        <f t="shared" si="176"/>
        <v>Ação catalogar</v>
      </c>
      <c r="Z268" s="47" t="s">
        <v>7373</v>
      </c>
      <c r="AA268" s="25" t="str">
        <f t="shared" si="178"/>
        <v>null</v>
      </c>
      <c r="AB268" s="26" t="s">
        <v>0</v>
      </c>
      <c r="AC268" s="25" t="str">
        <f t="shared" si="179"/>
        <v>null</v>
      </c>
      <c r="AD268" s="26" t="s">
        <v>0</v>
      </c>
      <c r="AE268" s="25" t="str">
        <f t="shared" si="185"/>
        <v>null</v>
      </c>
      <c r="AF268" s="26" t="s">
        <v>0</v>
      </c>
      <c r="AG268" s="47" t="s">
        <v>7408</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7347</v>
      </c>
      <c r="X269" s="24" t="str">
        <f t="shared" si="177"/>
        <v>catal.117</v>
      </c>
      <c r="Y269" s="24" t="str">
        <f t="shared" si="176"/>
        <v>Ação catalogar</v>
      </c>
      <c r="Z269" s="47" t="s">
        <v>7374</v>
      </c>
      <c r="AA269" s="25" t="str">
        <f t="shared" si="178"/>
        <v>null</v>
      </c>
      <c r="AB269" s="26" t="s">
        <v>0</v>
      </c>
      <c r="AC269" s="25" t="str">
        <f t="shared" si="179"/>
        <v>null</v>
      </c>
      <c r="AD269" s="26" t="s">
        <v>0</v>
      </c>
      <c r="AE269" s="25" t="str">
        <f t="shared" si="185"/>
        <v>null</v>
      </c>
      <c r="AF269" s="26" t="s">
        <v>0</v>
      </c>
      <c r="AG269" s="47" t="s">
        <v>7409</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7348</v>
      </c>
      <c r="X270" s="24" t="str">
        <f t="shared" si="177"/>
        <v>catal.118</v>
      </c>
      <c r="Y270" s="24" t="str">
        <f t="shared" si="176"/>
        <v>Ação catalogar</v>
      </c>
      <c r="Z270" s="47" t="s">
        <v>7375</v>
      </c>
      <c r="AA270" s="25" t="str">
        <f t="shared" si="178"/>
        <v>null</v>
      </c>
      <c r="AB270" s="26" t="s">
        <v>0</v>
      </c>
      <c r="AC270" s="25" t="str">
        <f t="shared" si="179"/>
        <v>null</v>
      </c>
      <c r="AD270" s="26" t="s">
        <v>0</v>
      </c>
      <c r="AE270" s="25" t="str">
        <f t="shared" si="185"/>
        <v>null</v>
      </c>
      <c r="AF270" s="26" t="s">
        <v>0</v>
      </c>
      <c r="AG270" s="47" t="s">
        <v>7410</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7349</v>
      </c>
      <c r="X271" s="24" t="str">
        <f t="shared" si="177"/>
        <v>catal.119</v>
      </c>
      <c r="Y271" s="24" t="str">
        <f t="shared" si="176"/>
        <v>Ação catalogar</v>
      </c>
      <c r="Z271" s="47" t="s">
        <v>7376</v>
      </c>
      <c r="AA271" s="25" t="str">
        <f t="shared" si="178"/>
        <v>null</v>
      </c>
      <c r="AB271" s="26" t="s">
        <v>0</v>
      </c>
      <c r="AC271" s="25" t="str">
        <f t="shared" si="179"/>
        <v>null</v>
      </c>
      <c r="AD271" s="26" t="s">
        <v>0</v>
      </c>
      <c r="AE271" s="25" t="str">
        <f t="shared" si="185"/>
        <v>null</v>
      </c>
      <c r="AF271" s="26" t="s">
        <v>0</v>
      </c>
      <c r="AG271" s="47" t="s">
        <v>7411</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7350</v>
      </c>
      <c r="X272" s="24" t="str">
        <f t="shared" si="177"/>
        <v>catal.120</v>
      </c>
      <c r="Y272" s="24" t="str">
        <f t="shared" si="176"/>
        <v>Ação catalogar</v>
      </c>
      <c r="Z272" s="47" t="s">
        <v>7377</v>
      </c>
      <c r="AA272" s="25" t="str">
        <f t="shared" si="178"/>
        <v>null</v>
      </c>
      <c r="AB272" s="26" t="s">
        <v>0</v>
      </c>
      <c r="AC272" s="25" t="str">
        <f t="shared" si="179"/>
        <v>null</v>
      </c>
      <c r="AD272" s="26" t="s">
        <v>0</v>
      </c>
      <c r="AE272" s="25" t="str">
        <f t="shared" si="185"/>
        <v>null</v>
      </c>
      <c r="AF272" s="26" t="s">
        <v>0</v>
      </c>
      <c r="AG272" s="47" t="s">
        <v>7412</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7351</v>
      </c>
      <c r="X273" s="24" t="str">
        <f t="shared" si="177"/>
        <v>catal.121</v>
      </c>
      <c r="Y273" s="24" t="str">
        <f t="shared" si="176"/>
        <v>Ação catalogar</v>
      </c>
      <c r="Z273" s="47" t="s">
        <v>7378</v>
      </c>
      <c r="AA273" s="25" t="str">
        <f t="shared" si="178"/>
        <v>null</v>
      </c>
      <c r="AB273" s="26" t="s">
        <v>0</v>
      </c>
      <c r="AC273" s="25" t="str">
        <f t="shared" si="179"/>
        <v>null</v>
      </c>
      <c r="AD273" s="26" t="s">
        <v>0</v>
      </c>
      <c r="AE273" s="25" t="str">
        <f t="shared" si="185"/>
        <v>null</v>
      </c>
      <c r="AF273" s="26" t="s">
        <v>0</v>
      </c>
      <c r="AG273" s="47" t="s">
        <v>7413</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7357</v>
      </c>
      <c r="X274" s="24" t="str">
        <f t="shared" si="177"/>
        <v>catal.122</v>
      </c>
      <c r="Y274" s="24" t="str">
        <f t="shared" si="176"/>
        <v>Ação catalogar</v>
      </c>
      <c r="Z274" s="47" t="s">
        <v>7379</v>
      </c>
      <c r="AA274" s="25" t="str">
        <f t="shared" si="178"/>
        <v>null</v>
      </c>
      <c r="AB274" s="26" t="s">
        <v>0</v>
      </c>
      <c r="AC274" s="25" t="str">
        <f t="shared" si="179"/>
        <v>null</v>
      </c>
      <c r="AD274" s="26" t="s">
        <v>0</v>
      </c>
      <c r="AE274" s="25" t="str">
        <f t="shared" si="185"/>
        <v>null</v>
      </c>
      <c r="AF274" s="26" t="s">
        <v>0</v>
      </c>
      <c r="AG274" s="47" t="s">
        <v>7414</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7358</v>
      </c>
      <c r="X275" s="24" t="str">
        <f t="shared" si="177"/>
        <v>catal.123</v>
      </c>
      <c r="Y275" s="24" t="str">
        <f t="shared" si="176"/>
        <v>Ação catalogar</v>
      </c>
      <c r="Z275" s="47" t="s">
        <v>7380</v>
      </c>
      <c r="AA275" s="25" t="str">
        <f t="shared" si="178"/>
        <v>null</v>
      </c>
      <c r="AB275" s="26" t="s">
        <v>0</v>
      </c>
      <c r="AC275" s="25" t="str">
        <f t="shared" si="179"/>
        <v>null</v>
      </c>
      <c r="AD275" s="26" t="s">
        <v>0</v>
      </c>
      <c r="AE275" s="25" t="str">
        <f t="shared" si="185"/>
        <v>null</v>
      </c>
      <c r="AF275" s="26" t="s">
        <v>0</v>
      </c>
      <c r="AG275" s="47" t="s">
        <v>7415</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7359</v>
      </c>
      <c r="X276" s="24" t="str">
        <f t="shared" si="177"/>
        <v>catal.124</v>
      </c>
      <c r="Y276" s="24" t="str">
        <f t="shared" si="176"/>
        <v>Ação catalogar</v>
      </c>
      <c r="Z276" s="47" t="s">
        <v>7381</v>
      </c>
      <c r="AA276" s="25" t="str">
        <f t="shared" si="178"/>
        <v>null</v>
      </c>
      <c r="AB276" s="26" t="s">
        <v>0</v>
      </c>
      <c r="AC276" s="25" t="str">
        <f t="shared" si="179"/>
        <v>null</v>
      </c>
      <c r="AD276" s="26" t="s">
        <v>0</v>
      </c>
      <c r="AE276" s="25" t="str">
        <f t="shared" si="185"/>
        <v>propiedade</v>
      </c>
      <c r="AF276" s="26" t="s">
        <v>2631</v>
      </c>
      <c r="AG276" s="47" t="s">
        <v>7416</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7356</v>
      </c>
      <c r="X277" s="24" t="str">
        <f t="shared" si="177"/>
        <v>catal.125</v>
      </c>
      <c r="Y277" s="24" t="str">
        <f t="shared" si="176"/>
        <v>Ação catalogar</v>
      </c>
      <c r="Z277" s="47" t="s">
        <v>7382</v>
      </c>
      <c r="AA277" s="25" t="str">
        <f t="shared" si="178"/>
        <v>null</v>
      </c>
      <c r="AB277" s="26" t="s">
        <v>0</v>
      </c>
      <c r="AC277" s="25" t="str">
        <f t="shared" si="179"/>
        <v>null</v>
      </c>
      <c r="AD277" s="26" t="s">
        <v>0</v>
      </c>
      <c r="AE277" s="25" t="str">
        <f t="shared" si="185"/>
        <v>null</v>
      </c>
      <c r="AF277" s="26" t="s">
        <v>0</v>
      </c>
      <c r="AG277" s="47" t="s">
        <v>7417</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7355</v>
      </c>
      <c r="X278" s="24" t="str">
        <f t="shared" si="177"/>
        <v>catal.126</v>
      </c>
      <c r="Y278" s="24" t="str">
        <f t="shared" si="176"/>
        <v>Ação catalogar</v>
      </c>
      <c r="Z278" s="47" t="s">
        <v>7383</v>
      </c>
      <c r="AA278" s="25" t="str">
        <f t="shared" si="178"/>
        <v>null</v>
      </c>
      <c r="AB278" s="26" t="s">
        <v>0</v>
      </c>
      <c r="AC278" s="25" t="str">
        <f t="shared" si="179"/>
        <v>null</v>
      </c>
      <c r="AD278" s="26" t="s">
        <v>0</v>
      </c>
      <c r="AE278" s="25" t="str">
        <f t="shared" si="185"/>
        <v>null</v>
      </c>
      <c r="AF278" s="26" t="s">
        <v>0</v>
      </c>
      <c r="AG278" s="47" t="s">
        <v>7396</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7360</v>
      </c>
      <c r="X279" s="24" t="str">
        <f t="shared" si="177"/>
        <v>catal.127</v>
      </c>
      <c r="Y279" s="24" t="str">
        <f t="shared" si="176"/>
        <v>Ação catalogar</v>
      </c>
      <c r="Z279" s="47" t="s">
        <v>7384</v>
      </c>
      <c r="AA279" s="25" t="str">
        <f t="shared" si="178"/>
        <v>null</v>
      </c>
      <c r="AB279" s="26" t="s">
        <v>0</v>
      </c>
      <c r="AC279" s="25" t="str">
        <f t="shared" si="179"/>
        <v>null</v>
      </c>
      <c r="AD279" s="26" t="s">
        <v>0</v>
      </c>
      <c r="AE279" s="25" t="str">
        <f t="shared" si="185"/>
        <v>null</v>
      </c>
      <c r="AF279" s="26" t="s">
        <v>0</v>
      </c>
      <c r="AG279" s="47" t="s">
        <v>7418</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7354</v>
      </c>
      <c r="X280" s="24" t="str">
        <f t="shared" si="177"/>
        <v>catal.128</v>
      </c>
      <c r="Y280" s="24" t="str">
        <f t="shared" si="176"/>
        <v>Ação catalogar</v>
      </c>
      <c r="Z280" s="47" t="s">
        <v>7385</v>
      </c>
      <c r="AA280" s="25" t="str">
        <f t="shared" si="178"/>
        <v>null</v>
      </c>
      <c r="AB280" s="26" t="s">
        <v>0</v>
      </c>
      <c r="AC280" s="25" t="str">
        <f t="shared" si="179"/>
        <v>null</v>
      </c>
      <c r="AD280" s="26" t="s">
        <v>0</v>
      </c>
      <c r="AE280" s="25" t="str">
        <f t="shared" si="185"/>
        <v>null</v>
      </c>
      <c r="AF280" s="26" t="s">
        <v>0</v>
      </c>
      <c r="AG280" s="47" t="s">
        <v>7419</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7353</v>
      </c>
      <c r="X281" s="24" t="str">
        <f t="shared" si="177"/>
        <v>catal.129</v>
      </c>
      <c r="Y281" s="24" t="str">
        <f t="shared" si="176"/>
        <v>Ação catalogar</v>
      </c>
      <c r="Z281" s="47" t="s">
        <v>7386</v>
      </c>
      <c r="AA281" s="25" t="str">
        <f t="shared" si="178"/>
        <v>null</v>
      </c>
      <c r="AB281" s="26" t="s">
        <v>0</v>
      </c>
      <c r="AC281" s="25" t="str">
        <f t="shared" si="179"/>
        <v>null</v>
      </c>
      <c r="AD281" s="26" t="s">
        <v>0</v>
      </c>
      <c r="AE281" s="25" t="str">
        <f t="shared" si="185"/>
        <v>null</v>
      </c>
      <c r="AF281" s="26" t="s">
        <v>0</v>
      </c>
      <c r="AG281" s="47" t="s">
        <v>7420</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7352</v>
      </c>
      <c r="X282" s="24" t="str">
        <f t="shared" si="177"/>
        <v>catal.130</v>
      </c>
      <c r="Y282" s="24" t="str">
        <f t="shared" si="176"/>
        <v>Ação catalogar</v>
      </c>
      <c r="Z282" s="47" t="s">
        <v>7387</v>
      </c>
      <c r="AA282" s="25" t="str">
        <f t="shared" si="178"/>
        <v>null</v>
      </c>
      <c r="AB282" s="26" t="s">
        <v>0</v>
      </c>
      <c r="AC282" s="25" t="str">
        <f t="shared" si="179"/>
        <v>null</v>
      </c>
      <c r="AD282" s="26" t="s">
        <v>0</v>
      </c>
      <c r="AE282" s="25" t="str">
        <f t="shared" si="185"/>
        <v>propiedade</v>
      </c>
      <c r="AF282" s="26" t="s">
        <v>2632</v>
      </c>
      <c r="AG282" s="47" t="s">
        <v>7421</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7327</v>
      </c>
      <c r="H283" s="42" t="s">
        <v>2321</v>
      </c>
      <c r="I283" s="16" t="str">
        <f t="shared" si="182"/>
        <v>null</v>
      </c>
      <c r="J283" s="13" t="s">
        <v>0</v>
      </c>
      <c r="K283" s="13" t="s">
        <v>0</v>
      </c>
      <c r="L283" s="15" t="s">
        <v>0</v>
      </c>
      <c r="M283" s="13" t="s">
        <v>0</v>
      </c>
      <c r="N283" s="15" t="s">
        <v>0</v>
      </c>
      <c r="O283" s="13" t="s">
        <v>0</v>
      </c>
      <c r="P283" s="13" t="s">
        <v>0</v>
      </c>
      <c r="Q283" s="13" t="s">
        <v>0</v>
      </c>
      <c r="R283" s="15" t="s">
        <v>7329</v>
      </c>
      <c r="S283" s="10" t="s">
        <v>1</v>
      </c>
      <c r="T283" s="10" t="s">
        <v>32</v>
      </c>
      <c r="U283" s="5" t="str">
        <f t="shared" si="183"/>
        <v>Propriedade destinada a catalogar: é.realizada.com</v>
      </c>
      <c r="V283" s="5" t="str">
        <f t="shared" si="184"/>
        <v>Dado para catalogar:  realizada.com  Deve ser formatado como (rdfs:Literal  or  xsd:string)</v>
      </c>
      <c r="W283" s="5" t="s">
        <v>7330</v>
      </c>
      <c r="X283" s="24" t="str">
        <f t="shared" si="177"/>
        <v>catal.131</v>
      </c>
      <c r="Y283" s="24" t="str">
        <f t="shared" si="176"/>
        <v>Ação catalogar</v>
      </c>
      <c r="Z283" s="47" t="s">
        <v>7331</v>
      </c>
      <c r="AA283" s="25" t="str">
        <f t="shared" si="178"/>
        <v>null</v>
      </c>
      <c r="AB283" s="26" t="s">
        <v>0</v>
      </c>
      <c r="AC283" s="25" t="str">
        <f t="shared" si="179"/>
        <v>null</v>
      </c>
      <c r="AD283" s="26" t="s">
        <v>0</v>
      </c>
      <c r="AE283" s="25" t="str">
        <f t="shared" si="185"/>
        <v>null</v>
      </c>
      <c r="AF283" s="26" t="s">
        <v>0</v>
      </c>
      <c r="AG283" s="47" t="s">
        <v>7332</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7326</v>
      </c>
      <c r="H284" s="42" t="s">
        <v>2321</v>
      </c>
      <c r="I284" s="16" t="str">
        <f t="shared" ref="I284" si="188">J284</f>
        <v>null</v>
      </c>
      <c r="J284" s="13" t="s">
        <v>0</v>
      </c>
      <c r="K284" s="13" t="s">
        <v>0</v>
      </c>
      <c r="L284" s="15" t="s">
        <v>0</v>
      </c>
      <c r="M284" s="13" t="s">
        <v>0</v>
      </c>
      <c r="N284" s="15" t="s">
        <v>0</v>
      </c>
      <c r="O284" s="13" t="s">
        <v>0</v>
      </c>
      <c r="P284" s="13" t="s">
        <v>0</v>
      </c>
      <c r="Q284" s="13" t="s">
        <v>0</v>
      </c>
      <c r="R284" s="15" t="s">
        <v>7328</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7330</v>
      </c>
      <c r="X284" s="24" t="str">
        <f t="shared" si="177"/>
        <v>catal.132</v>
      </c>
      <c r="Y284" s="24" t="str">
        <f t="shared" si="176"/>
        <v>Ação catalogar</v>
      </c>
      <c r="Z284" s="47" t="s">
        <v>7331</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7332</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5731</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7634</v>
      </c>
      <c r="X286" s="24" t="str">
        <f t="shared" si="177"/>
        <v>catal.134</v>
      </c>
      <c r="Y286" s="24" t="str">
        <f t="shared" si="176"/>
        <v>Ação catalogar</v>
      </c>
      <c r="Z286" s="47" t="s">
        <v>7394</v>
      </c>
      <c r="AA286" s="25" t="str">
        <f t="shared" si="178"/>
        <v>null</v>
      </c>
      <c r="AB286" s="26" t="s">
        <v>0</v>
      </c>
      <c r="AC286" s="25" t="str">
        <f t="shared" si="179"/>
        <v>null</v>
      </c>
      <c r="AD286" s="26" t="s">
        <v>0</v>
      </c>
      <c r="AE286" s="25" t="str">
        <f t="shared" si="185"/>
        <v>null</v>
      </c>
      <c r="AF286" s="26" t="s">
        <v>0</v>
      </c>
      <c r="AG286" s="47" t="s">
        <v>7422</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7635</v>
      </c>
      <c r="X287" s="24" t="str">
        <f t="shared" si="177"/>
        <v>catal.135</v>
      </c>
      <c r="Y287" s="24" t="str">
        <f t="shared" si="176"/>
        <v>Ação catalogar</v>
      </c>
      <c r="Z287" s="47" t="s">
        <v>7395</v>
      </c>
      <c r="AA287" s="25" t="str">
        <f t="shared" si="178"/>
        <v>null</v>
      </c>
      <c r="AB287" s="26" t="s">
        <v>0</v>
      </c>
      <c r="AC287" s="25" t="str">
        <f t="shared" si="179"/>
        <v>null</v>
      </c>
      <c r="AD287" s="26" t="s">
        <v>0</v>
      </c>
      <c r="AE287" s="25" t="str">
        <f t="shared" si="185"/>
        <v>null</v>
      </c>
      <c r="AF287" s="26" t="s">
        <v>0</v>
      </c>
      <c r="AG287" s="47" t="s">
        <v>7423</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7636</v>
      </c>
      <c r="X288" s="24" t="str">
        <f t="shared" si="177"/>
        <v>catal.136</v>
      </c>
      <c r="Y288" s="24" t="str">
        <f t="shared" si="176"/>
        <v>Ação catalogar</v>
      </c>
      <c r="Z288" s="47" t="s">
        <v>7388</v>
      </c>
      <c r="AA288" s="25" t="str">
        <f t="shared" si="178"/>
        <v>null</v>
      </c>
      <c r="AB288" s="26" t="s">
        <v>0</v>
      </c>
      <c r="AC288" s="25" t="str">
        <f t="shared" si="179"/>
        <v>null</v>
      </c>
      <c r="AD288" s="26" t="s">
        <v>0</v>
      </c>
      <c r="AE288" s="25" t="str">
        <f t="shared" si="185"/>
        <v>null</v>
      </c>
      <c r="AF288" s="26" t="s">
        <v>0</v>
      </c>
      <c r="AG288" s="47" t="s">
        <v>7424</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7637</v>
      </c>
      <c r="X289" s="24" t="str">
        <f t="shared" si="177"/>
        <v>catal.137</v>
      </c>
      <c r="Y289" s="24" t="str">
        <f t="shared" si="176"/>
        <v>Ação catalogar</v>
      </c>
      <c r="Z289" s="47" t="s">
        <v>7389</v>
      </c>
      <c r="AA289" s="25" t="str">
        <f t="shared" si="178"/>
        <v>null</v>
      </c>
      <c r="AB289" s="26" t="s">
        <v>0</v>
      </c>
      <c r="AC289" s="25" t="str">
        <f t="shared" si="179"/>
        <v>null</v>
      </c>
      <c r="AD289" s="26" t="s">
        <v>0</v>
      </c>
      <c r="AE289" s="25" t="str">
        <f t="shared" si="185"/>
        <v>null</v>
      </c>
      <c r="AF289" s="26" t="s">
        <v>0</v>
      </c>
      <c r="AG289" s="47" t="s">
        <v>7425</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7638</v>
      </c>
      <c r="X290" s="24" t="str">
        <f t="shared" si="177"/>
        <v>catal.138</v>
      </c>
      <c r="Y290" s="24" t="str">
        <f t="shared" si="176"/>
        <v>Ação catalogar</v>
      </c>
      <c r="Z290" s="47" t="s">
        <v>7390</v>
      </c>
      <c r="AA290" s="25" t="str">
        <f t="shared" si="178"/>
        <v>null</v>
      </c>
      <c r="AB290" s="26" t="s">
        <v>0</v>
      </c>
      <c r="AC290" s="25" t="str">
        <f t="shared" si="179"/>
        <v>null</v>
      </c>
      <c r="AD290" s="26" t="s">
        <v>0</v>
      </c>
      <c r="AE290" s="25" t="str">
        <f t="shared" si="185"/>
        <v>null</v>
      </c>
      <c r="AF290" s="26" t="s">
        <v>0</v>
      </c>
      <c r="AG290" s="47" t="s">
        <v>7426</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7510</v>
      </c>
      <c r="H291" s="41" t="s">
        <v>2321</v>
      </c>
      <c r="I291" s="16" t="str">
        <f t="shared" si="182"/>
        <v>null</v>
      </c>
      <c r="J291" s="13" t="s">
        <v>0</v>
      </c>
      <c r="K291" s="13" t="s">
        <v>0</v>
      </c>
      <c r="L291" s="13" t="s">
        <v>0</v>
      </c>
      <c r="M291" s="13" t="s">
        <v>0</v>
      </c>
      <c r="N291" s="15" t="s">
        <v>0</v>
      </c>
      <c r="O291" s="13" t="s">
        <v>0</v>
      </c>
      <c r="P291" s="13" t="s">
        <v>0</v>
      </c>
      <c r="Q291" s="13" t="s">
        <v>0</v>
      </c>
      <c r="R291" s="66" t="s">
        <v>7512</v>
      </c>
      <c r="S291" s="10" t="s">
        <v>1</v>
      </c>
      <c r="T291" s="10" t="s">
        <v>32</v>
      </c>
      <c r="U291" s="5" t="str">
        <f t="shared" si="183"/>
        <v>Propriedade destinada a catalogar: é.substituída.por</v>
      </c>
      <c r="V291" s="5" t="str">
        <f t="shared" si="184"/>
        <v>Dado para catalogar:  substituída.por  Deve ser formatado como (rdfs:Literal  or  xsd:string)</v>
      </c>
      <c r="W291" s="5" t="s">
        <v>7639</v>
      </c>
      <c r="X291" s="24" t="str">
        <f t="shared" si="177"/>
        <v>catal.139</v>
      </c>
      <c r="Y291" s="24" t="str">
        <f t="shared" si="176"/>
        <v>Ação catalogar</v>
      </c>
      <c r="Z291" s="47" t="s">
        <v>4599</v>
      </c>
      <c r="AA291" s="25" t="str">
        <f t="shared" si="178"/>
        <v>null</v>
      </c>
      <c r="AB291" s="26" t="s">
        <v>0</v>
      </c>
      <c r="AC291" s="25" t="str">
        <f t="shared" si="179"/>
        <v>null</v>
      </c>
      <c r="AD291" s="26" t="s">
        <v>0</v>
      </c>
      <c r="AE291" s="25" t="str">
        <f t="shared" si="185"/>
        <v>null</v>
      </c>
      <c r="AF291" s="26" t="s">
        <v>0</v>
      </c>
      <c r="AG291" s="47" t="s">
        <v>7427</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7511</v>
      </c>
      <c r="H292" s="41" t="s">
        <v>2321</v>
      </c>
      <c r="I292" s="16" t="str">
        <f t="shared" si="182"/>
        <v>null</v>
      </c>
      <c r="J292" s="13" t="s">
        <v>0</v>
      </c>
      <c r="K292" s="13" t="s">
        <v>0</v>
      </c>
      <c r="L292" s="13" t="s">
        <v>0</v>
      </c>
      <c r="M292" s="13" t="s">
        <v>0</v>
      </c>
      <c r="N292" s="15" t="s">
        <v>0</v>
      </c>
      <c r="O292" s="13" t="s">
        <v>0</v>
      </c>
      <c r="P292" s="13" t="s">
        <v>0</v>
      </c>
      <c r="Q292" s="13" t="s">
        <v>0</v>
      </c>
      <c r="R292" s="66" t="s">
        <v>7513</v>
      </c>
      <c r="S292" s="10" t="s">
        <v>1</v>
      </c>
      <c r="T292" s="10" t="s">
        <v>32</v>
      </c>
      <c r="U292" s="5" t="str">
        <f t="shared" si="183"/>
        <v>Propriedade destinada a catalogar: é.substituído.por</v>
      </c>
      <c r="V292" s="5" t="str">
        <f t="shared" si="184"/>
        <v>Dado para catalogar:  substituído.por  Deve ser formatado como (rdfs:Literal  or  xsd:string)</v>
      </c>
      <c r="W292" s="5" t="s">
        <v>5732</v>
      </c>
      <c r="X292" s="24" t="str">
        <f t="shared" si="177"/>
        <v>catal.140</v>
      </c>
      <c r="Y292" s="24" t="str">
        <f t="shared" si="176"/>
        <v>Ação catalogar</v>
      </c>
      <c r="Z292" s="47" t="s">
        <v>4599</v>
      </c>
      <c r="AA292" s="25" t="str">
        <f t="shared" si="178"/>
        <v>null</v>
      </c>
      <c r="AB292" s="26" t="s">
        <v>0</v>
      </c>
      <c r="AC292" s="25" t="str">
        <f t="shared" si="179"/>
        <v>null</v>
      </c>
      <c r="AD292" s="26" t="s">
        <v>0</v>
      </c>
      <c r="AE292" s="25" t="str">
        <f t="shared" si="185"/>
        <v>null</v>
      </c>
      <c r="AF292" s="26" t="s">
        <v>0</v>
      </c>
      <c r="AG292" s="47" t="s">
        <v>7428</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5733</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7429</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5734</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5735</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5736</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5737</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5738</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5739</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5426</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5740</v>
      </c>
      <c r="X300" s="24" t="str">
        <f t="shared" si="177"/>
        <v>circu.100</v>
      </c>
      <c r="Y300" s="24" t="str">
        <f t="shared" si="176"/>
        <v>Ação circular</v>
      </c>
      <c r="Z300" s="47" t="s">
        <v>5039</v>
      </c>
      <c r="AA300" s="25" t="str">
        <f t="shared" si="178"/>
        <v>categoria.revit</v>
      </c>
      <c r="AB300" s="26" t="s">
        <v>3928</v>
      </c>
      <c r="AC300" s="25" t="str">
        <f t="shared" si="179"/>
        <v>classe.ifc</v>
      </c>
      <c r="AD300" s="26" t="s">
        <v>3891</v>
      </c>
      <c r="AE300" s="25" t="str">
        <f t="shared" si="185"/>
        <v>null</v>
      </c>
      <c r="AF300" s="26" t="s">
        <v>0</v>
      </c>
      <c r="AG300" s="47" t="s">
        <v>5223</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5412</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5741</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5413</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5742</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5115</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5414</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5743</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5415</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5744</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5416</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5745</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5116</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5417</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5746</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5117</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5418</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5747</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5419</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5748</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5420</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5749</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5421</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5750</v>
      </c>
      <c r="X310" s="24" t="str">
        <f t="shared" si="177"/>
        <v>circu.110</v>
      </c>
      <c r="Y310" s="24" t="str">
        <f t="shared" si="176"/>
        <v>Ação circular</v>
      </c>
      <c r="Z310" s="47" t="s">
        <v>5429</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5431</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5427</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5751</v>
      </c>
      <c r="X311" s="24" t="str">
        <f t="shared" si="177"/>
        <v>circu.111</v>
      </c>
      <c r="Y311" s="24" t="str">
        <f t="shared" si="176"/>
        <v>Ação circular</v>
      </c>
      <c r="Z311" s="47" t="s">
        <v>5430</v>
      </c>
      <c r="AA311" s="25" t="str">
        <f t="shared" si="200"/>
        <v>categoria.revit</v>
      </c>
      <c r="AB311" s="26" t="s">
        <v>3928</v>
      </c>
      <c r="AC311" s="25" t="str">
        <f t="shared" si="201"/>
        <v>classe.ifc</v>
      </c>
      <c r="AD311" s="26" t="s">
        <v>3891</v>
      </c>
      <c r="AE311" s="25" t="str">
        <f t="shared" si="202"/>
        <v>null</v>
      </c>
      <c r="AF311" s="26" t="s">
        <v>0</v>
      </c>
      <c r="AG311" s="47" t="s">
        <v>5432</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5428</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5752</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5118</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5422</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5753</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5423</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5754</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5424</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5755</v>
      </c>
      <c r="X315" s="24" t="str">
        <f t="shared" si="177"/>
        <v>circu.115</v>
      </c>
      <c r="Y315" s="24" t="str">
        <f t="shared" si="176"/>
        <v>Ação circular</v>
      </c>
      <c r="Z315" s="47" t="s">
        <v>4390</v>
      </c>
      <c r="AA315" s="25" t="str">
        <f t="shared" si="178"/>
        <v>categoria.revit</v>
      </c>
      <c r="AB315" s="26" t="s">
        <v>3928</v>
      </c>
      <c r="AC315" s="25" t="str">
        <f t="shared" si="179"/>
        <v>classe.ifc</v>
      </c>
      <c r="AD315" s="26" t="s">
        <v>3891</v>
      </c>
      <c r="AE315" s="25" t="str">
        <f t="shared" si="185"/>
        <v>null</v>
      </c>
      <c r="AF315" s="26" t="s">
        <v>0</v>
      </c>
      <c r="AG315" s="47" t="s">
        <v>4450</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5425</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5756</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5757</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5224</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5758</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5759</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5760</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5761</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5275</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5762</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5763</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5764</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5119</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5765</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5766</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5767</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5768</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5769</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5770</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5771</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5772</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5773</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5774</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5775</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5776</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5777</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5778</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5779</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5780</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5781</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5782</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5783</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5784</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5785</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5786</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5787</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5788</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5789</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5790</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5791</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5792</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5793</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5794</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5795</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5796</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5797</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5798</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5287</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5799</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5800</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5801</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5802</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5803</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5804</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5805</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5461</v>
      </c>
      <c r="G366" s="18" t="s">
        <v>5458</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5806</v>
      </c>
      <c r="X366" s="24" t="str">
        <f t="shared" si="205"/>
        <v>colab.100</v>
      </c>
      <c r="Y366" s="24" t="str">
        <f t="shared" si="204"/>
        <v>Ação colaborar</v>
      </c>
      <c r="Z366" s="47" t="s">
        <v>7161</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7187</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5457</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5807</v>
      </c>
      <c r="X367" s="24" t="str">
        <f t="shared" si="205"/>
        <v>colab.101</v>
      </c>
      <c r="Y367" s="24" t="str">
        <f t="shared" si="204"/>
        <v>Ação colaborar</v>
      </c>
      <c r="Z367" s="47" t="s">
        <v>7162</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7188</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5460</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5808</v>
      </c>
      <c r="X368" s="24" t="str">
        <f t="shared" si="205"/>
        <v>colab.102</v>
      </c>
      <c r="Y368" s="24" t="str">
        <f t="shared" si="204"/>
        <v>Ação colaborar</v>
      </c>
      <c r="Z368" s="47" t="s">
        <v>7163</v>
      </c>
      <c r="AA368" s="25" t="str">
        <f t="shared" si="219"/>
        <v>null</v>
      </c>
      <c r="AB368" s="26" t="s">
        <v>0</v>
      </c>
      <c r="AC368" s="25" t="str">
        <f t="shared" si="220"/>
        <v>null</v>
      </c>
      <c r="AD368" s="26" t="s">
        <v>0</v>
      </c>
      <c r="AE368" s="25" t="str">
        <f t="shared" si="221"/>
        <v>null</v>
      </c>
      <c r="AF368" s="26" t="s">
        <v>0</v>
      </c>
      <c r="AG368" s="47" t="s">
        <v>7189</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5459</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5809</v>
      </c>
      <c r="X369" s="24" t="str">
        <f t="shared" si="205"/>
        <v>colab.103</v>
      </c>
      <c r="Y369" s="24" t="str">
        <f t="shared" si="204"/>
        <v>Ação colaborar</v>
      </c>
      <c r="Z369" s="47" t="s">
        <v>7164</v>
      </c>
      <c r="AA369" s="25" t="str">
        <f t="shared" si="219"/>
        <v>null</v>
      </c>
      <c r="AB369" s="26" t="s">
        <v>0</v>
      </c>
      <c r="AC369" s="25" t="str">
        <f t="shared" si="220"/>
        <v>null</v>
      </c>
      <c r="AD369" s="26" t="s">
        <v>0</v>
      </c>
      <c r="AE369" s="25" t="str">
        <f t="shared" si="221"/>
        <v>null</v>
      </c>
      <c r="AF369" s="26" t="s">
        <v>0</v>
      </c>
      <c r="AG369" s="47" t="s">
        <v>7190</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5810</v>
      </c>
      <c r="X370" s="24" t="str">
        <f t="shared" si="205"/>
        <v>compo.100</v>
      </c>
      <c r="Y370" s="24" t="str">
        <f t="shared" si="204"/>
        <v>Ação compor</v>
      </c>
      <c r="Z370" s="47" t="s">
        <v>7165</v>
      </c>
      <c r="AA370" s="25" t="str">
        <f t="shared" si="211"/>
        <v>null</v>
      </c>
      <c r="AB370" s="26" t="s">
        <v>0</v>
      </c>
      <c r="AC370" s="25" t="str">
        <f t="shared" si="212"/>
        <v>null</v>
      </c>
      <c r="AD370" s="26" t="s">
        <v>0</v>
      </c>
      <c r="AE370" s="25" t="str">
        <f t="shared" si="210"/>
        <v>null</v>
      </c>
      <c r="AF370" s="26" t="s">
        <v>0</v>
      </c>
      <c r="AG370" s="47" t="s">
        <v>7191</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5811</v>
      </c>
      <c r="X371" s="24" t="str">
        <f t="shared" si="205"/>
        <v>compo.101</v>
      </c>
      <c r="Y371" s="24" t="str">
        <f t="shared" si="204"/>
        <v>Ação compor</v>
      </c>
      <c r="Z371" s="47" t="s">
        <v>7166</v>
      </c>
      <c r="AA371" s="25" t="str">
        <f t="shared" si="211"/>
        <v>null</v>
      </c>
      <c r="AB371" s="26" t="s">
        <v>0</v>
      </c>
      <c r="AC371" s="25" t="str">
        <f t="shared" si="212"/>
        <v>null</v>
      </c>
      <c r="AD371" s="26" t="s">
        <v>0</v>
      </c>
      <c r="AE371" s="25" t="str">
        <f t="shared" si="210"/>
        <v>null</v>
      </c>
      <c r="AF371" s="26" t="s">
        <v>0</v>
      </c>
      <c r="AG371" s="47" t="s">
        <v>7192</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5812</v>
      </c>
      <c r="X372" s="24" t="str">
        <f t="shared" si="205"/>
        <v>compo.102</v>
      </c>
      <c r="Y372" s="24" t="str">
        <f t="shared" si="204"/>
        <v>Ação compor</v>
      </c>
      <c r="Z372" s="47" t="s">
        <v>7167</v>
      </c>
      <c r="AA372" s="25" t="str">
        <f t="shared" si="211"/>
        <v>null</v>
      </c>
      <c r="AB372" s="26" t="s">
        <v>0</v>
      </c>
      <c r="AC372" s="25" t="str">
        <f t="shared" si="212"/>
        <v>null</v>
      </c>
      <c r="AD372" s="26" t="s">
        <v>0</v>
      </c>
      <c r="AE372" s="25" t="str">
        <f t="shared" si="210"/>
        <v>null</v>
      </c>
      <c r="AF372" s="26" t="s">
        <v>0</v>
      </c>
      <c r="AG372" s="47" t="s">
        <v>7193</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5813</v>
      </c>
      <c r="X373" s="24" t="str">
        <f t="shared" si="205"/>
        <v>compo.103</v>
      </c>
      <c r="Y373" s="24" t="str">
        <f t="shared" si="204"/>
        <v>Ação compor</v>
      </c>
      <c r="Z373" s="47" t="s">
        <v>7168</v>
      </c>
      <c r="AA373" s="25" t="str">
        <f t="shared" si="211"/>
        <v>null</v>
      </c>
      <c r="AB373" s="26" t="s">
        <v>0</v>
      </c>
      <c r="AC373" s="25" t="str">
        <f t="shared" si="212"/>
        <v>null</v>
      </c>
      <c r="AD373" s="26" t="s">
        <v>0</v>
      </c>
      <c r="AE373" s="25" t="str">
        <f t="shared" si="210"/>
        <v>null</v>
      </c>
      <c r="AF373" s="26" t="s">
        <v>0</v>
      </c>
      <c r="AG373" s="47" t="s">
        <v>7194</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5814</v>
      </c>
      <c r="X374" s="24" t="str">
        <f t="shared" si="205"/>
        <v>compo.104</v>
      </c>
      <c r="Y374" s="24" t="str">
        <f t="shared" si="204"/>
        <v>Ação compor</v>
      </c>
      <c r="Z374" s="47" t="s">
        <v>7169</v>
      </c>
      <c r="AA374" s="25" t="str">
        <f t="shared" si="211"/>
        <v>null</v>
      </c>
      <c r="AB374" s="26" t="s">
        <v>0</v>
      </c>
      <c r="AC374" s="25" t="str">
        <f t="shared" si="212"/>
        <v>null</v>
      </c>
      <c r="AD374" s="26" t="s">
        <v>0</v>
      </c>
      <c r="AE374" s="25" t="str">
        <f t="shared" si="210"/>
        <v>null</v>
      </c>
      <c r="AF374" s="26" t="s">
        <v>0</v>
      </c>
      <c r="AG374" s="47" t="s">
        <v>7195</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5815</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5816</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5817</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5818</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5819</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5820</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5821</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5822</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5225</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5823</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5226</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5824</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5825</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5826</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5827</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7508</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7614</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5828</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5829</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5120</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5830</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5121</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5831</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5122</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5832</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5833</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5123</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5834</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5124</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4542</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5835</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5125</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5836</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5126</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5837</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5127</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5838</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5128</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5839</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5129</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5840</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5130</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5841</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5131</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5842</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5132</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5843</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7242</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7243</v>
      </c>
      <c r="X405" s="24" t="str">
        <f t="shared" si="234"/>
        <v>conse.112</v>
      </c>
      <c r="Y405" s="24" t="str">
        <f t="shared" si="233"/>
        <v>Ação conservar</v>
      </c>
      <c r="Z405" s="47" t="s">
        <v>7244</v>
      </c>
      <c r="AA405" s="25" t="str">
        <f t="shared" si="241"/>
        <v>null</v>
      </c>
      <c r="AB405" s="26" t="s">
        <v>0</v>
      </c>
      <c r="AC405" s="25" t="str">
        <f t="shared" si="242"/>
        <v>null</v>
      </c>
      <c r="AD405" s="26" t="s">
        <v>0</v>
      </c>
      <c r="AE405" s="25" t="str">
        <f t="shared" si="240"/>
        <v>null</v>
      </c>
      <c r="AF405" s="26" t="s">
        <v>0</v>
      </c>
      <c r="AG405" s="47" t="s">
        <v>7245</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5844</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5845</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5846</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5133</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5847</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5848</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5849</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5850</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5134</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5851</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5135</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5852</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5136</v>
      </c>
    </row>
    <row r="415" spans="1:33" ht="6" customHeight="1" x14ac:dyDescent="0.4">
      <c r="A415" s="4">
        <f>ROW()</f>
        <v>415</v>
      </c>
      <c r="B415" s="9" t="s">
        <v>27</v>
      </c>
      <c r="C415" s="54" t="str">
        <f t="shared" si="236"/>
        <v>p.controlar</v>
      </c>
      <c r="D415" s="6" t="str">
        <f t="shared" si="237"/>
        <v>é.válvula</v>
      </c>
      <c r="E415" s="8" t="s">
        <v>28</v>
      </c>
      <c r="F415" s="51" t="s">
        <v>639</v>
      </c>
      <c r="G415" s="17" t="s">
        <v>4849</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5853</v>
      </c>
      <c r="X415" s="24" t="str">
        <f t="shared" si="234"/>
        <v>contr.100</v>
      </c>
      <c r="Y415" s="24" t="str">
        <f t="shared" si="233"/>
        <v>Ação controlar</v>
      </c>
      <c r="Z415" s="47" t="s">
        <v>4391</v>
      </c>
      <c r="AA415" s="25" t="str">
        <f t="shared" si="241"/>
        <v>categoria.revit</v>
      </c>
      <c r="AB415" s="26" t="s">
        <v>3935</v>
      </c>
      <c r="AC415" s="25" t="str">
        <f t="shared" si="242"/>
        <v>classe.ifc</v>
      </c>
      <c r="AD415" s="26" t="s">
        <v>3896</v>
      </c>
      <c r="AE415" s="25" t="str">
        <f t="shared" si="240"/>
        <v>null</v>
      </c>
      <c r="AF415" s="26" t="s">
        <v>0</v>
      </c>
      <c r="AG415" s="47" t="s">
        <v>4451</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4848</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5854</v>
      </c>
      <c r="X416" s="24" t="str">
        <f t="shared" si="234"/>
        <v>contr.101</v>
      </c>
      <c r="Y416" s="24" t="str">
        <f t="shared" si="233"/>
        <v>Ação controlar</v>
      </c>
      <c r="Z416" s="47" t="s">
        <v>4741</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4740</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5855</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5137</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5856</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5227</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5857</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5138</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5858</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5139</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5859</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5140</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5860</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5228</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5861</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5229</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5862</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5230</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5863</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5141</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5864</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5142</v>
      </c>
    </row>
    <row r="427" spans="1:33" ht="6" customHeight="1" x14ac:dyDescent="0.4">
      <c r="A427" s="4">
        <f>ROW()</f>
        <v>427</v>
      </c>
      <c r="B427" s="9" t="s">
        <v>27</v>
      </c>
      <c r="C427" s="54" t="str">
        <f t="shared" si="252"/>
        <v>p.coordenar</v>
      </c>
      <c r="D427" s="6" t="str">
        <f t="shared" si="253"/>
        <v>é.disciplina.coordenada</v>
      </c>
      <c r="E427" s="8" t="s">
        <v>28</v>
      </c>
      <c r="F427" s="51" t="s">
        <v>5466</v>
      </c>
      <c r="G427" s="17" t="s">
        <v>5467</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5865</v>
      </c>
      <c r="X427" s="24" t="str">
        <f t="shared" si="234"/>
        <v>coord.100</v>
      </c>
      <c r="Y427" s="24" t="str">
        <f t="shared" si="233"/>
        <v>Ação coordenar</v>
      </c>
      <c r="Z427" s="47" t="s">
        <v>7170</v>
      </c>
      <c r="AA427" s="25" t="str">
        <f t="shared" si="258"/>
        <v>null</v>
      </c>
      <c r="AB427" s="26" t="s">
        <v>0</v>
      </c>
      <c r="AC427" s="25" t="str">
        <f t="shared" si="259"/>
        <v>null</v>
      </c>
      <c r="AD427" s="26" t="s">
        <v>0</v>
      </c>
      <c r="AE427" s="25" t="str">
        <f t="shared" si="260"/>
        <v>null</v>
      </c>
      <c r="AF427" s="26" t="s">
        <v>0</v>
      </c>
      <c r="AG427" s="47" t="s">
        <v>7196</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7514</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5866</v>
      </c>
      <c r="X428" s="24" t="str">
        <f t="shared" si="234"/>
        <v>coord.101</v>
      </c>
      <c r="Y428" s="24" t="str">
        <f t="shared" si="233"/>
        <v>Ação coordenar</v>
      </c>
      <c r="Z428" s="47" t="s">
        <v>7171</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7197</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7515</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5867</v>
      </c>
      <c r="X429" s="24" t="str">
        <f t="shared" si="234"/>
        <v>coord.102</v>
      </c>
      <c r="Y429" s="24" t="str">
        <f t="shared" si="233"/>
        <v>Ação coordenar</v>
      </c>
      <c r="Z429" s="47" t="s">
        <v>7172</v>
      </c>
      <c r="AA429" s="25" t="str">
        <f t="shared" si="258"/>
        <v>null</v>
      </c>
      <c r="AB429" s="26" t="s">
        <v>0</v>
      </c>
      <c r="AC429" s="25" t="str">
        <f t="shared" si="259"/>
        <v>null</v>
      </c>
      <c r="AD429" s="26" t="s">
        <v>0</v>
      </c>
      <c r="AE429" s="25" t="str">
        <f t="shared" si="260"/>
        <v>null</v>
      </c>
      <c r="AF429" s="26" t="s">
        <v>0</v>
      </c>
      <c r="AG429" s="47" t="s">
        <v>7198</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5468</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5868</v>
      </c>
      <c r="X430" s="24" t="str">
        <f t="shared" si="234"/>
        <v>coord.103</v>
      </c>
      <c r="Y430" s="24" t="str">
        <f t="shared" si="233"/>
        <v>Ação coordenar</v>
      </c>
      <c r="Z430" s="47" t="s">
        <v>7173</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7199</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5470</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5869</v>
      </c>
      <c r="X431" s="24" t="str">
        <f t="shared" si="234"/>
        <v>coord.104</v>
      </c>
      <c r="Y431" s="24" t="str">
        <f t="shared" si="233"/>
        <v>Ação coordenar</v>
      </c>
      <c r="Z431" s="47" t="s">
        <v>7174</v>
      </c>
      <c r="AA431" s="25" t="str">
        <f t="shared" si="258"/>
        <v>null</v>
      </c>
      <c r="AB431" s="26" t="s">
        <v>0</v>
      </c>
      <c r="AC431" s="25" t="str">
        <f t="shared" si="259"/>
        <v>null</v>
      </c>
      <c r="AD431" s="26" t="s">
        <v>0</v>
      </c>
      <c r="AE431" s="25" t="str">
        <f t="shared" si="260"/>
        <v>null</v>
      </c>
      <c r="AF431" s="26" t="s">
        <v>0</v>
      </c>
      <c r="AG431" s="47" t="s">
        <v>7200</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5469</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5870</v>
      </c>
      <c r="X432" s="24" t="str">
        <f t="shared" si="234"/>
        <v>coord.105</v>
      </c>
      <c r="Y432" s="24" t="str">
        <f t="shared" si="233"/>
        <v>Ação coordenar</v>
      </c>
      <c r="Z432" s="47" t="s">
        <v>7175</v>
      </c>
      <c r="AA432" s="25" t="str">
        <f t="shared" si="258"/>
        <v>null</v>
      </c>
      <c r="AB432" s="26" t="s">
        <v>0</v>
      </c>
      <c r="AC432" s="25" t="str">
        <f t="shared" si="259"/>
        <v>null</v>
      </c>
      <c r="AD432" s="26" t="s">
        <v>0</v>
      </c>
      <c r="AE432" s="25" t="str">
        <f t="shared" si="260"/>
        <v>null</v>
      </c>
      <c r="AF432" s="26" t="s">
        <v>0</v>
      </c>
      <c r="AG432" s="47" t="s">
        <v>7201</v>
      </c>
    </row>
    <row r="433" spans="1:33" ht="6" customHeight="1" x14ac:dyDescent="0.4">
      <c r="A433" s="4">
        <f>ROW()</f>
        <v>433</v>
      </c>
      <c r="B433" s="9" t="s">
        <v>27</v>
      </c>
      <c r="C433" s="54" t="str">
        <f t="shared" si="252"/>
        <v>p.dançar</v>
      </c>
      <c r="D433" s="6" t="str">
        <f t="shared" si="253"/>
        <v>é.coreto</v>
      </c>
      <c r="E433" s="8" t="s">
        <v>28</v>
      </c>
      <c r="F433" s="51" t="s">
        <v>5387</v>
      </c>
      <c r="G433" s="18" t="s">
        <v>5391</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5871</v>
      </c>
      <c r="X433" s="24" t="str">
        <f t="shared" si="234"/>
        <v>dança.100</v>
      </c>
      <c r="Y433" s="24" t="str">
        <f t="shared" si="233"/>
        <v>Ação dançar</v>
      </c>
      <c r="Z433" s="47" t="s">
        <v>5396</v>
      </c>
      <c r="AA433" s="25" t="str">
        <f t="shared" si="258"/>
        <v>null</v>
      </c>
      <c r="AB433" s="26" t="s">
        <v>0</v>
      </c>
      <c r="AC433" s="25" t="str">
        <f t="shared" si="259"/>
        <v>null</v>
      </c>
      <c r="AD433" s="26" t="s">
        <v>0</v>
      </c>
      <c r="AE433" s="25" t="str">
        <f t="shared" si="260"/>
        <v>null</v>
      </c>
      <c r="AF433" s="26" t="s">
        <v>0</v>
      </c>
      <c r="AG433" s="47" t="s">
        <v>5411</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5395</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5872</v>
      </c>
      <c r="X434" s="24" t="str">
        <f t="shared" si="234"/>
        <v>dança.101</v>
      </c>
      <c r="Y434" s="24" t="str">
        <f t="shared" si="233"/>
        <v>Ação dançar</v>
      </c>
      <c r="Z434" s="47" t="s">
        <v>5397</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5404</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5388</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5873</v>
      </c>
      <c r="X435" s="24" t="str">
        <f t="shared" si="234"/>
        <v>dança.102</v>
      </c>
      <c r="Y435" s="24" t="str">
        <f t="shared" si="233"/>
        <v>Ação dançar</v>
      </c>
      <c r="Z435" s="47" t="s">
        <v>5398</v>
      </c>
      <c r="AA435" s="25" t="str">
        <f t="shared" si="284"/>
        <v>null</v>
      </c>
      <c r="AB435" s="26" t="s">
        <v>0</v>
      </c>
      <c r="AC435" s="25" t="str">
        <f t="shared" si="285"/>
        <v>null</v>
      </c>
      <c r="AD435" s="26" t="s">
        <v>0</v>
      </c>
      <c r="AE435" s="25" t="str">
        <f t="shared" si="286"/>
        <v>null</v>
      </c>
      <c r="AF435" s="26" t="s">
        <v>0</v>
      </c>
      <c r="AG435" s="47" t="s">
        <v>5405</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5394</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5874</v>
      </c>
      <c r="X436" s="24" t="str">
        <f t="shared" si="234"/>
        <v>dança.103</v>
      </c>
      <c r="Y436" s="24" t="str">
        <f t="shared" si="233"/>
        <v>Ação dançar</v>
      </c>
      <c r="Z436" s="47" t="s">
        <v>5399</v>
      </c>
      <c r="AA436" s="25" t="str">
        <f t="shared" si="284"/>
        <v>null</v>
      </c>
      <c r="AB436" s="26" t="s">
        <v>0</v>
      </c>
      <c r="AC436" s="25" t="str">
        <f t="shared" si="285"/>
        <v>null</v>
      </c>
      <c r="AD436" s="26" t="s">
        <v>0</v>
      </c>
      <c r="AE436" s="25" t="str">
        <f t="shared" si="286"/>
        <v>null</v>
      </c>
      <c r="AF436" s="26" t="s">
        <v>0</v>
      </c>
      <c r="AG436" s="47" t="s">
        <v>5406</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5389</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5875</v>
      </c>
      <c r="X437" s="24" t="str">
        <f t="shared" si="234"/>
        <v>dança.104</v>
      </c>
      <c r="Y437" s="24" t="str">
        <f t="shared" si="233"/>
        <v>Ação dançar</v>
      </c>
      <c r="Z437" s="47" t="s">
        <v>5402</v>
      </c>
      <c r="AA437" s="25" t="str">
        <f t="shared" si="284"/>
        <v>null</v>
      </c>
      <c r="AB437" s="26" t="s">
        <v>0</v>
      </c>
      <c r="AC437" s="25" t="str">
        <f t="shared" si="285"/>
        <v>null</v>
      </c>
      <c r="AD437" s="26" t="s">
        <v>0</v>
      </c>
      <c r="AE437" s="25" t="str">
        <f t="shared" si="286"/>
        <v>null</v>
      </c>
      <c r="AF437" s="26" t="s">
        <v>0</v>
      </c>
      <c r="AG437" s="47" t="s">
        <v>5407</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5393</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5876</v>
      </c>
      <c r="X438" s="24" t="str">
        <f t="shared" si="234"/>
        <v>dança.105</v>
      </c>
      <c r="Y438" s="24" t="str">
        <f t="shared" si="233"/>
        <v>Ação dançar</v>
      </c>
      <c r="Z438" s="47" t="s">
        <v>5400</v>
      </c>
      <c r="AA438" s="25" t="str">
        <f t="shared" si="284"/>
        <v>null</v>
      </c>
      <c r="AB438" s="26" t="s">
        <v>0</v>
      </c>
      <c r="AC438" s="25" t="str">
        <f t="shared" si="285"/>
        <v>null</v>
      </c>
      <c r="AD438" s="26" t="s">
        <v>0</v>
      </c>
      <c r="AE438" s="25" t="str">
        <f t="shared" si="286"/>
        <v>null</v>
      </c>
      <c r="AF438" s="26" t="s">
        <v>0</v>
      </c>
      <c r="AG438" s="47" t="s">
        <v>5408</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5392</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5877</v>
      </c>
      <c r="X439" s="24" t="str">
        <f t="shared" si="234"/>
        <v>dança.106</v>
      </c>
      <c r="Y439" s="24" t="str">
        <f t="shared" si="233"/>
        <v>Ação dançar</v>
      </c>
      <c r="Z439" s="47" t="s">
        <v>5403</v>
      </c>
      <c r="AA439" s="25" t="str">
        <f t="shared" si="284"/>
        <v>null</v>
      </c>
      <c r="AB439" s="26" t="s">
        <v>0</v>
      </c>
      <c r="AC439" s="25" t="str">
        <f t="shared" si="285"/>
        <v>null</v>
      </c>
      <c r="AD439" s="26" t="s">
        <v>0</v>
      </c>
      <c r="AE439" s="25" t="str">
        <f t="shared" si="286"/>
        <v>null</v>
      </c>
      <c r="AF439" s="26" t="s">
        <v>0</v>
      </c>
      <c r="AG439" s="47" t="s">
        <v>5409</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5390</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5878</v>
      </c>
      <c r="X440" s="24" t="str">
        <f t="shared" si="234"/>
        <v>dança.107</v>
      </c>
      <c r="Y440" s="24" t="str">
        <f t="shared" si="233"/>
        <v>Ação dançar</v>
      </c>
      <c r="Z440" s="47" t="s">
        <v>5401</v>
      </c>
      <c r="AA440" s="25" t="str">
        <f t="shared" si="284"/>
        <v>null</v>
      </c>
      <c r="AB440" s="26" t="s">
        <v>0</v>
      </c>
      <c r="AC440" s="25" t="str">
        <f t="shared" si="285"/>
        <v>null</v>
      </c>
      <c r="AD440" s="26" t="s">
        <v>0</v>
      </c>
      <c r="AE440" s="25" t="str">
        <f t="shared" si="286"/>
        <v>null</v>
      </c>
      <c r="AF440" s="26" t="s">
        <v>0</v>
      </c>
      <c r="AG440" s="47" t="s">
        <v>5410</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5879</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5231</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5880</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5881</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5882</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5883</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5884</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5885</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5886</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5887</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4865</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5888</v>
      </c>
      <c r="X450" s="24" t="str">
        <f t="shared" si="234"/>
        <v>deriv.100</v>
      </c>
      <c r="Y450" s="24" t="str">
        <f t="shared" ref="Y450:Y513" si="302">_xlfn.CONCAT("Ação ", SUBSTITUTE(F450, "d.",  ""))</f>
        <v>Ação derivar</v>
      </c>
      <c r="Z450" s="47" t="s">
        <v>4392</v>
      </c>
      <c r="AA450" s="25" t="str">
        <f t="shared" si="241"/>
        <v>categoria.revit</v>
      </c>
      <c r="AB450" s="26" t="s">
        <v>3936</v>
      </c>
      <c r="AC450" s="25" t="str">
        <f t="shared" si="242"/>
        <v>classe.ifc</v>
      </c>
      <c r="AD450" s="26" t="s">
        <v>3886</v>
      </c>
      <c r="AE450" s="25" t="str">
        <f t="shared" si="240"/>
        <v>null</v>
      </c>
      <c r="AF450" s="26" t="s">
        <v>0</v>
      </c>
      <c r="AG450" s="47" t="s">
        <v>4452</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7616</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7617</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7618</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7516</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7619</v>
      </c>
      <c r="X454" s="24" t="str">
        <f t="shared" si="304"/>
        <v>deriv.104</v>
      </c>
      <c r="Y454" s="24" t="str">
        <f t="shared" si="302"/>
        <v>Ação derivar</v>
      </c>
      <c r="Z454" s="47" t="s">
        <v>7615</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7620</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7621</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7622</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7623</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7624</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7625</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7626</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7627</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7628</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7629</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7630</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7631</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7632</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7633</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7246</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7271</v>
      </c>
      <c r="X469" s="24" t="str">
        <f t="shared" si="304"/>
        <v>digit.100</v>
      </c>
      <c r="Y469" s="24" t="str">
        <f t="shared" si="302"/>
        <v>Ação digitalizar</v>
      </c>
      <c r="Z469" s="47" t="s">
        <v>7297</v>
      </c>
      <c r="AA469" s="25" t="str">
        <f t="shared" si="241"/>
        <v>null</v>
      </c>
      <c r="AB469" s="26" t="s">
        <v>0</v>
      </c>
      <c r="AC469" s="25" t="str">
        <f t="shared" si="242"/>
        <v>null</v>
      </c>
      <c r="AD469" s="26" t="s">
        <v>0</v>
      </c>
      <c r="AE469" s="25" t="str">
        <f t="shared" si="240"/>
        <v>null</v>
      </c>
      <c r="AF469" s="26" t="s">
        <v>0</v>
      </c>
      <c r="AG469" s="47" t="s">
        <v>7203</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7247</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7272</v>
      </c>
      <c r="X470" s="24" t="str">
        <f t="shared" si="304"/>
        <v>digit.101</v>
      </c>
      <c r="Y470" s="24" t="str">
        <f t="shared" si="302"/>
        <v>Ação digitalizar</v>
      </c>
      <c r="Z470" s="47" t="s">
        <v>7316</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7204</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7248</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7273</v>
      </c>
      <c r="X471" s="24" t="str">
        <f t="shared" si="304"/>
        <v>digit.102</v>
      </c>
      <c r="Y471" s="24" t="str">
        <f t="shared" si="302"/>
        <v>Ação digitalizar</v>
      </c>
      <c r="Z471" s="47" t="s">
        <v>7298</v>
      </c>
      <c r="AA471" s="25" t="str">
        <f t="shared" si="311"/>
        <v>null</v>
      </c>
      <c r="AB471" s="26" t="s">
        <v>0</v>
      </c>
      <c r="AC471" s="25" t="str">
        <f t="shared" si="312"/>
        <v>null</v>
      </c>
      <c r="AD471" s="26" t="s">
        <v>0</v>
      </c>
      <c r="AE471" s="25" t="str">
        <f t="shared" si="313"/>
        <v>null</v>
      </c>
      <c r="AF471" s="26" t="s">
        <v>0</v>
      </c>
      <c r="AG471" s="47" t="s">
        <v>7205</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7249</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7274</v>
      </c>
      <c r="X472" s="24" t="str">
        <f t="shared" si="304"/>
        <v>digit.103</v>
      </c>
      <c r="Y472" s="24" t="str">
        <f t="shared" si="302"/>
        <v>Ação digitalizar</v>
      </c>
      <c r="Z472" s="47" t="s">
        <v>7317</v>
      </c>
      <c r="AA472" s="25" t="str">
        <f t="shared" si="311"/>
        <v>null</v>
      </c>
      <c r="AB472" s="26" t="s">
        <v>0</v>
      </c>
      <c r="AC472" s="25" t="str">
        <f t="shared" si="312"/>
        <v>null</v>
      </c>
      <c r="AD472" s="26" t="s">
        <v>0</v>
      </c>
      <c r="AE472" s="25" t="str">
        <f t="shared" si="313"/>
        <v>null</v>
      </c>
      <c r="AF472" s="26" t="s">
        <v>0</v>
      </c>
      <c r="AG472" s="47" t="s">
        <v>7206</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7250</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7275</v>
      </c>
      <c r="X473" s="24" t="str">
        <f t="shared" si="304"/>
        <v>digit.104</v>
      </c>
      <c r="Y473" s="24" t="str">
        <f t="shared" si="302"/>
        <v>Ação digitalizar</v>
      </c>
      <c r="Z473" s="47" t="s">
        <v>7299</v>
      </c>
      <c r="AA473" s="25" t="str">
        <f t="shared" si="311"/>
        <v>null</v>
      </c>
      <c r="AB473" s="26" t="s">
        <v>0</v>
      </c>
      <c r="AC473" s="25" t="str">
        <f t="shared" si="312"/>
        <v>null</v>
      </c>
      <c r="AD473" s="26" t="s">
        <v>0</v>
      </c>
      <c r="AE473" s="25" t="str">
        <f t="shared" si="313"/>
        <v>null</v>
      </c>
      <c r="AF473" s="26" t="s">
        <v>0</v>
      </c>
      <c r="AG473" s="47" t="s">
        <v>7207</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7251</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7276</v>
      </c>
      <c r="X474" s="24" t="str">
        <f t="shared" si="304"/>
        <v>digit.105</v>
      </c>
      <c r="Y474" s="24" t="str">
        <f t="shared" si="302"/>
        <v>Ação digitalizar</v>
      </c>
      <c r="Z474" s="47" t="s">
        <v>7318</v>
      </c>
      <c r="AA474" s="25" t="str">
        <f t="shared" si="311"/>
        <v>null</v>
      </c>
      <c r="AB474" s="26" t="s">
        <v>0</v>
      </c>
      <c r="AC474" s="25" t="str">
        <f t="shared" si="312"/>
        <v>null</v>
      </c>
      <c r="AD474" s="26" t="s">
        <v>0</v>
      </c>
      <c r="AE474" s="25" t="str">
        <f t="shared" si="313"/>
        <v>null</v>
      </c>
      <c r="AF474" s="26" t="s">
        <v>0</v>
      </c>
      <c r="AG474" s="47" t="s">
        <v>7208</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7252</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7277</v>
      </c>
      <c r="X475" s="24" t="str">
        <f t="shared" si="304"/>
        <v>digit.106</v>
      </c>
      <c r="Y475" s="24" t="str">
        <f t="shared" si="302"/>
        <v>Ação digitalizar</v>
      </c>
      <c r="Z475" s="47" t="s">
        <v>7319</v>
      </c>
      <c r="AA475" s="25" t="str">
        <f t="shared" si="311"/>
        <v>null</v>
      </c>
      <c r="AB475" s="26" t="s">
        <v>0</v>
      </c>
      <c r="AC475" s="25" t="str">
        <f t="shared" si="312"/>
        <v>null</v>
      </c>
      <c r="AD475" s="26" t="s">
        <v>0</v>
      </c>
      <c r="AE475" s="25" t="str">
        <f t="shared" si="313"/>
        <v>null</v>
      </c>
      <c r="AF475" s="26" t="s">
        <v>0</v>
      </c>
      <c r="AG475" s="47" t="s">
        <v>7209</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7253</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7278</v>
      </c>
      <c r="X476" s="24" t="str">
        <f t="shared" si="304"/>
        <v>digit.107</v>
      </c>
      <c r="Y476" s="24" t="str">
        <f t="shared" si="302"/>
        <v>Ação digitalizar</v>
      </c>
      <c r="Z476" s="47" t="s">
        <v>7300</v>
      </c>
      <c r="AA476" s="25" t="str">
        <f t="shared" si="311"/>
        <v>null</v>
      </c>
      <c r="AB476" s="26" t="s">
        <v>0</v>
      </c>
      <c r="AC476" s="25" t="str">
        <f t="shared" si="312"/>
        <v>null</v>
      </c>
      <c r="AD476" s="26" t="s">
        <v>0</v>
      </c>
      <c r="AE476" s="25" t="str">
        <f t="shared" si="313"/>
        <v>null</v>
      </c>
      <c r="AF476" s="26" t="s">
        <v>0</v>
      </c>
      <c r="AG476" s="47" t="s">
        <v>7210</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7254</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7291</v>
      </c>
      <c r="X477" s="24" t="str">
        <f t="shared" si="304"/>
        <v>digit.108</v>
      </c>
      <c r="Y477" s="24" t="str">
        <f t="shared" si="302"/>
        <v>Ação digitalizar</v>
      </c>
      <c r="Z477" s="47" t="s">
        <v>7301</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7211</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7454</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7460</v>
      </c>
      <c r="X478" s="24" t="str">
        <f t="shared" si="304"/>
        <v>digit.109</v>
      </c>
      <c r="Y478" s="24" t="str">
        <f t="shared" si="302"/>
        <v>Ação digitalizar</v>
      </c>
      <c r="Z478" s="47" t="s">
        <v>7471</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7462</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7453</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7461</v>
      </c>
      <c r="X479" s="24" t="str">
        <f t="shared" si="304"/>
        <v>digit.110</v>
      </c>
      <c r="Y479" s="24" t="str">
        <f t="shared" si="302"/>
        <v>Ação digitalizar</v>
      </c>
      <c r="Z479" s="47" t="s">
        <v>7472</v>
      </c>
      <c r="AA479" s="25" t="str">
        <f t="shared" si="319"/>
        <v>null</v>
      </c>
      <c r="AB479" s="26" t="s">
        <v>0</v>
      </c>
      <c r="AC479" s="25" t="str">
        <f t="shared" si="320"/>
        <v>null</v>
      </c>
      <c r="AD479" s="26" t="s">
        <v>0</v>
      </c>
      <c r="AE479" s="25" t="str">
        <f t="shared" si="321"/>
        <v>null</v>
      </c>
      <c r="AF479" s="26" t="s">
        <v>0</v>
      </c>
      <c r="AG479" s="47" t="s">
        <v>7463</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7452</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7457</v>
      </c>
      <c r="X480" s="24" t="str">
        <f t="shared" si="304"/>
        <v>digit.111</v>
      </c>
      <c r="Y480" s="24" t="str">
        <f t="shared" si="302"/>
        <v>Ação digitalizar</v>
      </c>
      <c r="Z480" s="47" t="s">
        <v>7474</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7464</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7451</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7455</v>
      </c>
      <c r="X481" s="24" t="str">
        <f t="shared" si="304"/>
        <v>digit.112</v>
      </c>
      <c r="Y481" s="24" t="str">
        <f t="shared" si="302"/>
        <v>Ação digitalizar</v>
      </c>
      <c r="Z481" s="47" t="s">
        <v>7475</v>
      </c>
      <c r="AA481" s="25" t="str">
        <f t="shared" si="319"/>
        <v>null</v>
      </c>
      <c r="AB481" s="26" t="s">
        <v>0</v>
      </c>
      <c r="AC481" s="25" t="str">
        <f t="shared" si="320"/>
        <v>null</v>
      </c>
      <c r="AD481" s="26" t="s">
        <v>0</v>
      </c>
      <c r="AE481" s="25" t="str">
        <f t="shared" si="321"/>
        <v>null</v>
      </c>
      <c r="AF481" s="26" t="s">
        <v>0</v>
      </c>
      <c r="AG481" s="47" t="s">
        <v>7465</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7450</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7456</v>
      </c>
      <c r="X482" s="24" t="str">
        <f t="shared" si="304"/>
        <v>digit.113</v>
      </c>
      <c r="Y482" s="24" t="str">
        <f t="shared" si="302"/>
        <v>Ação digitalizar</v>
      </c>
      <c r="Z482" s="47" t="s">
        <v>7476</v>
      </c>
      <c r="AA482" s="25" t="str">
        <f t="shared" si="319"/>
        <v>null</v>
      </c>
      <c r="AB482" s="26" t="s">
        <v>0</v>
      </c>
      <c r="AC482" s="25" t="str">
        <f t="shared" si="320"/>
        <v>null</v>
      </c>
      <c r="AD482" s="26" t="s">
        <v>0</v>
      </c>
      <c r="AE482" s="25" t="str">
        <f t="shared" si="321"/>
        <v>null</v>
      </c>
      <c r="AF482" s="26" t="s">
        <v>0</v>
      </c>
      <c r="AG482" s="47" t="s">
        <v>7466</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7469</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7458</v>
      </c>
      <c r="X483" s="24" t="str">
        <f t="shared" si="304"/>
        <v>digit.114</v>
      </c>
      <c r="Y483" s="24" t="str">
        <f t="shared" si="302"/>
        <v>Ação digitalizar</v>
      </c>
      <c r="Z483" s="47" t="s">
        <v>7473</v>
      </c>
      <c r="AA483" s="25" t="str">
        <f t="shared" si="319"/>
        <v>null</v>
      </c>
      <c r="AB483" s="26" t="s">
        <v>0</v>
      </c>
      <c r="AC483" s="25" t="str">
        <f t="shared" si="320"/>
        <v>null</v>
      </c>
      <c r="AD483" s="26" t="s">
        <v>0</v>
      </c>
      <c r="AE483" s="25" t="str">
        <f t="shared" si="321"/>
        <v>null</v>
      </c>
      <c r="AF483" s="26" t="s">
        <v>0</v>
      </c>
      <c r="AG483" s="47" t="s">
        <v>7467</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7470</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7459</v>
      </c>
      <c r="X484" s="24" t="str">
        <f t="shared" si="304"/>
        <v>digit.115</v>
      </c>
      <c r="Y484" s="24" t="str">
        <f t="shared" si="302"/>
        <v>Ação digitalizar</v>
      </c>
      <c r="Z484" s="47" t="s">
        <v>7477</v>
      </c>
      <c r="AA484" s="25" t="str">
        <f t="shared" si="311"/>
        <v>null</v>
      </c>
      <c r="AB484" s="26" t="s">
        <v>0</v>
      </c>
      <c r="AC484" s="25" t="str">
        <f t="shared" si="312"/>
        <v>null</v>
      </c>
      <c r="AD484" s="26" t="s">
        <v>0</v>
      </c>
      <c r="AE484" s="25" t="str">
        <f t="shared" si="313"/>
        <v>null</v>
      </c>
      <c r="AF484" s="26" t="s">
        <v>0</v>
      </c>
      <c r="AG484" s="47" t="s">
        <v>7468</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7255</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7279</v>
      </c>
      <c r="X485" s="24" t="str">
        <f t="shared" si="304"/>
        <v>digit.116</v>
      </c>
      <c r="Y485" s="24" t="str">
        <f t="shared" si="302"/>
        <v>Ação digitalizar</v>
      </c>
      <c r="Z485" s="47" t="s">
        <v>7320</v>
      </c>
      <c r="AA485" s="25" t="str">
        <f t="shared" si="311"/>
        <v>null</v>
      </c>
      <c r="AB485" s="26" t="s">
        <v>0</v>
      </c>
      <c r="AC485" s="25" t="str">
        <f t="shared" si="312"/>
        <v>null</v>
      </c>
      <c r="AD485" s="26" t="s">
        <v>0</v>
      </c>
      <c r="AE485" s="25" t="str">
        <f t="shared" si="313"/>
        <v>null</v>
      </c>
      <c r="AF485" s="26" t="s">
        <v>0</v>
      </c>
      <c r="AG485" s="47" t="s">
        <v>7212</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7256</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7292</v>
      </c>
      <c r="X486" s="24" t="str">
        <f t="shared" si="304"/>
        <v>digit.117</v>
      </c>
      <c r="Y486" s="24" t="str">
        <f t="shared" si="302"/>
        <v>Ação digitalizar</v>
      </c>
      <c r="Z486" s="47" t="s">
        <v>7302</v>
      </c>
      <c r="AA486" s="25" t="str">
        <f t="shared" si="311"/>
        <v>null</v>
      </c>
      <c r="AB486" s="26" t="s">
        <v>0</v>
      </c>
      <c r="AC486" s="25" t="str">
        <f t="shared" si="312"/>
        <v>null</v>
      </c>
      <c r="AD486" s="26" t="s">
        <v>0</v>
      </c>
      <c r="AE486" s="25" t="str">
        <f t="shared" si="313"/>
        <v>null</v>
      </c>
      <c r="AF486" s="26" t="s">
        <v>0</v>
      </c>
      <c r="AG486" s="47" t="s">
        <v>7213</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4547</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7280</v>
      </c>
      <c r="X487" s="24" t="str">
        <f t="shared" si="304"/>
        <v>digit.118</v>
      </c>
      <c r="Y487" s="24" t="str">
        <f t="shared" si="302"/>
        <v>Ação digitalizar</v>
      </c>
      <c r="Z487" s="47" t="s">
        <v>7303</v>
      </c>
      <c r="AA487" s="25" t="str">
        <f t="shared" si="311"/>
        <v>null</v>
      </c>
      <c r="AB487" s="26" t="s">
        <v>0</v>
      </c>
      <c r="AC487" s="25" t="str">
        <f t="shared" si="312"/>
        <v>null</v>
      </c>
      <c r="AD487" s="26" t="s">
        <v>0</v>
      </c>
      <c r="AE487" s="25" t="str">
        <f t="shared" si="313"/>
        <v>null</v>
      </c>
      <c r="AF487" s="26" t="s">
        <v>0</v>
      </c>
      <c r="AG487" s="47" t="s">
        <v>7214</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7257</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7281</v>
      </c>
      <c r="X488" s="24" t="str">
        <f t="shared" si="304"/>
        <v>digit.119</v>
      </c>
      <c r="Y488" s="24" t="str">
        <f t="shared" si="302"/>
        <v>Ação digitalizar</v>
      </c>
      <c r="Z488" s="47" t="s">
        <v>7304</v>
      </c>
      <c r="AA488" s="25" t="str">
        <f t="shared" si="311"/>
        <v>null</v>
      </c>
      <c r="AB488" s="26" t="s">
        <v>0</v>
      </c>
      <c r="AC488" s="25" t="str">
        <f t="shared" si="312"/>
        <v>null</v>
      </c>
      <c r="AD488" s="26" t="s">
        <v>0</v>
      </c>
      <c r="AE488" s="25" t="str">
        <f t="shared" si="313"/>
        <v>null</v>
      </c>
      <c r="AF488" s="26" t="s">
        <v>0</v>
      </c>
      <c r="AG488" s="47" t="s">
        <v>7215</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7258</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7282</v>
      </c>
      <c r="X489" s="24" t="str">
        <f t="shared" si="304"/>
        <v>digit.120</v>
      </c>
      <c r="Y489" s="24" t="str">
        <f t="shared" si="302"/>
        <v>Ação digitalizar</v>
      </c>
      <c r="Z489" s="47" t="s">
        <v>7305</v>
      </c>
      <c r="AA489" s="25" t="str">
        <f t="shared" si="311"/>
        <v>null</v>
      </c>
      <c r="AB489" s="26" t="s">
        <v>0</v>
      </c>
      <c r="AC489" s="25" t="str">
        <f t="shared" si="312"/>
        <v>null</v>
      </c>
      <c r="AD489" s="26" t="s">
        <v>0</v>
      </c>
      <c r="AE489" s="25" t="str">
        <f t="shared" si="313"/>
        <v>null</v>
      </c>
      <c r="AF489" s="26" t="s">
        <v>0</v>
      </c>
      <c r="AG489" s="47" t="s">
        <v>7216</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7259</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7283</v>
      </c>
      <c r="X490" s="24" t="str">
        <f t="shared" si="304"/>
        <v>digit.121</v>
      </c>
      <c r="Y490" s="24" t="str">
        <f t="shared" si="302"/>
        <v>Ação digitalizar</v>
      </c>
      <c r="Z490" s="47" t="s">
        <v>7306</v>
      </c>
      <c r="AA490" s="25" t="str">
        <f t="shared" si="311"/>
        <v>null</v>
      </c>
      <c r="AB490" s="26" t="s">
        <v>0</v>
      </c>
      <c r="AC490" s="25" t="str">
        <f t="shared" si="312"/>
        <v>null</v>
      </c>
      <c r="AD490" s="26" t="s">
        <v>0</v>
      </c>
      <c r="AE490" s="25" t="str">
        <f t="shared" si="313"/>
        <v>null</v>
      </c>
      <c r="AF490" s="26" t="s">
        <v>0</v>
      </c>
      <c r="AG490" s="47" t="s">
        <v>7217</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7260</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5889</v>
      </c>
      <c r="X491" s="24" t="str">
        <f t="shared" si="304"/>
        <v>digit.122</v>
      </c>
      <c r="Y491" s="24" t="str">
        <f t="shared" si="302"/>
        <v>Ação digitalizar</v>
      </c>
      <c r="Z491" s="47" t="s">
        <v>7321</v>
      </c>
      <c r="AA491" s="25" t="str">
        <f t="shared" si="311"/>
        <v>null</v>
      </c>
      <c r="AB491" s="26" t="s">
        <v>0</v>
      </c>
      <c r="AC491" s="25" t="str">
        <f t="shared" si="312"/>
        <v>null</v>
      </c>
      <c r="AD491" s="26" t="s">
        <v>0</v>
      </c>
      <c r="AE491" s="25" t="str">
        <f t="shared" si="313"/>
        <v>null</v>
      </c>
      <c r="AF491" s="26" t="s">
        <v>0</v>
      </c>
      <c r="AG491" s="47" t="s">
        <v>7218</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7261</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5890</v>
      </c>
      <c r="X492" s="24" t="str">
        <f t="shared" si="304"/>
        <v>digit.123</v>
      </c>
      <c r="Y492" s="24" t="str">
        <f t="shared" si="302"/>
        <v>Ação digitalizar</v>
      </c>
      <c r="Z492" s="47" t="s">
        <v>7322</v>
      </c>
      <c r="AA492" s="25" t="str">
        <f t="shared" si="311"/>
        <v>null</v>
      </c>
      <c r="AB492" s="26" t="s">
        <v>0</v>
      </c>
      <c r="AC492" s="25" t="str">
        <f t="shared" si="312"/>
        <v>null</v>
      </c>
      <c r="AD492" s="26" t="s">
        <v>0</v>
      </c>
      <c r="AE492" s="25" t="str">
        <f t="shared" si="313"/>
        <v>null</v>
      </c>
      <c r="AF492" s="26" t="s">
        <v>0</v>
      </c>
      <c r="AG492" s="47" t="s">
        <v>7219</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7262</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7284</v>
      </c>
      <c r="X493" s="24" t="str">
        <f t="shared" si="304"/>
        <v>digit.124</v>
      </c>
      <c r="Y493" s="24" t="str">
        <f t="shared" si="302"/>
        <v>Ação digitalizar</v>
      </c>
      <c r="Z493" s="47" t="s">
        <v>7307</v>
      </c>
      <c r="AA493" s="25" t="str">
        <f t="shared" si="311"/>
        <v>null</v>
      </c>
      <c r="AB493" s="26" t="s">
        <v>0</v>
      </c>
      <c r="AC493" s="25" t="str">
        <f t="shared" si="312"/>
        <v>null</v>
      </c>
      <c r="AD493" s="26" t="s">
        <v>0</v>
      </c>
      <c r="AE493" s="25" t="str">
        <f t="shared" si="313"/>
        <v>null</v>
      </c>
      <c r="AF493" s="26" t="s">
        <v>0</v>
      </c>
      <c r="AG493" s="47" t="s">
        <v>7220</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7263</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7285</v>
      </c>
      <c r="X494" s="24" t="str">
        <f t="shared" si="304"/>
        <v>digit.125</v>
      </c>
      <c r="Y494" s="24" t="str">
        <f t="shared" si="302"/>
        <v>Ação digitalizar</v>
      </c>
      <c r="Z494" s="47" t="s">
        <v>7308</v>
      </c>
      <c r="AA494" s="25" t="str">
        <f t="shared" si="311"/>
        <v>null</v>
      </c>
      <c r="AB494" s="26" t="s">
        <v>0</v>
      </c>
      <c r="AC494" s="25" t="str">
        <f t="shared" si="312"/>
        <v>null</v>
      </c>
      <c r="AD494" s="26" t="s">
        <v>0</v>
      </c>
      <c r="AE494" s="25" t="str">
        <f t="shared" si="313"/>
        <v>null</v>
      </c>
      <c r="AF494" s="26" t="s">
        <v>0</v>
      </c>
      <c r="AG494" s="47" t="s">
        <v>7221</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7264</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7286</v>
      </c>
      <c r="X495" s="24" t="str">
        <f t="shared" si="304"/>
        <v>digit.126</v>
      </c>
      <c r="Y495" s="24" t="str">
        <f t="shared" si="302"/>
        <v>Ação digitalizar</v>
      </c>
      <c r="Z495" s="47" t="s">
        <v>7309</v>
      </c>
      <c r="AA495" s="25" t="str">
        <f t="shared" si="311"/>
        <v>null</v>
      </c>
      <c r="AB495" s="26" t="s">
        <v>0</v>
      </c>
      <c r="AC495" s="25" t="str">
        <f t="shared" si="312"/>
        <v>null</v>
      </c>
      <c r="AD495" s="26" t="s">
        <v>0</v>
      </c>
      <c r="AE495" s="25" t="str">
        <f t="shared" si="313"/>
        <v>null</v>
      </c>
      <c r="AF495" s="26" t="s">
        <v>0</v>
      </c>
      <c r="AG495" s="47" t="s">
        <v>7222</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7265</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7287</v>
      </c>
      <c r="X496" s="24" t="str">
        <f t="shared" si="304"/>
        <v>digit.127</v>
      </c>
      <c r="Y496" s="24" t="str">
        <f t="shared" si="302"/>
        <v>Ação digitalizar</v>
      </c>
      <c r="Z496" s="47" t="s">
        <v>7310</v>
      </c>
      <c r="AA496" s="25" t="str">
        <f t="shared" si="311"/>
        <v>null</v>
      </c>
      <c r="AB496" s="26" t="s">
        <v>0</v>
      </c>
      <c r="AC496" s="25" t="str">
        <f t="shared" si="312"/>
        <v>null</v>
      </c>
      <c r="AD496" s="26" t="s">
        <v>0</v>
      </c>
      <c r="AE496" s="25" t="str">
        <f t="shared" si="313"/>
        <v>null</v>
      </c>
      <c r="AF496" s="26" t="s">
        <v>0</v>
      </c>
      <c r="AG496" s="47" t="s">
        <v>7223</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7266</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7288</v>
      </c>
      <c r="X497" s="24" t="str">
        <f t="shared" si="304"/>
        <v>digit.128</v>
      </c>
      <c r="Y497" s="24" t="str">
        <f t="shared" si="302"/>
        <v>Ação digitalizar</v>
      </c>
      <c r="Z497" s="47" t="s">
        <v>7311</v>
      </c>
      <c r="AA497" s="25" t="str">
        <f t="shared" si="311"/>
        <v>null</v>
      </c>
      <c r="AB497" s="26" t="s">
        <v>0</v>
      </c>
      <c r="AC497" s="25" t="str">
        <f t="shared" si="312"/>
        <v>null</v>
      </c>
      <c r="AD497" s="26" t="s">
        <v>0</v>
      </c>
      <c r="AE497" s="25" t="str">
        <f t="shared" si="313"/>
        <v>null</v>
      </c>
      <c r="AF497" s="26" t="s">
        <v>0</v>
      </c>
      <c r="AG497" s="47" t="s">
        <v>7224</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7267</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7289</v>
      </c>
      <c r="X498" s="24" t="str">
        <f t="shared" si="304"/>
        <v>digit.129</v>
      </c>
      <c r="Y498" s="24" t="str">
        <f t="shared" si="302"/>
        <v>Ação digitalizar</v>
      </c>
      <c r="Z498" s="47" t="s">
        <v>7323</v>
      </c>
      <c r="AA498" s="25" t="str">
        <f t="shared" si="311"/>
        <v>null</v>
      </c>
      <c r="AB498" s="26" t="s">
        <v>0</v>
      </c>
      <c r="AC498" s="25" t="str">
        <f t="shared" si="312"/>
        <v>null</v>
      </c>
      <c r="AD498" s="26" t="s">
        <v>0</v>
      </c>
      <c r="AE498" s="25" t="str">
        <f t="shared" si="313"/>
        <v>null</v>
      </c>
      <c r="AF498" s="26" t="s">
        <v>0</v>
      </c>
      <c r="AG498" s="47" t="s">
        <v>7225</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7268</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5891</v>
      </c>
      <c r="X499" s="24" t="str">
        <f t="shared" si="304"/>
        <v>digit.130</v>
      </c>
      <c r="Y499" s="24" t="str">
        <f t="shared" si="302"/>
        <v>Ação digitalizar</v>
      </c>
      <c r="Z499" s="47" t="s">
        <v>7312</v>
      </c>
      <c r="AA499" s="25" t="str">
        <f t="shared" si="311"/>
        <v>null</v>
      </c>
      <c r="AB499" s="26" t="s">
        <v>0</v>
      </c>
      <c r="AC499" s="25" t="str">
        <f t="shared" si="312"/>
        <v>null</v>
      </c>
      <c r="AD499" s="26" t="s">
        <v>0</v>
      </c>
      <c r="AE499" s="25" t="str">
        <f t="shared" si="313"/>
        <v>null</v>
      </c>
      <c r="AF499" s="26" t="s">
        <v>0</v>
      </c>
      <c r="AG499" s="47" t="s">
        <v>7226</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7269</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7290</v>
      </c>
      <c r="X500" s="24" t="str">
        <f t="shared" si="304"/>
        <v>digit.131</v>
      </c>
      <c r="Y500" s="24" t="str">
        <f t="shared" si="302"/>
        <v>Ação digitalizar</v>
      </c>
      <c r="Z500" s="47" t="s">
        <v>7313</v>
      </c>
      <c r="AA500" s="25" t="str">
        <f t="shared" si="311"/>
        <v>null</v>
      </c>
      <c r="AB500" s="26" t="s">
        <v>0</v>
      </c>
      <c r="AC500" s="25" t="str">
        <f t="shared" si="312"/>
        <v>null</v>
      </c>
      <c r="AD500" s="26" t="s">
        <v>0</v>
      </c>
      <c r="AE500" s="25" t="str">
        <f t="shared" si="313"/>
        <v>null</v>
      </c>
      <c r="AF500" s="26" t="s">
        <v>0</v>
      </c>
      <c r="AG500" s="47" t="s">
        <v>7227</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7270</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7293</v>
      </c>
      <c r="X501" s="24" t="str">
        <f t="shared" si="304"/>
        <v>digit.132</v>
      </c>
      <c r="Y501" s="24" t="str">
        <f t="shared" si="302"/>
        <v>Ação digitalizar</v>
      </c>
      <c r="Z501" s="47" t="s">
        <v>7324</v>
      </c>
      <c r="AA501" s="25" t="str">
        <f t="shared" si="311"/>
        <v>null</v>
      </c>
      <c r="AB501" s="26" t="s">
        <v>0</v>
      </c>
      <c r="AC501" s="25" t="str">
        <f t="shared" si="312"/>
        <v>null</v>
      </c>
      <c r="AD501" s="26" t="s">
        <v>0</v>
      </c>
      <c r="AE501" s="25" t="str">
        <f t="shared" si="313"/>
        <v>null</v>
      </c>
      <c r="AF501" s="26" t="s">
        <v>0</v>
      </c>
      <c r="AG501" s="47" t="s">
        <v>7228</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7294</v>
      </c>
      <c r="X502" s="24" t="str">
        <f t="shared" si="304"/>
        <v>digit.133</v>
      </c>
      <c r="Y502" s="24" t="str">
        <f t="shared" si="302"/>
        <v>Ação digitalizar</v>
      </c>
      <c r="Z502" s="47" t="s">
        <v>7325</v>
      </c>
      <c r="AA502" s="25" t="str">
        <f t="shared" si="311"/>
        <v>null</v>
      </c>
      <c r="AB502" s="26" t="s">
        <v>0</v>
      </c>
      <c r="AC502" s="25" t="str">
        <f t="shared" si="312"/>
        <v>null</v>
      </c>
      <c r="AD502" s="26" t="s">
        <v>0</v>
      </c>
      <c r="AE502" s="25" t="str">
        <f t="shared" si="313"/>
        <v>null</v>
      </c>
      <c r="AF502" s="26" t="s">
        <v>0</v>
      </c>
      <c r="AG502" s="47" t="s">
        <v>7202</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7296</v>
      </c>
      <c r="X503" s="24" t="str">
        <f t="shared" si="304"/>
        <v>digit.134</v>
      </c>
      <c r="Y503" s="24" t="str">
        <f t="shared" si="302"/>
        <v>Ação digitalizar</v>
      </c>
      <c r="Z503" s="47" t="s">
        <v>7314</v>
      </c>
      <c r="AA503" s="25" t="str">
        <f t="shared" si="311"/>
        <v>null</v>
      </c>
      <c r="AB503" s="26" t="s">
        <v>0</v>
      </c>
      <c r="AC503" s="25" t="str">
        <f t="shared" si="312"/>
        <v>null</v>
      </c>
      <c r="AD503" s="26" t="s">
        <v>0</v>
      </c>
      <c r="AE503" s="25" t="str">
        <f t="shared" si="313"/>
        <v>null</v>
      </c>
      <c r="AF503" s="26" t="s">
        <v>0</v>
      </c>
      <c r="AG503" s="47" t="s">
        <v>7229</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7295</v>
      </c>
      <c r="X504" s="24" t="str">
        <f t="shared" si="304"/>
        <v>digit.135</v>
      </c>
      <c r="Y504" s="24" t="str">
        <f t="shared" si="302"/>
        <v>Ação digitalizar</v>
      </c>
      <c r="Z504" s="47" t="s">
        <v>7315</v>
      </c>
      <c r="AA504" s="25" t="str">
        <f t="shared" si="311"/>
        <v>null</v>
      </c>
      <c r="AB504" s="26" t="s">
        <v>0</v>
      </c>
      <c r="AC504" s="25" t="str">
        <f t="shared" si="312"/>
        <v>null</v>
      </c>
      <c r="AD504" s="26" t="s">
        <v>0</v>
      </c>
      <c r="AE504" s="25" t="str">
        <f t="shared" si="313"/>
        <v>null</v>
      </c>
      <c r="AF504" s="26" t="s">
        <v>0</v>
      </c>
      <c r="AG504" s="47" t="s">
        <v>7230</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5892</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4111</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5893</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4112</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5894</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4113</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5895</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4114</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5896</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4115</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5897</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4116</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5898</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4117</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5899</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4118</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5900</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4119</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5901</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4120</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5902</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4121</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5903</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4122</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5904</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4123</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5905</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4124</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5906</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4125</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5907</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4126</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5908</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4127</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5909</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4128</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5910</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4129</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5911</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4130</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5912</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4131</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5913</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4132</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5914</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4133</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5915</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4134</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5916</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4135</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5917</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4136</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5918</v>
      </c>
      <c r="X531" s="24" t="str">
        <f t="shared" si="355"/>
        <v>dimen.126</v>
      </c>
      <c r="Y531" s="24" t="str">
        <f t="shared" si="354"/>
        <v>Ação dimensionar</v>
      </c>
      <c r="Z531" s="47" t="s">
        <v>4076</v>
      </c>
      <c r="AA531" s="25" t="str">
        <f t="shared" si="351"/>
        <v>null</v>
      </c>
      <c r="AB531" s="26" t="s">
        <v>0</v>
      </c>
      <c r="AC531" s="25" t="str">
        <f t="shared" si="352"/>
        <v>null</v>
      </c>
      <c r="AD531" s="26" t="s">
        <v>0</v>
      </c>
      <c r="AE531" s="25" t="str">
        <f t="shared" si="353"/>
        <v>null</v>
      </c>
      <c r="AF531" s="26" t="s">
        <v>0</v>
      </c>
      <c r="AG531" s="47" t="s">
        <v>4137</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5919</v>
      </c>
      <c r="X532" s="24" t="str">
        <f t="shared" si="355"/>
        <v>dimen.127</v>
      </c>
      <c r="Y532" s="24" t="str">
        <f t="shared" si="354"/>
        <v>Ação dimensionar</v>
      </c>
      <c r="Z532" s="47" t="s">
        <v>4077</v>
      </c>
      <c r="AA532" s="25" t="str">
        <f t="shared" si="351"/>
        <v>null</v>
      </c>
      <c r="AB532" s="26" t="s">
        <v>0</v>
      </c>
      <c r="AC532" s="25" t="str">
        <f t="shared" si="352"/>
        <v>null</v>
      </c>
      <c r="AD532" s="26" t="s">
        <v>0</v>
      </c>
      <c r="AE532" s="25" t="str">
        <f t="shared" si="353"/>
        <v>null</v>
      </c>
      <c r="AF532" s="26" t="s">
        <v>0</v>
      </c>
      <c r="AG532" s="47" t="s">
        <v>4138</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4680</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5920</v>
      </c>
      <c r="X533" s="24" t="str">
        <f t="shared" si="355"/>
        <v>dimen.128</v>
      </c>
      <c r="Y533" s="24" t="str">
        <f t="shared" si="354"/>
        <v>Ação dimensionar</v>
      </c>
      <c r="Z533" s="47" t="s">
        <v>4681</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4682</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5921</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4139</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4677</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5922</v>
      </c>
      <c r="X535" s="24" t="str">
        <f t="shared" si="355"/>
        <v>dimen.130</v>
      </c>
      <c r="Y535" s="24" t="str">
        <f t="shared" si="354"/>
        <v>Ação dimensionar</v>
      </c>
      <c r="Z535" s="47" t="s">
        <v>4678</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4679</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5923</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4140</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5924</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4141</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5925</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4142</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5926</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4143</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5927</v>
      </c>
      <c r="X540" s="24" t="str">
        <f t="shared" si="355"/>
        <v>dimen.135</v>
      </c>
      <c r="Y540" s="24" t="str">
        <f t="shared" si="354"/>
        <v>Ação dimensionar</v>
      </c>
      <c r="Z540" s="47" t="s">
        <v>4078</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4144</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5928</v>
      </c>
      <c r="X541" s="24" t="str">
        <f t="shared" si="355"/>
        <v>dimen.136</v>
      </c>
      <c r="Y541" s="24" t="str">
        <f t="shared" si="354"/>
        <v>Ação dimensionar</v>
      </c>
      <c r="Z541" s="47" t="s">
        <v>4079</v>
      </c>
      <c r="AA541" s="25" t="str">
        <f t="shared" si="376"/>
        <v>null</v>
      </c>
      <c r="AB541" s="26" t="s">
        <v>0</v>
      </c>
      <c r="AC541" s="25" t="str">
        <f t="shared" si="377"/>
        <v>null</v>
      </c>
      <c r="AD541" s="26" t="s">
        <v>0</v>
      </c>
      <c r="AE541" s="25" t="str">
        <f t="shared" si="378"/>
        <v>null</v>
      </c>
      <c r="AF541" s="26" t="s">
        <v>0</v>
      </c>
      <c r="AG541" s="47" t="s">
        <v>4145</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4683</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5929</v>
      </c>
      <c r="X542" s="24" t="str">
        <f t="shared" si="355"/>
        <v>dimen.137</v>
      </c>
      <c r="Y542" s="24" t="str">
        <f t="shared" si="354"/>
        <v>Ação dimensionar</v>
      </c>
      <c r="Z542" s="47" t="s">
        <v>4080</v>
      </c>
      <c r="AA542" s="25" t="str">
        <f t="shared" si="376"/>
        <v>null</v>
      </c>
      <c r="AB542" s="26" t="s">
        <v>0</v>
      </c>
      <c r="AC542" s="25" t="str">
        <f t="shared" si="377"/>
        <v>null</v>
      </c>
      <c r="AD542" s="26" t="s">
        <v>0</v>
      </c>
      <c r="AE542" s="25" t="str">
        <f t="shared" si="378"/>
        <v>null</v>
      </c>
      <c r="AF542" s="26" t="s">
        <v>0</v>
      </c>
      <c r="AG542" s="47" t="s">
        <v>4146</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4684</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5930</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4147</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4685</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5931</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4148</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4686</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5932</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4149</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4687</v>
      </c>
      <c r="H546" s="42" t="s">
        <v>33</v>
      </c>
      <c r="I546" s="16" t="str">
        <f t="shared" ref="I546" si="381">J546</f>
        <v>Functional</v>
      </c>
      <c r="J546" s="15" t="s">
        <v>29</v>
      </c>
      <c r="K546" s="15" t="s">
        <v>0</v>
      </c>
      <c r="L546" s="15" t="s">
        <v>0</v>
      </c>
      <c r="M546" s="15" t="s">
        <v>0</v>
      </c>
      <c r="N546" s="15" t="s">
        <v>0</v>
      </c>
      <c r="O546" s="15" t="s">
        <v>0</v>
      </c>
      <c r="P546" s="15" t="s">
        <v>0</v>
      </c>
      <c r="Q546" s="15" t="s">
        <v>0</v>
      </c>
      <c r="R546" s="15" t="s">
        <v>4688</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5933</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4150</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4689</v>
      </c>
      <c r="S547" s="10" t="s">
        <v>1</v>
      </c>
      <c r="T547" s="10" t="s">
        <v>32</v>
      </c>
      <c r="U547" s="5" t="str">
        <f t="shared" si="374"/>
        <v>Propriedade destinada a dimensionar: é.dn</v>
      </c>
      <c r="V547" s="5" t="str">
        <f t="shared" si="375"/>
        <v>Dado para dimensionar:  dn  Deve ser formatado como (xsd:integer)</v>
      </c>
      <c r="W547" s="5" t="s">
        <v>5933</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4150</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5934</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4151</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5935</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4152</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5936</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4153</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5919</v>
      </c>
      <c r="X551" s="24" t="str">
        <f t="shared" si="355"/>
        <v>dimen.146</v>
      </c>
      <c r="Y551" s="24" t="str">
        <f t="shared" si="354"/>
        <v>Ação dimensionar</v>
      </c>
      <c r="Z551" s="47" t="s">
        <v>4077</v>
      </c>
      <c r="AA551" s="25" t="str">
        <f t="shared" si="376"/>
        <v>null</v>
      </c>
      <c r="AB551" s="26" t="s">
        <v>0</v>
      </c>
      <c r="AC551" s="25" t="str">
        <f t="shared" si="377"/>
        <v>null</v>
      </c>
      <c r="AD551" s="26" t="s">
        <v>0</v>
      </c>
      <c r="AE551" s="25" t="str">
        <f t="shared" si="378"/>
        <v>null</v>
      </c>
      <c r="AF551" s="26" t="s">
        <v>0</v>
      </c>
      <c r="AG551" s="47" t="s">
        <v>4138</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5937</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4154</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5938</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4155</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5939</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4156</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5940</v>
      </c>
      <c r="X555" s="24" t="str">
        <f t="shared" si="355"/>
        <v>dimen.150</v>
      </c>
      <c r="Y555" s="24" t="str">
        <f t="shared" si="354"/>
        <v>Ação dimensionar</v>
      </c>
      <c r="Z555" s="47" t="s">
        <v>4081</v>
      </c>
      <c r="AA555" s="25" t="str">
        <f t="shared" si="376"/>
        <v>null</v>
      </c>
      <c r="AB555" s="26" t="s">
        <v>0</v>
      </c>
      <c r="AC555" s="25" t="str">
        <f t="shared" si="377"/>
        <v>null</v>
      </c>
      <c r="AD555" s="26" t="s">
        <v>0</v>
      </c>
      <c r="AE555" s="25" t="str">
        <f t="shared" si="378"/>
        <v>null</v>
      </c>
      <c r="AF555" s="26" t="s">
        <v>0</v>
      </c>
      <c r="AG555" s="47" t="s">
        <v>4157</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5941</v>
      </c>
      <c r="X556" s="24" t="str">
        <f t="shared" si="355"/>
        <v>dimen.151</v>
      </c>
      <c r="Y556" s="24" t="str">
        <f t="shared" si="354"/>
        <v>Ação dimensionar</v>
      </c>
      <c r="Z556" s="47" t="s">
        <v>4082</v>
      </c>
      <c r="AA556" s="25" t="str">
        <f t="shared" si="376"/>
        <v>null</v>
      </c>
      <c r="AB556" s="26" t="s">
        <v>0</v>
      </c>
      <c r="AC556" s="25" t="str">
        <f t="shared" si="377"/>
        <v>null</v>
      </c>
      <c r="AD556" s="26" t="s">
        <v>0</v>
      </c>
      <c r="AE556" s="25" t="str">
        <f t="shared" si="378"/>
        <v>null</v>
      </c>
      <c r="AF556" s="26" t="s">
        <v>0</v>
      </c>
      <c r="AG556" s="47" t="s">
        <v>4158</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5942</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4159</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4691</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5943</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4160</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4690</v>
      </c>
      <c r="S559" s="10" t="s">
        <v>1</v>
      </c>
      <c r="T559" s="10" t="s">
        <v>32</v>
      </c>
      <c r="U559" s="5" t="str">
        <f t="shared" si="374"/>
        <v>Propriedade destinada a dimensionar: é.pn</v>
      </c>
      <c r="V559" s="5" t="str">
        <f t="shared" si="375"/>
        <v>Dado para dimensionar:  pn  Deve ser formatado como (xsd:integer)</v>
      </c>
      <c r="W559" s="5" t="s">
        <v>5943</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4160</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5944</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4161</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5945</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4162</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5946</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4163</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5947</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4164</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5948</v>
      </c>
      <c r="X564" s="24" t="str">
        <f t="shared" si="355"/>
        <v>dimen.159</v>
      </c>
      <c r="Y564" s="24" t="str">
        <f t="shared" si="354"/>
        <v>Ação dimensionar</v>
      </c>
      <c r="Z564" s="47" t="s">
        <v>4083</v>
      </c>
      <c r="AA564" s="25" t="str">
        <f t="shared" si="376"/>
        <v>null</v>
      </c>
      <c r="AB564" s="26" t="s">
        <v>0</v>
      </c>
      <c r="AC564" s="25" t="str">
        <f t="shared" si="377"/>
        <v>null</v>
      </c>
      <c r="AD564" s="26" t="s">
        <v>0</v>
      </c>
      <c r="AE564" s="25" t="str">
        <f t="shared" si="378"/>
        <v>null</v>
      </c>
      <c r="AF564" s="26" t="s">
        <v>0</v>
      </c>
      <c r="AG564" s="47" t="s">
        <v>4165</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5949</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4166</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5950</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4167</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5951</v>
      </c>
      <c r="X567" s="24" t="str">
        <f t="shared" si="355"/>
        <v>dimen.162</v>
      </c>
      <c r="Y567" s="24" t="str">
        <f t="shared" si="354"/>
        <v>Ação dimensionar</v>
      </c>
      <c r="Z567" s="47" t="s">
        <v>4084</v>
      </c>
      <c r="AA567" s="25" t="str">
        <f t="shared" si="376"/>
        <v>null</v>
      </c>
      <c r="AB567" s="26" t="s">
        <v>0</v>
      </c>
      <c r="AC567" s="25" t="str">
        <f t="shared" si="377"/>
        <v>null</v>
      </c>
      <c r="AD567" s="26" t="s">
        <v>0</v>
      </c>
      <c r="AE567" s="25" t="str">
        <f t="shared" si="378"/>
        <v>null</v>
      </c>
      <c r="AF567" s="26" t="s">
        <v>0</v>
      </c>
      <c r="AG567" s="47" t="s">
        <v>4168</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5952</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4169</v>
      </c>
    </row>
    <row r="569" spans="1:33" ht="6" customHeight="1" x14ac:dyDescent="0.4">
      <c r="A569" s="4">
        <f>ROW()</f>
        <v>569</v>
      </c>
      <c r="B569" s="9" t="s">
        <v>27</v>
      </c>
      <c r="C569" s="54" t="str">
        <f t="shared" si="372"/>
        <v>p.direcionar</v>
      </c>
      <c r="D569" s="6" t="str">
        <f>_xlfn.CONCAT("é.",G569)</f>
        <v>é.direção.vetorial</v>
      </c>
      <c r="E569" s="8" t="s">
        <v>28</v>
      </c>
      <c r="F569" s="50" t="s">
        <v>666</v>
      </c>
      <c r="G569" s="17" t="s">
        <v>4569</v>
      </c>
      <c r="H569" s="41" t="s">
        <v>2321</v>
      </c>
      <c r="I569" s="16" t="str">
        <f>J569</f>
        <v>null</v>
      </c>
      <c r="J569" s="15" t="s">
        <v>0</v>
      </c>
      <c r="K569" s="15" t="s">
        <v>0</v>
      </c>
      <c r="L569" s="15" t="s">
        <v>0</v>
      </c>
      <c r="M569" s="15" t="s">
        <v>0</v>
      </c>
      <c r="N569" s="15" t="s">
        <v>0</v>
      </c>
      <c r="O569" s="15" t="s">
        <v>0</v>
      </c>
      <c r="P569" s="15" t="s">
        <v>0</v>
      </c>
      <c r="Q569" s="15" t="s">
        <v>0</v>
      </c>
      <c r="R569" s="15" t="s">
        <v>4579</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5953</v>
      </c>
      <c r="X569" s="24" t="str">
        <f t="shared" si="355"/>
        <v>direc.100</v>
      </c>
      <c r="Y569" s="24" t="str">
        <f t="shared" si="354"/>
        <v>Ação direcionar</v>
      </c>
      <c r="Z569" s="47" t="s">
        <v>4572</v>
      </c>
      <c r="AA569" s="25" t="str">
        <f>IF(AB569="null", "null", "categoria.revit")</f>
        <v>null</v>
      </c>
      <c r="AB569" s="26" t="s">
        <v>0</v>
      </c>
      <c r="AC569" s="25" t="str">
        <f>IF(AD569="null", "null", "classe.ifc")</f>
        <v>null</v>
      </c>
      <c r="AD569" s="26" t="s">
        <v>0</v>
      </c>
      <c r="AE569" s="25" t="str">
        <f>IF(AF569="null", "null", "propiedade")</f>
        <v>null</v>
      </c>
      <c r="AF569" s="26" t="s">
        <v>0</v>
      </c>
      <c r="AG569" s="47" t="s">
        <v>4575</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4568</v>
      </c>
      <c r="H570" s="41" t="s">
        <v>2321</v>
      </c>
      <c r="I570" s="16" t="str">
        <f>J570</f>
        <v>null</v>
      </c>
      <c r="J570" s="15" t="s">
        <v>0</v>
      </c>
      <c r="K570" s="15" t="s">
        <v>0</v>
      </c>
      <c r="L570" s="15" t="s">
        <v>0</v>
      </c>
      <c r="M570" s="15" t="s">
        <v>0</v>
      </c>
      <c r="N570" s="15" t="s">
        <v>0</v>
      </c>
      <c r="O570" s="15" t="s">
        <v>0</v>
      </c>
      <c r="P570" s="15" t="s">
        <v>0</v>
      </c>
      <c r="Q570" s="15" t="s">
        <v>4576</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5954</v>
      </c>
      <c r="X570" s="24" t="str">
        <f t="shared" si="355"/>
        <v>direc.101</v>
      </c>
      <c r="Y570" s="24" t="str">
        <f t="shared" si="354"/>
        <v>Ação direcionar</v>
      </c>
      <c r="Z570" s="47" t="s">
        <v>4571</v>
      </c>
      <c r="AA570" s="25" t="str">
        <f>IF(AB570="null", "null", "categoria.revit")</f>
        <v>null</v>
      </c>
      <c r="AB570" s="26" t="s">
        <v>0</v>
      </c>
      <c r="AC570" s="25" t="str">
        <f>IF(AD570="null", "null", "classe.ifc")</f>
        <v>null</v>
      </c>
      <c r="AD570" s="26" t="s">
        <v>0</v>
      </c>
      <c r="AE570" s="25" t="str">
        <f>IF(AF570="null", "null", "propiedade")</f>
        <v>null</v>
      </c>
      <c r="AF570" s="26" t="s">
        <v>0</v>
      </c>
      <c r="AG570" s="47" t="s">
        <v>4574</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4567</v>
      </c>
      <c r="H571" s="41" t="s">
        <v>2321</v>
      </c>
      <c r="I571" s="16" t="str">
        <f>J571</f>
        <v>null</v>
      </c>
      <c r="J571" s="15" t="s">
        <v>0</v>
      </c>
      <c r="K571" s="15" t="s">
        <v>0</v>
      </c>
      <c r="L571" s="15" t="s">
        <v>0</v>
      </c>
      <c r="M571" s="15" t="s">
        <v>0</v>
      </c>
      <c r="N571" s="15" t="s">
        <v>0</v>
      </c>
      <c r="O571" s="15" t="s">
        <v>0</v>
      </c>
      <c r="P571" s="15" t="s">
        <v>0</v>
      </c>
      <c r="Q571" s="15" t="s">
        <v>4577</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5955</v>
      </c>
      <c r="X571" s="24" t="str">
        <f t="shared" si="355"/>
        <v>direc.102</v>
      </c>
      <c r="Y571" s="24" t="str">
        <f t="shared" si="354"/>
        <v>Ação direcionar</v>
      </c>
      <c r="Z571" s="47" t="s">
        <v>4570</v>
      </c>
      <c r="AA571" s="25" t="str">
        <f>IF(AB571="null", "null", "categoria.revit")</f>
        <v>null</v>
      </c>
      <c r="AB571" s="26" t="s">
        <v>0</v>
      </c>
      <c r="AC571" s="25" t="str">
        <f>IF(AD571="null", "null", "classe.ifc")</f>
        <v>null</v>
      </c>
      <c r="AD571" s="26" t="s">
        <v>0</v>
      </c>
      <c r="AE571" s="25" t="str">
        <f>IF(AF571="null", "null", "propiedade")</f>
        <v>null</v>
      </c>
      <c r="AF571" s="26" t="s">
        <v>0</v>
      </c>
      <c r="AG571" s="47" t="s">
        <v>4573</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4823</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5956</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4825</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5957</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4824</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5958</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4822</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5959</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7518</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5960</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5447</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7517</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5961</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5448</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7519</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5983</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5962</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5449</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5963</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5450</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5964</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5451</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5965</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5452</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5965</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5452</v>
      </c>
    </row>
    <row r="584" spans="1:33" ht="6" customHeight="1" x14ac:dyDescent="0.4">
      <c r="A584" s="4">
        <f>ROW()</f>
        <v>584</v>
      </c>
      <c r="B584" s="9" t="s">
        <v>27</v>
      </c>
      <c r="C584" s="54" t="str">
        <f t="shared" si="338"/>
        <v>p.documentar</v>
      </c>
      <c r="D584" s="6" t="str">
        <f t="shared" si="339"/>
        <v>é.folha</v>
      </c>
      <c r="E584" s="8" t="s">
        <v>28</v>
      </c>
      <c r="F584" s="51" t="s">
        <v>673</v>
      </c>
      <c r="G584" s="17" t="s">
        <v>4866</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5966</v>
      </c>
      <c r="X584" s="24" t="str">
        <f t="shared" si="417"/>
        <v>docum.100</v>
      </c>
      <c r="Y584" s="24" t="str">
        <f t="shared" si="413"/>
        <v>Ação documentar</v>
      </c>
      <c r="Z584" s="47" t="s">
        <v>4393</v>
      </c>
      <c r="AA584" s="25" t="str">
        <f t="shared" si="405"/>
        <v>categoria.revit</v>
      </c>
      <c r="AB584" s="26" t="s">
        <v>3941</v>
      </c>
      <c r="AC584" s="25" t="str">
        <f t="shared" si="406"/>
        <v>null</v>
      </c>
      <c r="AD584" s="26" t="s">
        <v>0</v>
      </c>
      <c r="AE584" s="25" t="str">
        <f t="shared" si="345"/>
        <v>null</v>
      </c>
      <c r="AF584" s="26" t="s">
        <v>0</v>
      </c>
      <c r="AG584" s="47" t="s">
        <v>4453</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5967</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5438</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5968</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5439</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5969</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5440</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5970</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5441</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5971</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5442</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5972</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5443</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5973</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5444</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5974</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5445</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5975</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5446</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5976</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5437</v>
      </c>
    </row>
    <row r="595" spans="1:33" ht="6" customHeight="1" x14ac:dyDescent="0.4">
      <c r="A595" s="4">
        <f>ROW()</f>
        <v>595</v>
      </c>
      <c r="B595" s="9" t="s">
        <v>27</v>
      </c>
      <c r="C595" s="54" t="str">
        <f t="shared" si="338"/>
        <v>p.drenar</v>
      </c>
      <c r="D595" s="6" t="str">
        <f t="shared" si="339"/>
        <v>é.ralo</v>
      </c>
      <c r="E595" s="8" t="s">
        <v>28</v>
      </c>
      <c r="F595" s="51" t="s">
        <v>5433</v>
      </c>
      <c r="G595" s="17" t="s">
        <v>4860</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5977</v>
      </c>
      <c r="X595" s="24" t="str">
        <f t="shared" si="417"/>
        <v>drena.100</v>
      </c>
      <c r="Y595" s="24" t="str">
        <f t="shared" si="413"/>
        <v>Ação drenar</v>
      </c>
      <c r="Z595" s="47" t="s">
        <v>4385</v>
      </c>
      <c r="AA595" s="25" t="str">
        <f t="shared" si="405"/>
        <v>categoria.revit</v>
      </c>
      <c r="AB595" s="26" t="s">
        <v>3927</v>
      </c>
      <c r="AC595" s="25" t="str">
        <f t="shared" si="406"/>
        <v>classe.ifc</v>
      </c>
      <c r="AD595" s="26" t="s">
        <v>3890</v>
      </c>
      <c r="AE595" s="25" t="str">
        <f t="shared" si="345"/>
        <v>null</v>
      </c>
      <c r="AF595" s="26" t="s">
        <v>0</v>
      </c>
      <c r="AG595" s="47" t="s">
        <v>4445</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5978</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5434</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5979</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5435</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5980</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5436</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5981</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5453</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5982</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5232</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5984</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5233</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5985</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5986</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5143</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5987</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5144</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5988</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5145</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5989</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5146</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5990</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5991</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5147</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5992</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5993</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5994</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5995</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5996</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5997</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5998</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5999</v>
      </c>
      <c r="X616" s="24" t="str">
        <f t="shared" si="417"/>
        <v>enche.100</v>
      </c>
      <c r="Y616" s="24" t="str">
        <f t="shared" si="413"/>
        <v>Ação encher</v>
      </c>
      <c r="Z616" s="47" t="s">
        <v>5040</v>
      </c>
      <c r="AA616" s="25" t="str">
        <f t="shared" si="405"/>
        <v>null</v>
      </c>
      <c r="AB616" s="26" t="s">
        <v>0</v>
      </c>
      <c r="AC616" s="25" t="str">
        <f t="shared" si="406"/>
        <v>null</v>
      </c>
      <c r="AD616" s="26" t="s">
        <v>0</v>
      </c>
      <c r="AE616" s="25" t="str">
        <f t="shared" si="345"/>
        <v>null</v>
      </c>
      <c r="AF616" s="26" t="s">
        <v>0</v>
      </c>
      <c r="AG616" s="47" t="s">
        <v>5234</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6000</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5235</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6001</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5148</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6002</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6003</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6004</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6005</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6006</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6007</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6008</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6009</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6010</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6011</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6012</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6013</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6014</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6015</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6016</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6017</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6018</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6019</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6020</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6021</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6022</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6023</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6024</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6025</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4868</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6027</v>
      </c>
      <c r="X643" s="24" t="str">
        <f t="shared" ref="X643:X706" si="431">IF(F642&lt;&gt;F643,_xlfn.CONCAT(RIGHT(LEFT(F643,7),5),".100"),_xlfn.CONCAT(RIGHT(LEFT(F643,7),5),".",SUM(VALUE(RIGHT(X642,3)),1)))</f>
        <v>energ.100</v>
      </c>
      <c r="Y643" s="24" t="str">
        <f t="shared" si="430"/>
        <v>Ação energizar</v>
      </c>
      <c r="Z643" s="47" t="s">
        <v>4395</v>
      </c>
      <c r="AA643" s="25" t="str">
        <f t="shared" si="428"/>
        <v>categoria.revit</v>
      </c>
      <c r="AB643" s="26" t="s">
        <v>3940</v>
      </c>
      <c r="AC643" s="25" t="str">
        <f t="shared" si="429"/>
        <v>null</v>
      </c>
      <c r="AD643" s="26" t="s">
        <v>0</v>
      </c>
      <c r="AE643" s="25" t="str">
        <f t="shared" si="427"/>
        <v>null</v>
      </c>
      <c r="AF643" s="26" t="s">
        <v>0</v>
      </c>
      <c r="AG643" s="47" t="s">
        <v>4455</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6028</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5149</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6029</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6030</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5150</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6031</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6032</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5288</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6033</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6034</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6035</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6036</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6037</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6038</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6039</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6040</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6041</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6042</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6043</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6044</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6045</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6046</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6047</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6048</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6049</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6050</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6051</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6052</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6053</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6054</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6055</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6056</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6057</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6058</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6059</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6060</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6061</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6062</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6063</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6064</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6065</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4869</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6066</v>
      </c>
      <c r="X682" s="24" t="str">
        <f t="shared" si="431"/>
        <v>esgot.100</v>
      </c>
      <c r="Y682" s="24" t="str">
        <f t="shared" si="430"/>
        <v>Ação esgotar</v>
      </c>
      <c r="Z682" s="47" t="s">
        <v>4396</v>
      </c>
      <c r="AA682" s="25" t="str">
        <f t="shared" si="428"/>
        <v>categoria.revit</v>
      </c>
      <c r="AB682" s="26" t="s">
        <v>3920</v>
      </c>
      <c r="AC682" s="25" t="str">
        <f t="shared" si="429"/>
        <v>classe.ifc</v>
      </c>
      <c r="AD682" s="26" t="s">
        <v>3885</v>
      </c>
      <c r="AE682" s="25" t="str">
        <f t="shared" si="427"/>
        <v>null</v>
      </c>
      <c r="AF682" s="26" t="s">
        <v>0</v>
      </c>
      <c r="AG682" s="47" t="s">
        <v>4456</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6067</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6068</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6069</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6070</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6071</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6072</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6073</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6074</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6075</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6076</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6077</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6078</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6079</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6080</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7486</v>
      </c>
      <c r="G697" s="17" t="s">
        <v>7492</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7488</v>
      </c>
      <c r="X697" s="24" t="str">
        <f t="shared" si="431"/>
        <v>estim.100</v>
      </c>
      <c r="Y697" s="24" t="str">
        <f t="shared" si="430"/>
        <v>Ação estimar</v>
      </c>
      <c r="Z697" s="47" t="s">
        <v>7491</v>
      </c>
      <c r="AA697" s="25" t="str">
        <f t="shared" si="428"/>
        <v>null</v>
      </c>
      <c r="AB697" s="26" t="s">
        <v>0</v>
      </c>
      <c r="AC697" s="25" t="str">
        <f t="shared" si="429"/>
        <v>null</v>
      </c>
      <c r="AD697" s="26" t="s">
        <v>0</v>
      </c>
      <c r="AE697" s="25" t="str">
        <f t="shared" si="427"/>
        <v>null</v>
      </c>
      <c r="AF697" s="26" t="s">
        <v>0</v>
      </c>
      <c r="AG697" s="47" t="s">
        <v>7499</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7487</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7489</v>
      </c>
      <c r="X698" s="24" t="str">
        <f t="shared" si="431"/>
        <v>estim.101</v>
      </c>
      <c r="Y698" s="24" t="str">
        <f t="shared" si="430"/>
        <v>Ação estimar</v>
      </c>
      <c r="Z698" s="47" t="s">
        <v>7490</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7500</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7494</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7496</v>
      </c>
      <c r="X699" s="24" t="str">
        <f t="shared" si="431"/>
        <v>estim.102</v>
      </c>
      <c r="Y699" s="24" t="str">
        <f t="shared" si="430"/>
        <v>Ação estimar</v>
      </c>
      <c r="Z699" s="47" t="s">
        <v>7498</v>
      </c>
      <c r="AA699" s="25" t="str">
        <f t="shared" si="442"/>
        <v>null</v>
      </c>
      <c r="AB699" s="26" t="s">
        <v>0</v>
      </c>
      <c r="AC699" s="25" t="str">
        <f t="shared" si="443"/>
        <v>null</v>
      </c>
      <c r="AD699" s="26" t="s">
        <v>0</v>
      </c>
      <c r="AE699" s="25" t="str">
        <f t="shared" si="444"/>
        <v>null</v>
      </c>
      <c r="AF699" s="26" t="s">
        <v>0</v>
      </c>
      <c r="AG699" s="47" t="s">
        <v>7501</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7493</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7495</v>
      </c>
      <c r="X700" s="24" t="str">
        <f t="shared" si="431"/>
        <v>estim.103</v>
      </c>
      <c r="Y700" s="24" t="str">
        <f t="shared" si="430"/>
        <v>Ação estimar</v>
      </c>
      <c r="Z700" s="47" t="s">
        <v>7497</v>
      </c>
      <c r="AA700" s="25" t="str">
        <f t="shared" si="428"/>
        <v>null</v>
      </c>
      <c r="AB700" s="26" t="s">
        <v>0</v>
      </c>
      <c r="AC700" s="25" t="str">
        <f t="shared" si="429"/>
        <v>null</v>
      </c>
      <c r="AD700" s="26" t="s">
        <v>0</v>
      </c>
      <c r="AE700" s="25" t="str">
        <f t="shared" si="427"/>
        <v>null</v>
      </c>
      <c r="AF700" s="26" t="s">
        <v>0</v>
      </c>
      <c r="AG700" s="47" t="s">
        <v>7502</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6081</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6082</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6083</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6084</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6085</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6086</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6087</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5289</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6088</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6089</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6090</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6091</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6092</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6093</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4870</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6094</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6095</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6096</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6097</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6098</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6099</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5462</v>
      </c>
      <c r="G720" s="17" t="s">
        <v>5463</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6100</v>
      </c>
      <c r="X720" s="24" t="str">
        <f t="shared" si="455"/>
        <v>feder.100</v>
      </c>
      <c r="Y720" s="24" t="str">
        <f t="shared" si="454"/>
        <v>Ação federar</v>
      </c>
      <c r="Z720" s="47" t="s">
        <v>7176</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7231</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7520</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6101</v>
      </c>
      <c r="X721" s="24" t="str">
        <f t="shared" si="455"/>
        <v>feder.101</v>
      </c>
      <c r="Y721" s="24" t="str">
        <f t="shared" si="454"/>
        <v>Ação federar</v>
      </c>
      <c r="Z721" s="47" t="s">
        <v>7177</v>
      </c>
      <c r="AA721" s="25" t="str">
        <f t="shared" si="461"/>
        <v>null</v>
      </c>
      <c r="AB721" s="26" t="s">
        <v>0</v>
      </c>
      <c r="AC721" s="25" t="str">
        <f t="shared" si="462"/>
        <v>null</v>
      </c>
      <c r="AD721" s="26" t="s">
        <v>0</v>
      </c>
      <c r="AE721" s="25" t="str">
        <f t="shared" si="463"/>
        <v>null</v>
      </c>
      <c r="AF721" s="26" t="s">
        <v>0</v>
      </c>
      <c r="AG721" s="47" t="s">
        <v>7232</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5464</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6102</v>
      </c>
      <c r="X722" s="24" t="str">
        <f t="shared" si="455"/>
        <v>feder.102</v>
      </c>
      <c r="Y722" s="24" t="str">
        <f t="shared" si="454"/>
        <v>Ação federar</v>
      </c>
      <c r="Z722" s="47" t="s">
        <v>7178</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7233</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5465</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6103</v>
      </c>
      <c r="X723" s="24" t="str">
        <f t="shared" si="455"/>
        <v>feder.103</v>
      </c>
      <c r="Y723" s="24" t="str">
        <f t="shared" si="454"/>
        <v>Ação federar</v>
      </c>
      <c r="Z723" s="47" t="s">
        <v>7179</v>
      </c>
      <c r="AA723" s="25" t="str">
        <f t="shared" si="461"/>
        <v>null</v>
      </c>
      <c r="AB723" s="26" t="s">
        <v>0</v>
      </c>
      <c r="AC723" s="25" t="str">
        <f t="shared" si="462"/>
        <v>null</v>
      </c>
      <c r="AD723" s="26" t="s">
        <v>0</v>
      </c>
      <c r="AE723" s="25" t="str">
        <f t="shared" si="463"/>
        <v>null</v>
      </c>
      <c r="AF723" s="26" t="s">
        <v>0</v>
      </c>
      <c r="AG723" s="47" t="s">
        <v>7234</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6104</v>
      </c>
      <c r="X724" s="24" t="str">
        <f t="shared" si="455"/>
        <v>fluir.100</v>
      </c>
      <c r="Y724" s="24" t="str">
        <f t="shared" si="454"/>
        <v>Ação fluir</v>
      </c>
      <c r="Z724" s="47" t="s">
        <v>5041</v>
      </c>
      <c r="AA724" s="25" t="str">
        <f t="shared" si="450"/>
        <v>null</v>
      </c>
      <c r="AB724" s="26" t="s">
        <v>0</v>
      </c>
      <c r="AC724" s="25" t="str">
        <f t="shared" si="451"/>
        <v>null</v>
      </c>
      <c r="AD724" s="26" t="s">
        <v>0</v>
      </c>
      <c r="AE724" s="25" t="str">
        <f t="shared" si="452"/>
        <v>null</v>
      </c>
      <c r="AF724" s="26" t="s">
        <v>0</v>
      </c>
      <c r="AG724" s="47" t="s">
        <v>5236</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6105</v>
      </c>
      <c r="X725" s="24" t="str">
        <f t="shared" si="455"/>
        <v>fluir.101</v>
      </c>
      <c r="Y725" s="24" t="str">
        <f t="shared" si="454"/>
        <v>Ação fluir</v>
      </c>
      <c r="Z725" s="47" t="s">
        <v>5042</v>
      </c>
      <c r="AA725" s="25" t="str">
        <f t="shared" si="450"/>
        <v>categoria.revit</v>
      </c>
      <c r="AB725" s="26" t="s">
        <v>3948</v>
      </c>
      <c r="AC725" s="25" t="str">
        <f t="shared" si="451"/>
        <v>classe.ifc</v>
      </c>
      <c r="AD725" s="26" t="s">
        <v>3899</v>
      </c>
      <c r="AE725" s="25" t="str">
        <f t="shared" si="452"/>
        <v>null</v>
      </c>
      <c r="AF725" s="26" t="s">
        <v>0</v>
      </c>
      <c r="AG725" s="47" t="s">
        <v>5237</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6106</v>
      </c>
      <c r="X726" s="24" t="str">
        <f t="shared" si="455"/>
        <v>fluir.102</v>
      </c>
      <c r="Y726" s="24" t="str">
        <f t="shared" si="454"/>
        <v>Ação fluir</v>
      </c>
      <c r="Z726" s="47" t="s">
        <v>5043</v>
      </c>
      <c r="AA726" s="25" t="str">
        <f t="shared" si="450"/>
        <v>null</v>
      </c>
      <c r="AB726" s="26" t="s">
        <v>0</v>
      </c>
      <c r="AC726" s="25" t="str">
        <f t="shared" si="451"/>
        <v>null</v>
      </c>
      <c r="AD726" s="26" t="s">
        <v>0</v>
      </c>
      <c r="AE726" s="25" t="str">
        <f t="shared" si="452"/>
        <v>null</v>
      </c>
      <c r="AF726" s="26" t="s">
        <v>0</v>
      </c>
      <c r="AG726" s="47" t="s">
        <v>5238</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6107</v>
      </c>
      <c r="X727" s="24" t="str">
        <f t="shared" si="455"/>
        <v>fluir.103</v>
      </c>
      <c r="Y727" s="24" t="str">
        <f t="shared" si="454"/>
        <v>Ação fluir</v>
      </c>
      <c r="Z727" s="47" t="s">
        <v>5044</v>
      </c>
      <c r="AA727" s="25" t="str">
        <f t="shared" si="450"/>
        <v>null</v>
      </c>
      <c r="AB727" s="26" t="s">
        <v>0</v>
      </c>
      <c r="AC727" s="25" t="str">
        <f t="shared" si="451"/>
        <v>null</v>
      </c>
      <c r="AD727" s="26" t="s">
        <v>0</v>
      </c>
      <c r="AE727" s="25" t="str">
        <f t="shared" si="452"/>
        <v>propiedade</v>
      </c>
      <c r="AF727" s="26" t="s">
        <v>2699</v>
      </c>
      <c r="AG727" s="47" t="s">
        <v>5239</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6108</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6109</v>
      </c>
      <c r="X729" s="24" t="str">
        <f t="shared" si="455"/>
        <v>fluir.105</v>
      </c>
      <c r="Y729" s="24" t="str">
        <f t="shared" si="454"/>
        <v>Ação fluir</v>
      </c>
      <c r="Z729" s="47" t="s">
        <v>5045</v>
      </c>
      <c r="AA729" s="25" t="str">
        <f t="shared" si="450"/>
        <v>null</v>
      </c>
      <c r="AB729" s="26" t="s">
        <v>0</v>
      </c>
      <c r="AC729" s="25" t="str">
        <f t="shared" si="451"/>
        <v>null</v>
      </c>
      <c r="AD729" s="26" t="s">
        <v>0</v>
      </c>
      <c r="AE729" s="25" t="str">
        <f t="shared" si="452"/>
        <v>null</v>
      </c>
      <c r="AF729" s="26" t="s">
        <v>0</v>
      </c>
      <c r="AG729" s="47" t="s">
        <v>5240</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6110</v>
      </c>
      <c r="X730" s="24" t="str">
        <f t="shared" si="455"/>
        <v>fluir.106</v>
      </c>
      <c r="Y730" s="24" t="str">
        <f t="shared" si="454"/>
        <v>Ação fluir</v>
      </c>
      <c r="Z730" s="47" t="s">
        <v>5046</v>
      </c>
      <c r="AA730" s="25" t="str">
        <f t="shared" si="450"/>
        <v>null</v>
      </c>
      <c r="AB730" s="26" t="s">
        <v>0</v>
      </c>
      <c r="AC730" s="25" t="str">
        <f t="shared" si="451"/>
        <v>null</v>
      </c>
      <c r="AD730" s="26" t="s">
        <v>0</v>
      </c>
      <c r="AE730" s="25" t="str">
        <f t="shared" si="452"/>
        <v>null</v>
      </c>
      <c r="AF730" s="26" t="s">
        <v>0</v>
      </c>
      <c r="AG730" s="47" t="s">
        <v>5241</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6111</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6112</v>
      </c>
      <c r="X732" s="24" t="str">
        <f t="shared" si="455"/>
        <v>forma.100</v>
      </c>
      <c r="Y732" s="24" t="str">
        <f t="shared" si="454"/>
        <v>Ação formar</v>
      </c>
      <c r="Z732" s="47" t="s">
        <v>5047</v>
      </c>
      <c r="AA732" s="25" t="str">
        <f t="shared" si="450"/>
        <v>null</v>
      </c>
      <c r="AB732" s="26" t="s">
        <v>0</v>
      </c>
      <c r="AC732" s="25" t="str">
        <f t="shared" si="451"/>
        <v>null</v>
      </c>
      <c r="AD732" s="26" t="s">
        <v>0</v>
      </c>
      <c r="AE732" s="25" t="str">
        <f t="shared" si="452"/>
        <v>null</v>
      </c>
      <c r="AF732" s="26" t="s">
        <v>0</v>
      </c>
      <c r="AG732" s="47" t="s">
        <v>5242</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6113</v>
      </c>
      <c r="X733" s="24" t="str">
        <f t="shared" si="455"/>
        <v>forma.101</v>
      </c>
      <c r="Y733" s="24" t="str">
        <f t="shared" si="454"/>
        <v>Ação formar</v>
      </c>
      <c r="Z733" s="47" t="s">
        <v>2742</v>
      </c>
      <c r="AA733" s="25" t="str">
        <f t="shared" si="450"/>
        <v>categoria.revit</v>
      </c>
      <c r="AB733" s="26" t="s">
        <v>4839</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6114</v>
      </c>
      <c r="X734" s="24" t="str">
        <f t="shared" si="455"/>
        <v>forma.102</v>
      </c>
      <c r="Y734" s="24" t="str">
        <f t="shared" si="454"/>
        <v>Ação formar</v>
      </c>
      <c r="Z734" s="47" t="s">
        <v>2743</v>
      </c>
      <c r="AA734" s="25" t="str">
        <f t="shared" si="450"/>
        <v>categoria.revit</v>
      </c>
      <c r="AB734" s="26" t="s">
        <v>4840</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6115</v>
      </c>
      <c r="X735" s="24" t="str">
        <f t="shared" si="455"/>
        <v>forma.103</v>
      </c>
      <c r="Y735" s="24" t="str">
        <f t="shared" si="454"/>
        <v>Ação formar</v>
      </c>
      <c r="Z735" s="47" t="s">
        <v>2744</v>
      </c>
      <c r="AA735" s="25" t="str">
        <f t="shared" si="450"/>
        <v>categoria.revit</v>
      </c>
      <c r="AB735" s="26" t="s">
        <v>4841</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6116</v>
      </c>
      <c r="X736" s="24" t="str">
        <f t="shared" si="455"/>
        <v>forma.104</v>
      </c>
      <c r="Y736" s="24" t="str">
        <f t="shared" si="454"/>
        <v>Ação formar</v>
      </c>
      <c r="Z736" s="47" t="s">
        <v>2745</v>
      </c>
      <c r="AA736" s="25" t="str">
        <f t="shared" si="450"/>
        <v>categoria.revit</v>
      </c>
      <c r="AB736" s="26" t="s">
        <v>4842</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6117</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6118</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6119</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4345</v>
      </c>
      <c r="S740" s="10" t="s">
        <v>1</v>
      </c>
      <c r="T740" s="10" t="s">
        <v>32</v>
      </c>
      <c r="U740" s="5" t="str">
        <f t="shared" si="448"/>
        <v>Propriedade destinada a formar: é.base.x</v>
      </c>
      <c r="V740" s="5" t="str">
        <f t="shared" si="449"/>
        <v>Dado para formar:  base.x  Deve ser formatado como (xsd:double)</v>
      </c>
      <c r="W740" s="5" t="s">
        <v>6120</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4346</v>
      </c>
      <c r="S741" s="10" t="s">
        <v>1</v>
      </c>
      <c r="T741" s="10" t="s">
        <v>32</v>
      </c>
      <c r="U741" s="5" t="str">
        <f t="shared" si="448"/>
        <v>Propriedade destinada a formar: é.base.y</v>
      </c>
      <c r="V741" s="5" t="str">
        <f t="shared" si="449"/>
        <v>Dado para formar:  base.y  Deve ser formatado como (xsd:double)</v>
      </c>
      <c r="W741" s="5" t="s">
        <v>6121</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4347</v>
      </c>
      <c r="S742" s="10" t="s">
        <v>1</v>
      </c>
      <c r="T742" s="10" t="s">
        <v>32</v>
      </c>
      <c r="U742" s="5" t="str">
        <f t="shared" si="448"/>
        <v>Propriedade destinada a formar: é.base.z</v>
      </c>
      <c r="V742" s="5" t="str">
        <f t="shared" si="449"/>
        <v>Dado para formar:  base.z  Deve ser formatado como (xsd:double)</v>
      </c>
      <c r="W742" s="5" t="s">
        <v>6122</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4345</v>
      </c>
      <c r="S743" s="10" t="s">
        <v>1</v>
      </c>
      <c r="T743" s="10" t="s">
        <v>32</v>
      </c>
      <c r="U743" s="5" t="str">
        <f t="shared" si="448"/>
        <v>Propriedade destinada a formar: é.base.xx</v>
      </c>
      <c r="V743" s="5" t="str">
        <f t="shared" si="449"/>
        <v>Dado para formar:  base.xx  Deve ser formatado como (xsd:double)</v>
      </c>
      <c r="W743" s="5" t="s">
        <v>6123</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4346</v>
      </c>
      <c r="S744" s="10" t="s">
        <v>1</v>
      </c>
      <c r="T744" s="10" t="s">
        <v>32</v>
      </c>
      <c r="U744" s="5" t="str">
        <f t="shared" si="448"/>
        <v>Propriedade destinada a formar: é.base.yy</v>
      </c>
      <c r="V744" s="5" t="str">
        <f t="shared" si="449"/>
        <v>Dado para formar:  base.yy  Deve ser formatado como (xsd:double)</v>
      </c>
      <c r="W744" s="5" t="s">
        <v>6124</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4347</v>
      </c>
      <c r="S745" s="10" t="s">
        <v>1</v>
      </c>
      <c r="T745" s="10" t="s">
        <v>32</v>
      </c>
      <c r="U745" s="5" t="str">
        <f t="shared" si="448"/>
        <v>Propriedade destinada a formar: é.base.zz</v>
      </c>
      <c r="V745" s="5" t="str">
        <f t="shared" si="449"/>
        <v>Dado para formar:  base.zz  Deve ser formatado como (xsd:double)</v>
      </c>
      <c r="W745" s="5" t="s">
        <v>6125</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6126</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6127</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6128</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4520</v>
      </c>
      <c r="S749" s="10" t="s">
        <v>1</v>
      </c>
      <c r="T749" s="10" t="s">
        <v>32</v>
      </c>
      <c r="U749" s="5" t="str">
        <f t="shared" si="448"/>
        <v>Propriedade destinada a formar: é.coordenadas.xy</v>
      </c>
      <c r="V749" s="5" t="str">
        <f t="shared" si="449"/>
        <v>Dado para formar:  coordenadas.xy  Deve ser formatado como (rdfs:Literal  or  xsd:string)</v>
      </c>
      <c r="W749" s="5" t="s">
        <v>6129</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4521</v>
      </c>
      <c r="S750" s="10" t="s">
        <v>1</v>
      </c>
      <c r="T750" s="10" t="s">
        <v>32</v>
      </c>
      <c r="U750" s="5" t="str">
        <f t="shared" si="448"/>
        <v>Propriedade destinada a formar: é.coordenadas.xyz</v>
      </c>
      <c r="V750" s="5" t="str">
        <f t="shared" si="449"/>
        <v>Dado para formar:  coordenadas.xyz  Deve ser formatado como (rdfs:Literal  or  xsd:string)</v>
      </c>
      <c r="W750" s="5" t="s">
        <v>6130</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4578</v>
      </c>
      <c r="S751" s="10" t="s">
        <v>1</v>
      </c>
      <c r="T751" s="10" t="s">
        <v>32</v>
      </c>
      <c r="U751" s="5" t="str">
        <f t="shared" si="448"/>
        <v>Propriedade destinada a formar: é.vetor.translação</v>
      </c>
      <c r="V751" s="5" t="str">
        <f t="shared" si="449"/>
        <v>Dado para formar:  vetor.translação  Deve ser formatado como (rdfs:Literal  or  xsd:string)</v>
      </c>
      <c r="W751" s="5" t="s">
        <v>6131</v>
      </c>
      <c r="X751" s="24" t="str">
        <f t="shared" si="455"/>
        <v>forma.119</v>
      </c>
      <c r="Y751" s="24" t="str">
        <f t="shared" si="454"/>
        <v>Ação formar</v>
      </c>
      <c r="Z751" s="47" t="s">
        <v>4581</v>
      </c>
      <c r="AA751" s="25" t="str">
        <f t="shared" si="450"/>
        <v>null</v>
      </c>
      <c r="AB751" s="26" t="s">
        <v>0</v>
      </c>
      <c r="AC751" s="25" t="str">
        <f t="shared" si="451"/>
        <v>null</v>
      </c>
      <c r="AD751" s="26" t="s">
        <v>0</v>
      </c>
      <c r="AE751" s="25" t="str">
        <f t="shared" si="452"/>
        <v>null</v>
      </c>
      <c r="AF751" s="26" t="s">
        <v>0</v>
      </c>
      <c r="AG751" s="47" t="s">
        <v>4580</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6132</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6133</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6134</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4843</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6135</v>
      </c>
      <c r="X755" s="24" t="str">
        <f t="shared" si="455"/>
        <v>forma.123</v>
      </c>
      <c r="Y755" s="24" t="str">
        <f t="shared" si="454"/>
        <v>Ação formar</v>
      </c>
      <c r="Z755" s="62" t="s">
        <v>4826</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4827</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4844</v>
      </c>
      <c r="H756" s="41" t="s">
        <v>2321</v>
      </c>
      <c r="I756" s="16" t="str">
        <f t="shared" si="473"/>
        <v>null</v>
      </c>
      <c r="J756" s="15" t="s">
        <v>0</v>
      </c>
      <c r="K756" s="15" t="s">
        <v>0</v>
      </c>
      <c r="L756" s="15" t="s">
        <v>0</v>
      </c>
      <c r="M756" s="15" t="s">
        <v>0</v>
      </c>
      <c r="N756" s="15" t="s">
        <v>0</v>
      </c>
      <c r="O756" s="15" t="s">
        <v>0</v>
      </c>
      <c r="P756" s="15" t="s">
        <v>0</v>
      </c>
      <c r="Q756" s="15" t="s">
        <v>0</v>
      </c>
      <c r="R756" s="65" t="s">
        <v>4593</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6136</v>
      </c>
      <c r="X756" s="24" t="str">
        <f t="shared" si="455"/>
        <v>forma.124</v>
      </c>
      <c r="Y756" s="24" t="str">
        <f t="shared" si="454"/>
        <v>Ação formar</v>
      </c>
      <c r="Z756" s="62" t="s">
        <v>4373</v>
      </c>
      <c r="AA756" s="25" t="str">
        <f t="shared" si="450"/>
        <v>null</v>
      </c>
      <c r="AB756" s="26" t="s">
        <v>0</v>
      </c>
      <c r="AC756" s="25" t="str">
        <f t="shared" si="451"/>
        <v>null</v>
      </c>
      <c r="AD756" s="26" t="s">
        <v>0</v>
      </c>
      <c r="AE756" s="25" t="str">
        <f t="shared" ref="AE756:AE772" si="486">IF(AF756="null", "null", "propiedade")</f>
        <v>null</v>
      </c>
      <c r="AF756" s="26" t="s">
        <v>0</v>
      </c>
      <c r="AG756" s="62" t="s">
        <v>4372</v>
      </c>
    </row>
    <row r="757" spans="1:33" ht="6" customHeight="1" x14ac:dyDescent="0.4">
      <c r="A757" s="4">
        <f>ROW()</f>
        <v>757</v>
      </c>
      <c r="B757" s="9" t="s">
        <v>27</v>
      </c>
      <c r="C757" s="55" t="str">
        <f t="shared" si="482"/>
        <v>p.formar</v>
      </c>
      <c r="D757" s="6" t="str">
        <f t="shared" si="483"/>
        <v>é.ponto.xy</v>
      </c>
      <c r="E757" s="8" t="s">
        <v>28</v>
      </c>
      <c r="F757" s="42" t="str">
        <f>F752</f>
        <v>d.formar</v>
      </c>
      <c r="G757" s="17" t="s">
        <v>4349</v>
      </c>
      <c r="H757" s="41" t="s">
        <v>2321</v>
      </c>
      <c r="I757" s="16" t="str">
        <f t="shared" si="473"/>
        <v>null</v>
      </c>
      <c r="J757" s="15" t="s">
        <v>0</v>
      </c>
      <c r="K757" s="15" t="s">
        <v>0</v>
      </c>
      <c r="L757" s="15" t="s">
        <v>0</v>
      </c>
      <c r="M757" s="15" t="s">
        <v>0</v>
      </c>
      <c r="N757" s="15" t="s">
        <v>0</v>
      </c>
      <c r="O757" s="15" t="s">
        <v>0</v>
      </c>
      <c r="P757" s="15" t="s">
        <v>0</v>
      </c>
      <c r="Q757" s="15" t="s">
        <v>0</v>
      </c>
      <c r="R757" s="65" t="s">
        <v>4543</v>
      </c>
      <c r="S757" s="10" t="s">
        <v>1</v>
      </c>
      <c r="T757" s="10" t="s">
        <v>32</v>
      </c>
      <c r="U757" s="5" t="str">
        <f t="shared" si="484"/>
        <v>Propriedade destinada a formar: é.ponto.xy</v>
      </c>
      <c r="V757" s="5" t="str">
        <f t="shared" si="485"/>
        <v>Dado para formar:  ponto.xy  Deve ser formatado como (rdfs:Literal  or  xsd:string)</v>
      </c>
      <c r="W757" s="5" t="s">
        <v>6137</v>
      </c>
      <c r="X757" s="24" t="str">
        <f t="shared" si="455"/>
        <v>forma.125</v>
      </c>
      <c r="Y757" s="24" t="str">
        <f t="shared" si="454"/>
        <v>Ação formar</v>
      </c>
      <c r="Z757" s="62" t="s">
        <v>4371</v>
      </c>
      <c r="AA757" s="25" t="str">
        <f t="shared" si="450"/>
        <v>null</v>
      </c>
      <c r="AB757" s="26" t="s">
        <v>0</v>
      </c>
      <c r="AC757" s="25" t="str">
        <f t="shared" si="451"/>
        <v>null</v>
      </c>
      <c r="AD757" s="26" t="s">
        <v>0</v>
      </c>
      <c r="AE757" s="25" t="str">
        <f t="shared" si="486"/>
        <v>null</v>
      </c>
      <c r="AF757" s="26" t="s">
        <v>0</v>
      </c>
      <c r="AG757" s="62" t="s">
        <v>4350</v>
      </c>
    </row>
    <row r="758" spans="1:33" ht="6" customHeight="1" x14ac:dyDescent="0.4">
      <c r="A758" s="4">
        <f>ROW()</f>
        <v>758</v>
      </c>
      <c r="B758" s="9" t="s">
        <v>27</v>
      </c>
      <c r="C758" s="55" t="str">
        <f t="shared" si="482"/>
        <v>p.formar</v>
      </c>
      <c r="D758" s="6" t="str">
        <f t="shared" si="483"/>
        <v>é.ponto.xyz</v>
      </c>
      <c r="E758" s="8" t="s">
        <v>28</v>
      </c>
      <c r="F758" s="42" t="str">
        <f>F752</f>
        <v>d.formar</v>
      </c>
      <c r="G758" s="17" t="s">
        <v>4344</v>
      </c>
      <c r="H758" s="41" t="s">
        <v>2321</v>
      </c>
      <c r="I758" s="16" t="str">
        <f t="shared" si="473"/>
        <v>null</v>
      </c>
      <c r="J758" s="15" t="s">
        <v>0</v>
      </c>
      <c r="K758" s="15" t="s">
        <v>0</v>
      </c>
      <c r="L758" s="15" t="s">
        <v>0</v>
      </c>
      <c r="M758" s="15" t="s">
        <v>0</v>
      </c>
      <c r="N758" s="15" t="s">
        <v>0</v>
      </c>
      <c r="O758" s="15" t="s">
        <v>0</v>
      </c>
      <c r="P758" s="15" t="s">
        <v>0</v>
      </c>
      <c r="Q758" s="15" t="s">
        <v>0</v>
      </c>
      <c r="R758" s="65" t="s">
        <v>4544</v>
      </c>
      <c r="S758" s="10" t="s">
        <v>1</v>
      </c>
      <c r="T758" s="10" t="s">
        <v>32</v>
      </c>
      <c r="U758" s="5" t="str">
        <f t="shared" si="484"/>
        <v>Propriedade destinada a formar: é.ponto.xyz</v>
      </c>
      <c r="V758" s="5" t="str">
        <f t="shared" si="485"/>
        <v>Dado para formar:  ponto.xyz  Deve ser formatado como (rdfs:Literal  or  xsd:string)</v>
      </c>
      <c r="W758" s="5" t="s">
        <v>6138</v>
      </c>
      <c r="X758" s="24" t="str">
        <f t="shared" si="455"/>
        <v>forma.126</v>
      </c>
      <c r="Y758" s="24" t="str">
        <f t="shared" si="454"/>
        <v>Ação formar</v>
      </c>
      <c r="Z758" s="62" t="s">
        <v>4370</v>
      </c>
      <c r="AA758" s="25" t="str">
        <f t="shared" si="450"/>
        <v>null</v>
      </c>
      <c r="AB758" s="26" t="s">
        <v>0</v>
      </c>
      <c r="AC758" s="25" t="str">
        <f t="shared" si="451"/>
        <v>null</v>
      </c>
      <c r="AD758" s="26" t="s">
        <v>0</v>
      </c>
      <c r="AE758" s="25" t="str">
        <f t="shared" si="486"/>
        <v>null</v>
      </c>
      <c r="AF758" s="26" t="s">
        <v>0</v>
      </c>
      <c r="AG758" s="62" t="s">
        <v>4348</v>
      </c>
    </row>
    <row r="759" spans="1:33" ht="6" customHeight="1" x14ac:dyDescent="0.4">
      <c r="A759" s="4">
        <f>ROW()</f>
        <v>759</v>
      </c>
      <c r="B759" s="9" t="s">
        <v>27</v>
      </c>
      <c r="C759" s="55" t="str">
        <f t="shared" si="482"/>
        <v>p.formar</v>
      </c>
      <c r="D759" s="6" t="str">
        <f t="shared" si="483"/>
        <v>é.ponto.xyzi</v>
      </c>
      <c r="E759" s="8" t="s">
        <v>28</v>
      </c>
      <c r="F759" s="42" t="str">
        <f>F753</f>
        <v>d.formar</v>
      </c>
      <c r="G759" s="17" t="s">
        <v>4375</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6139</v>
      </c>
      <c r="X759" s="24" t="str">
        <f t="shared" si="455"/>
        <v>forma.127</v>
      </c>
      <c r="Y759" s="24" t="str">
        <f t="shared" si="454"/>
        <v>Ação formar</v>
      </c>
      <c r="Z759" s="62" t="s">
        <v>4368</v>
      </c>
      <c r="AA759" s="25" t="str">
        <f t="shared" si="450"/>
        <v>null</v>
      </c>
      <c r="AB759" s="26" t="s">
        <v>0</v>
      </c>
      <c r="AC759" s="25" t="str">
        <f t="shared" si="451"/>
        <v>null</v>
      </c>
      <c r="AD759" s="26" t="s">
        <v>0</v>
      </c>
      <c r="AE759" s="25" t="str">
        <f t="shared" si="486"/>
        <v>null</v>
      </c>
      <c r="AF759" s="26" t="s">
        <v>0</v>
      </c>
      <c r="AG759" s="62" t="s">
        <v>4354</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6140</v>
      </c>
      <c r="X760" s="24" t="str">
        <f t="shared" si="455"/>
        <v>forma.128</v>
      </c>
      <c r="Y760" s="24" t="str">
        <f t="shared" si="454"/>
        <v>Ação formar</v>
      </c>
      <c r="Z760" s="62" t="s">
        <v>4518</v>
      </c>
      <c r="AA760" s="25" t="str">
        <f t="shared" si="450"/>
        <v>null</v>
      </c>
      <c r="AB760" s="26" t="s">
        <v>0</v>
      </c>
      <c r="AC760" s="25" t="str">
        <f t="shared" si="451"/>
        <v>null</v>
      </c>
      <c r="AD760" s="26" t="s">
        <v>0</v>
      </c>
      <c r="AE760" s="25" t="str">
        <f t="shared" si="486"/>
        <v>null</v>
      </c>
      <c r="AF760" s="26" t="s">
        <v>0</v>
      </c>
      <c r="AG760" s="62" t="s">
        <v>4517</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4338</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6141</v>
      </c>
      <c r="X761" s="24" t="str">
        <f t="shared" si="455"/>
        <v>forma.129</v>
      </c>
      <c r="Y761" s="24" t="str">
        <f t="shared" si="454"/>
        <v>Ação formar</v>
      </c>
      <c r="Z761" s="62" t="s">
        <v>4369</v>
      </c>
      <c r="AA761" s="25" t="str">
        <f t="shared" si="450"/>
        <v>null</v>
      </c>
      <c r="AB761" s="26" t="s">
        <v>0</v>
      </c>
      <c r="AC761" s="25" t="str">
        <f t="shared" si="451"/>
        <v>null</v>
      </c>
      <c r="AD761" s="26" t="s">
        <v>0</v>
      </c>
      <c r="AE761" s="25" t="str">
        <f t="shared" si="486"/>
        <v>null</v>
      </c>
      <c r="AF761" s="26" t="s">
        <v>0</v>
      </c>
      <c r="AG761" s="62" t="s">
        <v>4339</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4582</v>
      </c>
      <c r="H762" s="41" t="s">
        <v>2321</v>
      </c>
      <c r="I762" s="16" t="str">
        <f t="shared" si="473"/>
        <v>null</v>
      </c>
      <c r="J762" s="15" t="s">
        <v>0</v>
      </c>
      <c r="K762" s="15" t="s">
        <v>0</v>
      </c>
      <c r="L762" s="15" t="s">
        <v>0</v>
      </c>
      <c r="M762" s="15" t="s">
        <v>0</v>
      </c>
      <c r="N762" s="15" t="s">
        <v>0</v>
      </c>
      <c r="O762" s="15" t="s">
        <v>0</v>
      </c>
      <c r="P762" s="15" t="s">
        <v>0</v>
      </c>
      <c r="Q762" s="15" t="s">
        <v>0</v>
      </c>
      <c r="R762" s="15" t="s">
        <v>4351</v>
      </c>
      <c r="S762" s="10" t="s">
        <v>1</v>
      </c>
      <c r="T762" s="10" t="s">
        <v>32</v>
      </c>
      <c r="U762" s="5" t="str">
        <f t="shared" si="484"/>
        <v>Propriedade destinada a formar: é.ponto.analítico</v>
      </c>
      <c r="V762" s="5" t="str">
        <f t="shared" si="485"/>
        <v>Dado para formar:  ponto.analítico  Deve ser formatado como (rdfs:Literal  or  xsd:string)</v>
      </c>
      <c r="W762" s="5" t="s">
        <v>6142</v>
      </c>
      <c r="X762" s="24" t="str">
        <f t="shared" si="455"/>
        <v>forma.130</v>
      </c>
      <c r="Y762" s="24" t="str">
        <f t="shared" si="454"/>
        <v>Ação formar</v>
      </c>
      <c r="Z762" s="62" t="s">
        <v>4352</v>
      </c>
      <c r="AA762" s="25" t="str">
        <f t="shared" si="450"/>
        <v>null</v>
      </c>
      <c r="AB762" s="26" t="s">
        <v>0</v>
      </c>
      <c r="AC762" s="25" t="str">
        <f t="shared" si="451"/>
        <v>null</v>
      </c>
      <c r="AD762" s="26" t="s">
        <v>0</v>
      </c>
      <c r="AE762" s="25" t="str">
        <f t="shared" si="486"/>
        <v>null</v>
      </c>
      <c r="AF762" s="26" t="s">
        <v>0</v>
      </c>
      <c r="AG762" s="64" t="s">
        <v>4353</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4583</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6143</v>
      </c>
      <c r="X763" s="24" t="str">
        <f t="shared" si="455"/>
        <v>forma.131</v>
      </c>
      <c r="Y763" s="24" t="str">
        <f t="shared" si="454"/>
        <v>Ação formar</v>
      </c>
      <c r="Z763" s="47" t="s">
        <v>4340</v>
      </c>
      <c r="AA763" s="25" t="str">
        <f t="shared" si="450"/>
        <v>null</v>
      </c>
      <c r="AB763" s="26" t="s">
        <v>0</v>
      </c>
      <c r="AC763" s="25" t="str">
        <f t="shared" si="451"/>
        <v>null</v>
      </c>
      <c r="AD763" s="26" t="s">
        <v>0</v>
      </c>
      <c r="AE763" s="25" t="str">
        <f t="shared" si="486"/>
        <v>null</v>
      </c>
      <c r="AF763" s="26" t="s">
        <v>0</v>
      </c>
      <c r="AG763" s="47" t="s">
        <v>4341</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6144</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6145</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4592</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6146</v>
      </c>
      <c r="X766" s="24" t="str">
        <f t="shared" si="455"/>
        <v>forma.134</v>
      </c>
      <c r="Y766" s="24" t="str">
        <f t="shared" si="454"/>
        <v>Ação formar</v>
      </c>
      <c r="Z766" s="47" t="s">
        <v>4586</v>
      </c>
      <c r="AA766" s="25" t="str">
        <f t="shared" si="488"/>
        <v>null</v>
      </c>
      <c r="AB766" s="26" t="s">
        <v>0</v>
      </c>
      <c r="AC766" s="25" t="str">
        <f t="shared" si="489"/>
        <v>null</v>
      </c>
      <c r="AD766" s="26" t="s">
        <v>0</v>
      </c>
      <c r="AE766" s="25" t="str">
        <f t="shared" si="486"/>
        <v>null</v>
      </c>
      <c r="AF766" s="26" t="s">
        <v>0</v>
      </c>
      <c r="AG766" s="47" t="s">
        <v>4589</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4584</v>
      </c>
      <c r="H767" s="41" t="s">
        <v>4592</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6147</v>
      </c>
      <c r="X767" s="24" t="str">
        <f t="shared" si="455"/>
        <v>forma.135</v>
      </c>
      <c r="Y767" s="24" t="str">
        <f t="shared" si="454"/>
        <v>Ação formar</v>
      </c>
      <c r="Z767" s="47" t="s">
        <v>4587</v>
      </c>
      <c r="AA767" s="25" t="str">
        <f t="shared" si="488"/>
        <v>null</v>
      </c>
      <c r="AB767" s="26" t="s">
        <v>0</v>
      </c>
      <c r="AC767" s="25" t="str">
        <f t="shared" si="489"/>
        <v>null</v>
      </c>
      <c r="AD767" s="26" t="s">
        <v>0</v>
      </c>
      <c r="AE767" s="25" t="str">
        <f t="shared" si="486"/>
        <v>null</v>
      </c>
      <c r="AF767" s="26" t="s">
        <v>0</v>
      </c>
      <c r="AG767" s="47" t="s">
        <v>4590</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4585</v>
      </c>
      <c r="H768" s="42" t="s">
        <v>4592</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6148</v>
      </c>
      <c r="X768" s="24" t="str">
        <f t="shared" si="455"/>
        <v>forma.136</v>
      </c>
      <c r="Y768" s="24" t="str">
        <f t="shared" si="454"/>
        <v>Ação formar</v>
      </c>
      <c r="Z768" s="47" t="s">
        <v>4588</v>
      </c>
      <c r="AA768" s="25" t="str">
        <f t="shared" si="488"/>
        <v>null</v>
      </c>
      <c r="AB768" s="26" t="s">
        <v>0</v>
      </c>
      <c r="AC768" s="25" t="str">
        <f t="shared" si="489"/>
        <v>null</v>
      </c>
      <c r="AD768" s="26" t="s">
        <v>0</v>
      </c>
      <c r="AE768" s="25" t="str">
        <f t="shared" si="486"/>
        <v>null</v>
      </c>
      <c r="AF768" s="26" t="s">
        <v>0</v>
      </c>
      <c r="AG768" s="47" t="s">
        <v>4591</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4871</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6149</v>
      </c>
      <c r="X769" s="24" t="str">
        <f t="shared" si="455"/>
        <v>funci.100</v>
      </c>
      <c r="Y769" s="24" t="str">
        <f t="shared" si="454"/>
        <v>Ação funcionar</v>
      </c>
      <c r="Z769" s="47" t="s">
        <v>4397</v>
      </c>
      <c r="AA769" s="25" t="str">
        <f t="shared" si="488"/>
        <v>categoria.revit</v>
      </c>
      <c r="AB769" s="26" t="s">
        <v>3947</v>
      </c>
      <c r="AC769" s="25" t="str">
        <f t="shared" si="489"/>
        <v>classe.ifc</v>
      </c>
      <c r="AD769" s="26" t="s">
        <v>3898</v>
      </c>
      <c r="AE769" s="25" t="str">
        <f t="shared" si="486"/>
        <v>propiedade</v>
      </c>
      <c r="AF769" s="26" t="s">
        <v>2660</v>
      </c>
      <c r="AG769" s="47" t="s">
        <v>4457</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6150</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6151</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6152</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4329</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6153</v>
      </c>
      <c r="X773" s="24" t="str">
        <f t="shared" si="493"/>
        <v>funci.104</v>
      </c>
      <c r="Y773" s="24" t="str">
        <f t="shared" si="492"/>
        <v>Ação funcionar</v>
      </c>
      <c r="Z773" s="47" t="s">
        <v>4332</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5151</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4328</v>
      </c>
      <c r="S774" s="10" t="s">
        <v>1</v>
      </c>
      <c r="T774" s="10" t="s">
        <v>32</v>
      </c>
      <c r="U774" s="5" t="str">
        <f t="shared" si="496"/>
        <v>Propriedade destinada a funcionar: é.funcionamento</v>
      </c>
      <c r="V774" s="5" t="str">
        <f t="shared" si="497"/>
        <v>Dado para funcionar:  funcionamento  Deve ser formatado como (rdfs:Literal  or  xsd:string)</v>
      </c>
      <c r="W774" s="5" t="s">
        <v>6154</v>
      </c>
      <c r="X774" s="24" t="str">
        <f t="shared" si="493"/>
        <v>funci.105</v>
      </c>
      <c r="Y774" s="24" t="str">
        <f t="shared" si="492"/>
        <v>Ação funcionar</v>
      </c>
      <c r="Z774" s="47" t="s">
        <v>4333</v>
      </c>
      <c r="AA774" s="25" t="str">
        <f t="shared" si="498"/>
        <v>null</v>
      </c>
      <c r="AB774" s="26" t="s">
        <v>0</v>
      </c>
      <c r="AC774" s="25" t="str">
        <f t="shared" si="499"/>
        <v>null</v>
      </c>
      <c r="AD774" s="26" t="s">
        <v>0</v>
      </c>
      <c r="AE774" s="25" t="str">
        <f t="shared" si="500"/>
        <v>null</v>
      </c>
      <c r="AF774" s="26" t="s">
        <v>0</v>
      </c>
      <c r="AG774" s="47" t="s">
        <v>5152</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4330</v>
      </c>
      <c r="H775" s="41" t="s">
        <v>2321</v>
      </c>
      <c r="I775" s="16" t="str">
        <f t="shared" si="495"/>
        <v>null</v>
      </c>
      <c r="J775" s="13" t="s">
        <v>0</v>
      </c>
      <c r="K775" s="13" t="s">
        <v>0</v>
      </c>
      <c r="L775" s="13" t="s">
        <v>0</v>
      </c>
      <c r="M775" s="13" t="s">
        <v>0</v>
      </c>
      <c r="N775" s="15" t="s">
        <v>0</v>
      </c>
      <c r="O775" s="13" t="s">
        <v>0</v>
      </c>
      <c r="P775" s="13" t="s">
        <v>0</v>
      </c>
      <c r="Q775" s="13" t="s">
        <v>0</v>
      </c>
      <c r="R775" s="15" t="s">
        <v>4328</v>
      </c>
      <c r="S775" s="10" t="s">
        <v>1</v>
      </c>
      <c r="T775" s="10" t="s">
        <v>32</v>
      </c>
      <c r="U775" s="5" t="str">
        <f t="shared" si="496"/>
        <v>Propriedade destinada a funcionar: é.locatário</v>
      </c>
      <c r="V775" s="5" t="str">
        <f t="shared" si="497"/>
        <v>Dado para funcionar:  locatário  Deve ser formatado como (rdfs:Literal  or  xsd:string)</v>
      </c>
      <c r="W775" s="5" t="s">
        <v>6155</v>
      </c>
      <c r="X775" s="24" t="str">
        <f t="shared" si="493"/>
        <v>funci.106</v>
      </c>
      <c r="Y775" s="24" t="str">
        <f t="shared" si="492"/>
        <v>Ação funcionar</v>
      </c>
      <c r="Z775" s="47" t="s">
        <v>4334</v>
      </c>
      <c r="AA775" s="25" t="str">
        <f t="shared" si="498"/>
        <v>null</v>
      </c>
      <c r="AB775" s="26" t="s">
        <v>0</v>
      </c>
      <c r="AC775" s="25" t="str">
        <f t="shared" si="499"/>
        <v>null</v>
      </c>
      <c r="AD775" s="26" t="s">
        <v>0</v>
      </c>
      <c r="AE775" s="25" t="str">
        <f t="shared" si="500"/>
        <v>null</v>
      </c>
      <c r="AF775" s="26" t="s">
        <v>0</v>
      </c>
      <c r="AG775" s="47" t="s">
        <v>5153</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4331</v>
      </c>
      <c r="H776" s="41" t="s">
        <v>2321</v>
      </c>
      <c r="I776" s="16" t="str">
        <f t="shared" si="495"/>
        <v>null</v>
      </c>
      <c r="J776" s="13" t="s">
        <v>0</v>
      </c>
      <c r="K776" s="13" t="s">
        <v>0</v>
      </c>
      <c r="L776" s="13" t="s">
        <v>0</v>
      </c>
      <c r="M776" s="13" t="s">
        <v>0</v>
      </c>
      <c r="N776" s="15" t="s">
        <v>0</v>
      </c>
      <c r="O776" s="13" t="s">
        <v>0</v>
      </c>
      <c r="P776" s="13" t="s">
        <v>0</v>
      </c>
      <c r="Q776" s="13" t="s">
        <v>0</v>
      </c>
      <c r="R776" s="15" t="s">
        <v>4328</v>
      </c>
      <c r="S776" s="10" t="s">
        <v>1</v>
      </c>
      <c r="T776" s="10" t="s">
        <v>32</v>
      </c>
      <c r="U776" s="5" t="str">
        <f t="shared" si="496"/>
        <v>Propriedade destinada a funcionar: é.morador</v>
      </c>
      <c r="V776" s="5" t="str">
        <f t="shared" si="497"/>
        <v>Dado para funcionar:  morador  Deve ser formatado como (rdfs:Literal  or  xsd:string)</v>
      </c>
      <c r="W776" s="5" t="s">
        <v>6156</v>
      </c>
      <c r="X776" s="24" t="str">
        <f t="shared" si="493"/>
        <v>funci.107</v>
      </c>
      <c r="Y776" s="24" t="str">
        <f t="shared" si="492"/>
        <v>Ação funcionar</v>
      </c>
      <c r="Z776" s="47" t="s">
        <v>4335</v>
      </c>
      <c r="AA776" s="25" t="str">
        <f t="shared" si="498"/>
        <v>null</v>
      </c>
      <c r="AB776" s="26" t="s">
        <v>0</v>
      </c>
      <c r="AC776" s="25" t="str">
        <f t="shared" si="499"/>
        <v>null</v>
      </c>
      <c r="AD776" s="26" t="s">
        <v>0</v>
      </c>
      <c r="AE776" s="25" t="str">
        <f t="shared" si="500"/>
        <v>null</v>
      </c>
      <c r="AF776" s="26" t="s">
        <v>0</v>
      </c>
      <c r="AG776" s="47" t="s">
        <v>5154</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4328</v>
      </c>
      <c r="S777" s="10" t="s">
        <v>1</v>
      </c>
      <c r="T777" s="10" t="s">
        <v>32</v>
      </c>
      <c r="U777" s="5" t="str">
        <f t="shared" si="496"/>
        <v>Propriedade destinada a funcionar: é.ocupante</v>
      </c>
      <c r="V777" s="5" t="str">
        <f t="shared" si="497"/>
        <v>Dado para funcionar:  ocupante  Deve ser formatado como (rdfs:Literal  or  xsd:string)</v>
      </c>
      <c r="W777" s="5" t="s">
        <v>6157</v>
      </c>
      <c r="X777" s="24" t="str">
        <f t="shared" si="493"/>
        <v>funci.108</v>
      </c>
      <c r="Y777" s="24" t="str">
        <f t="shared" si="492"/>
        <v>Ação funcionar</v>
      </c>
      <c r="Z777" s="47" t="s">
        <v>4315</v>
      </c>
      <c r="AA777" s="25" t="str">
        <f t="shared" si="498"/>
        <v>null</v>
      </c>
      <c r="AB777" s="26" t="s">
        <v>0</v>
      </c>
      <c r="AC777" s="25" t="str">
        <f t="shared" si="499"/>
        <v>null</v>
      </c>
      <c r="AD777" s="26" t="s">
        <v>0</v>
      </c>
      <c r="AE777" s="25" t="str">
        <f t="shared" si="500"/>
        <v>null</v>
      </c>
      <c r="AF777" s="26" t="s">
        <v>0</v>
      </c>
      <c r="AG777" s="47" t="s">
        <v>5155</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7521</v>
      </c>
      <c r="H778" s="41" t="s">
        <v>2321</v>
      </c>
      <c r="I778" s="16" t="str">
        <f t="shared" si="495"/>
        <v>null</v>
      </c>
      <c r="J778" s="13" t="s">
        <v>0</v>
      </c>
      <c r="K778" s="13" t="s">
        <v>0</v>
      </c>
      <c r="L778" s="13" t="s">
        <v>0</v>
      </c>
      <c r="M778" s="13" t="s">
        <v>0</v>
      </c>
      <c r="N778" s="15" t="s">
        <v>0</v>
      </c>
      <c r="O778" s="13" t="s">
        <v>0</v>
      </c>
      <c r="P778" s="13" t="s">
        <v>0</v>
      </c>
      <c r="Q778" s="13" t="s">
        <v>0</v>
      </c>
      <c r="R778" s="15" t="s">
        <v>4328</v>
      </c>
      <c r="S778" s="10" t="s">
        <v>1</v>
      </c>
      <c r="T778" s="10" t="s">
        <v>32</v>
      </c>
      <c r="U778" s="5" t="str">
        <f t="shared" si="496"/>
        <v>Propriedade destinada a funcionar: é.permissionário</v>
      </c>
      <c r="V778" s="5" t="str">
        <f t="shared" si="497"/>
        <v>Dado para funcionar:  permissionário  Deve ser formatado como (rdfs:Literal  or  xsd:string)</v>
      </c>
      <c r="W778" s="5" t="s">
        <v>7522</v>
      </c>
      <c r="X778" s="24" t="str">
        <f t="shared" si="493"/>
        <v>funci.109</v>
      </c>
      <c r="Y778" s="24" t="str">
        <f t="shared" si="492"/>
        <v>Ação funcionar</v>
      </c>
      <c r="Z778" s="47" t="s">
        <v>4336</v>
      </c>
      <c r="AA778" s="25" t="str">
        <f t="shared" si="498"/>
        <v>null</v>
      </c>
      <c r="AB778" s="26" t="s">
        <v>0</v>
      </c>
      <c r="AC778" s="25" t="str">
        <f t="shared" si="499"/>
        <v>null</v>
      </c>
      <c r="AD778" s="26" t="s">
        <v>0</v>
      </c>
      <c r="AE778" s="25" t="str">
        <f t="shared" si="500"/>
        <v>null</v>
      </c>
      <c r="AF778" s="26" t="s">
        <v>0</v>
      </c>
      <c r="AG778" s="47" t="s">
        <v>5156</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4328</v>
      </c>
      <c r="S779" s="10" t="s">
        <v>1</v>
      </c>
      <c r="T779" s="10" t="s">
        <v>32</v>
      </c>
      <c r="U779" s="5" t="str">
        <f t="shared" si="496"/>
        <v>Propriedade destinada a funcionar: é.usuário</v>
      </c>
      <c r="V779" s="5" t="str">
        <f t="shared" si="497"/>
        <v>Dado para funcionar:  usuário  Deve ser formatado como (rdfs:Literal  or  xsd:string)</v>
      </c>
      <c r="W779" s="5" t="s">
        <v>6158</v>
      </c>
      <c r="X779" s="24" t="str">
        <f t="shared" si="493"/>
        <v>funci.110</v>
      </c>
      <c r="Y779" s="24" t="str">
        <f t="shared" si="492"/>
        <v>Ação funcionar</v>
      </c>
      <c r="Z779" s="47" t="s">
        <v>4337</v>
      </c>
      <c r="AA779" s="25" t="str">
        <f t="shared" si="498"/>
        <v>null</v>
      </c>
      <c r="AB779" s="26" t="s">
        <v>0</v>
      </c>
      <c r="AC779" s="25" t="str">
        <f t="shared" si="499"/>
        <v>null</v>
      </c>
      <c r="AD779" s="26" t="s">
        <v>0</v>
      </c>
      <c r="AE779" s="25" t="str">
        <f t="shared" si="500"/>
        <v>null</v>
      </c>
      <c r="AF779" s="26" t="s">
        <v>0</v>
      </c>
      <c r="AG779" s="47" t="s">
        <v>5157</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6159</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5158</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6160</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5159</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6161</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6162</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6163</v>
      </c>
      <c r="X784" s="24" t="str">
        <f t="shared" si="493"/>
        <v>funci.115</v>
      </c>
      <c r="Y784" s="24" t="str">
        <f t="shared" si="492"/>
        <v>Ação funcionar</v>
      </c>
      <c r="Z784" s="47" t="s">
        <v>5048</v>
      </c>
      <c r="AA784" s="25" t="str">
        <f t="shared" si="498"/>
        <v>categoria.revit</v>
      </c>
      <c r="AB784" s="26" t="s">
        <v>3947</v>
      </c>
      <c r="AC784" s="25" t="str">
        <f t="shared" si="499"/>
        <v>classe.ifc</v>
      </c>
      <c r="AD784" s="26" t="s">
        <v>3898</v>
      </c>
      <c r="AE784" s="25" t="str">
        <f t="shared" si="500"/>
        <v>propiedade</v>
      </c>
      <c r="AF784" s="26" t="s">
        <v>2660</v>
      </c>
      <c r="AG784" s="47" t="s">
        <v>5243</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6164</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5160</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6165</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5161</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6166</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6167</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5162</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6168</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6169</v>
      </c>
      <c r="X790" s="24" t="str">
        <f t="shared" si="493"/>
        <v>funci.121</v>
      </c>
      <c r="Y790" s="24" t="str">
        <f t="shared" si="492"/>
        <v>Ação funcionar</v>
      </c>
      <c r="Z790" s="47" t="s">
        <v>5049</v>
      </c>
      <c r="AA790" s="25" t="str">
        <f t="shared" si="498"/>
        <v>categoria.revit</v>
      </c>
      <c r="AB790" s="26" t="s">
        <v>3947</v>
      </c>
      <c r="AC790" s="25" t="str">
        <f t="shared" si="499"/>
        <v>classe.ifc</v>
      </c>
      <c r="AD790" s="26" t="s">
        <v>3898</v>
      </c>
      <c r="AE790" s="25" t="str">
        <f t="shared" si="500"/>
        <v>propiedade</v>
      </c>
      <c r="AF790" s="26" t="s">
        <v>2660</v>
      </c>
      <c r="AG790" s="47" t="s">
        <v>5244</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6170</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5245</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6171</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5246</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6172</v>
      </c>
      <c r="X793" s="24" t="str">
        <f t="shared" si="493"/>
        <v>funci.124</v>
      </c>
      <c r="Y793" s="24" t="str">
        <f t="shared" si="492"/>
        <v>Ação funcionar</v>
      </c>
      <c r="Z793" s="47" t="s">
        <v>5050</v>
      </c>
      <c r="AA793" s="25" t="str">
        <f t="shared" si="498"/>
        <v>categoria.revit</v>
      </c>
      <c r="AB793" s="26" t="s">
        <v>3947</v>
      </c>
      <c r="AC793" s="25" t="str">
        <f t="shared" si="499"/>
        <v>classe.ifc</v>
      </c>
      <c r="AD793" s="26" t="s">
        <v>3898</v>
      </c>
      <c r="AE793" s="25" t="str">
        <f t="shared" si="500"/>
        <v>propiedade</v>
      </c>
      <c r="AF793" s="26" t="s">
        <v>2660</v>
      </c>
      <c r="AG793" s="47" t="s">
        <v>5247</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6173</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5163</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6174</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5164</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6175</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5165</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6176</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5248</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6177</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5166</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6178</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5167</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6179</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6180</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5168</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7523</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6181</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7524</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6182</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5249</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7525</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6183</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5250</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6184</v>
      </c>
      <c r="X805" s="24" t="str">
        <f t="shared" si="493"/>
        <v>geolo.104</v>
      </c>
      <c r="Y805" s="24" t="str">
        <f t="shared" si="492"/>
        <v>Ação geolocalizar</v>
      </c>
      <c r="Z805" s="47" t="s">
        <v>4316</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6185</v>
      </c>
      <c r="X806" s="24" t="str">
        <f t="shared" si="493"/>
        <v>geolo.105</v>
      </c>
      <c r="Y806" s="24" t="str">
        <f t="shared" si="492"/>
        <v>Ação geolocalizar</v>
      </c>
      <c r="Z806" s="47" t="s">
        <v>4317</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6186</v>
      </c>
      <c r="X807" s="24" t="str">
        <f t="shared" si="493"/>
        <v>geolo.106</v>
      </c>
      <c r="Y807" s="24" t="str">
        <f t="shared" si="492"/>
        <v>Ação geolocalizar</v>
      </c>
      <c r="Z807" s="47" t="s">
        <v>4318</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6187</v>
      </c>
      <c r="X808" s="24" t="str">
        <f t="shared" si="493"/>
        <v>geolo.107</v>
      </c>
      <c r="Y808" s="24" t="str">
        <f t="shared" si="492"/>
        <v>Ação geolocalizar</v>
      </c>
      <c r="Z808" s="47" t="s">
        <v>4319</v>
      </c>
      <c r="AA808" s="25" t="str">
        <f t="shared" si="498"/>
        <v>null</v>
      </c>
      <c r="AB808" s="26" t="s">
        <v>0</v>
      </c>
      <c r="AC808" s="25" t="str">
        <f t="shared" si="499"/>
        <v>null</v>
      </c>
      <c r="AD808" s="26" t="s">
        <v>0</v>
      </c>
      <c r="AE808" s="25" t="str">
        <f t="shared" si="500"/>
        <v>propiedade</v>
      </c>
      <c r="AF808" s="26" t="s">
        <v>2656</v>
      </c>
      <c r="AG808" s="47" t="s">
        <v>4320</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6188</v>
      </c>
      <c r="X809" s="24" t="str">
        <f t="shared" si="493"/>
        <v>geolo.108</v>
      </c>
      <c r="Y809" s="24" t="str">
        <f t="shared" si="492"/>
        <v>Ação geolocalizar</v>
      </c>
      <c r="Z809" s="47" t="s">
        <v>4531</v>
      </c>
      <c r="AA809" s="25" t="str">
        <f t="shared" si="498"/>
        <v>null</v>
      </c>
      <c r="AB809" s="26" t="s">
        <v>0</v>
      </c>
      <c r="AC809" s="25" t="str">
        <f t="shared" si="499"/>
        <v>null</v>
      </c>
      <c r="AD809" s="26" t="s">
        <v>0</v>
      </c>
      <c r="AE809" s="25" t="str">
        <f t="shared" si="500"/>
        <v>null</v>
      </c>
      <c r="AF809" s="26" t="s">
        <v>0</v>
      </c>
      <c r="AG809" s="47" t="s">
        <v>4532</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6189</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6190</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6191</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6192</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6193</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6194</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6195</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6196</v>
      </c>
      <c r="X817" s="24" t="str">
        <f t="shared" si="493"/>
        <v>geolo.116</v>
      </c>
      <c r="Y817" s="24" t="str">
        <f t="shared" si="492"/>
        <v>Ação geolocalizar</v>
      </c>
      <c r="Z817" s="47" t="s">
        <v>4323</v>
      </c>
      <c r="AA817" s="25" t="str">
        <f t="shared" si="498"/>
        <v>null</v>
      </c>
      <c r="AB817" s="26" t="s">
        <v>0</v>
      </c>
      <c r="AC817" s="25" t="str">
        <f t="shared" si="499"/>
        <v>null</v>
      </c>
      <c r="AD817" s="26" t="s">
        <v>0</v>
      </c>
      <c r="AE817" s="25" t="str">
        <f t="shared" si="500"/>
        <v>null</v>
      </c>
      <c r="AF817" s="26" t="s">
        <v>0</v>
      </c>
      <c r="AG817" s="47" t="s">
        <v>5169</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4321</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6197</v>
      </c>
      <c r="X818" s="24" t="str">
        <f t="shared" si="493"/>
        <v>geolo.117</v>
      </c>
      <c r="Y818" s="24" t="str">
        <f t="shared" si="492"/>
        <v>Ação geolocalizar</v>
      </c>
      <c r="Z818" s="47" t="s">
        <v>4325</v>
      </c>
      <c r="AA818" s="25" t="str">
        <f t="shared" si="498"/>
        <v>null</v>
      </c>
      <c r="AB818" s="26" t="s">
        <v>0</v>
      </c>
      <c r="AC818" s="25" t="str">
        <f t="shared" si="499"/>
        <v>null</v>
      </c>
      <c r="AD818" s="26" t="s">
        <v>0</v>
      </c>
      <c r="AE818" s="25" t="str">
        <f t="shared" si="500"/>
        <v>null</v>
      </c>
      <c r="AF818" s="26" t="s">
        <v>0</v>
      </c>
      <c r="AG818" s="47" t="s">
        <v>5170</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4322</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6198</v>
      </c>
      <c r="X819" s="24" t="str">
        <f t="shared" si="493"/>
        <v>geolo.118</v>
      </c>
      <c r="Y819" s="24" t="str">
        <f t="shared" si="492"/>
        <v>Ação geolocalizar</v>
      </c>
      <c r="Z819" s="47" t="s">
        <v>4324</v>
      </c>
      <c r="AA819" s="25" t="str">
        <f t="shared" si="498"/>
        <v>null</v>
      </c>
      <c r="AB819" s="26" t="s">
        <v>0</v>
      </c>
      <c r="AC819" s="25" t="str">
        <f t="shared" si="499"/>
        <v>null</v>
      </c>
      <c r="AD819" s="26" t="s">
        <v>0</v>
      </c>
      <c r="AE819" s="25" t="str">
        <f t="shared" si="500"/>
        <v>null</v>
      </c>
      <c r="AF819" s="26" t="s">
        <v>0</v>
      </c>
      <c r="AG819" s="47" t="s">
        <v>5171</v>
      </c>
    </row>
    <row r="820" spans="1:33" ht="6" customHeight="1" x14ac:dyDescent="0.4">
      <c r="A820" s="4">
        <f>ROW()</f>
        <v>820</v>
      </c>
      <c r="B820" s="9" t="s">
        <v>27</v>
      </c>
      <c r="C820" s="54" t="str">
        <f t="shared" si="494"/>
        <v>p.gerar</v>
      </c>
      <c r="D820" s="6" t="str">
        <f t="shared" si="483"/>
        <v>é.gerador</v>
      </c>
      <c r="E820" s="8" t="s">
        <v>28</v>
      </c>
      <c r="F820" s="51" t="s">
        <v>4012</v>
      </c>
      <c r="G820" s="18" t="s">
        <v>4867</v>
      </c>
      <c r="H820" s="41" t="s">
        <v>2321</v>
      </c>
      <c r="I820" s="16" t="str">
        <f t="shared" si="495"/>
        <v>null</v>
      </c>
      <c r="J820" s="13" t="s">
        <v>0</v>
      </c>
      <c r="K820" s="13" t="s">
        <v>0</v>
      </c>
      <c r="L820" s="13" t="s">
        <v>0</v>
      </c>
      <c r="M820" s="13" t="s">
        <v>0</v>
      </c>
      <c r="N820" s="15" t="s">
        <v>0</v>
      </c>
      <c r="O820" s="13" t="s">
        <v>0</v>
      </c>
      <c r="P820" s="13" t="s">
        <v>0</v>
      </c>
      <c r="Q820" s="13" t="s">
        <v>0</v>
      </c>
      <c r="R820" s="15" t="s">
        <v>7787</v>
      </c>
      <c r="S820" s="10" t="s">
        <v>1</v>
      </c>
      <c r="T820" s="10" t="s">
        <v>32</v>
      </c>
      <c r="U820" s="5" t="str">
        <f t="shared" si="496"/>
        <v>Propriedade destinada a gerar: é.gerador</v>
      </c>
      <c r="V820" s="5" t="str">
        <f t="shared" si="497"/>
        <v>Dado para gerar:  gerador  Deve ser formatado como (rdfs:Literal  or  xsd:string)</v>
      </c>
      <c r="W820" s="5" t="s">
        <v>6026</v>
      </c>
      <c r="X820" s="24" t="str">
        <f t="shared" si="493"/>
        <v>gerar.100</v>
      </c>
      <c r="Y820" s="24" t="str">
        <f t="shared" si="492"/>
        <v>Ação gerar</v>
      </c>
      <c r="Z820" s="47" t="s">
        <v>4394</v>
      </c>
      <c r="AA820" s="25" t="str">
        <f t="shared" si="498"/>
        <v>categoria.revit</v>
      </c>
      <c r="AB820" s="26" t="s">
        <v>3940</v>
      </c>
      <c r="AC820" s="25" t="str">
        <f t="shared" si="499"/>
        <v>null</v>
      </c>
      <c r="AD820" s="26" t="s">
        <v>0</v>
      </c>
      <c r="AE820" s="25" t="str">
        <f t="shared" si="500"/>
        <v>null</v>
      </c>
      <c r="AF820" s="26" t="s">
        <v>0</v>
      </c>
      <c r="AG820" s="47" t="s">
        <v>4454</v>
      </c>
    </row>
    <row r="821" spans="1:33" ht="6" customHeight="1" x14ac:dyDescent="0.4">
      <c r="A821" s="4">
        <f>ROW()</f>
        <v>821</v>
      </c>
      <c r="B821" s="9" t="s">
        <v>27</v>
      </c>
      <c r="C821" s="55" t="str">
        <f t="shared" si="494"/>
        <v>p.gerar</v>
      </c>
      <c r="D821" s="6" t="str">
        <f t="shared" si="483"/>
        <v>é.inversor.on.grid</v>
      </c>
      <c r="E821" s="8" t="s">
        <v>28</v>
      </c>
      <c r="F821" s="42" t="str">
        <f>F820</f>
        <v>d.gerar</v>
      </c>
      <c r="G821" s="17" t="s">
        <v>4872</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6199</v>
      </c>
      <c r="X821" s="24" t="str">
        <f t="shared" si="493"/>
        <v>gerar.101</v>
      </c>
      <c r="Y821" s="24" t="str">
        <f t="shared" si="492"/>
        <v>Ação gerar</v>
      </c>
      <c r="Z821" s="47" t="s">
        <v>4398</v>
      </c>
      <c r="AA821" s="25" t="str">
        <f t="shared" si="498"/>
        <v>categoria.revit</v>
      </c>
      <c r="AB821" s="26" t="s">
        <v>3940</v>
      </c>
      <c r="AC821" s="25" t="str">
        <f t="shared" si="499"/>
        <v>classe.ifc</v>
      </c>
      <c r="AD821" s="26" t="s">
        <v>3900</v>
      </c>
      <c r="AE821" s="25" t="str">
        <f t="shared" si="500"/>
        <v>null</v>
      </c>
      <c r="AF821" s="26" t="s">
        <v>0</v>
      </c>
      <c r="AG821" s="47" t="s">
        <v>4458</v>
      </c>
    </row>
    <row r="822" spans="1:33" ht="6" customHeight="1" x14ac:dyDescent="0.4">
      <c r="A822" s="4">
        <f>ROW()</f>
        <v>822</v>
      </c>
      <c r="B822" s="9" t="s">
        <v>27</v>
      </c>
      <c r="C822" s="55" t="str">
        <f t="shared" si="494"/>
        <v>p.gerar</v>
      </c>
      <c r="D822" s="6" t="str">
        <f t="shared" si="483"/>
        <v>é.inversor.off.grid</v>
      </c>
      <c r="E822" s="8" t="s">
        <v>28</v>
      </c>
      <c r="F822" s="42" t="str">
        <f>F821</f>
        <v>d.gerar</v>
      </c>
      <c r="G822" s="17" t="s">
        <v>4873</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6200</v>
      </c>
      <c r="X822" s="24" t="str">
        <f t="shared" si="493"/>
        <v>gerar.102</v>
      </c>
      <c r="Y822" s="24" t="str">
        <f t="shared" si="492"/>
        <v>Ação gerar</v>
      </c>
      <c r="Z822" s="47" t="s">
        <v>4399</v>
      </c>
      <c r="AA822" s="25" t="str">
        <f t="shared" si="498"/>
        <v>categoria.revit</v>
      </c>
      <c r="AB822" s="26" t="s">
        <v>3940</v>
      </c>
      <c r="AC822" s="25" t="str">
        <f t="shared" si="499"/>
        <v>classe.ifc</v>
      </c>
      <c r="AD822" s="26" t="s">
        <v>3900</v>
      </c>
      <c r="AE822" s="25" t="str">
        <f t="shared" si="500"/>
        <v>null</v>
      </c>
      <c r="AF822" s="26" t="s">
        <v>0</v>
      </c>
      <c r="AG822" s="47" t="s">
        <v>4459</v>
      </c>
    </row>
    <row r="823" spans="1:33" ht="6" customHeight="1" x14ac:dyDescent="0.4">
      <c r="A823" s="4">
        <f>ROW()</f>
        <v>823</v>
      </c>
      <c r="B823" s="9" t="s">
        <v>27</v>
      </c>
      <c r="C823" s="55" t="str">
        <f t="shared" si="494"/>
        <v>p.gerar</v>
      </c>
      <c r="D823" s="6" t="str">
        <f t="shared" si="483"/>
        <v>é.microinversor</v>
      </c>
      <c r="E823" s="8" t="s">
        <v>28</v>
      </c>
      <c r="F823" s="42" t="str">
        <f>F822</f>
        <v>d.gerar</v>
      </c>
      <c r="G823" s="17" t="s">
        <v>4874</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6200</v>
      </c>
      <c r="X823" s="24" t="str">
        <f t="shared" si="493"/>
        <v>gerar.103</v>
      </c>
      <c r="Y823" s="24" t="str">
        <f t="shared" si="492"/>
        <v>Ação gerar</v>
      </c>
      <c r="Z823" s="47" t="s">
        <v>4399</v>
      </c>
      <c r="AA823" s="25" t="str">
        <f t="shared" si="498"/>
        <v>categoria.revit</v>
      </c>
      <c r="AB823" s="26" t="s">
        <v>3940</v>
      </c>
      <c r="AC823" s="25" t="str">
        <f t="shared" si="499"/>
        <v>classe.ifc</v>
      </c>
      <c r="AD823" s="26" t="s">
        <v>3900</v>
      </c>
      <c r="AE823" s="25" t="str">
        <f t="shared" si="500"/>
        <v>null</v>
      </c>
      <c r="AF823" s="26" t="s">
        <v>0</v>
      </c>
      <c r="AG823" s="47" t="s">
        <v>4459</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7526</v>
      </c>
      <c r="H824" s="42" t="s">
        <v>2321</v>
      </c>
      <c r="I824" s="16" t="str">
        <f t="shared" si="495"/>
        <v>null</v>
      </c>
      <c r="J824" s="15" t="s">
        <v>0</v>
      </c>
      <c r="K824" s="15" t="s">
        <v>0</v>
      </c>
      <c r="L824" s="15" t="s">
        <v>0</v>
      </c>
      <c r="M824" s="15" t="s">
        <v>0</v>
      </c>
      <c r="N824" s="15" t="s">
        <v>0</v>
      </c>
      <c r="O824" s="15" t="s">
        <v>0</v>
      </c>
      <c r="P824" s="15" t="s">
        <v>0</v>
      </c>
      <c r="Q824" s="15" t="s">
        <v>0</v>
      </c>
      <c r="R824" s="15" t="s">
        <v>7788</v>
      </c>
      <c r="S824" s="10" t="s">
        <v>1</v>
      </c>
      <c r="T824" s="10" t="s">
        <v>32</v>
      </c>
      <c r="U824" s="5" t="str">
        <f t="shared" si="496"/>
        <v>Propriedade destinada a gerar: é.módulo.fotovoltaico</v>
      </c>
      <c r="V824" s="5" t="str">
        <f t="shared" si="497"/>
        <v>Dado para gerar:  módulo.fotovoltaico  Deve ser formatado como (rdfs:Literal  or  xsd:string)</v>
      </c>
      <c r="W824" s="5" t="s">
        <v>6201</v>
      </c>
      <c r="X824" s="24" t="str">
        <f t="shared" si="493"/>
        <v>gerar.104</v>
      </c>
      <c r="Y824" s="24" t="str">
        <f t="shared" si="492"/>
        <v>Ação gerar</v>
      </c>
      <c r="Z824" s="47" t="s">
        <v>4400</v>
      </c>
      <c r="AA824" s="25" t="str">
        <f t="shared" si="498"/>
        <v>categoria.revit</v>
      </c>
      <c r="AB824" s="26" t="s">
        <v>3940</v>
      </c>
      <c r="AC824" s="25" t="str">
        <f t="shared" si="499"/>
        <v>classe.ifc</v>
      </c>
      <c r="AD824" s="26" t="s">
        <v>3900</v>
      </c>
      <c r="AE824" s="25" t="str">
        <f t="shared" si="500"/>
        <v>null</v>
      </c>
      <c r="AF824" s="26" t="s">
        <v>0</v>
      </c>
      <c r="AG824" s="47" t="s">
        <v>4460</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6202</v>
      </c>
      <c r="X825" s="24" t="str">
        <f t="shared" si="493"/>
        <v>gesti.100</v>
      </c>
      <c r="Y825" s="24" t="str">
        <f t="shared" si="492"/>
        <v>Ação gestionar</v>
      </c>
      <c r="Z825" s="47" t="s">
        <v>4265</v>
      </c>
      <c r="AA825" s="25" t="str">
        <f t="shared" si="498"/>
        <v>null</v>
      </c>
      <c r="AB825" s="26" t="s">
        <v>0</v>
      </c>
      <c r="AC825" s="25" t="str">
        <f t="shared" si="499"/>
        <v>null</v>
      </c>
      <c r="AD825" s="26" t="s">
        <v>0</v>
      </c>
      <c r="AE825" s="25" t="str">
        <f t="shared" si="500"/>
        <v>null</v>
      </c>
      <c r="AF825" s="26" t="s">
        <v>0</v>
      </c>
      <c r="AG825" s="47" t="s">
        <v>5172</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6203</v>
      </c>
      <c r="X826" s="24" t="str">
        <f t="shared" si="493"/>
        <v>gesti.101</v>
      </c>
      <c r="Y826" s="24" t="str">
        <f t="shared" si="492"/>
        <v>Ação gestionar</v>
      </c>
      <c r="Z826" s="47" t="s">
        <v>4266</v>
      </c>
      <c r="AA826" s="25" t="str">
        <f t="shared" si="498"/>
        <v>null</v>
      </c>
      <c r="AB826" s="26" t="s">
        <v>0</v>
      </c>
      <c r="AC826" s="25" t="str">
        <f t="shared" si="499"/>
        <v>null</v>
      </c>
      <c r="AD826" s="26" t="s">
        <v>0</v>
      </c>
      <c r="AE826" s="25" t="str">
        <f t="shared" si="500"/>
        <v>null</v>
      </c>
      <c r="AF826" s="26" t="s">
        <v>0</v>
      </c>
      <c r="AG826" s="47" t="s">
        <v>4312</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6204</v>
      </c>
      <c r="X827" s="24" t="str">
        <f t="shared" si="493"/>
        <v>gesti.102</v>
      </c>
      <c r="Y827" s="24" t="str">
        <f t="shared" si="492"/>
        <v>Ação gestionar</v>
      </c>
      <c r="Z827" s="47" t="s">
        <v>4232</v>
      </c>
      <c r="AA827" s="25" t="str">
        <f t="shared" si="498"/>
        <v>null</v>
      </c>
      <c r="AB827" s="26" t="s">
        <v>0</v>
      </c>
      <c r="AC827" s="25" t="str">
        <f t="shared" si="499"/>
        <v>null</v>
      </c>
      <c r="AD827" s="26" t="s">
        <v>0</v>
      </c>
      <c r="AE827" s="25" t="str">
        <f t="shared" si="500"/>
        <v>null</v>
      </c>
      <c r="AF827" s="26" t="s">
        <v>0</v>
      </c>
      <c r="AG827" s="47" t="s">
        <v>4280</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6205</v>
      </c>
      <c r="X828" s="24" t="str">
        <f t="shared" si="493"/>
        <v>gesti.103</v>
      </c>
      <c r="Y828" s="24" t="str">
        <f t="shared" si="492"/>
        <v>Ação gestionar</v>
      </c>
      <c r="Z828" s="47" t="s">
        <v>4233</v>
      </c>
      <c r="AA828" s="25" t="str">
        <f t="shared" si="498"/>
        <v>null</v>
      </c>
      <c r="AB828" s="26" t="s">
        <v>0</v>
      </c>
      <c r="AC828" s="25" t="str">
        <f t="shared" si="499"/>
        <v>null</v>
      </c>
      <c r="AD828" s="26" t="s">
        <v>0</v>
      </c>
      <c r="AE828" s="25" t="str">
        <f t="shared" si="500"/>
        <v>null</v>
      </c>
      <c r="AF828" s="26" t="s">
        <v>0</v>
      </c>
      <c r="AG828" s="47" t="s">
        <v>4281</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6206</v>
      </c>
      <c r="X829" s="24" t="str">
        <f t="shared" si="493"/>
        <v>gesti.104</v>
      </c>
      <c r="Y829" s="24" t="str">
        <f t="shared" si="492"/>
        <v>Ação gestionar</v>
      </c>
      <c r="Z829" s="47" t="s">
        <v>4234</v>
      </c>
      <c r="AA829" s="25" t="str">
        <f t="shared" si="498"/>
        <v>null</v>
      </c>
      <c r="AB829" s="26" t="s">
        <v>0</v>
      </c>
      <c r="AC829" s="25" t="str">
        <f t="shared" si="499"/>
        <v>null</v>
      </c>
      <c r="AD829" s="26" t="s">
        <v>0</v>
      </c>
      <c r="AE829" s="25" t="str">
        <f t="shared" si="500"/>
        <v>null</v>
      </c>
      <c r="AF829" s="26" t="s">
        <v>0</v>
      </c>
      <c r="AG829" s="47" t="s">
        <v>4282</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6207</v>
      </c>
      <c r="X830" s="24" t="str">
        <f t="shared" si="493"/>
        <v>gesti.105</v>
      </c>
      <c r="Y830" s="24" t="str">
        <f t="shared" si="492"/>
        <v>Ação gestionar</v>
      </c>
      <c r="Z830" s="47" t="s">
        <v>4235</v>
      </c>
      <c r="AA830" s="25" t="str">
        <f t="shared" si="498"/>
        <v>null</v>
      </c>
      <c r="AB830" s="26" t="s">
        <v>0</v>
      </c>
      <c r="AC830" s="25" t="str">
        <f t="shared" si="499"/>
        <v>null</v>
      </c>
      <c r="AD830" s="26" t="s">
        <v>0</v>
      </c>
      <c r="AE830" s="25" t="str">
        <f t="shared" si="500"/>
        <v>null</v>
      </c>
      <c r="AF830" s="26" t="s">
        <v>0</v>
      </c>
      <c r="AG830" s="47" t="s">
        <v>4283</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6208</v>
      </c>
      <c r="X831" s="24" t="str">
        <f t="shared" si="493"/>
        <v>gesti.106</v>
      </c>
      <c r="Y831" s="24" t="str">
        <f t="shared" si="492"/>
        <v>Ação gestionar</v>
      </c>
      <c r="Z831" s="47" t="s">
        <v>4267</v>
      </c>
      <c r="AA831" s="25" t="str">
        <f t="shared" si="498"/>
        <v>null</v>
      </c>
      <c r="AB831" s="26" t="s">
        <v>0</v>
      </c>
      <c r="AC831" s="25" t="str">
        <f t="shared" si="499"/>
        <v>null</v>
      </c>
      <c r="AD831" s="26" t="s">
        <v>0</v>
      </c>
      <c r="AE831" s="25" t="str">
        <f t="shared" si="500"/>
        <v>null</v>
      </c>
      <c r="AF831" s="26" t="s">
        <v>0</v>
      </c>
      <c r="AG831" s="47" t="s">
        <v>4303</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6209</v>
      </c>
      <c r="X832" s="24" t="str">
        <f t="shared" si="493"/>
        <v>gesti.107</v>
      </c>
      <c r="Y832" s="24" t="str">
        <f t="shared" si="492"/>
        <v>Ação gestionar</v>
      </c>
      <c r="Z832" s="47" t="s">
        <v>4237</v>
      </c>
      <c r="AA832" s="25" t="str">
        <f t="shared" si="498"/>
        <v>null</v>
      </c>
      <c r="AB832" s="26" t="s">
        <v>0</v>
      </c>
      <c r="AC832" s="25" t="str">
        <f t="shared" si="499"/>
        <v>null</v>
      </c>
      <c r="AD832" s="26" t="s">
        <v>0</v>
      </c>
      <c r="AE832" s="25" t="str">
        <f t="shared" si="500"/>
        <v>null</v>
      </c>
      <c r="AF832" s="26" t="s">
        <v>0</v>
      </c>
      <c r="AG832" s="47" t="s">
        <v>4285</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6210</v>
      </c>
      <c r="X833" s="24" t="str">
        <f t="shared" si="493"/>
        <v>gesti.108</v>
      </c>
      <c r="Y833" s="24" t="str">
        <f t="shared" si="492"/>
        <v>Ação gestionar</v>
      </c>
      <c r="Z833" s="47" t="s">
        <v>4268</v>
      </c>
      <c r="AA833" s="25" t="str">
        <f t="shared" si="498"/>
        <v>null</v>
      </c>
      <c r="AB833" s="26" t="s">
        <v>0</v>
      </c>
      <c r="AC833" s="25" t="str">
        <f t="shared" si="499"/>
        <v>null</v>
      </c>
      <c r="AD833" s="26" t="s">
        <v>0</v>
      </c>
      <c r="AE833" s="25" t="str">
        <f t="shared" si="500"/>
        <v>null</v>
      </c>
      <c r="AF833" s="26" t="s">
        <v>0</v>
      </c>
      <c r="AG833" s="47" t="s">
        <v>4304</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6211</v>
      </c>
      <c r="X834" s="24" t="str">
        <f t="shared" si="493"/>
        <v>gesti.109</v>
      </c>
      <c r="Y834" s="24" t="str">
        <f t="shared" ref="Y834:Y897" si="505">_xlfn.CONCAT("Ação ", SUBSTITUTE(F834, "d.",  ""))</f>
        <v>Ação gestionar</v>
      </c>
      <c r="Z834" s="47" t="s">
        <v>4278</v>
      </c>
      <c r="AA834" s="25" t="str">
        <f t="shared" si="498"/>
        <v>null</v>
      </c>
      <c r="AB834" s="26" t="s">
        <v>0</v>
      </c>
      <c r="AC834" s="25" t="str">
        <f t="shared" si="499"/>
        <v>null</v>
      </c>
      <c r="AD834" s="26" t="s">
        <v>0</v>
      </c>
      <c r="AE834" s="25" t="str">
        <f t="shared" si="500"/>
        <v>null</v>
      </c>
      <c r="AF834" s="26" t="s">
        <v>0</v>
      </c>
      <c r="AG834" s="47" t="s">
        <v>5173</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6212</v>
      </c>
      <c r="X835" s="24" t="str">
        <f t="shared" ref="X835:X898" si="506">IF(F834&lt;&gt;F835,_xlfn.CONCAT(RIGHT(LEFT(F835,7),5),".100"),_xlfn.CONCAT(RIGHT(LEFT(F835,7),5),".",SUM(VALUE(RIGHT(X834,3)),1)))</f>
        <v>gesti.110</v>
      </c>
      <c r="Y835" s="24" t="str">
        <f t="shared" si="505"/>
        <v>Ação gestionar</v>
      </c>
      <c r="Z835" s="47" t="s">
        <v>4269</v>
      </c>
      <c r="AA835" s="25" t="str">
        <f t="shared" si="498"/>
        <v>null</v>
      </c>
      <c r="AB835" s="26" t="s">
        <v>0</v>
      </c>
      <c r="AC835" s="25" t="str">
        <f t="shared" si="499"/>
        <v>null</v>
      </c>
      <c r="AD835" s="26" t="s">
        <v>0</v>
      </c>
      <c r="AE835" s="25" t="str">
        <f t="shared" si="500"/>
        <v>null</v>
      </c>
      <c r="AF835" s="26" t="s">
        <v>0</v>
      </c>
      <c r="AG835" s="47" t="s">
        <v>4314</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7527</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6213</v>
      </c>
      <c r="X836" s="24" t="str">
        <f t="shared" si="506"/>
        <v>gesti.111</v>
      </c>
      <c r="Y836" s="24" t="str">
        <f t="shared" si="505"/>
        <v>Ação gestionar</v>
      </c>
      <c r="Z836" s="47" t="s">
        <v>4270</v>
      </c>
      <c r="AA836" s="25" t="str">
        <f t="shared" si="498"/>
        <v>null</v>
      </c>
      <c r="AB836" s="26" t="s">
        <v>0</v>
      </c>
      <c r="AC836" s="25" t="str">
        <f t="shared" si="499"/>
        <v>null</v>
      </c>
      <c r="AD836" s="26" t="s">
        <v>0</v>
      </c>
      <c r="AE836" s="25" t="str">
        <f t="shared" si="500"/>
        <v>null</v>
      </c>
      <c r="AF836" s="26" t="s">
        <v>0</v>
      </c>
      <c r="AG836" s="47" t="s">
        <v>4313</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6214</v>
      </c>
      <c r="X837" s="24" t="str">
        <f t="shared" si="506"/>
        <v>gesti.112</v>
      </c>
      <c r="Y837" s="24" t="str">
        <f t="shared" si="505"/>
        <v>Ação gestionar</v>
      </c>
      <c r="Z837" s="47" t="s">
        <v>4238</v>
      </c>
      <c r="AA837" s="25" t="str">
        <f t="shared" si="498"/>
        <v>null</v>
      </c>
      <c r="AB837" s="26" t="s">
        <v>0</v>
      </c>
      <c r="AC837" s="25" t="str">
        <f t="shared" si="499"/>
        <v>null</v>
      </c>
      <c r="AD837" s="26" t="s">
        <v>0</v>
      </c>
      <c r="AE837" s="25" t="str">
        <f t="shared" si="500"/>
        <v>null</v>
      </c>
      <c r="AF837" s="26" t="s">
        <v>0</v>
      </c>
      <c r="AG837" s="47" t="s">
        <v>4286</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6215</v>
      </c>
      <c r="X838" s="24" t="str">
        <f t="shared" si="506"/>
        <v>gesti.113</v>
      </c>
      <c r="Y838" s="24" t="str">
        <f t="shared" si="505"/>
        <v>Ação gestionar</v>
      </c>
      <c r="Z838" s="47" t="s">
        <v>4239</v>
      </c>
      <c r="AA838" s="25" t="str">
        <f t="shared" si="498"/>
        <v>null</v>
      </c>
      <c r="AB838" s="26" t="s">
        <v>0</v>
      </c>
      <c r="AC838" s="25" t="str">
        <f t="shared" si="499"/>
        <v>null</v>
      </c>
      <c r="AD838" s="26" t="s">
        <v>0</v>
      </c>
      <c r="AE838" s="25" t="str">
        <f t="shared" si="500"/>
        <v>null</v>
      </c>
      <c r="AF838" s="26" t="s">
        <v>0</v>
      </c>
      <c r="AG838" s="47" t="s">
        <v>4287</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6216</v>
      </c>
      <c r="X839" s="24" t="str">
        <f t="shared" si="506"/>
        <v>gesti.114</v>
      </c>
      <c r="Y839" s="24" t="str">
        <f t="shared" si="505"/>
        <v>Ação gestionar</v>
      </c>
      <c r="Z839" s="47" t="s">
        <v>4240</v>
      </c>
      <c r="AA839" s="25" t="str">
        <f t="shared" si="498"/>
        <v>null</v>
      </c>
      <c r="AB839" s="26" t="s">
        <v>0</v>
      </c>
      <c r="AC839" s="25" t="str">
        <f t="shared" si="499"/>
        <v>null</v>
      </c>
      <c r="AD839" s="26" t="s">
        <v>0</v>
      </c>
      <c r="AE839" s="25" t="str">
        <f t="shared" si="500"/>
        <v>null</v>
      </c>
      <c r="AF839" s="26" t="s">
        <v>0</v>
      </c>
      <c r="AG839" s="47" t="s">
        <v>4288</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6217</v>
      </c>
      <c r="X840" s="24" t="str">
        <f t="shared" si="506"/>
        <v>gesti.115</v>
      </c>
      <c r="Y840" s="24" t="str">
        <f t="shared" si="505"/>
        <v>Ação gestionar</v>
      </c>
      <c r="Z840" s="47" t="s">
        <v>4241</v>
      </c>
      <c r="AA840" s="25" t="str">
        <f t="shared" si="498"/>
        <v>null</v>
      </c>
      <c r="AB840" s="26" t="s">
        <v>0</v>
      </c>
      <c r="AC840" s="25" t="str">
        <f t="shared" si="499"/>
        <v>null</v>
      </c>
      <c r="AD840" s="26" t="s">
        <v>0</v>
      </c>
      <c r="AE840" s="25" t="str">
        <f t="shared" si="500"/>
        <v>null</v>
      </c>
      <c r="AF840" s="26" t="s">
        <v>0</v>
      </c>
      <c r="AG840" s="47" t="s">
        <v>4289</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6218</v>
      </c>
      <c r="X841" s="24" t="str">
        <f t="shared" si="506"/>
        <v>gesti.116</v>
      </c>
      <c r="Y841" s="24" t="str">
        <f t="shared" si="505"/>
        <v>Ação gestionar</v>
      </c>
      <c r="Z841" s="47" t="s">
        <v>4242</v>
      </c>
      <c r="AA841" s="25" t="str">
        <f t="shared" si="498"/>
        <v>null</v>
      </c>
      <c r="AB841" s="26" t="s">
        <v>0</v>
      </c>
      <c r="AC841" s="25" t="str">
        <f t="shared" si="499"/>
        <v>null</v>
      </c>
      <c r="AD841" s="26" t="s">
        <v>0</v>
      </c>
      <c r="AE841" s="25" t="str">
        <f t="shared" si="500"/>
        <v>null</v>
      </c>
      <c r="AF841" s="26" t="s">
        <v>0</v>
      </c>
      <c r="AG841" s="47" t="s">
        <v>4290</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6219</v>
      </c>
      <c r="X842" s="24" t="str">
        <f t="shared" si="506"/>
        <v>gesti.117</v>
      </c>
      <c r="Y842" s="24" t="str">
        <f t="shared" si="505"/>
        <v>Ação gestionar</v>
      </c>
      <c r="Z842" s="47" t="s">
        <v>4243</v>
      </c>
      <c r="AA842" s="25" t="str">
        <f t="shared" si="498"/>
        <v>null</v>
      </c>
      <c r="AB842" s="26" t="s">
        <v>0</v>
      </c>
      <c r="AC842" s="25" t="str">
        <f t="shared" si="499"/>
        <v>null</v>
      </c>
      <c r="AD842" s="26" t="s">
        <v>0</v>
      </c>
      <c r="AE842" s="25" t="str">
        <f t="shared" si="500"/>
        <v>null</v>
      </c>
      <c r="AF842" s="26" t="s">
        <v>0</v>
      </c>
      <c r="AG842" s="47" t="s">
        <v>4291</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6220</v>
      </c>
      <c r="X843" s="24" t="str">
        <f t="shared" si="506"/>
        <v>gesti.118</v>
      </c>
      <c r="Y843" s="24" t="str">
        <f t="shared" si="505"/>
        <v>Ação gestionar</v>
      </c>
      <c r="Z843" s="47" t="s">
        <v>4244</v>
      </c>
      <c r="AA843" s="25" t="str">
        <f t="shared" si="498"/>
        <v>null</v>
      </c>
      <c r="AB843" s="26" t="s">
        <v>0</v>
      </c>
      <c r="AC843" s="25" t="str">
        <f t="shared" si="499"/>
        <v>null</v>
      </c>
      <c r="AD843" s="26" t="s">
        <v>0</v>
      </c>
      <c r="AE843" s="25" t="str">
        <f t="shared" si="500"/>
        <v>null</v>
      </c>
      <c r="AF843" s="26" t="s">
        <v>0</v>
      </c>
      <c r="AG843" s="47" t="s">
        <v>4292</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6221</v>
      </c>
      <c r="X844" s="24" t="str">
        <f t="shared" si="506"/>
        <v>gesti.119</v>
      </c>
      <c r="Y844" s="24" t="str">
        <f t="shared" si="505"/>
        <v>Ação gestionar</v>
      </c>
      <c r="Z844" s="47" t="s">
        <v>4271</v>
      </c>
      <c r="AA844" s="25" t="str">
        <f t="shared" si="498"/>
        <v>null</v>
      </c>
      <c r="AB844" s="26" t="s">
        <v>0</v>
      </c>
      <c r="AC844" s="25" t="str">
        <f t="shared" si="499"/>
        <v>null</v>
      </c>
      <c r="AD844" s="26" t="s">
        <v>0</v>
      </c>
      <c r="AE844" s="25" t="str">
        <f t="shared" si="500"/>
        <v>null</v>
      </c>
      <c r="AF844" s="26" t="s">
        <v>0</v>
      </c>
      <c r="AG844" s="47" t="s">
        <v>4305</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6222</v>
      </c>
      <c r="X845" s="24" t="str">
        <f t="shared" si="506"/>
        <v>gesti.120</v>
      </c>
      <c r="Y845" s="24" t="str">
        <f t="shared" si="505"/>
        <v>Ação gestionar</v>
      </c>
      <c r="Z845" s="47" t="s">
        <v>4245</v>
      </c>
      <c r="AA845" s="25" t="str">
        <f t="shared" si="498"/>
        <v>null</v>
      </c>
      <c r="AB845" s="26" t="s">
        <v>0</v>
      </c>
      <c r="AC845" s="25" t="str">
        <f t="shared" si="499"/>
        <v>null</v>
      </c>
      <c r="AD845" s="26" t="s">
        <v>0</v>
      </c>
      <c r="AE845" s="25" t="str">
        <f t="shared" si="500"/>
        <v>null</v>
      </c>
      <c r="AF845" s="26" t="s">
        <v>0</v>
      </c>
      <c r="AG845" s="47" t="s">
        <v>4293</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6223</v>
      </c>
      <c r="X846" s="24" t="str">
        <f t="shared" si="506"/>
        <v>gesti.121</v>
      </c>
      <c r="Y846" s="24" t="str">
        <f t="shared" si="505"/>
        <v>Ação gestionar</v>
      </c>
      <c r="Z846" s="47" t="s">
        <v>4277</v>
      </c>
      <c r="AA846" s="25" t="str">
        <f t="shared" si="498"/>
        <v>null</v>
      </c>
      <c r="AB846" s="26" t="s">
        <v>0</v>
      </c>
      <c r="AC846" s="25" t="str">
        <f t="shared" si="499"/>
        <v>null</v>
      </c>
      <c r="AD846" s="26" t="s">
        <v>0</v>
      </c>
      <c r="AE846" s="25" t="str">
        <f t="shared" si="500"/>
        <v>null</v>
      </c>
      <c r="AF846" s="26" t="s">
        <v>0</v>
      </c>
      <c r="AG846" s="47" t="s">
        <v>5174</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7786</v>
      </c>
      <c r="S847" s="10" t="s">
        <v>1</v>
      </c>
      <c r="T847" s="10" t="s">
        <v>32</v>
      </c>
      <c r="U847" s="5" t="str">
        <f t="shared" si="496"/>
        <v>Propriedade destinada a gestionar: é.empresa</v>
      </c>
      <c r="V847" s="5" t="str">
        <f t="shared" si="497"/>
        <v>Dado para gestionar:  empresa  Deve ser formatado como (rdfs:Literal  or  xsd:string)</v>
      </c>
      <c r="W847" s="5" t="s">
        <v>6224</v>
      </c>
      <c r="X847" s="24" t="str">
        <f t="shared" si="506"/>
        <v>gesti.122</v>
      </c>
      <c r="Y847" s="24" t="str">
        <f t="shared" si="505"/>
        <v>Ação gestionar</v>
      </c>
      <c r="Z847" s="47" t="s">
        <v>4246</v>
      </c>
      <c r="AA847" s="25" t="str">
        <f t="shared" si="498"/>
        <v>null</v>
      </c>
      <c r="AB847" s="26" t="s">
        <v>0</v>
      </c>
      <c r="AC847" s="25" t="str">
        <f t="shared" si="499"/>
        <v>null</v>
      </c>
      <c r="AD847" s="26" t="s">
        <v>0</v>
      </c>
      <c r="AE847" s="25" t="str">
        <f t="shared" si="500"/>
        <v>null</v>
      </c>
      <c r="AF847" s="26" t="s">
        <v>0</v>
      </c>
      <c r="AG847" s="47" t="s">
        <v>5175</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6225</v>
      </c>
      <c r="X848" s="24" t="str">
        <f t="shared" si="506"/>
        <v>gesti.123</v>
      </c>
      <c r="Y848" s="24" t="str">
        <f t="shared" si="505"/>
        <v>Ação gestionar</v>
      </c>
      <c r="Z848" s="47" t="s">
        <v>4247</v>
      </c>
      <c r="AA848" s="25" t="str">
        <f t="shared" si="498"/>
        <v>null</v>
      </c>
      <c r="AB848" s="26" t="s">
        <v>0</v>
      </c>
      <c r="AC848" s="25" t="str">
        <f t="shared" si="499"/>
        <v>null</v>
      </c>
      <c r="AD848" s="26" t="s">
        <v>0</v>
      </c>
      <c r="AE848" s="25" t="str">
        <f t="shared" si="500"/>
        <v>null</v>
      </c>
      <c r="AF848" s="26" t="s">
        <v>0</v>
      </c>
      <c r="AG848" s="47" t="s">
        <v>4306</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6226</v>
      </c>
      <c r="X849" s="24" t="str">
        <f t="shared" si="506"/>
        <v>gesti.124</v>
      </c>
      <c r="Y849" s="24" t="str">
        <f t="shared" si="505"/>
        <v>Ação gestionar</v>
      </c>
      <c r="Z849" s="47" t="s">
        <v>4248</v>
      </c>
      <c r="AA849" s="25" t="str">
        <f t="shared" si="498"/>
        <v>null</v>
      </c>
      <c r="AB849" s="26" t="s">
        <v>0</v>
      </c>
      <c r="AC849" s="25" t="str">
        <f t="shared" si="499"/>
        <v>null</v>
      </c>
      <c r="AD849" s="26" t="s">
        <v>0</v>
      </c>
      <c r="AE849" s="25" t="str">
        <f t="shared" si="500"/>
        <v>null</v>
      </c>
      <c r="AF849" s="26" t="s">
        <v>0</v>
      </c>
      <c r="AG849" s="47" t="s">
        <v>4294</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6227</v>
      </c>
      <c r="X850" s="24" t="str">
        <f t="shared" si="506"/>
        <v>gesti.125</v>
      </c>
      <c r="Y850" s="24" t="str">
        <f t="shared" si="505"/>
        <v>Ação gestionar</v>
      </c>
      <c r="Z850" s="47" t="s">
        <v>4249</v>
      </c>
      <c r="AA850" s="25" t="str">
        <f t="shared" si="498"/>
        <v>null</v>
      </c>
      <c r="AB850" s="26" t="s">
        <v>0</v>
      </c>
      <c r="AC850" s="25" t="str">
        <f t="shared" si="499"/>
        <v>null</v>
      </c>
      <c r="AD850" s="26" t="s">
        <v>0</v>
      </c>
      <c r="AE850" s="25" t="str">
        <f t="shared" si="500"/>
        <v>null</v>
      </c>
      <c r="AF850" s="26" t="s">
        <v>0</v>
      </c>
      <c r="AG850" s="47" t="s">
        <v>4295</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6228</v>
      </c>
      <c r="X851" s="24" t="str">
        <f t="shared" si="506"/>
        <v>gesti.126</v>
      </c>
      <c r="Y851" s="24" t="str">
        <f t="shared" si="505"/>
        <v>Ação gestionar</v>
      </c>
      <c r="Z851" s="47" t="s">
        <v>4272</v>
      </c>
      <c r="AA851" s="25" t="str">
        <f t="shared" si="498"/>
        <v>null</v>
      </c>
      <c r="AB851" s="26" t="s">
        <v>0</v>
      </c>
      <c r="AC851" s="25" t="str">
        <f t="shared" si="499"/>
        <v>null</v>
      </c>
      <c r="AD851" s="26" t="s">
        <v>0</v>
      </c>
      <c r="AE851" s="25" t="str">
        <f t="shared" si="500"/>
        <v>null</v>
      </c>
      <c r="AF851" s="26" t="s">
        <v>0</v>
      </c>
      <c r="AG851" s="47" t="s">
        <v>4307</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6229</v>
      </c>
      <c r="X852" s="24" t="str">
        <f t="shared" si="506"/>
        <v>gesti.127</v>
      </c>
      <c r="Y852" s="24" t="str">
        <f t="shared" si="505"/>
        <v>Ação gestionar</v>
      </c>
      <c r="Z852" s="47" t="s">
        <v>4250</v>
      </c>
      <c r="AA852" s="25" t="str">
        <f t="shared" si="498"/>
        <v>null</v>
      </c>
      <c r="AB852" s="26" t="s">
        <v>0</v>
      </c>
      <c r="AC852" s="25" t="str">
        <f t="shared" si="499"/>
        <v>null</v>
      </c>
      <c r="AD852" s="26" t="s">
        <v>0</v>
      </c>
      <c r="AE852" s="25" t="str">
        <f t="shared" si="500"/>
        <v>null</v>
      </c>
      <c r="AF852" s="26" t="s">
        <v>0</v>
      </c>
      <c r="AG852" s="47" t="s">
        <v>4296</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6230</v>
      </c>
      <c r="X853" s="24" t="str">
        <f t="shared" si="506"/>
        <v>gesti.128</v>
      </c>
      <c r="Y853" s="24" t="str">
        <f t="shared" si="505"/>
        <v>Ação gestionar</v>
      </c>
      <c r="Z853" s="47" t="s">
        <v>4273</v>
      </c>
      <c r="AA853" s="25" t="str">
        <f t="shared" si="498"/>
        <v>null</v>
      </c>
      <c r="AB853" s="26" t="s">
        <v>0</v>
      </c>
      <c r="AC853" s="25" t="str">
        <f t="shared" si="499"/>
        <v>null</v>
      </c>
      <c r="AD853" s="26" t="s">
        <v>0</v>
      </c>
      <c r="AE853" s="25" t="str">
        <f t="shared" si="500"/>
        <v>null</v>
      </c>
      <c r="AF853" s="26" t="s">
        <v>0</v>
      </c>
      <c r="AG853" s="47" t="s">
        <v>4308</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6231</v>
      </c>
      <c r="X854" s="24" t="str">
        <f t="shared" si="506"/>
        <v>gesti.129</v>
      </c>
      <c r="Y854" s="24" t="str">
        <f t="shared" si="505"/>
        <v>Ação gestionar</v>
      </c>
      <c r="Z854" s="47" t="s">
        <v>4251</v>
      </c>
      <c r="AA854" s="25" t="str">
        <f t="shared" si="498"/>
        <v>null</v>
      </c>
      <c r="AB854" s="26" t="s">
        <v>0</v>
      </c>
      <c r="AC854" s="25" t="str">
        <f t="shared" si="499"/>
        <v>null</v>
      </c>
      <c r="AD854" s="26" t="s">
        <v>0</v>
      </c>
      <c r="AE854" s="25" t="str">
        <f t="shared" si="500"/>
        <v>null</v>
      </c>
      <c r="AF854" s="26" t="s">
        <v>0</v>
      </c>
      <c r="AG854" s="47" t="s">
        <v>4297</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6232</v>
      </c>
      <c r="X855" s="24" t="str">
        <f t="shared" si="506"/>
        <v>gesti.130</v>
      </c>
      <c r="Y855" s="24" t="str">
        <f t="shared" si="505"/>
        <v>Ação gestionar</v>
      </c>
      <c r="Z855" s="47" t="s">
        <v>4252</v>
      </c>
      <c r="AA855" s="25" t="str">
        <f t="shared" si="498"/>
        <v>null</v>
      </c>
      <c r="AB855" s="26" t="s">
        <v>0</v>
      </c>
      <c r="AC855" s="25" t="str">
        <f t="shared" si="499"/>
        <v>null</v>
      </c>
      <c r="AD855" s="26" t="s">
        <v>0</v>
      </c>
      <c r="AE855" s="25" t="str">
        <f t="shared" si="500"/>
        <v>null</v>
      </c>
      <c r="AF855" s="26" t="s">
        <v>0</v>
      </c>
      <c r="AG855" s="47" t="s">
        <v>4298</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6233</v>
      </c>
      <c r="X856" s="24" t="str">
        <f t="shared" si="506"/>
        <v>gesti.131</v>
      </c>
      <c r="Y856" s="24" t="str">
        <f t="shared" si="505"/>
        <v>Ação gestionar</v>
      </c>
      <c r="Z856" s="47" t="s">
        <v>4253</v>
      </c>
      <c r="AA856" s="25" t="str">
        <f t="shared" si="498"/>
        <v>null</v>
      </c>
      <c r="AB856" s="26" t="s">
        <v>0</v>
      </c>
      <c r="AC856" s="25" t="str">
        <f t="shared" si="499"/>
        <v>null</v>
      </c>
      <c r="AD856" s="26" t="s">
        <v>0</v>
      </c>
      <c r="AE856" s="25" t="str">
        <f t="shared" si="500"/>
        <v>propiedade</v>
      </c>
      <c r="AF856" s="26" t="s">
        <v>2678</v>
      </c>
      <c r="AG856" s="47" t="s">
        <v>4299</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6234</v>
      </c>
      <c r="X857" s="24" t="str">
        <f t="shared" si="506"/>
        <v>gesti.132</v>
      </c>
      <c r="Y857" s="24" t="str">
        <f t="shared" si="505"/>
        <v>Ação gestionar</v>
      </c>
      <c r="Z857" s="47" t="s">
        <v>4274</v>
      </c>
      <c r="AA857" s="25" t="str">
        <f t="shared" si="498"/>
        <v>null</v>
      </c>
      <c r="AB857" s="26" t="s">
        <v>0</v>
      </c>
      <c r="AC857" s="25" t="str">
        <f t="shared" si="499"/>
        <v>null</v>
      </c>
      <c r="AD857" s="26" t="s">
        <v>0</v>
      </c>
      <c r="AE857" s="25" t="str">
        <f t="shared" si="500"/>
        <v>null</v>
      </c>
      <c r="AF857" s="26" t="s">
        <v>0</v>
      </c>
      <c r="AG857" s="47" t="s">
        <v>4309</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6235</v>
      </c>
      <c r="X858" s="24" t="str">
        <f t="shared" si="506"/>
        <v>gesti.133</v>
      </c>
      <c r="Y858" s="24" t="str">
        <f t="shared" si="505"/>
        <v>Ação gestionar</v>
      </c>
      <c r="Z858" s="47" t="s">
        <v>4254</v>
      </c>
      <c r="AA858" s="25" t="str">
        <f t="shared" si="498"/>
        <v>null</v>
      </c>
      <c r="AB858" s="26" t="s">
        <v>0</v>
      </c>
      <c r="AC858" s="25" t="str">
        <f t="shared" si="499"/>
        <v>null</v>
      </c>
      <c r="AD858" s="26" t="s">
        <v>0</v>
      </c>
      <c r="AE858" s="25" t="str">
        <f t="shared" si="500"/>
        <v>null</v>
      </c>
      <c r="AF858" s="26" t="s">
        <v>0</v>
      </c>
      <c r="AG858" s="47" t="s">
        <v>5176</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6236</v>
      </c>
      <c r="X859" s="24" t="str">
        <f t="shared" si="506"/>
        <v>gesti.134</v>
      </c>
      <c r="Y859" s="24" t="str">
        <f t="shared" si="505"/>
        <v>Ação gestionar</v>
      </c>
      <c r="Z859" s="47" t="s">
        <v>4255</v>
      </c>
      <c r="AA859" s="25" t="str">
        <f t="shared" si="498"/>
        <v>null</v>
      </c>
      <c r="AB859" s="26" t="s">
        <v>0</v>
      </c>
      <c r="AC859" s="25" t="str">
        <f t="shared" si="499"/>
        <v>null</v>
      </c>
      <c r="AD859" s="26" t="s">
        <v>0</v>
      </c>
      <c r="AE859" s="25" t="str">
        <f t="shared" si="500"/>
        <v>null</v>
      </c>
      <c r="AF859" s="26" t="s">
        <v>0</v>
      </c>
      <c r="AG859" s="47" t="s">
        <v>4300</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6237</v>
      </c>
      <c r="X860" s="24" t="str">
        <f t="shared" si="506"/>
        <v>gesti.135</v>
      </c>
      <c r="Y860" s="24" t="str">
        <f t="shared" si="505"/>
        <v>Ação gestionar</v>
      </c>
      <c r="Z860" s="47" t="s">
        <v>4256</v>
      </c>
      <c r="AA860" s="25" t="str">
        <f t="shared" si="498"/>
        <v>null</v>
      </c>
      <c r="AB860" s="26" t="s">
        <v>0</v>
      </c>
      <c r="AC860" s="25" t="str">
        <f t="shared" si="499"/>
        <v>null</v>
      </c>
      <c r="AD860" s="26" t="s">
        <v>0</v>
      </c>
      <c r="AE860" s="25" t="str">
        <f t="shared" si="500"/>
        <v>null</v>
      </c>
      <c r="AF860" s="26" t="s">
        <v>0</v>
      </c>
      <c r="AG860" s="47" t="s">
        <v>5177</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6238</v>
      </c>
      <c r="X861" s="24" t="str">
        <f t="shared" si="506"/>
        <v>gesti.136</v>
      </c>
      <c r="Y861" s="24" t="str">
        <f t="shared" si="505"/>
        <v>Ação gestionar</v>
      </c>
      <c r="Z861" s="47" t="s">
        <v>4257</v>
      </c>
      <c r="AA861" s="25" t="str">
        <f t="shared" si="498"/>
        <v>null</v>
      </c>
      <c r="AB861" s="26" t="s">
        <v>0</v>
      </c>
      <c r="AC861" s="25" t="str">
        <f t="shared" si="499"/>
        <v>null</v>
      </c>
      <c r="AD861" s="26" t="s">
        <v>0</v>
      </c>
      <c r="AE861" s="25" t="str">
        <f t="shared" si="500"/>
        <v>null</v>
      </c>
      <c r="AF861" s="26" t="s">
        <v>0</v>
      </c>
      <c r="AG861" s="47" t="s">
        <v>5178</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6239</v>
      </c>
      <c r="X862" s="24" t="str">
        <f t="shared" si="506"/>
        <v>gesti.137</v>
      </c>
      <c r="Y862" s="24" t="str">
        <f t="shared" si="505"/>
        <v>Ação gestionar</v>
      </c>
      <c r="Z862" s="47" t="s">
        <v>4279</v>
      </c>
      <c r="AA862" s="25" t="str">
        <f t="shared" si="498"/>
        <v>null</v>
      </c>
      <c r="AB862" s="26" t="s">
        <v>0</v>
      </c>
      <c r="AC862" s="25" t="str">
        <f t="shared" si="499"/>
        <v>null</v>
      </c>
      <c r="AD862" s="26" t="s">
        <v>0</v>
      </c>
      <c r="AE862" s="25" t="str">
        <f t="shared" si="500"/>
        <v>null</v>
      </c>
      <c r="AF862" s="26" t="s">
        <v>0</v>
      </c>
      <c r="AG862" s="47" t="s">
        <v>5179</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6240</v>
      </c>
      <c r="X863" s="24" t="str">
        <f t="shared" si="506"/>
        <v>gesti.138</v>
      </c>
      <c r="Y863" s="24" t="str">
        <f t="shared" si="505"/>
        <v>Ação gestionar</v>
      </c>
      <c r="Z863" s="47" t="s">
        <v>4275</v>
      </c>
      <c r="AA863" s="25" t="str">
        <f t="shared" si="498"/>
        <v>null</v>
      </c>
      <c r="AB863" s="26" t="s">
        <v>0</v>
      </c>
      <c r="AC863" s="25" t="str">
        <f t="shared" si="499"/>
        <v>null</v>
      </c>
      <c r="AD863" s="26" t="s">
        <v>0</v>
      </c>
      <c r="AE863" s="25" t="str">
        <f t="shared" si="500"/>
        <v>null</v>
      </c>
      <c r="AF863" s="26" t="s">
        <v>0</v>
      </c>
      <c r="AG863" s="47" t="s">
        <v>4310</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6241</v>
      </c>
      <c r="X864" s="24" t="str">
        <f t="shared" si="506"/>
        <v>gesti.139</v>
      </c>
      <c r="Y864" s="24" t="str">
        <f t="shared" si="505"/>
        <v>Ação gestionar</v>
      </c>
      <c r="Z864" s="47" t="s">
        <v>4258</v>
      </c>
      <c r="AA864" s="25" t="str">
        <f t="shared" si="498"/>
        <v>null</v>
      </c>
      <c r="AB864" s="26" t="s">
        <v>0</v>
      </c>
      <c r="AC864" s="25" t="str">
        <f t="shared" si="499"/>
        <v>null</v>
      </c>
      <c r="AD864" s="26" t="s">
        <v>0</v>
      </c>
      <c r="AE864" s="25" t="str">
        <f t="shared" si="500"/>
        <v>null</v>
      </c>
      <c r="AF864" s="26" t="s">
        <v>0</v>
      </c>
      <c r="AG864" s="47" t="s">
        <v>4311</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6242</v>
      </c>
      <c r="X865" s="24" t="str">
        <f t="shared" si="506"/>
        <v>gesti.140</v>
      </c>
      <c r="Y865" s="24" t="str">
        <f t="shared" si="505"/>
        <v>Ação gestionar</v>
      </c>
      <c r="Z865" s="47" t="s">
        <v>4259</v>
      </c>
      <c r="AA865" s="25" t="str">
        <f t="shared" si="498"/>
        <v>null</v>
      </c>
      <c r="AB865" s="26" t="s">
        <v>0</v>
      </c>
      <c r="AC865" s="25" t="str">
        <f t="shared" si="499"/>
        <v>null</v>
      </c>
      <c r="AD865" s="26" t="s">
        <v>0</v>
      </c>
      <c r="AE865" s="25" t="str">
        <f t="shared" si="500"/>
        <v>null</v>
      </c>
      <c r="AF865" s="26" t="s">
        <v>0</v>
      </c>
      <c r="AG865" s="47" t="s">
        <v>4301</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6243</v>
      </c>
      <c r="X866" s="24" t="str">
        <f t="shared" si="506"/>
        <v>gesti.141</v>
      </c>
      <c r="Y866" s="24" t="str">
        <f t="shared" si="505"/>
        <v>Ação gestionar</v>
      </c>
      <c r="Z866" s="47" t="s">
        <v>4276</v>
      </c>
      <c r="AA866" s="25" t="str">
        <f t="shared" si="498"/>
        <v>null</v>
      </c>
      <c r="AB866" s="26" t="s">
        <v>0</v>
      </c>
      <c r="AC866" s="25" t="str">
        <f t="shared" si="499"/>
        <v>null</v>
      </c>
      <c r="AD866" s="26" t="s">
        <v>0</v>
      </c>
      <c r="AE866" s="25" t="str">
        <f t="shared" si="500"/>
        <v>null</v>
      </c>
      <c r="AF866" s="26" t="s">
        <v>0</v>
      </c>
      <c r="AG866" s="47" t="s">
        <v>4302</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6244</v>
      </c>
      <c r="X867" s="24" t="str">
        <f t="shared" si="506"/>
        <v>gesti.142</v>
      </c>
      <c r="Y867" s="24" t="str">
        <f t="shared" si="505"/>
        <v>Ação gestionar</v>
      </c>
      <c r="Z867" s="47" t="s">
        <v>4260</v>
      </c>
      <c r="AA867" s="25" t="str">
        <f t="shared" si="498"/>
        <v>null</v>
      </c>
      <c r="AB867" s="26" t="s">
        <v>0</v>
      </c>
      <c r="AC867" s="25" t="str">
        <f t="shared" si="499"/>
        <v>null</v>
      </c>
      <c r="AD867" s="26" t="s">
        <v>0</v>
      </c>
      <c r="AE867" s="25" t="str">
        <f t="shared" si="500"/>
        <v>null</v>
      </c>
      <c r="AF867" s="26" t="s">
        <v>0</v>
      </c>
      <c r="AG867" s="47" t="s">
        <v>5180</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6245</v>
      </c>
      <c r="X868" s="24" t="str">
        <f t="shared" si="506"/>
        <v>gesti.143</v>
      </c>
      <c r="Y868" s="24" t="str">
        <f t="shared" si="505"/>
        <v>Ação gestionar</v>
      </c>
      <c r="Z868" s="47" t="s">
        <v>4261</v>
      </c>
      <c r="AA868" s="25" t="str">
        <f t="shared" si="498"/>
        <v>null</v>
      </c>
      <c r="AB868" s="26" t="s">
        <v>0</v>
      </c>
      <c r="AC868" s="25" t="str">
        <f t="shared" si="499"/>
        <v>null</v>
      </c>
      <c r="AD868" s="26" t="s">
        <v>0</v>
      </c>
      <c r="AE868" s="25" t="str">
        <f t="shared" si="500"/>
        <v>null</v>
      </c>
      <c r="AF868" s="26" t="s">
        <v>0</v>
      </c>
      <c r="AG868" s="47" t="s">
        <v>5181</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6246</v>
      </c>
      <c r="X869" s="24" t="str">
        <f t="shared" si="506"/>
        <v>gesti.144</v>
      </c>
      <c r="Y869" s="24" t="str">
        <f t="shared" si="505"/>
        <v>Ação gestionar</v>
      </c>
      <c r="Z869" s="47" t="s">
        <v>4262</v>
      </c>
      <c r="AA869" s="25" t="str">
        <f t="shared" si="498"/>
        <v>null</v>
      </c>
      <c r="AB869" s="26" t="s">
        <v>0</v>
      </c>
      <c r="AC869" s="25" t="str">
        <f t="shared" si="499"/>
        <v>null</v>
      </c>
      <c r="AD869" s="26" t="s">
        <v>0</v>
      </c>
      <c r="AE869" s="25" t="str">
        <f t="shared" si="500"/>
        <v>null</v>
      </c>
      <c r="AF869" s="26" t="s">
        <v>0</v>
      </c>
      <c r="AG869" s="47" t="s">
        <v>5182</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6247</v>
      </c>
      <c r="X870" s="24" t="str">
        <f t="shared" si="506"/>
        <v>gesti.145</v>
      </c>
      <c r="Y870" s="24" t="str">
        <f t="shared" si="505"/>
        <v>Ação gestionar</v>
      </c>
      <c r="Z870" s="47" t="s">
        <v>4263</v>
      </c>
      <c r="AA870" s="25" t="str">
        <f t="shared" si="498"/>
        <v>null</v>
      </c>
      <c r="AB870" s="26" t="s">
        <v>0</v>
      </c>
      <c r="AC870" s="25" t="str">
        <f t="shared" si="499"/>
        <v>null</v>
      </c>
      <c r="AD870" s="26" t="s">
        <v>0</v>
      </c>
      <c r="AE870" s="25" t="str">
        <f t="shared" si="500"/>
        <v>null</v>
      </c>
      <c r="AF870" s="26" t="s">
        <v>0</v>
      </c>
      <c r="AG870" s="47" t="s">
        <v>5183</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6248</v>
      </c>
      <c r="X871" s="24" t="str">
        <f t="shared" si="506"/>
        <v>gesti.146</v>
      </c>
      <c r="Y871" s="24" t="str">
        <f t="shared" si="505"/>
        <v>Ação gestionar</v>
      </c>
      <c r="Z871" s="47" t="s">
        <v>4264</v>
      </c>
      <c r="AA871" s="25" t="str">
        <f t="shared" si="498"/>
        <v>null</v>
      </c>
      <c r="AB871" s="26" t="s">
        <v>0</v>
      </c>
      <c r="AC871" s="25" t="str">
        <f t="shared" si="499"/>
        <v>null</v>
      </c>
      <c r="AD871" s="26" t="s">
        <v>0</v>
      </c>
      <c r="AE871" s="25" t="str">
        <f t="shared" si="500"/>
        <v>null</v>
      </c>
      <c r="AF871" s="26" t="s">
        <v>0</v>
      </c>
      <c r="AG871" s="47" t="s">
        <v>5184</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6249</v>
      </c>
      <c r="X872" s="24" t="str">
        <f t="shared" si="506"/>
        <v>gradu.100</v>
      </c>
      <c r="Y872" s="24" t="str">
        <f t="shared" si="505"/>
        <v>Ação graduar</v>
      </c>
      <c r="Z872" s="47" t="s">
        <v>4203</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4217</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6250</v>
      </c>
      <c r="X873" s="24" t="str">
        <f t="shared" si="506"/>
        <v>gradu.101</v>
      </c>
      <c r="Y873" s="24" t="str">
        <f t="shared" si="505"/>
        <v>Ação graduar</v>
      </c>
      <c r="Z873" s="47" t="s">
        <v>4204</v>
      </c>
      <c r="AA873" s="25" t="str">
        <f t="shared" si="511"/>
        <v>null</v>
      </c>
      <c r="AB873" s="26" t="s">
        <v>0</v>
      </c>
      <c r="AC873" s="25" t="str">
        <f t="shared" si="512"/>
        <v>null</v>
      </c>
      <c r="AD873" s="26" t="s">
        <v>0</v>
      </c>
      <c r="AE873" s="25" t="str">
        <f t="shared" si="513"/>
        <v>null</v>
      </c>
      <c r="AF873" s="26" t="s">
        <v>0</v>
      </c>
      <c r="AG873" s="47" t="s">
        <v>4218</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4198</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6251</v>
      </c>
      <c r="X874" s="24" t="str">
        <f t="shared" si="506"/>
        <v>gradu.102</v>
      </c>
      <c r="Y874" s="24" t="str">
        <f t="shared" si="505"/>
        <v>Ação graduar</v>
      </c>
      <c r="Z874" s="47" t="s">
        <v>4205</v>
      </c>
      <c r="AA874" s="25" t="str">
        <f t="shared" si="511"/>
        <v>null</v>
      </c>
      <c r="AB874" s="26" t="s">
        <v>0</v>
      </c>
      <c r="AC874" s="25" t="str">
        <f t="shared" si="512"/>
        <v>null</v>
      </c>
      <c r="AD874" s="26" t="s">
        <v>0</v>
      </c>
      <c r="AE874" s="25" t="str">
        <f t="shared" si="513"/>
        <v>null</v>
      </c>
      <c r="AF874" s="26" t="s">
        <v>0</v>
      </c>
      <c r="AG874" s="47" t="s">
        <v>4219</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4183</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6252</v>
      </c>
      <c r="X875" s="24" t="str">
        <f t="shared" si="506"/>
        <v>gradu.103</v>
      </c>
      <c r="Y875" s="24" t="str">
        <f t="shared" si="505"/>
        <v>Ação graduar</v>
      </c>
      <c r="Z875" s="47" t="s">
        <v>4206</v>
      </c>
      <c r="AA875" s="25" t="str">
        <f t="shared" si="511"/>
        <v>null</v>
      </c>
      <c r="AB875" s="26" t="s">
        <v>0</v>
      </c>
      <c r="AC875" s="25" t="str">
        <f t="shared" si="512"/>
        <v>null</v>
      </c>
      <c r="AD875" s="26" t="s">
        <v>0</v>
      </c>
      <c r="AE875" s="25" t="str">
        <f t="shared" si="513"/>
        <v>null</v>
      </c>
      <c r="AF875" s="26" t="s">
        <v>0</v>
      </c>
      <c r="AG875" s="47" t="s">
        <v>4220</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4181</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6253</v>
      </c>
      <c r="X876" s="24" t="str">
        <f t="shared" si="506"/>
        <v>gradu.104</v>
      </c>
      <c r="Y876" s="24" t="str">
        <f t="shared" si="505"/>
        <v>Ação graduar</v>
      </c>
      <c r="Z876" s="47" t="s">
        <v>4207</v>
      </c>
      <c r="AA876" s="25" t="str">
        <f t="shared" si="511"/>
        <v>null</v>
      </c>
      <c r="AB876" s="26" t="s">
        <v>0</v>
      </c>
      <c r="AC876" s="25" t="str">
        <f t="shared" si="512"/>
        <v>null</v>
      </c>
      <c r="AD876" s="26" t="s">
        <v>0</v>
      </c>
      <c r="AE876" s="25" t="str">
        <f t="shared" si="513"/>
        <v>null</v>
      </c>
      <c r="AF876" s="26" t="s">
        <v>0</v>
      </c>
      <c r="AG876" s="47" t="s">
        <v>4221</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4182</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6254</v>
      </c>
      <c r="X877" s="24" t="str">
        <f t="shared" si="506"/>
        <v>gradu.105</v>
      </c>
      <c r="Y877" s="24" t="str">
        <f t="shared" si="505"/>
        <v>Ação graduar</v>
      </c>
      <c r="Z877" s="47" t="s">
        <v>5051</v>
      </c>
      <c r="AA877" s="25" t="str">
        <f t="shared" si="511"/>
        <v>null</v>
      </c>
      <c r="AB877" s="26" t="s">
        <v>0</v>
      </c>
      <c r="AC877" s="25" t="str">
        <f t="shared" si="512"/>
        <v>null</v>
      </c>
      <c r="AD877" s="26" t="s">
        <v>0</v>
      </c>
      <c r="AE877" s="25" t="str">
        <f t="shared" si="513"/>
        <v>null</v>
      </c>
      <c r="AF877" s="26" t="s">
        <v>0</v>
      </c>
      <c r="AG877" s="47" t="s">
        <v>5251</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4197</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6255</v>
      </c>
      <c r="X878" s="24" t="str">
        <f t="shared" si="506"/>
        <v>gradu.106</v>
      </c>
      <c r="Y878" s="24" t="str">
        <f t="shared" si="505"/>
        <v>Ação graduar</v>
      </c>
      <c r="Z878" s="47" t="s">
        <v>4208</v>
      </c>
      <c r="AA878" s="25" t="str">
        <f t="shared" si="511"/>
        <v>null</v>
      </c>
      <c r="AB878" s="26" t="s">
        <v>0</v>
      </c>
      <c r="AC878" s="25" t="str">
        <f t="shared" si="512"/>
        <v>null</v>
      </c>
      <c r="AD878" s="26" t="s">
        <v>0</v>
      </c>
      <c r="AE878" s="25" t="str">
        <f t="shared" si="513"/>
        <v>null</v>
      </c>
      <c r="AF878" s="26" t="s">
        <v>0</v>
      </c>
      <c r="AG878" s="47" t="s">
        <v>4222</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4196</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6256</v>
      </c>
      <c r="X879" s="24" t="str">
        <f t="shared" si="506"/>
        <v>gradu.107</v>
      </c>
      <c r="Y879" s="24" t="str">
        <f t="shared" si="505"/>
        <v>Ação graduar</v>
      </c>
      <c r="Z879" s="47" t="s">
        <v>4209</v>
      </c>
      <c r="AA879" s="25" t="str">
        <f t="shared" si="511"/>
        <v>null</v>
      </c>
      <c r="AB879" s="26" t="s">
        <v>0</v>
      </c>
      <c r="AC879" s="25" t="str">
        <f t="shared" si="512"/>
        <v>null</v>
      </c>
      <c r="AD879" s="26" t="s">
        <v>0</v>
      </c>
      <c r="AE879" s="25" t="str">
        <f t="shared" si="513"/>
        <v>null</v>
      </c>
      <c r="AF879" s="26" t="s">
        <v>0</v>
      </c>
      <c r="AG879" s="47" t="s">
        <v>4223</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4199</v>
      </c>
      <c r="H880" s="42" t="s">
        <v>36</v>
      </c>
      <c r="I880" s="16" t="str">
        <f t="shared" si="504"/>
        <v>null</v>
      </c>
      <c r="J880" s="15" t="s">
        <v>0</v>
      </c>
      <c r="K880" s="15" t="s">
        <v>0</v>
      </c>
      <c r="L880" s="15" t="s">
        <v>0</v>
      </c>
      <c r="M880" s="15" t="s">
        <v>0</v>
      </c>
      <c r="N880" s="15" t="s">
        <v>0</v>
      </c>
      <c r="O880" s="15" t="s">
        <v>0</v>
      </c>
      <c r="P880" s="15" t="s">
        <v>0</v>
      </c>
      <c r="Q880" s="15" t="s">
        <v>4201</v>
      </c>
      <c r="R880" s="15" t="s">
        <v>0</v>
      </c>
      <c r="S880" s="10" t="s">
        <v>1</v>
      </c>
      <c r="T880" s="10" t="s">
        <v>32</v>
      </c>
      <c r="U880" s="5" t="str">
        <f t="shared" si="509"/>
        <v>Propriedade destinada a graduar: é.valor.máximo</v>
      </c>
      <c r="V880" s="5" t="str">
        <f t="shared" si="510"/>
        <v>Dado para graduar:  valor.máximo  Deve ser formatado como (xsd:double)</v>
      </c>
      <c r="W880" s="5" t="s">
        <v>6257</v>
      </c>
      <c r="X880" s="24" t="str">
        <f t="shared" si="506"/>
        <v>gradu.108</v>
      </c>
      <c r="Y880" s="24" t="str">
        <f t="shared" si="505"/>
        <v>Ação graduar</v>
      </c>
      <c r="Z880" s="47" t="s">
        <v>4210</v>
      </c>
      <c r="AA880" s="25" t="str">
        <f t="shared" si="511"/>
        <v>null</v>
      </c>
      <c r="AB880" s="26" t="s">
        <v>0</v>
      </c>
      <c r="AC880" s="25" t="str">
        <f t="shared" si="512"/>
        <v>null</v>
      </c>
      <c r="AD880" s="26" t="s">
        <v>0</v>
      </c>
      <c r="AE880" s="25" t="str">
        <f t="shared" si="513"/>
        <v>null</v>
      </c>
      <c r="AF880" s="26" t="s">
        <v>0</v>
      </c>
      <c r="AG880" s="47" t="s">
        <v>4224</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4200</v>
      </c>
      <c r="H881" s="42" t="s">
        <v>36</v>
      </c>
      <c r="I881" s="16" t="str">
        <f t="shared" si="504"/>
        <v>null</v>
      </c>
      <c r="J881" s="15" t="s">
        <v>0</v>
      </c>
      <c r="K881" s="15" t="s">
        <v>0</v>
      </c>
      <c r="L881" s="15" t="s">
        <v>0</v>
      </c>
      <c r="M881" s="15" t="s">
        <v>0</v>
      </c>
      <c r="N881" s="15" t="s">
        <v>0</v>
      </c>
      <c r="O881" s="15" t="s">
        <v>0</v>
      </c>
      <c r="P881" s="15" t="s">
        <v>0</v>
      </c>
      <c r="Q881" s="15" t="s">
        <v>4202</v>
      </c>
      <c r="R881" s="15" t="s">
        <v>0</v>
      </c>
      <c r="S881" s="10" t="s">
        <v>1</v>
      </c>
      <c r="T881" s="10" t="s">
        <v>32</v>
      </c>
      <c r="U881" s="5" t="str">
        <f t="shared" si="509"/>
        <v>Propriedade destinada a graduar: é.valor.mínimo</v>
      </c>
      <c r="V881" s="5" t="str">
        <f t="shared" si="510"/>
        <v>Dado para graduar:  valor.mínimo  Deve ser formatado como (xsd:double)</v>
      </c>
      <c r="W881" s="5" t="s">
        <v>6258</v>
      </c>
      <c r="X881" s="24" t="str">
        <f t="shared" si="506"/>
        <v>gradu.109</v>
      </c>
      <c r="Y881" s="24" t="str">
        <f t="shared" si="505"/>
        <v>Ação graduar</v>
      </c>
      <c r="Z881" s="47" t="s">
        <v>4211</v>
      </c>
      <c r="AA881" s="25" t="str">
        <f t="shared" si="511"/>
        <v>null</v>
      </c>
      <c r="AB881" s="26" t="s">
        <v>0</v>
      </c>
      <c r="AC881" s="25" t="str">
        <f t="shared" si="512"/>
        <v>null</v>
      </c>
      <c r="AD881" s="26" t="s">
        <v>0</v>
      </c>
      <c r="AE881" s="25" t="str">
        <f t="shared" si="513"/>
        <v>null</v>
      </c>
      <c r="AF881" s="26" t="s">
        <v>0</v>
      </c>
      <c r="AG881" s="47" t="s">
        <v>4225</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4184</v>
      </c>
      <c r="H882" s="42" t="s">
        <v>36</v>
      </c>
      <c r="I882" s="16" t="str">
        <f t="shared" si="504"/>
        <v>null</v>
      </c>
      <c r="J882" s="15" t="s">
        <v>0</v>
      </c>
      <c r="K882" s="15" t="s">
        <v>0</v>
      </c>
      <c r="L882" s="15" t="s">
        <v>0</v>
      </c>
      <c r="M882" s="15" t="s">
        <v>0</v>
      </c>
      <c r="N882" s="15" t="s">
        <v>0</v>
      </c>
      <c r="O882" s="15" t="s">
        <v>0</v>
      </c>
      <c r="P882" s="15" t="s">
        <v>0</v>
      </c>
      <c r="Q882" s="15" t="s">
        <v>4190</v>
      </c>
      <c r="R882" s="15" t="s">
        <v>4192</v>
      </c>
      <c r="S882" s="10" t="s">
        <v>1</v>
      </c>
      <c r="T882" s="10" t="s">
        <v>32</v>
      </c>
      <c r="U882" s="5" t="str">
        <f t="shared" si="509"/>
        <v>Propriedade destinada a graduar: é.posição.alta</v>
      </c>
      <c r="V882" s="5" t="str">
        <f t="shared" si="510"/>
        <v>Dado para graduar:  posição.alta  Deve ser formatado como (xsd:double)</v>
      </c>
      <c r="W882" s="5" t="s">
        <v>6259</v>
      </c>
      <c r="X882" s="24" t="str">
        <f t="shared" si="506"/>
        <v>gradu.110</v>
      </c>
      <c r="Y882" s="24" t="str">
        <f t="shared" si="505"/>
        <v>Ação graduar</v>
      </c>
      <c r="Z882" s="47" t="s">
        <v>4212</v>
      </c>
      <c r="AA882" s="25" t="str">
        <f t="shared" si="511"/>
        <v>null</v>
      </c>
      <c r="AB882" s="26" t="s">
        <v>0</v>
      </c>
      <c r="AC882" s="25" t="str">
        <f t="shared" si="512"/>
        <v>null</v>
      </c>
      <c r="AD882" s="26" t="s">
        <v>0</v>
      </c>
      <c r="AE882" s="25" t="str">
        <f t="shared" si="513"/>
        <v>null</v>
      </c>
      <c r="AF882" s="26" t="s">
        <v>0</v>
      </c>
      <c r="AG882" s="47" t="s">
        <v>4226</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4185</v>
      </c>
      <c r="H883" s="42" t="s">
        <v>36</v>
      </c>
      <c r="I883" s="16" t="str">
        <f t="shared" si="504"/>
        <v>null</v>
      </c>
      <c r="J883" s="15" t="s">
        <v>0</v>
      </c>
      <c r="K883" s="15" t="s">
        <v>0</v>
      </c>
      <c r="L883" s="15" t="s">
        <v>0</v>
      </c>
      <c r="M883" s="15" t="s">
        <v>0</v>
      </c>
      <c r="N883" s="15" t="s">
        <v>0</v>
      </c>
      <c r="O883" s="15" t="s">
        <v>0</v>
      </c>
      <c r="P883" s="15" t="s">
        <v>0</v>
      </c>
      <c r="Q883" s="15" t="s">
        <v>4193</v>
      </c>
      <c r="R883" s="15" t="s">
        <v>4191</v>
      </c>
      <c r="S883" s="10" t="s">
        <v>1</v>
      </c>
      <c r="T883" s="10" t="s">
        <v>32</v>
      </c>
      <c r="U883" s="5" t="str">
        <f t="shared" si="509"/>
        <v>Propriedade destinada a graduar: é.posição.alto</v>
      </c>
      <c r="V883" s="5" t="str">
        <f t="shared" si="510"/>
        <v>Dado para graduar:  posição.alto  Deve ser formatado como (xsd:double)</v>
      </c>
      <c r="W883" s="5" t="s">
        <v>6260</v>
      </c>
      <c r="X883" s="24" t="str">
        <f t="shared" si="506"/>
        <v>gradu.111</v>
      </c>
      <c r="Y883" s="24" t="str">
        <f t="shared" si="505"/>
        <v>Ação graduar</v>
      </c>
      <c r="Z883" s="47" t="s">
        <v>4213</v>
      </c>
      <c r="AA883" s="25" t="str">
        <f t="shared" si="511"/>
        <v>null</v>
      </c>
      <c r="AB883" s="26" t="s">
        <v>0</v>
      </c>
      <c r="AC883" s="25" t="str">
        <f t="shared" si="512"/>
        <v>null</v>
      </c>
      <c r="AD883" s="26" t="s">
        <v>0</v>
      </c>
      <c r="AE883" s="25" t="str">
        <f t="shared" si="513"/>
        <v>null</v>
      </c>
      <c r="AF883" s="26" t="s">
        <v>0</v>
      </c>
      <c r="AG883" s="47" t="s">
        <v>4227</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4186</v>
      </c>
      <c r="H884" s="42" t="s">
        <v>36</v>
      </c>
      <c r="I884" s="16" t="str">
        <f t="shared" si="504"/>
        <v>null</v>
      </c>
      <c r="J884" s="15" t="s">
        <v>0</v>
      </c>
      <c r="K884" s="15" t="s">
        <v>0</v>
      </c>
      <c r="L884" s="15" t="s">
        <v>0</v>
      </c>
      <c r="M884" s="15" t="s">
        <v>0</v>
      </c>
      <c r="N884" s="15" t="s">
        <v>0</v>
      </c>
      <c r="O884" s="15" t="s">
        <v>0</v>
      </c>
      <c r="P884" s="15" t="s">
        <v>0</v>
      </c>
      <c r="Q884" s="15" t="s">
        <v>4191</v>
      </c>
      <c r="R884" s="15" t="s">
        <v>4193</v>
      </c>
      <c r="S884" s="10" t="s">
        <v>1</v>
      </c>
      <c r="T884" s="10" t="s">
        <v>32</v>
      </c>
      <c r="U884" s="5" t="str">
        <f t="shared" si="509"/>
        <v>Propriedade destinada a graduar: é.posição.baixa</v>
      </c>
      <c r="V884" s="5" t="str">
        <f t="shared" si="510"/>
        <v>Dado para graduar:  posição.baixa  Deve ser formatado como (xsd:double)</v>
      </c>
      <c r="W884" s="5" t="s">
        <v>6261</v>
      </c>
      <c r="X884" s="24" t="str">
        <f t="shared" si="506"/>
        <v>gradu.112</v>
      </c>
      <c r="Y884" s="24" t="str">
        <f t="shared" si="505"/>
        <v>Ação graduar</v>
      </c>
      <c r="Z884" s="47" t="s">
        <v>4214</v>
      </c>
      <c r="AA884" s="25" t="str">
        <f t="shared" si="511"/>
        <v>null</v>
      </c>
      <c r="AB884" s="26" t="s">
        <v>0</v>
      </c>
      <c r="AC884" s="25" t="str">
        <f t="shared" si="512"/>
        <v>null</v>
      </c>
      <c r="AD884" s="26" t="s">
        <v>0</v>
      </c>
      <c r="AE884" s="25" t="str">
        <f t="shared" si="513"/>
        <v>null</v>
      </c>
      <c r="AF884" s="26" t="s">
        <v>0</v>
      </c>
      <c r="AG884" s="47" t="s">
        <v>4228</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4187</v>
      </c>
      <c r="H885" s="42" t="s">
        <v>36</v>
      </c>
      <c r="I885" s="16" t="str">
        <f t="shared" si="504"/>
        <v>null</v>
      </c>
      <c r="J885" s="15" t="s">
        <v>0</v>
      </c>
      <c r="K885" s="15" t="s">
        <v>0</v>
      </c>
      <c r="L885" s="15" t="s">
        <v>0</v>
      </c>
      <c r="M885" s="15" t="s">
        <v>0</v>
      </c>
      <c r="N885" s="15" t="s">
        <v>0</v>
      </c>
      <c r="O885" s="15" t="s">
        <v>0</v>
      </c>
      <c r="P885" s="15" t="s">
        <v>0</v>
      </c>
      <c r="Q885" s="15" t="s">
        <v>4192</v>
      </c>
      <c r="R885" s="15" t="s">
        <v>4190</v>
      </c>
      <c r="S885" s="10" t="s">
        <v>1</v>
      </c>
      <c r="T885" s="10" t="s">
        <v>32</v>
      </c>
      <c r="U885" s="5" t="str">
        <f t="shared" si="509"/>
        <v>Propriedade destinada a graduar: é.posição.baixo</v>
      </c>
      <c r="V885" s="5" t="str">
        <f t="shared" si="510"/>
        <v>Dado para graduar:  posição.baixo  Deve ser formatado como (xsd:double)</v>
      </c>
      <c r="W885" s="5" t="s">
        <v>6262</v>
      </c>
      <c r="X885" s="24" t="str">
        <f t="shared" si="506"/>
        <v>gradu.113</v>
      </c>
      <c r="Y885" s="24" t="str">
        <f t="shared" si="505"/>
        <v>Ação graduar</v>
      </c>
      <c r="Z885" s="47" t="s">
        <v>4215</v>
      </c>
      <c r="AA885" s="25" t="str">
        <f t="shared" si="511"/>
        <v>null</v>
      </c>
      <c r="AB885" s="26" t="s">
        <v>0</v>
      </c>
      <c r="AC885" s="25" t="str">
        <f t="shared" si="512"/>
        <v>null</v>
      </c>
      <c r="AD885" s="26" t="s">
        <v>0</v>
      </c>
      <c r="AE885" s="25" t="str">
        <f t="shared" si="513"/>
        <v>null</v>
      </c>
      <c r="AF885" s="26" t="s">
        <v>0</v>
      </c>
      <c r="AG885" s="47" t="s">
        <v>4229</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4188</v>
      </c>
      <c r="H886" s="42" t="s">
        <v>36</v>
      </c>
      <c r="I886" s="16" t="str">
        <f t="shared" si="504"/>
        <v>null</v>
      </c>
      <c r="J886" s="15" t="s">
        <v>0</v>
      </c>
      <c r="K886" s="15" t="s">
        <v>0</v>
      </c>
      <c r="L886" s="15" t="s">
        <v>0</v>
      </c>
      <c r="M886" s="15" t="s">
        <v>0</v>
      </c>
      <c r="N886" s="15" t="s">
        <v>0</v>
      </c>
      <c r="O886" s="15" t="s">
        <v>0</v>
      </c>
      <c r="P886" s="15" t="s">
        <v>0</v>
      </c>
      <c r="Q886" s="15" t="s">
        <v>0</v>
      </c>
      <c r="R886" s="15" t="s">
        <v>4194</v>
      </c>
      <c r="S886" s="10" t="s">
        <v>1</v>
      </c>
      <c r="T886" s="10" t="s">
        <v>32</v>
      </c>
      <c r="U886" s="5" t="str">
        <f t="shared" si="509"/>
        <v>Propriedade destinada a graduar: é.posição.média</v>
      </c>
      <c r="V886" s="5" t="str">
        <f t="shared" si="510"/>
        <v>Dado para graduar:  posição.média  Deve ser formatado como (xsd:double)</v>
      </c>
      <c r="W886" s="5" t="s">
        <v>6263</v>
      </c>
      <c r="X886" s="24" t="str">
        <f t="shared" si="506"/>
        <v>gradu.114</v>
      </c>
      <c r="Y886" s="24" t="str">
        <f t="shared" si="505"/>
        <v>Ação graduar</v>
      </c>
      <c r="Z886" s="47" t="s">
        <v>4216</v>
      </c>
      <c r="AA886" s="25" t="str">
        <f t="shared" si="511"/>
        <v>null</v>
      </c>
      <c r="AB886" s="26" t="s">
        <v>0</v>
      </c>
      <c r="AC886" s="25" t="str">
        <f t="shared" si="512"/>
        <v>null</v>
      </c>
      <c r="AD886" s="26" t="s">
        <v>0</v>
      </c>
      <c r="AE886" s="25" t="str">
        <f t="shared" si="513"/>
        <v>null</v>
      </c>
      <c r="AF886" s="26" t="s">
        <v>0</v>
      </c>
      <c r="AG886" s="47" t="s">
        <v>4230</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4189</v>
      </c>
      <c r="H887" s="42" t="s">
        <v>36</v>
      </c>
      <c r="I887" s="16" t="str">
        <f t="shared" si="504"/>
        <v>null</v>
      </c>
      <c r="J887" s="15" t="s">
        <v>0</v>
      </c>
      <c r="K887" s="15" t="s">
        <v>0</v>
      </c>
      <c r="L887" s="15" t="s">
        <v>0</v>
      </c>
      <c r="M887" s="15" t="s">
        <v>0</v>
      </c>
      <c r="N887" s="15" t="s">
        <v>0</v>
      </c>
      <c r="O887" s="15" t="s">
        <v>0</v>
      </c>
      <c r="P887" s="15" t="s">
        <v>0</v>
      </c>
      <c r="Q887" s="15" t="s">
        <v>0</v>
      </c>
      <c r="R887" s="15" t="s">
        <v>4195</v>
      </c>
      <c r="S887" s="10" t="s">
        <v>1</v>
      </c>
      <c r="T887" s="10" t="s">
        <v>32</v>
      </c>
      <c r="U887" s="5" t="str">
        <f t="shared" si="509"/>
        <v>Propriedade destinada a graduar: é.posição.médio</v>
      </c>
      <c r="V887" s="5" t="str">
        <f t="shared" si="510"/>
        <v>Dado para graduar:  posição.médio  Deve ser formatado como (xsd:double)</v>
      </c>
      <c r="W887" s="5" t="s">
        <v>6264</v>
      </c>
      <c r="X887" s="24" t="str">
        <f t="shared" si="506"/>
        <v>gradu.115</v>
      </c>
      <c r="Y887" s="24" t="str">
        <f t="shared" si="505"/>
        <v>Ação graduar</v>
      </c>
      <c r="Z887" s="47" t="s">
        <v>4216</v>
      </c>
      <c r="AA887" s="25" t="str">
        <f t="shared" si="511"/>
        <v>null</v>
      </c>
      <c r="AB887" s="26" t="s">
        <v>0</v>
      </c>
      <c r="AC887" s="25" t="str">
        <f t="shared" si="512"/>
        <v>null</v>
      </c>
      <c r="AD887" s="26" t="s">
        <v>0</v>
      </c>
      <c r="AE887" s="25" t="str">
        <f t="shared" si="513"/>
        <v>null</v>
      </c>
      <c r="AF887" s="26" t="s">
        <v>0</v>
      </c>
      <c r="AG887" s="47" t="s">
        <v>4231</v>
      </c>
    </row>
    <row r="888" spans="1:33" ht="6" customHeight="1" x14ac:dyDescent="0.4">
      <c r="A888" s="4">
        <f>ROW()</f>
        <v>888</v>
      </c>
      <c r="B888" s="9" t="s">
        <v>27</v>
      </c>
      <c r="C888" s="54" t="str">
        <f>SUBSTITUTE(F888,"d.","p.")</f>
        <v>p.identificar</v>
      </c>
      <c r="D888" s="6" t="str">
        <f t="shared" si="507"/>
        <v>é.alias</v>
      </c>
      <c r="E888" s="8" t="s">
        <v>28</v>
      </c>
      <c r="F888" s="51" t="s">
        <v>4015</v>
      </c>
      <c r="G888" s="18" t="s">
        <v>4072</v>
      </c>
      <c r="H888" s="41" t="s">
        <v>2321</v>
      </c>
      <c r="I888" s="16" t="str">
        <f t="shared" si="504"/>
        <v>null</v>
      </c>
      <c r="J888" s="13" t="s">
        <v>0</v>
      </c>
      <c r="K888" s="13" t="s">
        <v>0</v>
      </c>
      <c r="L888" s="13" t="s">
        <v>0</v>
      </c>
      <c r="M888" s="13" t="s">
        <v>0</v>
      </c>
      <c r="N888" s="15" t="s">
        <v>0</v>
      </c>
      <c r="O888" s="13" t="s">
        <v>0</v>
      </c>
      <c r="P888" s="13" t="s">
        <v>0</v>
      </c>
      <c r="Q888" s="13" t="s">
        <v>0</v>
      </c>
      <c r="R888" s="15" t="s">
        <v>4074</v>
      </c>
      <c r="S888" s="10" t="s">
        <v>1</v>
      </c>
      <c r="T888" s="10" t="s">
        <v>32</v>
      </c>
      <c r="U888" s="5" t="str">
        <f t="shared" si="509"/>
        <v>Propriedade destinada a identificar: é.alias</v>
      </c>
      <c r="V888" s="5" t="str">
        <f t="shared" si="510"/>
        <v>Dado para identificar:  alias  Deve ser formatado como (rdfs:Literal  or  xsd:string)</v>
      </c>
      <c r="W888" s="5" t="s">
        <v>7528</v>
      </c>
      <c r="X888" s="24" t="str">
        <f t="shared" si="506"/>
        <v>ident.100</v>
      </c>
      <c r="Y888" s="24" t="str">
        <f t="shared" si="505"/>
        <v>Ação identificar</v>
      </c>
      <c r="Z888" s="47" t="s">
        <v>4085</v>
      </c>
      <c r="AA888" s="25" t="str">
        <f t="shared" si="511"/>
        <v>null</v>
      </c>
      <c r="AB888" s="26" t="s">
        <v>0</v>
      </c>
      <c r="AC888" s="25" t="str">
        <f t="shared" si="512"/>
        <v>null</v>
      </c>
      <c r="AD888" s="26" t="s">
        <v>0</v>
      </c>
      <c r="AE888" s="25" t="str">
        <f t="shared" si="513"/>
        <v>null</v>
      </c>
      <c r="AF888" s="26" t="s">
        <v>0</v>
      </c>
      <c r="AG888" s="47" t="s">
        <v>4170</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4073</v>
      </c>
      <c r="S889" s="10" t="s">
        <v>1</v>
      </c>
      <c r="T889" s="10" t="s">
        <v>32</v>
      </c>
      <c r="U889" s="5" t="str">
        <f t="shared" si="509"/>
        <v>Propriedade destinada a identificar: é.apelido</v>
      </c>
      <c r="V889" s="5" t="str">
        <f t="shared" si="510"/>
        <v>Dado para identificar:  apelido  Deve ser formatado como (rdfs:Literal  or  xsd:string)</v>
      </c>
      <c r="W889" s="5" t="s">
        <v>6265</v>
      </c>
      <c r="X889" s="24" t="str">
        <f t="shared" si="506"/>
        <v>ident.101</v>
      </c>
      <c r="Y889" s="24" t="str">
        <f t="shared" si="505"/>
        <v>Ação identificar</v>
      </c>
      <c r="Z889" s="47" t="s">
        <v>4086</v>
      </c>
      <c r="AA889" s="25" t="str">
        <f t="shared" si="511"/>
        <v>null</v>
      </c>
      <c r="AB889" s="26" t="s">
        <v>0</v>
      </c>
      <c r="AC889" s="25" t="str">
        <f t="shared" si="512"/>
        <v>null</v>
      </c>
      <c r="AD889" s="26" t="s">
        <v>0</v>
      </c>
      <c r="AE889" s="25" t="str">
        <f t="shared" si="513"/>
        <v>null</v>
      </c>
      <c r="AF889" s="26" t="s">
        <v>0</v>
      </c>
      <c r="AG889" s="47" t="s">
        <v>4171</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6266</v>
      </c>
      <c r="X890" s="24" t="str">
        <f t="shared" si="506"/>
        <v>ident.102</v>
      </c>
      <c r="Y890" s="24" t="str">
        <f t="shared" si="505"/>
        <v>Ação identificar</v>
      </c>
      <c r="Z890" s="47" t="s">
        <v>4087</v>
      </c>
      <c r="AA890" s="25" t="str">
        <f t="shared" si="511"/>
        <v>null</v>
      </c>
      <c r="AB890" s="26" t="s">
        <v>0</v>
      </c>
      <c r="AC890" s="25" t="str">
        <f t="shared" si="512"/>
        <v>null</v>
      </c>
      <c r="AD890" s="26" t="s">
        <v>0</v>
      </c>
      <c r="AE890" s="25" t="str">
        <f t="shared" si="513"/>
        <v>null</v>
      </c>
      <c r="AF890" s="26" t="s">
        <v>0</v>
      </c>
      <c r="AG890" s="47" t="s">
        <v>4172</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4847</v>
      </c>
      <c r="S891" s="10" t="s">
        <v>1</v>
      </c>
      <c r="T891" s="10" t="s">
        <v>32</v>
      </c>
      <c r="U891" s="5" t="str">
        <f t="shared" si="509"/>
        <v>Propriedade destinada a identificar: é.bitola</v>
      </c>
      <c r="V891" s="5" t="str">
        <f t="shared" si="510"/>
        <v>Dado para identificar:  bitola  Deve ser formatado como (rdfs:Literal  or  xsd:string)</v>
      </c>
      <c r="W891" s="5" t="s">
        <v>6267</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6268</v>
      </c>
      <c r="X892" s="24" t="str">
        <f t="shared" si="506"/>
        <v>ident.104</v>
      </c>
      <c r="Y892" s="24" t="str">
        <f t="shared" si="505"/>
        <v>Ação identificar</v>
      </c>
      <c r="Z892" s="47" t="s">
        <v>4088</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6269</v>
      </c>
      <c r="X893" s="24" t="str">
        <f t="shared" si="506"/>
        <v>ident.105</v>
      </c>
      <c r="Y893" s="24" t="str">
        <f t="shared" si="505"/>
        <v>Ação identificar</v>
      </c>
      <c r="Z893" s="47" t="s">
        <v>4089</v>
      </c>
      <c r="AA893" s="25" t="str">
        <f t="shared" si="511"/>
        <v>null</v>
      </c>
      <c r="AB893" s="26" t="s">
        <v>0</v>
      </c>
      <c r="AC893" s="25" t="str">
        <f t="shared" si="512"/>
        <v>null</v>
      </c>
      <c r="AD893" s="26" t="s">
        <v>0</v>
      </c>
      <c r="AE893" s="25" t="str">
        <f t="shared" si="513"/>
        <v>null</v>
      </c>
      <c r="AF893" s="26" t="s">
        <v>0</v>
      </c>
      <c r="AG893" s="47" t="s">
        <v>4173</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6270</v>
      </c>
      <c r="X894" s="24" t="str">
        <f t="shared" si="506"/>
        <v>ident.106</v>
      </c>
      <c r="Y894" s="24" t="str">
        <f t="shared" si="505"/>
        <v>Ação identificar</v>
      </c>
      <c r="Z894" s="47" t="s">
        <v>4090</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6271</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6272</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6273</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6273</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6274</v>
      </c>
      <c r="X899" s="24" t="str">
        <f t="shared" ref="X899:X962" si="520">IF(F898&lt;&gt;F899,_xlfn.CONCAT(RIGHT(LEFT(F899,7),5),".100"),_xlfn.CONCAT(RIGHT(LEFT(F899,7),5),".",SUM(VALUE(RIGHT(X898,3)),1)))</f>
        <v>ident.111</v>
      </c>
      <c r="Y899" s="24" t="str">
        <f t="shared" si="519"/>
        <v>Ação identificar</v>
      </c>
      <c r="Z899" s="47" t="s">
        <v>4091</v>
      </c>
      <c r="AA899" s="25" t="str">
        <f t="shared" si="511"/>
        <v>null</v>
      </c>
      <c r="AB899" s="26" t="s">
        <v>0</v>
      </c>
      <c r="AC899" s="25" t="str">
        <f t="shared" si="512"/>
        <v>null</v>
      </c>
      <c r="AD899" s="26" t="s">
        <v>0</v>
      </c>
      <c r="AE899" s="25" t="str">
        <f t="shared" si="513"/>
        <v>null</v>
      </c>
      <c r="AF899" s="26" t="s">
        <v>0</v>
      </c>
      <c r="AG899" s="47" t="s">
        <v>4174</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6275</v>
      </c>
      <c r="X900" s="24" t="str">
        <f t="shared" si="520"/>
        <v>ident.112</v>
      </c>
      <c r="Y900" s="24" t="str">
        <f t="shared" si="519"/>
        <v>Ação identificar</v>
      </c>
      <c r="Z900" s="47" t="s">
        <v>4092</v>
      </c>
      <c r="AA900" s="25" t="str">
        <f t="shared" si="511"/>
        <v>null</v>
      </c>
      <c r="AB900" s="26" t="s">
        <v>0</v>
      </c>
      <c r="AC900" s="25" t="str">
        <f t="shared" si="512"/>
        <v>null</v>
      </c>
      <c r="AD900" s="26" t="s">
        <v>0</v>
      </c>
      <c r="AE900" s="25" t="str">
        <f t="shared" si="513"/>
        <v>null</v>
      </c>
      <c r="AF900" s="26" t="s">
        <v>0</v>
      </c>
      <c r="AG900" s="47" t="s">
        <v>4175</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6276</v>
      </c>
      <c r="X901" s="24" t="str">
        <f t="shared" si="520"/>
        <v>ident.113</v>
      </c>
      <c r="Y901" s="24" t="str">
        <f t="shared" si="519"/>
        <v>Ação identificar</v>
      </c>
      <c r="Z901" s="47" t="s">
        <v>4093</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6277</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6278</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4509</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6279</v>
      </c>
      <c r="X904" s="24" t="str">
        <f t="shared" si="520"/>
        <v>ident.116</v>
      </c>
      <c r="Y904" s="24" t="str">
        <f t="shared" si="519"/>
        <v>Ação identificar</v>
      </c>
      <c r="Z904" s="47" t="s">
        <v>4510</v>
      </c>
      <c r="AA904" s="25" t="str">
        <f t="shared" si="511"/>
        <v>null</v>
      </c>
      <c r="AB904" s="26" t="s">
        <v>0</v>
      </c>
      <c r="AC904" s="25" t="str">
        <f t="shared" si="512"/>
        <v>null</v>
      </c>
      <c r="AD904" s="26" t="s">
        <v>0</v>
      </c>
      <c r="AE904" s="25" t="str">
        <f t="shared" si="513"/>
        <v>null</v>
      </c>
      <c r="AF904" s="26" t="s">
        <v>0</v>
      </c>
      <c r="AG904" s="47" t="s">
        <v>4461</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6280</v>
      </c>
      <c r="X905" s="24" t="str">
        <f t="shared" si="520"/>
        <v>ident.117</v>
      </c>
      <c r="Y905" s="24" t="str">
        <f t="shared" si="519"/>
        <v>Ação identificar</v>
      </c>
      <c r="Z905" s="47" t="s">
        <v>4094</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6281</v>
      </c>
      <c r="X906" s="24" t="str">
        <f t="shared" si="520"/>
        <v>ident.118</v>
      </c>
      <c r="Y906" s="24" t="str">
        <f t="shared" si="519"/>
        <v>Ação identificar</v>
      </c>
      <c r="Z906" s="47" t="s">
        <v>4095</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6282</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6283</v>
      </c>
      <c r="X908" s="24" t="str">
        <f t="shared" si="520"/>
        <v>ident.120</v>
      </c>
      <c r="Y908" s="24" t="str">
        <f t="shared" si="519"/>
        <v>Ação identificar</v>
      </c>
      <c r="Z908" s="47" t="s">
        <v>4096</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6284</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6285</v>
      </c>
      <c r="X910" s="24" t="str">
        <f t="shared" si="520"/>
        <v>ident.122</v>
      </c>
      <c r="Y910" s="24" t="str">
        <f t="shared" si="519"/>
        <v>Ação identificar</v>
      </c>
      <c r="Z910" s="47" t="s">
        <v>4097</v>
      </c>
      <c r="AA910" s="25" t="str">
        <f t="shared" si="511"/>
        <v>null</v>
      </c>
      <c r="AB910" s="26" t="s">
        <v>0</v>
      </c>
      <c r="AC910" s="25" t="str">
        <f t="shared" si="512"/>
        <v>null</v>
      </c>
      <c r="AD910" s="26" t="s">
        <v>0</v>
      </c>
      <c r="AE910" s="25" t="str">
        <f t="shared" si="513"/>
        <v>null</v>
      </c>
      <c r="AF910" s="26" t="s">
        <v>0</v>
      </c>
      <c r="AG910" s="47" t="s">
        <v>4514</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4511</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6286</v>
      </c>
      <c r="X911" s="24" t="str">
        <f t="shared" si="520"/>
        <v>ident.123</v>
      </c>
      <c r="Y911" s="24" t="str">
        <f t="shared" si="519"/>
        <v>Ação identificar</v>
      </c>
      <c r="Z911" s="47" t="s">
        <v>4512</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4513</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6287</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6287</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6288</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6289</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4075</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6290</v>
      </c>
      <c r="X916" s="24" t="str">
        <f t="shared" si="520"/>
        <v>ident.128</v>
      </c>
      <c r="Y916" s="24" t="str">
        <f t="shared" si="519"/>
        <v>Ação identificar</v>
      </c>
      <c r="Z916" s="47" t="s">
        <v>4098</v>
      </c>
      <c r="AA916" s="25" t="str">
        <f t="shared" si="511"/>
        <v>null</v>
      </c>
      <c r="AB916" s="26" t="s">
        <v>0</v>
      </c>
      <c r="AC916" s="25" t="str">
        <f t="shared" si="512"/>
        <v>null</v>
      </c>
      <c r="AD916" s="26" t="s">
        <v>0</v>
      </c>
      <c r="AE916" s="25" t="str">
        <f t="shared" si="513"/>
        <v>null</v>
      </c>
      <c r="AF916" s="26" t="s">
        <v>0</v>
      </c>
      <c r="AG916" s="47" t="s">
        <v>4176</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6291</v>
      </c>
      <c r="X917" s="24" t="str">
        <f t="shared" si="520"/>
        <v>ident.129</v>
      </c>
      <c r="Y917" s="24" t="str">
        <f t="shared" si="519"/>
        <v>Ação identificar</v>
      </c>
      <c r="Z917" s="47" t="s">
        <v>4099</v>
      </c>
      <c r="AA917" s="25" t="str">
        <f t="shared" si="511"/>
        <v>null</v>
      </c>
      <c r="AB917" s="26" t="s">
        <v>0</v>
      </c>
      <c r="AC917" s="25" t="str">
        <f t="shared" si="512"/>
        <v>null</v>
      </c>
      <c r="AD917" s="26" t="s">
        <v>0</v>
      </c>
      <c r="AE917" s="25" t="str">
        <f t="shared" si="513"/>
        <v>null</v>
      </c>
      <c r="AF917" s="26" t="s">
        <v>0</v>
      </c>
      <c r="AG917" s="47" t="s">
        <v>4177</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6292</v>
      </c>
      <c r="X918" s="24" t="str">
        <f t="shared" si="520"/>
        <v>ident.130</v>
      </c>
      <c r="Y918" s="24" t="str">
        <f t="shared" si="519"/>
        <v>Ação identificar</v>
      </c>
      <c r="Z918" s="47" t="s">
        <v>4100</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6293</v>
      </c>
      <c r="X919" s="24" t="str">
        <f t="shared" si="520"/>
        <v>ident.131</v>
      </c>
      <c r="Y919" s="24" t="str">
        <f t="shared" si="519"/>
        <v>Ação identificar</v>
      </c>
      <c r="Z919" s="47" t="s">
        <v>4101</v>
      </c>
      <c r="AA919" s="25" t="str">
        <f t="shared" si="511"/>
        <v>null</v>
      </c>
      <c r="AB919" s="26" t="s">
        <v>0</v>
      </c>
      <c r="AC919" s="25" t="str">
        <f t="shared" si="512"/>
        <v>null</v>
      </c>
      <c r="AD919" s="26" t="s">
        <v>0</v>
      </c>
      <c r="AE919" s="25" t="str">
        <f t="shared" si="513"/>
        <v>null</v>
      </c>
      <c r="AF919" s="26" t="s">
        <v>0</v>
      </c>
      <c r="AG919" s="47" t="s">
        <v>4178</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6294</v>
      </c>
      <c r="X920" s="24" t="str">
        <f t="shared" si="520"/>
        <v>ident.132</v>
      </c>
      <c r="Y920" s="24" t="str">
        <f t="shared" si="519"/>
        <v>Ação identificar</v>
      </c>
      <c r="Z920" s="47" t="s">
        <v>4102</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6295</v>
      </c>
      <c r="X921" s="24" t="str">
        <f t="shared" si="520"/>
        <v>ident.133</v>
      </c>
      <c r="Y921" s="24" t="str">
        <f t="shared" si="519"/>
        <v>Ação identificar</v>
      </c>
      <c r="Z921" s="47" t="s">
        <v>4103</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4594</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6296</v>
      </c>
      <c r="X922" s="24" t="str">
        <f t="shared" si="520"/>
        <v>ident.134</v>
      </c>
      <c r="Y922" s="24" t="str">
        <f t="shared" si="519"/>
        <v>Ação identificar</v>
      </c>
      <c r="Z922" s="47" t="s">
        <v>4595</v>
      </c>
      <c r="AA922" s="25" t="str">
        <f t="shared" si="511"/>
        <v>null</v>
      </c>
      <c r="AB922" s="26" t="s">
        <v>0</v>
      </c>
      <c r="AC922" s="25" t="str">
        <f t="shared" si="512"/>
        <v>null</v>
      </c>
      <c r="AD922" s="26" t="s">
        <v>0</v>
      </c>
      <c r="AE922" s="25" t="str">
        <f t="shared" si="513"/>
        <v>null</v>
      </c>
      <c r="AF922" s="26" t="s">
        <v>0</v>
      </c>
      <c r="AG922" s="47" t="s">
        <v>4596</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6297</v>
      </c>
      <c r="X923" s="24" t="str">
        <f t="shared" si="520"/>
        <v>ident.135</v>
      </c>
      <c r="Y923" s="24" t="str">
        <f t="shared" si="519"/>
        <v>Ação identificar</v>
      </c>
      <c r="Z923" s="47" t="s">
        <v>4104</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7529</v>
      </c>
      <c r="H924" s="41" t="s">
        <v>2321</v>
      </c>
      <c r="I924" s="16" t="str">
        <f t="shared" si="518"/>
        <v>null</v>
      </c>
      <c r="J924" s="13" t="s">
        <v>0</v>
      </c>
      <c r="K924" s="13" t="s">
        <v>0</v>
      </c>
      <c r="L924" s="13" t="s">
        <v>0</v>
      </c>
      <c r="M924" s="13" t="s">
        <v>0</v>
      </c>
      <c r="N924" s="15" t="s">
        <v>0</v>
      </c>
      <c r="O924" s="13" t="s">
        <v>0</v>
      </c>
      <c r="P924" s="13" t="s">
        <v>0</v>
      </c>
      <c r="Q924" s="13" t="s">
        <v>0</v>
      </c>
      <c r="R924" s="15" t="s">
        <v>4074</v>
      </c>
      <c r="S924" s="10" t="s">
        <v>1</v>
      </c>
      <c r="T924" s="10" t="s">
        <v>32</v>
      </c>
      <c r="U924" s="5" t="str">
        <f t="shared" si="509"/>
        <v>Propriedade destinada a identificar: é.pseudônimo</v>
      </c>
      <c r="V924" s="5" t="str">
        <f t="shared" si="510"/>
        <v>Dado para identificar:  pseudônimo  Deve ser formatado como (rdfs:Literal  or  xsd:string)</v>
      </c>
      <c r="W924" s="5" t="s">
        <v>7528</v>
      </c>
      <c r="X924" s="24" t="str">
        <f t="shared" si="520"/>
        <v>ident.136</v>
      </c>
      <c r="Y924" s="24" t="str">
        <f t="shared" si="519"/>
        <v>Ação identificar</v>
      </c>
      <c r="Z924" s="47" t="s">
        <v>4085</v>
      </c>
      <c r="AA924" s="25" t="str">
        <f t="shared" si="511"/>
        <v>null</v>
      </c>
      <c r="AB924" s="26" t="s">
        <v>0</v>
      </c>
      <c r="AC924" s="25" t="str">
        <f t="shared" si="512"/>
        <v>null</v>
      </c>
      <c r="AD924" s="26" t="s">
        <v>0</v>
      </c>
      <c r="AE924" s="25" t="str">
        <f t="shared" si="513"/>
        <v>null</v>
      </c>
      <c r="AF924" s="26" t="s">
        <v>0</v>
      </c>
      <c r="AG924" s="47" t="s">
        <v>4170</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6298</v>
      </c>
      <c r="X925" s="24" t="str">
        <f t="shared" si="520"/>
        <v>ident.137</v>
      </c>
      <c r="Y925" s="24" t="str">
        <f t="shared" si="519"/>
        <v>Ação identificar</v>
      </c>
      <c r="Z925" s="47" t="s">
        <v>4105</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6299</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6300</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4515</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6301</v>
      </c>
      <c r="X928" s="24" t="str">
        <f t="shared" si="520"/>
        <v>ident.140</v>
      </c>
      <c r="Y928" s="24" t="str">
        <f t="shared" si="519"/>
        <v>Ação identificar</v>
      </c>
      <c r="Z928" s="47" t="s">
        <v>4106</v>
      </c>
      <c r="AA928" s="25" t="str">
        <f t="shared" si="511"/>
        <v>null</v>
      </c>
      <c r="AB928" s="26" t="s">
        <v>0</v>
      </c>
      <c r="AC928" s="25" t="str">
        <f t="shared" si="512"/>
        <v>null</v>
      </c>
      <c r="AD928" s="26" t="s">
        <v>0</v>
      </c>
      <c r="AE928" s="25" t="str">
        <f t="shared" si="513"/>
        <v>null</v>
      </c>
      <c r="AF928" s="26" t="s">
        <v>0</v>
      </c>
      <c r="AG928" s="47" t="s">
        <v>4516</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6302</v>
      </c>
      <c r="X929" s="24" t="str">
        <f t="shared" si="520"/>
        <v>ident.141</v>
      </c>
      <c r="Y929" s="24" t="str">
        <f t="shared" si="519"/>
        <v>Ação identificar</v>
      </c>
      <c r="Z929" s="47" t="s">
        <v>4107</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6273</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6303</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6304</v>
      </c>
      <c r="X932" s="24" t="str">
        <f t="shared" si="520"/>
        <v>ident.144</v>
      </c>
      <c r="Y932" s="24" t="str">
        <f t="shared" si="519"/>
        <v>Ação identificar</v>
      </c>
      <c r="Z932" s="47" t="s">
        <v>4108</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6305</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4845</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6306</v>
      </c>
      <c r="X934" s="24" t="str">
        <f t="shared" si="520"/>
        <v>ilumi.100</v>
      </c>
      <c r="Y934" s="24" t="str">
        <f t="shared" si="519"/>
        <v>Ação iluminar</v>
      </c>
      <c r="Z934" s="47" t="s">
        <v>4401</v>
      </c>
      <c r="AA934" s="25" t="str">
        <f t="shared" si="511"/>
        <v>categoria.revit</v>
      </c>
      <c r="AB934" s="26" t="s">
        <v>3938</v>
      </c>
      <c r="AC934" s="25" t="str">
        <f t="shared" si="512"/>
        <v>classe.ifc</v>
      </c>
      <c r="AD934" s="26" t="s">
        <v>3901</v>
      </c>
      <c r="AE934" s="25" t="str">
        <f t="shared" si="513"/>
        <v>propiedade</v>
      </c>
      <c r="AF934" s="26" t="s">
        <v>2601</v>
      </c>
      <c r="AG934" s="47" t="s">
        <v>4462</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4846</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6307</v>
      </c>
      <c r="X935" s="24" t="str">
        <f t="shared" si="520"/>
        <v>ilumi.101</v>
      </c>
      <c r="Y935" s="24" t="str">
        <f t="shared" si="519"/>
        <v>Ação iluminar</v>
      </c>
      <c r="Z935" s="47" t="s">
        <v>4402</v>
      </c>
      <c r="AA935" s="25" t="str">
        <f t="shared" si="511"/>
        <v>categoria.revit</v>
      </c>
      <c r="AB935" s="26" t="s">
        <v>3938</v>
      </c>
      <c r="AC935" s="25" t="str">
        <f t="shared" si="512"/>
        <v>classe.ifc</v>
      </c>
      <c r="AD935" s="26" t="s">
        <v>3901</v>
      </c>
      <c r="AE935" s="25" t="str">
        <f t="shared" si="513"/>
        <v>propiedade</v>
      </c>
      <c r="AF935" s="26" t="s">
        <v>2601</v>
      </c>
      <c r="AG935" s="47" t="s">
        <v>4463</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6308</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6309</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6310</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6311</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6312</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6313</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6314</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6315</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5276</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6316</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6317</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6318</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4828</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6319</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6320</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4875</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6321</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6322</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6323</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7530</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6324</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6325</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6326</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6327</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6328</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6329</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6330</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6331</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6332</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6333</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6334</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6335</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6336</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6337</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6338</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4876</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6339</v>
      </c>
      <c r="X967" s="24" t="str">
        <f t="shared" si="548"/>
        <v>impla.100</v>
      </c>
      <c r="Y967" s="24" t="str">
        <f t="shared" si="547"/>
        <v>Ação implantar</v>
      </c>
      <c r="Z967" s="47" t="s">
        <v>4403</v>
      </c>
      <c r="AA967" s="25" t="str">
        <f t="shared" si="542"/>
        <v>categoria.revit</v>
      </c>
      <c r="AB967" s="26" t="s">
        <v>3949</v>
      </c>
      <c r="AC967" s="25" t="str">
        <f t="shared" si="543"/>
        <v>classe.ifc</v>
      </c>
      <c r="AD967" s="26" t="s">
        <v>3889</v>
      </c>
      <c r="AE967" s="25" t="str">
        <f t="shared" si="544"/>
        <v>null</v>
      </c>
      <c r="AF967" s="26" t="s">
        <v>0</v>
      </c>
      <c r="AG967" s="47" t="s">
        <v>4464</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7531</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7532</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6340</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6341</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5185</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6342</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5185</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6343</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5252</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6344</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5186</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6345</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5187</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6346</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5188</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6347</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6348</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5189</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6349</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6350</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5190</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6351</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6352</v>
      </c>
      <c r="X981" s="24" t="str">
        <f t="shared" si="548"/>
        <v>infor.103</v>
      </c>
      <c r="Y981" s="24" t="str">
        <f t="shared" si="547"/>
        <v>Ação informar</v>
      </c>
      <c r="Z981" s="47" t="s">
        <v>4987</v>
      </c>
      <c r="AA981" s="25" t="str">
        <f t="shared" si="542"/>
        <v>null</v>
      </c>
      <c r="AB981" s="26" t="s">
        <v>0</v>
      </c>
      <c r="AC981" s="25" t="str">
        <f t="shared" si="543"/>
        <v>null</v>
      </c>
      <c r="AD981" s="26" t="s">
        <v>0</v>
      </c>
      <c r="AE981" s="25" t="str">
        <f t="shared" si="544"/>
        <v>null</v>
      </c>
      <c r="AF981" s="26" t="s">
        <v>0</v>
      </c>
      <c r="AG981" s="47" t="s">
        <v>5290</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6353</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6354</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6355</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6356</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6357</v>
      </c>
      <c r="X986" s="24" t="str">
        <f t="shared" si="548"/>
        <v>insta.101</v>
      </c>
      <c r="Y986" s="24" t="str">
        <f t="shared" si="547"/>
        <v>Ação instalar</v>
      </c>
      <c r="Z986" s="47" t="s">
        <v>4988</v>
      </c>
      <c r="AA986" s="25" t="str">
        <f t="shared" si="557"/>
        <v>null</v>
      </c>
      <c r="AB986" s="26" t="s">
        <v>0</v>
      </c>
      <c r="AC986" s="25" t="str">
        <f t="shared" si="558"/>
        <v>null</v>
      </c>
      <c r="AD986" s="26" t="s">
        <v>0</v>
      </c>
      <c r="AE986" s="25" t="str">
        <f t="shared" si="559"/>
        <v>null</v>
      </c>
      <c r="AF986" s="26" t="s">
        <v>0</v>
      </c>
      <c r="AG986" s="47" t="s">
        <v>4969</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6358</v>
      </c>
      <c r="X987" s="24" t="str">
        <f t="shared" si="548"/>
        <v>insta.102</v>
      </c>
      <c r="Y987" s="24" t="str">
        <f t="shared" si="547"/>
        <v>Ação instalar</v>
      </c>
      <c r="Z987" s="47" t="s">
        <v>4989</v>
      </c>
      <c r="AA987" s="25" t="str">
        <f t="shared" si="557"/>
        <v>null</v>
      </c>
      <c r="AB987" s="26" t="s">
        <v>0</v>
      </c>
      <c r="AC987" s="25" t="str">
        <f t="shared" si="558"/>
        <v>null</v>
      </c>
      <c r="AD987" s="26" t="s">
        <v>0</v>
      </c>
      <c r="AE987" s="25" t="str">
        <f t="shared" si="559"/>
        <v>null</v>
      </c>
      <c r="AF987" s="26" t="s">
        <v>0</v>
      </c>
      <c r="AG987" s="47" t="s">
        <v>4970</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6359</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6360</v>
      </c>
      <c r="X989" s="24" t="str">
        <f t="shared" si="548"/>
        <v>insta.104</v>
      </c>
      <c r="Y989" s="24" t="str">
        <f t="shared" si="547"/>
        <v>Ação instalar</v>
      </c>
      <c r="Z989" s="47" t="s">
        <v>4990</v>
      </c>
      <c r="AA989" s="25" t="str">
        <f t="shared" si="557"/>
        <v>null</v>
      </c>
      <c r="AB989" s="26" t="s">
        <v>0</v>
      </c>
      <c r="AC989" s="25" t="str">
        <f t="shared" si="558"/>
        <v>null</v>
      </c>
      <c r="AD989" s="26" t="s">
        <v>0</v>
      </c>
      <c r="AE989" s="25" t="str">
        <f t="shared" si="559"/>
        <v>null</v>
      </c>
      <c r="AF989" s="26" t="s">
        <v>0</v>
      </c>
      <c r="AG989" s="47" t="s">
        <v>4971</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6361</v>
      </c>
      <c r="X990" s="24" t="str">
        <f t="shared" si="548"/>
        <v>insta.105</v>
      </c>
      <c r="Y990" s="24" t="str">
        <f t="shared" si="547"/>
        <v>Ação instalar</v>
      </c>
      <c r="Z990" s="47" t="s">
        <v>4992</v>
      </c>
      <c r="AA990" s="25" t="str">
        <f t="shared" si="557"/>
        <v>null</v>
      </c>
      <c r="AB990" s="26" t="s">
        <v>0</v>
      </c>
      <c r="AC990" s="25" t="str">
        <f t="shared" si="558"/>
        <v>null</v>
      </c>
      <c r="AD990" s="26" t="s">
        <v>0</v>
      </c>
      <c r="AE990" s="25" t="str">
        <f t="shared" si="559"/>
        <v>null</v>
      </c>
      <c r="AF990" s="26" t="s">
        <v>0</v>
      </c>
      <c r="AG990" s="47" t="s">
        <v>4972</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6362</v>
      </c>
      <c r="X991" s="24" t="str">
        <f t="shared" si="548"/>
        <v>insta.106</v>
      </c>
      <c r="Y991" s="24" t="str">
        <f t="shared" si="547"/>
        <v>Ação instalar</v>
      </c>
      <c r="Z991" s="47" t="s">
        <v>4991</v>
      </c>
      <c r="AA991" s="25" t="str">
        <f t="shared" si="557"/>
        <v>null</v>
      </c>
      <c r="AB991" s="26" t="s">
        <v>0</v>
      </c>
      <c r="AC991" s="25" t="str">
        <f t="shared" si="558"/>
        <v>null</v>
      </c>
      <c r="AD991" s="26" t="s">
        <v>0</v>
      </c>
      <c r="AE991" s="25" t="str">
        <f t="shared" si="559"/>
        <v>null</v>
      </c>
      <c r="AF991" s="26" t="s">
        <v>0</v>
      </c>
      <c r="AG991" s="47" t="s">
        <v>4973</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6363</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6364</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4984</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4986</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6365</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4985</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4952</v>
      </c>
      <c r="H995" s="42" t="s">
        <v>37</v>
      </c>
      <c r="I995" s="16" t="str">
        <f t="shared" si="554"/>
        <v>null</v>
      </c>
      <c r="J995" s="15" t="s">
        <v>0</v>
      </c>
      <c r="K995" s="15" t="s">
        <v>0</v>
      </c>
      <c r="L995" s="15" t="s">
        <v>0</v>
      </c>
      <c r="M995" s="15" t="s">
        <v>0</v>
      </c>
      <c r="N995" s="15" t="s">
        <v>0</v>
      </c>
      <c r="O995" s="15" t="s">
        <v>0</v>
      </c>
      <c r="P995" s="15" t="s">
        <v>0</v>
      </c>
      <c r="Q995" s="15" t="s">
        <v>0</v>
      </c>
      <c r="R995" s="15" t="s">
        <v>4962</v>
      </c>
      <c r="S995" s="10" t="s">
        <v>1</v>
      </c>
      <c r="T995" s="10" t="s">
        <v>32</v>
      </c>
      <c r="U995" s="5" t="str">
        <f t="shared" si="555"/>
        <v>Propriedade destinada a instalar: é.instalação.essencial</v>
      </c>
      <c r="V995" s="5" t="str">
        <f t="shared" si="556"/>
        <v>Dado para instalar:  instalação.essencial  Deve ser formatado como (xsd:boolean)</v>
      </c>
      <c r="W995" s="5" t="s">
        <v>6366</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4965</v>
      </c>
      <c r="H996" s="42" t="s">
        <v>37</v>
      </c>
      <c r="I996" s="16" t="str">
        <f t="shared" si="554"/>
        <v>null</v>
      </c>
      <c r="J996" s="15" t="s">
        <v>0</v>
      </c>
      <c r="K996" s="15" t="s">
        <v>0</v>
      </c>
      <c r="L996" s="15" t="s">
        <v>0</v>
      </c>
      <c r="M996" s="15" t="s">
        <v>0</v>
      </c>
      <c r="N996" s="15" t="s">
        <v>0</v>
      </c>
      <c r="O996" s="15" t="s">
        <v>0</v>
      </c>
      <c r="P996" s="15" t="s">
        <v>0</v>
      </c>
      <c r="Q996" s="15" t="s">
        <v>4963</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6367</v>
      </c>
      <c r="X996" s="24" t="str">
        <f t="shared" si="548"/>
        <v>insta.111</v>
      </c>
      <c r="Y996" s="24" t="str">
        <f t="shared" si="547"/>
        <v>Ação instalar</v>
      </c>
      <c r="Z996" s="47" t="s">
        <v>4993</v>
      </c>
      <c r="AA996" s="25" t="str">
        <f t="shared" si="557"/>
        <v>null</v>
      </c>
      <c r="AB996" s="26" t="s">
        <v>0</v>
      </c>
      <c r="AC996" s="25" t="str">
        <f t="shared" si="558"/>
        <v>null</v>
      </c>
      <c r="AD996" s="26" t="s">
        <v>0</v>
      </c>
      <c r="AE996" s="25" t="str">
        <f t="shared" si="559"/>
        <v>null</v>
      </c>
      <c r="AF996" s="26" t="s">
        <v>0</v>
      </c>
      <c r="AG996" s="47" t="s">
        <v>4974</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4967</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6368</v>
      </c>
      <c r="X997" s="24" t="str">
        <f t="shared" si="548"/>
        <v>insta.112</v>
      </c>
      <c r="Y997" s="24" t="str">
        <f t="shared" si="547"/>
        <v>Ação instalar</v>
      </c>
      <c r="Z997" s="47" t="s">
        <v>4994</v>
      </c>
      <c r="AA997" s="25" t="str">
        <f t="shared" si="557"/>
        <v>null</v>
      </c>
      <c r="AB997" s="26" t="s">
        <v>0</v>
      </c>
      <c r="AC997" s="25" t="str">
        <f t="shared" si="558"/>
        <v>null</v>
      </c>
      <c r="AD997" s="26" t="s">
        <v>0</v>
      </c>
      <c r="AE997" s="25" t="str">
        <f t="shared" si="559"/>
        <v>null</v>
      </c>
      <c r="AF997" s="26" t="s">
        <v>0</v>
      </c>
      <c r="AG997" s="47" t="s">
        <v>4975</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4966</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6369</v>
      </c>
      <c r="X998" s="24" t="str">
        <f t="shared" si="548"/>
        <v>insta.113</v>
      </c>
      <c r="Y998" s="24" t="str">
        <f t="shared" si="547"/>
        <v>Ação instalar</v>
      </c>
      <c r="Z998" s="47" t="s">
        <v>4995</v>
      </c>
      <c r="AA998" s="25" t="str">
        <f t="shared" si="557"/>
        <v>null</v>
      </c>
      <c r="AB998" s="26" t="s">
        <v>0</v>
      </c>
      <c r="AC998" s="25" t="str">
        <f t="shared" si="558"/>
        <v>null</v>
      </c>
      <c r="AD998" s="26" t="s">
        <v>0</v>
      </c>
      <c r="AE998" s="25" t="str">
        <f t="shared" si="559"/>
        <v>null</v>
      </c>
      <c r="AF998" s="26" t="s">
        <v>0</v>
      </c>
      <c r="AG998" s="47" t="s">
        <v>4976</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4951</v>
      </c>
      <c r="H999" s="42" t="s">
        <v>37</v>
      </c>
      <c r="I999" s="16" t="str">
        <f t="shared" si="554"/>
        <v>null</v>
      </c>
      <c r="J999" s="15" t="s">
        <v>0</v>
      </c>
      <c r="K999" s="15" t="s">
        <v>0</v>
      </c>
      <c r="L999" s="15" t="s">
        <v>0</v>
      </c>
      <c r="M999" s="15" t="s">
        <v>0</v>
      </c>
      <c r="N999" s="15" t="s">
        <v>0</v>
      </c>
      <c r="O999" s="15" t="s">
        <v>0</v>
      </c>
      <c r="P999" s="15" t="s">
        <v>0</v>
      </c>
      <c r="Q999" s="15" t="s">
        <v>0</v>
      </c>
      <c r="R999" s="15" t="s">
        <v>4961</v>
      </c>
      <c r="S999" s="10" t="s">
        <v>1</v>
      </c>
      <c r="T999" s="10" t="s">
        <v>32</v>
      </c>
      <c r="U999" s="5" t="str">
        <f t="shared" si="555"/>
        <v>Propriedade destinada a instalar: é.instalação.obrigatória</v>
      </c>
      <c r="V999" s="5" t="str">
        <f t="shared" si="556"/>
        <v>Dado para instalar:  instalação.obrigatória  Deve ser formatado como (xsd:boolean)</v>
      </c>
      <c r="W999" s="5" t="s">
        <v>6370</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4957</v>
      </c>
      <c r="H1000" s="42" t="s">
        <v>37</v>
      </c>
      <c r="I1000" s="16" t="str">
        <f t="shared" si="554"/>
        <v>null</v>
      </c>
      <c r="J1000" s="15" t="s">
        <v>0</v>
      </c>
      <c r="K1000" s="15" t="s">
        <v>0</v>
      </c>
      <c r="L1000" s="15" t="s">
        <v>0</v>
      </c>
      <c r="M1000" s="15" t="s">
        <v>0</v>
      </c>
      <c r="N1000" s="15" t="s">
        <v>0</v>
      </c>
      <c r="O1000" s="15" t="s">
        <v>0</v>
      </c>
      <c r="P1000" s="15" t="s">
        <v>0</v>
      </c>
      <c r="Q1000" s="15" t="s">
        <v>0</v>
      </c>
      <c r="R1000" s="15" t="s">
        <v>4960</v>
      </c>
      <c r="S1000" s="10" t="s">
        <v>1</v>
      </c>
      <c r="T1000" s="10" t="s">
        <v>32</v>
      </c>
      <c r="U1000" s="5" t="str">
        <f t="shared" si="555"/>
        <v>Propriedade destinada a instalar: é.instalação.oculta</v>
      </c>
      <c r="V1000" s="5" t="str">
        <f t="shared" si="556"/>
        <v>Dado para instalar:  instalação.oculta  Deve ser formatado como (xsd:boolean)</v>
      </c>
      <c r="W1000" s="5" t="s">
        <v>6371</v>
      </c>
      <c r="X1000" s="24" t="str">
        <f t="shared" si="548"/>
        <v>insta.115</v>
      </c>
      <c r="Y1000" s="24" t="str">
        <f t="shared" si="547"/>
        <v>Ação instalar</v>
      </c>
      <c r="Z1000" s="47" t="s">
        <v>4996</v>
      </c>
      <c r="AA1000" s="25" t="str">
        <f t="shared" si="557"/>
        <v>null</v>
      </c>
      <c r="AB1000" s="26" t="s">
        <v>0</v>
      </c>
      <c r="AC1000" s="25" t="str">
        <f t="shared" si="558"/>
        <v>null</v>
      </c>
      <c r="AD1000" s="26" t="s">
        <v>0</v>
      </c>
      <c r="AE1000" s="25" t="str">
        <f t="shared" si="559"/>
        <v>null</v>
      </c>
      <c r="AF1000" s="26" t="s">
        <v>0</v>
      </c>
      <c r="AG1000" s="47" t="s">
        <v>4977</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4958</v>
      </c>
      <c r="H1001" s="42" t="s">
        <v>37</v>
      </c>
      <c r="I1001" s="16" t="str">
        <f t="shared" si="554"/>
        <v>null</v>
      </c>
      <c r="J1001" s="15" t="s">
        <v>0</v>
      </c>
      <c r="K1001" s="15" t="s">
        <v>0</v>
      </c>
      <c r="L1001" s="15" t="s">
        <v>0</v>
      </c>
      <c r="M1001" s="15" t="s">
        <v>0</v>
      </c>
      <c r="N1001" s="15" t="s">
        <v>0</v>
      </c>
      <c r="O1001" s="15" t="s">
        <v>0</v>
      </c>
      <c r="P1001" s="15" t="s">
        <v>0</v>
      </c>
      <c r="Q1001" s="15" t="s">
        <v>0</v>
      </c>
      <c r="R1001" s="15" t="s">
        <v>4959</v>
      </c>
      <c r="S1001" s="10" t="s">
        <v>1</v>
      </c>
      <c r="T1001" s="10" t="s">
        <v>32</v>
      </c>
      <c r="U1001" s="5" t="str">
        <f t="shared" si="555"/>
        <v>Propriedade destinada a instalar: é.instalação.oculto</v>
      </c>
      <c r="V1001" s="5" t="str">
        <f t="shared" si="556"/>
        <v>Dado para instalar:  instalação.oculto  Deve ser formatado como (xsd:boolean)</v>
      </c>
      <c r="W1001" s="5" t="s">
        <v>6372</v>
      </c>
      <c r="X1001" s="24" t="str">
        <f t="shared" si="548"/>
        <v>insta.116</v>
      </c>
      <c r="Y1001" s="24" t="str">
        <f t="shared" si="547"/>
        <v>Ação instalar</v>
      </c>
      <c r="Z1001" s="47" t="s">
        <v>4997</v>
      </c>
      <c r="AA1001" s="25" t="str">
        <f t="shared" si="557"/>
        <v>null</v>
      </c>
      <c r="AB1001" s="26" t="s">
        <v>0</v>
      </c>
      <c r="AC1001" s="25" t="str">
        <f t="shared" si="558"/>
        <v>null</v>
      </c>
      <c r="AD1001" s="26" t="s">
        <v>0</v>
      </c>
      <c r="AE1001" s="25" t="str">
        <f t="shared" si="559"/>
        <v>null</v>
      </c>
      <c r="AF1001" s="26" t="s">
        <v>0</v>
      </c>
      <c r="AG1001" s="47" t="s">
        <v>4977</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4954</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6373</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4968</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6374</v>
      </c>
      <c r="X1003" s="24" t="str">
        <f t="shared" si="548"/>
        <v>insta.118</v>
      </c>
      <c r="Y1003" s="24" t="str">
        <f t="shared" si="547"/>
        <v>Ação instalar</v>
      </c>
      <c r="Z1003" s="47" t="s">
        <v>4998</v>
      </c>
      <c r="AA1003" s="25" t="str">
        <f t="shared" si="557"/>
        <v>null</v>
      </c>
      <c r="AB1003" s="26" t="s">
        <v>0</v>
      </c>
      <c r="AC1003" s="25" t="str">
        <f t="shared" si="558"/>
        <v>null</v>
      </c>
      <c r="AD1003" s="26" t="s">
        <v>0</v>
      </c>
      <c r="AE1003" s="25" t="str">
        <f t="shared" si="559"/>
        <v>null</v>
      </c>
      <c r="AF1003" s="26" t="s">
        <v>0</v>
      </c>
      <c r="AG1003" s="47" t="s">
        <v>4978</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4956</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6375</v>
      </c>
      <c r="X1004" s="24" t="str">
        <f t="shared" si="548"/>
        <v>insta.119</v>
      </c>
      <c r="Y1004" s="24" t="str">
        <f t="shared" si="547"/>
        <v>Ação instalar</v>
      </c>
      <c r="Z1004" s="47" t="s">
        <v>4999</v>
      </c>
      <c r="AA1004" s="25" t="str">
        <f t="shared" si="557"/>
        <v>null</v>
      </c>
      <c r="AB1004" s="26" t="s">
        <v>0</v>
      </c>
      <c r="AC1004" s="25" t="str">
        <f t="shared" si="558"/>
        <v>null</v>
      </c>
      <c r="AD1004" s="26" t="s">
        <v>0</v>
      </c>
      <c r="AE1004" s="25" t="str">
        <f t="shared" si="559"/>
        <v>null</v>
      </c>
      <c r="AF1004" s="26" t="s">
        <v>0</v>
      </c>
      <c r="AG1004" s="47" t="s">
        <v>4979</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4953</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6376</v>
      </c>
      <c r="X1005" s="24" t="str">
        <f t="shared" si="548"/>
        <v>insta.120</v>
      </c>
      <c r="Y1005" s="24" t="str">
        <f t="shared" si="547"/>
        <v>Ação instalar</v>
      </c>
      <c r="Z1005" s="47" t="s">
        <v>5000</v>
      </c>
      <c r="AA1005" s="25" t="str">
        <f t="shared" si="557"/>
        <v>null</v>
      </c>
      <c r="AB1005" s="26" t="s">
        <v>0</v>
      </c>
      <c r="AC1005" s="25" t="str">
        <f t="shared" si="558"/>
        <v>null</v>
      </c>
      <c r="AD1005" s="26" t="s">
        <v>0</v>
      </c>
      <c r="AE1005" s="25" t="str">
        <f t="shared" si="559"/>
        <v>null</v>
      </c>
      <c r="AF1005" s="26" t="s">
        <v>0</v>
      </c>
      <c r="AG1005" s="47" t="s">
        <v>4980</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4955</v>
      </c>
      <c r="H1006" s="42" t="s">
        <v>37</v>
      </c>
      <c r="I1006" s="16" t="str">
        <f t="shared" si="554"/>
        <v>null</v>
      </c>
      <c r="J1006" s="15" t="s">
        <v>0</v>
      </c>
      <c r="K1006" s="15" t="s">
        <v>0</v>
      </c>
      <c r="L1006" s="15" t="s">
        <v>0</v>
      </c>
      <c r="M1006" s="15" t="s">
        <v>0</v>
      </c>
      <c r="N1006" s="15" t="s">
        <v>0</v>
      </c>
      <c r="O1006" s="15" t="s">
        <v>0</v>
      </c>
      <c r="P1006" s="15" t="s">
        <v>0</v>
      </c>
      <c r="Q1006" s="15" t="s">
        <v>4964</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6377</v>
      </c>
      <c r="X1006" s="24" t="str">
        <f t="shared" si="548"/>
        <v>insta.121</v>
      </c>
      <c r="Y1006" s="24" t="str">
        <f t="shared" si="547"/>
        <v>Ação instalar</v>
      </c>
      <c r="Z1006" s="47" t="s">
        <v>5001</v>
      </c>
      <c r="AA1006" s="25" t="str">
        <f t="shared" si="557"/>
        <v>null</v>
      </c>
      <c r="AB1006" s="26" t="s">
        <v>0</v>
      </c>
      <c r="AC1006" s="25" t="str">
        <f t="shared" si="558"/>
        <v>null</v>
      </c>
      <c r="AD1006" s="26" t="s">
        <v>0</v>
      </c>
      <c r="AE1006" s="25" t="str">
        <f t="shared" si="559"/>
        <v>null</v>
      </c>
      <c r="AF1006" s="26" t="s">
        <v>0</v>
      </c>
      <c r="AG1006" s="47" t="s">
        <v>4981</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6378</v>
      </c>
      <c r="X1007" s="24" t="str">
        <f t="shared" si="548"/>
        <v>insta.122</v>
      </c>
      <c r="Y1007" s="24" t="str">
        <f t="shared" si="547"/>
        <v>Ação instalar</v>
      </c>
      <c r="Z1007" s="47" t="s">
        <v>5002</v>
      </c>
      <c r="AA1007" s="25" t="str">
        <f t="shared" si="557"/>
        <v>null</v>
      </c>
      <c r="AB1007" s="26" t="s">
        <v>0</v>
      </c>
      <c r="AC1007" s="25" t="str">
        <f t="shared" si="558"/>
        <v>null</v>
      </c>
      <c r="AD1007" s="26" t="s">
        <v>0</v>
      </c>
      <c r="AE1007" s="25" t="str">
        <f t="shared" si="559"/>
        <v>null</v>
      </c>
      <c r="AF1007" s="26" t="s">
        <v>0</v>
      </c>
      <c r="AG1007" s="47" t="s">
        <v>4982</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6379</v>
      </c>
      <c r="X1008" s="24" t="str">
        <f t="shared" si="548"/>
        <v>insta.123</v>
      </c>
      <c r="Y1008" s="24" t="str">
        <f t="shared" si="547"/>
        <v>Ação instalar</v>
      </c>
      <c r="Z1008" s="47" t="s">
        <v>5003</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6380</v>
      </c>
      <c r="X1009" s="24" t="str">
        <f t="shared" si="548"/>
        <v>insta.124</v>
      </c>
      <c r="Y1009" s="24" t="str">
        <f t="shared" si="547"/>
        <v>Ação instalar</v>
      </c>
      <c r="Z1009" s="47" t="s">
        <v>5003</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6381</v>
      </c>
      <c r="X1010" s="24" t="str">
        <f t="shared" si="548"/>
        <v>insta.125</v>
      </c>
      <c r="Y1010" s="24" t="str">
        <f t="shared" si="547"/>
        <v>Ação instalar</v>
      </c>
      <c r="Z1010" s="47" t="s">
        <v>5004</v>
      </c>
      <c r="AA1010" s="25" t="str">
        <f t="shared" si="557"/>
        <v>null</v>
      </c>
      <c r="AB1010" s="26" t="s">
        <v>0</v>
      </c>
      <c r="AC1010" s="25" t="str">
        <f t="shared" si="558"/>
        <v>null</v>
      </c>
      <c r="AD1010" s="26" t="s">
        <v>0</v>
      </c>
      <c r="AE1010" s="25" t="str">
        <f t="shared" si="559"/>
        <v>null</v>
      </c>
      <c r="AF1010" s="26" t="s">
        <v>0</v>
      </c>
      <c r="AG1010" s="47" t="s">
        <v>4983</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6382</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4545</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6383</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5335</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4549</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6384</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5336</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4546</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6385</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5337</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6386</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4551</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6387</v>
      </c>
      <c r="X1016" s="24" t="str">
        <f t="shared" si="548"/>
        <v>inter.105</v>
      </c>
      <c r="Y1016" s="24" t="str">
        <f t="shared" si="547"/>
        <v>Ação interoperar</v>
      </c>
      <c r="Z1016" s="47" t="s">
        <v>4555</v>
      </c>
      <c r="AA1016" s="25" t="str">
        <f t="shared" si="564"/>
        <v>categoria.revit</v>
      </c>
      <c r="AB1016" s="26" t="s">
        <v>3936</v>
      </c>
      <c r="AC1016" s="25" t="str">
        <f t="shared" si="565"/>
        <v>classe.ifc</v>
      </c>
      <c r="AD1016" s="26" t="s">
        <v>3886</v>
      </c>
      <c r="AE1016" s="25" t="str">
        <f t="shared" si="566"/>
        <v>null</v>
      </c>
      <c r="AF1016" s="26" t="s">
        <v>0</v>
      </c>
      <c r="AG1016" s="47" t="s">
        <v>4552</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6388</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6389</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4550</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6390</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5338</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4548</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6391</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5339</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6392</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6393</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6394</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6395</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6396</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6397</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6398</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6399</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6400</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6401</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6402</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6403</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6404</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6405</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6406</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4950</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6407</v>
      </c>
      <c r="X1036" s="24" t="str">
        <f t="shared" si="594"/>
        <v>inter.125</v>
      </c>
      <c r="Y1036" s="24" t="str">
        <f t="shared" si="592"/>
        <v>Ação interoperar</v>
      </c>
      <c r="Z1036" s="47" t="s">
        <v>4554</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4553</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6408</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6409</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6410</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4877</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6411</v>
      </c>
      <c r="X1040" s="24" t="str">
        <f t="shared" si="594"/>
        <v>junta.100</v>
      </c>
      <c r="Y1040" s="24" t="str">
        <f t="shared" si="592"/>
        <v>Ação juntar</v>
      </c>
      <c r="Z1040" s="47" t="s">
        <v>4404</v>
      </c>
      <c r="AA1040" s="25" t="str">
        <f t="shared" si="564"/>
        <v>null</v>
      </c>
      <c r="AB1040" s="26" t="s">
        <v>0</v>
      </c>
      <c r="AC1040" s="25" t="str">
        <f t="shared" si="565"/>
        <v>null</v>
      </c>
      <c r="AD1040" s="26" t="s">
        <v>0</v>
      </c>
      <c r="AE1040" s="25" t="str">
        <f t="shared" si="566"/>
        <v>null</v>
      </c>
      <c r="AF1040" s="26" t="s">
        <v>0</v>
      </c>
      <c r="AG1040" s="47" t="s">
        <v>4465</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6412</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6413</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6414</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6415</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6416</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6417</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6418</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6419</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6420</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6421</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6422</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6423</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6424</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6425</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6425</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6426</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6427</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6428</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6429</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6430</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6431</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6432</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6433</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6434</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6435</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6436</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6437</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6438</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6439</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6440</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6441</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6442</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6443</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6444</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6445</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6446</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6447</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6448</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6449</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6450</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6450</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6451</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6452</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6453</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6454</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6455</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6456</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6457</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6458</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6459</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6460</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6461</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6462</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6463</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6464</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6465</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6466</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6467</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6468</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6469</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6470</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6471</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6472</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4830</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6473</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4829</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6474</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4831</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6475</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6476</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6477</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4833</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6478</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6479</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6480</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6481</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6482</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6483</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6484</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6485</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6486</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6487</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6488</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6489</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6490</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6491</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6492</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6493</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6494</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4832</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6495</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6496</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6497</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6498</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6499</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6500</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6501</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6501</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6501</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6502</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6502</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6503</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6504</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6505</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6506</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6507</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6508</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5191</v>
      </c>
    </row>
    <row r="1143" spans="1:33" ht="6" customHeight="1" x14ac:dyDescent="0.4">
      <c r="A1143" s="4">
        <f>ROW()</f>
        <v>1143</v>
      </c>
      <c r="B1143" s="9" t="s">
        <v>27</v>
      </c>
      <c r="C1143" s="54" t="str">
        <f t="shared" si="612"/>
        <v>p.materializar</v>
      </c>
      <c r="D1143" s="6" t="str">
        <f t="shared" si="615"/>
        <v>é.material</v>
      </c>
      <c r="E1143" s="8" t="s">
        <v>28</v>
      </c>
      <c r="F1143" s="51" t="s">
        <v>4030</v>
      </c>
      <c r="G1143" s="17" t="s">
        <v>4878</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6509</v>
      </c>
      <c r="X1143" s="24" t="str">
        <f t="shared" si="613"/>
        <v>mater.100</v>
      </c>
      <c r="Y1143" s="24" t="str">
        <f t="shared" si="611"/>
        <v>Ação materializar</v>
      </c>
      <c r="Z1143" s="47" t="s">
        <v>4405</v>
      </c>
      <c r="AA1143" s="25" t="str">
        <f t="shared" si="618"/>
        <v>null</v>
      </c>
      <c r="AB1143" s="26" t="s">
        <v>0</v>
      </c>
      <c r="AC1143" s="25" t="str">
        <f t="shared" si="619"/>
        <v>null</v>
      </c>
      <c r="AD1143" s="26" t="s">
        <v>0</v>
      </c>
      <c r="AE1143" s="25" t="str">
        <f t="shared" si="622"/>
        <v>null</v>
      </c>
      <c r="AF1143" s="26" t="s">
        <v>0</v>
      </c>
      <c r="AG1143" s="47" t="s">
        <v>4466</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4351</v>
      </c>
      <c r="S1144" s="10" t="s">
        <v>1</v>
      </c>
      <c r="T1144" s="10" t="s">
        <v>32</v>
      </c>
      <c r="U1144" s="5" t="str">
        <f t="shared" si="620"/>
        <v>Propriedade destinada a materializar: é.mapeamento.uv</v>
      </c>
      <c r="V1144" s="5" t="str">
        <f t="shared" si="621"/>
        <v>Dado para materializar:  mapeamento.uv  Deve ser formatado como (rdfs:Literal  or  xsd:string)</v>
      </c>
      <c r="W1144" s="5" t="s">
        <v>6510</v>
      </c>
      <c r="X1144" s="24" t="str">
        <f t="shared" si="613"/>
        <v>mater.101</v>
      </c>
      <c r="Y1144" s="24" t="str">
        <f t="shared" si="611"/>
        <v>Ação materializar</v>
      </c>
      <c r="Z1144" s="47" t="s">
        <v>4522</v>
      </c>
      <c r="AA1144" s="25" t="str">
        <f t="shared" si="618"/>
        <v>null</v>
      </c>
      <c r="AB1144" s="26" t="s">
        <v>0</v>
      </c>
      <c r="AC1144" s="25" t="str">
        <f t="shared" si="619"/>
        <v>null</v>
      </c>
      <c r="AD1144" s="26" t="s">
        <v>0</v>
      </c>
      <c r="AE1144" s="25" t="str">
        <f t="shared" si="622"/>
        <v>null</v>
      </c>
      <c r="AF1144" s="26" t="s">
        <v>0</v>
      </c>
      <c r="AG1144" s="47" t="s">
        <v>4523</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6511</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6512</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4662</v>
      </c>
      <c r="G1147" s="17" t="s">
        <v>4879</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6513</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5340</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4663</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6514</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5341</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4664</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6515</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5342</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4665</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6516</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5343</v>
      </c>
    </row>
    <row r="1151" spans="1:33" ht="6" customHeight="1" x14ac:dyDescent="0.4">
      <c r="A1151" s="4">
        <f>ROW()</f>
        <v>1151</v>
      </c>
      <c r="B1151" s="9" t="s">
        <v>27</v>
      </c>
      <c r="C1151" s="54" t="str">
        <f t="shared" si="612"/>
        <v>p.mobiliar</v>
      </c>
      <c r="D1151" s="6" t="str">
        <f t="shared" si="615"/>
        <v>é.mobiliário</v>
      </c>
      <c r="E1151" s="8" t="s">
        <v>28</v>
      </c>
      <c r="F1151" s="51" t="s">
        <v>4031</v>
      </c>
      <c r="G1151" s="18" t="s">
        <v>4880</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6517</v>
      </c>
      <c r="X1151" s="24" t="str">
        <f t="shared" si="613"/>
        <v>mobil.100</v>
      </c>
      <c r="Y1151" s="24" t="str">
        <f t="shared" si="611"/>
        <v>Ação mobiliar</v>
      </c>
      <c r="Z1151" s="47" t="s">
        <v>4406</v>
      </c>
      <c r="AA1151" s="25" t="str">
        <f t="shared" si="618"/>
        <v>categoria.revit</v>
      </c>
      <c r="AB1151" s="26" t="s">
        <v>3950</v>
      </c>
      <c r="AC1151" s="25" t="str">
        <f t="shared" si="619"/>
        <v>classe.ifc</v>
      </c>
      <c r="AD1151" s="26" t="s">
        <v>3902</v>
      </c>
      <c r="AE1151" s="25" t="str">
        <f t="shared" si="622"/>
        <v>null</v>
      </c>
      <c r="AF1151" s="26" t="s">
        <v>0</v>
      </c>
      <c r="AG1151" s="47" t="s">
        <v>4467</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4881</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6518</v>
      </c>
      <c r="X1152" s="24" t="str">
        <f t="shared" si="613"/>
        <v>mobil.101</v>
      </c>
      <c r="Y1152" s="24" t="str">
        <f t="shared" si="611"/>
        <v>Ação mobiliar</v>
      </c>
      <c r="Z1152" s="47" t="s">
        <v>4407</v>
      </c>
      <c r="AA1152" s="25" t="str">
        <f t="shared" si="618"/>
        <v>categoria.revit</v>
      </c>
      <c r="AB1152" s="26" t="s">
        <v>3950</v>
      </c>
      <c r="AC1152" s="25" t="str">
        <f t="shared" si="619"/>
        <v>classe.ifc</v>
      </c>
      <c r="AD1152" s="26" t="s">
        <v>3902</v>
      </c>
      <c r="AE1152" s="25" t="str">
        <f t="shared" si="622"/>
        <v>null</v>
      </c>
      <c r="AF1152" s="26" t="s">
        <v>0</v>
      </c>
      <c r="AG1152" s="47" t="s">
        <v>4468</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6519</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6520</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6521</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6522</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6523</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6524</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6525</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6526</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6527</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6528</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6529</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6530</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6531</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6532</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7533</v>
      </c>
      <c r="H1167" s="42" t="s">
        <v>2321</v>
      </c>
      <c r="I1167" s="16" t="str">
        <f t="shared" si="635"/>
        <v>null</v>
      </c>
      <c r="J1167" s="15" t="s">
        <v>0</v>
      </c>
      <c r="K1167" s="15" t="s">
        <v>0</v>
      </c>
      <c r="L1167" s="15" t="s">
        <v>0</v>
      </c>
      <c r="M1167" s="15" t="s">
        <v>0</v>
      </c>
      <c r="N1167" s="15" t="s">
        <v>0</v>
      </c>
      <c r="O1167" s="15" t="s">
        <v>0</v>
      </c>
      <c r="P1167" s="15" t="s">
        <v>0</v>
      </c>
      <c r="Q1167" s="15" t="s">
        <v>4366</v>
      </c>
      <c r="R1167" s="15" t="s">
        <v>0</v>
      </c>
      <c r="S1167" s="10" t="s">
        <v>1</v>
      </c>
      <c r="T1167" s="10" t="s">
        <v>32</v>
      </c>
      <c r="U1167" s="5" t="str">
        <f t="shared" si="620"/>
        <v>Propriedade destinada a montar: é.apoio.de</v>
      </c>
      <c r="V1167" s="5" t="str">
        <f t="shared" si="621"/>
        <v>Dado para montar:  apoio.de  Deve ser formatado como (rdfs:Literal  or  xsd:string)</v>
      </c>
      <c r="W1167" s="5" t="s">
        <v>7535</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7534</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6533</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6534</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6535</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6536</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6537</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6538</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6539</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6540</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6541</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7483</v>
      </c>
      <c r="H1177" s="42" t="s">
        <v>2321</v>
      </c>
      <c r="I1177" s="16" t="str">
        <f t="shared" si="638"/>
        <v>null</v>
      </c>
      <c r="J1177" s="15" t="s">
        <v>0</v>
      </c>
      <c r="K1177" s="15" t="s">
        <v>0</v>
      </c>
      <c r="L1177" s="15" t="s">
        <v>0</v>
      </c>
      <c r="M1177" s="15" t="s">
        <v>0</v>
      </c>
      <c r="N1177" s="15" t="s">
        <v>0</v>
      </c>
      <c r="O1177" s="15" t="s">
        <v>0</v>
      </c>
      <c r="P1177" s="15" t="s">
        <v>0</v>
      </c>
      <c r="Q1177" s="15" t="s">
        <v>0</v>
      </c>
      <c r="R1177" s="15" t="s">
        <v>7485</v>
      </c>
      <c r="S1177" s="10" t="s">
        <v>1</v>
      </c>
      <c r="T1177" s="10" t="s">
        <v>32</v>
      </c>
      <c r="U1177" s="5" t="str">
        <f t="shared" si="639"/>
        <v>Propriedade destinada a montar: é.emplacada.com</v>
      </c>
      <c r="V1177" s="5" t="str">
        <f t="shared" si="640"/>
        <v>Dado para montar:  emplacada.com  Deve ser formatado como (rdfs:Literal  or  xsd:string)</v>
      </c>
      <c r="W1177" s="5" t="s">
        <v>7480</v>
      </c>
      <c r="X1177" s="24" t="str">
        <f t="shared" si="633"/>
        <v>monta.110</v>
      </c>
      <c r="Y1177" s="24" t="str">
        <f t="shared" si="632"/>
        <v>Ação montar</v>
      </c>
      <c r="Z1177" s="47" t="s">
        <v>7481</v>
      </c>
      <c r="AA1177" s="25" t="str">
        <f t="shared" si="641"/>
        <v>null</v>
      </c>
      <c r="AB1177" s="26" t="s">
        <v>0</v>
      </c>
      <c r="AC1177" s="25" t="str">
        <f t="shared" si="642"/>
        <v>null</v>
      </c>
      <c r="AD1177" s="26" t="s">
        <v>0</v>
      </c>
      <c r="AE1177" s="25" t="str">
        <f t="shared" si="643"/>
        <v>null</v>
      </c>
      <c r="AF1177" s="26" t="s">
        <v>0</v>
      </c>
      <c r="AG1177" s="47" t="s">
        <v>7482</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7479</v>
      </c>
      <c r="H1178" s="42" t="s">
        <v>2321</v>
      </c>
      <c r="I1178" s="16" t="str">
        <f t="shared" si="638"/>
        <v>null</v>
      </c>
      <c r="J1178" s="15" t="s">
        <v>0</v>
      </c>
      <c r="K1178" s="15" t="s">
        <v>0</v>
      </c>
      <c r="L1178" s="15" t="s">
        <v>0</v>
      </c>
      <c r="M1178" s="15" t="s">
        <v>0</v>
      </c>
      <c r="N1178" s="15" t="s">
        <v>0</v>
      </c>
      <c r="O1178" s="15" t="s">
        <v>0</v>
      </c>
      <c r="P1178" s="15" t="s">
        <v>0</v>
      </c>
      <c r="Q1178" s="15" t="s">
        <v>0</v>
      </c>
      <c r="R1178" s="15" t="s">
        <v>7484</v>
      </c>
      <c r="S1178" s="10" t="s">
        <v>1</v>
      </c>
      <c r="T1178" s="10" t="s">
        <v>32</v>
      </c>
      <c r="U1178" s="5" t="str">
        <f t="shared" si="639"/>
        <v>Propriedade destinada a montar: é.emplacado.com</v>
      </c>
      <c r="V1178" s="5" t="str">
        <f t="shared" si="640"/>
        <v>Dado para montar:  emplacado.com  Deve ser formatado como (rdfs:Literal  or  xsd:string)</v>
      </c>
      <c r="W1178" s="5" t="s">
        <v>7480</v>
      </c>
      <c r="X1178" s="24" t="str">
        <f t="shared" si="633"/>
        <v>monta.111</v>
      </c>
      <c r="Y1178" s="24" t="str">
        <f t="shared" si="632"/>
        <v>Ação montar</v>
      </c>
      <c r="Z1178" s="47" t="s">
        <v>7481</v>
      </c>
      <c r="AA1178" s="25" t="str">
        <f t="shared" si="641"/>
        <v>null</v>
      </c>
      <c r="AB1178" s="26" t="s">
        <v>0</v>
      </c>
      <c r="AC1178" s="25" t="str">
        <f t="shared" si="642"/>
        <v>null</v>
      </c>
      <c r="AD1178" s="26" t="s">
        <v>0</v>
      </c>
      <c r="AE1178" s="25" t="str">
        <f t="shared" si="643"/>
        <v>null</v>
      </c>
      <c r="AF1178" s="26" t="s">
        <v>0</v>
      </c>
      <c r="AG1178" s="47" t="s">
        <v>7482</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6542</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6543</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6544</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6545</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6546</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4525</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6548</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4524</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6547</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7536</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4526</v>
      </c>
      <c r="S1187" s="10" t="s">
        <v>1</v>
      </c>
      <c r="T1187" s="10" t="s">
        <v>32</v>
      </c>
      <c r="U1187" s="5" t="str">
        <f t="shared" si="620"/>
        <v>Propriedade destinada a navegar: é.manga</v>
      </c>
      <c r="V1187" s="5" t="str">
        <f t="shared" si="621"/>
        <v>Dado para navegar:  manga  Deve ser formatado como (xsd:double)</v>
      </c>
      <c r="W1187" s="5" t="s">
        <v>6549</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4527</v>
      </c>
      <c r="S1188" s="10" t="s">
        <v>1</v>
      </c>
      <c r="T1188" s="10" t="s">
        <v>32</v>
      </c>
      <c r="U1188" s="5" t="str">
        <f t="shared" si="620"/>
        <v>Propriedade destinada a navegar: é.boca</v>
      </c>
      <c r="V1188" s="5" t="str">
        <f t="shared" si="621"/>
        <v>Dado para navegar:  boca  Deve ser formatado como (xsd:double)</v>
      </c>
      <c r="W1188" s="5" t="s">
        <v>6550</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6551</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6552</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6553</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6554</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5277</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6555</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6556</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6557</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6558</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6559</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6560</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6561</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6562</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6563</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6564</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6565</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6566</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6567</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6568</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6569</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6570</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6571</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6572</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6573</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4530</v>
      </c>
      <c r="S1212" s="10" t="s">
        <v>1</v>
      </c>
      <c r="T1212" s="10" t="s">
        <v>32</v>
      </c>
      <c r="U1212" s="5" t="str">
        <f t="shared" si="650"/>
        <v>Propriedade destinada a orçamentar: é.despesa.obrigatória</v>
      </c>
      <c r="V1212" s="5" t="str">
        <f t="shared" si="651"/>
        <v>Dado para orçamentar:  despesa.obrigatória  Deve ser formatado como (xsd:double)</v>
      </c>
      <c r="W1212" s="5" t="s">
        <v>6574</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5192</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4528</v>
      </c>
      <c r="H1213" s="41" t="s">
        <v>36</v>
      </c>
      <c r="I1213" s="16" t="str">
        <f t="shared" si="649"/>
        <v>null</v>
      </c>
      <c r="J1213" s="13" t="s">
        <v>0</v>
      </c>
      <c r="K1213" s="13" t="s">
        <v>0</v>
      </c>
      <c r="L1213" s="13" t="s">
        <v>0</v>
      </c>
      <c r="M1213" s="13" t="s">
        <v>0</v>
      </c>
      <c r="N1213" s="15" t="s">
        <v>0</v>
      </c>
      <c r="O1213" s="13" t="s">
        <v>0</v>
      </c>
      <c r="P1213" s="13" t="s">
        <v>0</v>
      </c>
      <c r="Q1213" s="13" t="s">
        <v>0</v>
      </c>
      <c r="R1213" s="15" t="s">
        <v>4529</v>
      </c>
      <c r="S1213" s="10" t="s">
        <v>1</v>
      </c>
      <c r="T1213" s="10" t="s">
        <v>32</v>
      </c>
      <c r="U1213" s="5" t="str">
        <f t="shared" si="650"/>
        <v>Propriedade destinada a orçamentar: é.empenho</v>
      </c>
      <c r="V1213" s="5" t="str">
        <f t="shared" si="651"/>
        <v>Dado para orçamentar:  empenho  Deve ser formatado como (xsd:double)</v>
      </c>
      <c r="W1213" s="5" t="s">
        <v>6575</v>
      </c>
      <c r="X1213" s="24" t="str">
        <f t="shared" si="633"/>
        <v>orçam.110</v>
      </c>
      <c r="Y1213" s="24" t="str">
        <f t="shared" si="632"/>
        <v>Ação orçamentar</v>
      </c>
      <c r="Z1213" s="47" t="s">
        <v>7708</v>
      </c>
      <c r="AA1213" s="25" t="str">
        <f t="shared" si="652"/>
        <v>null</v>
      </c>
      <c r="AB1213" s="26" t="s">
        <v>0</v>
      </c>
      <c r="AC1213" s="25" t="str">
        <f t="shared" si="653"/>
        <v>null</v>
      </c>
      <c r="AD1213" s="26" t="s">
        <v>0</v>
      </c>
      <c r="AE1213" s="25" t="str">
        <f t="shared" si="654"/>
        <v>null</v>
      </c>
      <c r="AF1213" s="26" t="s">
        <v>0</v>
      </c>
      <c r="AG1213" s="47" t="s">
        <v>5193</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6576</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6577</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7690</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6578</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6579</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6580</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6587</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6588</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6589</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6590</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6591</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6592</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6593</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6594</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6595</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7537</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6596</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6597</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6598</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6599</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6600</v>
      </c>
      <c r="X1232" s="24" t="str">
        <f t="shared" si="657"/>
        <v>orçam.129</v>
      </c>
      <c r="Y1232" s="24" t="str">
        <f t="shared" si="656"/>
        <v>Ação orçamentar</v>
      </c>
      <c r="Z1232" s="47" t="s">
        <v>7777</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6601</v>
      </c>
      <c r="X1233" s="24" t="str">
        <f t="shared" si="657"/>
        <v>orçam.130</v>
      </c>
      <c r="Y1233" s="24" t="str">
        <f t="shared" si="656"/>
        <v>Ação orçamentar</v>
      </c>
      <c r="Z1233" s="47" t="s">
        <v>7778</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7678</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7666</v>
      </c>
      <c r="X1234" s="24" t="str">
        <f t="shared" si="657"/>
        <v>orçam.131</v>
      </c>
      <c r="Y1234" s="24" t="str">
        <f t="shared" si="656"/>
        <v>Ação orçamentar</v>
      </c>
      <c r="Z1234" s="47" t="s">
        <v>7709</v>
      </c>
      <c r="AA1234" s="25" t="str">
        <f t="shared" si="652"/>
        <v>null</v>
      </c>
      <c r="AB1234" s="26" t="s">
        <v>0</v>
      </c>
      <c r="AC1234" s="25" t="str">
        <f t="shared" si="653"/>
        <v>null</v>
      </c>
      <c r="AD1234" s="26" t="s">
        <v>0</v>
      </c>
      <c r="AE1234" s="25" t="str">
        <f t="shared" si="654"/>
        <v>null</v>
      </c>
      <c r="AF1234" s="26" t="s">
        <v>0</v>
      </c>
      <c r="AG1234" s="47" t="s">
        <v>7691</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7769</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7770</v>
      </c>
      <c r="X1235" s="24" t="str">
        <f t="shared" si="657"/>
        <v>orçam.132</v>
      </c>
      <c r="Y1235" s="24" t="str">
        <f t="shared" si="656"/>
        <v>Ação orçamentar</v>
      </c>
      <c r="Z1235" s="47" t="s">
        <v>7779</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7784</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7723</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7774</v>
      </c>
      <c r="X1236" s="24" t="str">
        <f t="shared" si="657"/>
        <v>orçam.133</v>
      </c>
      <c r="Y1236" s="24" t="str">
        <f t="shared" si="656"/>
        <v>Ação orçamentar</v>
      </c>
      <c r="Z1236" s="47" t="s">
        <v>7782</v>
      </c>
      <c r="AA1236" s="25" t="str">
        <f t="shared" si="652"/>
        <v>null</v>
      </c>
      <c r="AB1236" s="26" t="s">
        <v>0</v>
      </c>
      <c r="AC1236" s="25" t="str">
        <f t="shared" si="653"/>
        <v>null</v>
      </c>
      <c r="AD1236" s="26" t="s">
        <v>0</v>
      </c>
      <c r="AE1236" s="25" t="str">
        <f t="shared" si="654"/>
        <v>null</v>
      </c>
      <c r="AF1236" s="26" t="s">
        <v>0</v>
      </c>
      <c r="AG1236" s="47" t="s">
        <v>7724</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7687</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7775</v>
      </c>
      <c r="X1237" s="24" t="str">
        <f t="shared" si="657"/>
        <v>orçam.134</v>
      </c>
      <c r="Y1237" s="24" t="str">
        <f t="shared" si="656"/>
        <v>Ação orçamentar</v>
      </c>
      <c r="Z1237" s="47" t="s">
        <v>7783</v>
      </c>
      <c r="AA1237" s="25" t="str">
        <f t="shared" si="652"/>
        <v>null</v>
      </c>
      <c r="AB1237" s="26" t="s">
        <v>0</v>
      </c>
      <c r="AC1237" s="25" t="str">
        <f t="shared" si="653"/>
        <v>null</v>
      </c>
      <c r="AD1237" s="26" t="s">
        <v>0</v>
      </c>
      <c r="AE1237" s="25" t="str">
        <f t="shared" si="654"/>
        <v>null</v>
      </c>
      <c r="AF1237" s="26" t="s">
        <v>0</v>
      </c>
      <c r="AG1237" s="47" t="s">
        <v>7725</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7688</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7771</v>
      </c>
      <c r="X1238" s="24" t="str">
        <f t="shared" si="657"/>
        <v>orçam.135</v>
      </c>
      <c r="Y1238" s="24" t="str">
        <f t="shared" si="656"/>
        <v>Ação orçamentar</v>
      </c>
      <c r="Z1238" s="47" t="s">
        <v>7780</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7726</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7689</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7772</v>
      </c>
      <c r="X1239" s="24" t="str">
        <f t="shared" si="657"/>
        <v>orçam.136</v>
      </c>
      <c r="Y1239" s="24" t="str">
        <f t="shared" si="656"/>
        <v>Ação orçamentar</v>
      </c>
      <c r="Z1239" s="47" t="s">
        <v>7781</v>
      </c>
      <c r="AA1239" s="25" t="str">
        <f t="shared" si="671"/>
        <v>null</v>
      </c>
      <c r="AB1239" s="26" t="s">
        <v>0</v>
      </c>
      <c r="AC1239" s="25" t="str">
        <f t="shared" si="672"/>
        <v>null</v>
      </c>
      <c r="AD1239" s="26" t="s">
        <v>0</v>
      </c>
      <c r="AE1239" s="25" t="str">
        <f t="shared" si="673"/>
        <v>null</v>
      </c>
      <c r="AF1239" s="26" t="s">
        <v>0</v>
      </c>
      <c r="AG1239" s="47" t="s">
        <v>7727</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7773</v>
      </c>
      <c r="X1240" s="24" t="str">
        <f t="shared" si="657"/>
        <v>orçam.137</v>
      </c>
      <c r="Y1240" s="24" t="str">
        <f t="shared" si="656"/>
        <v>Ação orçamentar</v>
      </c>
      <c r="Z1240" s="47" t="s">
        <v>7776</v>
      </c>
      <c r="AA1240" s="25" t="str">
        <f t="shared" si="671"/>
        <v>null</v>
      </c>
      <c r="AB1240" s="26" t="s">
        <v>0</v>
      </c>
      <c r="AC1240" s="25" t="str">
        <f t="shared" si="672"/>
        <v>null</v>
      </c>
      <c r="AD1240" s="26" t="s">
        <v>0</v>
      </c>
      <c r="AE1240" s="25" t="str">
        <f t="shared" si="673"/>
        <v>null</v>
      </c>
      <c r="AF1240" s="26" t="s">
        <v>0</v>
      </c>
      <c r="AG1240" s="47" t="s">
        <v>7702</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7686</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7670</v>
      </c>
      <c r="X1241" s="24" t="str">
        <f t="shared" si="657"/>
        <v>orçam.138</v>
      </c>
      <c r="Y1241" s="24" t="str">
        <f t="shared" si="656"/>
        <v>Ação orçamentar</v>
      </c>
      <c r="Z1241" s="47" t="s">
        <v>7710</v>
      </c>
      <c r="AA1241" s="25" t="str">
        <f t="shared" si="671"/>
        <v>null</v>
      </c>
      <c r="AB1241" s="26" t="s">
        <v>0</v>
      </c>
      <c r="AC1241" s="25" t="str">
        <f t="shared" si="672"/>
        <v>null</v>
      </c>
      <c r="AD1241" s="26" t="s">
        <v>0</v>
      </c>
      <c r="AE1241" s="25" t="str">
        <f t="shared" si="673"/>
        <v>null</v>
      </c>
      <c r="AF1241" s="26" t="s">
        <v>0</v>
      </c>
      <c r="AG1241" s="47" t="s">
        <v>7692</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7683</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7673</v>
      </c>
      <c r="X1242" s="24" t="str">
        <f t="shared" si="657"/>
        <v>orçam.139</v>
      </c>
      <c r="Y1242" s="24" t="str">
        <f t="shared" si="656"/>
        <v>Ação orçamentar</v>
      </c>
      <c r="Z1242" s="47" t="s">
        <v>7720</v>
      </c>
      <c r="AA1242" s="25" t="str">
        <f t="shared" si="671"/>
        <v>null</v>
      </c>
      <c r="AB1242" s="26" t="s">
        <v>0</v>
      </c>
      <c r="AC1242" s="25" t="str">
        <f t="shared" si="672"/>
        <v>null</v>
      </c>
      <c r="AD1242" s="26" t="s">
        <v>0</v>
      </c>
      <c r="AE1242" s="25" t="str">
        <f t="shared" si="673"/>
        <v>null</v>
      </c>
      <c r="AF1242" s="26" t="s">
        <v>0</v>
      </c>
      <c r="AG1242" s="47" t="s">
        <v>7693</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7684</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7675</v>
      </c>
      <c r="X1243" s="24" t="str">
        <f t="shared" si="657"/>
        <v>orçam.140</v>
      </c>
      <c r="Y1243" s="24" t="str">
        <f t="shared" si="656"/>
        <v>Ação orçamentar</v>
      </c>
      <c r="Z1243" s="47" t="s">
        <v>7719</v>
      </c>
      <c r="AA1243" s="25" t="str">
        <f t="shared" si="671"/>
        <v>null</v>
      </c>
      <c r="AB1243" s="26" t="s">
        <v>0</v>
      </c>
      <c r="AC1243" s="25" t="str">
        <f t="shared" si="672"/>
        <v>null</v>
      </c>
      <c r="AD1243" s="26" t="s">
        <v>0</v>
      </c>
      <c r="AE1243" s="25" t="str">
        <f t="shared" si="673"/>
        <v>null</v>
      </c>
      <c r="AF1243" s="26" t="s">
        <v>0</v>
      </c>
      <c r="AG1243" s="47" t="s">
        <v>7694</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7685</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7668</v>
      </c>
      <c r="X1244" s="24" t="str">
        <f t="shared" si="657"/>
        <v>orçam.141</v>
      </c>
      <c r="Y1244" s="24" t="str">
        <f t="shared" si="656"/>
        <v>Ação orçamentar</v>
      </c>
      <c r="Z1244" s="47" t="s">
        <v>7721</v>
      </c>
      <c r="AA1244" s="25" t="str">
        <f t="shared" si="671"/>
        <v>null</v>
      </c>
      <c r="AB1244" s="26" t="s">
        <v>0</v>
      </c>
      <c r="AC1244" s="25" t="str">
        <f t="shared" si="672"/>
        <v>null</v>
      </c>
      <c r="AD1244" s="26" t="s">
        <v>0</v>
      </c>
      <c r="AE1244" s="25" t="str">
        <f t="shared" si="673"/>
        <v>null</v>
      </c>
      <c r="AF1244" s="26" t="s">
        <v>0</v>
      </c>
      <c r="AG1244" s="47" t="s">
        <v>7695</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7767</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7768</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7681</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7672</v>
      </c>
      <c r="X1246" s="24" t="str">
        <f t="shared" si="657"/>
        <v>orçam.143</v>
      </c>
      <c r="Y1246" s="24" t="str">
        <f t="shared" si="656"/>
        <v>Ação orçamentar</v>
      </c>
      <c r="Z1246" s="47" t="s">
        <v>7711</v>
      </c>
      <c r="AA1246" s="25" t="str">
        <f t="shared" si="671"/>
        <v>null</v>
      </c>
      <c r="AB1246" s="26" t="s">
        <v>0</v>
      </c>
      <c r="AC1246" s="25" t="str">
        <f t="shared" si="672"/>
        <v>null</v>
      </c>
      <c r="AD1246" s="26" t="s">
        <v>0</v>
      </c>
      <c r="AE1246" s="25" t="str">
        <f t="shared" si="673"/>
        <v>null</v>
      </c>
      <c r="AF1246" s="26" t="s">
        <v>0</v>
      </c>
      <c r="AG1246" s="47" t="s">
        <v>7696</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7676</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7669</v>
      </c>
      <c r="X1247" s="24" t="str">
        <f t="shared" si="657"/>
        <v>orçam.144</v>
      </c>
      <c r="Y1247" s="24" t="str">
        <f t="shared" si="656"/>
        <v>Ação orçamentar</v>
      </c>
      <c r="Z1247" s="47" t="s">
        <v>7712</v>
      </c>
      <c r="AA1247" s="25" t="str">
        <f t="shared" si="671"/>
        <v>null</v>
      </c>
      <c r="AB1247" s="26" t="s">
        <v>0</v>
      </c>
      <c r="AC1247" s="25" t="str">
        <f t="shared" si="672"/>
        <v>null</v>
      </c>
      <c r="AD1247" s="26" t="s">
        <v>0</v>
      </c>
      <c r="AE1247" s="25" t="str">
        <f t="shared" si="673"/>
        <v>null</v>
      </c>
      <c r="AF1247" s="26" t="s">
        <v>0</v>
      </c>
      <c r="AG1247" s="47" t="s">
        <v>7697</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7729</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7728</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7682</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7674</v>
      </c>
      <c r="X1249" s="24" t="str">
        <f t="shared" si="657"/>
        <v>orçam.146</v>
      </c>
      <c r="Y1249" s="24" t="str">
        <f t="shared" si="656"/>
        <v>Ação orçamentar</v>
      </c>
      <c r="Z1249" s="47" t="s">
        <v>7722</v>
      </c>
      <c r="AA1249" s="25" t="str">
        <f t="shared" si="671"/>
        <v>null</v>
      </c>
      <c r="AB1249" s="26" t="s">
        <v>0</v>
      </c>
      <c r="AC1249" s="25" t="str">
        <f t="shared" si="672"/>
        <v>null</v>
      </c>
      <c r="AD1249" s="26" t="s">
        <v>0</v>
      </c>
      <c r="AE1249" s="25" t="str">
        <f t="shared" si="673"/>
        <v>null</v>
      </c>
      <c r="AF1249" s="26" t="s">
        <v>0</v>
      </c>
      <c r="AG1249" s="47" t="s">
        <v>7698</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7679</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7671</v>
      </c>
      <c r="X1250" s="24" t="str">
        <f t="shared" si="657"/>
        <v>orçam.147</v>
      </c>
      <c r="Y1250" s="24" t="str">
        <f t="shared" si="656"/>
        <v>Ação orçamentar</v>
      </c>
      <c r="Z1250" s="47" t="s">
        <v>7713</v>
      </c>
      <c r="AA1250" s="25" t="str">
        <f t="shared" si="671"/>
        <v>null</v>
      </c>
      <c r="AB1250" s="26" t="s">
        <v>0</v>
      </c>
      <c r="AC1250" s="25" t="str">
        <f t="shared" si="672"/>
        <v>null</v>
      </c>
      <c r="AD1250" s="26" t="s">
        <v>0</v>
      </c>
      <c r="AE1250" s="25" t="str">
        <f t="shared" si="673"/>
        <v>null</v>
      </c>
      <c r="AF1250" s="26" t="s">
        <v>0</v>
      </c>
      <c r="AG1250" s="47" t="s">
        <v>7699</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7680</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7665</v>
      </c>
      <c r="X1251" s="24" t="str">
        <f t="shared" si="657"/>
        <v>orçam.148</v>
      </c>
      <c r="Y1251" s="24" t="str">
        <f t="shared" si="656"/>
        <v>Ação orçamentar</v>
      </c>
      <c r="Z1251" s="47" t="s">
        <v>7714</v>
      </c>
      <c r="AA1251" s="25" t="str">
        <f t="shared" si="671"/>
        <v>null</v>
      </c>
      <c r="AB1251" s="26" t="s">
        <v>0</v>
      </c>
      <c r="AC1251" s="25" t="str">
        <f t="shared" si="672"/>
        <v>null</v>
      </c>
      <c r="AD1251" s="26" t="s">
        <v>0</v>
      </c>
      <c r="AE1251" s="25" t="str">
        <f t="shared" si="673"/>
        <v>null</v>
      </c>
      <c r="AF1251" s="26" t="s">
        <v>0</v>
      </c>
      <c r="AG1251" s="47" t="s">
        <v>7700</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7677</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7667</v>
      </c>
      <c r="X1252" s="24" t="str">
        <f t="shared" si="657"/>
        <v>orçam.149</v>
      </c>
      <c r="Y1252" s="24" t="str">
        <f t="shared" si="656"/>
        <v>Ação orçamentar</v>
      </c>
      <c r="Z1252" s="47" t="s">
        <v>7715</v>
      </c>
      <c r="AA1252" s="25" t="str">
        <f t="shared" si="671"/>
        <v>null</v>
      </c>
      <c r="AB1252" s="26" t="s">
        <v>0</v>
      </c>
      <c r="AC1252" s="25" t="str">
        <f t="shared" si="672"/>
        <v>null</v>
      </c>
      <c r="AD1252" s="26" t="s">
        <v>0</v>
      </c>
      <c r="AE1252" s="25" t="str">
        <f t="shared" si="673"/>
        <v>null</v>
      </c>
      <c r="AF1252" s="26" t="s">
        <v>0</v>
      </c>
      <c r="AG1252" s="47" t="s">
        <v>7701</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6602</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6603</v>
      </c>
      <c r="X1254" s="24" t="str">
        <f t="shared" si="657"/>
        <v>orçam.151</v>
      </c>
      <c r="Y1254" s="24" t="str">
        <f t="shared" si="656"/>
        <v>Ação orçamentar</v>
      </c>
      <c r="Z1254" s="47" t="s">
        <v>7716</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6606</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6604</v>
      </c>
      <c r="X1256" s="24" t="str">
        <f t="shared" si="657"/>
        <v>orçam.153</v>
      </c>
      <c r="Y1256" s="24" t="str">
        <f t="shared" si="656"/>
        <v>Ação orçamentar</v>
      </c>
      <c r="Z1256" s="47" t="s">
        <v>7717</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6605</v>
      </c>
      <c r="X1257" s="24" t="str">
        <f t="shared" si="657"/>
        <v>orçam.154</v>
      </c>
      <c r="Y1257" s="24" t="str">
        <f t="shared" si="656"/>
        <v>Ação orçamentar</v>
      </c>
      <c r="Z1257" s="47" t="s">
        <v>7718</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6585</v>
      </c>
      <c r="X1258" s="24" t="str">
        <f t="shared" si="657"/>
        <v>orçam.155</v>
      </c>
      <c r="Y1258" s="24" t="str">
        <f t="shared" si="656"/>
        <v>Ação orçamentar</v>
      </c>
      <c r="Z1258" s="47" t="s">
        <v>7703</v>
      </c>
      <c r="AA1258" s="25" t="str">
        <f t="shared" si="671"/>
        <v>null</v>
      </c>
      <c r="AB1258" s="26" t="s">
        <v>0</v>
      </c>
      <c r="AC1258" s="25" t="str">
        <f t="shared" si="672"/>
        <v>null</v>
      </c>
      <c r="AD1258" s="26" t="s">
        <v>0</v>
      </c>
      <c r="AE1258" s="25" t="str">
        <f t="shared" si="673"/>
        <v>null</v>
      </c>
      <c r="AF1258" s="26" t="s">
        <v>0</v>
      </c>
      <c r="AG1258" s="47" t="s">
        <v>5257</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6584</v>
      </c>
      <c r="X1259" s="24" t="str">
        <f t="shared" si="657"/>
        <v>orçam.156</v>
      </c>
      <c r="Y1259" s="24" t="str">
        <f t="shared" si="656"/>
        <v>Ação orçamentar</v>
      </c>
      <c r="Z1259" s="47" t="s">
        <v>7707</v>
      </c>
      <c r="AA1259" s="25" t="str">
        <f t="shared" si="671"/>
        <v>null</v>
      </c>
      <c r="AB1259" s="26" t="s">
        <v>0</v>
      </c>
      <c r="AC1259" s="25" t="str">
        <f t="shared" si="672"/>
        <v>null</v>
      </c>
      <c r="AD1259" s="26" t="s">
        <v>0</v>
      </c>
      <c r="AE1259" s="25" t="str">
        <f t="shared" si="673"/>
        <v>null</v>
      </c>
      <c r="AF1259" s="26" t="s">
        <v>0</v>
      </c>
      <c r="AG1259" s="47" t="s">
        <v>5256</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6583</v>
      </c>
      <c r="X1260" s="24" t="str">
        <f t="shared" si="657"/>
        <v>orçam.157</v>
      </c>
      <c r="Y1260" s="24" t="str">
        <f t="shared" si="656"/>
        <v>Ação orçamentar</v>
      </c>
      <c r="Z1260" s="47" t="s">
        <v>7704</v>
      </c>
      <c r="AA1260" s="25" t="str">
        <f t="shared" si="671"/>
        <v>null</v>
      </c>
      <c r="AB1260" s="26" t="s">
        <v>0</v>
      </c>
      <c r="AC1260" s="25" t="str">
        <f t="shared" si="672"/>
        <v>null</v>
      </c>
      <c r="AD1260" s="26" t="s">
        <v>0</v>
      </c>
      <c r="AE1260" s="25" t="str">
        <f t="shared" si="673"/>
        <v>null</v>
      </c>
      <c r="AF1260" s="26" t="s">
        <v>0</v>
      </c>
      <c r="AG1260" s="47" t="s">
        <v>5255</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6582</v>
      </c>
      <c r="X1261" s="24" t="str">
        <f t="shared" si="657"/>
        <v>orçam.158</v>
      </c>
      <c r="Y1261" s="24" t="str">
        <f t="shared" si="656"/>
        <v>Ação orçamentar</v>
      </c>
      <c r="Z1261" s="47" t="s">
        <v>7705</v>
      </c>
      <c r="AA1261" s="25" t="str">
        <f t="shared" si="671"/>
        <v>null</v>
      </c>
      <c r="AB1261" s="26" t="s">
        <v>0</v>
      </c>
      <c r="AC1261" s="25" t="str">
        <f t="shared" si="672"/>
        <v>null</v>
      </c>
      <c r="AD1261" s="26" t="s">
        <v>0</v>
      </c>
      <c r="AE1261" s="25" t="str">
        <f t="shared" si="673"/>
        <v>null</v>
      </c>
      <c r="AF1261" s="26" t="s">
        <v>0</v>
      </c>
      <c r="AG1261" s="47" t="s">
        <v>5254</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6581</v>
      </c>
      <c r="X1262" s="24" t="str">
        <f t="shared" si="657"/>
        <v>orçam.159</v>
      </c>
      <c r="Y1262" s="24" t="str">
        <f t="shared" si="656"/>
        <v>Ação orçamentar</v>
      </c>
      <c r="Z1262" s="47" t="s">
        <v>7706</v>
      </c>
      <c r="AA1262" s="25" t="str">
        <f t="shared" si="671"/>
        <v>null</v>
      </c>
      <c r="AB1262" s="26" t="s">
        <v>0</v>
      </c>
      <c r="AC1262" s="25" t="str">
        <f t="shared" si="672"/>
        <v>null</v>
      </c>
      <c r="AD1262" s="26" t="s">
        <v>0</v>
      </c>
      <c r="AE1262" s="25" t="str">
        <f t="shared" si="673"/>
        <v>null</v>
      </c>
      <c r="AF1262" s="26" t="s">
        <v>0</v>
      </c>
      <c r="AG1262" s="47" t="s">
        <v>5253</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6586</v>
      </c>
      <c r="X1263" s="24" t="str">
        <f t="shared" si="657"/>
        <v>orçam.160</v>
      </c>
      <c r="Y1263" s="24" t="str">
        <f t="shared" si="656"/>
        <v>Ação orçamentar</v>
      </c>
      <c r="Z1263" s="47" t="s">
        <v>5052</v>
      </c>
      <c r="AA1263" s="25" t="str">
        <f t="shared" si="671"/>
        <v>null</v>
      </c>
      <c r="AB1263" s="26" t="s">
        <v>0</v>
      </c>
      <c r="AC1263" s="25" t="str">
        <f t="shared" si="672"/>
        <v>null</v>
      </c>
      <c r="AD1263" s="26" t="s">
        <v>0</v>
      </c>
      <c r="AE1263" s="25" t="str">
        <f t="shared" si="673"/>
        <v>null</v>
      </c>
      <c r="AF1263" s="26" t="s">
        <v>0</v>
      </c>
      <c r="AG1263" s="47" t="s">
        <v>5258</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6607</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6608</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6609</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5194</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6610</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5195</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6611</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6612</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6613</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6614</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6615</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7538</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6616</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6617</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7539</v>
      </c>
      <c r="R1275" s="15" t="s">
        <v>0</v>
      </c>
      <c r="S1275" s="10" t="s">
        <v>1</v>
      </c>
      <c r="T1275" s="10" t="s">
        <v>32</v>
      </c>
      <c r="U1275" s="5" t="str">
        <f t="shared" si="693"/>
        <v>Propriedade destinada a orientar: é.ao.nordeste</v>
      </c>
      <c r="V1275" s="5" t="str">
        <f t="shared" si="694"/>
        <v>Dado para orientar:  ao.nordeste  Deve ser formatado como (xsd:boolean)</v>
      </c>
      <c r="W1275" s="5" t="s">
        <v>6618</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6619</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6620</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6621</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6622</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6623</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6624</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6625</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6626</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6627</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6628</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6629</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6630</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7540</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6631</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6632</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6633</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6634</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6635</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6636</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6637</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6638</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4882</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6639</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4883</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6640</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4884</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6641</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4885</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6642</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4886</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6643</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4887</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6644</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6645</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7541</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6646</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4888</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6647</v>
      </c>
      <c r="X1304" s="24" t="str">
        <f t="shared" si="701"/>
        <v>passa.100</v>
      </c>
      <c r="Y1304" s="24" t="str">
        <f t="shared" si="700"/>
        <v>Ação passar</v>
      </c>
      <c r="Z1304" s="47" t="s">
        <v>4408</v>
      </c>
      <c r="AA1304" s="25" t="str">
        <f t="shared" si="702"/>
        <v>categoria.revit</v>
      </c>
      <c r="AB1304" s="26" t="s">
        <v>3953</v>
      </c>
      <c r="AC1304" s="25" t="str">
        <f t="shared" si="703"/>
        <v>classe.ifc</v>
      </c>
      <c r="AD1304" s="26" t="s">
        <v>3905</v>
      </c>
      <c r="AE1304" s="25" t="str">
        <f t="shared" si="706"/>
        <v>null</v>
      </c>
      <c r="AF1304" s="26" t="s">
        <v>0</v>
      </c>
      <c r="AG1304" s="47" t="s">
        <v>4469</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6648</v>
      </c>
      <c r="X1305" s="24" t="str">
        <f t="shared" si="701"/>
        <v>passa.101</v>
      </c>
      <c r="Y1305" s="24" t="str">
        <f t="shared" si="700"/>
        <v>Ação passar</v>
      </c>
      <c r="Z1305" s="47" t="s">
        <v>4742</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4746</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6649</v>
      </c>
      <c r="X1306" s="24" t="str">
        <f t="shared" si="701"/>
        <v>passa.102</v>
      </c>
      <c r="Y1306" s="24" t="str">
        <f t="shared" si="700"/>
        <v>Ação passar</v>
      </c>
      <c r="Z1306" s="47" t="s">
        <v>4743</v>
      </c>
      <c r="AA1306" s="25" t="str">
        <f t="shared" si="714"/>
        <v>categoria.revit</v>
      </c>
      <c r="AB1306" s="26" t="s">
        <v>3953</v>
      </c>
      <c r="AC1306" s="25" t="str">
        <f t="shared" si="715"/>
        <v>classe.ifc</v>
      </c>
      <c r="AD1306" s="26" t="s">
        <v>3905</v>
      </c>
      <c r="AE1306" s="25" t="str">
        <f t="shared" si="716"/>
        <v>null</v>
      </c>
      <c r="AF1306" s="26" t="s">
        <v>0</v>
      </c>
      <c r="AG1306" s="47" t="s">
        <v>4747</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6650</v>
      </c>
      <c r="X1307" s="24" t="str">
        <f t="shared" si="701"/>
        <v>passa.103</v>
      </c>
      <c r="Y1307" s="24" t="str">
        <f t="shared" si="700"/>
        <v>Ação passar</v>
      </c>
      <c r="Z1307" s="47" t="s">
        <v>4745</v>
      </c>
      <c r="AA1307" s="25" t="str">
        <f t="shared" si="714"/>
        <v>categoria.revit</v>
      </c>
      <c r="AB1307" s="26" t="s">
        <v>3953</v>
      </c>
      <c r="AC1307" s="25" t="str">
        <f t="shared" si="715"/>
        <v>classe.ifc</v>
      </c>
      <c r="AD1307" s="26" t="s">
        <v>3905</v>
      </c>
      <c r="AE1307" s="25" t="str">
        <f t="shared" si="716"/>
        <v>null</v>
      </c>
      <c r="AF1307" s="26" t="s">
        <v>0</v>
      </c>
      <c r="AG1307" s="47" t="s">
        <v>4748</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6651</v>
      </c>
      <c r="X1308" s="24" t="str">
        <f t="shared" si="701"/>
        <v>passa.104</v>
      </c>
      <c r="Y1308" s="24" t="str">
        <f t="shared" si="700"/>
        <v>Ação passar</v>
      </c>
      <c r="Z1308" s="47" t="s">
        <v>4744</v>
      </c>
      <c r="AA1308" s="25" t="str">
        <f t="shared" si="714"/>
        <v>categoria.revit</v>
      </c>
      <c r="AB1308" s="26" t="s">
        <v>3953</v>
      </c>
      <c r="AC1308" s="25" t="str">
        <f t="shared" si="715"/>
        <v>classe.ifc</v>
      </c>
      <c r="AD1308" s="26" t="s">
        <v>3905</v>
      </c>
      <c r="AE1308" s="25" t="str">
        <f t="shared" si="716"/>
        <v>null</v>
      </c>
      <c r="AF1308" s="26" t="s">
        <v>0</v>
      </c>
      <c r="AG1308" s="47" t="s">
        <v>4749</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6652</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6653</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6654</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6655</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6656</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7542</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6657</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6658</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4750</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6659</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7543</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6660</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6661</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6662</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6663</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6664</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6665</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7544</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7545</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6666</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4889</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6667</v>
      </c>
      <c r="X1325" s="24" t="str">
        <f t="shared" si="701"/>
        <v>perfi.100</v>
      </c>
      <c r="Y1325" s="24" t="str">
        <f t="shared" si="700"/>
        <v>Ação perfilar</v>
      </c>
      <c r="Z1325" s="47" t="s">
        <v>4409</v>
      </c>
      <c r="AA1325" s="25" t="str">
        <f t="shared" si="702"/>
        <v>null</v>
      </c>
      <c r="AB1325" s="26" t="s">
        <v>0</v>
      </c>
      <c r="AC1325" s="25" t="str">
        <f t="shared" si="703"/>
        <v>null</v>
      </c>
      <c r="AD1325" s="26" t="s">
        <v>0</v>
      </c>
      <c r="AE1325" s="25" t="str">
        <f t="shared" si="706"/>
        <v>null</v>
      </c>
      <c r="AF1325" s="26" t="s">
        <v>0</v>
      </c>
      <c r="AG1325" s="47" t="s">
        <v>4470</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6668</v>
      </c>
      <c r="X1326" s="24" t="str">
        <f t="shared" si="701"/>
        <v>perfi.101</v>
      </c>
      <c r="Y1326" s="24" t="str">
        <f t="shared" si="700"/>
        <v>Ação perfilar</v>
      </c>
      <c r="Z1326" s="47" t="s">
        <v>7613</v>
      </c>
      <c r="AA1326" s="25" t="str">
        <f t="shared" si="702"/>
        <v>null</v>
      </c>
      <c r="AB1326" s="26" t="s">
        <v>0</v>
      </c>
      <c r="AC1326" s="25" t="str">
        <f t="shared" si="703"/>
        <v>null</v>
      </c>
      <c r="AD1326" s="26" t="s">
        <v>0</v>
      </c>
      <c r="AE1326" s="25" t="str">
        <f t="shared" si="706"/>
        <v>null</v>
      </c>
      <c r="AF1326" s="26" t="s">
        <v>0</v>
      </c>
      <c r="AG1326" s="47" t="s">
        <v>4758</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6669</v>
      </c>
      <c r="X1327" s="24" t="str">
        <f t="shared" si="701"/>
        <v>perfi.102</v>
      </c>
      <c r="Y1327" s="24" t="str">
        <f t="shared" si="700"/>
        <v>Ação perfilar</v>
      </c>
      <c r="Z1327" s="47" t="s">
        <v>4765</v>
      </c>
      <c r="AA1327" s="25" t="str">
        <f t="shared" si="702"/>
        <v>null</v>
      </c>
      <c r="AB1327" s="26" t="s">
        <v>0</v>
      </c>
      <c r="AC1327" s="25" t="str">
        <f t="shared" si="703"/>
        <v>null</v>
      </c>
      <c r="AD1327" s="26" t="s">
        <v>0</v>
      </c>
      <c r="AE1327" s="25" t="str">
        <f t="shared" si="706"/>
        <v>null</v>
      </c>
      <c r="AF1327" s="26" t="s">
        <v>0</v>
      </c>
      <c r="AG1327" s="47" t="s">
        <v>5291</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6670</v>
      </c>
      <c r="X1328" s="24" t="str">
        <f t="shared" si="701"/>
        <v>perfi.103</v>
      </c>
      <c r="Y1328" s="24" t="str">
        <f t="shared" si="700"/>
        <v>Ação perfilar</v>
      </c>
      <c r="Z1328" s="47" t="s">
        <v>4760</v>
      </c>
      <c r="AA1328" s="25" t="str">
        <f t="shared" si="702"/>
        <v>null</v>
      </c>
      <c r="AB1328" s="26" t="s">
        <v>0</v>
      </c>
      <c r="AC1328" s="25" t="str">
        <f t="shared" si="703"/>
        <v>null</v>
      </c>
      <c r="AD1328" s="26" t="s">
        <v>0</v>
      </c>
      <c r="AE1328" s="25" t="str">
        <f t="shared" si="706"/>
        <v>null</v>
      </c>
      <c r="AF1328" s="26" t="s">
        <v>0</v>
      </c>
      <c r="AG1328" s="47" t="s">
        <v>4751</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6671</v>
      </c>
      <c r="X1329" s="24" t="str">
        <f t="shared" si="701"/>
        <v>perfi.104</v>
      </c>
      <c r="Y1329" s="24" t="str">
        <f t="shared" si="700"/>
        <v>Ação perfilar</v>
      </c>
      <c r="Z1329" s="47" t="s">
        <v>4766</v>
      </c>
      <c r="AA1329" s="25" t="str">
        <f t="shared" si="702"/>
        <v>null</v>
      </c>
      <c r="AB1329" s="26" t="s">
        <v>0</v>
      </c>
      <c r="AC1329" s="25" t="str">
        <f t="shared" si="703"/>
        <v>null</v>
      </c>
      <c r="AD1329" s="26" t="s">
        <v>0</v>
      </c>
      <c r="AE1329" s="25" t="str">
        <f t="shared" si="706"/>
        <v>null</v>
      </c>
      <c r="AF1329" s="26" t="s">
        <v>0</v>
      </c>
      <c r="AG1329" s="47" t="s">
        <v>4756</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7546</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6672</v>
      </c>
      <c r="X1330" s="24" t="str">
        <f t="shared" si="701"/>
        <v>perfi.105</v>
      </c>
      <c r="Y1330" s="24" t="str">
        <f t="shared" si="700"/>
        <v>Ação perfilar</v>
      </c>
      <c r="Z1330" s="47" t="s">
        <v>4767</v>
      </c>
      <c r="AA1330" s="25" t="str">
        <f t="shared" si="702"/>
        <v>null</v>
      </c>
      <c r="AB1330" s="26" t="s">
        <v>0</v>
      </c>
      <c r="AC1330" s="25" t="str">
        <f t="shared" si="703"/>
        <v>null</v>
      </c>
      <c r="AD1330" s="26" t="s">
        <v>0</v>
      </c>
      <c r="AE1330" s="25" t="str">
        <f t="shared" si="706"/>
        <v>null</v>
      </c>
      <c r="AF1330" s="26" t="s">
        <v>0</v>
      </c>
      <c r="AG1330" s="47" t="s">
        <v>4757</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6673</v>
      </c>
      <c r="X1331" s="24" t="str">
        <f t="shared" si="701"/>
        <v>perfi.106</v>
      </c>
      <c r="Y1331" s="24" t="str">
        <f t="shared" si="700"/>
        <v>Ação perfilar</v>
      </c>
      <c r="Z1331" s="47" t="s">
        <v>4761</v>
      </c>
      <c r="AA1331" s="25" t="str">
        <f t="shared" si="702"/>
        <v>null</v>
      </c>
      <c r="AB1331" s="26" t="s">
        <v>0</v>
      </c>
      <c r="AC1331" s="25" t="str">
        <f t="shared" si="703"/>
        <v>null</v>
      </c>
      <c r="AD1331" s="26" t="s">
        <v>0</v>
      </c>
      <c r="AE1331" s="25" t="str">
        <f t="shared" si="706"/>
        <v>null</v>
      </c>
      <c r="AF1331" s="26" t="s">
        <v>0</v>
      </c>
      <c r="AG1331" s="47" t="s">
        <v>4752</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6674</v>
      </c>
      <c r="X1332" s="24" t="str">
        <f t="shared" si="701"/>
        <v>perfi.107</v>
      </c>
      <c r="Y1332" s="24" t="str">
        <f t="shared" si="700"/>
        <v>Ação perfilar</v>
      </c>
      <c r="Z1332" s="47" t="s">
        <v>4762</v>
      </c>
      <c r="AA1332" s="25" t="str">
        <f t="shared" si="702"/>
        <v>null</v>
      </c>
      <c r="AB1332" s="26" t="s">
        <v>0</v>
      </c>
      <c r="AC1332" s="25" t="str">
        <f t="shared" si="703"/>
        <v>null</v>
      </c>
      <c r="AD1332" s="26" t="s">
        <v>0</v>
      </c>
      <c r="AE1332" s="25" t="str">
        <f t="shared" si="706"/>
        <v>null</v>
      </c>
      <c r="AF1332" s="26" t="s">
        <v>0</v>
      </c>
      <c r="AG1332" s="47" t="s">
        <v>4753</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6675</v>
      </c>
      <c r="X1333" s="24" t="str">
        <f t="shared" si="701"/>
        <v>perfi.108</v>
      </c>
      <c r="Y1333" s="24" t="str">
        <f t="shared" si="700"/>
        <v>Ação perfilar</v>
      </c>
      <c r="Z1333" s="47" t="s">
        <v>4763</v>
      </c>
      <c r="AA1333" s="25" t="str">
        <f t="shared" si="702"/>
        <v>null</v>
      </c>
      <c r="AB1333" s="26" t="s">
        <v>0</v>
      </c>
      <c r="AC1333" s="25" t="str">
        <f t="shared" si="703"/>
        <v>null</v>
      </c>
      <c r="AD1333" s="26" t="s">
        <v>0</v>
      </c>
      <c r="AE1333" s="25" t="str">
        <f t="shared" si="706"/>
        <v>null</v>
      </c>
      <c r="AF1333" s="26" t="s">
        <v>0</v>
      </c>
      <c r="AG1333" s="47" t="s">
        <v>4754</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6676</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6677</v>
      </c>
      <c r="X1335" s="24" t="str">
        <f t="shared" si="701"/>
        <v>perfi.110</v>
      </c>
      <c r="Y1335" s="24" t="str">
        <f t="shared" si="700"/>
        <v>Ação perfilar</v>
      </c>
      <c r="Z1335" s="47" t="s">
        <v>4764</v>
      </c>
      <c r="AA1335" s="25" t="str">
        <f t="shared" si="702"/>
        <v>null</v>
      </c>
      <c r="AB1335" s="26" t="s">
        <v>0</v>
      </c>
      <c r="AC1335" s="25" t="str">
        <f t="shared" si="703"/>
        <v>null</v>
      </c>
      <c r="AD1335" s="26" t="s">
        <v>0</v>
      </c>
      <c r="AE1335" s="25" t="str">
        <f t="shared" si="706"/>
        <v>null</v>
      </c>
      <c r="AF1335" s="26" t="s">
        <v>0</v>
      </c>
      <c r="AG1335" s="47" t="s">
        <v>4755</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6678</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6679</v>
      </c>
      <c r="X1337" s="24" t="str">
        <f t="shared" si="701"/>
        <v>perfi.112</v>
      </c>
      <c r="Y1337" s="24" t="str">
        <f t="shared" si="700"/>
        <v>Ação perfilar</v>
      </c>
      <c r="Z1337" s="47" t="s">
        <v>4768</v>
      </c>
      <c r="AA1337" s="25" t="str">
        <f t="shared" si="702"/>
        <v>null</v>
      </c>
      <c r="AB1337" s="26" t="s">
        <v>0</v>
      </c>
      <c r="AC1337" s="25" t="str">
        <f t="shared" si="703"/>
        <v>null</v>
      </c>
      <c r="AD1337" s="26" t="s">
        <v>0</v>
      </c>
      <c r="AE1337" s="25" t="str">
        <f t="shared" si="706"/>
        <v>null</v>
      </c>
      <c r="AF1337" s="26" t="s">
        <v>0</v>
      </c>
      <c r="AG1337" s="47" t="s">
        <v>4759</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6680</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6681</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6682</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6683</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6684</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6685</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6686</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6687</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6688</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6689</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6690</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6691</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6692</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6693</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6694</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6695</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6696</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6697</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6698</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6699</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6700</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6701</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6702</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6703</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6704</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6705</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6706</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5278</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6707</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5279</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6708</v>
      </c>
      <c r="X1366" s="24" t="str">
        <f t="shared" si="723"/>
        <v>pinta.102</v>
      </c>
      <c r="Y1366" s="24" t="str">
        <f t="shared" si="722"/>
        <v>Ação pintar</v>
      </c>
      <c r="Z1366" s="47" t="s">
        <v>5053</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6709</v>
      </c>
      <c r="X1367" s="24" t="str">
        <f t="shared" si="723"/>
        <v>pinta.103</v>
      </c>
      <c r="Y1367" s="24" t="str">
        <f t="shared" si="722"/>
        <v>Ação pintar</v>
      </c>
      <c r="Z1367" s="47" t="s">
        <v>5054</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6710</v>
      </c>
      <c r="X1368" s="24" t="str">
        <f t="shared" si="723"/>
        <v>pinta.104</v>
      </c>
      <c r="Y1368" s="24" t="str">
        <f t="shared" si="722"/>
        <v>Ação pintar</v>
      </c>
      <c r="Z1368" s="47" t="s">
        <v>5055</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6711</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5280</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6712</v>
      </c>
      <c r="X1370" s="24" t="str">
        <f t="shared" si="723"/>
        <v>pinta.106</v>
      </c>
      <c r="Y1370" s="24" t="str">
        <f t="shared" si="722"/>
        <v>Ação pintar</v>
      </c>
      <c r="Z1370" s="47" t="s">
        <v>5056</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6713</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6714</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6715</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6716</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6717</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6718</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6719</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6720</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6721</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6722</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6723</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6724</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6725</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6726</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6727</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6728</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6729</v>
      </c>
      <c r="X1387" s="24" t="str">
        <f t="shared" si="723"/>
        <v>plane.102</v>
      </c>
      <c r="Y1387" s="24" t="str">
        <f t="shared" si="722"/>
        <v>Ação planejar</v>
      </c>
      <c r="Z1387" s="47" t="s">
        <v>4236</v>
      </c>
      <c r="AA1387" s="25" t="str">
        <f t="shared" si="736"/>
        <v>null</v>
      </c>
      <c r="AB1387" s="26" t="s">
        <v>0</v>
      </c>
      <c r="AC1387" s="25" t="str">
        <f t="shared" si="737"/>
        <v>null</v>
      </c>
      <c r="AD1387" s="26" t="s">
        <v>0</v>
      </c>
      <c r="AE1387" s="25" t="str">
        <f t="shared" si="738"/>
        <v>null</v>
      </c>
      <c r="AF1387" s="26" t="s">
        <v>0</v>
      </c>
      <c r="AG1387" s="47" t="s">
        <v>4284</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6730</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6731</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6732</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6733</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6734</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6735</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6736</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6737</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6738</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6739</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6740</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6741</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6742</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6743</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6744</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6745</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6746</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6747</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6748</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6749</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6750</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6751</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6752</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6753</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6754</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6755</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6756</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6757</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6758</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6759</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6760</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6761</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6762</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6763</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6764</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6765</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5196</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6766</v>
      </c>
      <c r="X1424" s="24" t="str">
        <f t="shared" si="750"/>
        <v>predi.100</v>
      </c>
      <c r="Y1424" s="24" t="str">
        <f t="shared" si="749"/>
        <v xml:space="preserve">Ação predimensionar </v>
      </c>
      <c r="Z1424" s="47" t="s">
        <v>4109</v>
      </c>
      <c r="AA1424" s="25" t="str">
        <f t="shared" si="751"/>
        <v>null</v>
      </c>
      <c r="AB1424" s="26" t="s">
        <v>0</v>
      </c>
      <c r="AC1424" s="25" t="str">
        <f t="shared" si="752"/>
        <v>null</v>
      </c>
      <c r="AD1424" s="26" t="s">
        <v>0</v>
      </c>
      <c r="AE1424" s="25" t="str">
        <f t="shared" si="755"/>
        <v>null</v>
      </c>
      <c r="AF1424" s="26" t="s">
        <v>0</v>
      </c>
      <c r="AG1424" s="47" t="s">
        <v>4179</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6767</v>
      </c>
      <c r="X1425" s="24" t="str">
        <f t="shared" si="750"/>
        <v>predi.101</v>
      </c>
      <c r="Y1425" s="24" t="str">
        <f t="shared" si="749"/>
        <v xml:space="preserve">Ação predimensionar </v>
      </c>
      <c r="Z1425" s="47" t="s">
        <v>4110</v>
      </c>
      <c r="AA1425" s="25" t="str">
        <f t="shared" si="751"/>
        <v>null</v>
      </c>
      <c r="AB1425" s="26" t="s">
        <v>0</v>
      </c>
      <c r="AC1425" s="25" t="str">
        <f t="shared" si="752"/>
        <v>null</v>
      </c>
      <c r="AD1425" s="26" t="s">
        <v>0</v>
      </c>
      <c r="AE1425" s="25" t="str">
        <f t="shared" si="755"/>
        <v>null</v>
      </c>
      <c r="AF1425" s="26" t="s">
        <v>0</v>
      </c>
      <c r="AG1425" s="47" t="s">
        <v>4180</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6768</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6769</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6770</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6771</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6772</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6773</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6774</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6775</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6776</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6777</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6778</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6779</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6780</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6781</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6782</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6783</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6784</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6785</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6786</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6787</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6788</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6789</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6790</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5259</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6791</v>
      </c>
      <c r="X1449" s="24" t="str">
        <f t="shared" si="750"/>
        <v>produ.104</v>
      </c>
      <c r="Y1449" s="24" t="str">
        <f t="shared" si="749"/>
        <v>Ação produzir</v>
      </c>
      <c r="Z1449" s="47" t="s">
        <v>5057</v>
      </c>
      <c r="AA1449" s="25" t="str">
        <f t="shared" si="751"/>
        <v>null</v>
      </c>
      <c r="AB1449" s="26" t="s">
        <v>0</v>
      </c>
      <c r="AC1449" s="25" t="str">
        <f t="shared" si="752"/>
        <v>null</v>
      </c>
      <c r="AD1449" s="26" t="s">
        <v>0</v>
      </c>
      <c r="AE1449" s="25" t="str">
        <f t="shared" si="755"/>
        <v>null</v>
      </c>
      <c r="AF1449" s="26" t="s">
        <v>0</v>
      </c>
      <c r="AG1449" s="47" t="s">
        <v>5260</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6792</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5197</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6793</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6794</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6795</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6796</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6797</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6798</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6799</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6800</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6801</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6802</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6803</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6804</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6805</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6806</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4693</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6807</v>
      </c>
      <c r="X1465" s="24" t="str">
        <f t="shared" si="750"/>
        <v>proje.114</v>
      </c>
      <c r="Y1465" s="24" t="str">
        <f t="shared" si="749"/>
        <v>Ação projetar</v>
      </c>
      <c r="Z1465" s="47" t="s">
        <v>4696</v>
      </c>
      <c r="AA1465" s="25" t="str">
        <f t="shared" si="771"/>
        <v>null</v>
      </c>
      <c r="AB1465" s="26" t="s">
        <v>0</v>
      </c>
      <c r="AC1465" s="25" t="str">
        <f t="shared" si="772"/>
        <v>null</v>
      </c>
      <c r="AD1465" s="26" t="s">
        <v>0</v>
      </c>
      <c r="AE1465" s="25" t="str">
        <f t="shared" si="773"/>
        <v>null</v>
      </c>
      <c r="AF1465" s="26" t="s">
        <v>0</v>
      </c>
      <c r="AG1465" s="47" t="s">
        <v>4694</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4698</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6808</v>
      </c>
      <c r="X1466" s="24" t="str">
        <f t="shared" si="750"/>
        <v>proje.115</v>
      </c>
      <c r="Y1466" s="24" t="str">
        <f t="shared" si="749"/>
        <v>Ação projetar</v>
      </c>
      <c r="Z1466" s="47" t="s">
        <v>4699</v>
      </c>
      <c r="AA1466" s="25" t="str">
        <f t="shared" si="771"/>
        <v>null</v>
      </c>
      <c r="AB1466" s="26" t="s">
        <v>0</v>
      </c>
      <c r="AC1466" s="25" t="str">
        <f t="shared" si="772"/>
        <v>null</v>
      </c>
      <c r="AD1466" s="26" t="s">
        <v>0</v>
      </c>
      <c r="AE1466" s="25" t="str">
        <f t="shared" si="773"/>
        <v>null</v>
      </c>
      <c r="AF1466" s="26" t="s">
        <v>0</v>
      </c>
      <c r="AG1466" s="47" t="s">
        <v>4700</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4692</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6809</v>
      </c>
      <c r="X1467" s="24" t="str">
        <f t="shared" si="750"/>
        <v>proje.116</v>
      </c>
      <c r="Y1467" s="24" t="str">
        <f t="shared" si="749"/>
        <v>Ação projetar</v>
      </c>
      <c r="Z1467" s="47" t="s">
        <v>4697</v>
      </c>
      <c r="AA1467" s="25" t="str">
        <f t="shared" si="771"/>
        <v>null</v>
      </c>
      <c r="AB1467" s="26" t="s">
        <v>0</v>
      </c>
      <c r="AC1467" s="25" t="str">
        <f t="shared" si="772"/>
        <v>null</v>
      </c>
      <c r="AD1467" s="26" t="s">
        <v>0</v>
      </c>
      <c r="AE1467" s="25" t="str">
        <f t="shared" si="773"/>
        <v>null</v>
      </c>
      <c r="AF1467" s="26" t="s">
        <v>0</v>
      </c>
      <c r="AG1467" s="47" t="s">
        <v>4695</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6810</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6811</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6812</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4890</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6813</v>
      </c>
      <c r="X1471" s="24" t="str">
        <f t="shared" si="750"/>
        <v>prote.100</v>
      </c>
      <c r="Y1471" s="24" t="str">
        <f t="shared" si="749"/>
        <v>Ação proteger</v>
      </c>
      <c r="Z1471" s="47" t="s">
        <v>4410</v>
      </c>
      <c r="AA1471" s="25" t="str">
        <f t="shared" si="751"/>
        <v>categoria.revit</v>
      </c>
      <c r="AB1471" s="26" t="s">
        <v>3954</v>
      </c>
      <c r="AC1471" s="25" t="str">
        <f t="shared" si="752"/>
        <v>classe.ifc</v>
      </c>
      <c r="AD1471" s="26" t="s">
        <v>3906</v>
      </c>
      <c r="AE1471" s="25" t="str">
        <f t="shared" si="755"/>
        <v>null</v>
      </c>
      <c r="AF1471" s="26" t="s">
        <v>0</v>
      </c>
      <c r="AG1471" s="47" t="s">
        <v>4471</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6814</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6815</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6816</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6817</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6818</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6819</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6820</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5091</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6821</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5090</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6822</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5089</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6823</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6824</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6825</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5088</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6826</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6827</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6828</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6829</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5085</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6830</v>
      </c>
      <c r="X1488" s="24" t="str">
        <f t="shared" si="776"/>
        <v>quali.111</v>
      </c>
      <c r="Y1488" s="24" t="str">
        <f t="shared" si="775"/>
        <v>Ação qualificar</v>
      </c>
      <c r="Z1488" s="47" t="s">
        <v>5086</v>
      </c>
      <c r="AA1488" s="25" t="str">
        <f t="shared" si="777"/>
        <v>null</v>
      </c>
      <c r="AB1488" s="26" t="s">
        <v>0</v>
      </c>
      <c r="AC1488" s="25" t="str">
        <f t="shared" si="778"/>
        <v>null</v>
      </c>
      <c r="AD1488" s="26" t="s">
        <v>0</v>
      </c>
      <c r="AE1488" s="25" t="str">
        <f t="shared" si="755"/>
        <v>null</v>
      </c>
      <c r="AF1488" s="26" t="s">
        <v>0</v>
      </c>
      <c r="AG1488" s="47" t="s">
        <v>5087</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6831</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6832</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6833</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6834</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5092</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6835</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6836</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6837</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6838</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6839</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6840</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5328</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6841</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5329</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6842</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5330</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6843</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5331</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6844</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5332</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6845</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5333</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6846</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6847</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6848</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5324</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6849</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5325</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6850</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6851</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6852</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5326</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6853</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5327</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6854</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6855</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5323</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6856</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5322</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6857</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6858</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6859</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5321</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6860</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5373</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6861</v>
      </c>
      <c r="X1519" s="24" t="str">
        <f t="shared" si="776"/>
        <v>quali.142</v>
      </c>
      <c r="Y1519" s="24" t="str">
        <f t="shared" si="775"/>
        <v>Ação qualificar</v>
      </c>
      <c r="Z1519" s="47" t="s">
        <v>7180</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7235</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6862</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5320</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6863</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5319</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6864</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6865</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5318</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6866</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6867</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6868</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6869</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7547</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6870</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5317</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6871</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6872</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6873</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6874</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6875</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6876</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6877</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6878</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6879</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6880</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6881</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6882</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6883</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6884</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6885</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4805</v>
      </c>
      <c r="H1544" s="41" t="s">
        <v>2321</v>
      </c>
      <c r="I1544" s="16" t="str">
        <f>J1544</f>
        <v>null</v>
      </c>
      <c r="J1544" s="13" t="s">
        <v>0</v>
      </c>
      <c r="K1544" s="13" t="s">
        <v>0</v>
      </c>
      <c r="L1544" s="13" t="s">
        <v>0</v>
      </c>
      <c r="M1544" s="13" t="s">
        <v>0</v>
      </c>
      <c r="N1544" s="15" t="s">
        <v>0</v>
      </c>
      <c r="O1544" s="13" t="s">
        <v>0</v>
      </c>
      <c r="P1544" s="13" t="s">
        <v>0</v>
      </c>
      <c r="Q1544" s="15" t="s">
        <v>0</v>
      </c>
      <c r="R1544" s="13" t="s">
        <v>4807</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6886</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4806</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6886</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4808</v>
      </c>
      <c r="H1546" s="41" t="s">
        <v>2321</v>
      </c>
      <c r="I1546" s="16" t="str">
        <f>J1546</f>
        <v>null</v>
      </c>
      <c r="J1546" s="13" t="s">
        <v>0</v>
      </c>
      <c r="K1546" s="13" t="s">
        <v>0</v>
      </c>
      <c r="L1546" s="13" t="s">
        <v>0</v>
      </c>
      <c r="M1546" s="13" t="s">
        <v>0</v>
      </c>
      <c r="N1546" s="15" t="s">
        <v>0</v>
      </c>
      <c r="O1546" s="13" t="s">
        <v>0</v>
      </c>
      <c r="P1546" s="13" t="s">
        <v>0</v>
      </c>
      <c r="Q1546" s="13" t="s">
        <v>0</v>
      </c>
      <c r="R1546" s="15" t="s">
        <v>4814</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6887</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4813</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6887</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4809</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4812</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6888</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4811</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6888</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6889</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4810</v>
      </c>
      <c r="H1551" s="41" t="s">
        <v>2321</v>
      </c>
      <c r="I1551" s="16" t="str">
        <f t="shared" si="830"/>
        <v>null</v>
      </c>
      <c r="J1551" s="13" t="s">
        <v>0</v>
      </c>
      <c r="K1551" s="13" t="s">
        <v>0</v>
      </c>
      <c r="L1551" s="13" t="s">
        <v>0</v>
      </c>
      <c r="M1551" s="13" t="s">
        <v>0</v>
      </c>
      <c r="N1551" s="15" t="s">
        <v>0</v>
      </c>
      <c r="O1551" s="13" t="s">
        <v>0</v>
      </c>
      <c r="P1551" s="13" t="s">
        <v>0</v>
      </c>
      <c r="Q1551" s="13" t="s">
        <v>0</v>
      </c>
      <c r="R1551" s="15" t="s">
        <v>4816</v>
      </c>
      <c r="S1551" s="10" t="s">
        <v>1</v>
      </c>
      <c r="T1551" s="10" t="s">
        <v>32</v>
      </c>
      <c r="U1551" s="5" t="str">
        <f t="shared" si="831"/>
        <v>Propriedade destinada a relacionar: é.incluída.em</v>
      </c>
      <c r="V1551" s="5" t="str">
        <f t="shared" si="832"/>
        <v>Dado para relacionar:  incluída.em  Deve ser formatado como (rdfs:Literal  or  xsd:string)</v>
      </c>
      <c r="W1551" s="5" t="s">
        <v>6890</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4815</v>
      </c>
      <c r="S1552" s="10" t="s">
        <v>1</v>
      </c>
      <c r="T1552" s="10" t="s">
        <v>32</v>
      </c>
      <c r="U1552" s="5" t="str">
        <f t="shared" si="831"/>
        <v>Propriedade destinada a relacionar: é.incluído.em</v>
      </c>
      <c r="V1552" s="5" t="str">
        <f t="shared" si="832"/>
        <v>Dado para relacionar:  incluído.em  Deve ser formatado como (rdfs:Literal  or  xsd:string)</v>
      </c>
      <c r="W1552" s="5" t="s">
        <v>6890</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6891</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6892</v>
      </c>
      <c r="X1554" s="24" t="str">
        <f t="shared" si="810"/>
        <v>relac.110</v>
      </c>
      <c r="Y1554" s="24" t="str">
        <f t="shared" si="809"/>
        <v>Ação relacionar</v>
      </c>
      <c r="Z1554" s="47" t="s">
        <v>5058</v>
      </c>
      <c r="AA1554" s="25" t="str">
        <f t="shared" si="833"/>
        <v>null</v>
      </c>
      <c r="AB1554" s="26" t="s">
        <v>0</v>
      </c>
      <c r="AC1554" s="25" t="str">
        <f t="shared" si="834"/>
        <v>null</v>
      </c>
      <c r="AD1554" s="26" t="s">
        <v>0</v>
      </c>
      <c r="AE1554" s="25" t="str">
        <f t="shared" si="835"/>
        <v>null</v>
      </c>
      <c r="AF1554" s="26" t="s">
        <v>0</v>
      </c>
      <c r="AG1554" s="47" t="s">
        <v>5261</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4817</v>
      </c>
      <c r="H1555" s="41" t="s">
        <v>2321</v>
      </c>
      <c r="I1555" s="16" t="str">
        <f t="shared" si="830"/>
        <v>null</v>
      </c>
      <c r="J1555" s="13" t="s">
        <v>0</v>
      </c>
      <c r="K1555" s="13" t="s">
        <v>0</v>
      </c>
      <c r="L1555" s="13" t="s">
        <v>0</v>
      </c>
      <c r="M1555" s="13" t="s">
        <v>0</v>
      </c>
      <c r="N1555" s="15" t="s">
        <v>0</v>
      </c>
      <c r="O1555" s="13" t="s">
        <v>0</v>
      </c>
      <c r="P1555" s="13" t="s">
        <v>0</v>
      </c>
      <c r="Q1555" s="13" t="s">
        <v>0</v>
      </c>
      <c r="R1555" s="15" t="s">
        <v>4819</v>
      </c>
      <c r="S1555" s="10" t="s">
        <v>1</v>
      </c>
      <c r="T1555" s="10" t="s">
        <v>32</v>
      </c>
      <c r="U1555" s="5" t="str">
        <f t="shared" si="831"/>
        <v>Propriedade destinada a relacionar: é.usada.em</v>
      </c>
      <c r="V1555" s="5" t="str">
        <f t="shared" si="832"/>
        <v>Dado para relacionar:  usada.em  Deve ser formatado como (rdfs:Literal  or  xsd:string)</v>
      </c>
      <c r="W1555" s="5" t="s">
        <v>6893</v>
      </c>
      <c r="X1555" s="24" t="str">
        <f t="shared" si="810"/>
        <v>relac.111</v>
      </c>
      <c r="Y1555" s="24" t="str">
        <f t="shared" si="809"/>
        <v>Ação relacionar</v>
      </c>
      <c r="Z1555" s="47" t="s">
        <v>7611</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4818</v>
      </c>
      <c r="S1556" s="10" t="s">
        <v>1</v>
      </c>
      <c r="T1556" s="10" t="s">
        <v>32</v>
      </c>
      <c r="U1556" s="5" t="str">
        <f t="shared" si="831"/>
        <v>Propriedade destinada a relacionar: é.usado.em</v>
      </c>
      <c r="V1556" s="5" t="str">
        <f t="shared" si="832"/>
        <v>Dado para relacionar:  usado.em  Deve ser formatado como (rdfs:Literal  or  xsd:string)</v>
      </c>
      <c r="W1556" s="5" t="s">
        <v>6893</v>
      </c>
      <c r="X1556" s="24" t="str">
        <f t="shared" si="810"/>
        <v>relac.112</v>
      </c>
      <c r="Y1556" s="24" t="str">
        <f t="shared" si="809"/>
        <v>Ação relacionar</v>
      </c>
      <c r="Z1556" s="47" t="s">
        <v>7611</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4821</v>
      </c>
      <c r="S1557" s="10" t="s">
        <v>1</v>
      </c>
      <c r="T1557" s="10" t="s">
        <v>32</v>
      </c>
      <c r="U1557" s="5" t="str">
        <f t="shared" si="831"/>
        <v>Propriedade destinada a relacionar: é.usada.por</v>
      </c>
      <c r="V1557" s="5" t="str">
        <f t="shared" si="832"/>
        <v>Dado para relacionar:  usada.por  Deve ser formatado como (rdfs:Literal  or  xsd:string)</v>
      </c>
      <c r="W1557" s="5" t="s">
        <v>6894</v>
      </c>
      <c r="X1557" s="24" t="str">
        <f t="shared" si="810"/>
        <v>relac.113</v>
      </c>
      <c r="Y1557" s="24" t="str">
        <f t="shared" si="809"/>
        <v>Ação relacionar</v>
      </c>
      <c r="Z1557" s="47" t="s">
        <v>7612</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4820</v>
      </c>
      <c r="S1558" s="10" t="s">
        <v>1</v>
      </c>
      <c r="T1558" s="10" t="s">
        <v>32</v>
      </c>
      <c r="U1558" s="5" t="str">
        <f t="shared" si="831"/>
        <v>Propriedade destinada a relacionar: é.usado.por</v>
      </c>
      <c r="V1558" s="5" t="str">
        <f t="shared" si="832"/>
        <v>Dado para relacionar:  usado.por  Deve ser formatado como (rdfs:Literal  or  xsd:string)</v>
      </c>
      <c r="W1558" s="5" t="s">
        <v>6894</v>
      </c>
      <c r="X1558" s="24" t="str">
        <f t="shared" si="810"/>
        <v>relac.114</v>
      </c>
      <c r="Y1558" s="24" t="str">
        <f t="shared" si="809"/>
        <v>Ação relacionar</v>
      </c>
      <c r="Z1558" s="47" t="s">
        <v>7612</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6895</v>
      </c>
      <c r="X1559" s="24" t="str">
        <f t="shared" si="810"/>
        <v>repro.100</v>
      </c>
      <c r="Y1559" s="24" t="str">
        <f t="shared" si="809"/>
        <v>Ação reproduzir</v>
      </c>
      <c r="Z1559" s="47" t="s">
        <v>2078</v>
      </c>
      <c r="AA1559" s="25" t="str">
        <f t="shared" ref="AA1559:AA1622" si="837">IF(AB1559="null", "null", "categoria.revit")</f>
        <v>null</v>
      </c>
      <c r="AB1559" s="26" t="s">
        <v>0</v>
      </c>
      <c r="AC1559" s="25" t="str">
        <f t="shared" ref="AC1559:AC1622"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6896</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9" si="839">_xlfn.CONCAT("Propriedade destinada a ",MID(C1561,FIND("p.",C1561,1)+2,100),": ",D1561)</f>
        <v>Propriedade destinada a reproduzir: é.música</v>
      </c>
      <c r="V1561" s="5" t="str">
        <f t="shared" ref="V1561:V1629" si="840">_xlfn.CONCAT("Dado para ",MID(F1561,FIND("d.",F1561,1)+2,100),":  ",G1561, "  Deve ser formatado como (",H1561, ")")</f>
        <v>Dado para reproduzir:  música  Deve ser formatado como (rdfs:Literal  or  xsd:string)</v>
      </c>
      <c r="W1561" s="5" t="s">
        <v>6897</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9"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6898</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6899</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6900</v>
      </c>
      <c r="X1564" s="24" t="str">
        <f t="shared" si="810"/>
        <v>requi.100</v>
      </c>
      <c r="Y1564" s="24" t="str">
        <f t="shared" si="809"/>
        <v>Ação requisitar</v>
      </c>
      <c r="Z1564" s="47" t="s">
        <v>7598</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6901</v>
      </c>
      <c r="X1565" s="24" t="str">
        <f t="shared" si="810"/>
        <v>requi.101</v>
      </c>
      <c r="Y1565" s="24" t="str">
        <f t="shared" si="809"/>
        <v>Ação requisitar</v>
      </c>
      <c r="Z1565" s="47" t="s">
        <v>7599</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6902</v>
      </c>
      <c r="X1566" s="24" t="str">
        <f t="shared" si="810"/>
        <v>requi.102</v>
      </c>
      <c r="Y1566" s="24" t="str">
        <f t="shared" si="809"/>
        <v>Ação requisitar</v>
      </c>
      <c r="Z1566" s="47" t="s">
        <v>7600</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6903</v>
      </c>
      <c r="X1567" s="24" t="str">
        <f t="shared" si="810"/>
        <v>requi.103</v>
      </c>
      <c r="Y1567" s="24" t="str">
        <f t="shared" si="809"/>
        <v>Ação requisitar</v>
      </c>
      <c r="Z1567" s="47" t="s">
        <v>7601</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6904</v>
      </c>
      <c r="X1568" s="24" t="str">
        <f t="shared" si="810"/>
        <v>requi.104</v>
      </c>
      <c r="Y1568" s="24" t="str">
        <f t="shared" si="809"/>
        <v>Ação requisitar</v>
      </c>
      <c r="Z1568" s="47" t="s">
        <v>7602</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6905</v>
      </c>
      <c r="X1569" s="24" t="str">
        <f t="shared" si="810"/>
        <v>requi.105</v>
      </c>
      <c r="Y1569" s="24" t="str">
        <f t="shared" si="809"/>
        <v>Ação requisitar</v>
      </c>
      <c r="Z1569" s="47" t="s">
        <v>7603</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6906</v>
      </c>
      <c r="X1570" s="24" t="str">
        <f t="shared" si="810"/>
        <v>requi.106</v>
      </c>
      <c r="Y1570" s="24" t="str">
        <f t="shared" si="809"/>
        <v>Ação requisitar</v>
      </c>
      <c r="Z1570" s="47" t="s">
        <v>7604</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6907</v>
      </c>
      <c r="X1571" s="24" t="str">
        <f t="shared" si="810"/>
        <v>requi.107</v>
      </c>
      <c r="Y1571" s="24" t="str">
        <f t="shared" si="809"/>
        <v>Ação requisitar</v>
      </c>
      <c r="Z1571" s="47" t="s">
        <v>7605</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6908</v>
      </c>
      <c r="X1572" s="24" t="str">
        <f t="shared" si="810"/>
        <v>requi.108</v>
      </c>
      <c r="Y1572" s="24" t="str">
        <f t="shared" si="809"/>
        <v>Ação requisitar</v>
      </c>
      <c r="Z1572" s="47" t="s">
        <v>7606</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6909</v>
      </c>
      <c r="X1573" s="24" t="str">
        <f t="shared" si="810"/>
        <v>requi.109</v>
      </c>
      <c r="Y1573" s="24" t="str">
        <f t="shared" si="809"/>
        <v>Ação requisitar</v>
      </c>
      <c r="Z1573" s="47" t="s">
        <v>7607</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6910</v>
      </c>
      <c r="X1574" s="24" t="str">
        <f t="shared" si="810"/>
        <v>requi.110</v>
      </c>
      <c r="Y1574" s="24" t="str">
        <f t="shared" si="809"/>
        <v>Ação requisitar</v>
      </c>
      <c r="Z1574" s="47" t="s">
        <v>7610</v>
      </c>
      <c r="AA1574" s="25" t="str">
        <f t="shared" si="837"/>
        <v>null</v>
      </c>
      <c r="AB1574" s="26" t="s">
        <v>0</v>
      </c>
      <c r="AC1574" s="25" t="str">
        <f t="shared" si="838"/>
        <v>null</v>
      </c>
      <c r="AD1574" s="26" t="s">
        <v>0</v>
      </c>
      <c r="AE1574" s="25" t="str">
        <f t="shared" si="841"/>
        <v>null</v>
      </c>
      <c r="AF1574" s="26" t="s">
        <v>0</v>
      </c>
      <c r="AG1574" s="47" t="s">
        <v>5316</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6911</v>
      </c>
      <c r="X1575" s="24" t="str">
        <f t="shared" si="810"/>
        <v>requi.111</v>
      </c>
      <c r="Y1575" s="24" t="str">
        <f t="shared" si="809"/>
        <v>Ação requisitar</v>
      </c>
      <c r="Z1575" s="47" t="s">
        <v>7608</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6912</v>
      </c>
      <c r="X1576" s="24" t="str">
        <f t="shared" si="810"/>
        <v>requi.112</v>
      </c>
      <c r="Y1576" s="24" t="str">
        <f t="shared" si="809"/>
        <v>Ação requisitar</v>
      </c>
      <c r="Z1576" s="47" t="s">
        <v>7609</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6913</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6914</v>
      </c>
      <c r="X1578" s="24" t="str">
        <f t="shared" si="810"/>
        <v>resis.101</v>
      </c>
      <c r="Y1578" s="24" t="str">
        <f t="shared" si="809"/>
        <v>Ação resistir</v>
      </c>
      <c r="Z1578" s="47" t="s">
        <v>7597</v>
      </c>
      <c r="AA1578" s="25" t="str">
        <f t="shared" si="847"/>
        <v>null</v>
      </c>
      <c r="AB1578" s="26" t="s">
        <v>0</v>
      </c>
      <c r="AC1578" s="25" t="str">
        <f t="shared" si="848"/>
        <v>null</v>
      </c>
      <c r="AD1578" s="26" t="s">
        <v>0</v>
      </c>
      <c r="AE1578" s="25" t="str">
        <f t="shared" si="849"/>
        <v>null</v>
      </c>
      <c r="AF1578" s="26" t="s">
        <v>0</v>
      </c>
      <c r="AG1578" s="47" t="s">
        <v>5262</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6915</v>
      </c>
      <c r="X1579" s="24" t="str">
        <f t="shared" si="810"/>
        <v>resis.102</v>
      </c>
      <c r="Y1579" s="24" t="str">
        <f t="shared" si="809"/>
        <v>Ação resistir</v>
      </c>
      <c r="Z1579" s="47" t="s">
        <v>7584</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6916</v>
      </c>
      <c r="X1580" s="24" t="str">
        <f t="shared" si="810"/>
        <v>resis.103</v>
      </c>
      <c r="Y1580" s="24" t="str">
        <f t="shared" si="809"/>
        <v>Ação resistir</v>
      </c>
      <c r="Z1580" s="47" t="s">
        <v>7585</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6917</v>
      </c>
      <c r="X1581" s="24" t="str">
        <f t="shared" si="810"/>
        <v>resis.104</v>
      </c>
      <c r="Y1581" s="24" t="str">
        <f t="shared" si="809"/>
        <v>Ação resistir</v>
      </c>
      <c r="Z1581" s="47" t="s">
        <v>7586</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6918</v>
      </c>
      <c r="X1582" s="24" t="str">
        <f t="shared" si="810"/>
        <v>resis.105</v>
      </c>
      <c r="Y1582" s="24" t="str">
        <f t="shared" si="809"/>
        <v>Ação resistir</v>
      </c>
      <c r="Z1582" s="47" t="s">
        <v>7587</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6919</v>
      </c>
      <c r="X1583" s="24" t="str">
        <f t="shared" si="810"/>
        <v>resis.106</v>
      </c>
      <c r="Y1583" s="24" t="str">
        <f t="shared" si="809"/>
        <v>Ação resistir</v>
      </c>
      <c r="Z1583" s="47" t="s">
        <v>7588</v>
      </c>
      <c r="AA1583" s="25" t="str">
        <f t="shared" si="847"/>
        <v>null</v>
      </c>
      <c r="AB1583" s="26" t="s">
        <v>0</v>
      </c>
      <c r="AC1583" s="25" t="str">
        <f t="shared" si="848"/>
        <v>null</v>
      </c>
      <c r="AD1583" s="26" t="s">
        <v>0</v>
      </c>
      <c r="AE1583" s="25" t="str">
        <f t="shared" si="849"/>
        <v>null</v>
      </c>
      <c r="AF1583" s="26" t="s">
        <v>0</v>
      </c>
      <c r="AG1583" s="47" t="s">
        <v>5344</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4602</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6920</v>
      </c>
      <c r="X1584" s="24" t="str">
        <f t="shared" si="810"/>
        <v>resis.107</v>
      </c>
      <c r="Y1584" s="24" t="str">
        <f t="shared" si="809"/>
        <v>Ação resistir</v>
      </c>
      <c r="Z1584" s="47" t="s">
        <v>7589</v>
      </c>
      <c r="AA1584" s="25" t="str">
        <f t="shared" si="847"/>
        <v>null</v>
      </c>
      <c r="AB1584" s="26" t="s">
        <v>0</v>
      </c>
      <c r="AC1584" s="25" t="str">
        <f t="shared" si="848"/>
        <v>null</v>
      </c>
      <c r="AD1584" s="26" t="s">
        <v>0</v>
      </c>
      <c r="AE1584" s="25" t="str">
        <f t="shared" si="849"/>
        <v>null</v>
      </c>
      <c r="AF1584" s="26" t="s">
        <v>0</v>
      </c>
      <c r="AG1584" s="47" t="s">
        <v>5345</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4604</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6921</v>
      </c>
      <c r="X1585" s="24" t="str">
        <f t="shared" si="810"/>
        <v>resis.108</v>
      </c>
      <c r="Y1585" s="24" t="str">
        <f t="shared" si="809"/>
        <v>Ação resistir</v>
      </c>
      <c r="Z1585" s="47" t="s">
        <v>7590</v>
      </c>
      <c r="AA1585" s="25" t="str">
        <f t="shared" si="847"/>
        <v>null</v>
      </c>
      <c r="AB1585" s="26" t="s">
        <v>0</v>
      </c>
      <c r="AC1585" s="25" t="str">
        <f t="shared" si="848"/>
        <v>null</v>
      </c>
      <c r="AD1585" s="26" t="s">
        <v>0</v>
      </c>
      <c r="AE1585" s="25" t="str">
        <f t="shared" si="849"/>
        <v>null</v>
      </c>
      <c r="AF1585" s="26" t="s">
        <v>0</v>
      </c>
      <c r="AG1585" s="47" t="s">
        <v>5346</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4603</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6922</v>
      </c>
      <c r="X1586" s="24" t="str">
        <f t="shared" si="810"/>
        <v>resis.109</v>
      </c>
      <c r="Y1586" s="24" t="str">
        <f t="shared" si="809"/>
        <v>Ação resistir</v>
      </c>
      <c r="Z1586" s="47" t="s">
        <v>7591</v>
      </c>
      <c r="AA1586" s="25" t="str">
        <f t="shared" si="847"/>
        <v>null</v>
      </c>
      <c r="AB1586" s="26" t="s">
        <v>0</v>
      </c>
      <c r="AC1586" s="25" t="str">
        <f t="shared" si="848"/>
        <v>null</v>
      </c>
      <c r="AD1586" s="26" t="s">
        <v>0</v>
      </c>
      <c r="AE1586" s="25" t="str">
        <f t="shared" si="849"/>
        <v>null</v>
      </c>
      <c r="AF1586" s="26" t="s">
        <v>0</v>
      </c>
      <c r="AG1586" s="47" t="s">
        <v>5347</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4605</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6923</v>
      </c>
      <c r="X1587" s="24" t="str">
        <f t="shared" si="810"/>
        <v>resis.110</v>
      </c>
      <c r="Y1587" s="24" t="str">
        <f t="shared" si="809"/>
        <v>Ação resistir</v>
      </c>
      <c r="Z1587" s="47" t="s">
        <v>7592</v>
      </c>
      <c r="AA1587" s="25" t="str">
        <f t="shared" si="847"/>
        <v>null</v>
      </c>
      <c r="AB1587" s="26" t="s">
        <v>0</v>
      </c>
      <c r="AC1587" s="25" t="str">
        <f t="shared" si="848"/>
        <v>null</v>
      </c>
      <c r="AD1587" s="26" t="s">
        <v>0</v>
      </c>
      <c r="AE1587" s="25" t="str">
        <f t="shared" si="849"/>
        <v>null</v>
      </c>
      <c r="AF1587" s="26" t="s">
        <v>0</v>
      </c>
      <c r="AG1587" s="47" t="s">
        <v>5348</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4606</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6924</v>
      </c>
      <c r="X1588" s="24" t="str">
        <f t="shared" si="810"/>
        <v>resis.111</v>
      </c>
      <c r="Y1588" s="24" t="str">
        <f t="shared" si="809"/>
        <v>Ação resistir</v>
      </c>
      <c r="Z1588" s="47" t="s">
        <v>7593</v>
      </c>
      <c r="AA1588" s="25" t="str">
        <f t="shared" si="847"/>
        <v>null</v>
      </c>
      <c r="AB1588" s="26" t="s">
        <v>0</v>
      </c>
      <c r="AC1588" s="25" t="str">
        <f t="shared" si="848"/>
        <v>null</v>
      </c>
      <c r="AD1588" s="26" t="s">
        <v>0</v>
      </c>
      <c r="AE1588" s="25" t="str">
        <f t="shared" si="849"/>
        <v>null</v>
      </c>
      <c r="AF1588" s="26" t="s">
        <v>0</v>
      </c>
      <c r="AG1588" s="47" t="s">
        <v>5349</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4613</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6925</v>
      </c>
      <c r="X1589" s="24" t="str">
        <f t="shared" si="810"/>
        <v>resis.112</v>
      </c>
      <c r="Y1589" s="24" t="str">
        <f t="shared" si="809"/>
        <v>Ação resistir</v>
      </c>
      <c r="Z1589" s="47" t="s">
        <v>7594</v>
      </c>
      <c r="AA1589" s="25" t="str">
        <f t="shared" si="847"/>
        <v>null</v>
      </c>
      <c r="AB1589" s="26" t="s">
        <v>0</v>
      </c>
      <c r="AC1589" s="25" t="str">
        <f t="shared" si="848"/>
        <v>null</v>
      </c>
      <c r="AD1589" s="26" t="s">
        <v>0</v>
      </c>
      <c r="AE1589" s="25" t="str">
        <f t="shared" si="849"/>
        <v>null</v>
      </c>
      <c r="AF1589" s="26" t="s">
        <v>0</v>
      </c>
      <c r="AG1589" s="47" t="s">
        <v>5350</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6926</v>
      </c>
      <c r="X1590" s="24" t="str">
        <f t="shared" si="810"/>
        <v>resis.113</v>
      </c>
      <c r="Y1590" s="24" t="str">
        <f t="shared" si="809"/>
        <v>Ação resistir</v>
      </c>
      <c r="Z1590" s="47" t="s">
        <v>7595</v>
      </c>
      <c r="AA1590" s="25" t="str">
        <f t="shared" si="847"/>
        <v>null</v>
      </c>
      <c r="AB1590" s="26" t="s">
        <v>0</v>
      </c>
      <c r="AC1590" s="25" t="str">
        <f t="shared" si="848"/>
        <v>null</v>
      </c>
      <c r="AD1590" s="26" t="s">
        <v>0</v>
      </c>
      <c r="AE1590" s="25" t="str">
        <f t="shared" si="849"/>
        <v>null</v>
      </c>
      <c r="AF1590" s="26" t="s">
        <v>0</v>
      </c>
      <c r="AG1590" s="47" t="s">
        <v>5351</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6927</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5352</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6926</v>
      </c>
      <c r="X1592" s="24" t="str">
        <f t="shared" si="810"/>
        <v>resis.115</v>
      </c>
      <c r="Y1592" s="24" t="str">
        <f t="shared" si="809"/>
        <v>Ação resistir</v>
      </c>
      <c r="Z1592" s="47" t="s">
        <v>7595</v>
      </c>
      <c r="AA1592" s="25" t="str">
        <f t="shared" si="847"/>
        <v>null</v>
      </c>
      <c r="AB1592" s="26" t="s">
        <v>0</v>
      </c>
      <c r="AC1592" s="25" t="str">
        <f t="shared" si="848"/>
        <v>null</v>
      </c>
      <c r="AD1592" s="26" t="s">
        <v>0</v>
      </c>
      <c r="AE1592" s="25" t="str">
        <f t="shared" si="849"/>
        <v>null</v>
      </c>
      <c r="AF1592" s="26" t="s">
        <v>0</v>
      </c>
      <c r="AG1592" s="47" t="s">
        <v>5351</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6928</v>
      </c>
      <c r="X1593" s="24" t="str">
        <f t="shared" si="810"/>
        <v>resis.116</v>
      </c>
      <c r="Y1593" s="24" t="str">
        <f t="shared" si="809"/>
        <v>Ação resistir</v>
      </c>
      <c r="Z1593" s="47" t="s">
        <v>7596</v>
      </c>
      <c r="AA1593" s="25" t="str">
        <f t="shared" si="847"/>
        <v>null</v>
      </c>
      <c r="AB1593" s="26" t="s">
        <v>0</v>
      </c>
      <c r="AC1593" s="25" t="str">
        <f t="shared" si="848"/>
        <v>null</v>
      </c>
      <c r="AD1593" s="26" t="s">
        <v>0</v>
      </c>
      <c r="AE1593" s="25" t="str">
        <f t="shared" si="849"/>
        <v>null</v>
      </c>
      <c r="AF1593" s="26" t="s">
        <v>0</v>
      </c>
      <c r="AG1593" s="47" t="s">
        <v>5353</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6929</v>
      </c>
      <c r="X1594" s="24" t="str">
        <f t="shared" si="810"/>
        <v>resis.117</v>
      </c>
      <c r="Y1594" s="24" t="str">
        <f t="shared" si="809"/>
        <v>Ação resistir</v>
      </c>
      <c r="Z1594" s="47" t="s">
        <v>4607</v>
      </c>
      <c r="AA1594" s="25" t="str">
        <f t="shared" si="847"/>
        <v>null</v>
      </c>
      <c r="AB1594" s="26" t="s">
        <v>0</v>
      </c>
      <c r="AC1594" s="25" t="str">
        <f t="shared" si="848"/>
        <v>null</v>
      </c>
      <c r="AD1594" s="26" t="s">
        <v>0</v>
      </c>
      <c r="AE1594" s="25" t="str">
        <f t="shared" si="849"/>
        <v>null</v>
      </c>
      <c r="AF1594" s="26" t="s">
        <v>0</v>
      </c>
      <c r="AG1594" s="47" t="s">
        <v>5354</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6930</v>
      </c>
      <c r="X1595" s="24" t="str">
        <f t="shared" si="810"/>
        <v>resis.118</v>
      </c>
      <c r="Y1595" s="24" t="str">
        <f t="shared" si="809"/>
        <v>Ação resistir</v>
      </c>
      <c r="Z1595" s="47" t="s">
        <v>4608</v>
      </c>
      <c r="AA1595" s="25" t="str">
        <f t="shared" si="847"/>
        <v>null</v>
      </c>
      <c r="AB1595" s="26" t="s">
        <v>0</v>
      </c>
      <c r="AC1595" s="25" t="str">
        <f t="shared" si="848"/>
        <v>null</v>
      </c>
      <c r="AD1595" s="26" t="s">
        <v>0</v>
      </c>
      <c r="AE1595" s="25" t="str">
        <f t="shared" si="849"/>
        <v>null</v>
      </c>
      <c r="AF1595" s="26" t="s">
        <v>0</v>
      </c>
      <c r="AG1595" s="47" t="s">
        <v>5355</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6931</v>
      </c>
      <c r="X1596" s="24" t="str">
        <f t="shared" si="810"/>
        <v>resis.119</v>
      </c>
      <c r="Y1596" s="24" t="str">
        <f t="shared" si="809"/>
        <v>Ação resistir</v>
      </c>
      <c r="Z1596" s="47" t="s">
        <v>4609</v>
      </c>
      <c r="AA1596" s="25" t="str">
        <f t="shared" si="847"/>
        <v>null</v>
      </c>
      <c r="AB1596" s="26" t="s">
        <v>0</v>
      </c>
      <c r="AC1596" s="25" t="str">
        <f t="shared" si="848"/>
        <v>null</v>
      </c>
      <c r="AD1596" s="26" t="s">
        <v>0</v>
      </c>
      <c r="AE1596" s="25" t="str">
        <f t="shared" si="849"/>
        <v>null</v>
      </c>
      <c r="AF1596" s="26" t="s">
        <v>0</v>
      </c>
      <c r="AG1596" s="47" t="s">
        <v>5356</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6932</v>
      </c>
      <c r="X1597" s="24" t="str">
        <f t="shared" si="810"/>
        <v>resis.120</v>
      </c>
      <c r="Y1597" s="24" t="str">
        <f t="shared" si="809"/>
        <v>Ação resistir</v>
      </c>
      <c r="Z1597" s="47" t="s">
        <v>4610</v>
      </c>
      <c r="AA1597" s="25" t="str">
        <f t="shared" si="847"/>
        <v>null</v>
      </c>
      <c r="AB1597" s="26" t="s">
        <v>0</v>
      </c>
      <c r="AC1597" s="25" t="str">
        <f t="shared" si="848"/>
        <v>null</v>
      </c>
      <c r="AD1597" s="26" t="s">
        <v>0</v>
      </c>
      <c r="AE1597" s="25" t="str">
        <f t="shared" si="849"/>
        <v>null</v>
      </c>
      <c r="AF1597" s="26" t="s">
        <v>0</v>
      </c>
      <c r="AG1597" s="47" t="s">
        <v>5357</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7548</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7549</v>
      </c>
      <c r="X1598" s="24" t="str">
        <f t="shared" si="810"/>
        <v>resis.121</v>
      </c>
      <c r="Y1598" s="24" t="str">
        <f t="shared" si="809"/>
        <v>Ação resistir</v>
      </c>
      <c r="Z1598" s="47" t="s">
        <v>4611</v>
      </c>
      <c r="AA1598" s="25" t="str">
        <f t="shared" si="847"/>
        <v>null</v>
      </c>
      <c r="AB1598" s="26" t="s">
        <v>0</v>
      </c>
      <c r="AC1598" s="25" t="str">
        <f t="shared" si="848"/>
        <v>null</v>
      </c>
      <c r="AD1598" s="26" t="s">
        <v>0</v>
      </c>
      <c r="AE1598" s="25" t="str">
        <f t="shared" si="849"/>
        <v>null</v>
      </c>
      <c r="AF1598" s="26" t="s">
        <v>0</v>
      </c>
      <c r="AG1598" s="47" t="s">
        <v>5358</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4556</v>
      </c>
      <c r="H1599" s="41" t="s">
        <v>36</v>
      </c>
      <c r="I1599" s="16" t="str">
        <f t="shared" si="844"/>
        <v>null</v>
      </c>
      <c r="J1599" s="13" t="s">
        <v>0</v>
      </c>
      <c r="K1599" s="13" t="s">
        <v>0</v>
      </c>
      <c r="L1599" s="13" t="s">
        <v>0</v>
      </c>
      <c r="M1599" s="13" t="s">
        <v>0</v>
      </c>
      <c r="N1599" s="15" t="s">
        <v>0</v>
      </c>
      <c r="O1599" s="13" t="s">
        <v>0</v>
      </c>
      <c r="P1599" s="13" t="s">
        <v>0</v>
      </c>
      <c r="Q1599" s="13" t="s">
        <v>0</v>
      </c>
      <c r="R1599" s="66" t="s">
        <v>4560</v>
      </c>
      <c r="S1599" s="10" t="s">
        <v>1</v>
      </c>
      <c r="T1599" s="10" t="s">
        <v>32</v>
      </c>
      <c r="U1599" s="5" t="str">
        <f t="shared" si="845"/>
        <v>Propriedade destinada a resistir: é.módulo.de.elasticidade</v>
      </c>
      <c r="V1599" s="5" t="str">
        <f t="shared" si="846"/>
        <v>Dado para resistir:  módulo.de.elasticidade  Deve ser formatado como (xsd:double)</v>
      </c>
      <c r="W1599" s="5" t="s">
        <v>6933</v>
      </c>
      <c r="X1599" s="24" t="str">
        <f t="shared" si="810"/>
        <v>resis.122</v>
      </c>
      <c r="Y1599" s="24" t="str">
        <f t="shared" si="809"/>
        <v>Ação resistir</v>
      </c>
      <c r="Z1599" s="49" t="s">
        <v>4612</v>
      </c>
      <c r="AA1599" s="25" t="str">
        <f t="shared" si="847"/>
        <v>null</v>
      </c>
      <c r="AB1599" s="26" t="s">
        <v>0</v>
      </c>
      <c r="AC1599" s="25" t="str">
        <f t="shared" si="848"/>
        <v>null</v>
      </c>
      <c r="AD1599" s="26" t="s">
        <v>0</v>
      </c>
      <c r="AE1599" s="25" t="str">
        <f t="shared" si="849"/>
        <v>null</v>
      </c>
      <c r="AF1599" s="26" t="s">
        <v>0</v>
      </c>
      <c r="AG1599" s="47" t="s">
        <v>5359</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4557</v>
      </c>
      <c r="H1600" s="41" t="s">
        <v>36</v>
      </c>
      <c r="I1600" s="16" t="str">
        <f t="shared" si="844"/>
        <v>null</v>
      </c>
      <c r="J1600" s="13" t="s">
        <v>0</v>
      </c>
      <c r="K1600" s="13" t="s">
        <v>0</v>
      </c>
      <c r="L1600" s="13" t="s">
        <v>0</v>
      </c>
      <c r="M1600" s="13" t="s">
        <v>0</v>
      </c>
      <c r="N1600" s="15" t="s">
        <v>0</v>
      </c>
      <c r="O1600" s="13" t="s">
        <v>0</v>
      </c>
      <c r="P1600" s="13" t="s">
        <v>0</v>
      </c>
      <c r="Q1600" s="13" t="s">
        <v>0</v>
      </c>
      <c r="R1600" s="66" t="s">
        <v>4559</v>
      </c>
      <c r="S1600" s="10" t="s">
        <v>1</v>
      </c>
      <c r="T1600" s="10" t="s">
        <v>32</v>
      </c>
      <c r="U1600" s="5" t="str">
        <f t="shared" si="845"/>
        <v>Propriedade destinada a resistir: é.módulo.de.young</v>
      </c>
      <c r="V1600" s="5" t="str">
        <f t="shared" si="846"/>
        <v>Dado para resistir:  módulo.de.young  Deve ser formatado como (xsd:double)</v>
      </c>
      <c r="W1600" s="5" t="s">
        <v>6933</v>
      </c>
      <c r="X1600" s="24" t="str">
        <f t="shared" si="810"/>
        <v>resis.123</v>
      </c>
      <c r="Y1600" s="24" t="str">
        <f t="shared" si="809"/>
        <v>Ação resistir</v>
      </c>
      <c r="Z1600" s="49" t="s">
        <v>4612</v>
      </c>
      <c r="AA1600" s="25" t="str">
        <f t="shared" si="847"/>
        <v>null</v>
      </c>
      <c r="AB1600" s="26" t="s">
        <v>0</v>
      </c>
      <c r="AC1600" s="25" t="str">
        <f t="shared" si="848"/>
        <v>null</v>
      </c>
      <c r="AD1600" s="26" t="s">
        <v>0</v>
      </c>
      <c r="AE1600" s="25" t="str">
        <f t="shared" si="849"/>
        <v>null</v>
      </c>
      <c r="AF1600" s="26" t="s">
        <v>0</v>
      </c>
      <c r="AG1600" s="47" t="s">
        <v>5359</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4600</v>
      </c>
      <c r="H1601" s="41" t="s">
        <v>2321</v>
      </c>
      <c r="I1601" s="16" t="str">
        <f t="shared" si="844"/>
        <v>null</v>
      </c>
      <c r="J1601" s="13" t="s">
        <v>0</v>
      </c>
      <c r="K1601" s="13" t="s">
        <v>0</v>
      </c>
      <c r="L1601" s="13" t="s">
        <v>0</v>
      </c>
      <c r="M1601" s="13" t="s">
        <v>0</v>
      </c>
      <c r="N1601" s="15" t="s">
        <v>0</v>
      </c>
      <c r="O1601" s="13" t="s">
        <v>0</v>
      </c>
      <c r="P1601" s="13" t="s">
        <v>0</v>
      </c>
      <c r="Q1601" s="13" t="s">
        <v>0</v>
      </c>
      <c r="R1601" s="15" t="s">
        <v>4601</v>
      </c>
      <c r="S1601" s="10" t="s">
        <v>1</v>
      </c>
      <c r="T1601" s="10" t="s">
        <v>32</v>
      </c>
      <c r="U1601" s="5" t="str">
        <f t="shared" si="845"/>
        <v>Propriedade destinada a resistir: é.perfil.de.aço</v>
      </c>
      <c r="V1601" s="5" t="str">
        <f t="shared" si="846"/>
        <v>Dado para resistir:  perfil.de.aço  Deve ser formatado como (rdfs:Literal  or  xsd:string)</v>
      </c>
      <c r="W1601" s="5" t="s">
        <v>6267</v>
      </c>
      <c r="X1601" s="24" t="str">
        <f t="shared" si="810"/>
        <v>resis.124</v>
      </c>
      <c r="Y1601" s="24" t="str">
        <f t="shared" si="809"/>
        <v>Ação resistir</v>
      </c>
      <c r="Z1601" s="47" t="s">
        <v>7580</v>
      </c>
      <c r="AA1601" s="25" t="str">
        <f t="shared" si="847"/>
        <v>null</v>
      </c>
      <c r="AB1601" s="26" t="s">
        <v>0</v>
      </c>
      <c r="AC1601" s="25" t="str">
        <f t="shared" si="848"/>
        <v>null</v>
      </c>
      <c r="AD1601" s="26" t="s">
        <v>0</v>
      </c>
      <c r="AE1601" s="25" t="str">
        <f t="shared" si="849"/>
        <v>null</v>
      </c>
      <c r="AF1601" s="26" t="s">
        <v>0</v>
      </c>
      <c r="AG1601" s="47" t="s">
        <v>5360</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4536</v>
      </c>
      <c r="S1602" s="10" t="s">
        <v>1</v>
      </c>
      <c r="T1602" s="10" t="s">
        <v>32</v>
      </c>
      <c r="U1602" s="5" t="str">
        <f t="shared" si="845"/>
        <v>Propriedade destinada a resistir: é.resistência.ao.fogo</v>
      </c>
      <c r="V1602" s="5" t="str">
        <f t="shared" si="846"/>
        <v>Dado para resistir:  resistência.ao.fogo  Deve ser formatado como (xsd:integer)</v>
      </c>
      <c r="W1602" s="5" t="s">
        <v>6934</v>
      </c>
      <c r="X1602" s="24" t="str">
        <f t="shared" si="810"/>
        <v>resis.125</v>
      </c>
      <c r="Y1602" s="24" t="str">
        <f t="shared" ref="Y1602:Y1665" si="852">_xlfn.CONCAT("Ação ", SUBSTITUTE(F1602, "d.",  ""))</f>
        <v>Ação resistir</v>
      </c>
      <c r="Z1602" s="47" t="s">
        <v>7581</v>
      </c>
      <c r="AA1602" s="25" t="str">
        <f t="shared" si="847"/>
        <v>null</v>
      </c>
      <c r="AB1602" s="26" t="s">
        <v>0</v>
      </c>
      <c r="AC1602" s="25" t="str">
        <f t="shared" si="848"/>
        <v>null</v>
      </c>
      <c r="AD1602" s="26" t="s">
        <v>0</v>
      </c>
      <c r="AE1602" s="25" t="str">
        <f t="shared" si="849"/>
        <v>null</v>
      </c>
      <c r="AF1602" s="26" t="s">
        <v>0</v>
      </c>
      <c r="AG1602" s="47" t="s">
        <v>5361</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6935</v>
      </c>
      <c r="X1603" s="24" t="str">
        <f t="shared" ref="X1603:X1666" si="853">IF(F1602&lt;&gt;F1603,_xlfn.CONCAT(RIGHT(LEFT(F1603,7),5),".100"),_xlfn.CONCAT(RIGHT(LEFT(F1603,7),5),".",SUM(VALUE(RIGHT(X1602,3)),1)))</f>
        <v>resis.126</v>
      </c>
      <c r="Y1603" s="24" t="str">
        <f t="shared" si="852"/>
        <v>Ação resistir</v>
      </c>
      <c r="Z1603" s="47" t="s">
        <v>7582</v>
      </c>
      <c r="AA1603" s="25" t="str">
        <f t="shared" si="847"/>
        <v>null</v>
      </c>
      <c r="AB1603" s="26" t="s">
        <v>0</v>
      </c>
      <c r="AC1603" s="25" t="str">
        <f t="shared" si="848"/>
        <v>null</v>
      </c>
      <c r="AD1603" s="26" t="s">
        <v>0</v>
      </c>
      <c r="AE1603" s="25" t="str">
        <f t="shared" si="849"/>
        <v>null</v>
      </c>
      <c r="AF1603" s="26" t="s">
        <v>0</v>
      </c>
      <c r="AG1603" s="47" t="s">
        <v>5362</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6936</v>
      </c>
      <c r="X1604" s="24" t="str">
        <f t="shared" si="853"/>
        <v>resis.127</v>
      </c>
      <c r="Y1604" s="24" t="str">
        <f t="shared" si="852"/>
        <v>Ação resistir</v>
      </c>
      <c r="Z1604" s="47" t="s">
        <v>7583</v>
      </c>
      <c r="AA1604" s="25" t="str">
        <f t="shared" si="847"/>
        <v>null</v>
      </c>
      <c r="AB1604" s="26" t="s">
        <v>0</v>
      </c>
      <c r="AC1604" s="25" t="str">
        <f t="shared" si="848"/>
        <v>null</v>
      </c>
      <c r="AD1604" s="26" t="s">
        <v>0</v>
      </c>
      <c r="AE1604" s="25" t="str">
        <f t="shared" si="849"/>
        <v>null</v>
      </c>
      <c r="AF1604" s="26" t="s">
        <v>0</v>
      </c>
      <c r="AG1604" s="47" t="s">
        <v>5363</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6927</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5352</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4535</v>
      </c>
      <c r="S1606" s="10" t="s">
        <v>1</v>
      </c>
      <c r="T1606" s="10" t="s">
        <v>32</v>
      </c>
      <c r="U1606" s="5" t="str">
        <f t="shared" si="845"/>
        <v>Propriedade destinada a resistir: é.trrf</v>
      </c>
      <c r="V1606" s="5" t="str">
        <f t="shared" si="846"/>
        <v>Dado para resistir:  trrf  Deve ser formatado como (xsd:integer)</v>
      </c>
      <c r="W1606" s="5" t="s">
        <v>6937</v>
      </c>
      <c r="X1606" s="24" t="str">
        <f t="shared" si="853"/>
        <v>resis.129</v>
      </c>
      <c r="Y1606" s="24" t="str">
        <f t="shared" si="852"/>
        <v>Ação resistir</v>
      </c>
      <c r="Z1606" s="47" t="s">
        <v>4558</v>
      </c>
      <c r="AA1606" s="25" t="str">
        <f t="shared" si="847"/>
        <v>null</v>
      </c>
      <c r="AB1606" s="26" t="s">
        <v>0</v>
      </c>
      <c r="AC1606" s="25" t="str">
        <f t="shared" si="848"/>
        <v>null</v>
      </c>
      <c r="AD1606" s="26" t="s">
        <v>0</v>
      </c>
      <c r="AE1606" s="25" t="str">
        <f t="shared" si="849"/>
        <v>null</v>
      </c>
      <c r="AF1606" s="26" t="s">
        <v>0</v>
      </c>
      <c r="AG1606" s="47" t="s">
        <v>5364</v>
      </c>
    </row>
    <row r="1607" spans="1:33" ht="6" customHeight="1" x14ac:dyDescent="0.4">
      <c r="A1607" s="4">
        <f>ROW()</f>
        <v>1607</v>
      </c>
      <c r="B1607" s="9" t="s">
        <v>27</v>
      </c>
      <c r="C1607" s="54" t="str">
        <f t="shared" ref="C1607:C1633"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6938</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5263</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6939</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5264</v>
      </c>
    </row>
    <row r="1609" spans="1:33" ht="6" customHeight="1" x14ac:dyDescent="0.4">
      <c r="A1609" s="4">
        <f>ROW()</f>
        <v>1609</v>
      </c>
      <c r="B1609" s="9" t="s">
        <v>27</v>
      </c>
      <c r="C1609" s="55" t="str">
        <f t="shared" si="854"/>
        <v>p.sanear</v>
      </c>
      <c r="D1609" s="6" t="str">
        <f t="shared" ref="D1609:D1642" si="863">_xlfn.CONCAT("é.",G1609)</f>
        <v>é.coliforme.total</v>
      </c>
      <c r="E1609" s="8" t="s">
        <v>28</v>
      </c>
      <c r="F1609" s="42" t="str">
        <f>F1607</f>
        <v>d.sanear</v>
      </c>
      <c r="G1609" s="22" t="s">
        <v>1029</v>
      </c>
      <c r="H1609" s="41" t="s">
        <v>36</v>
      </c>
      <c r="I1609" s="16" t="str">
        <f t="shared" ref="I1609:I1642"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6940</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5265</v>
      </c>
    </row>
    <row r="1610" spans="1:33" ht="6" customHeight="1" x14ac:dyDescent="0.4">
      <c r="A1610" s="4">
        <f>ROW()</f>
        <v>1610</v>
      </c>
      <c r="B1610" s="9" t="s">
        <v>27</v>
      </c>
      <c r="C1610" s="54" t="str">
        <f t="shared" si="854"/>
        <v>p.sensorizar</v>
      </c>
      <c r="D1610" s="6" t="str">
        <f t="shared" si="863"/>
        <v>é.beacon</v>
      </c>
      <c r="E1610" s="8" t="s">
        <v>28</v>
      </c>
      <c r="F1610" s="51" t="s">
        <v>4059</v>
      </c>
      <c r="G1610" s="17" t="s">
        <v>4891</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6941</v>
      </c>
      <c r="X1610" s="24" t="str">
        <f t="shared" si="853"/>
        <v>senso.100</v>
      </c>
      <c r="Y1610" s="24" t="str">
        <f t="shared" si="852"/>
        <v>Ação sensorizar</v>
      </c>
      <c r="Z1610" s="47" t="s">
        <v>4411</v>
      </c>
      <c r="AA1610" s="25" t="str">
        <f t="shared" si="837"/>
        <v>categoria.revit</v>
      </c>
      <c r="AB1610" s="26" t="s">
        <v>3955</v>
      </c>
      <c r="AC1610" s="25" t="str">
        <f t="shared" si="838"/>
        <v>classe.ifc</v>
      </c>
      <c r="AD1610" s="26" t="s">
        <v>3907</v>
      </c>
      <c r="AE1610" s="25" t="str">
        <f t="shared" si="841"/>
        <v>null</v>
      </c>
      <c r="AF1610" s="26" t="s">
        <v>0</v>
      </c>
      <c r="AG1610" s="47" t="s">
        <v>4472</v>
      </c>
    </row>
    <row r="1611" spans="1:33" ht="6" customHeight="1" x14ac:dyDescent="0.4">
      <c r="A1611" s="4">
        <f>ROW()</f>
        <v>1611</v>
      </c>
      <c r="B1611" s="9" t="s">
        <v>27</v>
      </c>
      <c r="C1611" s="55" t="str">
        <f t="shared" ref="C1611" si="865">SUBSTITUTE(F1611,"d.","p.")</f>
        <v>p.sensorizar</v>
      </c>
      <c r="D1611" s="6" t="str">
        <f t="shared" ref="D1611" si="866">_xlfn.CONCAT("é.",G1611)</f>
        <v>é.câmera.termográfica</v>
      </c>
      <c r="E1611" s="8" t="s">
        <v>28</v>
      </c>
      <c r="F1611" s="42" t="str">
        <f t="shared" ref="F1611:F1631" si="867">F1610</f>
        <v>d.sensorizar</v>
      </c>
      <c r="G1611" s="41" t="s">
        <v>4910</v>
      </c>
      <c r="H1611" s="41" t="s">
        <v>2321</v>
      </c>
      <c r="I1611" s="16" t="str">
        <f t="shared" ref="I1611" si="868">J1611</f>
        <v>null</v>
      </c>
      <c r="J1611" s="15" t="s">
        <v>0</v>
      </c>
      <c r="K1611" s="15" t="s">
        <v>0</v>
      </c>
      <c r="L1611" s="15" t="s">
        <v>0</v>
      </c>
      <c r="M1611" s="15" t="s">
        <v>0</v>
      </c>
      <c r="N1611" s="15" t="s">
        <v>0</v>
      </c>
      <c r="O1611" s="15" t="s">
        <v>0</v>
      </c>
      <c r="P1611" s="15" t="s">
        <v>0</v>
      </c>
      <c r="Q1611" s="15" t="s">
        <v>0</v>
      </c>
      <c r="R1611" s="15" t="s">
        <v>4949</v>
      </c>
      <c r="S1611" s="10" t="s">
        <v>1</v>
      </c>
      <c r="T1611" s="10" t="s">
        <v>32</v>
      </c>
      <c r="U1611" s="5" t="str">
        <f t="shared" si="839"/>
        <v>Propriedade destinada a sensorizar: é.câmera.termográfica</v>
      </c>
      <c r="V1611" s="5" t="str">
        <f t="shared" si="840"/>
        <v>Dado para sensorizar:  câmera.termográfica  Deve ser formatado como (rdfs:Literal  or  xsd:string)</v>
      </c>
      <c r="W1611" s="5" t="s">
        <v>6955</v>
      </c>
      <c r="X1611" s="24" t="str">
        <f t="shared" si="853"/>
        <v>senso.101</v>
      </c>
      <c r="Y1611" s="24" t="str">
        <f t="shared" si="852"/>
        <v>Ação sensorizar</v>
      </c>
      <c r="Z1611" s="47" t="s">
        <v>4425</v>
      </c>
      <c r="AA1611" s="25" t="str">
        <f t="shared" si="837"/>
        <v>categoria.revit</v>
      </c>
      <c r="AB1611" s="26" t="s">
        <v>3955</v>
      </c>
      <c r="AC1611" s="25" t="str">
        <f t="shared" si="838"/>
        <v>classe.ifc</v>
      </c>
      <c r="AD1611" s="26" t="s">
        <v>3907</v>
      </c>
      <c r="AE1611" s="25" t="str">
        <f t="shared" si="841"/>
        <v>null</v>
      </c>
      <c r="AF1611" s="26" t="s">
        <v>0</v>
      </c>
      <c r="AG1611" s="47" t="s">
        <v>4486</v>
      </c>
    </row>
    <row r="1612" spans="1:33" ht="6" customHeight="1" x14ac:dyDescent="0.4">
      <c r="A1612" s="4">
        <f>ROW()</f>
        <v>1612</v>
      </c>
      <c r="B1612" s="9" t="s">
        <v>27</v>
      </c>
      <c r="C1612" s="55" t="str">
        <f t="shared" si="854"/>
        <v>p.sensorizar</v>
      </c>
      <c r="D1612" s="6" t="str">
        <f t="shared" si="863"/>
        <v>é.sensor.térmico</v>
      </c>
      <c r="E1612" s="8" t="s">
        <v>28</v>
      </c>
      <c r="F1612" s="42" t="str">
        <f t="shared" si="867"/>
        <v>d.sensorizar</v>
      </c>
      <c r="G1612" s="17" t="s">
        <v>4892</v>
      </c>
      <c r="H1612" s="41" t="s">
        <v>2321</v>
      </c>
      <c r="I1612" s="16" t="str">
        <f t="shared" si="864"/>
        <v>null</v>
      </c>
      <c r="J1612" s="15" t="s">
        <v>0</v>
      </c>
      <c r="K1612" s="15" t="s">
        <v>0</v>
      </c>
      <c r="L1612" s="15" t="s">
        <v>0</v>
      </c>
      <c r="M1612" s="15" t="s">
        <v>0</v>
      </c>
      <c r="N1612" s="15" t="s">
        <v>0</v>
      </c>
      <c r="O1612" s="15" t="s">
        <v>0</v>
      </c>
      <c r="P1612" s="15" t="s">
        <v>0</v>
      </c>
      <c r="Q1612" s="15" t="s">
        <v>0</v>
      </c>
      <c r="R1612" s="44" t="s">
        <v>4948</v>
      </c>
      <c r="S1612" s="10" t="s">
        <v>1</v>
      </c>
      <c r="T1612" s="10" t="s">
        <v>32</v>
      </c>
      <c r="U1612" s="5" t="str">
        <f t="shared" si="839"/>
        <v>Propriedade destinada a sensorizar: é.sensor.térmico</v>
      </c>
      <c r="V1612" s="5" t="str">
        <f t="shared" si="840"/>
        <v>Dado para sensorizar:  sensor.térmico  Deve ser formatado como (rdfs:Literal  or  xsd:string)</v>
      </c>
      <c r="W1612" s="5" t="s">
        <v>6942</v>
      </c>
      <c r="X1612" s="24" t="str">
        <f t="shared" si="853"/>
        <v>senso.102</v>
      </c>
      <c r="Y1612" s="24" t="str">
        <f t="shared" si="852"/>
        <v>Ação sensorizar</v>
      </c>
      <c r="Z1612" s="47" t="s">
        <v>4412</v>
      </c>
      <c r="AA1612" s="25" t="str">
        <f t="shared" si="837"/>
        <v>categoria.revit</v>
      </c>
      <c r="AB1612" s="26" t="s">
        <v>3955</v>
      </c>
      <c r="AC1612" s="25" t="str">
        <f t="shared" si="838"/>
        <v>classe.ifc</v>
      </c>
      <c r="AD1612" s="26" t="s">
        <v>3907</v>
      </c>
      <c r="AE1612" s="25" t="str">
        <f t="shared" si="841"/>
        <v>null</v>
      </c>
      <c r="AF1612" s="26" t="s">
        <v>0</v>
      </c>
      <c r="AG1612" s="47" t="s">
        <v>4473</v>
      </c>
    </row>
    <row r="1613" spans="1:33" ht="6" customHeight="1" x14ac:dyDescent="0.4">
      <c r="A1613" s="4">
        <f>ROW()</f>
        <v>1613</v>
      </c>
      <c r="B1613" s="9" t="s">
        <v>27</v>
      </c>
      <c r="C1613" s="55" t="str">
        <f t="shared" si="854"/>
        <v>p.sensorizar</v>
      </c>
      <c r="D1613" s="6" t="str">
        <f t="shared" si="863"/>
        <v>é.sensor.de.vibração</v>
      </c>
      <c r="E1613" s="8" t="s">
        <v>28</v>
      </c>
      <c r="F1613" s="42" t="str">
        <f t="shared" si="867"/>
        <v>d.sensorizar</v>
      </c>
      <c r="G1613" s="41" t="s">
        <v>4893</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é.sensor.de.vibração</v>
      </c>
      <c r="V1613" s="5" t="str">
        <f t="shared" si="840"/>
        <v>Dado para sensorizar:  sensor.de.vibração  Deve ser formatado como (rdfs:Literal  or  xsd:string)</v>
      </c>
      <c r="W1613" s="5" t="s">
        <v>6943</v>
      </c>
      <c r="X1613" s="24" t="str">
        <f t="shared" si="853"/>
        <v>senso.103</v>
      </c>
      <c r="Y1613" s="24" t="str">
        <f t="shared" si="852"/>
        <v>Ação sensorizar</v>
      </c>
      <c r="Z1613" s="47" t="s">
        <v>4413</v>
      </c>
      <c r="AA1613" s="25" t="str">
        <f t="shared" si="837"/>
        <v>categoria.revit</v>
      </c>
      <c r="AB1613" s="26" t="s">
        <v>3955</v>
      </c>
      <c r="AC1613" s="25" t="str">
        <f t="shared" si="838"/>
        <v>classe.ifc</v>
      </c>
      <c r="AD1613" s="26" t="s">
        <v>3907</v>
      </c>
      <c r="AE1613" s="25" t="str">
        <f t="shared" si="841"/>
        <v>null</v>
      </c>
      <c r="AF1613" s="26" t="s">
        <v>0</v>
      </c>
      <c r="AG1613" s="47" t="s">
        <v>4474</v>
      </c>
    </row>
    <row r="1614" spans="1:33" ht="6" customHeight="1" x14ac:dyDescent="0.4">
      <c r="A1614" s="4">
        <f>ROW()</f>
        <v>1614</v>
      </c>
      <c r="B1614" s="9" t="s">
        <v>27</v>
      </c>
      <c r="C1614" s="55" t="str">
        <f t="shared" si="854"/>
        <v>p.sensorizar</v>
      </c>
      <c r="D1614" s="6" t="str">
        <f t="shared" si="863"/>
        <v>é.sensor.de.iluminação</v>
      </c>
      <c r="E1614" s="8" t="s">
        <v>28</v>
      </c>
      <c r="F1614" s="42" t="str">
        <f t="shared" si="867"/>
        <v>d.sensorizar</v>
      </c>
      <c r="G1614" s="41" t="s">
        <v>4894</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é.sensor.de.iluminação</v>
      </c>
      <c r="V1614" s="5" t="str">
        <f t="shared" si="840"/>
        <v>Dado para sensorizar:  sensor.de.iluminação  Deve ser formatado como (rdfs:Literal  or  xsd:string)</v>
      </c>
      <c r="W1614" s="5" t="s">
        <v>6944</v>
      </c>
      <c r="X1614" s="24" t="str">
        <f t="shared" si="853"/>
        <v>senso.104</v>
      </c>
      <c r="Y1614" s="24" t="str">
        <f t="shared" si="852"/>
        <v>Ação sensorizar</v>
      </c>
      <c r="Z1614" s="47" t="s">
        <v>4414</v>
      </c>
      <c r="AA1614" s="25" t="str">
        <f t="shared" si="837"/>
        <v>categoria.revit</v>
      </c>
      <c r="AB1614" s="26" t="s">
        <v>3955</v>
      </c>
      <c r="AC1614" s="25" t="str">
        <f t="shared" si="838"/>
        <v>classe.ifc</v>
      </c>
      <c r="AD1614" s="26" t="s">
        <v>3907</v>
      </c>
      <c r="AE1614" s="25" t="str">
        <f t="shared" si="841"/>
        <v>null</v>
      </c>
      <c r="AF1614" s="26" t="s">
        <v>0</v>
      </c>
      <c r="AG1614" s="47" t="s">
        <v>4475</v>
      </c>
    </row>
    <row r="1615" spans="1:33" ht="6" customHeight="1" x14ac:dyDescent="0.4">
      <c r="A1615" s="4">
        <f>ROW()</f>
        <v>1615</v>
      </c>
      <c r="B1615" s="9" t="s">
        <v>27</v>
      </c>
      <c r="C1615" s="55" t="str">
        <f t="shared" si="854"/>
        <v>p.sensorizar</v>
      </c>
      <c r="D1615" s="6" t="str">
        <f t="shared" si="863"/>
        <v>é.sensor.de.movimento</v>
      </c>
      <c r="E1615" s="8" t="s">
        <v>28</v>
      </c>
      <c r="F1615" s="42" t="str">
        <f t="shared" si="867"/>
        <v>d.sensorizar</v>
      </c>
      <c r="G1615" s="41" t="s">
        <v>4895</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é.sensor.de.movimento</v>
      </c>
      <c r="V1615" s="5" t="str">
        <f t="shared" si="840"/>
        <v>Dado para sensorizar:  sensor.de.movimento  Deve ser formatado como (rdfs:Literal  or  xsd:string)</v>
      </c>
      <c r="W1615" s="5" t="s">
        <v>6945</v>
      </c>
      <c r="X1615" s="24" t="str">
        <f t="shared" si="853"/>
        <v>senso.105</v>
      </c>
      <c r="Y1615" s="24" t="str">
        <f t="shared" si="852"/>
        <v>Ação sensorizar</v>
      </c>
      <c r="Z1615" s="47" t="s">
        <v>4415</v>
      </c>
      <c r="AA1615" s="25" t="str">
        <f t="shared" si="837"/>
        <v>categoria.revit</v>
      </c>
      <c r="AB1615" s="26" t="s">
        <v>3955</v>
      </c>
      <c r="AC1615" s="25" t="str">
        <f t="shared" si="838"/>
        <v>classe.ifc</v>
      </c>
      <c r="AD1615" s="26" t="s">
        <v>3907</v>
      </c>
      <c r="AE1615" s="25" t="str">
        <f t="shared" si="841"/>
        <v>null</v>
      </c>
      <c r="AF1615" s="26" t="s">
        <v>0</v>
      </c>
      <c r="AG1615" s="47" t="s">
        <v>4476</v>
      </c>
    </row>
    <row r="1616" spans="1:33" ht="6" customHeight="1" x14ac:dyDescent="0.4">
      <c r="A1616" s="4">
        <f>ROW()</f>
        <v>1616</v>
      </c>
      <c r="B1616" s="9" t="s">
        <v>27</v>
      </c>
      <c r="C1616" s="55" t="str">
        <f t="shared" si="854"/>
        <v>p.sensorizar</v>
      </c>
      <c r="D1616" s="6" t="str">
        <f t="shared" si="863"/>
        <v>é.sensor.de.presença</v>
      </c>
      <c r="E1616" s="8" t="s">
        <v>28</v>
      </c>
      <c r="F1616" s="42" t="str">
        <f t="shared" si="867"/>
        <v>d.sensorizar</v>
      </c>
      <c r="G1616" s="41" t="s">
        <v>4896</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é.sensor.de.presença</v>
      </c>
      <c r="V1616" s="5" t="str">
        <f t="shared" si="840"/>
        <v>Dado para sensorizar:  sensor.de.presença  Deve ser formatado como (rdfs:Literal  or  xsd:string)</v>
      </c>
      <c r="W1616" s="5" t="s">
        <v>6946</v>
      </c>
      <c r="X1616" s="24" t="str">
        <f t="shared" si="853"/>
        <v>senso.106</v>
      </c>
      <c r="Y1616" s="24" t="str">
        <f t="shared" si="852"/>
        <v>Ação sensorizar</v>
      </c>
      <c r="Z1616" s="47" t="s">
        <v>4416</v>
      </c>
      <c r="AA1616" s="25" t="str">
        <f t="shared" si="837"/>
        <v>categoria.revit</v>
      </c>
      <c r="AB1616" s="26" t="s">
        <v>3955</v>
      </c>
      <c r="AC1616" s="25" t="str">
        <f t="shared" si="838"/>
        <v>classe.ifc</v>
      </c>
      <c r="AD1616" s="26" t="s">
        <v>3907</v>
      </c>
      <c r="AE1616" s="25" t="str">
        <f t="shared" si="841"/>
        <v>null</v>
      </c>
      <c r="AF1616" s="26" t="s">
        <v>0</v>
      </c>
      <c r="AG1616" s="47" t="s">
        <v>4477</v>
      </c>
    </row>
    <row r="1617" spans="1:33" ht="6" customHeight="1" x14ac:dyDescent="0.4">
      <c r="A1617" s="4">
        <f>ROW()</f>
        <v>1617</v>
      </c>
      <c r="B1617" s="9" t="s">
        <v>27</v>
      </c>
      <c r="C1617" s="55" t="str">
        <f t="shared" si="854"/>
        <v>p.sensorizar</v>
      </c>
      <c r="D1617" s="6" t="str">
        <f t="shared" si="863"/>
        <v>é.sensor.de.acesso</v>
      </c>
      <c r="E1617" s="8" t="s">
        <v>28</v>
      </c>
      <c r="F1617" s="42" t="str">
        <f t="shared" si="867"/>
        <v>d.sensorizar</v>
      </c>
      <c r="G1617" s="41" t="s">
        <v>4897</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é.sensor.de.acesso</v>
      </c>
      <c r="V1617" s="5" t="str">
        <f t="shared" si="840"/>
        <v>Dado para sensorizar:  sensor.de.acesso  Deve ser formatado como (rdfs:Literal  or  xsd:string)</v>
      </c>
      <c r="W1617" s="5" t="s">
        <v>6947</v>
      </c>
      <c r="X1617" s="24" t="str">
        <f t="shared" si="853"/>
        <v>senso.107</v>
      </c>
      <c r="Y1617" s="24" t="str">
        <f t="shared" si="852"/>
        <v>Ação sensorizar</v>
      </c>
      <c r="Z1617" s="47" t="s">
        <v>4417</v>
      </c>
      <c r="AA1617" s="25" t="str">
        <f t="shared" si="837"/>
        <v>categoria.revit</v>
      </c>
      <c r="AB1617" s="26" t="s">
        <v>3955</v>
      </c>
      <c r="AC1617" s="25" t="str">
        <f t="shared" si="838"/>
        <v>classe.ifc</v>
      </c>
      <c r="AD1617" s="26" t="s">
        <v>3907</v>
      </c>
      <c r="AE1617" s="25" t="str">
        <f t="shared" si="841"/>
        <v>null</v>
      </c>
      <c r="AF1617" s="26" t="s">
        <v>0</v>
      </c>
      <c r="AG1617" s="47" t="s">
        <v>4478</v>
      </c>
    </row>
    <row r="1618" spans="1:33" ht="6" customHeight="1" x14ac:dyDescent="0.4">
      <c r="A1618" s="4">
        <f>ROW()</f>
        <v>1618</v>
      </c>
      <c r="B1618" s="9" t="s">
        <v>27</v>
      </c>
      <c r="C1618" s="55" t="str">
        <f t="shared" si="854"/>
        <v>p.sensorizar</v>
      </c>
      <c r="D1618" s="6" t="str">
        <f t="shared" si="863"/>
        <v>é.sensor.de.fumaça</v>
      </c>
      <c r="E1618" s="8" t="s">
        <v>28</v>
      </c>
      <c r="F1618" s="42" t="str">
        <f t="shared" si="867"/>
        <v>d.sensorizar</v>
      </c>
      <c r="G1618" s="41" t="s">
        <v>4898</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é.sensor.de.fumaça</v>
      </c>
      <c r="V1618" s="5" t="str">
        <f t="shared" si="840"/>
        <v>Dado para sensorizar:  sensor.de.fumaça  Deve ser formatado como (rdfs:Literal  or  xsd:string)</v>
      </c>
      <c r="W1618" s="5" t="s">
        <v>6948</v>
      </c>
      <c r="X1618" s="24" t="str">
        <f t="shared" si="853"/>
        <v>senso.108</v>
      </c>
      <c r="Y1618" s="24" t="str">
        <f t="shared" si="852"/>
        <v>Ação sensorizar</v>
      </c>
      <c r="Z1618" s="47" t="s">
        <v>4418</v>
      </c>
      <c r="AA1618" s="25" t="str">
        <f t="shared" si="837"/>
        <v>categoria.revit</v>
      </c>
      <c r="AB1618" s="26" t="s">
        <v>3955</v>
      </c>
      <c r="AC1618" s="25" t="str">
        <f t="shared" si="838"/>
        <v>classe.ifc</v>
      </c>
      <c r="AD1618" s="26" t="s">
        <v>3907</v>
      </c>
      <c r="AE1618" s="25" t="str">
        <f t="shared" si="841"/>
        <v>null</v>
      </c>
      <c r="AF1618" s="26" t="s">
        <v>0</v>
      </c>
      <c r="AG1618" s="47" t="s">
        <v>4479</v>
      </c>
    </row>
    <row r="1619" spans="1:33" ht="6" customHeight="1" x14ac:dyDescent="0.4">
      <c r="A1619" s="4">
        <f>ROW()</f>
        <v>1619</v>
      </c>
      <c r="B1619" s="9" t="s">
        <v>27</v>
      </c>
      <c r="C1619" s="55" t="str">
        <f t="shared" si="854"/>
        <v>p.sensorizar</v>
      </c>
      <c r="D1619" s="6" t="str">
        <f t="shared" si="863"/>
        <v>é.sensor.de.contraste</v>
      </c>
      <c r="E1619" s="8" t="s">
        <v>28</v>
      </c>
      <c r="F1619" s="42" t="str">
        <f t="shared" si="867"/>
        <v>d.sensorizar</v>
      </c>
      <c r="G1619" s="41" t="s">
        <v>4899</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v>
      </c>
      <c r="V1619" s="5" t="str">
        <f t="shared" si="840"/>
        <v>Dado para sensorizar:  sensor.de.contraste  Deve ser formatado como (rdfs:Literal  or  xsd:string)</v>
      </c>
      <c r="W1619" s="5" t="s">
        <v>6949</v>
      </c>
      <c r="X1619" s="24" t="str">
        <f t="shared" si="853"/>
        <v>senso.109</v>
      </c>
      <c r="Y1619" s="24" t="str">
        <f t="shared" si="852"/>
        <v>Ação sensorizar</v>
      </c>
      <c r="Z1619" s="47" t="s">
        <v>4419</v>
      </c>
      <c r="AA1619" s="25" t="str">
        <f t="shared" si="837"/>
        <v>categoria.revit</v>
      </c>
      <c r="AB1619" s="26" t="s">
        <v>3955</v>
      </c>
      <c r="AC1619" s="25" t="str">
        <f t="shared" si="838"/>
        <v>classe.ifc</v>
      </c>
      <c r="AD1619" s="26" t="s">
        <v>3907</v>
      </c>
      <c r="AE1619" s="25" t="str">
        <f t="shared" si="841"/>
        <v>null</v>
      </c>
      <c r="AF1619" s="26" t="s">
        <v>0</v>
      </c>
      <c r="AG1619" s="47" t="s">
        <v>4480</v>
      </c>
    </row>
    <row r="1620" spans="1:33" ht="6" customHeight="1" x14ac:dyDescent="0.4">
      <c r="A1620" s="4">
        <f>ROW()</f>
        <v>1620</v>
      </c>
      <c r="B1620" s="9" t="s">
        <v>27</v>
      </c>
      <c r="C1620" s="55" t="str">
        <f t="shared" si="854"/>
        <v>p.sensorizar</v>
      </c>
      <c r="D1620" s="6" t="str">
        <f t="shared" si="863"/>
        <v>é.sensor.de.contraste.e.cor</v>
      </c>
      <c r="E1620" s="8" t="s">
        <v>28</v>
      </c>
      <c r="F1620" s="42" t="str">
        <f t="shared" si="867"/>
        <v>d.sensorizar</v>
      </c>
      <c r="G1620" s="41" t="s">
        <v>4900</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é.sensor.de.contraste.e.cor</v>
      </c>
      <c r="V1620" s="5" t="str">
        <f t="shared" si="840"/>
        <v>Dado para sensorizar:  sensor.de.contraste.e.cor  Deve ser formatado como (rdfs:Literal  or  xsd:string)</v>
      </c>
      <c r="W1620" s="5" t="s">
        <v>6950</v>
      </c>
      <c r="X1620" s="24" t="str">
        <f t="shared" si="853"/>
        <v>senso.110</v>
      </c>
      <c r="Y1620" s="24" t="str">
        <f t="shared" si="852"/>
        <v>Ação sensorizar</v>
      </c>
      <c r="Z1620" s="47" t="s">
        <v>4420</v>
      </c>
      <c r="AA1620" s="25" t="str">
        <f t="shared" si="837"/>
        <v>categoria.revit</v>
      </c>
      <c r="AB1620" s="26" t="s">
        <v>3955</v>
      </c>
      <c r="AC1620" s="25" t="str">
        <f t="shared" si="838"/>
        <v>classe.ifc</v>
      </c>
      <c r="AD1620" s="26" t="s">
        <v>3907</v>
      </c>
      <c r="AE1620" s="25" t="str">
        <f t="shared" si="841"/>
        <v>null</v>
      </c>
      <c r="AF1620" s="26" t="s">
        <v>0</v>
      </c>
      <c r="AG1620" s="47" t="s">
        <v>4481</v>
      </c>
    </row>
    <row r="1621" spans="1:33" ht="6" customHeight="1" x14ac:dyDescent="0.4">
      <c r="A1621" s="4">
        <f>ROW()</f>
        <v>1621</v>
      </c>
      <c r="B1621" s="9" t="s">
        <v>27</v>
      </c>
      <c r="C1621" s="55" t="str">
        <f t="shared" si="854"/>
        <v>p.sensorizar</v>
      </c>
      <c r="D1621" s="6" t="str">
        <f t="shared" si="863"/>
        <v>é.sensor.de.distância</v>
      </c>
      <c r="E1621" s="8" t="s">
        <v>28</v>
      </c>
      <c r="F1621" s="42" t="str">
        <f t="shared" si="867"/>
        <v>d.sensorizar</v>
      </c>
      <c r="G1621" s="41" t="s">
        <v>4901</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é.sensor.de.distância</v>
      </c>
      <c r="V1621" s="5" t="str">
        <f t="shared" si="840"/>
        <v>Dado para sensorizar:  sensor.de.distância  Deve ser formatado como (rdfs:Literal  or  xsd:string)</v>
      </c>
      <c r="W1621" s="5" t="s">
        <v>6950</v>
      </c>
      <c r="X1621" s="24" t="str">
        <f t="shared" si="853"/>
        <v>senso.111</v>
      </c>
      <c r="Y1621" s="24" t="str">
        <f t="shared" si="852"/>
        <v>Ação sensorizar</v>
      </c>
      <c r="Z1621" s="47" t="s">
        <v>4420</v>
      </c>
      <c r="AA1621" s="25" t="str">
        <f t="shared" si="837"/>
        <v>categoria.revit</v>
      </c>
      <c r="AB1621" s="26" t="s">
        <v>3955</v>
      </c>
      <c r="AC1621" s="25" t="str">
        <f t="shared" si="838"/>
        <v>classe.ifc</v>
      </c>
      <c r="AD1621" s="26" t="s">
        <v>3907</v>
      </c>
      <c r="AE1621" s="25" t="str">
        <f t="shared" si="841"/>
        <v>null</v>
      </c>
      <c r="AF1621" s="26" t="s">
        <v>0</v>
      </c>
      <c r="AG1621" s="47" t="s">
        <v>4481</v>
      </c>
    </row>
    <row r="1622" spans="1:33" ht="6" customHeight="1" x14ac:dyDescent="0.4">
      <c r="A1622" s="4">
        <f>ROW()</f>
        <v>1622</v>
      </c>
      <c r="B1622" s="9" t="s">
        <v>27</v>
      </c>
      <c r="C1622" s="55" t="str">
        <f t="shared" si="854"/>
        <v>p.sensorizar</v>
      </c>
      <c r="D1622" s="6" t="str">
        <f t="shared" si="863"/>
        <v>é.sensor.difuso.compacto</v>
      </c>
      <c r="E1622" s="8" t="s">
        <v>28</v>
      </c>
      <c r="F1622" s="42" t="str">
        <f t="shared" si="867"/>
        <v>d.sensorizar</v>
      </c>
      <c r="G1622" s="41" t="s">
        <v>4902</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é.sensor.difuso.compacto</v>
      </c>
      <c r="V1622" s="5" t="str">
        <f t="shared" si="840"/>
        <v>Dado para sensorizar:  sensor.difuso.compacto  Deve ser formatado como (rdfs:Literal  or  xsd:string)</v>
      </c>
      <c r="W1622" s="5" t="s">
        <v>6950</v>
      </c>
      <c r="X1622" s="24" t="str">
        <f t="shared" si="853"/>
        <v>senso.112</v>
      </c>
      <c r="Y1622" s="24" t="str">
        <f t="shared" si="852"/>
        <v>Ação sensorizar</v>
      </c>
      <c r="Z1622" s="47" t="s">
        <v>4420</v>
      </c>
      <c r="AA1622" s="25" t="str">
        <f t="shared" si="837"/>
        <v>categoria.revit</v>
      </c>
      <c r="AB1622" s="26" t="s">
        <v>3955</v>
      </c>
      <c r="AC1622" s="25" t="str">
        <f t="shared" si="838"/>
        <v>classe.ifc</v>
      </c>
      <c r="AD1622" s="26" t="s">
        <v>3907</v>
      </c>
      <c r="AE1622" s="25" t="str">
        <f t="shared" si="841"/>
        <v>null</v>
      </c>
      <c r="AF1622" s="26" t="s">
        <v>0</v>
      </c>
      <c r="AG1622" s="47" t="s">
        <v>4481</v>
      </c>
    </row>
    <row r="1623" spans="1:33" ht="6" customHeight="1" x14ac:dyDescent="0.4">
      <c r="A1623" s="4">
        <f>ROW()</f>
        <v>1623</v>
      </c>
      <c r="B1623" s="9" t="s">
        <v>27</v>
      </c>
      <c r="C1623" s="55" t="str">
        <f t="shared" si="854"/>
        <v>p.sensorizar</v>
      </c>
      <c r="D1623" s="6" t="str">
        <f t="shared" si="863"/>
        <v>é.sensor.de.distância.difuso</v>
      </c>
      <c r="E1623" s="8" t="s">
        <v>28</v>
      </c>
      <c r="F1623" s="42" t="str">
        <f t="shared" si="867"/>
        <v>d.sensorizar</v>
      </c>
      <c r="G1623" s="41" t="s">
        <v>4903</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é.sensor.de.distância.difuso</v>
      </c>
      <c r="V1623" s="5" t="str">
        <f t="shared" si="840"/>
        <v>Dado para sensorizar:  sensor.de.distância.difuso  Deve ser formatado como (rdfs:Literal  or  xsd:string)</v>
      </c>
      <c r="W1623" s="5" t="s">
        <v>6950</v>
      </c>
      <c r="X1623" s="24" t="str">
        <f t="shared" si="853"/>
        <v>senso.113</v>
      </c>
      <c r="Y1623" s="24" t="str">
        <f t="shared" si="852"/>
        <v>Ação sensorizar</v>
      </c>
      <c r="Z1623" s="47" t="s">
        <v>4420</v>
      </c>
      <c r="AA1623" s="25" t="str">
        <f t="shared" ref="AA1623:AA1642" si="869">IF(AB1623="null", "null", "categoria.revit")</f>
        <v>categoria.revit</v>
      </c>
      <c r="AB1623" s="26" t="s">
        <v>3955</v>
      </c>
      <c r="AC1623" s="25" t="str">
        <f t="shared" ref="AC1623:AC1642" si="870">IF(AD1623="null", "null", "classe.ifc")</f>
        <v>classe.ifc</v>
      </c>
      <c r="AD1623" s="26" t="s">
        <v>3907</v>
      </c>
      <c r="AE1623" s="25" t="str">
        <f t="shared" si="841"/>
        <v>null</v>
      </c>
      <c r="AF1623" s="26" t="s">
        <v>0</v>
      </c>
      <c r="AG1623" s="47" t="s">
        <v>4481</v>
      </c>
    </row>
    <row r="1624" spans="1:33" ht="6" customHeight="1" x14ac:dyDescent="0.4">
      <c r="A1624" s="4">
        <f>ROW()</f>
        <v>1624</v>
      </c>
      <c r="B1624" s="9" t="s">
        <v>27</v>
      </c>
      <c r="C1624" s="55" t="str">
        <f t="shared" si="854"/>
        <v>p.sensorizar</v>
      </c>
      <c r="D1624" s="6" t="str">
        <f t="shared" si="863"/>
        <v>é.sensor.outdoor.difuso</v>
      </c>
      <c r="E1624" s="8" t="s">
        <v>28</v>
      </c>
      <c r="F1624" s="42" t="str">
        <f t="shared" si="867"/>
        <v>d.sensorizar</v>
      </c>
      <c r="G1624" s="41" t="s">
        <v>4904</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é.sensor.outdoor.difuso</v>
      </c>
      <c r="V1624" s="5" t="str">
        <f t="shared" si="840"/>
        <v>Dado para sensorizar:  sensor.outdoor.difuso  Deve ser formatado como (rdfs:Literal  or  xsd:string)</v>
      </c>
      <c r="W1624" s="5" t="s">
        <v>6950</v>
      </c>
      <c r="X1624" s="24" t="str">
        <f t="shared" si="853"/>
        <v>senso.114</v>
      </c>
      <c r="Y1624" s="24" t="str">
        <f t="shared" si="852"/>
        <v>Ação sensorizar</v>
      </c>
      <c r="Z1624" s="47" t="s">
        <v>4420</v>
      </c>
      <c r="AA1624" s="25" t="str">
        <f t="shared" si="869"/>
        <v>categoria.revit</v>
      </c>
      <c r="AB1624" s="26" t="s">
        <v>3955</v>
      </c>
      <c r="AC1624" s="25" t="str">
        <f t="shared" si="870"/>
        <v>classe.ifc</v>
      </c>
      <c r="AD1624" s="26" t="s">
        <v>3907</v>
      </c>
      <c r="AE1624" s="25" t="str">
        <f t="shared" si="841"/>
        <v>null</v>
      </c>
      <c r="AF1624" s="26" t="s">
        <v>0</v>
      </c>
      <c r="AG1624" s="47" t="s">
        <v>4481</v>
      </c>
    </row>
    <row r="1625" spans="1:33" ht="6" customHeight="1" x14ac:dyDescent="0.4">
      <c r="A1625" s="4">
        <f>ROW()</f>
        <v>1625</v>
      </c>
      <c r="B1625" s="9" t="s">
        <v>27</v>
      </c>
      <c r="C1625" s="55" t="str">
        <f t="shared" si="854"/>
        <v>p.sensorizar</v>
      </c>
      <c r="D1625" s="6" t="str">
        <f t="shared" si="863"/>
        <v>é.sensor.de.luminescência</v>
      </c>
      <c r="E1625" s="8" t="s">
        <v>28</v>
      </c>
      <c r="F1625" s="42" t="str">
        <f t="shared" si="867"/>
        <v>d.sensorizar</v>
      </c>
      <c r="G1625" s="41" t="s">
        <v>7550</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é.sensor.de.luminescência</v>
      </c>
      <c r="V1625" s="5" t="str">
        <f t="shared" si="840"/>
        <v>Dado para sensorizar:  sensor.de.luminescência  Deve ser formatado como (rdfs:Literal  or  xsd:string)</v>
      </c>
      <c r="W1625" s="5" t="s">
        <v>6950</v>
      </c>
      <c r="X1625" s="24" t="str">
        <f t="shared" si="853"/>
        <v>senso.115</v>
      </c>
      <c r="Y1625" s="24" t="str">
        <f t="shared" si="852"/>
        <v>Ação sensorizar</v>
      </c>
      <c r="Z1625" s="47" t="s">
        <v>4420</v>
      </c>
      <c r="AA1625" s="25" t="str">
        <f t="shared" si="869"/>
        <v>categoria.revit</v>
      </c>
      <c r="AB1625" s="26" t="s">
        <v>3955</v>
      </c>
      <c r="AC1625" s="25" t="str">
        <f t="shared" si="870"/>
        <v>classe.ifc</v>
      </c>
      <c r="AD1625" s="26" t="s">
        <v>3907</v>
      </c>
      <c r="AE1625" s="25" t="str">
        <f t="shared" si="841"/>
        <v>null</v>
      </c>
      <c r="AF1625" s="26" t="s">
        <v>0</v>
      </c>
      <c r="AG1625" s="47" t="s">
        <v>4481</v>
      </c>
    </row>
    <row r="1626" spans="1:33" ht="6" customHeight="1" x14ac:dyDescent="0.4">
      <c r="A1626" s="4">
        <f>ROW()</f>
        <v>1626</v>
      </c>
      <c r="B1626" s="9" t="s">
        <v>27</v>
      </c>
      <c r="C1626" s="55" t="str">
        <f t="shared" si="854"/>
        <v>p.sensorizar</v>
      </c>
      <c r="D1626" s="6" t="str">
        <f t="shared" si="863"/>
        <v>é.sensor.proximidade.retroreflexivo</v>
      </c>
      <c r="E1626" s="8" t="s">
        <v>28</v>
      </c>
      <c r="F1626" s="42" t="str">
        <f t="shared" si="867"/>
        <v>d.sensorizar</v>
      </c>
      <c r="G1626" s="41" t="s">
        <v>4905</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é.sensor.proximidade.retroreflexivo</v>
      </c>
      <c r="V1626" s="5" t="str">
        <f t="shared" si="840"/>
        <v>Dado para sensorizar:  sensor.proximidade.retroreflexivo  Deve ser formatado como (rdfs:Literal  or  xsd:string)</v>
      </c>
      <c r="W1626" s="5" t="s">
        <v>6950</v>
      </c>
      <c r="X1626" s="24" t="str">
        <f t="shared" si="853"/>
        <v>senso.116</v>
      </c>
      <c r="Y1626" s="24" t="str">
        <f t="shared" si="852"/>
        <v>Ação sensorizar</v>
      </c>
      <c r="Z1626" s="47" t="s">
        <v>4420</v>
      </c>
      <c r="AA1626" s="25" t="str">
        <f t="shared" si="869"/>
        <v>categoria.revit</v>
      </c>
      <c r="AB1626" s="26" t="s">
        <v>3955</v>
      </c>
      <c r="AC1626" s="25" t="str">
        <f t="shared" si="870"/>
        <v>classe.ifc</v>
      </c>
      <c r="AD1626" s="26" t="s">
        <v>3907</v>
      </c>
      <c r="AE1626" s="25" t="str">
        <f t="shared" si="841"/>
        <v>null</v>
      </c>
      <c r="AF1626" s="26" t="s">
        <v>0</v>
      </c>
      <c r="AG1626" s="47" t="s">
        <v>4481</v>
      </c>
    </row>
    <row r="1627" spans="1:33" ht="6" customHeight="1" x14ac:dyDescent="0.4">
      <c r="A1627" s="4">
        <f>ROW()</f>
        <v>1627</v>
      </c>
      <c r="B1627" s="9" t="s">
        <v>27</v>
      </c>
      <c r="C1627" s="55" t="str">
        <f t="shared" si="854"/>
        <v>p.sensorizar</v>
      </c>
      <c r="D1627" s="6" t="str">
        <f t="shared" si="863"/>
        <v>é.sensor.de.proximidade</v>
      </c>
      <c r="E1627" s="8" t="s">
        <v>28</v>
      </c>
      <c r="F1627" s="42" t="str">
        <f t="shared" si="867"/>
        <v>d.sensorizar</v>
      </c>
      <c r="G1627" s="41" t="s">
        <v>4906</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v>
      </c>
      <c r="V1627" s="5" t="str">
        <f t="shared" si="840"/>
        <v>Dado para sensorizar:  sensor.de.proximidade  Deve ser formatado como (rdfs:Literal  or  xsd:string)</v>
      </c>
      <c r="W1627" s="5" t="s">
        <v>6950</v>
      </c>
      <c r="X1627" s="24" t="str">
        <f t="shared" si="853"/>
        <v>senso.117</v>
      </c>
      <c r="Y1627" s="24" t="str">
        <f t="shared" si="852"/>
        <v>Ação sensorizar</v>
      </c>
      <c r="Z1627" s="47" t="s">
        <v>4420</v>
      </c>
      <c r="AA1627" s="25" t="str">
        <f t="shared" si="869"/>
        <v>categoria.revit</v>
      </c>
      <c r="AB1627" s="26" t="s">
        <v>3955</v>
      </c>
      <c r="AC1627" s="25" t="str">
        <f t="shared" si="870"/>
        <v>classe.ifc</v>
      </c>
      <c r="AD1627" s="26" t="s">
        <v>3907</v>
      </c>
      <c r="AE1627" s="25" t="str">
        <f t="shared" si="841"/>
        <v>null</v>
      </c>
      <c r="AF1627" s="26" t="s">
        <v>0</v>
      </c>
      <c r="AG1627" s="47" t="s">
        <v>4481</v>
      </c>
    </row>
    <row r="1628" spans="1:33" ht="6" customHeight="1" x14ac:dyDescent="0.4">
      <c r="A1628" s="4">
        <f>ROW()</f>
        <v>1628</v>
      </c>
      <c r="B1628" s="9" t="s">
        <v>27</v>
      </c>
      <c r="C1628" s="55" t="str">
        <f t="shared" si="854"/>
        <v>p.sensorizar</v>
      </c>
      <c r="D1628" s="6" t="str">
        <f t="shared" si="863"/>
        <v>é.sensor.de.proximidade.inox</v>
      </c>
      <c r="E1628" s="8" t="s">
        <v>28</v>
      </c>
      <c r="F1628" s="42" t="str">
        <f t="shared" si="867"/>
        <v>d.sensorizar</v>
      </c>
      <c r="G1628" s="41" t="s">
        <v>4907</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é.sensor.de.proximidade.inox</v>
      </c>
      <c r="V1628" s="5" t="str">
        <f t="shared" si="840"/>
        <v>Dado para sensorizar:  sensor.de.proximidade.inox  Deve ser formatado como (rdfs:Literal  or  xsd:string)</v>
      </c>
      <c r="W1628" s="5" t="s">
        <v>6951</v>
      </c>
      <c r="X1628" s="24" t="str">
        <f t="shared" si="853"/>
        <v>senso.118</v>
      </c>
      <c r="Y1628" s="24" t="str">
        <f t="shared" si="852"/>
        <v>Ação sensorizar</v>
      </c>
      <c r="Z1628" s="47" t="s">
        <v>4421</v>
      </c>
      <c r="AA1628" s="25" t="str">
        <f t="shared" si="869"/>
        <v>categoria.revit</v>
      </c>
      <c r="AB1628" s="26" t="s">
        <v>3955</v>
      </c>
      <c r="AC1628" s="25" t="str">
        <f t="shared" si="870"/>
        <v>classe.ifc</v>
      </c>
      <c r="AD1628" s="26" t="s">
        <v>3907</v>
      </c>
      <c r="AE1628" s="25" t="str">
        <f t="shared" si="841"/>
        <v>null</v>
      </c>
      <c r="AF1628" s="26" t="s">
        <v>0</v>
      </c>
      <c r="AG1628" s="47" t="s">
        <v>4482</v>
      </c>
    </row>
    <row r="1629" spans="1:33" ht="6" customHeight="1" x14ac:dyDescent="0.4">
      <c r="A1629" s="4">
        <f>ROW()</f>
        <v>1629</v>
      </c>
      <c r="B1629" s="9" t="s">
        <v>27</v>
      </c>
      <c r="C1629" s="55" t="str">
        <f t="shared" si="854"/>
        <v>p.sensorizar</v>
      </c>
      <c r="D1629" s="6" t="str">
        <f t="shared" si="863"/>
        <v>é.sensor.de.cortina.de.luz</v>
      </c>
      <c r="E1629" s="8" t="s">
        <v>28</v>
      </c>
      <c r="F1629" s="42" t="str">
        <f t="shared" si="867"/>
        <v>d.sensorizar</v>
      </c>
      <c r="G1629" s="41" t="s">
        <v>4908</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39"/>
        <v>Propriedade destinada a sensorizar: é.sensor.de.cortina.de.luz</v>
      </c>
      <c r="V1629" s="5" t="str">
        <f t="shared" si="840"/>
        <v>Dado para sensorizar:  sensor.de.cortina.de.luz  Deve ser formatado como (rdfs:Literal  or  xsd:string)</v>
      </c>
      <c r="W1629" s="5" t="s">
        <v>6952</v>
      </c>
      <c r="X1629" s="24" t="str">
        <f t="shared" si="853"/>
        <v>senso.119</v>
      </c>
      <c r="Y1629" s="24" t="str">
        <f t="shared" si="852"/>
        <v>Ação sensorizar</v>
      </c>
      <c r="Z1629" s="47" t="s">
        <v>4422</v>
      </c>
      <c r="AA1629" s="25" t="str">
        <f t="shared" si="869"/>
        <v>categoria.revit</v>
      </c>
      <c r="AB1629" s="26" t="s">
        <v>3955</v>
      </c>
      <c r="AC1629" s="25" t="str">
        <f t="shared" si="870"/>
        <v>classe.ifc</v>
      </c>
      <c r="AD1629" s="26" t="s">
        <v>3907</v>
      </c>
      <c r="AE1629" s="25" t="str">
        <f t="shared" si="841"/>
        <v>null</v>
      </c>
      <c r="AF1629" s="26" t="s">
        <v>0</v>
      </c>
      <c r="AG1629" s="47" t="s">
        <v>4483</v>
      </c>
    </row>
    <row r="1630" spans="1:33" ht="6" customHeight="1" x14ac:dyDescent="0.4">
      <c r="A1630" s="4">
        <f>ROW()</f>
        <v>1630</v>
      </c>
      <c r="B1630" s="9" t="s">
        <v>27</v>
      </c>
      <c r="C1630" s="55" t="str">
        <f t="shared" si="854"/>
        <v>p.sensorizar</v>
      </c>
      <c r="D1630" s="6" t="str">
        <f t="shared" si="863"/>
        <v>é.sensor.encoder</v>
      </c>
      <c r="E1630" s="8" t="s">
        <v>28</v>
      </c>
      <c r="F1630" s="42" t="str">
        <f t="shared" si="867"/>
        <v>d.sensorizar</v>
      </c>
      <c r="G1630" s="41" t="s">
        <v>4909</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ref="U1630:U1642" si="871">_xlfn.CONCAT("Propriedade destinada a ",MID(C1630,FIND("p.",C1630,1)+2,100),": ",D1630)</f>
        <v>Propriedade destinada a sensorizar: é.sensor.encoder</v>
      </c>
      <c r="V1630" s="5" t="str">
        <f t="shared" ref="V1630:V1642" si="872">_xlfn.CONCAT("Dado para ",MID(F1630,FIND("d.",F1630,1)+2,100),":  ",G1630, "  Deve ser formatado como (",H1630, ")")</f>
        <v>Dado para sensorizar:  sensor.encoder  Deve ser formatado como (rdfs:Literal  or  xsd:string)</v>
      </c>
      <c r="W1630" s="5" t="s">
        <v>6953</v>
      </c>
      <c r="X1630" s="24" t="str">
        <f t="shared" si="853"/>
        <v>senso.120</v>
      </c>
      <c r="Y1630" s="24" t="str">
        <f t="shared" si="852"/>
        <v>Ação sensorizar</v>
      </c>
      <c r="Z1630" s="47" t="s">
        <v>4423</v>
      </c>
      <c r="AA1630" s="25" t="str">
        <f t="shared" si="869"/>
        <v>categoria.revit</v>
      </c>
      <c r="AB1630" s="26" t="s">
        <v>3955</v>
      </c>
      <c r="AC1630" s="25" t="str">
        <f t="shared" si="870"/>
        <v>classe.ifc</v>
      </c>
      <c r="AD1630" s="26" t="s">
        <v>3907</v>
      </c>
      <c r="AE1630" s="25" t="str">
        <f t="shared" ref="AE1630:AE1642" si="873">IF(AF1630="null", "null", "propiedade")</f>
        <v>null</v>
      </c>
      <c r="AF1630" s="26" t="s">
        <v>0</v>
      </c>
      <c r="AG1630" s="47" t="s">
        <v>4484</v>
      </c>
    </row>
    <row r="1631" spans="1:33" ht="6" customHeight="1" x14ac:dyDescent="0.4">
      <c r="A1631" s="4">
        <f>ROW()</f>
        <v>1631</v>
      </c>
      <c r="B1631" s="9" t="s">
        <v>27</v>
      </c>
      <c r="C1631" s="55" t="str">
        <f t="shared" si="854"/>
        <v>p.sensorizar</v>
      </c>
      <c r="D1631" s="6" t="str">
        <f t="shared" si="863"/>
        <v>é.sensor.lorawan</v>
      </c>
      <c r="E1631" s="8" t="s">
        <v>28</v>
      </c>
      <c r="F1631" s="42" t="str">
        <f t="shared" si="867"/>
        <v>d.sensorizar</v>
      </c>
      <c r="G1631" s="18" t="s">
        <v>7831</v>
      </c>
      <c r="H1631" s="41" t="s">
        <v>2321</v>
      </c>
      <c r="I1631" s="16" t="str">
        <f t="shared" si="864"/>
        <v>null</v>
      </c>
      <c r="J1631" s="13" t="s">
        <v>0</v>
      </c>
      <c r="K1631" s="13" t="s">
        <v>0</v>
      </c>
      <c r="L1631" s="13" t="s">
        <v>0</v>
      </c>
      <c r="M1631" s="13" t="s">
        <v>0</v>
      </c>
      <c r="N1631" s="13" t="s">
        <v>0</v>
      </c>
      <c r="O1631" s="13" t="s">
        <v>0</v>
      </c>
      <c r="P1631" s="13" t="s">
        <v>0</v>
      </c>
      <c r="Q1631" s="13" t="s">
        <v>0</v>
      </c>
      <c r="R1631" s="15" t="s">
        <v>0</v>
      </c>
      <c r="S1631" s="10" t="s">
        <v>1</v>
      </c>
      <c r="T1631" s="10" t="s">
        <v>32</v>
      </c>
      <c r="U1631" s="5" t="str">
        <f t="shared" si="871"/>
        <v>Propriedade destinada a sensorizar: é.sensor.lorawan</v>
      </c>
      <c r="V1631" s="5" t="str">
        <f t="shared" si="872"/>
        <v>Dado para sensorizar:  sensor.lorawan  Deve ser formatado como (rdfs:Literal  or  xsd:string)</v>
      </c>
      <c r="W1631" s="5" t="s">
        <v>7837</v>
      </c>
      <c r="X1631" s="24" t="str">
        <f t="shared" si="853"/>
        <v>senso.121</v>
      </c>
      <c r="Y1631" s="24" t="str">
        <f t="shared" si="852"/>
        <v>Ação sensorizar</v>
      </c>
      <c r="Z1631" s="47" t="str">
        <f t="shared" ref="Z1631" si="874">_xlfn.TRANSLATE(W1631,"pt","es")</f>
        <v>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v>
      </c>
      <c r="AA1631" s="25" t="str">
        <f t="shared" si="869"/>
        <v>categoria.revit</v>
      </c>
      <c r="AB1631" s="26" t="s">
        <v>3955</v>
      </c>
      <c r="AC1631" s="25" t="str">
        <f t="shared" si="870"/>
        <v>classe.ifc</v>
      </c>
      <c r="AD1631" s="26" t="s">
        <v>3907</v>
      </c>
      <c r="AE1631" s="25" t="str">
        <f t="shared" si="873"/>
        <v>null</v>
      </c>
      <c r="AF1631" s="26" t="s">
        <v>0</v>
      </c>
      <c r="AG1631" s="47" t="s">
        <v>7844</v>
      </c>
    </row>
    <row r="1632" spans="1:33" ht="6" customHeight="1" x14ac:dyDescent="0.4">
      <c r="A1632" s="4">
        <f>ROW()</f>
        <v>1632</v>
      </c>
      <c r="B1632" s="9" t="s">
        <v>27</v>
      </c>
      <c r="C1632" s="55" t="str">
        <f t="shared" si="854"/>
        <v>p.sensorizar</v>
      </c>
      <c r="D1632" s="6" t="str">
        <f t="shared" si="863"/>
        <v>é.sensor.ultrasônico</v>
      </c>
      <c r="E1632" s="8" t="s">
        <v>28</v>
      </c>
      <c r="F1632" s="42" t="str">
        <f>F1630</f>
        <v>d.sensorizar</v>
      </c>
      <c r="G1632" s="41" t="s">
        <v>7551</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71"/>
        <v>Propriedade destinada a sensorizar: é.sensor.ultrasônico</v>
      </c>
      <c r="V1632" s="5" t="str">
        <f t="shared" si="872"/>
        <v>Dado para sensorizar:  sensor.ultrasônico  Deve ser formatado como (rdfs:Literal  or  xsd:string)</v>
      </c>
      <c r="W1632" s="5" t="s">
        <v>6954</v>
      </c>
      <c r="X1632" s="24" t="str">
        <f t="shared" si="853"/>
        <v>senso.122</v>
      </c>
      <c r="Y1632" s="24" t="str">
        <f t="shared" si="852"/>
        <v>Ação sensorizar</v>
      </c>
      <c r="Z1632" s="47" t="s">
        <v>4424</v>
      </c>
      <c r="AA1632" s="25" t="str">
        <f t="shared" si="869"/>
        <v>categoria.revit</v>
      </c>
      <c r="AB1632" s="26" t="s">
        <v>3955</v>
      </c>
      <c r="AC1632" s="25" t="str">
        <f t="shared" si="870"/>
        <v>classe.ifc</v>
      </c>
      <c r="AD1632" s="26" t="s">
        <v>3907</v>
      </c>
      <c r="AE1632" s="25" t="str">
        <f t="shared" si="873"/>
        <v>null</v>
      </c>
      <c r="AF1632" s="26" t="s">
        <v>0</v>
      </c>
      <c r="AG1632" s="47" t="s">
        <v>4485</v>
      </c>
    </row>
    <row r="1633" spans="1:33" ht="6" customHeight="1" x14ac:dyDescent="0.4">
      <c r="A1633" s="4">
        <f>ROW()</f>
        <v>1633</v>
      </c>
      <c r="B1633" s="9" t="s">
        <v>27</v>
      </c>
      <c r="C1633" s="54" t="str">
        <f t="shared" si="854"/>
        <v>p.separar</v>
      </c>
      <c r="D1633" s="6" t="str">
        <f t="shared" si="863"/>
        <v>é.bloco.concreto</v>
      </c>
      <c r="E1633" s="8" t="s">
        <v>28</v>
      </c>
      <c r="F1633" s="51" t="s">
        <v>4060</v>
      </c>
      <c r="G1633" s="17" t="s">
        <v>4769</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71"/>
        <v>Propriedade destinada a separar: é.bloco.concreto</v>
      </c>
      <c r="V1633" s="5" t="str">
        <f t="shared" si="872"/>
        <v>Dado para separar:  bloco.concreto  Deve ser formatado como (rdfs:Literal  or  xsd:string)</v>
      </c>
      <c r="W1633" s="5" t="s">
        <v>6956</v>
      </c>
      <c r="X1633" s="24" t="str">
        <f t="shared" si="853"/>
        <v>separ.100</v>
      </c>
      <c r="Y1633" s="24" t="str">
        <f t="shared" si="852"/>
        <v>Ação separar</v>
      </c>
      <c r="Z1633" s="47" t="s">
        <v>7577</v>
      </c>
      <c r="AA1633" s="25" t="str">
        <f t="shared" si="869"/>
        <v>categoria.revit</v>
      </c>
      <c r="AB1633" s="26" t="s">
        <v>3957</v>
      </c>
      <c r="AC1633" s="25" t="str">
        <f t="shared" si="870"/>
        <v>classe.ifc</v>
      </c>
      <c r="AD1633" s="26" t="s">
        <v>3909</v>
      </c>
      <c r="AE1633" s="25" t="str">
        <f t="shared" si="873"/>
        <v>null</v>
      </c>
      <c r="AF1633" s="26" t="s">
        <v>0</v>
      </c>
      <c r="AG1633" s="47" t="s">
        <v>3665</v>
      </c>
    </row>
    <row r="1634" spans="1:33" ht="6" customHeight="1" x14ac:dyDescent="0.4">
      <c r="A1634" s="4">
        <f>ROW()</f>
        <v>1634</v>
      </c>
      <c r="B1634" s="9" t="s">
        <v>27</v>
      </c>
      <c r="C1634" s="55" t="str">
        <f>SUBSTITUTE(F1634,"d.","p.")</f>
        <v>p.separar</v>
      </c>
      <c r="D1634" s="6" t="str">
        <f t="shared" si="863"/>
        <v>é.bloco.sílico.calcário</v>
      </c>
      <c r="E1634" s="8" t="s">
        <v>28</v>
      </c>
      <c r="F1634" s="42" t="str">
        <f>F1633</f>
        <v>d.separar</v>
      </c>
      <c r="G1634" s="17" t="s">
        <v>4770</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71"/>
        <v>Propriedade destinada a separar: é.bloco.sílico.calcário</v>
      </c>
      <c r="V1634" s="5" t="str">
        <f t="shared" si="872"/>
        <v>Dado para separar:  bloco.sílico.calcário  Deve ser formatado como (rdfs:Literal  or  xsd:string)</v>
      </c>
      <c r="W1634" s="5" t="s">
        <v>6957</v>
      </c>
      <c r="X1634" s="24" t="str">
        <f t="shared" si="853"/>
        <v>separ.101</v>
      </c>
      <c r="Y1634" s="24" t="str">
        <f t="shared" si="852"/>
        <v>Ação separar</v>
      </c>
      <c r="Z1634" s="47" t="s">
        <v>7578</v>
      </c>
      <c r="AA1634" s="25" t="str">
        <f t="shared" si="869"/>
        <v>categoria.revit</v>
      </c>
      <c r="AB1634" s="26" t="s">
        <v>3957</v>
      </c>
      <c r="AC1634" s="25" t="str">
        <f t="shared" si="870"/>
        <v>classe.ifc</v>
      </c>
      <c r="AD1634" s="26" t="s">
        <v>3909</v>
      </c>
      <c r="AE1634" s="25" t="str">
        <f t="shared" si="873"/>
        <v>null</v>
      </c>
      <c r="AF1634" s="26" t="s">
        <v>0</v>
      </c>
      <c r="AG1634" s="47" t="s">
        <v>3666</v>
      </c>
    </row>
    <row r="1635" spans="1:33" ht="6" customHeight="1" x14ac:dyDescent="0.4">
      <c r="A1635" s="4">
        <f>ROW()</f>
        <v>1635</v>
      </c>
      <c r="B1635" s="9" t="s">
        <v>27</v>
      </c>
      <c r="C1635" s="55" t="str">
        <f t="shared" ref="C1635:C1668" si="875">SUBSTITUTE(F1635,"d.","p.")</f>
        <v>p.separar</v>
      </c>
      <c r="D1635" s="6" t="str">
        <f t="shared" si="863"/>
        <v>é.divisória.drywall</v>
      </c>
      <c r="E1635" s="8" t="s">
        <v>28</v>
      </c>
      <c r="F1635" s="42" t="str">
        <f t="shared" ref="F1635:F1646" si="876">F1634</f>
        <v>d.separar</v>
      </c>
      <c r="G1635" s="17" t="s">
        <v>4771</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71"/>
        <v>Propriedade destinada a separar: é.divisória.drywall</v>
      </c>
      <c r="V1635" s="5" t="str">
        <f t="shared" si="872"/>
        <v>Dado para separar:  divisória.drywall  Deve ser formatado como (rdfs:Literal  or  xsd:string)</v>
      </c>
      <c r="W1635" s="5" t="s">
        <v>6958</v>
      </c>
      <c r="X1635" s="24" t="str">
        <f t="shared" si="853"/>
        <v>separ.102</v>
      </c>
      <c r="Y1635" s="24" t="str">
        <f t="shared" si="852"/>
        <v>Ação separar</v>
      </c>
      <c r="Z1635" s="47" t="s">
        <v>7579</v>
      </c>
      <c r="AA1635" s="25" t="str">
        <f t="shared" si="869"/>
        <v>categoria.revit</v>
      </c>
      <c r="AB1635" s="26" t="s">
        <v>3956</v>
      </c>
      <c r="AC1635" s="25" t="str">
        <f t="shared" si="870"/>
        <v>classe.ifc</v>
      </c>
      <c r="AD1635" s="26" t="s">
        <v>3908</v>
      </c>
      <c r="AE1635" s="25" t="str">
        <f t="shared" si="873"/>
        <v>null</v>
      </c>
      <c r="AF1635" s="26" t="s">
        <v>0</v>
      </c>
      <c r="AG1635" s="47" t="s">
        <v>3667</v>
      </c>
    </row>
    <row r="1636" spans="1:33" ht="6" customHeight="1" x14ac:dyDescent="0.4">
      <c r="A1636" s="4">
        <f>ROW()</f>
        <v>1636</v>
      </c>
      <c r="B1636" s="9" t="s">
        <v>27</v>
      </c>
      <c r="C1636" s="55" t="str">
        <f t="shared" si="875"/>
        <v>p.separar</v>
      </c>
      <c r="D1636" s="6" t="str">
        <f t="shared" si="863"/>
        <v>é.divisória.naval</v>
      </c>
      <c r="E1636" s="8" t="s">
        <v>28</v>
      </c>
      <c r="F1636" s="42" t="str">
        <f t="shared" si="876"/>
        <v>d.separar</v>
      </c>
      <c r="G1636" s="17" t="s">
        <v>4772</v>
      </c>
      <c r="H1636" s="41"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71"/>
        <v>Propriedade destinada a separar: é.divisória.naval</v>
      </c>
      <c r="V1636" s="5" t="str">
        <f t="shared" si="872"/>
        <v>Dado para separar:  divisória.naval  Deve ser formatado como (rdfs:Literal  or  xsd:string)</v>
      </c>
      <c r="W1636" s="5" t="s">
        <v>6959</v>
      </c>
      <c r="X1636" s="24" t="str">
        <f t="shared" si="853"/>
        <v>separ.103</v>
      </c>
      <c r="Y1636" s="24" t="str">
        <f t="shared" si="852"/>
        <v>Ação separar</v>
      </c>
      <c r="Z1636" s="47" t="s">
        <v>7576</v>
      </c>
      <c r="AA1636" s="25" t="str">
        <f t="shared" si="869"/>
        <v>categoria.revit</v>
      </c>
      <c r="AB1636" s="26" t="s">
        <v>3956</v>
      </c>
      <c r="AC1636" s="25" t="str">
        <f t="shared" si="870"/>
        <v>classe.ifc</v>
      </c>
      <c r="AD1636" s="26" t="s">
        <v>3908</v>
      </c>
      <c r="AE1636" s="25" t="str">
        <f t="shared" si="873"/>
        <v>null</v>
      </c>
      <c r="AF1636" s="26" t="s">
        <v>0</v>
      </c>
      <c r="AG1636" s="47" t="s">
        <v>3668</v>
      </c>
    </row>
    <row r="1637" spans="1:33" ht="6" customHeight="1" x14ac:dyDescent="0.4">
      <c r="A1637" s="4">
        <f>ROW()</f>
        <v>1637</v>
      </c>
      <c r="B1637" s="9" t="s">
        <v>27</v>
      </c>
      <c r="C1637" s="55" t="str">
        <f t="shared" si="875"/>
        <v>p.separar</v>
      </c>
      <c r="D1637" s="6" t="str">
        <f t="shared" si="863"/>
        <v>é.grade</v>
      </c>
      <c r="E1637" s="8" t="s">
        <v>28</v>
      </c>
      <c r="F1637" s="42" t="str">
        <f t="shared" si="876"/>
        <v>d.separar</v>
      </c>
      <c r="G1637" s="17" t="s">
        <v>4773</v>
      </c>
      <c r="H1637" s="42"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71"/>
        <v>Propriedade destinada a separar: é.grade</v>
      </c>
      <c r="V1637" s="5" t="str">
        <f t="shared" si="872"/>
        <v>Dado para separar:  grade  Deve ser formatado como (rdfs:Literal  or  xsd:string)</v>
      </c>
      <c r="W1637" s="5" t="s">
        <v>6960</v>
      </c>
      <c r="X1637" s="24" t="str">
        <f t="shared" si="853"/>
        <v>separ.104</v>
      </c>
      <c r="Y1637" s="24" t="str">
        <f t="shared" si="852"/>
        <v>Ação separar</v>
      </c>
      <c r="Z1637" s="47" t="s">
        <v>4427</v>
      </c>
      <c r="AA1637" s="25" t="str">
        <f t="shared" si="869"/>
        <v>categoria.revit</v>
      </c>
      <c r="AB1637" s="26" t="s">
        <v>3956</v>
      </c>
      <c r="AC1637" s="25" t="str">
        <f t="shared" si="870"/>
        <v>classe.ifc</v>
      </c>
      <c r="AD1637" s="26" t="s">
        <v>3908</v>
      </c>
      <c r="AE1637" s="25" t="str">
        <f t="shared" si="873"/>
        <v>null</v>
      </c>
      <c r="AF1637" s="26" t="s">
        <v>0</v>
      </c>
      <c r="AG1637" s="47" t="s">
        <v>4488</v>
      </c>
    </row>
    <row r="1638" spans="1:33" ht="6" customHeight="1" x14ac:dyDescent="0.4">
      <c r="A1638" s="4">
        <f>ROW()</f>
        <v>1638</v>
      </c>
      <c r="B1638" s="9" t="s">
        <v>27</v>
      </c>
      <c r="C1638" s="55" t="str">
        <f t="shared" si="875"/>
        <v>p.separar</v>
      </c>
      <c r="D1638" s="6" t="str">
        <f t="shared" si="863"/>
        <v>é.grade.aramada</v>
      </c>
      <c r="E1638" s="8" t="s">
        <v>28</v>
      </c>
      <c r="F1638" s="42" t="str">
        <f t="shared" si="876"/>
        <v>d.separar</v>
      </c>
      <c r="G1638" s="17" t="s">
        <v>4774</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71"/>
        <v>Propriedade destinada a separar: é.grade.aramada</v>
      </c>
      <c r="V1638" s="5" t="str">
        <f t="shared" si="872"/>
        <v>Dado para separar:  grade.aramada  Deve ser formatado como (rdfs:Literal  or  xsd:string)</v>
      </c>
      <c r="W1638" s="5" t="s">
        <v>6961</v>
      </c>
      <c r="X1638" s="24" t="str">
        <f t="shared" si="853"/>
        <v>separ.105</v>
      </c>
      <c r="Y1638" s="24" t="str">
        <f t="shared" si="852"/>
        <v>Ação separar</v>
      </c>
      <c r="Z1638" s="47" t="s">
        <v>7575</v>
      </c>
      <c r="AA1638" s="25" t="str">
        <f t="shared" si="869"/>
        <v>categoria.revit</v>
      </c>
      <c r="AB1638" s="26" t="s">
        <v>3956</v>
      </c>
      <c r="AC1638" s="25" t="str">
        <f t="shared" si="870"/>
        <v>classe.ifc</v>
      </c>
      <c r="AD1638" s="26" t="s">
        <v>3908</v>
      </c>
      <c r="AE1638" s="25" t="str">
        <f t="shared" si="873"/>
        <v>null</v>
      </c>
      <c r="AF1638" s="26" t="s">
        <v>0</v>
      </c>
      <c r="AG1638" s="47" t="s">
        <v>3670</v>
      </c>
    </row>
    <row r="1639" spans="1:33" ht="6" customHeight="1" x14ac:dyDescent="0.4">
      <c r="A1639" s="4">
        <f>ROW()</f>
        <v>1639</v>
      </c>
      <c r="B1639" s="9" t="s">
        <v>27</v>
      </c>
      <c r="C1639" s="55" t="str">
        <f t="shared" si="875"/>
        <v>p.separar</v>
      </c>
      <c r="D1639" s="6" t="str">
        <f t="shared" si="863"/>
        <v>é.grade.de.barras</v>
      </c>
      <c r="E1639" s="8" t="s">
        <v>28</v>
      </c>
      <c r="F1639" s="42" t="str">
        <f t="shared" si="876"/>
        <v>d.separar</v>
      </c>
      <c r="G1639" s="17" t="s">
        <v>4775</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71"/>
        <v>Propriedade destinada a separar: é.grade.de.barras</v>
      </c>
      <c r="V1639" s="5" t="str">
        <f t="shared" si="872"/>
        <v>Dado para separar:  grade.de.barras  Deve ser formatado como (rdfs:Literal  or  xsd:string)</v>
      </c>
      <c r="W1639" s="5" t="s">
        <v>6962</v>
      </c>
      <c r="X1639" s="24" t="str">
        <f t="shared" si="853"/>
        <v>separ.106</v>
      </c>
      <c r="Y1639" s="24" t="str">
        <f t="shared" si="852"/>
        <v>Ação separar</v>
      </c>
      <c r="Z1639" s="47" t="s">
        <v>7574</v>
      </c>
      <c r="AA1639" s="25" t="str">
        <f t="shared" si="869"/>
        <v>categoria.revit</v>
      </c>
      <c r="AB1639" s="26" t="s">
        <v>3956</v>
      </c>
      <c r="AC1639" s="25" t="str">
        <f t="shared" si="870"/>
        <v>classe.ifc</v>
      </c>
      <c r="AD1639" s="26" t="s">
        <v>3908</v>
      </c>
      <c r="AE1639" s="25" t="str">
        <f t="shared" si="873"/>
        <v>null</v>
      </c>
      <c r="AF1639" s="26" t="s">
        <v>0</v>
      </c>
      <c r="AG1639" s="47" t="s">
        <v>3671</v>
      </c>
    </row>
    <row r="1640" spans="1:33" ht="6" customHeight="1" x14ac:dyDescent="0.4">
      <c r="A1640" s="4">
        <f>ROW()</f>
        <v>1640</v>
      </c>
      <c r="B1640" s="9" t="s">
        <v>27</v>
      </c>
      <c r="C1640" s="55" t="str">
        <f t="shared" si="875"/>
        <v>p.separar</v>
      </c>
      <c r="D1640" s="6" t="str">
        <f t="shared" si="863"/>
        <v>é.grade.decorativa</v>
      </c>
      <c r="E1640" s="8" t="s">
        <v>28</v>
      </c>
      <c r="F1640" s="42" t="str">
        <f t="shared" si="876"/>
        <v>d.separar</v>
      </c>
      <c r="G1640" s="17" t="s">
        <v>4776</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71"/>
        <v>Propriedade destinada a separar: é.grade.decorativa</v>
      </c>
      <c r="V1640" s="5" t="str">
        <f t="shared" si="872"/>
        <v>Dado para separar:  grade.decorativa  Deve ser formatado como (rdfs:Literal  or  xsd:string)</v>
      </c>
      <c r="W1640" s="5" t="s">
        <v>6963</v>
      </c>
      <c r="X1640" s="24" t="str">
        <f t="shared" si="853"/>
        <v>separ.107</v>
      </c>
      <c r="Y1640" s="24" t="str">
        <f t="shared" si="852"/>
        <v>Ação separar</v>
      </c>
      <c r="Z1640" s="47" t="s">
        <v>7573</v>
      </c>
      <c r="AA1640" s="25" t="str">
        <f t="shared" si="869"/>
        <v>categoria.revit</v>
      </c>
      <c r="AB1640" s="26" t="s">
        <v>3956</v>
      </c>
      <c r="AC1640" s="25" t="str">
        <f t="shared" si="870"/>
        <v>classe.ifc</v>
      </c>
      <c r="AD1640" s="26" t="s">
        <v>3908</v>
      </c>
      <c r="AE1640" s="25" t="str">
        <f t="shared" si="873"/>
        <v>null</v>
      </c>
      <c r="AF1640" s="26" t="s">
        <v>0</v>
      </c>
      <c r="AG1640" s="47" t="s">
        <v>3672</v>
      </c>
    </row>
    <row r="1641" spans="1:33" ht="6" customHeight="1" x14ac:dyDescent="0.4">
      <c r="A1641" s="4">
        <f>ROW()</f>
        <v>1641</v>
      </c>
      <c r="B1641" s="9" t="s">
        <v>27</v>
      </c>
      <c r="C1641" s="55" t="str">
        <f t="shared" si="875"/>
        <v>p.separar</v>
      </c>
      <c r="D1641" s="6" t="str">
        <f t="shared" si="863"/>
        <v>é.grade.prisional</v>
      </c>
      <c r="E1641" s="8" t="s">
        <v>28</v>
      </c>
      <c r="F1641" s="42" t="str">
        <f t="shared" si="876"/>
        <v>d.separar</v>
      </c>
      <c r="G1641" s="17" t="s">
        <v>4777</v>
      </c>
      <c r="H1641" s="41"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71"/>
        <v>Propriedade destinada a separar: é.grade.prisional</v>
      </c>
      <c r="V1641" s="5" t="str">
        <f t="shared" si="872"/>
        <v>Dado para separar:  grade.prisional  Deve ser formatado como (rdfs:Literal  or  xsd:string)</v>
      </c>
      <c r="W1641" s="5" t="s">
        <v>6964</v>
      </c>
      <c r="X1641" s="24" t="str">
        <f t="shared" si="853"/>
        <v>separ.108</v>
      </c>
      <c r="Y1641" s="24" t="str">
        <f t="shared" si="852"/>
        <v>Ação separar</v>
      </c>
      <c r="Z1641" s="47" t="s">
        <v>7572</v>
      </c>
      <c r="AA1641" s="25" t="str">
        <f t="shared" si="869"/>
        <v>categoria.revit</v>
      </c>
      <c r="AB1641" s="26" t="s">
        <v>3956</v>
      </c>
      <c r="AC1641" s="25" t="str">
        <f t="shared" si="870"/>
        <v>classe.ifc</v>
      </c>
      <c r="AD1641" s="26" t="s">
        <v>3908</v>
      </c>
      <c r="AE1641" s="25" t="str">
        <f t="shared" si="873"/>
        <v>null</v>
      </c>
      <c r="AF1641" s="26" t="s">
        <v>0</v>
      </c>
      <c r="AG1641" s="47" t="s">
        <v>3673</v>
      </c>
    </row>
    <row r="1642" spans="1:33" ht="6" customHeight="1" x14ac:dyDescent="0.4">
      <c r="A1642" s="4">
        <f>ROW()</f>
        <v>1642</v>
      </c>
      <c r="B1642" s="9" t="s">
        <v>27</v>
      </c>
      <c r="C1642" s="55" t="str">
        <f t="shared" si="875"/>
        <v>p.separar</v>
      </c>
      <c r="D1642" s="6" t="str">
        <f t="shared" si="863"/>
        <v>é.parede</v>
      </c>
      <c r="E1642" s="8" t="s">
        <v>28</v>
      </c>
      <c r="F1642" s="42" t="str">
        <f t="shared" si="876"/>
        <v>d.separar</v>
      </c>
      <c r="G1642" s="17" t="s">
        <v>4778</v>
      </c>
      <c r="H1642" s="42" t="s">
        <v>2321</v>
      </c>
      <c r="I1642" s="16" t="str">
        <f t="shared" si="86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71"/>
        <v>Propriedade destinada a separar: é.parede</v>
      </c>
      <c r="V1642" s="5" t="str">
        <f t="shared" si="872"/>
        <v>Dado para separar:  parede  Deve ser formatado como (rdfs:Literal  or  xsd:string)</v>
      </c>
      <c r="W1642" s="5" t="s">
        <v>6965</v>
      </c>
      <c r="X1642" s="24" t="str">
        <f t="shared" si="853"/>
        <v>separ.109</v>
      </c>
      <c r="Y1642" s="24" t="str">
        <f t="shared" si="852"/>
        <v>Ação separar</v>
      </c>
      <c r="Z1642" s="47" t="s">
        <v>4426</v>
      </c>
      <c r="AA1642" s="25" t="str">
        <f t="shared" si="869"/>
        <v>categoria.revit</v>
      </c>
      <c r="AB1642" s="26" t="s">
        <v>3956</v>
      </c>
      <c r="AC1642" s="25" t="str">
        <f t="shared" si="870"/>
        <v>classe.ifc</v>
      </c>
      <c r="AD1642" s="26" t="s">
        <v>3908</v>
      </c>
      <c r="AE1642" s="25" t="str">
        <f t="shared" si="873"/>
        <v>null</v>
      </c>
      <c r="AF1642" s="26" t="s">
        <v>0</v>
      </c>
      <c r="AG1642" s="47" t="s">
        <v>4487</v>
      </c>
    </row>
    <row r="1643" spans="1:33" ht="6" customHeight="1" x14ac:dyDescent="0.4">
      <c r="A1643" s="4">
        <f>ROW()</f>
        <v>1643</v>
      </c>
      <c r="B1643" s="9" t="s">
        <v>27</v>
      </c>
      <c r="C1643" s="55" t="str">
        <f t="shared" si="875"/>
        <v>p.separar</v>
      </c>
      <c r="D1643" s="6" t="str">
        <f>_xlfn.CONCAT("é.",G1643)</f>
        <v>é.parede.hidráulica</v>
      </c>
      <c r="E1643" s="8" t="s">
        <v>28</v>
      </c>
      <c r="F1643" s="42" t="str">
        <f t="shared" si="876"/>
        <v>d.separar</v>
      </c>
      <c r="G1643" s="17" t="s">
        <v>4779</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é.parede.hidráulica</v>
      </c>
      <c r="V1643" s="5" t="str">
        <f>_xlfn.CONCAT("Dado para ",MID(F1643,FIND("d.",F1643,1)+2,100),":  ",G1643, "  Deve ser formatado como (",H1643, ")")</f>
        <v>Dado para separar:  parede.hidráulica  Deve ser formatado como (rdfs:Literal  or  xsd:string)</v>
      </c>
      <c r="W1643" s="5" t="s">
        <v>6966</v>
      </c>
      <c r="X1643" s="24" t="str">
        <f t="shared" si="853"/>
        <v>separ.110</v>
      </c>
      <c r="Y1643" s="24" t="str">
        <f t="shared" si="852"/>
        <v>Ação separar</v>
      </c>
      <c r="Z1643" s="47" t="s">
        <v>7568</v>
      </c>
      <c r="AA1643" s="25" t="str">
        <f>IF(AB1643="null", "null", "categoria.revit")</f>
        <v>categoria.revit</v>
      </c>
      <c r="AB1643" s="26" t="s">
        <v>3956</v>
      </c>
      <c r="AC1643" s="25" t="str">
        <f>IF(AD1643="null", "null", "classe.ifc")</f>
        <v>classe.ifc</v>
      </c>
      <c r="AD1643" s="26" t="s">
        <v>3908</v>
      </c>
      <c r="AE1643" s="25" t="str">
        <f>IF(AF1643="null", "null", "propiedade")</f>
        <v>null</v>
      </c>
      <c r="AF1643" s="26" t="s">
        <v>0</v>
      </c>
      <c r="AG1643" s="47" t="s">
        <v>3669</v>
      </c>
    </row>
    <row r="1644" spans="1:33" ht="6" customHeight="1" x14ac:dyDescent="0.4">
      <c r="A1644" s="4">
        <f>ROW()</f>
        <v>1644</v>
      </c>
      <c r="B1644" s="9" t="s">
        <v>27</v>
      </c>
      <c r="C1644" s="55" t="str">
        <f t="shared" si="875"/>
        <v>p.separar</v>
      </c>
      <c r="D1644" s="6" t="str">
        <f>_xlfn.CONCAT("é.",G1644)</f>
        <v>é.tijolo.comum</v>
      </c>
      <c r="E1644" s="8" t="s">
        <v>28</v>
      </c>
      <c r="F1644" s="42" t="str">
        <f t="shared" si="876"/>
        <v>d.separar</v>
      </c>
      <c r="G1644" s="17" t="s">
        <v>4780</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é.tijolo.comum</v>
      </c>
      <c r="V1644" s="5" t="str">
        <f>_xlfn.CONCAT("Dado para ",MID(F1644,FIND("d.",F1644,1)+2,100),":  ",G1644, "  Deve ser formatado como (",H1644, ")")</f>
        <v>Dado para separar:  tijolo.comum  Deve ser formatado como (rdfs:Literal  or  xsd:string)</v>
      </c>
      <c r="W1644" s="5" t="s">
        <v>6967</v>
      </c>
      <c r="X1644" s="24" t="str">
        <f t="shared" si="853"/>
        <v>separ.111</v>
      </c>
      <c r="Y1644" s="24" t="str">
        <f t="shared" si="852"/>
        <v>Ação separar</v>
      </c>
      <c r="Z1644" s="47" t="s">
        <v>7571</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3662</v>
      </c>
    </row>
    <row r="1645" spans="1:33" ht="6" customHeight="1" x14ac:dyDescent="0.4">
      <c r="A1645" s="4">
        <f>ROW()</f>
        <v>1645</v>
      </c>
      <c r="B1645" s="9" t="s">
        <v>27</v>
      </c>
      <c r="C1645" s="55" t="str">
        <f t="shared" si="875"/>
        <v>p.separar</v>
      </c>
      <c r="D1645" s="6" t="str">
        <f>_xlfn.CONCAT("é.",G1645)</f>
        <v>é.tijolo.de.vidro</v>
      </c>
      <c r="E1645" s="8" t="s">
        <v>28</v>
      </c>
      <c r="F1645" s="42" t="str">
        <f t="shared" si="876"/>
        <v>d.separar</v>
      </c>
      <c r="G1645" s="17" t="s">
        <v>4781</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é.tijolo.de.vidro</v>
      </c>
      <c r="V1645" s="5" t="str">
        <f>_xlfn.CONCAT("Dado para ",MID(F1645,FIND("d.",F1645,1)+2,100),":  ",G1645, "  Deve ser formatado como (",H1645, ")")</f>
        <v>Dado para separar:  tijolo.de.vidro  Deve ser formatado como (rdfs:Literal  or  xsd:string)</v>
      </c>
      <c r="W1645" s="5" t="s">
        <v>6968</v>
      </c>
      <c r="X1645" s="24" t="str">
        <f t="shared" si="853"/>
        <v>separ.112</v>
      </c>
      <c r="Y1645" s="24" t="str">
        <f t="shared" si="852"/>
        <v>Ação separar</v>
      </c>
      <c r="Z1645" s="47" t="s">
        <v>7569</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3664</v>
      </c>
    </row>
    <row r="1646" spans="1:33" ht="6" customHeight="1" x14ac:dyDescent="0.4">
      <c r="A1646" s="4">
        <f>ROW()</f>
        <v>1646</v>
      </c>
      <c r="B1646" s="9" t="s">
        <v>27</v>
      </c>
      <c r="C1646" s="55" t="str">
        <f t="shared" si="875"/>
        <v>p.separar</v>
      </c>
      <c r="D1646" s="6" t="str">
        <f>_xlfn.CONCAT("é.",G1646)</f>
        <v>é.tijolo.furado</v>
      </c>
      <c r="E1646" s="8" t="s">
        <v>28</v>
      </c>
      <c r="F1646" s="42" t="str">
        <f t="shared" si="876"/>
        <v>d.separar</v>
      </c>
      <c r="G1646" s="17" t="s">
        <v>4782</v>
      </c>
      <c r="H1646" s="41" t="s">
        <v>2321</v>
      </c>
      <c r="I1646" s="16" t="str">
        <f>J1646</f>
        <v>null</v>
      </c>
      <c r="J1646" s="15" t="s">
        <v>0</v>
      </c>
      <c r="K1646" s="15" t="s">
        <v>0</v>
      </c>
      <c r="L1646" s="15" t="s">
        <v>0</v>
      </c>
      <c r="M1646" s="15" t="s">
        <v>0</v>
      </c>
      <c r="N1646" s="15" t="s">
        <v>0</v>
      </c>
      <c r="O1646" s="15" t="s">
        <v>0</v>
      </c>
      <c r="P1646" s="15" t="s">
        <v>0</v>
      </c>
      <c r="Q1646" s="15" t="s">
        <v>0</v>
      </c>
      <c r="R1646" s="15" t="s">
        <v>0</v>
      </c>
      <c r="S1646" s="10" t="s">
        <v>1</v>
      </c>
      <c r="T1646" s="10" t="s">
        <v>32</v>
      </c>
      <c r="U1646" s="5" t="str">
        <f>_xlfn.CONCAT("Propriedade destinada a ",MID(C1646,FIND("p.",C1646,1)+2,100),": ",D1646)</f>
        <v>Propriedade destinada a separar: é.tijolo.furado</v>
      </c>
      <c r="V1646" s="5" t="str">
        <f>_xlfn.CONCAT("Dado para ",MID(F1646,FIND("d.",F1646,1)+2,100),":  ",G1646, "  Deve ser formatado como (",H1646, ")")</f>
        <v>Dado para separar:  tijolo.furado  Deve ser formatado como (rdfs:Literal  or  xsd:string)</v>
      </c>
      <c r="W1646" s="5" t="s">
        <v>6969</v>
      </c>
      <c r="X1646" s="24" t="str">
        <f t="shared" si="853"/>
        <v>separ.113</v>
      </c>
      <c r="Y1646" s="24" t="str">
        <f t="shared" si="852"/>
        <v>Ação separar</v>
      </c>
      <c r="Z1646" s="47" t="s">
        <v>7570</v>
      </c>
      <c r="AA1646" s="25" t="str">
        <f>IF(AB1646="null", "null", "categoria.revit")</f>
        <v>categoria.revit</v>
      </c>
      <c r="AB1646" s="26" t="s">
        <v>3957</v>
      </c>
      <c r="AC1646" s="25" t="str">
        <f>IF(AD1646="null", "null", "classe.ifc")</f>
        <v>classe.ifc</v>
      </c>
      <c r="AD1646" s="26" t="s">
        <v>3909</v>
      </c>
      <c r="AE1646" s="25" t="str">
        <f>IF(AF1646="null", "null", "propiedade")</f>
        <v>null</v>
      </c>
      <c r="AF1646" s="26" t="s">
        <v>0</v>
      </c>
      <c r="AG1646" s="47" t="s">
        <v>3663</v>
      </c>
    </row>
    <row r="1647" spans="1:33" ht="6" customHeight="1" x14ac:dyDescent="0.4">
      <c r="A1647" s="4">
        <f>ROW()</f>
        <v>1647</v>
      </c>
      <c r="B1647" s="9" t="s">
        <v>27</v>
      </c>
      <c r="C1647" s="54" t="str">
        <f t="shared" si="875"/>
        <v>p.sepultar</v>
      </c>
      <c r="D1647" s="6" t="str">
        <f t="shared" ref="D1647:D1652" si="877">_xlfn.CONCAT("é.",G1647)</f>
        <v>é.cova</v>
      </c>
      <c r="E1647" s="8" t="s">
        <v>28</v>
      </c>
      <c r="F1647" s="51" t="s">
        <v>5367</v>
      </c>
      <c r="G1647" s="17" t="s">
        <v>5374</v>
      </c>
      <c r="H1647" s="41" t="s">
        <v>2321</v>
      </c>
      <c r="I1647" s="16" t="str">
        <f t="shared" ref="I1647:I1652" si="878">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U1652" si="879">_xlfn.CONCAT("Propriedade destinada a ",MID(C1647,FIND("p.",C1647,1)+2,100),": ",D1647)</f>
        <v>Propriedade destinada a sepultar: é.cova</v>
      </c>
      <c r="V1647" s="5" t="str">
        <f t="shared" ref="V1647:V1652" si="880">_xlfn.CONCAT("Dado para ",MID(F1647,FIND("d.",F1647,1)+2,100),":  ",G1647, "  Deve ser formatado como (",H1647, ")")</f>
        <v>Dado para sepultar:  cova  Deve ser formatado como (rdfs:Literal  or  xsd:string)</v>
      </c>
      <c r="W1647" s="5" t="s">
        <v>6970</v>
      </c>
      <c r="X1647" s="24" t="str">
        <f t="shared" si="853"/>
        <v>sepul.100</v>
      </c>
      <c r="Y1647" s="24" t="str">
        <f t="shared" si="852"/>
        <v>Ação sepultar</v>
      </c>
      <c r="Z1647" s="47" t="s">
        <v>5381</v>
      </c>
      <c r="AA1647" s="25" t="str">
        <f t="shared" ref="AA1647:AA1652" si="881">IF(AB1647="null", "null", "categoria.revit")</f>
        <v>null</v>
      </c>
      <c r="AB1647" s="26" t="s">
        <v>0</v>
      </c>
      <c r="AC1647" s="25" t="str">
        <f t="shared" ref="AC1647:AC1652" si="882">IF(AD1647="null", "null", "classe.ifc")</f>
        <v>null</v>
      </c>
      <c r="AD1647" s="26" t="s">
        <v>0</v>
      </c>
      <c r="AE1647" s="25" t="str">
        <f t="shared" ref="AE1647:AE1652" si="883">IF(AF1647="null", "null", "propiedade")</f>
        <v>null</v>
      </c>
      <c r="AF1647" s="26" t="s">
        <v>0</v>
      </c>
      <c r="AG1647" s="47" t="s">
        <v>5377</v>
      </c>
    </row>
    <row r="1648" spans="1:33" ht="6" customHeight="1" x14ac:dyDescent="0.4">
      <c r="A1648" s="4">
        <f>ROW()</f>
        <v>1648</v>
      </c>
      <c r="B1648" s="9" t="s">
        <v>27</v>
      </c>
      <c r="C1648" s="55" t="str">
        <f t="shared" si="875"/>
        <v>p.sepultar</v>
      </c>
      <c r="D1648" s="6" t="str">
        <f t="shared" ref="D1648" si="884">_xlfn.CONCAT("é.",G1648)</f>
        <v>é.jazigo</v>
      </c>
      <c r="E1648" s="8" t="s">
        <v>28</v>
      </c>
      <c r="F1648" s="42" t="str">
        <f>F1647</f>
        <v>d.sepultar</v>
      </c>
      <c r="G1648" s="17" t="s">
        <v>5368</v>
      </c>
      <c r="H1648" s="41" t="s">
        <v>2321</v>
      </c>
      <c r="I1648" s="16" t="str">
        <f t="shared" ref="I1648" si="885">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86">_xlfn.CONCAT("Propriedade destinada a ",MID(C1648,FIND("p.",C1648,1)+2,100),": ",D1648)</f>
        <v>Propriedade destinada a sepultar: é.jazigo</v>
      </c>
      <c r="V1648" s="5" t="str">
        <f t="shared" ref="V1648" si="887">_xlfn.CONCAT("Dado para ",MID(F1648,FIND("d.",F1648,1)+2,100),":  ",G1648, "  Deve ser formatado como (",H1648, ")")</f>
        <v>Dado para sepultar:  jazigo  Deve ser formatado como (rdfs:Literal  or  xsd:string)</v>
      </c>
      <c r="W1648" s="5" t="s">
        <v>6971</v>
      </c>
      <c r="X1648" s="24" t="str">
        <f t="shared" si="853"/>
        <v>sepul.101</v>
      </c>
      <c r="Y1648" s="24" t="str">
        <f t="shared" si="852"/>
        <v>Ação sepultar</v>
      </c>
      <c r="Z1648" s="47" t="s">
        <v>5382</v>
      </c>
      <c r="AA1648" s="25" t="str">
        <f t="shared" ref="AA1648" si="888">IF(AB1648="null", "null", "categoria.revit")</f>
        <v>null</v>
      </c>
      <c r="AB1648" s="26" t="s">
        <v>0</v>
      </c>
      <c r="AC1648" s="25" t="str">
        <f t="shared" ref="AC1648" si="889">IF(AD1648="null", "null", "classe.ifc")</f>
        <v>null</v>
      </c>
      <c r="AD1648" s="26" t="s">
        <v>0</v>
      </c>
      <c r="AE1648" s="25" t="str">
        <f t="shared" ref="AE1648" si="890">IF(AF1648="null", "null", "propiedade")</f>
        <v>null</v>
      </c>
      <c r="AF1648" s="26" t="s">
        <v>0</v>
      </c>
      <c r="AG1648" s="47" t="s">
        <v>5375</v>
      </c>
    </row>
    <row r="1649" spans="1:33" ht="6" customHeight="1" x14ac:dyDescent="0.4">
      <c r="A1649" s="4">
        <f>ROW()</f>
        <v>1649</v>
      </c>
      <c r="B1649" s="9" t="s">
        <v>27</v>
      </c>
      <c r="C1649" s="55" t="str">
        <f t="shared" si="875"/>
        <v>p.sepultar</v>
      </c>
      <c r="D1649" s="6" t="str">
        <f t="shared" ref="D1649" si="891">_xlfn.CONCAT("é.",G1649)</f>
        <v>é.lápide</v>
      </c>
      <c r="E1649" s="8" t="s">
        <v>28</v>
      </c>
      <c r="F1649" s="42" t="str">
        <f t="shared" ref="F1649:F1652" si="892">F1648</f>
        <v>d.sepultar</v>
      </c>
      <c r="G1649" s="17" t="s">
        <v>5372</v>
      </c>
      <c r="H1649" s="42" t="s">
        <v>2321</v>
      </c>
      <c r="I1649" s="16" t="str">
        <f t="shared" ref="I1649" si="893">J1649</f>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ref="U1649" si="894">_xlfn.CONCAT("Propriedade destinada a ",MID(C1649,FIND("p.",C1649,1)+2,100),": ",D1649)</f>
        <v>Propriedade destinada a sepultar: é.lápide</v>
      </c>
      <c r="V1649" s="5" t="str">
        <f t="shared" ref="V1649" si="895">_xlfn.CONCAT("Dado para ",MID(F1649,FIND("d.",F1649,1)+2,100),":  ",G1649, "  Deve ser formatado como (",H1649, ")")</f>
        <v>Dado para sepultar:  lápide  Deve ser formatado como (rdfs:Literal  or  xsd:string)</v>
      </c>
      <c r="W1649" s="5" t="s">
        <v>6972</v>
      </c>
      <c r="X1649" s="24" t="str">
        <f t="shared" si="853"/>
        <v>sepul.102</v>
      </c>
      <c r="Y1649" s="24" t="str">
        <f t="shared" si="852"/>
        <v>Ação sepultar</v>
      </c>
      <c r="Z1649" s="47" t="s">
        <v>5383</v>
      </c>
      <c r="AA1649" s="25" t="str">
        <f t="shared" ref="AA1649" si="896">IF(AB1649="null", "null", "categoria.revit")</f>
        <v>null</v>
      </c>
      <c r="AB1649" s="26" t="s">
        <v>0</v>
      </c>
      <c r="AC1649" s="25" t="str">
        <f t="shared" ref="AC1649" si="897">IF(AD1649="null", "null", "classe.ifc")</f>
        <v>null</v>
      </c>
      <c r="AD1649" s="26" t="s">
        <v>0</v>
      </c>
      <c r="AE1649" s="25" t="str">
        <f t="shared" ref="AE1649" si="898">IF(AF1649="null", "null", "propiedade")</f>
        <v>null</v>
      </c>
      <c r="AF1649" s="26" t="s">
        <v>0</v>
      </c>
      <c r="AG1649" s="47" t="s">
        <v>5376</v>
      </c>
    </row>
    <row r="1650" spans="1:33" ht="6" customHeight="1" x14ac:dyDescent="0.4">
      <c r="A1650" s="4">
        <f>ROW()</f>
        <v>1650</v>
      </c>
      <c r="B1650" s="9" t="s">
        <v>27</v>
      </c>
      <c r="C1650" s="55" t="str">
        <f>SUBSTITUTE(F1650,"d.","p.")</f>
        <v>p.sepultar</v>
      </c>
      <c r="D1650" s="6" t="str">
        <f t="shared" si="877"/>
        <v>é.urna.de.corpo</v>
      </c>
      <c r="E1650" s="8" t="s">
        <v>28</v>
      </c>
      <c r="F1650" s="42" t="str">
        <f t="shared" si="892"/>
        <v>d.sepultar</v>
      </c>
      <c r="G1650" s="17" t="s">
        <v>5369</v>
      </c>
      <c r="H1650" s="41" t="s">
        <v>2321</v>
      </c>
      <c r="I1650" s="16" t="str">
        <f t="shared" si="878"/>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9"/>
        <v>Propriedade destinada a sepultar: é.urna.de.corpo</v>
      </c>
      <c r="V1650" s="5" t="str">
        <f t="shared" si="880"/>
        <v>Dado para sepultar:  urna.de.corpo  Deve ser formatado como (rdfs:Literal  or  xsd:string)</v>
      </c>
      <c r="W1650" s="5" t="s">
        <v>6973</v>
      </c>
      <c r="X1650" s="24" t="str">
        <f t="shared" si="853"/>
        <v>sepul.103</v>
      </c>
      <c r="Y1650" s="24" t="str">
        <f t="shared" si="852"/>
        <v>Ação sepultar</v>
      </c>
      <c r="Z1650" s="47" t="s">
        <v>5384</v>
      </c>
      <c r="AA1650" s="25" t="str">
        <f t="shared" si="881"/>
        <v>null</v>
      </c>
      <c r="AB1650" s="26" t="s">
        <v>0</v>
      </c>
      <c r="AC1650" s="25" t="str">
        <f t="shared" si="882"/>
        <v>null</v>
      </c>
      <c r="AD1650" s="26" t="s">
        <v>0</v>
      </c>
      <c r="AE1650" s="25" t="str">
        <f t="shared" si="883"/>
        <v>null</v>
      </c>
      <c r="AF1650" s="26" t="s">
        <v>0</v>
      </c>
      <c r="AG1650" s="47" t="s">
        <v>5378</v>
      </c>
    </row>
    <row r="1651" spans="1:33" ht="6" customHeight="1" x14ac:dyDescent="0.4">
      <c r="A1651" s="4">
        <f>ROW()</f>
        <v>1651</v>
      </c>
      <c r="B1651" s="9" t="s">
        <v>27</v>
      </c>
      <c r="C1651" s="55" t="str">
        <f t="shared" ref="C1651:C1652" si="899">SUBSTITUTE(F1651,"d.","p.")</f>
        <v>p.sepultar</v>
      </c>
      <c r="D1651" s="6" t="str">
        <f t="shared" si="877"/>
        <v>é.urna.de.ossos</v>
      </c>
      <c r="E1651" s="8" t="s">
        <v>28</v>
      </c>
      <c r="F1651" s="42" t="str">
        <f t="shared" si="892"/>
        <v>d.sepultar</v>
      </c>
      <c r="G1651" s="17" t="s">
        <v>5370</v>
      </c>
      <c r="H1651" s="41" t="s">
        <v>2321</v>
      </c>
      <c r="I1651" s="16" t="str">
        <f t="shared" si="878"/>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9"/>
        <v>Propriedade destinada a sepultar: é.urna.de.ossos</v>
      </c>
      <c r="V1651" s="5" t="str">
        <f t="shared" si="880"/>
        <v>Dado para sepultar:  urna.de.ossos  Deve ser formatado como (rdfs:Literal  or  xsd:string)</v>
      </c>
      <c r="W1651" s="5" t="s">
        <v>6974</v>
      </c>
      <c r="X1651" s="24" t="str">
        <f t="shared" si="853"/>
        <v>sepul.104</v>
      </c>
      <c r="Y1651" s="24" t="str">
        <f t="shared" si="852"/>
        <v>Ação sepultar</v>
      </c>
      <c r="Z1651" s="47" t="s">
        <v>5385</v>
      </c>
      <c r="AA1651" s="25" t="str">
        <f t="shared" si="881"/>
        <v>null</v>
      </c>
      <c r="AB1651" s="26" t="s">
        <v>0</v>
      </c>
      <c r="AC1651" s="25" t="str">
        <f t="shared" si="882"/>
        <v>null</v>
      </c>
      <c r="AD1651" s="26" t="s">
        <v>0</v>
      </c>
      <c r="AE1651" s="25" t="str">
        <f t="shared" si="883"/>
        <v>null</v>
      </c>
      <c r="AF1651" s="26" t="s">
        <v>0</v>
      </c>
      <c r="AG1651" s="47" t="s">
        <v>5379</v>
      </c>
    </row>
    <row r="1652" spans="1:33" ht="6" customHeight="1" x14ac:dyDescent="0.4">
      <c r="A1652" s="4">
        <f>ROW()</f>
        <v>1652</v>
      </c>
      <c r="B1652" s="9" t="s">
        <v>27</v>
      </c>
      <c r="C1652" s="55" t="str">
        <f t="shared" si="899"/>
        <v>p.sepultar</v>
      </c>
      <c r="D1652" s="6" t="str">
        <f t="shared" si="877"/>
        <v>é.urna.de.cinzas</v>
      </c>
      <c r="E1652" s="8" t="s">
        <v>28</v>
      </c>
      <c r="F1652" s="42" t="str">
        <f t="shared" si="892"/>
        <v>d.sepultar</v>
      </c>
      <c r="G1652" s="17" t="s">
        <v>5371</v>
      </c>
      <c r="H1652" s="41" t="s">
        <v>2321</v>
      </c>
      <c r="I1652" s="16" t="str">
        <f t="shared" si="878"/>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79"/>
        <v>Propriedade destinada a sepultar: é.urna.de.cinzas</v>
      </c>
      <c r="V1652" s="5" t="str">
        <f t="shared" si="880"/>
        <v>Dado para sepultar:  urna.de.cinzas  Deve ser formatado como (rdfs:Literal  or  xsd:string)</v>
      </c>
      <c r="W1652" s="5" t="s">
        <v>6975</v>
      </c>
      <c r="X1652" s="24" t="str">
        <f t="shared" si="853"/>
        <v>sepul.105</v>
      </c>
      <c r="Y1652" s="24" t="str">
        <f t="shared" si="852"/>
        <v>Ação sepultar</v>
      </c>
      <c r="Z1652" s="47" t="s">
        <v>5386</v>
      </c>
      <c r="AA1652" s="25" t="str">
        <f t="shared" si="881"/>
        <v>null</v>
      </c>
      <c r="AB1652" s="26" t="s">
        <v>0</v>
      </c>
      <c r="AC1652" s="25" t="str">
        <f t="shared" si="882"/>
        <v>null</v>
      </c>
      <c r="AD1652" s="26" t="s">
        <v>0</v>
      </c>
      <c r="AE1652" s="25" t="str">
        <f t="shared" si="883"/>
        <v>null</v>
      </c>
      <c r="AF1652" s="26" t="s">
        <v>0</v>
      </c>
      <c r="AG1652" s="47" t="s">
        <v>5380</v>
      </c>
    </row>
    <row r="1653" spans="1:33" ht="6" customHeight="1" x14ac:dyDescent="0.4">
      <c r="A1653" s="4">
        <f>ROW()</f>
        <v>1653</v>
      </c>
      <c r="B1653" s="9" t="s">
        <v>27</v>
      </c>
      <c r="C1653" s="54" t="str">
        <f t="shared" si="875"/>
        <v>p.servir</v>
      </c>
      <c r="D1653" s="6" t="str">
        <f t="shared" ref="D1653:D1657" si="900">_xlfn.CONCAT("é.",G1653)</f>
        <v>é.servidor.de</v>
      </c>
      <c r="E1653" s="8" t="s">
        <v>28</v>
      </c>
      <c r="F1653" s="51" t="s">
        <v>4061</v>
      </c>
      <c r="G1653" s="17" t="s">
        <v>4783</v>
      </c>
      <c r="H1653" s="42" t="s">
        <v>2321</v>
      </c>
      <c r="I1653" s="16" t="str">
        <f t="shared" ref="I1653:I1657" si="901">J1653</f>
        <v>null</v>
      </c>
      <c r="J1653" s="15" t="s">
        <v>0</v>
      </c>
      <c r="K1653" s="15" t="s">
        <v>0</v>
      </c>
      <c r="L1653" s="15" t="s">
        <v>0</v>
      </c>
      <c r="M1653" s="15" t="s">
        <v>0</v>
      </c>
      <c r="N1653" s="15" t="s">
        <v>0</v>
      </c>
      <c r="O1653" s="15" t="s">
        <v>0</v>
      </c>
      <c r="P1653" s="15" t="s">
        <v>0</v>
      </c>
      <c r="Q1653" s="21" t="s">
        <v>4534</v>
      </c>
      <c r="R1653" s="15" t="s">
        <v>0</v>
      </c>
      <c r="S1653" s="10" t="s">
        <v>1</v>
      </c>
      <c r="T1653" s="10" t="s">
        <v>32</v>
      </c>
      <c r="U1653" s="5" t="str">
        <f t="shared" ref="U1653:U1657" si="902">_xlfn.CONCAT("Propriedade destinada a ",MID(C1653,FIND("p.",C1653,1)+2,100),": ",D1653)</f>
        <v>Propriedade destinada a servir: é.servidor.de</v>
      </c>
      <c r="V1653" s="5" t="str">
        <f t="shared" ref="V1653:V1657" si="903">_xlfn.CONCAT("Dado para ",MID(F1653,FIND("d.",F1653,1)+2,100),":  ",G1653, "  Deve ser formatado como (",H1653, ")")</f>
        <v>Dado para servir:  servidor.de  Deve ser formatado como (rdfs:Literal  or  xsd:string)</v>
      </c>
      <c r="W1653" s="5" t="s">
        <v>6976</v>
      </c>
      <c r="X1653" s="24" t="str">
        <f t="shared" si="853"/>
        <v>servi.100</v>
      </c>
      <c r="Y1653" s="24" t="str">
        <f t="shared" si="852"/>
        <v>Ação servir</v>
      </c>
      <c r="Z1653" s="47" t="s">
        <v>4428</v>
      </c>
      <c r="AA1653" s="25" t="str">
        <f t="shared" ref="AA1653:AA1657" si="904">IF(AB1653="null", "null", "categoria.revit")</f>
        <v>null</v>
      </c>
      <c r="AB1653" s="26" t="s">
        <v>0</v>
      </c>
      <c r="AC1653" s="25" t="str">
        <f t="shared" ref="AC1653:AC1657" si="905">IF(AD1653="null", "null", "classe.ifc")</f>
        <v>null</v>
      </c>
      <c r="AD1653" s="26" t="s">
        <v>0</v>
      </c>
      <c r="AE1653" s="25" t="str">
        <f t="shared" ref="AE1653:AE1657" si="906">IF(AF1653="null", "null", "propiedade")</f>
        <v>null</v>
      </c>
      <c r="AF1653" s="26" t="s">
        <v>0</v>
      </c>
      <c r="AG1653" s="47" t="s">
        <v>4489</v>
      </c>
    </row>
    <row r="1654" spans="1:33" ht="6" customHeight="1" x14ac:dyDescent="0.4">
      <c r="A1654" s="4">
        <f>ROW()</f>
        <v>1654</v>
      </c>
      <c r="B1654" s="9" t="s">
        <v>27</v>
      </c>
      <c r="C1654" s="55" t="str">
        <f t="shared" si="875"/>
        <v>p.servir</v>
      </c>
      <c r="D1654" s="6" t="str">
        <f t="shared" si="900"/>
        <v>é.servido.por</v>
      </c>
      <c r="E1654" s="8" t="s">
        <v>28</v>
      </c>
      <c r="F1654" s="42" t="str">
        <f>F1653</f>
        <v>d.servir</v>
      </c>
      <c r="G1654" s="17" t="s">
        <v>4784</v>
      </c>
      <c r="H1654" s="41" t="s">
        <v>2321</v>
      </c>
      <c r="I1654" s="16" t="str">
        <f t="shared" si="901"/>
        <v>null</v>
      </c>
      <c r="J1654" s="15" t="s">
        <v>0</v>
      </c>
      <c r="K1654" s="15" t="s">
        <v>0</v>
      </c>
      <c r="L1654" s="15" t="s">
        <v>0</v>
      </c>
      <c r="M1654" s="15" t="s">
        <v>0</v>
      </c>
      <c r="N1654" s="15" t="s">
        <v>0</v>
      </c>
      <c r="O1654" s="15" t="s">
        <v>0</v>
      </c>
      <c r="P1654" s="15" t="s">
        <v>0</v>
      </c>
      <c r="Q1654" s="21" t="s">
        <v>4533</v>
      </c>
      <c r="R1654" s="15" t="s">
        <v>0</v>
      </c>
      <c r="S1654" s="10" t="s">
        <v>1</v>
      </c>
      <c r="T1654" s="10" t="s">
        <v>32</v>
      </c>
      <c r="U1654" s="5" t="str">
        <f t="shared" si="902"/>
        <v>Propriedade destinada a servir: é.servido.por</v>
      </c>
      <c r="V1654" s="5" t="str">
        <f t="shared" si="903"/>
        <v>Dado para servir:  servido.por  Deve ser formatado como (rdfs:Literal  or  xsd:string)</v>
      </c>
      <c r="W1654" s="5" t="s">
        <v>6977</v>
      </c>
      <c r="X1654" s="24" t="str">
        <f t="shared" si="853"/>
        <v>servi.101</v>
      </c>
      <c r="Y1654" s="24" t="str">
        <f t="shared" si="852"/>
        <v>Ação servir</v>
      </c>
      <c r="Z1654" s="47" t="s">
        <v>4429</v>
      </c>
      <c r="AA1654" s="25" t="str">
        <f t="shared" si="904"/>
        <v>null</v>
      </c>
      <c r="AB1654" s="26" t="s">
        <v>0</v>
      </c>
      <c r="AC1654" s="25" t="str">
        <f t="shared" si="905"/>
        <v>null</v>
      </c>
      <c r="AD1654" s="26" t="s">
        <v>0</v>
      </c>
      <c r="AE1654" s="25" t="str">
        <f t="shared" si="906"/>
        <v>null</v>
      </c>
      <c r="AF1654" s="26" t="s">
        <v>0</v>
      </c>
      <c r="AG1654" s="47" t="s">
        <v>4490</v>
      </c>
    </row>
    <row r="1655" spans="1:33" ht="6" customHeight="1" x14ac:dyDescent="0.4">
      <c r="A1655" s="4">
        <f>ROW()</f>
        <v>1655</v>
      </c>
      <c r="B1655" s="9" t="s">
        <v>27</v>
      </c>
      <c r="C1655" s="55" t="str">
        <f t="shared" si="875"/>
        <v>p.servir</v>
      </c>
      <c r="D1655" s="6" t="str">
        <f t="shared" si="900"/>
        <v>é.tempo.de.serviço</v>
      </c>
      <c r="E1655" s="8" t="s">
        <v>28</v>
      </c>
      <c r="F1655" s="42" t="str">
        <f>F1654</f>
        <v>d.servir</v>
      </c>
      <c r="G1655" s="17" t="s">
        <v>4785</v>
      </c>
      <c r="H1655" s="41" t="s">
        <v>2321</v>
      </c>
      <c r="I1655" s="16" t="str">
        <f t="shared" si="90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902"/>
        <v>Propriedade destinada a servir: é.tempo.de.serviço</v>
      </c>
      <c r="V1655" s="5" t="str">
        <f t="shared" si="903"/>
        <v>Dado para servir:  tempo.de.serviço  Deve ser formatado como (rdfs:Literal  or  xsd:string)</v>
      </c>
      <c r="W1655" s="5" t="s">
        <v>6978</v>
      </c>
      <c r="X1655" s="24" t="str">
        <f t="shared" si="853"/>
        <v>servi.102</v>
      </c>
      <c r="Y1655" s="24" t="str">
        <f t="shared" si="852"/>
        <v>Ação servir</v>
      </c>
      <c r="Z1655" s="47" t="s">
        <v>7567</v>
      </c>
      <c r="AA1655" s="25" t="str">
        <f t="shared" si="904"/>
        <v>null</v>
      </c>
      <c r="AB1655" s="26" t="s">
        <v>0</v>
      </c>
      <c r="AC1655" s="25" t="str">
        <f t="shared" si="905"/>
        <v>null</v>
      </c>
      <c r="AD1655" s="26" t="s">
        <v>0</v>
      </c>
      <c r="AE1655" s="25" t="str">
        <f t="shared" si="906"/>
        <v>null</v>
      </c>
      <c r="AF1655" s="26" t="s">
        <v>0</v>
      </c>
      <c r="AG1655" s="47" t="s">
        <v>3674</v>
      </c>
    </row>
    <row r="1656" spans="1:33" ht="6" customHeight="1" x14ac:dyDescent="0.4">
      <c r="A1656" s="4">
        <f>ROW()</f>
        <v>1656</v>
      </c>
      <c r="B1656" s="9" t="s">
        <v>27</v>
      </c>
      <c r="C1656" s="54" t="str">
        <f t="shared" si="875"/>
        <v>p.sinalizar</v>
      </c>
      <c r="D1656" s="6" t="str">
        <f t="shared" si="900"/>
        <v>é.placa</v>
      </c>
      <c r="E1656" s="8" t="s">
        <v>28</v>
      </c>
      <c r="F1656" s="51" t="s">
        <v>4672</v>
      </c>
      <c r="G1656" s="17" t="s">
        <v>4911</v>
      </c>
      <c r="H1656" s="42" t="s">
        <v>2321</v>
      </c>
      <c r="I1656" s="16" t="str">
        <f t="shared" si="901"/>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902"/>
        <v>Propriedade destinada a sinalizar: é.placa</v>
      </c>
      <c r="V1656" s="5" t="str">
        <f t="shared" si="903"/>
        <v>Dado para sinalizar:  placa  Deve ser formatado como (rdfs:Literal  or  xsd:string)</v>
      </c>
      <c r="W1656" s="5" t="s">
        <v>6979</v>
      </c>
      <c r="X1656" s="24" t="str">
        <f t="shared" si="853"/>
        <v>sinal.100</v>
      </c>
      <c r="Y1656" s="24" t="str">
        <f t="shared" si="852"/>
        <v>Ação sinalizar</v>
      </c>
      <c r="Z1656" s="47" t="s">
        <v>4673</v>
      </c>
      <c r="AA1656" s="25" t="str">
        <f t="shared" si="904"/>
        <v>null</v>
      </c>
      <c r="AB1656" s="26" t="s">
        <v>0</v>
      </c>
      <c r="AC1656" s="25" t="str">
        <f t="shared" si="905"/>
        <v>null</v>
      </c>
      <c r="AD1656" s="26" t="s">
        <v>0</v>
      </c>
      <c r="AE1656" s="25" t="str">
        <f t="shared" si="906"/>
        <v>null</v>
      </c>
      <c r="AF1656" s="26" t="s">
        <v>0</v>
      </c>
      <c r="AG1656" s="47" t="s">
        <v>4676</v>
      </c>
    </row>
    <row r="1657" spans="1:33" ht="6" customHeight="1" x14ac:dyDescent="0.4">
      <c r="A1657" s="4">
        <f>ROW()</f>
        <v>1657</v>
      </c>
      <c r="B1657" s="9" t="s">
        <v>27</v>
      </c>
      <c r="C1657" s="55" t="str">
        <f t="shared" si="875"/>
        <v>p.sinalizar</v>
      </c>
      <c r="D1657" s="6" t="str">
        <f t="shared" si="900"/>
        <v>é.tipo.de.placa</v>
      </c>
      <c r="E1657" s="8" t="s">
        <v>28</v>
      </c>
      <c r="F1657" s="42" t="str">
        <f>F1656</f>
        <v>d.sinalizar</v>
      </c>
      <c r="G1657" s="17" t="s">
        <v>4786</v>
      </c>
      <c r="H1657" s="42" t="s">
        <v>2321</v>
      </c>
      <c r="I1657" s="16" t="str">
        <f t="shared" si="90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902"/>
        <v>Propriedade destinada a sinalizar: é.tipo.de.placa</v>
      </c>
      <c r="V1657" s="5" t="str">
        <f t="shared" si="903"/>
        <v>Dado para sinalizar:  tipo.de.placa  Deve ser formatado como (rdfs:Literal  or  xsd:string)</v>
      </c>
      <c r="W1657" s="5" t="s">
        <v>6980</v>
      </c>
      <c r="X1657" s="24" t="str">
        <f t="shared" si="853"/>
        <v>sinal.101</v>
      </c>
      <c r="Y1657" s="24" t="str">
        <f t="shared" si="852"/>
        <v>Ação sinalizar</v>
      </c>
      <c r="Z1657" s="47" t="s">
        <v>4674</v>
      </c>
      <c r="AA1657" s="25" t="str">
        <f t="shared" si="904"/>
        <v>null</v>
      </c>
      <c r="AB1657" s="26" t="s">
        <v>0</v>
      </c>
      <c r="AC1657" s="25" t="str">
        <f t="shared" si="905"/>
        <v>null</v>
      </c>
      <c r="AD1657" s="26" t="s">
        <v>0</v>
      </c>
      <c r="AE1657" s="25" t="str">
        <f t="shared" si="906"/>
        <v>null</v>
      </c>
      <c r="AF1657" s="26" t="s">
        <v>0</v>
      </c>
      <c r="AG1657" s="47" t="s">
        <v>4675</v>
      </c>
    </row>
    <row r="1658" spans="1:33" ht="6" customHeight="1" x14ac:dyDescent="0.4">
      <c r="A1658" s="4">
        <f>ROW()</f>
        <v>1658</v>
      </c>
      <c r="B1658" s="9" t="s">
        <v>27</v>
      </c>
      <c r="C1658" s="54" t="str">
        <f t="shared" si="875"/>
        <v>p.sombrear</v>
      </c>
      <c r="D1658" s="6" t="str">
        <f t="shared" ref="D1658:D1666" si="907">_xlfn.CONCAT("é.",G1658)</f>
        <v>é.brise</v>
      </c>
      <c r="E1658" s="8" t="s">
        <v>28</v>
      </c>
      <c r="F1658" s="51" t="s">
        <v>4062</v>
      </c>
      <c r="G1658" s="17" t="s">
        <v>4912</v>
      </c>
      <c r="H1658" s="42" t="s">
        <v>2321</v>
      </c>
      <c r="I1658" s="16" t="str">
        <f t="shared" ref="I1658:I1666" si="908">J1658</f>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ref="U1658:U1666" si="909">_xlfn.CONCAT("Propriedade destinada a ",MID(C1658,FIND("p.",C1658,1)+2,100),": ",D1658)</f>
        <v>Propriedade destinada a sombrear: é.brise</v>
      </c>
      <c r="V1658" s="5" t="str">
        <f t="shared" ref="V1658:V1666" si="910">_xlfn.CONCAT("Dado para ",MID(F1658,FIND("d.",F1658,1)+2,100),":  ",G1658, "  Deve ser formatado como (",H1658, ")")</f>
        <v>Dado para sombrear:  brise  Deve ser formatado como (rdfs:Literal  or  xsd:string)</v>
      </c>
      <c r="W1658" s="5" t="s">
        <v>6981</v>
      </c>
      <c r="X1658" s="24" t="str">
        <f t="shared" si="853"/>
        <v>sombr.100</v>
      </c>
      <c r="Y1658" s="24" t="str">
        <f t="shared" si="852"/>
        <v>Ação sombrear</v>
      </c>
      <c r="Z1658" s="47" t="s">
        <v>4430</v>
      </c>
      <c r="AA1658" s="25" t="str">
        <f t="shared" ref="AA1658:AA1666" si="911">IF(AB1658="null", "null", "categoria.revit")</f>
        <v>categoria.revit</v>
      </c>
      <c r="AB1658" s="26" t="s">
        <v>3958</v>
      </c>
      <c r="AC1658" s="25" t="str">
        <f t="shared" ref="AC1658:AC1666" si="912">IF(AD1658="null", "null", "classe.ifc")</f>
        <v>null</v>
      </c>
      <c r="AD1658" s="26" t="s">
        <v>0</v>
      </c>
      <c r="AE1658" s="25" t="str">
        <f t="shared" ref="AE1658:AE1666" si="913">IF(AF1658="null", "null", "propiedade")</f>
        <v>null</v>
      </c>
      <c r="AF1658" s="26" t="s">
        <v>0</v>
      </c>
      <c r="AG1658" s="47" t="s">
        <v>4491</v>
      </c>
    </row>
    <row r="1659" spans="1:33" ht="6" customHeight="1" x14ac:dyDescent="0.4">
      <c r="A1659" s="4">
        <f>ROW()</f>
        <v>1659</v>
      </c>
      <c r="B1659" s="9" t="s">
        <v>27</v>
      </c>
      <c r="C1659" s="55" t="str">
        <f>SUBSTITUTE(F1659,"d.","p.")</f>
        <v>p.sombrear</v>
      </c>
      <c r="D1659" s="6" t="str">
        <f t="shared" si="907"/>
        <v>é.cobogó</v>
      </c>
      <c r="E1659" s="8" t="s">
        <v>28</v>
      </c>
      <c r="F1659" s="42" t="str">
        <f>F1658</f>
        <v>d.sombrear</v>
      </c>
      <c r="G1659" s="17" t="s">
        <v>4913</v>
      </c>
      <c r="H1659" s="41" t="s">
        <v>2321</v>
      </c>
      <c r="I1659" s="16" t="str">
        <f t="shared" si="908"/>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9"/>
        <v>Propriedade destinada a sombrear: é.cobogó</v>
      </c>
      <c r="V1659" s="5" t="str">
        <f t="shared" si="910"/>
        <v>Dado para sombrear:  cobogó  Deve ser formatado como (rdfs:Literal  or  xsd:string)</v>
      </c>
      <c r="W1659" s="5" t="s">
        <v>6982</v>
      </c>
      <c r="X1659" s="24" t="str">
        <f t="shared" si="853"/>
        <v>sombr.101</v>
      </c>
      <c r="Y1659" s="24" t="str">
        <f t="shared" si="852"/>
        <v>Ação sombrear</v>
      </c>
      <c r="Z1659" s="47" t="s">
        <v>4434</v>
      </c>
      <c r="AA1659" s="25" t="str">
        <f t="shared" si="911"/>
        <v>categoria.revit</v>
      </c>
      <c r="AB1659" s="26" t="s">
        <v>3958</v>
      </c>
      <c r="AC1659" s="25" t="str">
        <f t="shared" si="912"/>
        <v>null</v>
      </c>
      <c r="AD1659" s="26" t="s">
        <v>0</v>
      </c>
      <c r="AE1659" s="25" t="str">
        <f t="shared" si="913"/>
        <v>null</v>
      </c>
      <c r="AF1659" s="26" t="s">
        <v>0</v>
      </c>
      <c r="AG1659" s="47" t="s">
        <v>4495</v>
      </c>
    </row>
    <row r="1660" spans="1:33" ht="6" customHeight="1" x14ac:dyDescent="0.4">
      <c r="A1660" s="4">
        <f>ROW()</f>
        <v>1660</v>
      </c>
      <c r="B1660" s="9" t="s">
        <v>27</v>
      </c>
      <c r="C1660" s="55" t="str">
        <f t="shared" ref="C1660:C1666" si="914">SUBSTITUTE(F1660,"d.","p.")</f>
        <v>p.sombrear</v>
      </c>
      <c r="D1660" s="6" t="str">
        <f t="shared" si="907"/>
        <v>é.brise.horizontal</v>
      </c>
      <c r="E1660" s="8" t="s">
        <v>28</v>
      </c>
      <c r="F1660" s="42" t="str">
        <f t="shared" ref="F1660:F1666" si="915">F1659</f>
        <v>d.sombrear</v>
      </c>
      <c r="G1660" s="17" t="s">
        <v>4788</v>
      </c>
      <c r="H1660" s="41" t="s">
        <v>37</v>
      </c>
      <c r="I1660" s="16" t="str">
        <f t="shared" si="908"/>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9"/>
        <v>Propriedade destinada a sombrear: é.brise.horizontal</v>
      </c>
      <c r="V1660" s="5" t="str">
        <f t="shared" si="910"/>
        <v>Dado para sombrear:  brise.horizontal  Deve ser formatado como (xsd:boolean)</v>
      </c>
      <c r="W1660" s="5" t="s">
        <v>6983</v>
      </c>
      <c r="X1660" s="24" t="str">
        <f t="shared" si="853"/>
        <v>sombr.102</v>
      </c>
      <c r="Y1660" s="24" t="str">
        <f t="shared" si="852"/>
        <v>Ação sombrear</v>
      </c>
      <c r="Z1660" s="47" t="s">
        <v>4431</v>
      </c>
      <c r="AA1660" s="25" t="str">
        <f t="shared" si="911"/>
        <v>categoria.revit</v>
      </c>
      <c r="AB1660" s="26" t="s">
        <v>3958</v>
      </c>
      <c r="AC1660" s="25" t="str">
        <f t="shared" si="912"/>
        <v>null</v>
      </c>
      <c r="AD1660" s="26" t="s">
        <v>0</v>
      </c>
      <c r="AE1660" s="25" t="str">
        <f t="shared" si="913"/>
        <v>null</v>
      </c>
      <c r="AF1660" s="26" t="s">
        <v>0</v>
      </c>
      <c r="AG1660" s="47" t="s">
        <v>4492</v>
      </c>
    </row>
    <row r="1661" spans="1:33" ht="6" customHeight="1" x14ac:dyDescent="0.4">
      <c r="A1661" s="4">
        <f>ROW()</f>
        <v>1661</v>
      </c>
      <c r="B1661" s="9" t="s">
        <v>27</v>
      </c>
      <c r="C1661" s="55" t="str">
        <f t="shared" si="914"/>
        <v>p.sombrear</v>
      </c>
      <c r="D1661" s="6" t="str">
        <f t="shared" si="907"/>
        <v>é.brise.móvel</v>
      </c>
      <c r="E1661" s="8" t="s">
        <v>28</v>
      </c>
      <c r="F1661" s="42" t="str">
        <f t="shared" si="915"/>
        <v>d.sombrear</v>
      </c>
      <c r="G1661" s="17" t="s">
        <v>4789</v>
      </c>
      <c r="H1661" s="41" t="s">
        <v>37</v>
      </c>
      <c r="I1661" s="16" t="str">
        <f t="shared" si="908"/>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9"/>
        <v>Propriedade destinada a sombrear: é.brise.móvel</v>
      </c>
      <c r="V1661" s="5" t="str">
        <f t="shared" si="910"/>
        <v>Dado para sombrear:  brise.móvel  Deve ser formatado como (xsd:boolean)</v>
      </c>
      <c r="W1661" s="5" t="s">
        <v>6984</v>
      </c>
      <c r="X1661" s="24" t="str">
        <f t="shared" si="853"/>
        <v>sombr.103</v>
      </c>
      <c r="Y1661" s="24" t="str">
        <f t="shared" si="852"/>
        <v>Ação sombrear</v>
      </c>
      <c r="Z1661" s="47" t="s">
        <v>4433</v>
      </c>
      <c r="AA1661" s="25" t="str">
        <f t="shared" si="911"/>
        <v>categoria.revit</v>
      </c>
      <c r="AB1661" s="26" t="s">
        <v>3958</v>
      </c>
      <c r="AC1661" s="25" t="str">
        <f t="shared" si="912"/>
        <v>null</v>
      </c>
      <c r="AD1661" s="26" t="s">
        <v>0</v>
      </c>
      <c r="AE1661" s="25" t="str">
        <f t="shared" si="913"/>
        <v>null</v>
      </c>
      <c r="AF1661" s="26" t="s">
        <v>0</v>
      </c>
      <c r="AG1661" s="47" t="s">
        <v>4494</v>
      </c>
    </row>
    <row r="1662" spans="1:33" ht="6" customHeight="1" x14ac:dyDescent="0.4">
      <c r="A1662" s="4">
        <f>ROW()</f>
        <v>1662</v>
      </c>
      <c r="B1662" s="9" t="s">
        <v>27</v>
      </c>
      <c r="C1662" s="55" t="str">
        <f t="shared" si="914"/>
        <v>p.sombrear</v>
      </c>
      <c r="D1662" s="6" t="str">
        <f t="shared" si="907"/>
        <v>é.brise.vertical</v>
      </c>
      <c r="E1662" s="8" t="s">
        <v>28</v>
      </c>
      <c r="F1662" s="42" t="str">
        <f t="shared" si="915"/>
        <v>d.sombrear</v>
      </c>
      <c r="G1662" s="17" t="s">
        <v>4790</v>
      </c>
      <c r="H1662" s="41" t="s">
        <v>37</v>
      </c>
      <c r="I1662" s="16" t="str">
        <f t="shared" si="908"/>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9"/>
        <v>Propriedade destinada a sombrear: é.brise.vertical</v>
      </c>
      <c r="V1662" s="5" t="str">
        <f t="shared" si="910"/>
        <v>Dado para sombrear:  brise.vertical  Deve ser formatado como (xsd:boolean)</v>
      </c>
      <c r="W1662" s="5" t="s">
        <v>6985</v>
      </c>
      <c r="X1662" s="24" t="str">
        <f t="shared" si="853"/>
        <v>sombr.104</v>
      </c>
      <c r="Y1662" s="24" t="str">
        <f t="shared" si="852"/>
        <v>Ação sombrear</v>
      </c>
      <c r="Z1662" s="47" t="s">
        <v>4432</v>
      </c>
      <c r="AA1662" s="25" t="str">
        <f t="shared" si="911"/>
        <v>categoria.revit</v>
      </c>
      <c r="AB1662" s="26" t="s">
        <v>3958</v>
      </c>
      <c r="AC1662" s="25" t="str">
        <f t="shared" si="912"/>
        <v>null</v>
      </c>
      <c r="AD1662" s="26" t="s">
        <v>0</v>
      </c>
      <c r="AE1662" s="25" t="str">
        <f t="shared" si="913"/>
        <v>null</v>
      </c>
      <c r="AF1662" s="26" t="s">
        <v>0</v>
      </c>
      <c r="AG1662" s="47" t="s">
        <v>4493</v>
      </c>
    </row>
    <row r="1663" spans="1:33" ht="6" customHeight="1" x14ac:dyDescent="0.4">
      <c r="A1663" s="4">
        <f>ROW()</f>
        <v>1663</v>
      </c>
      <c r="B1663" s="9" t="s">
        <v>27</v>
      </c>
      <c r="C1663" s="55" t="str">
        <f t="shared" si="914"/>
        <v>p.sombrear</v>
      </c>
      <c r="D1663" s="6" t="str">
        <f t="shared" si="907"/>
        <v>é.camada.visível</v>
      </c>
      <c r="E1663" s="8" t="s">
        <v>28</v>
      </c>
      <c r="F1663" s="42" t="str">
        <f t="shared" si="915"/>
        <v>d.sombrear</v>
      </c>
      <c r="G1663" s="17" t="s">
        <v>4791</v>
      </c>
      <c r="H1663" s="41" t="s">
        <v>2321</v>
      </c>
      <c r="I1663" s="16" t="str">
        <f t="shared" si="908"/>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9"/>
        <v>Propriedade destinada a sombrear: é.camada.visível</v>
      </c>
      <c r="V1663" s="5" t="str">
        <f t="shared" si="910"/>
        <v>Dado para sombrear:  camada.visível  Deve ser formatado como (rdfs:Literal  or  xsd:string)</v>
      </c>
      <c r="W1663" s="5" t="s">
        <v>6986</v>
      </c>
      <c r="X1663" s="24" t="str">
        <f t="shared" si="853"/>
        <v>sombr.105</v>
      </c>
      <c r="Y1663" s="24" t="str">
        <f t="shared" si="852"/>
        <v>Ação sombrear</v>
      </c>
      <c r="Z1663" s="47" t="s">
        <v>7563</v>
      </c>
      <c r="AA1663" s="25" t="str">
        <f t="shared" si="911"/>
        <v>null</v>
      </c>
      <c r="AB1663" s="26" t="s">
        <v>0</v>
      </c>
      <c r="AC1663" s="25" t="str">
        <f t="shared" si="912"/>
        <v>null</v>
      </c>
      <c r="AD1663" s="26" t="s">
        <v>0</v>
      </c>
      <c r="AE1663" s="25" t="str">
        <f t="shared" si="913"/>
        <v>null</v>
      </c>
      <c r="AF1663" s="26" t="s">
        <v>0</v>
      </c>
      <c r="AG1663" s="47" t="s">
        <v>3677</v>
      </c>
    </row>
    <row r="1664" spans="1:33" ht="6" customHeight="1" x14ac:dyDescent="0.4">
      <c r="A1664" s="4">
        <f>ROW()</f>
        <v>1664</v>
      </c>
      <c r="B1664" s="9" t="s">
        <v>27</v>
      </c>
      <c r="C1664" s="55" t="str">
        <f t="shared" si="914"/>
        <v>p.sombrear</v>
      </c>
      <c r="D1664" s="6" t="str">
        <f t="shared" si="907"/>
        <v>é.ângulo.de.visão.horizontal</v>
      </c>
      <c r="E1664" s="8" t="s">
        <v>28</v>
      </c>
      <c r="F1664" s="42" t="str">
        <f t="shared" si="915"/>
        <v>d.sombrear</v>
      </c>
      <c r="G1664" s="17" t="s">
        <v>4787</v>
      </c>
      <c r="H1664" s="41" t="s">
        <v>36</v>
      </c>
      <c r="I1664" s="16" t="str">
        <f t="shared" si="908"/>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9"/>
        <v>Propriedade destinada a sombrear: é.ângulo.de.visão.horizontal</v>
      </c>
      <c r="V1664" s="5" t="str">
        <f t="shared" si="910"/>
        <v>Dado para sombrear:  ângulo.de.visão.horizontal  Deve ser formatado como (xsd:double)</v>
      </c>
      <c r="W1664" s="5" t="s">
        <v>6987</v>
      </c>
      <c r="X1664" s="24" t="str">
        <f t="shared" si="853"/>
        <v>sombr.106</v>
      </c>
      <c r="Y1664" s="24" t="str">
        <f t="shared" si="852"/>
        <v>Ação sombrear</v>
      </c>
      <c r="Z1664" s="47" t="s">
        <v>7565</v>
      </c>
      <c r="AA1664" s="25" t="str">
        <f t="shared" si="911"/>
        <v>null</v>
      </c>
      <c r="AB1664" s="26" t="s">
        <v>0</v>
      </c>
      <c r="AC1664" s="25" t="str">
        <f t="shared" si="912"/>
        <v>null</v>
      </c>
      <c r="AD1664" s="26" t="s">
        <v>0</v>
      </c>
      <c r="AE1664" s="25" t="str">
        <f t="shared" si="913"/>
        <v>null</v>
      </c>
      <c r="AF1664" s="26" t="s">
        <v>0</v>
      </c>
      <c r="AG1664" s="47" t="s">
        <v>3675</v>
      </c>
    </row>
    <row r="1665" spans="1:33" ht="6" customHeight="1" x14ac:dyDescent="0.4">
      <c r="A1665" s="4">
        <f>ROW()</f>
        <v>1665</v>
      </c>
      <c r="B1665" s="9" t="s">
        <v>27</v>
      </c>
      <c r="C1665" s="55" t="str">
        <f t="shared" si="914"/>
        <v>p.sombrear</v>
      </c>
      <c r="D1665" s="6" t="str">
        <f t="shared" si="907"/>
        <v>é.distância.externa</v>
      </c>
      <c r="E1665" s="8" t="s">
        <v>28</v>
      </c>
      <c r="F1665" s="42" t="str">
        <f t="shared" si="915"/>
        <v>d.sombrear</v>
      </c>
      <c r="G1665" s="17" t="s">
        <v>4792</v>
      </c>
      <c r="H1665" s="41" t="s">
        <v>36</v>
      </c>
      <c r="I1665" s="16" t="str">
        <f t="shared" si="908"/>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9"/>
        <v>Propriedade destinada a sombrear: é.distância.externa</v>
      </c>
      <c r="V1665" s="5" t="str">
        <f t="shared" si="910"/>
        <v>Dado para sombrear:  distância.externa  Deve ser formatado como (xsd:double)</v>
      </c>
      <c r="W1665" s="5" t="s">
        <v>6988</v>
      </c>
      <c r="X1665" s="24" t="str">
        <f t="shared" si="853"/>
        <v>sombr.107</v>
      </c>
      <c r="Y1665" s="24" t="str">
        <f t="shared" si="852"/>
        <v>Ação sombrear</v>
      </c>
      <c r="Z1665" s="47" t="s">
        <v>7564</v>
      </c>
      <c r="AA1665" s="25" t="str">
        <f t="shared" si="911"/>
        <v>null</v>
      </c>
      <c r="AB1665" s="26" t="s">
        <v>0</v>
      </c>
      <c r="AC1665" s="25" t="str">
        <f t="shared" si="912"/>
        <v>null</v>
      </c>
      <c r="AD1665" s="26" t="s">
        <v>0</v>
      </c>
      <c r="AE1665" s="25" t="str">
        <f t="shared" si="913"/>
        <v>null</v>
      </c>
      <c r="AF1665" s="26" t="s">
        <v>0</v>
      </c>
      <c r="AG1665" s="47" t="s">
        <v>3676</v>
      </c>
    </row>
    <row r="1666" spans="1:33" ht="6" customHeight="1" x14ac:dyDescent="0.4">
      <c r="A1666" s="4">
        <f>ROW()</f>
        <v>1666</v>
      </c>
      <c r="B1666" s="9" t="s">
        <v>27</v>
      </c>
      <c r="C1666" s="55" t="str">
        <f t="shared" si="914"/>
        <v>p.sombrear</v>
      </c>
      <c r="D1666" s="6" t="str">
        <f t="shared" si="907"/>
        <v>é.probabilidade.de.ofuscamento</v>
      </c>
      <c r="E1666" s="8" t="s">
        <v>28</v>
      </c>
      <c r="F1666" s="42" t="str">
        <f t="shared" si="915"/>
        <v>d.sombrear</v>
      </c>
      <c r="G1666" s="17" t="s">
        <v>4793</v>
      </c>
      <c r="H1666" s="41" t="s">
        <v>36</v>
      </c>
      <c r="I1666" s="16" t="str">
        <f t="shared" si="908"/>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09"/>
        <v>Propriedade destinada a sombrear: é.probabilidade.de.ofuscamento</v>
      </c>
      <c r="V1666" s="5" t="str">
        <f t="shared" si="910"/>
        <v>Dado para sombrear:  probabilidade.de.ofuscamento  Deve ser formatado como (xsd:double)</v>
      </c>
      <c r="W1666" s="5" t="s">
        <v>6989</v>
      </c>
      <c r="X1666" s="24" t="str">
        <f t="shared" si="853"/>
        <v>sombr.108</v>
      </c>
      <c r="Y1666" s="24" t="str">
        <f t="shared" ref="Y1666:Y1729" si="916">_xlfn.CONCAT("Ação ", SUBSTITUTE(F1666, "d.",  ""))</f>
        <v>Ação sombrear</v>
      </c>
      <c r="Z1666" s="47" t="s">
        <v>7566</v>
      </c>
      <c r="AA1666" s="25" t="str">
        <f t="shared" si="911"/>
        <v>null</v>
      </c>
      <c r="AB1666" s="26" t="s">
        <v>0</v>
      </c>
      <c r="AC1666" s="25" t="str">
        <f t="shared" si="912"/>
        <v>null</v>
      </c>
      <c r="AD1666" s="26" t="s">
        <v>0</v>
      </c>
      <c r="AE1666" s="25" t="str">
        <f t="shared" si="913"/>
        <v>null</v>
      </c>
      <c r="AF1666" s="26" t="s">
        <v>0</v>
      </c>
      <c r="AG1666" s="47" t="s">
        <v>3678</v>
      </c>
    </row>
    <row r="1667" spans="1:33" ht="6" customHeight="1" x14ac:dyDescent="0.4">
      <c r="A1667" s="4">
        <f>ROW()</f>
        <v>1667</v>
      </c>
      <c r="B1667" s="9" t="s">
        <v>27</v>
      </c>
      <c r="C1667" s="54" t="str">
        <f t="shared" si="875"/>
        <v>p.sonorizar</v>
      </c>
      <c r="D1667" s="6" t="str">
        <f t="shared" ref="D1667:D1668" si="917">_xlfn.CONCAT("é.",G1667)</f>
        <v>é.equipo.de.som</v>
      </c>
      <c r="E1667" s="8" t="s">
        <v>28</v>
      </c>
      <c r="F1667" s="51" t="s">
        <v>4666</v>
      </c>
      <c r="G1667" s="17" t="s">
        <v>4914</v>
      </c>
      <c r="H1667" s="42" t="s">
        <v>2321</v>
      </c>
      <c r="I1667" s="16" t="str">
        <f t="shared" ref="I1667:I1668" si="918">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U1668" si="919">_xlfn.CONCAT("Propriedade destinada a ",MID(C1667,FIND("p.",C1667,1)+2,100),": ",D1667)</f>
        <v>Propriedade destinada a sonorizar: é.equipo.de.som</v>
      </c>
      <c r="V1667" s="5" t="str">
        <f t="shared" ref="V1667:V1668" si="920">_xlfn.CONCAT("Dado para ",MID(F1667,FIND("d.",F1667,1)+2,100),":  ",G1667, "  Deve ser formatado como (",H1667, ")")</f>
        <v>Dado para sonorizar:  equipo.de.som  Deve ser formatado como (rdfs:Literal  or  xsd:string)</v>
      </c>
      <c r="W1667" s="5" t="s">
        <v>6990</v>
      </c>
      <c r="X1667" s="24" t="str">
        <f t="shared" ref="X1667:X1730" si="921">IF(F1666&lt;&gt;F1667,_xlfn.CONCAT(RIGHT(LEFT(F1667,7),5),".100"),_xlfn.CONCAT(RIGHT(LEFT(F1667,7),5),".",SUM(VALUE(RIGHT(X1666,3)),1)))</f>
        <v>sonor.100</v>
      </c>
      <c r="Y1667" s="24" t="str">
        <f t="shared" si="916"/>
        <v>Ação sonorizar</v>
      </c>
      <c r="Z1667" s="47" t="s">
        <v>4669</v>
      </c>
      <c r="AA1667" s="25" t="str">
        <f t="shared" ref="AA1667:AA1668" si="922">IF(AB1667="null", "null", "categoria.revit")</f>
        <v>null</v>
      </c>
      <c r="AB1667" s="26" t="s">
        <v>0</v>
      </c>
      <c r="AC1667" s="25" t="str">
        <f t="shared" ref="AC1667:AC1668" si="923">IF(AD1667="null", "null", "classe.ifc")</f>
        <v>null</v>
      </c>
      <c r="AD1667" s="26" t="s">
        <v>0</v>
      </c>
      <c r="AE1667" s="25" t="str">
        <f t="shared" ref="AE1667:AE1668" si="924">IF(AF1667="null", "null", "propiedade")</f>
        <v>null</v>
      </c>
      <c r="AF1667" s="26" t="s">
        <v>0</v>
      </c>
      <c r="AG1667" s="47" t="s">
        <v>4670</v>
      </c>
    </row>
    <row r="1668" spans="1:33" ht="6" customHeight="1" x14ac:dyDescent="0.4">
      <c r="A1668" s="4">
        <f>ROW()</f>
        <v>1668</v>
      </c>
      <c r="B1668" s="9" t="s">
        <v>27</v>
      </c>
      <c r="C1668" s="55" t="str">
        <f t="shared" si="875"/>
        <v>p.sonorizar</v>
      </c>
      <c r="D1668" s="6" t="str">
        <f t="shared" si="917"/>
        <v>é.tipo.de.equipo.de.som</v>
      </c>
      <c r="E1668" s="8" t="s">
        <v>28</v>
      </c>
      <c r="F1668" s="42" t="str">
        <f>F1667</f>
        <v>d.sonorizar</v>
      </c>
      <c r="G1668" s="17" t="s">
        <v>4794</v>
      </c>
      <c r="H1668" s="42" t="s">
        <v>2321</v>
      </c>
      <c r="I1668" s="16" t="str">
        <f t="shared" si="918"/>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19"/>
        <v>Propriedade destinada a sonorizar: é.tipo.de.equipo.de.som</v>
      </c>
      <c r="V1668" s="5" t="str">
        <f t="shared" si="920"/>
        <v>Dado para sonorizar:  tipo.de.equipo.de.som  Deve ser formatado como (rdfs:Literal  or  xsd:string)</v>
      </c>
      <c r="W1668" s="5" t="s">
        <v>6991</v>
      </c>
      <c r="X1668" s="24" t="str">
        <f t="shared" si="921"/>
        <v>sonor.101</v>
      </c>
      <c r="Y1668" s="24" t="str">
        <f t="shared" si="916"/>
        <v>Ação sonorizar</v>
      </c>
      <c r="Z1668" s="47" t="s">
        <v>4668</v>
      </c>
      <c r="AA1668" s="25" t="str">
        <f t="shared" si="922"/>
        <v>null</v>
      </c>
      <c r="AB1668" s="26" t="s">
        <v>0</v>
      </c>
      <c r="AC1668" s="25" t="str">
        <f t="shared" si="923"/>
        <v>null</v>
      </c>
      <c r="AD1668" s="26" t="s">
        <v>0</v>
      </c>
      <c r="AE1668" s="25" t="str">
        <f t="shared" si="924"/>
        <v>null</v>
      </c>
      <c r="AF1668" s="26" t="s">
        <v>0</v>
      </c>
      <c r="AG1668" s="47" t="s">
        <v>4671</v>
      </c>
    </row>
    <row r="1669" spans="1:33" ht="6" customHeight="1" x14ac:dyDescent="0.4">
      <c r="A1669" s="4">
        <f>ROW()</f>
        <v>1669</v>
      </c>
      <c r="B1669" s="9" t="s">
        <v>27</v>
      </c>
      <c r="C1669" s="55" t="str">
        <f t="shared" ref="C1669" si="925">SUBSTITUTE(F1669,"d.","p.")</f>
        <v>p.sonorizar</v>
      </c>
      <c r="D1669" s="6" t="str">
        <f t="shared" ref="D1669" si="926">_xlfn.CONCAT("é.",G1669)</f>
        <v>é.frequência.sonora</v>
      </c>
      <c r="E1669" s="8" t="s">
        <v>28</v>
      </c>
      <c r="F1669" s="42" t="str">
        <f t="shared" ref="F1669:F1671" si="927">F1668</f>
        <v>d.sonorizar</v>
      </c>
      <c r="G1669" s="41" t="s">
        <v>4795</v>
      </c>
      <c r="H1669" s="41" t="s">
        <v>36</v>
      </c>
      <c r="I1669" s="16" t="str">
        <f t="shared" ref="I1669" si="928">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29">_xlfn.CONCAT("Propriedade destinada a ",MID(C1669,FIND("p.",C1669,1)+2,100),": ",D1669)</f>
        <v>Propriedade destinada a sonorizar: é.frequência.sonora</v>
      </c>
      <c r="V1669" s="5" t="str">
        <f t="shared" ref="V1669" si="930">_xlfn.CONCAT("Dado para ",MID(F1669,FIND("d.",F1669,1)+2,100),":  ",G1669, "  Deve ser formatado como (",H1669, ")")</f>
        <v>Dado para sonorizar:  frequência.sonora  Deve ser formatado como (xsd:double)</v>
      </c>
      <c r="W1669" s="5" t="s">
        <v>6992</v>
      </c>
      <c r="X1669" s="24" t="str">
        <f t="shared" si="921"/>
        <v>sonor.102</v>
      </c>
      <c r="Y1669" s="24" t="str">
        <f t="shared" si="916"/>
        <v>Ação sonorizar</v>
      </c>
      <c r="Z1669" s="47" t="s">
        <v>4705</v>
      </c>
      <c r="AA1669" s="25" t="str">
        <f t="shared" ref="AA1669" si="931">IF(AB1669="null", "null", "categoria.revit")</f>
        <v>null</v>
      </c>
      <c r="AB1669" s="26" t="s">
        <v>0</v>
      </c>
      <c r="AC1669" s="25" t="str">
        <f t="shared" ref="AC1669" si="932">IF(AD1669="null", "null", "classe.ifc")</f>
        <v>null</v>
      </c>
      <c r="AD1669" s="26" t="s">
        <v>0</v>
      </c>
      <c r="AE1669" s="25" t="str">
        <f t="shared" ref="AE1669" si="933">IF(AF1669="null", "null", "propiedade")</f>
        <v>null</v>
      </c>
      <c r="AF1669" s="26" t="s">
        <v>0</v>
      </c>
      <c r="AG1669" s="47" t="s">
        <v>4701</v>
      </c>
    </row>
    <row r="1670" spans="1:33" ht="6" customHeight="1" x14ac:dyDescent="0.4">
      <c r="A1670" s="4">
        <f>ROW()</f>
        <v>1670</v>
      </c>
      <c r="B1670" s="9" t="s">
        <v>27</v>
      </c>
      <c r="C1670" s="55" t="str">
        <f t="shared" ref="C1670" si="934">SUBSTITUTE(F1670,"d.","p.")</f>
        <v>p.sonorizar</v>
      </c>
      <c r="D1670" s="6" t="str">
        <f t="shared" ref="D1670" si="935">_xlfn.CONCAT("é.",G1670)</f>
        <v>é.amplitude.sonora</v>
      </c>
      <c r="E1670" s="8" t="s">
        <v>28</v>
      </c>
      <c r="F1670" s="42" t="str">
        <f t="shared" si="927"/>
        <v>d.sonorizar</v>
      </c>
      <c r="G1670" s="41" t="s">
        <v>4796</v>
      </c>
      <c r="H1670" s="41" t="s">
        <v>36</v>
      </c>
      <c r="I1670" s="16" t="str">
        <f t="shared" ref="I1670" si="936">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 si="937">_xlfn.CONCAT("Propriedade destinada a ",MID(C1670,FIND("p.",C1670,1)+2,100),": ",D1670)</f>
        <v>Propriedade destinada a sonorizar: é.amplitude.sonora</v>
      </c>
      <c r="V1670" s="5" t="str">
        <f t="shared" ref="V1670" si="938">_xlfn.CONCAT("Dado para ",MID(F1670,FIND("d.",F1670,1)+2,100),":  ",G1670, "  Deve ser formatado como (",H1670, ")")</f>
        <v>Dado para sonorizar:  amplitude.sonora  Deve ser formatado como (xsd:double)</v>
      </c>
      <c r="W1670" s="5" t="s">
        <v>6993</v>
      </c>
      <c r="X1670" s="24" t="str">
        <f t="shared" si="921"/>
        <v>sonor.103</v>
      </c>
      <c r="Y1670" s="24" t="str">
        <f t="shared" si="916"/>
        <v>Ação sonorizar</v>
      </c>
      <c r="Z1670" s="47" t="s">
        <v>4703</v>
      </c>
      <c r="AA1670" s="25" t="str">
        <f t="shared" ref="AA1670" si="939">IF(AB1670="null", "null", "categoria.revit")</f>
        <v>null</v>
      </c>
      <c r="AB1670" s="26" t="s">
        <v>0</v>
      </c>
      <c r="AC1670" s="25" t="str">
        <f t="shared" ref="AC1670" si="940">IF(AD1670="null", "null", "classe.ifc")</f>
        <v>null</v>
      </c>
      <c r="AD1670" s="26" t="s">
        <v>0</v>
      </c>
      <c r="AE1670" s="25" t="str">
        <f t="shared" ref="AE1670" si="941">IF(AF1670="null", "null", "propiedade")</f>
        <v>null</v>
      </c>
      <c r="AF1670" s="26" t="s">
        <v>0</v>
      </c>
      <c r="AG1670" s="47" t="s">
        <v>4702</v>
      </c>
    </row>
    <row r="1671" spans="1:33" ht="6" customHeight="1" x14ac:dyDescent="0.4">
      <c r="A1671" s="4">
        <f>ROW()</f>
        <v>1671</v>
      </c>
      <c r="B1671" s="9" t="s">
        <v>27</v>
      </c>
      <c r="C1671" s="55" t="str">
        <f t="shared" ref="C1671:C1701" si="942">SUBSTITUTE(F1671,"d.","p.")</f>
        <v>p.sonorizar</v>
      </c>
      <c r="D1671" s="6" t="str">
        <f t="shared" ref="D1671:D1701" si="943">_xlfn.CONCAT("é.",G1671)</f>
        <v>é.fase.da.onda</v>
      </c>
      <c r="E1671" s="8" t="s">
        <v>28</v>
      </c>
      <c r="F1671" s="42" t="str">
        <f t="shared" si="927"/>
        <v>d.sonorizar</v>
      </c>
      <c r="G1671" s="41" t="s">
        <v>4797</v>
      </c>
      <c r="H1671" s="41" t="s">
        <v>36</v>
      </c>
      <c r="I1671" s="16" t="str">
        <f t="shared" ref="I1671:I1701" si="944">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U1701" si="945">_xlfn.CONCAT("Propriedade destinada a ",MID(C1671,FIND("p.",C1671,1)+2,100),": ",D1671)</f>
        <v>Propriedade destinada a sonorizar: é.fase.da.onda</v>
      </c>
      <c r="V1671" s="5" t="str">
        <f t="shared" ref="V1671:V1674" si="946">_xlfn.CONCAT("Dado para ",MID(F1671,FIND("d.",F1671,1)+2,100),":  ",G1671, "  Deve ser formatado como (",H1671, ")")</f>
        <v>Dado para sonorizar:  fase.da.onda  Deve ser formatado como (xsd:double)</v>
      </c>
      <c r="W1671" s="5" t="s">
        <v>6994</v>
      </c>
      <c r="X1671" s="24" t="str">
        <f t="shared" si="921"/>
        <v>sonor.104</v>
      </c>
      <c r="Y1671" s="24" t="str">
        <f t="shared" si="916"/>
        <v>Ação sonorizar</v>
      </c>
      <c r="Z1671" s="47" t="s">
        <v>4704</v>
      </c>
      <c r="AA1671" s="25" t="str">
        <f t="shared" ref="AA1671:AA1701" si="947">IF(AB1671="null", "null", "categoria.revit")</f>
        <v>null</v>
      </c>
      <c r="AB1671" s="26" t="s">
        <v>0</v>
      </c>
      <c r="AC1671" s="25" t="str">
        <f t="shared" ref="AC1671:AC1701" si="948">IF(AD1671="null", "null", "classe.ifc")</f>
        <v>null</v>
      </c>
      <c r="AD1671" s="26" t="s">
        <v>0</v>
      </c>
      <c r="AE1671" s="25" t="str">
        <f t="shared" ref="AE1671:AE1701" si="949">IF(AF1671="null", "null", "propiedade")</f>
        <v>null</v>
      </c>
      <c r="AF1671" s="26" t="s">
        <v>0</v>
      </c>
      <c r="AG1671" s="47" t="s">
        <v>5266</v>
      </c>
    </row>
    <row r="1672" spans="1:33" ht="6" customHeight="1" x14ac:dyDescent="0.4">
      <c r="A1672" s="4">
        <f>ROW()</f>
        <v>1672</v>
      </c>
      <c r="B1672" s="9" t="s">
        <v>27</v>
      </c>
      <c r="C1672" s="54" t="str">
        <f t="shared" si="942"/>
        <v>p.suportar</v>
      </c>
      <c r="D1672" s="6" t="str">
        <f t="shared" si="943"/>
        <v>é.âncora.estrutural</v>
      </c>
      <c r="E1672" s="8" t="s">
        <v>28</v>
      </c>
      <c r="F1672" s="51" t="s">
        <v>4063</v>
      </c>
      <c r="G1672" s="17" t="s">
        <v>4915</v>
      </c>
      <c r="H1672" s="42" t="s">
        <v>2321</v>
      </c>
      <c r="I1672" s="16" t="str">
        <f t="shared" si="944"/>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5"/>
        <v>Propriedade destinada a suportar: é.âncora.estrutural</v>
      </c>
      <c r="V1672" s="5" t="str">
        <f t="shared" si="946"/>
        <v>Dado para suportar:  âncora.estrutural  Deve ser formatado como (rdfs:Literal  or  xsd:string)</v>
      </c>
      <c r="W1672" s="5" t="s">
        <v>6995</v>
      </c>
      <c r="X1672" s="24" t="str">
        <f t="shared" si="921"/>
        <v>supor.100</v>
      </c>
      <c r="Y1672" s="24" t="str">
        <f t="shared" si="916"/>
        <v>Ação suportar</v>
      </c>
      <c r="Z1672" s="47" t="s">
        <v>4667</v>
      </c>
      <c r="AA1672" s="25" t="str">
        <f t="shared" si="947"/>
        <v>categoria.revit</v>
      </c>
      <c r="AB1672" s="26" t="s">
        <v>3960</v>
      </c>
      <c r="AC1672" s="25" t="str">
        <f t="shared" si="948"/>
        <v>classe.ifc</v>
      </c>
      <c r="AD1672" s="26" t="s">
        <v>3911</v>
      </c>
      <c r="AE1672" s="25" t="str">
        <f t="shared" si="949"/>
        <v>null</v>
      </c>
      <c r="AF1672" s="26" t="s">
        <v>0</v>
      </c>
      <c r="AG1672" s="47" t="s">
        <v>3791</v>
      </c>
    </row>
    <row r="1673" spans="1:33" ht="6" customHeight="1" x14ac:dyDescent="0.4">
      <c r="A1673" s="4">
        <f>ROW()</f>
        <v>1673</v>
      </c>
      <c r="B1673" s="9" t="s">
        <v>27</v>
      </c>
      <c r="C1673" s="55" t="str">
        <f t="shared" si="942"/>
        <v>p.suportar</v>
      </c>
      <c r="D1673" s="6" t="str">
        <f t="shared" si="943"/>
        <v>é.armadura.estrutural</v>
      </c>
      <c r="E1673" s="8" t="s">
        <v>28</v>
      </c>
      <c r="F1673" s="42" t="str">
        <f t="shared" ref="F1673:F1694" si="950">F1672</f>
        <v>d.suportar</v>
      </c>
      <c r="G1673" s="17" t="s">
        <v>4916</v>
      </c>
      <c r="H1673" s="42" t="s">
        <v>2321</v>
      </c>
      <c r="I1673" s="16" t="str">
        <f t="shared" si="944"/>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5"/>
        <v>Propriedade destinada a suportar: é.armadura.estrutural</v>
      </c>
      <c r="V1673" s="5" t="str">
        <f t="shared" si="946"/>
        <v>Dado para suportar:  armadura.estrutural  Deve ser formatado como (rdfs:Literal  or  xsd:string)</v>
      </c>
      <c r="W1673" s="5" t="s">
        <v>6996</v>
      </c>
      <c r="X1673" s="24" t="str">
        <f t="shared" si="921"/>
        <v>supor.101</v>
      </c>
      <c r="Y1673" s="24" t="str">
        <f t="shared" si="916"/>
        <v>Ação suportar</v>
      </c>
      <c r="Z1673" s="47" t="s">
        <v>3805</v>
      </c>
      <c r="AA1673" s="25" t="str">
        <f t="shared" si="947"/>
        <v>categoria.revit</v>
      </c>
      <c r="AB1673" s="26" t="s">
        <v>3959</v>
      </c>
      <c r="AC1673" s="25" t="str">
        <f t="shared" si="948"/>
        <v>classe.ifc</v>
      </c>
      <c r="AD1673" s="26" t="s">
        <v>3910</v>
      </c>
      <c r="AE1673" s="25" t="str">
        <f t="shared" si="949"/>
        <v>null</v>
      </c>
      <c r="AF1673" s="26" t="s">
        <v>0</v>
      </c>
      <c r="AG1673" s="47" t="s">
        <v>3803</v>
      </c>
    </row>
    <row r="1674" spans="1:33" ht="6" customHeight="1" x14ac:dyDescent="0.4">
      <c r="A1674" s="4">
        <f>ROW()</f>
        <v>1674</v>
      </c>
      <c r="B1674" s="9" t="s">
        <v>27</v>
      </c>
      <c r="C1674" s="55" t="str">
        <f t="shared" si="942"/>
        <v>p.suportar</v>
      </c>
      <c r="D1674" s="6" t="str">
        <f t="shared" si="943"/>
        <v>é.balanço.estrutural</v>
      </c>
      <c r="E1674" s="8" t="s">
        <v>28</v>
      </c>
      <c r="F1674" s="42" t="str">
        <f t="shared" si="950"/>
        <v>d.suportar</v>
      </c>
      <c r="G1674" s="17" t="s">
        <v>4917</v>
      </c>
      <c r="H1674" s="42" t="s">
        <v>2321</v>
      </c>
      <c r="I1674" s="16" t="str">
        <f t="shared" si="94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5"/>
        <v>Propriedade destinada a suportar: é.balanço.estrutural</v>
      </c>
      <c r="V1674" s="5" t="str">
        <f t="shared" si="946"/>
        <v>Dado para suportar:  balanço.estrutural  Deve ser formatado como (rdfs:Literal  or  xsd:string)</v>
      </c>
      <c r="W1674" s="5" t="s">
        <v>6997</v>
      </c>
      <c r="X1674" s="24" t="str">
        <f t="shared" si="921"/>
        <v>supor.102</v>
      </c>
      <c r="Y1674" s="24" t="str">
        <f t="shared" si="916"/>
        <v>Ação suportar</v>
      </c>
      <c r="Z1674" s="47" t="s">
        <v>3823</v>
      </c>
      <c r="AA1674" s="25" t="str">
        <f t="shared" si="947"/>
        <v>categoria.revit</v>
      </c>
      <c r="AB1674" s="26" t="s">
        <v>4363</v>
      </c>
      <c r="AC1674" s="25" t="str">
        <f t="shared" si="948"/>
        <v>classe.ifc</v>
      </c>
      <c r="AD1674" s="26" t="s">
        <v>4358</v>
      </c>
      <c r="AE1674" s="25" t="str">
        <f t="shared" si="949"/>
        <v>null</v>
      </c>
      <c r="AF1674" s="26" t="s">
        <v>0</v>
      </c>
      <c r="AG1674" s="47" t="s">
        <v>5267</v>
      </c>
    </row>
    <row r="1675" spans="1:33" ht="6" customHeight="1" x14ac:dyDescent="0.4">
      <c r="A1675" s="4">
        <f>ROW()</f>
        <v>1675</v>
      </c>
      <c r="B1675" s="9" t="s">
        <v>27</v>
      </c>
      <c r="C1675" s="55" t="str">
        <f t="shared" si="942"/>
        <v>p.suportar</v>
      </c>
      <c r="D1675" s="6" t="str">
        <f t="shared" si="943"/>
        <v>é.banzo.estrutural</v>
      </c>
      <c r="E1675" s="8" t="s">
        <v>28</v>
      </c>
      <c r="F1675" s="42" t="str">
        <f t="shared" si="950"/>
        <v>d.suportar</v>
      </c>
      <c r="G1675" s="17" t="s">
        <v>4918</v>
      </c>
      <c r="H1675" s="42" t="s">
        <v>2321</v>
      </c>
      <c r="I1675" s="16" t="str">
        <f t="shared" si="94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5"/>
        <v>Propriedade destinada a suportar: é.banzo.estrutural</v>
      </c>
      <c r="V1675" s="5" t="str">
        <f>_xlfn.CONCAT("Dado para ",MID(F1675,FIND("d.",F1675,1)+2,100),":  ",G1675, "  Deve ser formatado como (",H1675, ")")</f>
        <v>Dado para suportar:  banzo.estrutural  Deve ser formatado como (rdfs:Literal  or  xsd:string)</v>
      </c>
      <c r="W1675" s="5" t="s">
        <v>6998</v>
      </c>
      <c r="X1675" s="24" t="str">
        <f t="shared" si="921"/>
        <v>supor.103</v>
      </c>
      <c r="Y1675" s="24" t="str">
        <f t="shared" si="916"/>
        <v>Ação suportar</v>
      </c>
      <c r="Z1675" s="47" t="s">
        <v>3806</v>
      </c>
      <c r="AA1675" s="25" t="str">
        <f t="shared" si="947"/>
        <v>categoria.revit</v>
      </c>
      <c r="AB1675" s="26" t="s">
        <v>4364</v>
      </c>
      <c r="AC1675" s="25" t="str">
        <f t="shared" si="948"/>
        <v>classe.ifc</v>
      </c>
      <c r="AD1675" s="26" t="s">
        <v>3912</v>
      </c>
      <c r="AE1675" s="25" t="str">
        <f t="shared" si="949"/>
        <v>null</v>
      </c>
      <c r="AF1675" s="26" t="s">
        <v>0</v>
      </c>
      <c r="AG1675" s="47" t="s">
        <v>2867</v>
      </c>
    </row>
    <row r="1676" spans="1:33" ht="6" customHeight="1" x14ac:dyDescent="0.4">
      <c r="A1676" s="4">
        <f>ROW()</f>
        <v>1676</v>
      </c>
      <c r="B1676" s="9" t="s">
        <v>27</v>
      </c>
      <c r="C1676" s="55" t="str">
        <f t="shared" si="942"/>
        <v>p.suportar</v>
      </c>
      <c r="D1676" s="6" t="str">
        <f t="shared" si="943"/>
        <v>é.banzo.estrutural.inferior</v>
      </c>
      <c r="E1676" s="8" t="s">
        <v>28</v>
      </c>
      <c r="F1676" s="42" t="str">
        <f t="shared" si="950"/>
        <v>d.suportar</v>
      </c>
      <c r="G1676" s="17" t="s">
        <v>4919</v>
      </c>
      <c r="H1676" s="42" t="s">
        <v>2321</v>
      </c>
      <c r="I1676" s="16" t="str">
        <f t="shared" si="944"/>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5"/>
        <v>Propriedade destinada a suportar: é.banzo.estrutural.inferior</v>
      </c>
      <c r="V1676" s="5" t="str">
        <f>_xlfn.CONCAT("Dado para ",MID(F1676,FIND("d.",F1676,1)+2,100),":  ",G1676, "  Deve ser formatado como (",H1676, ")")</f>
        <v>Dado para suportar:  banzo.estrutural.inferior  Deve ser formatado como (rdfs:Literal  or  xsd:string)</v>
      </c>
      <c r="W1676" s="5" t="s">
        <v>6999</v>
      </c>
      <c r="X1676" s="24" t="str">
        <f t="shared" si="921"/>
        <v>supor.104</v>
      </c>
      <c r="Y1676" s="24" t="str">
        <f t="shared" si="916"/>
        <v>Ação suportar</v>
      </c>
      <c r="Z1676" s="47" t="s">
        <v>3807</v>
      </c>
      <c r="AA1676" s="25" t="str">
        <f t="shared" si="947"/>
        <v>categoria.revit</v>
      </c>
      <c r="AB1676" s="26" t="s">
        <v>4364</v>
      </c>
      <c r="AC1676" s="25" t="str">
        <f t="shared" si="948"/>
        <v>classe.ifc</v>
      </c>
      <c r="AD1676" s="26" t="s">
        <v>3912</v>
      </c>
      <c r="AE1676" s="25" t="str">
        <f t="shared" si="949"/>
        <v>null</v>
      </c>
      <c r="AF1676" s="26" t="s">
        <v>0</v>
      </c>
      <c r="AG1676" s="47" t="s">
        <v>3792</v>
      </c>
    </row>
    <row r="1677" spans="1:33" ht="6" customHeight="1" x14ac:dyDescent="0.4">
      <c r="A1677" s="4">
        <f>ROW()</f>
        <v>1677</v>
      </c>
      <c r="B1677" s="9" t="s">
        <v>27</v>
      </c>
      <c r="C1677" s="55" t="str">
        <f t="shared" si="942"/>
        <v>p.suportar</v>
      </c>
      <c r="D1677" s="6" t="str">
        <f t="shared" si="943"/>
        <v>é.banzo.estrutural.superior</v>
      </c>
      <c r="E1677" s="8" t="s">
        <v>28</v>
      </c>
      <c r="F1677" s="42" t="str">
        <f t="shared" si="950"/>
        <v>d.suportar</v>
      </c>
      <c r="G1677" s="17" t="s">
        <v>4920</v>
      </c>
      <c r="H1677" s="42" t="s">
        <v>2321</v>
      </c>
      <c r="I1677" s="16" t="str">
        <f t="shared" si="94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5"/>
        <v>Propriedade destinada a suportar: é.banzo.estrutural.superior</v>
      </c>
      <c r="V1677" s="5" t="str">
        <f t="shared" ref="V1677:V1701" si="951">_xlfn.CONCAT("Dado para ",MID(F1677,FIND("d.",F1677,1)+2,100),":  ",G1677, "  Deve ser formatado como (",H1677, ")")</f>
        <v>Dado para suportar:  banzo.estrutural.superior  Deve ser formatado como (rdfs:Literal  or  xsd:string)</v>
      </c>
      <c r="W1677" s="5" t="s">
        <v>7000</v>
      </c>
      <c r="X1677" s="24" t="str">
        <f t="shared" si="921"/>
        <v>supor.105</v>
      </c>
      <c r="Y1677" s="24" t="str">
        <f t="shared" si="916"/>
        <v>Ação suportar</v>
      </c>
      <c r="Z1677" s="47" t="s">
        <v>3808</v>
      </c>
      <c r="AA1677" s="25" t="str">
        <f t="shared" si="947"/>
        <v>categoria.revit</v>
      </c>
      <c r="AB1677" s="26" t="s">
        <v>4364</v>
      </c>
      <c r="AC1677" s="25" t="str">
        <f t="shared" si="948"/>
        <v>classe.ifc</v>
      </c>
      <c r="AD1677" s="26" t="s">
        <v>3912</v>
      </c>
      <c r="AE1677" s="25" t="str">
        <f t="shared" si="949"/>
        <v>null</v>
      </c>
      <c r="AF1677" s="26" t="s">
        <v>0</v>
      </c>
      <c r="AG1677" s="47" t="s">
        <v>3793</v>
      </c>
    </row>
    <row r="1678" spans="1:33" ht="6" customHeight="1" x14ac:dyDescent="0.4">
      <c r="A1678" s="4">
        <f>ROW()</f>
        <v>1678</v>
      </c>
      <c r="B1678" s="9" t="s">
        <v>27</v>
      </c>
      <c r="C1678" s="55" t="str">
        <f t="shared" si="942"/>
        <v>p.suportar</v>
      </c>
      <c r="D1678" s="6" t="str">
        <f t="shared" si="943"/>
        <v>é.coluna.estrutural</v>
      </c>
      <c r="E1678" s="8" t="s">
        <v>28</v>
      </c>
      <c r="F1678" s="42" t="str">
        <f t="shared" si="950"/>
        <v>d.suportar</v>
      </c>
      <c r="G1678" s="17" t="s">
        <v>4921</v>
      </c>
      <c r="H1678" s="42" t="s">
        <v>2321</v>
      </c>
      <c r="I1678" s="16" t="str">
        <f t="shared" si="94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5"/>
        <v>Propriedade destinada a suportar: é.coluna.estrutural</v>
      </c>
      <c r="V1678" s="5" t="str">
        <f t="shared" si="951"/>
        <v>Dado para suportar:  coluna.estrutural  Deve ser formatado como (rdfs:Literal  or  xsd:string)</v>
      </c>
      <c r="W1678" s="5" t="s">
        <v>7001</v>
      </c>
      <c r="X1678" s="24" t="str">
        <f t="shared" si="921"/>
        <v>supor.106</v>
      </c>
      <c r="Y1678" s="24" t="str">
        <f t="shared" si="916"/>
        <v>Ação suportar</v>
      </c>
      <c r="Z1678" s="47" t="s">
        <v>3809</v>
      </c>
      <c r="AA1678" s="25" t="str">
        <f t="shared" si="947"/>
        <v>categoria.revit</v>
      </c>
      <c r="AB1678" s="26" t="s">
        <v>3925</v>
      </c>
      <c r="AC1678" s="25" t="str">
        <f t="shared" si="948"/>
        <v>classe.ifc</v>
      </c>
      <c r="AD1678" s="26" t="s">
        <v>3888</v>
      </c>
      <c r="AE1678" s="25" t="str">
        <f t="shared" si="949"/>
        <v>null</v>
      </c>
      <c r="AF1678" s="26" t="s">
        <v>0</v>
      </c>
      <c r="AG1678" s="47" t="s">
        <v>2864</v>
      </c>
    </row>
    <row r="1679" spans="1:33" ht="6" customHeight="1" x14ac:dyDescent="0.4">
      <c r="A1679" s="4">
        <f>ROW()</f>
        <v>1679</v>
      </c>
      <c r="B1679" s="9" t="s">
        <v>27</v>
      </c>
      <c r="C1679" s="55" t="str">
        <f t="shared" si="942"/>
        <v>p.suportar</v>
      </c>
      <c r="D1679" s="6" t="str">
        <f t="shared" si="943"/>
        <v>é.contraventamento.estrutural</v>
      </c>
      <c r="E1679" s="8" t="s">
        <v>28</v>
      </c>
      <c r="F1679" s="42" t="str">
        <f t="shared" si="950"/>
        <v>d.suportar</v>
      </c>
      <c r="G1679" s="17" t="s">
        <v>4922</v>
      </c>
      <c r="H1679" s="42" t="s">
        <v>2321</v>
      </c>
      <c r="I1679" s="16" t="str">
        <f t="shared" si="94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5"/>
        <v>Propriedade destinada a suportar: é.contraventamento.estrutural</v>
      </c>
      <c r="V1679" s="5" t="str">
        <f t="shared" si="951"/>
        <v>Dado para suportar:  contraventamento.estrutural  Deve ser formatado como (rdfs:Literal  or  xsd:string)</v>
      </c>
      <c r="W1679" s="5" t="s">
        <v>7002</v>
      </c>
      <c r="X1679" s="24" t="str">
        <f t="shared" si="921"/>
        <v>supor.107</v>
      </c>
      <c r="Y1679" s="24" t="str">
        <f t="shared" si="916"/>
        <v>Ação suportar</v>
      </c>
      <c r="Z1679" s="47" t="s">
        <v>3810</v>
      </c>
      <c r="AA1679" s="25" t="str">
        <f t="shared" si="947"/>
        <v>categoria.revit</v>
      </c>
      <c r="AB1679" s="26" t="s">
        <v>3961</v>
      </c>
      <c r="AC1679" s="25" t="str">
        <f t="shared" si="948"/>
        <v>classe.ifc</v>
      </c>
      <c r="AD1679" s="26" t="s">
        <v>3912</v>
      </c>
      <c r="AE1679" s="25" t="str">
        <f t="shared" si="949"/>
        <v>null</v>
      </c>
      <c r="AF1679" s="26" t="s">
        <v>0</v>
      </c>
      <c r="AG1679" s="47" t="s">
        <v>3794</v>
      </c>
    </row>
    <row r="1680" spans="1:33" ht="6" customHeight="1" x14ac:dyDescent="0.4">
      <c r="A1680" s="4">
        <f>ROW()</f>
        <v>1680</v>
      </c>
      <c r="B1680" s="9" t="s">
        <v>27</v>
      </c>
      <c r="C1680" s="55" t="str">
        <f t="shared" si="942"/>
        <v>p.suportar</v>
      </c>
      <c r="D1680" s="6" t="str">
        <f t="shared" si="943"/>
        <v>é.diagonal.estrutural</v>
      </c>
      <c r="E1680" s="8" t="s">
        <v>28</v>
      </c>
      <c r="F1680" s="42" t="str">
        <f t="shared" si="950"/>
        <v>d.suportar</v>
      </c>
      <c r="G1680" s="17" t="s">
        <v>4923</v>
      </c>
      <c r="H1680" s="42" t="s">
        <v>2321</v>
      </c>
      <c r="I1680" s="16" t="str">
        <f t="shared" si="94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5"/>
        <v>Propriedade destinada a suportar: é.diagonal.estrutural</v>
      </c>
      <c r="V1680" s="5" t="str">
        <f t="shared" si="951"/>
        <v>Dado para suportar:  diagonal.estrutural  Deve ser formatado como (rdfs:Literal  or  xsd:string)</v>
      </c>
      <c r="W1680" s="5" t="s">
        <v>7003</v>
      </c>
      <c r="X1680" s="24" t="str">
        <f t="shared" si="921"/>
        <v>supor.108</v>
      </c>
      <c r="Y1680" s="24" t="str">
        <f t="shared" si="916"/>
        <v>Ação suportar</v>
      </c>
      <c r="Z1680" s="47" t="s">
        <v>3811</v>
      </c>
      <c r="AA1680" s="25" t="str">
        <f t="shared" si="947"/>
        <v>categoria.revit</v>
      </c>
      <c r="AB1680" s="26" t="s">
        <v>3961</v>
      </c>
      <c r="AC1680" s="25" t="str">
        <f t="shared" si="948"/>
        <v>classe.ifc</v>
      </c>
      <c r="AD1680" s="26" t="s">
        <v>3912</v>
      </c>
      <c r="AE1680" s="25" t="str">
        <f t="shared" si="949"/>
        <v>null</v>
      </c>
      <c r="AF1680" s="26" t="s">
        <v>0</v>
      </c>
      <c r="AG1680" s="47" t="s">
        <v>3795</v>
      </c>
    </row>
    <row r="1681" spans="1:33" ht="6" customHeight="1" x14ac:dyDescent="0.4">
      <c r="A1681" s="4">
        <f>ROW()</f>
        <v>1681</v>
      </c>
      <c r="B1681" s="9" t="s">
        <v>27</v>
      </c>
      <c r="C1681" s="55" t="str">
        <f t="shared" si="942"/>
        <v>p.suportar</v>
      </c>
      <c r="D1681" s="6" t="str">
        <f t="shared" si="943"/>
        <v>é.enrijecedor.estrutural</v>
      </c>
      <c r="E1681" s="8" t="s">
        <v>28</v>
      </c>
      <c r="F1681" s="42" t="str">
        <f>F1679</f>
        <v>d.suportar</v>
      </c>
      <c r="G1681" s="17" t="s">
        <v>4924</v>
      </c>
      <c r="H1681" s="42" t="s">
        <v>2321</v>
      </c>
      <c r="I1681" s="16" t="str">
        <f t="shared" si="94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5"/>
        <v>Propriedade destinada a suportar: é.enrijecedor.estrutural</v>
      </c>
      <c r="V1681" s="5" t="str">
        <f t="shared" si="951"/>
        <v>Dado para suportar:  enrijecedor.estrutural  Deve ser formatado como (rdfs:Literal  or  xsd:string)</v>
      </c>
      <c r="W1681" s="5" t="s">
        <v>7004</v>
      </c>
      <c r="X1681" s="24" t="str">
        <f t="shared" si="921"/>
        <v>supor.109</v>
      </c>
      <c r="Y1681" s="24" t="str">
        <f t="shared" si="916"/>
        <v>Ação suportar</v>
      </c>
      <c r="Z1681" s="47" t="s">
        <v>3822</v>
      </c>
      <c r="AA1681" s="25" t="str">
        <f t="shared" si="947"/>
        <v>categoria.revit</v>
      </c>
      <c r="AB1681" s="26" t="s">
        <v>3962</v>
      </c>
      <c r="AC1681" s="25" t="str">
        <f t="shared" si="948"/>
        <v>classe.ifc</v>
      </c>
      <c r="AD1681" s="26" t="s">
        <v>3913</v>
      </c>
      <c r="AE1681" s="25" t="str">
        <f t="shared" si="949"/>
        <v>null</v>
      </c>
      <c r="AF1681" s="26" t="s">
        <v>0</v>
      </c>
      <c r="AG1681" s="47" t="s">
        <v>3804</v>
      </c>
    </row>
    <row r="1682" spans="1:33" ht="6" customHeight="1" x14ac:dyDescent="0.4">
      <c r="A1682" s="4">
        <f>ROW()</f>
        <v>1682</v>
      </c>
      <c r="B1682" s="9" t="s">
        <v>27</v>
      </c>
      <c r="C1682" s="55" t="str">
        <f t="shared" si="942"/>
        <v>p.suportar</v>
      </c>
      <c r="D1682" s="6" t="str">
        <f t="shared" si="943"/>
        <v>é.estaca.estrutural</v>
      </c>
      <c r="E1682" s="8" t="s">
        <v>28</v>
      </c>
      <c r="F1682" s="42" t="str">
        <f>F1679</f>
        <v>d.suportar</v>
      </c>
      <c r="G1682" s="17" t="s">
        <v>4925</v>
      </c>
      <c r="H1682" s="42" t="s">
        <v>2321</v>
      </c>
      <c r="I1682" s="16" t="str">
        <f t="shared" si="94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5"/>
        <v>Propriedade destinada a suportar: é.estaca.estrutural</v>
      </c>
      <c r="V1682" s="5" t="str">
        <f t="shared" si="951"/>
        <v>Dado para suportar:  estaca.estrutural  Deve ser formatado como (rdfs:Literal  or  xsd:string)</v>
      </c>
      <c r="W1682" s="5" t="s">
        <v>7005</v>
      </c>
      <c r="X1682" s="24" t="str">
        <f t="shared" si="921"/>
        <v>supor.110</v>
      </c>
      <c r="Y1682" s="24" t="str">
        <f t="shared" si="916"/>
        <v>Ação suportar</v>
      </c>
      <c r="Z1682" s="47" t="s">
        <v>3812</v>
      </c>
      <c r="AA1682" s="25" t="str">
        <f t="shared" si="947"/>
        <v>categoria.revit</v>
      </c>
      <c r="AB1682" s="26" t="s">
        <v>3963</v>
      </c>
      <c r="AC1682" s="25" t="str">
        <f t="shared" si="948"/>
        <v>classe.ifc</v>
      </c>
      <c r="AD1682" s="26" t="s">
        <v>3914</v>
      </c>
      <c r="AE1682" s="25" t="str">
        <f t="shared" si="949"/>
        <v>null</v>
      </c>
      <c r="AF1682" s="26" t="s">
        <v>0</v>
      </c>
      <c r="AG1682" s="47" t="s">
        <v>2866</v>
      </c>
    </row>
    <row r="1683" spans="1:33" ht="6" customHeight="1" x14ac:dyDescent="0.4">
      <c r="A1683" s="4">
        <f>ROW()</f>
        <v>1683</v>
      </c>
      <c r="B1683" s="9" t="s">
        <v>27</v>
      </c>
      <c r="C1683" s="55" t="str">
        <f t="shared" si="942"/>
        <v>p.suportar</v>
      </c>
      <c r="D1683" s="6" t="str">
        <f t="shared" si="943"/>
        <v>é.bloco.de.fundação.estrutural</v>
      </c>
      <c r="E1683" s="8" t="s">
        <v>28</v>
      </c>
      <c r="F1683" s="42" t="str">
        <f>F1680</f>
        <v>d.suportar</v>
      </c>
      <c r="G1683" s="17" t="s">
        <v>4926</v>
      </c>
      <c r="H1683" s="42" t="s">
        <v>2321</v>
      </c>
      <c r="I1683" s="16" t="str">
        <f t="shared" si="94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5"/>
        <v>Propriedade destinada a suportar: é.bloco.de.fundação.estrutural</v>
      </c>
      <c r="V1683" s="5" t="str">
        <f t="shared" si="951"/>
        <v>Dado para suportar:  bloco.de.fundação.estrutural  Deve ser formatado como (rdfs:Literal  or  xsd:string)</v>
      </c>
      <c r="W1683" s="5" t="s">
        <v>7005</v>
      </c>
      <c r="X1683" s="24" t="str">
        <f t="shared" si="921"/>
        <v>supor.111</v>
      </c>
      <c r="Y1683" s="24" t="str">
        <f t="shared" si="916"/>
        <v>Ação suportar</v>
      </c>
      <c r="Z1683" s="47" t="s">
        <v>3812</v>
      </c>
      <c r="AA1683" s="25" t="str">
        <f t="shared" si="947"/>
        <v>categoria.revit</v>
      </c>
      <c r="AB1683" s="26" t="s">
        <v>3963</v>
      </c>
      <c r="AC1683" s="25" t="str">
        <f t="shared" si="948"/>
        <v>classe.ifc</v>
      </c>
      <c r="AD1683" s="26" t="s">
        <v>3914</v>
      </c>
      <c r="AE1683" s="25" t="str">
        <f t="shared" si="949"/>
        <v>null</v>
      </c>
      <c r="AF1683" s="26" t="s">
        <v>0</v>
      </c>
      <c r="AG1683" s="47" t="s">
        <v>2866</v>
      </c>
    </row>
    <row r="1684" spans="1:33" ht="6" customHeight="1" x14ac:dyDescent="0.4">
      <c r="A1684" s="4">
        <f>ROW()</f>
        <v>1684</v>
      </c>
      <c r="B1684" s="9" t="s">
        <v>27</v>
      </c>
      <c r="C1684" s="55" t="str">
        <f t="shared" si="942"/>
        <v>p.suportar</v>
      </c>
      <c r="D1684" s="6" t="str">
        <f t="shared" si="943"/>
        <v>é.mastro.estrutural</v>
      </c>
      <c r="E1684" s="8" t="s">
        <v>28</v>
      </c>
      <c r="F1684" s="42" t="str">
        <f t="shared" si="950"/>
        <v>d.suportar</v>
      </c>
      <c r="G1684" s="17" t="s">
        <v>4927</v>
      </c>
      <c r="H1684" s="42" t="s">
        <v>2321</v>
      </c>
      <c r="I1684" s="16" t="str">
        <f t="shared" si="94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5"/>
        <v>Propriedade destinada a suportar: é.mastro.estrutural</v>
      </c>
      <c r="V1684" s="5" t="str">
        <f t="shared" si="951"/>
        <v>Dado para suportar:  mastro.estrutural  Deve ser formatado como (rdfs:Literal  or  xsd:string)</v>
      </c>
      <c r="W1684" s="5" t="s">
        <v>7006</v>
      </c>
      <c r="X1684" s="24" t="str">
        <f t="shared" si="921"/>
        <v>supor.112</v>
      </c>
      <c r="Y1684" s="24" t="str">
        <f t="shared" si="916"/>
        <v>Ação suportar</v>
      </c>
      <c r="Z1684" s="47" t="s">
        <v>3813</v>
      </c>
      <c r="AA1684" s="25" t="str">
        <f t="shared" si="947"/>
        <v>categoria.revit</v>
      </c>
      <c r="AB1684" s="26" t="s">
        <v>3925</v>
      </c>
      <c r="AC1684" s="25" t="str">
        <f t="shared" si="948"/>
        <v>classe.ifc</v>
      </c>
      <c r="AD1684" s="26" t="s">
        <v>3888</v>
      </c>
      <c r="AE1684" s="25" t="str">
        <f t="shared" si="949"/>
        <v>null</v>
      </c>
      <c r="AF1684" s="26" t="s">
        <v>0</v>
      </c>
      <c r="AG1684" s="47" t="s">
        <v>5198</v>
      </c>
    </row>
    <row r="1685" spans="1:33" ht="6" customHeight="1" x14ac:dyDescent="0.4">
      <c r="A1685" s="4">
        <f>ROW()</f>
        <v>1685</v>
      </c>
      <c r="B1685" s="9" t="s">
        <v>27</v>
      </c>
      <c r="C1685" s="55" t="str">
        <f t="shared" si="942"/>
        <v>p.suportar</v>
      </c>
      <c r="D1685" s="6" t="str">
        <f t="shared" si="943"/>
        <v>é.membro.estrutural</v>
      </c>
      <c r="E1685" s="8" t="s">
        <v>28</v>
      </c>
      <c r="F1685" s="42" t="str">
        <f t="shared" si="950"/>
        <v>d.suportar</v>
      </c>
      <c r="G1685" s="17" t="s">
        <v>4928</v>
      </c>
      <c r="H1685" s="42" t="s">
        <v>2321</v>
      </c>
      <c r="I1685" s="16" t="str">
        <f t="shared" si="94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5"/>
        <v>Propriedade destinada a suportar: é.membro.estrutural</v>
      </c>
      <c r="V1685" s="5" t="str">
        <f t="shared" si="951"/>
        <v>Dado para suportar:  membro.estrutural  Deve ser formatado como (rdfs:Literal  or  xsd:string)</v>
      </c>
      <c r="W1685" s="5" t="s">
        <v>7007</v>
      </c>
      <c r="X1685" s="24" t="str">
        <f t="shared" si="921"/>
        <v>supor.113</v>
      </c>
      <c r="Y1685" s="24" t="str">
        <f t="shared" si="916"/>
        <v>Ação suportar</v>
      </c>
      <c r="Z1685" s="47" t="s">
        <v>3814</v>
      </c>
      <c r="AA1685" s="25" t="str">
        <f t="shared" si="947"/>
        <v>categoria.revit</v>
      </c>
      <c r="AB1685" s="26" t="s">
        <v>3961</v>
      </c>
      <c r="AC1685" s="25" t="str">
        <f t="shared" si="948"/>
        <v>classe.ifc</v>
      </c>
      <c r="AD1685" s="26" t="s">
        <v>3912</v>
      </c>
      <c r="AE1685" s="25" t="str">
        <f t="shared" si="949"/>
        <v>null</v>
      </c>
      <c r="AF1685" s="26" t="s">
        <v>0</v>
      </c>
      <c r="AG1685" s="47" t="s">
        <v>3796</v>
      </c>
    </row>
    <row r="1686" spans="1:33" ht="6" customHeight="1" x14ac:dyDescent="0.4">
      <c r="A1686" s="4">
        <f>ROW()</f>
        <v>1686</v>
      </c>
      <c r="B1686" s="9" t="s">
        <v>27</v>
      </c>
      <c r="C1686" s="55" t="str">
        <f t="shared" si="942"/>
        <v>p.suportar</v>
      </c>
      <c r="D1686" s="6" t="str">
        <f t="shared" si="943"/>
        <v>é.montante.estrutural</v>
      </c>
      <c r="E1686" s="8" t="s">
        <v>28</v>
      </c>
      <c r="F1686" s="42" t="str">
        <f t="shared" si="950"/>
        <v>d.suportar</v>
      </c>
      <c r="G1686" s="17" t="s">
        <v>4929</v>
      </c>
      <c r="H1686" s="42" t="s">
        <v>2321</v>
      </c>
      <c r="I1686" s="16" t="str">
        <f t="shared" si="94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5"/>
        <v>Propriedade destinada a suportar: é.montante.estrutural</v>
      </c>
      <c r="V1686" s="5" t="str">
        <f t="shared" si="951"/>
        <v>Dado para suportar:  montante.estrutural  Deve ser formatado como (rdfs:Literal  or  xsd:string)</v>
      </c>
      <c r="W1686" s="5" t="s">
        <v>7008</v>
      </c>
      <c r="X1686" s="24" t="str">
        <f t="shared" si="921"/>
        <v>supor.114</v>
      </c>
      <c r="Y1686" s="24" t="str">
        <f t="shared" si="916"/>
        <v>Ação suportar</v>
      </c>
      <c r="Z1686" s="47" t="s">
        <v>3815</v>
      </c>
      <c r="AA1686" s="25" t="str">
        <f t="shared" si="947"/>
        <v>categoria.revit</v>
      </c>
      <c r="AB1686" s="26" t="s">
        <v>3961</v>
      </c>
      <c r="AC1686" s="25" t="str">
        <f t="shared" si="948"/>
        <v>classe.ifc</v>
      </c>
      <c r="AD1686" s="26" t="s">
        <v>3912</v>
      </c>
      <c r="AE1686" s="25" t="str">
        <f t="shared" si="949"/>
        <v>null</v>
      </c>
      <c r="AF1686" s="26" t="s">
        <v>0</v>
      </c>
      <c r="AG1686" s="47" t="s">
        <v>3797</v>
      </c>
    </row>
    <row r="1687" spans="1:33" ht="6" customHeight="1" x14ac:dyDescent="0.4">
      <c r="A1687" s="4">
        <f>ROW()</f>
        <v>1687</v>
      </c>
      <c r="B1687" s="9" t="s">
        <v>27</v>
      </c>
      <c r="C1687" s="55" t="str">
        <f t="shared" si="942"/>
        <v>p.suportar</v>
      </c>
      <c r="D1687" s="6" t="str">
        <f t="shared" si="943"/>
        <v>é.núcleo.estrutural</v>
      </c>
      <c r="E1687" s="8" t="s">
        <v>28</v>
      </c>
      <c r="F1687" s="42" t="str">
        <f t="shared" si="950"/>
        <v>d.suportar</v>
      </c>
      <c r="G1687" s="17" t="s">
        <v>4930</v>
      </c>
      <c r="H1687" s="42" t="s">
        <v>2321</v>
      </c>
      <c r="I1687" s="16" t="str">
        <f t="shared" si="94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5"/>
        <v>Propriedade destinada a suportar: é.núcleo.estrutural</v>
      </c>
      <c r="V1687" s="5" t="str">
        <f t="shared" si="951"/>
        <v>Dado para suportar:  núcleo.estrutural  Deve ser formatado como (rdfs:Literal  or  xsd:string)</v>
      </c>
      <c r="W1687" s="5" t="s">
        <v>7009</v>
      </c>
      <c r="X1687" s="24" t="str">
        <f t="shared" si="921"/>
        <v>supor.115</v>
      </c>
      <c r="Y1687" s="24" t="str">
        <f t="shared" si="916"/>
        <v>Ação suportar</v>
      </c>
      <c r="Z1687" s="47" t="s">
        <v>3816</v>
      </c>
      <c r="AA1687" s="25" t="str">
        <f t="shared" si="947"/>
        <v>categoria.revit</v>
      </c>
      <c r="AB1687" s="26" t="s">
        <v>3956</v>
      </c>
      <c r="AC1687" s="25" t="str">
        <f t="shared" si="948"/>
        <v>classe.ifc</v>
      </c>
      <c r="AD1687" s="26" t="s">
        <v>3908</v>
      </c>
      <c r="AE1687" s="25" t="str">
        <f t="shared" si="949"/>
        <v>null</v>
      </c>
      <c r="AF1687" s="26" t="s">
        <v>0</v>
      </c>
      <c r="AG1687" s="47" t="s">
        <v>5268</v>
      </c>
    </row>
    <row r="1688" spans="1:33" ht="6" customHeight="1" x14ac:dyDescent="0.4">
      <c r="A1688" s="4">
        <f>ROW()</f>
        <v>1688</v>
      </c>
      <c r="B1688" s="9" t="s">
        <v>27</v>
      </c>
      <c r="C1688" s="55" t="str">
        <f t="shared" si="942"/>
        <v>p.suportar</v>
      </c>
      <c r="D1688" s="6" t="str">
        <f t="shared" si="943"/>
        <v>é.pilone.estrutural</v>
      </c>
      <c r="E1688" s="8" t="s">
        <v>28</v>
      </c>
      <c r="F1688" s="42" t="str">
        <f t="shared" si="950"/>
        <v>d.suportar</v>
      </c>
      <c r="G1688" s="17" t="s">
        <v>4931</v>
      </c>
      <c r="H1688" s="42" t="s">
        <v>2321</v>
      </c>
      <c r="I1688" s="16" t="str">
        <f t="shared" si="94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5"/>
        <v>Propriedade destinada a suportar: é.pilone.estrutural</v>
      </c>
      <c r="V1688" s="5" t="str">
        <f t="shared" si="951"/>
        <v>Dado para suportar:  pilone.estrutural  Deve ser formatado como (rdfs:Literal  or  xsd:string)</v>
      </c>
      <c r="W1688" s="5" t="s">
        <v>7010</v>
      </c>
      <c r="X1688" s="24" t="str">
        <f t="shared" si="921"/>
        <v>supor.116</v>
      </c>
      <c r="Y1688" s="24" t="str">
        <f t="shared" si="916"/>
        <v>Ação suportar</v>
      </c>
      <c r="Z1688" s="47" t="s">
        <v>3817</v>
      </c>
      <c r="AA1688" s="25" t="str">
        <f t="shared" si="947"/>
        <v>categoria.revit</v>
      </c>
      <c r="AB1688" s="26" t="s">
        <v>3925</v>
      </c>
      <c r="AC1688" s="25" t="str">
        <f t="shared" si="948"/>
        <v>classe.ifc</v>
      </c>
      <c r="AD1688" s="26" t="s">
        <v>3888</v>
      </c>
      <c r="AE1688" s="25" t="str">
        <f t="shared" si="949"/>
        <v>null</v>
      </c>
      <c r="AF1688" s="26" t="s">
        <v>0</v>
      </c>
      <c r="AG1688" s="47" t="s">
        <v>5199</v>
      </c>
    </row>
    <row r="1689" spans="1:33" ht="6" customHeight="1" x14ac:dyDescent="0.4">
      <c r="A1689" s="4">
        <f>ROW()</f>
        <v>1689</v>
      </c>
      <c r="B1689" s="9" t="s">
        <v>27</v>
      </c>
      <c r="C1689" s="55" t="str">
        <f t="shared" si="942"/>
        <v>p.suportar</v>
      </c>
      <c r="D1689" s="6" t="str">
        <f t="shared" si="943"/>
        <v>é.placa.estrutural</v>
      </c>
      <c r="E1689" s="8" t="s">
        <v>28</v>
      </c>
      <c r="F1689" s="42" t="str">
        <f t="shared" si="950"/>
        <v>d.suportar</v>
      </c>
      <c r="G1689" s="17" t="s">
        <v>4932</v>
      </c>
      <c r="H1689" s="42" t="s">
        <v>2321</v>
      </c>
      <c r="I1689" s="16" t="str">
        <f t="shared" si="94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5"/>
        <v>Propriedade destinada a suportar: é.placa.estrutural</v>
      </c>
      <c r="V1689" s="5" t="str">
        <f t="shared" si="951"/>
        <v>Dado para suportar:  placa.estrutural  Deve ser formatado como (rdfs:Literal  or  xsd:string)</v>
      </c>
      <c r="W1689" s="5" t="s">
        <v>7011</v>
      </c>
      <c r="X1689" s="24" t="str">
        <f t="shared" si="921"/>
        <v>supor.117</v>
      </c>
      <c r="Y1689" s="24" t="str">
        <f t="shared" si="916"/>
        <v>Ação suportar</v>
      </c>
      <c r="Z1689" s="47" t="s">
        <v>3819</v>
      </c>
      <c r="AA1689" s="25" t="str">
        <f t="shared" si="947"/>
        <v>categoria.revit</v>
      </c>
      <c r="AB1689" s="26" t="s">
        <v>3964</v>
      </c>
      <c r="AC1689" s="25" t="str">
        <f t="shared" si="948"/>
        <v>classe.ifc</v>
      </c>
      <c r="AD1689" s="26" t="s">
        <v>3913</v>
      </c>
      <c r="AE1689" s="25" t="str">
        <f t="shared" si="949"/>
        <v>null</v>
      </c>
      <c r="AF1689" s="26" t="s">
        <v>0</v>
      </c>
      <c r="AG1689" s="47" t="s">
        <v>3798</v>
      </c>
    </row>
    <row r="1690" spans="1:33" ht="6" customHeight="1" x14ac:dyDescent="0.4">
      <c r="A1690" s="4">
        <f>ROW()</f>
        <v>1690</v>
      </c>
      <c r="B1690" s="9" t="s">
        <v>27</v>
      </c>
      <c r="C1690" s="55" t="str">
        <f t="shared" si="942"/>
        <v>p.suportar</v>
      </c>
      <c r="D1690" s="6" t="str">
        <f t="shared" si="943"/>
        <v>é.pórtico.estrutural</v>
      </c>
      <c r="E1690" s="8" t="s">
        <v>28</v>
      </c>
      <c r="F1690" s="42" t="str">
        <f t="shared" si="950"/>
        <v>d.suportar</v>
      </c>
      <c r="G1690" s="17" t="s">
        <v>4933</v>
      </c>
      <c r="H1690" s="42" t="s">
        <v>2321</v>
      </c>
      <c r="I1690" s="16" t="str">
        <f t="shared" si="94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5"/>
        <v>Propriedade destinada a suportar: é.pórtico.estrutural</v>
      </c>
      <c r="V1690" s="5" t="str">
        <f t="shared" si="951"/>
        <v>Dado para suportar:  pórtico.estrutural  Deve ser formatado como (rdfs:Literal  or  xsd:string)</v>
      </c>
      <c r="W1690" s="5" t="s">
        <v>7012</v>
      </c>
      <c r="X1690" s="24" t="str">
        <f t="shared" si="921"/>
        <v>supor.118</v>
      </c>
      <c r="Y1690" s="24" t="str">
        <f t="shared" si="916"/>
        <v>Ação suportar</v>
      </c>
      <c r="Z1690" s="47" t="s">
        <v>3818</v>
      </c>
      <c r="AA1690" s="25" t="str">
        <f t="shared" si="947"/>
        <v>categoria.revit</v>
      </c>
      <c r="AB1690" s="26" t="s">
        <v>4361</v>
      </c>
      <c r="AC1690" s="25" t="str">
        <f t="shared" si="948"/>
        <v>classe.ifc</v>
      </c>
      <c r="AD1690" s="26" t="s">
        <v>4359</v>
      </c>
      <c r="AE1690" s="25" t="str">
        <f t="shared" si="949"/>
        <v>null</v>
      </c>
      <c r="AF1690" s="26" t="s">
        <v>0</v>
      </c>
      <c r="AG1690" s="47" t="s">
        <v>3798</v>
      </c>
    </row>
    <row r="1691" spans="1:33" ht="6" customHeight="1" x14ac:dyDescent="0.4">
      <c r="A1691" s="4">
        <f>ROW()</f>
        <v>1691</v>
      </c>
      <c r="B1691" s="9" t="s">
        <v>27</v>
      </c>
      <c r="C1691" s="55" t="str">
        <f t="shared" si="942"/>
        <v>p.suportar</v>
      </c>
      <c r="D1691" s="6" t="str">
        <f t="shared" si="943"/>
        <v>é.rol.analítico.estrutural</v>
      </c>
      <c r="E1691" s="8" t="s">
        <v>28</v>
      </c>
      <c r="F1691" s="42" t="str">
        <f t="shared" si="950"/>
        <v>d.suportar</v>
      </c>
      <c r="G1691" s="17" t="s">
        <v>4934</v>
      </c>
      <c r="H1691" s="42" t="s">
        <v>2321</v>
      </c>
      <c r="I1691" s="16" t="str">
        <f t="shared" si="94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5"/>
        <v>Propriedade destinada a suportar: é.rol.analítico.estrutural</v>
      </c>
      <c r="V1691" s="5" t="str">
        <f t="shared" si="951"/>
        <v>Dado para suportar:  rol.analítico.estrutural  Deve ser formatado como (rdfs:Literal  or  xsd:string)</v>
      </c>
      <c r="W1691" s="5" t="s">
        <v>7013</v>
      </c>
      <c r="X1691" s="24" t="str">
        <f t="shared" si="921"/>
        <v>supor.119</v>
      </c>
      <c r="Y1691" s="24" t="str">
        <f t="shared" si="916"/>
        <v>Ação suportar</v>
      </c>
      <c r="Z1691" s="47" t="s">
        <v>3801</v>
      </c>
      <c r="AA1691" s="25" t="str">
        <f t="shared" si="947"/>
        <v>categoria.revit</v>
      </c>
      <c r="AB1691" s="26" t="s">
        <v>4365</v>
      </c>
      <c r="AC1691" s="25" t="str">
        <f t="shared" si="948"/>
        <v>classe.ifc</v>
      </c>
      <c r="AD1691" s="26" t="s">
        <v>4365</v>
      </c>
      <c r="AE1691" s="25" t="str">
        <f t="shared" si="949"/>
        <v>null</v>
      </c>
      <c r="AF1691" s="26" t="s">
        <v>0</v>
      </c>
      <c r="AG1691" s="47" t="s">
        <v>3799</v>
      </c>
    </row>
    <row r="1692" spans="1:33" ht="6" customHeight="1" x14ac:dyDescent="0.4">
      <c r="A1692" s="4">
        <f>ROW()</f>
        <v>1692</v>
      </c>
      <c r="B1692" s="9" t="s">
        <v>27</v>
      </c>
      <c r="C1692" s="55" t="str">
        <f t="shared" si="942"/>
        <v>p.suportar</v>
      </c>
      <c r="D1692" s="6" t="str">
        <f t="shared" si="943"/>
        <v>é.tensor.estrutural</v>
      </c>
      <c r="E1692" s="8" t="s">
        <v>28</v>
      </c>
      <c r="F1692" s="42" t="str">
        <f t="shared" si="950"/>
        <v>d.suportar</v>
      </c>
      <c r="G1692" s="17" t="s">
        <v>4935</v>
      </c>
      <c r="H1692" s="42" t="s">
        <v>2321</v>
      </c>
      <c r="I1692" s="16" t="str">
        <f t="shared" si="94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5"/>
        <v>Propriedade destinada a suportar: é.tensor.estrutural</v>
      </c>
      <c r="V1692" s="5" t="str">
        <f t="shared" si="951"/>
        <v>Dado para suportar:  tensor.estrutural  Deve ser formatado como (rdfs:Literal  or  xsd:string)</v>
      </c>
      <c r="W1692" s="5" t="s">
        <v>7014</v>
      </c>
      <c r="X1692" s="24" t="str">
        <f t="shared" si="921"/>
        <v>supor.120</v>
      </c>
      <c r="Y1692" s="24" t="str">
        <f t="shared" si="916"/>
        <v>Ação suportar</v>
      </c>
      <c r="Z1692" s="47" t="s">
        <v>3820</v>
      </c>
      <c r="AA1692" s="25" t="str">
        <f t="shared" si="947"/>
        <v>categoria.revit</v>
      </c>
      <c r="AB1692" s="26" t="s">
        <v>3965</v>
      </c>
      <c r="AC1692" s="25" t="str">
        <f t="shared" si="948"/>
        <v>classe.ifc</v>
      </c>
      <c r="AD1692" s="26" t="s">
        <v>3915</v>
      </c>
      <c r="AE1692" s="25" t="str">
        <f t="shared" si="949"/>
        <v>null</v>
      </c>
      <c r="AF1692" s="26" t="s">
        <v>0</v>
      </c>
      <c r="AG1692" s="47" t="s">
        <v>3800</v>
      </c>
    </row>
    <row r="1693" spans="1:33" ht="6" customHeight="1" x14ac:dyDescent="0.4">
      <c r="A1693" s="4">
        <f>ROW()</f>
        <v>1693</v>
      </c>
      <c r="B1693" s="9" t="s">
        <v>27</v>
      </c>
      <c r="C1693" s="55" t="str">
        <f t="shared" si="942"/>
        <v>p.suportar</v>
      </c>
      <c r="D1693" s="6" t="str">
        <f t="shared" si="943"/>
        <v>é.treliça.estrutural</v>
      </c>
      <c r="E1693" s="8" t="s">
        <v>28</v>
      </c>
      <c r="F1693" s="42" t="str">
        <f t="shared" si="950"/>
        <v>d.suportar</v>
      </c>
      <c r="G1693" s="17" t="s">
        <v>4936</v>
      </c>
      <c r="H1693" s="42" t="s">
        <v>2321</v>
      </c>
      <c r="I1693" s="16" t="str">
        <f t="shared" si="94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5"/>
        <v>Propriedade destinada a suportar: é.treliça.estrutural</v>
      </c>
      <c r="V1693" s="5" t="str">
        <f t="shared" si="951"/>
        <v>Dado para suportar:  treliça.estrutural  Deve ser formatado como (rdfs:Literal  or  xsd:string)</v>
      </c>
      <c r="W1693" s="5" t="s">
        <v>7014</v>
      </c>
      <c r="X1693" s="24" t="str">
        <f t="shared" si="921"/>
        <v>supor.121</v>
      </c>
      <c r="Y1693" s="24" t="str">
        <f t="shared" si="916"/>
        <v>Ação suportar</v>
      </c>
      <c r="Z1693" s="47" t="s">
        <v>3821</v>
      </c>
      <c r="AA1693" s="25" t="str">
        <f t="shared" si="947"/>
        <v>categoria.revit</v>
      </c>
      <c r="AB1693" s="26" t="s">
        <v>4362</v>
      </c>
      <c r="AC1693" s="25" t="str">
        <f t="shared" si="948"/>
        <v>classe.ifc</v>
      </c>
      <c r="AD1693" s="26" t="s">
        <v>4360</v>
      </c>
      <c r="AE1693" s="25" t="str">
        <f t="shared" si="949"/>
        <v>null</v>
      </c>
      <c r="AF1693" s="26" t="s">
        <v>0</v>
      </c>
      <c r="AG1693" s="47" t="s">
        <v>3802</v>
      </c>
    </row>
    <row r="1694" spans="1:33" ht="6" customHeight="1" x14ac:dyDescent="0.4">
      <c r="A1694" s="4">
        <f>ROW()</f>
        <v>1694</v>
      </c>
      <c r="B1694" s="9" t="s">
        <v>27</v>
      </c>
      <c r="C1694" s="55" t="str">
        <f t="shared" si="942"/>
        <v>p.suportar</v>
      </c>
      <c r="D1694" s="6" t="str">
        <f t="shared" si="943"/>
        <v>é.viga.estrutural</v>
      </c>
      <c r="E1694" s="8" t="s">
        <v>28</v>
      </c>
      <c r="F1694" s="42" t="str">
        <f t="shared" si="950"/>
        <v>d.suportar</v>
      </c>
      <c r="G1694" s="17" t="s">
        <v>4937</v>
      </c>
      <c r="H1694" s="42" t="s">
        <v>2321</v>
      </c>
      <c r="I1694" s="16" t="str">
        <f t="shared" si="94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45"/>
        <v>Propriedade destinada a suportar: é.viga.estrutural</v>
      </c>
      <c r="V1694" s="5" t="str">
        <f t="shared" si="951"/>
        <v>Dado para suportar:  viga.estrutural  Deve ser formatado como (rdfs:Literal  or  xsd:string)</v>
      </c>
      <c r="W1694" s="5" t="s">
        <v>7015</v>
      </c>
      <c r="X1694" s="24" t="str">
        <f t="shared" si="921"/>
        <v>supor.122</v>
      </c>
      <c r="Y1694" s="24" t="str">
        <f t="shared" si="916"/>
        <v>Ação suportar</v>
      </c>
      <c r="Z1694" s="47" t="s">
        <v>1322</v>
      </c>
      <c r="AA1694" s="25" t="str">
        <f t="shared" si="947"/>
        <v>categoria.revit</v>
      </c>
      <c r="AB1694" s="26" t="s">
        <v>3961</v>
      </c>
      <c r="AC1694" s="25" t="str">
        <f t="shared" si="948"/>
        <v>classe.ifc</v>
      </c>
      <c r="AD1694" s="26" t="s">
        <v>3916</v>
      </c>
      <c r="AE1694" s="25" t="str">
        <f t="shared" si="949"/>
        <v>null</v>
      </c>
      <c r="AF1694" s="26" t="s">
        <v>0</v>
      </c>
      <c r="AG1694" s="47" t="s">
        <v>2865</v>
      </c>
    </row>
    <row r="1695" spans="1:33" ht="6" customHeight="1" x14ac:dyDescent="0.4">
      <c r="A1695" s="4">
        <f>ROW()</f>
        <v>1695</v>
      </c>
      <c r="B1695" s="9" t="s">
        <v>27</v>
      </c>
      <c r="C1695" s="54" t="str">
        <f t="shared" ref="C1695:C1696" si="952">SUBSTITUTE(F1695,"d.","p.")</f>
        <v>p.tabular</v>
      </c>
      <c r="D1695" s="6" t="str">
        <f t="shared" ref="D1695:D1696" si="953">_xlfn.CONCAT("é.",G1695)</f>
        <v>é.questionário</v>
      </c>
      <c r="E1695" s="8" t="s">
        <v>28</v>
      </c>
      <c r="F1695" s="51" t="s">
        <v>4064</v>
      </c>
      <c r="G1695" s="17" t="s">
        <v>5081</v>
      </c>
      <c r="H1695" s="42" t="s">
        <v>2321</v>
      </c>
      <c r="I1695" s="16" t="str">
        <f t="shared" ref="I1695:I1696" si="954">J1695</f>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ref="U1695:U1696" si="955">_xlfn.CONCAT("Propriedade destinada a ",MID(C1695,FIND("p.",C1695,1)+2,100),": ",D1695)</f>
        <v>Propriedade destinada a tabular: é.questionário</v>
      </c>
      <c r="V1695" s="5" t="str">
        <f t="shared" ref="V1695:V1696" si="956">_xlfn.CONCAT("Dado para ",MID(F1695,FIND("d.",F1695,1)+2,100),":  ",G1695, "  Deve ser formatado como (",H1695, ")")</f>
        <v>Dado para tabular:  questionário  Deve ser formatado como (rdfs:Literal  or  xsd:string)</v>
      </c>
      <c r="W1695" s="5" t="s">
        <v>7016</v>
      </c>
      <c r="X1695" s="24" t="str">
        <f t="shared" si="921"/>
        <v>tabul.100</v>
      </c>
      <c r="Y1695" s="24" t="str">
        <f t="shared" si="916"/>
        <v>Ação tabular</v>
      </c>
      <c r="Z1695" s="47" t="s">
        <v>4393</v>
      </c>
      <c r="AA1695" s="25" t="str">
        <f t="shared" ref="AA1695:AA1696" si="957">IF(AB1695="null", "null", "categoria.revit")</f>
        <v>null</v>
      </c>
      <c r="AB1695" s="26" t="s">
        <v>0</v>
      </c>
      <c r="AC1695" s="25" t="str">
        <f t="shared" ref="AC1695:AC1696" si="958">IF(AD1695="null", "null", "classe.ifc")</f>
        <v>null</v>
      </c>
      <c r="AD1695" s="26" t="s">
        <v>0</v>
      </c>
      <c r="AE1695" s="25" t="str">
        <f t="shared" ref="AE1695:AE1696" si="959">IF(AF1695="null", "null", "propiedade")</f>
        <v>null</v>
      </c>
      <c r="AF1695" s="26" t="s">
        <v>0</v>
      </c>
      <c r="AG1695" s="47" t="s">
        <v>4453</v>
      </c>
    </row>
    <row r="1696" spans="1:33" ht="6" customHeight="1" x14ac:dyDescent="0.4">
      <c r="A1696" s="4">
        <f>ROW()</f>
        <v>1696</v>
      </c>
      <c r="B1696" s="9" t="s">
        <v>27</v>
      </c>
      <c r="C1696" s="55" t="str">
        <f t="shared" si="952"/>
        <v>p.tabular</v>
      </c>
      <c r="D1696" s="6" t="str">
        <f t="shared" si="953"/>
        <v>é.tabela</v>
      </c>
      <c r="E1696" s="8" t="s">
        <v>28</v>
      </c>
      <c r="F1696" s="42" t="str">
        <f t="shared" ref="F1696:F1698" si="960">F1695</f>
        <v>d.tabular</v>
      </c>
      <c r="G1696" s="17" t="s">
        <v>4938</v>
      </c>
      <c r="H1696" s="42" t="s">
        <v>2321</v>
      </c>
      <c r="I1696" s="16" t="str">
        <f t="shared" si="95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55"/>
        <v>Propriedade destinada a tabular: é.tabela</v>
      </c>
      <c r="V1696" s="5" t="str">
        <f t="shared" si="956"/>
        <v>Dado para tabular:  tabela  Deve ser formatado como (rdfs:Literal  or  xsd:string)</v>
      </c>
      <c r="W1696" s="5" t="s">
        <v>7017</v>
      </c>
      <c r="X1696" s="24" t="str">
        <f t="shared" si="921"/>
        <v>tabul.101</v>
      </c>
      <c r="Y1696" s="24" t="str">
        <f t="shared" si="916"/>
        <v>Ação tabular</v>
      </c>
      <c r="Z1696" s="47" t="s">
        <v>4393</v>
      </c>
      <c r="AA1696" s="25" t="str">
        <f t="shared" si="957"/>
        <v>null</v>
      </c>
      <c r="AB1696" s="26" t="s">
        <v>0</v>
      </c>
      <c r="AC1696" s="25" t="str">
        <f t="shared" si="958"/>
        <v>null</v>
      </c>
      <c r="AD1696" s="26" t="s">
        <v>0</v>
      </c>
      <c r="AE1696" s="25" t="str">
        <f t="shared" si="959"/>
        <v>null</v>
      </c>
      <c r="AF1696" s="26" t="s">
        <v>0</v>
      </c>
      <c r="AG1696" s="47" t="s">
        <v>4453</v>
      </c>
    </row>
    <row r="1697" spans="1:33" ht="6" customHeight="1" x14ac:dyDescent="0.4">
      <c r="A1697" s="4">
        <f>ROW()</f>
        <v>1697</v>
      </c>
      <c r="B1697" s="9" t="s">
        <v>27</v>
      </c>
      <c r="C1697" s="55" t="str">
        <f t="shared" si="942"/>
        <v>p.tabular</v>
      </c>
      <c r="D1697" s="6" t="str">
        <f t="shared" si="943"/>
        <v>é.tabela.chave</v>
      </c>
      <c r="E1697" s="8" t="s">
        <v>28</v>
      </c>
      <c r="F1697" s="42" t="str">
        <f t="shared" si="960"/>
        <v>d.tabular</v>
      </c>
      <c r="G1697" s="17" t="s">
        <v>5082</v>
      </c>
      <c r="H1697" s="42" t="s">
        <v>2321</v>
      </c>
      <c r="I1697" s="16" t="str">
        <f t="shared" si="94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5"/>
        <v>Propriedade destinada a tabular: é.tabela.chave</v>
      </c>
      <c r="V1697" s="5" t="str">
        <f t="shared" si="951"/>
        <v>Dado para tabular:  tabela.chave  Deve ser formatado como (rdfs:Literal  or  xsd:string)</v>
      </c>
      <c r="W1697" s="5" t="s">
        <v>7018</v>
      </c>
      <c r="X1697" s="24" t="str">
        <f t="shared" si="921"/>
        <v>tabul.102</v>
      </c>
      <c r="Y1697" s="24" t="str">
        <f t="shared" si="916"/>
        <v>Ação tabular</v>
      </c>
      <c r="Z1697" s="47" t="s">
        <v>4393</v>
      </c>
      <c r="AA1697" s="25" t="str">
        <f t="shared" si="947"/>
        <v>null</v>
      </c>
      <c r="AB1697" s="26" t="s">
        <v>0</v>
      </c>
      <c r="AC1697" s="25" t="str">
        <f t="shared" si="948"/>
        <v>null</v>
      </c>
      <c r="AD1697" s="26" t="s">
        <v>0</v>
      </c>
      <c r="AE1697" s="25" t="str">
        <f t="shared" si="949"/>
        <v>null</v>
      </c>
      <c r="AF1697" s="26" t="s">
        <v>0</v>
      </c>
      <c r="AG1697" s="47" t="s">
        <v>4453</v>
      </c>
    </row>
    <row r="1698" spans="1:33" ht="6" customHeight="1" x14ac:dyDescent="0.4">
      <c r="A1698" s="4">
        <f>ROW()</f>
        <v>1698</v>
      </c>
      <c r="B1698" s="9" t="s">
        <v>27</v>
      </c>
      <c r="C1698" s="55" t="str">
        <f t="shared" si="942"/>
        <v>p.tabular</v>
      </c>
      <c r="D1698" s="6" t="str">
        <f t="shared" si="943"/>
        <v>é.tabela.gráfica</v>
      </c>
      <c r="E1698" s="8" t="s">
        <v>28</v>
      </c>
      <c r="F1698" s="42" t="str">
        <f t="shared" si="960"/>
        <v>d.tabular</v>
      </c>
      <c r="G1698" s="17" t="s">
        <v>4939</v>
      </c>
      <c r="H1698" s="42" t="s">
        <v>2321</v>
      </c>
      <c r="I1698" s="16" t="str">
        <f t="shared" si="94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45"/>
        <v>Propriedade destinada a tabular: é.tabela.gráfica</v>
      </c>
      <c r="V1698" s="5" t="str">
        <f t="shared" si="951"/>
        <v>Dado para tabular:  tabela.gráfica  Deve ser formatado como (rdfs:Literal  or  xsd:string)</v>
      </c>
      <c r="W1698" s="5" t="s">
        <v>7019</v>
      </c>
      <c r="X1698" s="24" t="str">
        <f t="shared" si="921"/>
        <v>tabul.103</v>
      </c>
      <c r="Y1698" s="24" t="str">
        <f t="shared" si="916"/>
        <v>Ação tabular</v>
      </c>
      <c r="Z1698" s="47" t="s">
        <v>5060</v>
      </c>
      <c r="AA1698" s="25" t="str">
        <f t="shared" si="947"/>
        <v>null</v>
      </c>
      <c r="AB1698" s="26" t="s">
        <v>0</v>
      </c>
      <c r="AC1698" s="25" t="str">
        <f t="shared" si="948"/>
        <v>null</v>
      </c>
      <c r="AD1698" s="26" t="s">
        <v>0</v>
      </c>
      <c r="AE1698" s="25" t="str">
        <f t="shared" si="949"/>
        <v>null</v>
      </c>
      <c r="AF1698" s="26" t="s">
        <v>0</v>
      </c>
      <c r="AG1698" s="47" t="s">
        <v>3679</v>
      </c>
    </row>
    <row r="1699" spans="1:33" ht="6" customHeight="1" x14ac:dyDescent="0.4">
      <c r="A1699" s="4">
        <f>ROW()</f>
        <v>1699</v>
      </c>
      <c r="B1699" s="9" t="s">
        <v>27</v>
      </c>
      <c r="C1699" s="55" t="str">
        <f t="shared" ref="C1699" si="961">SUBSTITUTE(F1699,"d.","p.")</f>
        <v>p.tabular</v>
      </c>
      <c r="D1699" s="6" t="str">
        <f t="shared" ref="D1699" si="962">_xlfn.CONCAT("é.",G1699)</f>
        <v>é.tabela.orçamentária</v>
      </c>
      <c r="E1699" s="8" t="s">
        <v>28</v>
      </c>
      <c r="F1699" s="42" t="str">
        <f>F1698</f>
        <v>d.tabular</v>
      </c>
      <c r="G1699" s="17" t="s">
        <v>5083</v>
      </c>
      <c r="H1699" s="42" t="s">
        <v>2321</v>
      </c>
      <c r="I1699" s="16" t="str">
        <f t="shared" ref="I1699" si="963">J1699</f>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ref="U1699" si="964">_xlfn.CONCAT("Propriedade destinada a ",MID(C1699,FIND("p.",C1699,1)+2,100),": ",D1699)</f>
        <v>Propriedade destinada a tabular: é.tabela.orçamentária</v>
      </c>
      <c r="V1699" s="5" t="str">
        <f t="shared" ref="V1699" si="965">_xlfn.CONCAT("Dado para ",MID(F1699,FIND("d.",F1699,1)+2,100),":  ",G1699, "  Deve ser formatado como (",H1699, ")")</f>
        <v>Dado para tabular:  tabela.orçamentária  Deve ser formatado como (rdfs:Literal  or  xsd:string)</v>
      </c>
      <c r="W1699" s="5" t="s">
        <v>7020</v>
      </c>
      <c r="X1699" s="24" t="str">
        <f t="shared" si="921"/>
        <v>tabul.104</v>
      </c>
      <c r="Y1699" s="24" t="str">
        <f t="shared" si="916"/>
        <v>Ação tabular</v>
      </c>
      <c r="Z1699" s="47" t="s">
        <v>5062</v>
      </c>
      <c r="AA1699" s="25" t="str">
        <f t="shared" ref="AA1699" si="966">IF(AB1699="null", "null", "categoria.revit")</f>
        <v>null</v>
      </c>
      <c r="AB1699" s="26" t="s">
        <v>0</v>
      </c>
      <c r="AC1699" s="25" t="str">
        <f t="shared" ref="AC1699" si="967">IF(AD1699="null", "null", "classe.ifc")</f>
        <v>null</v>
      </c>
      <c r="AD1699" s="26" t="s">
        <v>0</v>
      </c>
      <c r="AE1699" s="25" t="str">
        <f t="shared" ref="AE1699" si="968">IF(AF1699="null", "null", "propiedade")</f>
        <v>null</v>
      </c>
      <c r="AF1699" s="26" t="s">
        <v>0</v>
      </c>
      <c r="AG1699" s="47" t="s">
        <v>3681</v>
      </c>
    </row>
    <row r="1700" spans="1:33" ht="6" customHeight="1" x14ac:dyDescent="0.4">
      <c r="A1700" s="4">
        <f>ROW()</f>
        <v>1700</v>
      </c>
      <c r="B1700" s="9" t="s">
        <v>27</v>
      </c>
      <c r="C1700" s="55" t="str">
        <f t="shared" si="942"/>
        <v>p.tabular</v>
      </c>
      <c r="D1700" s="6" t="str">
        <f t="shared" si="943"/>
        <v>é.tabela.quantitativa</v>
      </c>
      <c r="E1700" s="8" t="s">
        <v>28</v>
      </c>
      <c r="F1700" s="42" t="str">
        <f>F1698</f>
        <v>d.tabular</v>
      </c>
      <c r="G1700" s="17" t="s">
        <v>5084</v>
      </c>
      <c r="H1700" s="42" t="s">
        <v>2321</v>
      </c>
      <c r="I1700" s="16" t="str">
        <f t="shared" si="944"/>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45"/>
        <v>Propriedade destinada a tabular: é.tabela.quantitativa</v>
      </c>
      <c r="V1700" s="5" t="str">
        <f t="shared" si="951"/>
        <v>Dado para tabular:  tabela.quantitativa  Deve ser formatado como (rdfs:Literal  or  xsd:string)</v>
      </c>
      <c r="W1700" s="5" t="s">
        <v>7021</v>
      </c>
      <c r="X1700" s="24" t="str">
        <f t="shared" si="921"/>
        <v>tabul.105</v>
      </c>
      <c r="Y1700" s="24" t="str">
        <f t="shared" si="916"/>
        <v>Ação tabular</v>
      </c>
      <c r="Z1700" s="47" t="s">
        <v>5061</v>
      </c>
      <c r="AA1700" s="25" t="str">
        <f t="shared" si="947"/>
        <v>null</v>
      </c>
      <c r="AB1700" s="26" t="s">
        <v>0</v>
      </c>
      <c r="AC1700" s="25" t="str">
        <f t="shared" si="948"/>
        <v>null</v>
      </c>
      <c r="AD1700" s="26" t="s">
        <v>0</v>
      </c>
      <c r="AE1700" s="25" t="str">
        <f t="shared" si="949"/>
        <v>null</v>
      </c>
      <c r="AF1700" s="26" t="s">
        <v>0</v>
      </c>
      <c r="AG1700" s="47" t="s">
        <v>3680</v>
      </c>
    </row>
    <row r="1701" spans="1:33" ht="6" customHeight="1" x14ac:dyDescent="0.4">
      <c r="A1701" s="4">
        <f>ROW()</f>
        <v>1701</v>
      </c>
      <c r="B1701" s="9" t="s">
        <v>27</v>
      </c>
      <c r="C1701" s="54" t="str">
        <f t="shared" si="942"/>
        <v>p.taxonomizar</v>
      </c>
      <c r="D1701" s="6" t="str">
        <f t="shared" si="943"/>
        <v>é.aplicado.em</v>
      </c>
      <c r="E1701" s="8" t="s">
        <v>28</v>
      </c>
      <c r="F1701" s="50" t="s">
        <v>4065</v>
      </c>
      <c r="G1701" s="46" t="s">
        <v>2476</v>
      </c>
      <c r="H1701" s="41" t="s">
        <v>2321</v>
      </c>
      <c r="I1701" s="16" t="str">
        <f t="shared" si="94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45"/>
        <v>Propriedade destinada a taxonomizar: é.aplicado.em</v>
      </c>
      <c r="V1701" s="5" t="str">
        <f t="shared" si="951"/>
        <v>Dado para taxonomizar:  aplicado.em  Deve ser formatado como (rdfs:Literal  or  xsd:string)</v>
      </c>
      <c r="W1701" s="5" t="s">
        <v>7022</v>
      </c>
      <c r="X1701" s="24" t="str">
        <f t="shared" si="921"/>
        <v>taxon.100</v>
      </c>
      <c r="Y1701" s="24" t="str">
        <f t="shared" si="916"/>
        <v>Ação taxonomizar</v>
      </c>
      <c r="Z1701" s="47" t="s">
        <v>2775</v>
      </c>
      <c r="AA1701" s="25" t="str">
        <f t="shared" si="947"/>
        <v>null</v>
      </c>
      <c r="AB1701" s="26" t="s">
        <v>0</v>
      </c>
      <c r="AC1701" s="25" t="str">
        <f t="shared" si="948"/>
        <v>null</v>
      </c>
      <c r="AD1701" s="26" t="s">
        <v>0</v>
      </c>
      <c r="AE1701" s="25" t="str">
        <f t="shared" si="949"/>
        <v>null</v>
      </c>
      <c r="AF1701" s="26" t="s">
        <v>0</v>
      </c>
      <c r="AG1701" s="47" t="s">
        <v>3707</v>
      </c>
    </row>
    <row r="1702" spans="1:33" ht="6" customHeight="1" x14ac:dyDescent="0.4">
      <c r="A1702" s="4">
        <f>ROW()</f>
        <v>1702</v>
      </c>
      <c r="B1702" s="9" t="s">
        <v>27</v>
      </c>
      <c r="C1702" s="55" t="str">
        <f t="shared" ref="C1702:C1733" si="969">SUBSTITUTE(F1702,"d.","p.")</f>
        <v>p.taxonomizar</v>
      </c>
      <c r="D1702" s="6" t="str">
        <f t="shared" ref="D1702:D1733" si="970">_xlfn.CONCAT("é.",G1702)</f>
        <v>é.ação.projetual</v>
      </c>
      <c r="E1702" s="8" t="s">
        <v>28</v>
      </c>
      <c r="F1702" s="42" t="str">
        <f t="shared" ref="F1702:F1742" si="971">F1701</f>
        <v>d.taxonomizar</v>
      </c>
      <c r="G1702" s="46" t="s">
        <v>2536</v>
      </c>
      <c r="H1702" s="41" t="s">
        <v>2321</v>
      </c>
      <c r="I1702" s="16" t="str">
        <f t="shared" ref="I1702:I1733" si="972">J1702</f>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ref="U1702:U1733" si="973">_xlfn.CONCAT("Propriedade destinada a ",MID(C1702,FIND("p.",C1702,1)+2,100),": ",D1702)</f>
        <v>Propriedade destinada a taxonomizar: é.ação.projetual</v>
      </c>
      <c r="V1702" s="5" t="str">
        <f t="shared" ref="V1702:V1733" si="974">_xlfn.CONCAT("Dado para ",MID(F1702,FIND("d.",F1702,1)+2,100),":  ",G1702, "  Deve ser formatado como (",H1702, ")")</f>
        <v>Dado para taxonomizar:  ação.projetual  Deve ser formatado como (rdfs:Literal  or  xsd:string)</v>
      </c>
      <c r="W1702" s="5" t="s">
        <v>7023</v>
      </c>
      <c r="X1702" s="24" t="str">
        <f t="shared" si="921"/>
        <v>taxon.101</v>
      </c>
      <c r="Y1702" s="24" t="str">
        <f t="shared" si="916"/>
        <v>Ação taxonomizar</v>
      </c>
      <c r="Z1702" s="47" t="s">
        <v>2777</v>
      </c>
      <c r="AA1702" s="25" t="str">
        <f t="shared" ref="AA1702:AA1733" si="975">IF(AB1702="null", "null", "categoria.revit")</f>
        <v>null</v>
      </c>
      <c r="AB1702" s="26" t="s">
        <v>0</v>
      </c>
      <c r="AC1702" s="25" t="str">
        <f t="shared" ref="AC1702:AC1733" si="976">IF(AD1702="null", "null", "classe.ifc")</f>
        <v>null</v>
      </c>
      <c r="AD1702" s="26" t="s">
        <v>0</v>
      </c>
      <c r="AE1702" s="25" t="str">
        <f t="shared" ref="AE1702:AE1733" si="977">IF(AF1702="null", "null", "propiedade")</f>
        <v>null</v>
      </c>
      <c r="AF1702" s="26" t="s">
        <v>0</v>
      </c>
      <c r="AG1702" s="47" t="s">
        <v>3709</v>
      </c>
    </row>
    <row r="1703" spans="1:33" ht="6" customHeight="1" x14ac:dyDescent="0.4">
      <c r="A1703" s="4">
        <f>ROW()</f>
        <v>1703</v>
      </c>
      <c r="B1703" s="9" t="s">
        <v>27</v>
      </c>
      <c r="C1703" s="55" t="str">
        <f t="shared" si="969"/>
        <v>p.taxonomizar</v>
      </c>
      <c r="D1703" s="6" t="str">
        <f t="shared" si="970"/>
        <v>é.alinhado.com</v>
      </c>
      <c r="E1703" s="8" t="s">
        <v>28</v>
      </c>
      <c r="F1703" s="42" t="str">
        <f t="shared" si="971"/>
        <v>d.taxonomizar</v>
      </c>
      <c r="G1703" s="46" t="s">
        <v>2513</v>
      </c>
      <c r="H1703" s="41" t="s">
        <v>2321</v>
      </c>
      <c r="I1703" s="16" t="str">
        <f t="shared" si="972"/>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73"/>
        <v>Propriedade destinada a taxonomizar: é.alinhado.com</v>
      </c>
      <c r="V1703" s="5" t="str">
        <f t="shared" si="974"/>
        <v>Dado para taxonomizar:  alinhado.com  Deve ser formatado como (rdfs:Literal  or  xsd:string)</v>
      </c>
      <c r="W1703" s="5" t="s">
        <v>7024</v>
      </c>
      <c r="X1703" s="24" t="str">
        <f t="shared" si="921"/>
        <v>taxon.102</v>
      </c>
      <c r="Y1703" s="24" t="str">
        <f t="shared" si="916"/>
        <v>Ação taxonomizar</v>
      </c>
      <c r="Z1703" s="47" t="s">
        <v>5065</v>
      </c>
      <c r="AA1703" s="25" t="str">
        <f t="shared" si="975"/>
        <v>null</v>
      </c>
      <c r="AB1703" s="26" t="s">
        <v>0</v>
      </c>
      <c r="AC1703" s="25" t="str">
        <f t="shared" si="976"/>
        <v>null</v>
      </c>
      <c r="AD1703" s="26" t="s">
        <v>0</v>
      </c>
      <c r="AE1703" s="25" t="str">
        <f t="shared" si="977"/>
        <v>null</v>
      </c>
      <c r="AF1703" s="26" t="s">
        <v>0</v>
      </c>
      <c r="AG1703" s="47" t="s">
        <v>3710</v>
      </c>
    </row>
    <row r="1704" spans="1:33" ht="6" customHeight="1" x14ac:dyDescent="0.4">
      <c r="A1704" s="4">
        <f>ROW()</f>
        <v>1704</v>
      </c>
      <c r="B1704" s="9" t="s">
        <v>27</v>
      </c>
      <c r="C1704" s="55" t="str">
        <f t="shared" si="969"/>
        <v>p.taxonomizar</v>
      </c>
      <c r="D1704" s="6" t="str">
        <f t="shared" si="970"/>
        <v>é.ameaça</v>
      </c>
      <c r="E1704" s="8" t="s">
        <v>28</v>
      </c>
      <c r="F1704" s="42" t="str">
        <f t="shared" si="971"/>
        <v>d.taxonomizar</v>
      </c>
      <c r="G1704" s="46" t="s">
        <v>2500</v>
      </c>
      <c r="H1704" s="41" t="s">
        <v>2321</v>
      </c>
      <c r="I1704" s="16" t="str">
        <f t="shared" si="972"/>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73"/>
        <v>Propriedade destinada a taxonomizar: é.ameaça</v>
      </c>
      <c r="V1704" s="5" t="str">
        <f t="shared" si="974"/>
        <v>Dado para taxonomizar:  ameaça  Deve ser formatado como (rdfs:Literal  or  xsd:string)</v>
      </c>
      <c r="W1704" s="5" t="s">
        <v>7025</v>
      </c>
      <c r="X1704" s="24" t="str">
        <f t="shared" si="921"/>
        <v>taxon.103</v>
      </c>
      <c r="Y1704" s="24" t="str">
        <f t="shared" si="916"/>
        <v>Ação taxonomizar</v>
      </c>
      <c r="Z1704" s="47" t="s">
        <v>5064</v>
      </c>
      <c r="AA1704" s="25" t="str">
        <f t="shared" si="975"/>
        <v>null</v>
      </c>
      <c r="AB1704" s="26" t="s">
        <v>0</v>
      </c>
      <c r="AC1704" s="25" t="str">
        <f t="shared" si="976"/>
        <v>null</v>
      </c>
      <c r="AD1704" s="26" t="s">
        <v>0</v>
      </c>
      <c r="AE1704" s="25" t="str">
        <f t="shared" si="977"/>
        <v>null</v>
      </c>
      <c r="AF1704" s="26" t="s">
        <v>0</v>
      </c>
      <c r="AG1704" s="47" t="s">
        <v>3711</v>
      </c>
    </row>
    <row r="1705" spans="1:33" ht="6" customHeight="1" x14ac:dyDescent="0.4">
      <c r="A1705" s="4">
        <f>ROW()</f>
        <v>1705</v>
      </c>
      <c r="B1705" s="9" t="s">
        <v>27</v>
      </c>
      <c r="C1705" s="55" t="str">
        <f t="shared" si="969"/>
        <v>p.taxonomizar</v>
      </c>
      <c r="D1705" s="6" t="str">
        <f t="shared" si="970"/>
        <v>é.ameaça.potencial.em</v>
      </c>
      <c r="E1705" s="8" t="s">
        <v>28</v>
      </c>
      <c r="F1705" s="42" t="str">
        <f t="shared" si="971"/>
        <v>d.taxonomizar</v>
      </c>
      <c r="G1705" s="46" t="s">
        <v>2512</v>
      </c>
      <c r="H1705" s="41" t="s">
        <v>2321</v>
      </c>
      <c r="I1705" s="16" t="str">
        <f t="shared" si="972"/>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73"/>
        <v>Propriedade destinada a taxonomizar: é.ameaça.potencial.em</v>
      </c>
      <c r="V1705" s="5" t="str">
        <f t="shared" si="974"/>
        <v>Dado para taxonomizar:  ameaça.potencial.em  Deve ser formatado como (rdfs:Literal  or  xsd:string)</v>
      </c>
      <c r="W1705" s="5" t="s">
        <v>7026</v>
      </c>
      <c r="X1705" s="24" t="str">
        <f t="shared" si="921"/>
        <v>taxon.104</v>
      </c>
      <c r="Y1705" s="24" t="str">
        <f t="shared" si="916"/>
        <v>Ação taxonomizar</v>
      </c>
      <c r="Z1705" s="47" t="s">
        <v>5063</v>
      </c>
      <c r="AA1705" s="25" t="str">
        <f t="shared" si="975"/>
        <v>null</v>
      </c>
      <c r="AB1705" s="26" t="s">
        <v>0</v>
      </c>
      <c r="AC1705" s="25" t="str">
        <f t="shared" si="976"/>
        <v>null</v>
      </c>
      <c r="AD1705" s="26" t="s">
        <v>0</v>
      </c>
      <c r="AE1705" s="25" t="str">
        <f t="shared" si="977"/>
        <v>null</v>
      </c>
      <c r="AF1705" s="26" t="s">
        <v>0</v>
      </c>
      <c r="AG1705" s="47" t="s">
        <v>5269</v>
      </c>
    </row>
    <row r="1706" spans="1:33" ht="6" customHeight="1" x14ac:dyDescent="0.4">
      <c r="A1706" s="4">
        <f>ROW()</f>
        <v>1706</v>
      </c>
      <c r="B1706" s="9" t="s">
        <v>27</v>
      </c>
      <c r="C1706" s="55" t="str">
        <f t="shared" si="969"/>
        <v>p.taxonomizar</v>
      </c>
      <c r="D1706" s="6" t="str">
        <f t="shared" si="970"/>
        <v>é.aplicada.em</v>
      </c>
      <c r="E1706" s="8" t="s">
        <v>28</v>
      </c>
      <c r="F1706" s="42" t="str">
        <f t="shared" si="971"/>
        <v>d.taxonomizar</v>
      </c>
      <c r="G1706" s="46" t="s">
        <v>2731</v>
      </c>
      <c r="H1706" s="41" t="s">
        <v>2321</v>
      </c>
      <c r="I1706" s="16" t="str">
        <f t="shared" si="972"/>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73"/>
        <v>Propriedade destinada a taxonomizar: é.aplicada.em</v>
      </c>
      <c r="V1706" s="5" t="str">
        <f t="shared" si="974"/>
        <v>Dado para taxonomizar:  aplicada.em  Deve ser formatado como (rdfs:Literal  or  xsd:string)</v>
      </c>
      <c r="W1706" s="5" t="s">
        <v>7027</v>
      </c>
      <c r="X1706" s="24" t="str">
        <f t="shared" si="921"/>
        <v>taxon.105</v>
      </c>
      <c r="Y1706" s="24" t="str">
        <f t="shared" si="916"/>
        <v>Ação taxonomizar</v>
      </c>
      <c r="Z1706" s="47" t="s">
        <v>2776</v>
      </c>
      <c r="AA1706" s="25" t="str">
        <f t="shared" si="975"/>
        <v>null</v>
      </c>
      <c r="AB1706" s="26" t="s">
        <v>0</v>
      </c>
      <c r="AC1706" s="25" t="str">
        <f t="shared" si="976"/>
        <v>null</v>
      </c>
      <c r="AD1706" s="26" t="s">
        <v>0</v>
      </c>
      <c r="AE1706" s="25" t="str">
        <f t="shared" si="977"/>
        <v>null</v>
      </c>
      <c r="AF1706" s="26" t="s">
        <v>0</v>
      </c>
      <c r="AG1706" s="47" t="s">
        <v>3708</v>
      </c>
    </row>
    <row r="1707" spans="1:33" ht="6" customHeight="1" x14ac:dyDescent="0.4">
      <c r="A1707" s="4">
        <f>ROW()</f>
        <v>1707</v>
      </c>
      <c r="B1707" s="9" t="s">
        <v>27</v>
      </c>
      <c r="C1707" s="55" t="str">
        <f t="shared" si="969"/>
        <v>p.taxonomizar</v>
      </c>
      <c r="D1707" s="6" t="str">
        <f t="shared" si="970"/>
        <v>é.apoiador</v>
      </c>
      <c r="E1707" s="8" t="s">
        <v>28</v>
      </c>
      <c r="F1707" s="42" t="str">
        <f t="shared" si="971"/>
        <v>d.taxonomizar</v>
      </c>
      <c r="G1707" s="46" t="s">
        <v>2527</v>
      </c>
      <c r="H1707" s="41" t="s">
        <v>2321</v>
      </c>
      <c r="I1707" s="16" t="str">
        <f t="shared" si="972"/>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73"/>
        <v>Propriedade destinada a taxonomizar: é.apoiador</v>
      </c>
      <c r="V1707" s="5" t="str">
        <f t="shared" si="974"/>
        <v>Dado para taxonomizar:  apoiador  Deve ser formatado como (rdfs:Literal  or  xsd:string)</v>
      </c>
      <c r="W1707" s="5" t="s">
        <v>7028</v>
      </c>
      <c r="X1707" s="24" t="str">
        <f t="shared" si="921"/>
        <v>taxon.106</v>
      </c>
      <c r="Y1707" s="24" t="str">
        <f t="shared" si="916"/>
        <v>Ação taxonomizar</v>
      </c>
      <c r="Z1707" s="47" t="s">
        <v>2778</v>
      </c>
      <c r="AA1707" s="25" t="str">
        <f t="shared" si="975"/>
        <v>null</v>
      </c>
      <c r="AB1707" s="26" t="s">
        <v>0</v>
      </c>
      <c r="AC1707" s="25" t="str">
        <f t="shared" si="976"/>
        <v>null</v>
      </c>
      <c r="AD1707" s="26" t="s">
        <v>0</v>
      </c>
      <c r="AE1707" s="25" t="str">
        <f t="shared" si="977"/>
        <v>null</v>
      </c>
      <c r="AF1707" s="26" t="s">
        <v>0</v>
      </c>
      <c r="AG1707" s="47" t="s">
        <v>5200</v>
      </c>
    </row>
    <row r="1708" spans="1:33" ht="6" customHeight="1" x14ac:dyDescent="0.4">
      <c r="A1708" s="4">
        <f>ROW()</f>
        <v>1708</v>
      </c>
      <c r="B1708" s="9" t="s">
        <v>27</v>
      </c>
      <c r="C1708" s="55" t="str">
        <f t="shared" si="969"/>
        <v>p.taxonomizar</v>
      </c>
      <c r="D1708" s="6" t="str">
        <f t="shared" si="970"/>
        <v>é.apoiador.técnico</v>
      </c>
      <c r="E1708" s="8" t="s">
        <v>28</v>
      </c>
      <c r="F1708" s="42" t="str">
        <f t="shared" si="971"/>
        <v>d.taxonomizar</v>
      </c>
      <c r="G1708" s="46" t="s">
        <v>2528</v>
      </c>
      <c r="H1708" s="41" t="s">
        <v>2321</v>
      </c>
      <c r="I1708" s="16" t="str">
        <f t="shared" si="972"/>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73"/>
        <v>Propriedade destinada a taxonomizar: é.apoiador.técnico</v>
      </c>
      <c r="V1708" s="5" t="str">
        <f t="shared" si="974"/>
        <v>Dado para taxonomizar:  apoiador.técnico  Deve ser formatado como (rdfs:Literal  or  xsd:string)</v>
      </c>
      <c r="W1708" s="5" t="s">
        <v>7029</v>
      </c>
      <c r="X1708" s="24" t="str">
        <f t="shared" si="921"/>
        <v>taxon.107</v>
      </c>
      <c r="Y1708" s="24" t="str">
        <f t="shared" si="916"/>
        <v>Ação taxonomizar</v>
      </c>
      <c r="Z1708" s="47" t="s">
        <v>2779</v>
      </c>
      <c r="AA1708" s="25" t="str">
        <f t="shared" si="975"/>
        <v>null</v>
      </c>
      <c r="AB1708" s="26" t="s">
        <v>0</v>
      </c>
      <c r="AC1708" s="25" t="str">
        <f t="shared" si="976"/>
        <v>null</v>
      </c>
      <c r="AD1708" s="26" t="s">
        <v>0</v>
      </c>
      <c r="AE1708" s="25" t="str">
        <f t="shared" si="977"/>
        <v>null</v>
      </c>
      <c r="AF1708" s="26" t="s">
        <v>0</v>
      </c>
      <c r="AG1708" s="47" t="s">
        <v>5201</v>
      </c>
    </row>
    <row r="1709" spans="1:33" ht="6" customHeight="1" x14ac:dyDescent="0.4">
      <c r="A1709" s="4">
        <f>ROW()</f>
        <v>1709</v>
      </c>
      <c r="B1709" s="9" t="s">
        <v>27</v>
      </c>
      <c r="C1709" s="55" t="str">
        <f t="shared" si="969"/>
        <v>p.taxonomizar</v>
      </c>
      <c r="D1709" s="6" t="str">
        <f t="shared" si="970"/>
        <v>é.área.temática</v>
      </c>
      <c r="E1709" s="8" t="s">
        <v>28</v>
      </c>
      <c r="F1709" s="42" t="str">
        <f t="shared" si="971"/>
        <v>d.taxonomizar</v>
      </c>
      <c r="G1709" s="46" t="s">
        <v>2493</v>
      </c>
      <c r="H1709" s="41" t="s">
        <v>2321</v>
      </c>
      <c r="I1709" s="16" t="str">
        <f t="shared" si="972"/>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73"/>
        <v>Propriedade destinada a taxonomizar: é.área.temática</v>
      </c>
      <c r="V1709" s="5" t="str">
        <f t="shared" si="974"/>
        <v>Dado para taxonomizar:  área.temática  Deve ser formatado como (rdfs:Literal  or  xsd:string)</v>
      </c>
      <c r="W1709" s="5" t="s">
        <v>7030</v>
      </c>
      <c r="X1709" s="24" t="str">
        <f t="shared" si="921"/>
        <v>taxon.108</v>
      </c>
      <c r="Y1709" s="24" t="str">
        <f t="shared" si="916"/>
        <v>Ação taxonomizar</v>
      </c>
      <c r="Z1709" s="47" t="s">
        <v>2780</v>
      </c>
      <c r="AA1709" s="25" t="str">
        <f t="shared" si="975"/>
        <v>null</v>
      </c>
      <c r="AB1709" s="26" t="s">
        <v>0</v>
      </c>
      <c r="AC1709" s="25" t="str">
        <f t="shared" si="976"/>
        <v>null</v>
      </c>
      <c r="AD1709" s="26" t="s">
        <v>0</v>
      </c>
      <c r="AE1709" s="25" t="str">
        <f t="shared" si="977"/>
        <v>null</v>
      </c>
      <c r="AF1709" s="26" t="s">
        <v>0</v>
      </c>
      <c r="AG1709" s="47" t="s">
        <v>3712</v>
      </c>
    </row>
    <row r="1710" spans="1:33" ht="6" customHeight="1" x14ac:dyDescent="0.4">
      <c r="A1710" s="4">
        <f>ROW()</f>
        <v>1710</v>
      </c>
      <c r="B1710" s="9" t="s">
        <v>27</v>
      </c>
      <c r="C1710" s="55" t="str">
        <f t="shared" si="969"/>
        <v>p.taxonomizar</v>
      </c>
      <c r="D1710" s="6" t="str">
        <f t="shared" si="970"/>
        <v>é.atividade</v>
      </c>
      <c r="E1710" s="8" t="s">
        <v>28</v>
      </c>
      <c r="F1710" s="42" t="str">
        <f t="shared" si="971"/>
        <v>d.taxonomizar</v>
      </c>
      <c r="G1710" s="46" t="s">
        <v>2535</v>
      </c>
      <c r="H1710" s="41" t="s">
        <v>2321</v>
      </c>
      <c r="I1710" s="16" t="str">
        <f t="shared" si="97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73"/>
        <v>Propriedade destinada a taxonomizar: é.atividade</v>
      </c>
      <c r="V1710" s="5" t="str">
        <f t="shared" si="974"/>
        <v>Dado para taxonomizar:  atividade  Deve ser formatado como (rdfs:Literal  or  xsd:string)</v>
      </c>
      <c r="W1710" s="5" t="s">
        <v>7031</v>
      </c>
      <c r="X1710" s="24" t="str">
        <f t="shared" si="921"/>
        <v>taxon.109</v>
      </c>
      <c r="Y1710" s="24" t="str">
        <f t="shared" si="916"/>
        <v>Ação taxonomizar</v>
      </c>
      <c r="Z1710" s="47" t="s">
        <v>2781</v>
      </c>
      <c r="AA1710" s="25" t="str">
        <f t="shared" si="975"/>
        <v>null</v>
      </c>
      <c r="AB1710" s="26" t="s">
        <v>0</v>
      </c>
      <c r="AC1710" s="25" t="str">
        <f t="shared" si="976"/>
        <v>null</v>
      </c>
      <c r="AD1710" s="26" t="s">
        <v>0</v>
      </c>
      <c r="AE1710" s="25" t="str">
        <f t="shared" si="977"/>
        <v>null</v>
      </c>
      <c r="AF1710" s="26" t="s">
        <v>0</v>
      </c>
      <c r="AG1710" s="47" t="s">
        <v>3713</v>
      </c>
    </row>
    <row r="1711" spans="1:33" ht="6" customHeight="1" x14ac:dyDescent="0.4">
      <c r="A1711" s="4">
        <f>ROW()</f>
        <v>1711</v>
      </c>
      <c r="B1711" s="9" t="s">
        <v>27</v>
      </c>
      <c r="C1711" s="55" t="str">
        <f t="shared" si="969"/>
        <v>p.taxonomizar</v>
      </c>
      <c r="D1711" s="6" t="str">
        <f t="shared" si="970"/>
        <v>é.atividade.elegível</v>
      </c>
      <c r="E1711" s="8" t="s">
        <v>28</v>
      </c>
      <c r="F1711" s="42" t="str">
        <f t="shared" si="971"/>
        <v>d.taxonomizar</v>
      </c>
      <c r="G1711" s="46" t="s">
        <v>2477</v>
      </c>
      <c r="H1711" s="41" t="s">
        <v>2321</v>
      </c>
      <c r="I1711" s="16" t="str">
        <f t="shared" si="97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73"/>
        <v>Propriedade destinada a taxonomizar: é.atividade.elegível</v>
      </c>
      <c r="V1711" s="5" t="str">
        <f t="shared" si="974"/>
        <v>Dado para taxonomizar:  atividade.elegível  Deve ser formatado como (rdfs:Literal  or  xsd:string)</v>
      </c>
      <c r="W1711" s="5" t="s">
        <v>7032</v>
      </c>
      <c r="X1711" s="24" t="str">
        <f t="shared" si="921"/>
        <v>taxon.110</v>
      </c>
      <c r="Y1711" s="24" t="str">
        <f t="shared" si="916"/>
        <v>Ação taxonomizar</v>
      </c>
      <c r="Z1711" s="47" t="s">
        <v>2782</v>
      </c>
      <c r="AA1711" s="25" t="str">
        <f t="shared" si="975"/>
        <v>null</v>
      </c>
      <c r="AB1711" s="26" t="s">
        <v>0</v>
      </c>
      <c r="AC1711" s="25" t="str">
        <f t="shared" si="976"/>
        <v>null</v>
      </c>
      <c r="AD1711" s="26" t="s">
        <v>0</v>
      </c>
      <c r="AE1711" s="25" t="str">
        <f t="shared" si="977"/>
        <v>null</v>
      </c>
      <c r="AF1711" s="26" t="s">
        <v>0</v>
      </c>
      <c r="AG1711" s="47" t="s">
        <v>3714</v>
      </c>
    </row>
    <row r="1712" spans="1:33" ht="6" customHeight="1" x14ac:dyDescent="0.4">
      <c r="A1712" s="4">
        <f>ROW()</f>
        <v>1712</v>
      </c>
      <c r="B1712" s="9" t="s">
        <v>27</v>
      </c>
      <c r="C1712" s="55" t="str">
        <f t="shared" si="969"/>
        <v>p.taxonomizar</v>
      </c>
      <c r="D1712" s="6" t="str">
        <f t="shared" si="970"/>
        <v>é.benéfica.para.ameaça</v>
      </c>
      <c r="E1712" s="8" t="s">
        <v>28</v>
      </c>
      <c r="F1712" s="42" t="str">
        <f t="shared" si="971"/>
        <v>d.taxonomizar</v>
      </c>
      <c r="G1712" s="46" t="s">
        <v>2556</v>
      </c>
      <c r="H1712" s="41" t="s">
        <v>2321</v>
      </c>
      <c r="I1712" s="16" t="str">
        <f t="shared" si="97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73"/>
        <v>Propriedade destinada a taxonomizar: é.benéfica.para.ameaça</v>
      </c>
      <c r="V1712" s="5" t="str">
        <f t="shared" si="974"/>
        <v>Dado para taxonomizar:  benéfica.para.ameaça  Deve ser formatado como (rdfs:Literal  or  xsd:string)</v>
      </c>
      <c r="W1712" s="5" t="s">
        <v>7033</v>
      </c>
      <c r="X1712" s="24" t="str">
        <f t="shared" si="921"/>
        <v>taxon.111</v>
      </c>
      <c r="Y1712" s="24" t="str">
        <f t="shared" si="916"/>
        <v>Ação taxonomizar</v>
      </c>
      <c r="Z1712" s="47" t="s">
        <v>2783</v>
      </c>
      <c r="AA1712" s="25" t="str">
        <f t="shared" si="975"/>
        <v>null</v>
      </c>
      <c r="AB1712" s="26" t="s">
        <v>0</v>
      </c>
      <c r="AC1712" s="25" t="str">
        <f t="shared" si="976"/>
        <v>null</v>
      </c>
      <c r="AD1712" s="26" t="s">
        <v>0</v>
      </c>
      <c r="AE1712" s="25" t="str">
        <f t="shared" si="977"/>
        <v>null</v>
      </c>
      <c r="AF1712" s="26" t="s">
        <v>0</v>
      </c>
      <c r="AG1712" s="47" t="s">
        <v>3715</v>
      </c>
    </row>
    <row r="1713" spans="1:33" ht="6" customHeight="1" x14ac:dyDescent="0.4">
      <c r="A1713" s="4">
        <f>ROW()</f>
        <v>1713</v>
      </c>
      <c r="B1713" s="9" t="s">
        <v>27</v>
      </c>
      <c r="C1713" s="55" t="str">
        <f t="shared" si="969"/>
        <v>p.taxonomizar</v>
      </c>
      <c r="D1713" s="6" t="str">
        <f t="shared" si="970"/>
        <v>é.capex.alinhado</v>
      </c>
      <c r="E1713" s="8" t="s">
        <v>28</v>
      </c>
      <c r="F1713" s="42" t="str">
        <f t="shared" si="971"/>
        <v>d.taxonomizar</v>
      </c>
      <c r="G1713" s="18" t="s">
        <v>2546</v>
      </c>
      <c r="H1713" s="42" t="s">
        <v>36</v>
      </c>
      <c r="I1713" s="16" t="str">
        <f t="shared" si="972"/>
        <v>null</v>
      </c>
      <c r="J1713" s="13" t="s">
        <v>0</v>
      </c>
      <c r="K1713" s="13" t="s">
        <v>0</v>
      </c>
      <c r="L1713" s="13" t="s">
        <v>0</v>
      </c>
      <c r="M1713" s="13" t="s">
        <v>0</v>
      </c>
      <c r="N1713" s="15" t="s">
        <v>0</v>
      </c>
      <c r="O1713" s="13" t="s">
        <v>0</v>
      </c>
      <c r="P1713" s="13" t="s">
        <v>0</v>
      </c>
      <c r="Q1713" s="13" t="s">
        <v>2553</v>
      </c>
      <c r="R1713" s="15" t="s">
        <v>0</v>
      </c>
      <c r="S1713" s="10" t="s">
        <v>1</v>
      </c>
      <c r="T1713" s="10" t="s">
        <v>32</v>
      </c>
      <c r="U1713" s="5" t="str">
        <f t="shared" si="973"/>
        <v>Propriedade destinada a taxonomizar: é.capex.alinhado</v>
      </c>
      <c r="V1713" s="5" t="str">
        <f t="shared" si="974"/>
        <v>Dado para taxonomizar:  capex.alinhado  Deve ser formatado como (xsd:double)</v>
      </c>
      <c r="W1713" s="5" t="s">
        <v>7034</v>
      </c>
      <c r="X1713" s="24" t="str">
        <f t="shared" si="921"/>
        <v>taxon.112</v>
      </c>
      <c r="Y1713" s="24" t="str">
        <f t="shared" si="916"/>
        <v>Ação taxonomizar</v>
      </c>
      <c r="Z1713" s="47" t="s">
        <v>2784</v>
      </c>
      <c r="AA1713" s="25" t="str">
        <f t="shared" si="975"/>
        <v>null</v>
      </c>
      <c r="AB1713" s="26" t="s">
        <v>0</v>
      </c>
      <c r="AC1713" s="25" t="str">
        <f t="shared" si="976"/>
        <v>null</v>
      </c>
      <c r="AD1713" s="26" t="s">
        <v>0</v>
      </c>
      <c r="AE1713" s="25" t="str">
        <f t="shared" si="977"/>
        <v>null</v>
      </c>
      <c r="AF1713" s="26" t="s">
        <v>0</v>
      </c>
      <c r="AG1713" s="47" t="s">
        <v>3716</v>
      </c>
    </row>
    <row r="1714" spans="1:33" ht="6" customHeight="1" x14ac:dyDescent="0.4">
      <c r="A1714" s="4">
        <f>ROW()</f>
        <v>1714</v>
      </c>
      <c r="B1714" s="9" t="s">
        <v>27</v>
      </c>
      <c r="C1714" s="55" t="str">
        <f t="shared" si="969"/>
        <v>p.taxonomizar</v>
      </c>
      <c r="D1714" s="6" t="str">
        <f t="shared" si="970"/>
        <v>é.capex.percentual</v>
      </c>
      <c r="E1714" s="8" t="s">
        <v>28</v>
      </c>
      <c r="F1714" s="42" t="str">
        <f t="shared" si="971"/>
        <v>d.taxonomizar</v>
      </c>
      <c r="G1714" s="18" t="s">
        <v>2540</v>
      </c>
      <c r="H1714" s="42" t="s">
        <v>36</v>
      </c>
      <c r="I1714" s="16" t="str">
        <f t="shared" si="972"/>
        <v>null</v>
      </c>
      <c r="J1714" s="13" t="s">
        <v>0</v>
      </c>
      <c r="K1714" s="13" t="s">
        <v>0</v>
      </c>
      <c r="L1714" s="13" t="s">
        <v>0</v>
      </c>
      <c r="M1714" s="13" t="s">
        <v>0</v>
      </c>
      <c r="N1714" s="15" t="s">
        <v>0</v>
      </c>
      <c r="O1714" s="13" t="s">
        <v>0</v>
      </c>
      <c r="P1714" s="13" t="s">
        <v>0</v>
      </c>
      <c r="Q1714" s="13" t="s">
        <v>2545</v>
      </c>
      <c r="R1714" s="15" t="s">
        <v>0</v>
      </c>
      <c r="S1714" s="10" t="s">
        <v>1</v>
      </c>
      <c r="T1714" s="10" t="s">
        <v>32</v>
      </c>
      <c r="U1714" s="5" t="str">
        <f t="shared" si="973"/>
        <v>Propriedade destinada a taxonomizar: é.capex.percentual</v>
      </c>
      <c r="V1714" s="5" t="str">
        <f t="shared" si="974"/>
        <v>Dado para taxonomizar:  capex.percentual  Deve ser formatado como (xsd:double)</v>
      </c>
      <c r="W1714" s="5" t="s">
        <v>7035</v>
      </c>
      <c r="X1714" s="24" t="str">
        <f t="shared" si="921"/>
        <v>taxon.113</v>
      </c>
      <c r="Y1714" s="24" t="str">
        <f t="shared" si="916"/>
        <v>Ação taxonomizar</v>
      </c>
      <c r="Z1714" s="47" t="s">
        <v>2785</v>
      </c>
      <c r="AA1714" s="25" t="str">
        <f t="shared" si="975"/>
        <v>null</v>
      </c>
      <c r="AB1714" s="26" t="s">
        <v>0</v>
      </c>
      <c r="AC1714" s="25" t="str">
        <f t="shared" si="976"/>
        <v>null</v>
      </c>
      <c r="AD1714" s="26" t="s">
        <v>0</v>
      </c>
      <c r="AE1714" s="25" t="str">
        <f t="shared" si="977"/>
        <v>null</v>
      </c>
      <c r="AF1714" s="26" t="s">
        <v>0</v>
      </c>
      <c r="AG1714" s="47" t="s">
        <v>3717</v>
      </c>
    </row>
    <row r="1715" spans="1:33" ht="6" customHeight="1" x14ac:dyDescent="0.4">
      <c r="A1715" s="4">
        <f>ROW()</f>
        <v>1715</v>
      </c>
      <c r="B1715" s="9" t="s">
        <v>27</v>
      </c>
      <c r="C1715" s="55" t="str">
        <f t="shared" si="969"/>
        <v>p.taxonomizar</v>
      </c>
      <c r="D1715" s="6" t="str">
        <f t="shared" si="970"/>
        <v>é.capex.semi.alinhado</v>
      </c>
      <c r="E1715" s="8" t="s">
        <v>28</v>
      </c>
      <c r="F1715" s="42" t="str">
        <f t="shared" si="971"/>
        <v>d.taxonomizar</v>
      </c>
      <c r="G1715" s="18" t="s">
        <v>2547</v>
      </c>
      <c r="H1715" s="42" t="s">
        <v>36</v>
      </c>
      <c r="I1715" s="16" t="str">
        <f t="shared" si="972"/>
        <v>null</v>
      </c>
      <c r="J1715" s="13" t="s">
        <v>0</v>
      </c>
      <c r="K1715" s="13" t="s">
        <v>0</v>
      </c>
      <c r="L1715" s="13" t="s">
        <v>0</v>
      </c>
      <c r="M1715" s="13" t="s">
        <v>0</v>
      </c>
      <c r="N1715" s="15" t="s">
        <v>0</v>
      </c>
      <c r="O1715" s="13" t="s">
        <v>0</v>
      </c>
      <c r="P1715" s="13" t="s">
        <v>0</v>
      </c>
      <c r="Q1715" s="13" t="s">
        <v>2552</v>
      </c>
      <c r="R1715" s="15" t="s">
        <v>0</v>
      </c>
      <c r="S1715" s="10" t="s">
        <v>1</v>
      </c>
      <c r="T1715" s="10" t="s">
        <v>32</v>
      </c>
      <c r="U1715" s="5" t="str">
        <f t="shared" si="973"/>
        <v>Propriedade destinada a taxonomizar: é.capex.semi.alinhado</v>
      </c>
      <c r="V1715" s="5" t="str">
        <f t="shared" si="974"/>
        <v>Dado para taxonomizar:  capex.semi.alinhado  Deve ser formatado como (xsd:double)</v>
      </c>
      <c r="W1715" s="5" t="s">
        <v>7036</v>
      </c>
      <c r="X1715" s="24" t="str">
        <f t="shared" si="921"/>
        <v>taxon.114</v>
      </c>
      <c r="Y1715" s="24" t="str">
        <f t="shared" si="916"/>
        <v>Ação taxonomizar</v>
      </c>
      <c r="Z1715" s="47" t="s">
        <v>2786</v>
      </c>
      <c r="AA1715" s="25" t="str">
        <f t="shared" si="975"/>
        <v>null</v>
      </c>
      <c r="AB1715" s="26" t="s">
        <v>0</v>
      </c>
      <c r="AC1715" s="25" t="str">
        <f t="shared" si="976"/>
        <v>null</v>
      </c>
      <c r="AD1715" s="26" t="s">
        <v>0</v>
      </c>
      <c r="AE1715" s="25" t="str">
        <f t="shared" si="977"/>
        <v>null</v>
      </c>
      <c r="AF1715" s="26" t="s">
        <v>0</v>
      </c>
      <c r="AG1715" s="47" t="s">
        <v>3718</v>
      </c>
    </row>
    <row r="1716" spans="1:33" ht="6" customHeight="1" x14ac:dyDescent="0.4">
      <c r="A1716" s="4">
        <f>ROW()</f>
        <v>1716</v>
      </c>
      <c r="B1716" s="9" t="s">
        <v>27</v>
      </c>
      <c r="C1716" s="55" t="str">
        <f t="shared" si="969"/>
        <v>p.taxonomizar</v>
      </c>
      <c r="D1716" s="6" t="str">
        <f t="shared" si="970"/>
        <v>é.capex.total</v>
      </c>
      <c r="E1716" s="8" t="s">
        <v>28</v>
      </c>
      <c r="F1716" s="42" t="str">
        <f t="shared" si="971"/>
        <v>d.taxonomizar</v>
      </c>
      <c r="G1716" s="18" t="s">
        <v>2539</v>
      </c>
      <c r="H1716" s="42" t="s">
        <v>36</v>
      </c>
      <c r="I1716" s="16" t="str">
        <f t="shared" si="972"/>
        <v>null</v>
      </c>
      <c r="J1716" s="13" t="s">
        <v>0</v>
      </c>
      <c r="K1716" s="13" t="s">
        <v>0</v>
      </c>
      <c r="L1716" s="13" t="s">
        <v>0</v>
      </c>
      <c r="M1716" s="13" t="s">
        <v>0</v>
      </c>
      <c r="N1716" s="15" t="s">
        <v>0</v>
      </c>
      <c r="O1716" s="13" t="s">
        <v>0</v>
      </c>
      <c r="P1716" s="13" t="s">
        <v>0</v>
      </c>
      <c r="Q1716" s="13" t="s">
        <v>2544</v>
      </c>
      <c r="R1716" s="15" t="s">
        <v>0</v>
      </c>
      <c r="S1716" s="10" t="s">
        <v>1</v>
      </c>
      <c r="T1716" s="10" t="s">
        <v>32</v>
      </c>
      <c r="U1716" s="5" t="str">
        <f t="shared" si="973"/>
        <v>Propriedade destinada a taxonomizar: é.capex.total</v>
      </c>
      <c r="V1716" s="5" t="str">
        <f t="shared" si="974"/>
        <v>Dado para taxonomizar:  capex.total  Deve ser formatado como (xsd:double)</v>
      </c>
      <c r="W1716" s="5" t="s">
        <v>7037</v>
      </c>
      <c r="X1716" s="24" t="str">
        <f t="shared" si="921"/>
        <v>taxon.115</v>
      </c>
      <c r="Y1716" s="24" t="str">
        <f t="shared" si="916"/>
        <v>Ação taxonomizar</v>
      </c>
      <c r="Z1716" s="47" t="s">
        <v>2787</v>
      </c>
      <c r="AA1716" s="25" t="str">
        <f t="shared" si="975"/>
        <v>null</v>
      </c>
      <c r="AB1716" s="26" t="s">
        <v>0</v>
      </c>
      <c r="AC1716" s="25" t="str">
        <f t="shared" si="976"/>
        <v>null</v>
      </c>
      <c r="AD1716" s="26" t="s">
        <v>0</v>
      </c>
      <c r="AE1716" s="25" t="str">
        <f t="shared" si="977"/>
        <v>null</v>
      </c>
      <c r="AF1716" s="26" t="s">
        <v>0</v>
      </c>
      <c r="AG1716" s="47" t="s">
        <v>3719</v>
      </c>
    </row>
    <row r="1717" spans="1:33" ht="6" customHeight="1" x14ac:dyDescent="0.4">
      <c r="A1717" s="4">
        <f>ROW()</f>
        <v>1717</v>
      </c>
      <c r="B1717" s="9" t="s">
        <v>27</v>
      </c>
      <c r="C1717" s="55" t="str">
        <f t="shared" si="969"/>
        <v>p.taxonomizar</v>
      </c>
      <c r="D1717" s="6" t="str">
        <f t="shared" si="970"/>
        <v>é.causa</v>
      </c>
      <c r="E1717" s="8" t="s">
        <v>28</v>
      </c>
      <c r="F1717" s="42" t="str">
        <f t="shared" si="971"/>
        <v>d.taxonomizar</v>
      </c>
      <c r="G1717" s="46" t="s">
        <v>2511</v>
      </c>
      <c r="H1717" s="41" t="s">
        <v>2321</v>
      </c>
      <c r="I1717" s="16" t="str">
        <f t="shared" si="97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73"/>
        <v>Propriedade destinada a taxonomizar: é.causa</v>
      </c>
      <c r="V1717" s="5" t="str">
        <f t="shared" si="974"/>
        <v>Dado para taxonomizar:  causa  Deve ser formatado como (rdfs:Literal  or  xsd:string)</v>
      </c>
      <c r="W1717" s="5" t="s">
        <v>7038</v>
      </c>
      <c r="X1717" s="24" t="str">
        <f t="shared" si="921"/>
        <v>taxon.116</v>
      </c>
      <c r="Y1717" s="24" t="str">
        <f t="shared" si="916"/>
        <v>Ação taxonomizar</v>
      </c>
      <c r="Z1717" s="47" t="s">
        <v>2788</v>
      </c>
      <c r="AA1717" s="25" t="str">
        <f t="shared" si="975"/>
        <v>null</v>
      </c>
      <c r="AB1717" s="26" t="s">
        <v>0</v>
      </c>
      <c r="AC1717" s="25" t="str">
        <f t="shared" si="976"/>
        <v>null</v>
      </c>
      <c r="AD1717" s="26" t="s">
        <v>0</v>
      </c>
      <c r="AE1717" s="25" t="str">
        <f t="shared" si="977"/>
        <v>null</v>
      </c>
      <c r="AF1717" s="26" t="s">
        <v>0</v>
      </c>
      <c r="AG1717" s="47" t="s">
        <v>3720</v>
      </c>
    </row>
    <row r="1718" spans="1:33" ht="6" customHeight="1" x14ac:dyDescent="0.4">
      <c r="A1718" s="4">
        <f>ROW()</f>
        <v>1718</v>
      </c>
      <c r="B1718" s="9" t="s">
        <v>27</v>
      </c>
      <c r="C1718" s="55" t="str">
        <f t="shared" si="969"/>
        <v>p.taxonomizar</v>
      </c>
      <c r="D1718" s="6" t="str">
        <f t="shared" si="970"/>
        <v>é.certificação</v>
      </c>
      <c r="E1718" s="8" t="s">
        <v>28</v>
      </c>
      <c r="F1718" s="42" t="str">
        <f t="shared" si="971"/>
        <v>d.taxonomizar</v>
      </c>
      <c r="G1718" s="46" t="s">
        <v>2478</v>
      </c>
      <c r="H1718" s="41" t="s">
        <v>2321</v>
      </c>
      <c r="I1718" s="16" t="str">
        <f t="shared" si="972"/>
        <v>null</v>
      </c>
      <c r="J1718" s="13" t="s">
        <v>0</v>
      </c>
      <c r="K1718" s="13" t="s">
        <v>0</v>
      </c>
      <c r="L1718" s="13" t="s">
        <v>0</v>
      </c>
      <c r="M1718" s="13" t="s">
        <v>0</v>
      </c>
      <c r="N1718" s="15" t="s">
        <v>0</v>
      </c>
      <c r="O1718" s="13" t="s">
        <v>0</v>
      </c>
      <c r="P1718" s="13" t="s">
        <v>0</v>
      </c>
      <c r="Q1718" s="13" t="s">
        <v>2562</v>
      </c>
      <c r="R1718" s="15" t="s">
        <v>0</v>
      </c>
      <c r="S1718" s="10" t="s">
        <v>1</v>
      </c>
      <c r="T1718" s="10" t="s">
        <v>32</v>
      </c>
      <c r="U1718" s="5" t="str">
        <f t="shared" si="973"/>
        <v>Propriedade destinada a taxonomizar: é.certificação</v>
      </c>
      <c r="V1718" s="5" t="str">
        <f t="shared" si="974"/>
        <v>Dado para taxonomizar:  certificação  Deve ser formatado como (rdfs:Literal  or  xsd:string)</v>
      </c>
      <c r="W1718" s="5" t="s">
        <v>7039</v>
      </c>
      <c r="X1718" s="24" t="str">
        <f t="shared" si="921"/>
        <v>taxon.117</v>
      </c>
      <c r="Y1718" s="24" t="str">
        <f t="shared" si="916"/>
        <v>Ação taxonomizar</v>
      </c>
      <c r="Z1718" s="47" t="s">
        <v>2789</v>
      </c>
      <c r="AA1718" s="25" t="str">
        <f t="shared" si="975"/>
        <v>null</v>
      </c>
      <c r="AB1718" s="26" t="s">
        <v>0</v>
      </c>
      <c r="AC1718" s="25" t="str">
        <f t="shared" si="976"/>
        <v>null</v>
      </c>
      <c r="AD1718" s="26" t="s">
        <v>0</v>
      </c>
      <c r="AE1718" s="25" t="str">
        <f t="shared" si="977"/>
        <v>null</v>
      </c>
      <c r="AF1718" s="26" t="s">
        <v>0</v>
      </c>
      <c r="AG1718" s="47" t="s">
        <v>3721</v>
      </c>
    </row>
    <row r="1719" spans="1:33" ht="6" customHeight="1" x14ac:dyDescent="0.4">
      <c r="A1719" s="4">
        <f>ROW()</f>
        <v>1719</v>
      </c>
      <c r="B1719" s="9" t="s">
        <v>27</v>
      </c>
      <c r="C1719" s="55" t="str">
        <f t="shared" si="969"/>
        <v>p.taxonomizar</v>
      </c>
      <c r="D1719" s="6" t="str">
        <f t="shared" si="970"/>
        <v>é.certificado.por</v>
      </c>
      <c r="E1719" s="8" t="s">
        <v>28</v>
      </c>
      <c r="F1719" s="42" t="str">
        <f t="shared" si="971"/>
        <v>d.taxonomizar</v>
      </c>
      <c r="G1719" s="46" t="s">
        <v>2561</v>
      </c>
      <c r="H1719" s="41" t="s">
        <v>2321</v>
      </c>
      <c r="I1719" s="16" t="str">
        <f t="shared" si="972"/>
        <v>null</v>
      </c>
      <c r="J1719" s="13" t="s">
        <v>0</v>
      </c>
      <c r="K1719" s="13" t="s">
        <v>0</v>
      </c>
      <c r="L1719" s="13" t="s">
        <v>0</v>
      </c>
      <c r="M1719" s="13" t="s">
        <v>0</v>
      </c>
      <c r="N1719" s="15" t="s">
        <v>0</v>
      </c>
      <c r="O1719" s="13" t="s">
        <v>0</v>
      </c>
      <c r="P1719" s="13" t="s">
        <v>0</v>
      </c>
      <c r="Q1719" s="13" t="s">
        <v>2563</v>
      </c>
      <c r="R1719" s="15" t="s">
        <v>0</v>
      </c>
      <c r="S1719" s="10" t="s">
        <v>1</v>
      </c>
      <c r="T1719" s="10" t="s">
        <v>32</v>
      </c>
      <c r="U1719" s="5" t="str">
        <f t="shared" si="973"/>
        <v>Propriedade destinada a taxonomizar: é.certificado.por</v>
      </c>
      <c r="V1719" s="5" t="str">
        <f t="shared" si="974"/>
        <v>Dado para taxonomizar:  certificado.por  Deve ser formatado como (rdfs:Literal  or  xsd:string)</v>
      </c>
      <c r="W1719" s="5" t="s">
        <v>7040</v>
      </c>
      <c r="X1719" s="24" t="str">
        <f t="shared" si="921"/>
        <v>taxon.118</v>
      </c>
      <c r="Y1719" s="24" t="str">
        <f t="shared" si="916"/>
        <v>Ação taxonomizar</v>
      </c>
      <c r="Z1719" s="47" t="s">
        <v>2790</v>
      </c>
      <c r="AA1719" s="25" t="str">
        <f t="shared" si="975"/>
        <v>null</v>
      </c>
      <c r="AB1719" s="26" t="s">
        <v>0</v>
      </c>
      <c r="AC1719" s="25" t="str">
        <f t="shared" si="976"/>
        <v>null</v>
      </c>
      <c r="AD1719" s="26" t="s">
        <v>0</v>
      </c>
      <c r="AE1719" s="25" t="str">
        <f t="shared" si="977"/>
        <v>null</v>
      </c>
      <c r="AF1719" s="26" t="s">
        <v>0</v>
      </c>
      <c r="AG1719" s="47" t="s">
        <v>3722</v>
      </c>
    </row>
    <row r="1720" spans="1:33" ht="6" customHeight="1" x14ac:dyDescent="0.4">
      <c r="A1720" s="4">
        <f>ROW()</f>
        <v>1720</v>
      </c>
      <c r="B1720" s="9" t="s">
        <v>27</v>
      </c>
      <c r="C1720" s="55" t="str">
        <f t="shared" si="969"/>
        <v>p.taxonomizar</v>
      </c>
      <c r="D1720" s="6" t="str">
        <f t="shared" si="970"/>
        <v>é.comentário</v>
      </c>
      <c r="E1720" s="8" t="s">
        <v>28</v>
      </c>
      <c r="F1720" s="42" t="str">
        <f t="shared" si="971"/>
        <v>d.taxonomizar</v>
      </c>
      <c r="G1720" s="46" t="s">
        <v>2498</v>
      </c>
      <c r="H1720" s="41" t="s">
        <v>2321</v>
      </c>
      <c r="I1720" s="16" t="str">
        <f t="shared" si="972"/>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73"/>
        <v>Propriedade destinada a taxonomizar: é.comentário</v>
      </c>
      <c r="V1720" s="5" t="str">
        <f t="shared" si="974"/>
        <v>Dado para taxonomizar:  comentário  Deve ser formatado como (rdfs:Literal  or  xsd:string)</v>
      </c>
      <c r="W1720" s="5" t="s">
        <v>7041</v>
      </c>
      <c r="X1720" s="24" t="str">
        <f t="shared" si="921"/>
        <v>taxon.119</v>
      </c>
      <c r="Y1720" s="24" t="str">
        <f t="shared" si="916"/>
        <v>Ação taxonomizar</v>
      </c>
      <c r="Z1720" s="47" t="s">
        <v>5067</v>
      </c>
      <c r="AA1720" s="25" t="str">
        <f t="shared" si="975"/>
        <v>null</v>
      </c>
      <c r="AB1720" s="26" t="s">
        <v>0</v>
      </c>
      <c r="AC1720" s="25" t="str">
        <f t="shared" si="976"/>
        <v>null</v>
      </c>
      <c r="AD1720" s="26" t="s">
        <v>0</v>
      </c>
      <c r="AE1720" s="25" t="str">
        <f t="shared" si="977"/>
        <v>null</v>
      </c>
      <c r="AF1720" s="26" t="s">
        <v>0</v>
      </c>
      <c r="AG1720" s="47" t="s">
        <v>3723</v>
      </c>
    </row>
    <row r="1721" spans="1:33" ht="6" customHeight="1" x14ac:dyDescent="0.4">
      <c r="A1721" s="4">
        <f>ROW()</f>
        <v>1721</v>
      </c>
      <c r="B1721" s="9" t="s">
        <v>27</v>
      </c>
      <c r="C1721" s="55" t="str">
        <f t="shared" si="969"/>
        <v>p.taxonomizar</v>
      </c>
      <c r="D1721" s="6" t="str">
        <f t="shared" si="970"/>
        <v>é.complementada.com.nota</v>
      </c>
      <c r="E1721" s="8" t="s">
        <v>28</v>
      </c>
      <c r="F1721" s="42" t="str">
        <f t="shared" si="971"/>
        <v>d.taxonomizar</v>
      </c>
      <c r="G1721" s="46" t="s">
        <v>2486</v>
      </c>
      <c r="H1721" s="41" t="s">
        <v>2321</v>
      </c>
      <c r="I1721" s="16" t="str">
        <f t="shared" si="972"/>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73"/>
        <v>Propriedade destinada a taxonomizar: é.complementada.com.nota</v>
      </c>
      <c r="V1721" s="5" t="str">
        <f t="shared" si="974"/>
        <v>Dado para taxonomizar:  complementada.com.nota  Deve ser formatado como (rdfs:Literal  or  xsd:string)</v>
      </c>
      <c r="W1721" s="5" t="s">
        <v>7042</v>
      </c>
      <c r="X1721" s="24" t="str">
        <f t="shared" si="921"/>
        <v>taxon.120</v>
      </c>
      <c r="Y1721" s="24" t="str">
        <f t="shared" si="916"/>
        <v>Ação taxonomizar</v>
      </c>
      <c r="Z1721" s="47" t="s">
        <v>5066</v>
      </c>
      <c r="AA1721" s="25" t="str">
        <f t="shared" si="975"/>
        <v>null</v>
      </c>
      <c r="AB1721" s="26" t="s">
        <v>0</v>
      </c>
      <c r="AC1721" s="25" t="str">
        <f t="shared" si="976"/>
        <v>null</v>
      </c>
      <c r="AD1721" s="26" t="s">
        <v>0</v>
      </c>
      <c r="AE1721" s="25" t="str">
        <f t="shared" si="977"/>
        <v>null</v>
      </c>
      <c r="AF1721" s="26" t="s">
        <v>0</v>
      </c>
      <c r="AG1721" s="47" t="s">
        <v>3724</v>
      </c>
    </row>
    <row r="1722" spans="1:33" ht="6" customHeight="1" x14ac:dyDescent="0.4">
      <c r="A1722" s="4">
        <f>ROW()</f>
        <v>1722</v>
      </c>
      <c r="B1722" s="9" t="s">
        <v>27</v>
      </c>
      <c r="C1722" s="55" t="str">
        <f t="shared" si="969"/>
        <v>p.taxonomizar</v>
      </c>
      <c r="D1722" s="6" t="str">
        <f t="shared" si="970"/>
        <v>é.condição.de.elegibilidade</v>
      </c>
      <c r="E1722" s="8" t="s">
        <v>28</v>
      </c>
      <c r="F1722" s="42" t="str">
        <f t="shared" si="971"/>
        <v>d.taxonomizar</v>
      </c>
      <c r="G1722" s="46" t="s">
        <v>2479</v>
      </c>
      <c r="H1722" s="41" t="s">
        <v>2321</v>
      </c>
      <c r="I1722" s="16" t="str">
        <f t="shared" si="97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73"/>
        <v>Propriedade destinada a taxonomizar: é.condição.de.elegibilidade</v>
      </c>
      <c r="V1722" s="5" t="str">
        <f t="shared" si="974"/>
        <v>Dado para taxonomizar:  condição.de.elegibilidade  Deve ser formatado como (rdfs:Literal  or  xsd:string)</v>
      </c>
      <c r="W1722" s="5" t="s">
        <v>7043</v>
      </c>
      <c r="X1722" s="24" t="str">
        <f t="shared" si="921"/>
        <v>taxon.121</v>
      </c>
      <c r="Y1722" s="24" t="str">
        <f t="shared" si="916"/>
        <v>Ação taxonomizar</v>
      </c>
      <c r="Z1722" s="47" t="s">
        <v>2791</v>
      </c>
      <c r="AA1722" s="25" t="str">
        <f t="shared" si="975"/>
        <v>null</v>
      </c>
      <c r="AB1722" s="26" t="s">
        <v>0</v>
      </c>
      <c r="AC1722" s="25" t="str">
        <f t="shared" si="976"/>
        <v>null</v>
      </c>
      <c r="AD1722" s="26" t="s">
        <v>0</v>
      </c>
      <c r="AE1722" s="25" t="str">
        <f t="shared" si="977"/>
        <v>null</v>
      </c>
      <c r="AF1722" s="26" t="s">
        <v>0</v>
      </c>
      <c r="AG1722" s="47" t="s">
        <v>3725</v>
      </c>
    </row>
    <row r="1723" spans="1:33" ht="6" customHeight="1" x14ac:dyDescent="0.4">
      <c r="A1723" s="4">
        <f>ROW()</f>
        <v>1723</v>
      </c>
      <c r="B1723" s="9" t="s">
        <v>27</v>
      </c>
      <c r="C1723" s="55" t="str">
        <f t="shared" si="969"/>
        <v>p.taxonomizar</v>
      </c>
      <c r="D1723" s="6" t="str">
        <f t="shared" si="970"/>
        <v>é.consequência</v>
      </c>
      <c r="E1723" s="8" t="s">
        <v>28</v>
      </c>
      <c r="F1723" s="42" t="str">
        <f t="shared" si="971"/>
        <v>d.taxonomizar</v>
      </c>
      <c r="G1723" s="46" t="s">
        <v>2510</v>
      </c>
      <c r="H1723" s="41" t="s">
        <v>2321</v>
      </c>
      <c r="I1723" s="16" t="str">
        <f t="shared" si="972"/>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73"/>
        <v>Propriedade destinada a taxonomizar: é.consequência</v>
      </c>
      <c r="V1723" s="5" t="str">
        <f t="shared" si="974"/>
        <v>Dado para taxonomizar:  consequência  Deve ser formatado como (rdfs:Literal  or  xsd:string)</v>
      </c>
      <c r="W1723" s="5" t="s">
        <v>7044</v>
      </c>
      <c r="X1723" s="24" t="str">
        <f t="shared" si="921"/>
        <v>taxon.122</v>
      </c>
      <c r="Y1723" s="24" t="str">
        <f t="shared" si="916"/>
        <v>Ação taxonomizar</v>
      </c>
      <c r="Z1723" s="47" t="s">
        <v>2792</v>
      </c>
      <c r="AA1723" s="25" t="str">
        <f t="shared" si="975"/>
        <v>null</v>
      </c>
      <c r="AB1723" s="26" t="s">
        <v>0</v>
      </c>
      <c r="AC1723" s="25" t="str">
        <f t="shared" si="976"/>
        <v>null</v>
      </c>
      <c r="AD1723" s="26" t="s">
        <v>0</v>
      </c>
      <c r="AE1723" s="25" t="str">
        <f t="shared" si="977"/>
        <v>null</v>
      </c>
      <c r="AF1723" s="26" t="s">
        <v>0</v>
      </c>
      <c r="AG1723" s="47" t="s">
        <v>3726</v>
      </c>
    </row>
    <row r="1724" spans="1:33" ht="6" customHeight="1" x14ac:dyDescent="0.4">
      <c r="A1724" s="4">
        <f>ROW()</f>
        <v>1724</v>
      </c>
      <c r="B1724" s="9" t="s">
        <v>27</v>
      </c>
      <c r="C1724" s="55" t="str">
        <f t="shared" si="969"/>
        <v>p.taxonomizar</v>
      </c>
      <c r="D1724" s="6" t="str">
        <f t="shared" si="970"/>
        <v>é.consultor.técnico</v>
      </c>
      <c r="E1724" s="8" t="s">
        <v>28</v>
      </c>
      <c r="F1724" s="42" t="str">
        <f t="shared" si="971"/>
        <v>d.taxonomizar</v>
      </c>
      <c r="G1724" s="46" t="s">
        <v>2568</v>
      </c>
      <c r="H1724" s="41" t="s">
        <v>2321</v>
      </c>
      <c r="I1724" s="16" t="str">
        <f t="shared" si="972"/>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73"/>
        <v>Propriedade destinada a taxonomizar: é.consultor.técnico</v>
      </c>
      <c r="V1724" s="5" t="str">
        <f t="shared" si="974"/>
        <v>Dado para taxonomizar:  consultor.técnico  Deve ser formatado como (rdfs:Literal  or  xsd:string)</v>
      </c>
      <c r="W1724" s="5" t="s">
        <v>7045</v>
      </c>
      <c r="X1724" s="24" t="str">
        <f t="shared" si="921"/>
        <v>taxon.123</v>
      </c>
      <c r="Y1724" s="24" t="str">
        <f t="shared" si="916"/>
        <v>Ação taxonomizar</v>
      </c>
      <c r="Z1724" s="47" t="s">
        <v>2793</v>
      </c>
      <c r="AA1724" s="25" t="str">
        <f t="shared" si="975"/>
        <v>null</v>
      </c>
      <c r="AB1724" s="26" t="s">
        <v>0</v>
      </c>
      <c r="AC1724" s="25" t="str">
        <f t="shared" si="976"/>
        <v>null</v>
      </c>
      <c r="AD1724" s="26" t="s">
        <v>0</v>
      </c>
      <c r="AE1724" s="25" t="str">
        <f t="shared" si="977"/>
        <v>null</v>
      </c>
      <c r="AF1724" s="26" t="s">
        <v>0</v>
      </c>
      <c r="AG1724" s="47" t="s">
        <v>3727</v>
      </c>
    </row>
    <row r="1725" spans="1:33" ht="6" customHeight="1" x14ac:dyDescent="0.4">
      <c r="A1725" s="4">
        <f>ROW()</f>
        <v>1725</v>
      </c>
      <c r="B1725" s="9" t="s">
        <v>27</v>
      </c>
      <c r="C1725" s="55" t="str">
        <f t="shared" si="969"/>
        <v>p.taxonomizar</v>
      </c>
      <c r="D1725" s="6" t="str">
        <f t="shared" si="970"/>
        <v>é.contribuição.substancial.de</v>
      </c>
      <c r="E1725" s="8" t="s">
        <v>28</v>
      </c>
      <c r="F1725" s="42" t="str">
        <f t="shared" si="971"/>
        <v>d.taxonomizar</v>
      </c>
      <c r="G1725" s="46" t="s">
        <v>2565</v>
      </c>
      <c r="H1725" s="41" t="s">
        <v>2321</v>
      </c>
      <c r="I1725" s="16" t="str">
        <f t="shared" si="972"/>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73"/>
        <v>Propriedade destinada a taxonomizar: é.contribuição.substancial.de</v>
      </c>
      <c r="V1725" s="5" t="str">
        <f t="shared" si="974"/>
        <v>Dado para taxonomizar:  contribuição.substancial.de  Deve ser formatado como (rdfs:Literal  or  xsd:string)</v>
      </c>
      <c r="W1725" s="5" t="s">
        <v>7046</v>
      </c>
      <c r="X1725" s="24" t="str">
        <f t="shared" si="921"/>
        <v>taxon.124</v>
      </c>
      <c r="Y1725" s="24" t="str">
        <f t="shared" si="916"/>
        <v>Ação taxonomizar</v>
      </c>
      <c r="Z1725" s="47" t="s">
        <v>2794</v>
      </c>
      <c r="AA1725" s="25" t="str">
        <f t="shared" si="975"/>
        <v>null</v>
      </c>
      <c r="AB1725" s="26" t="s">
        <v>0</v>
      </c>
      <c r="AC1725" s="25" t="str">
        <f t="shared" si="976"/>
        <v>null</v>
      </c>
      <c r="AD1725" s="26" t="s">
        <v>0</v>
      </c>
      <c r="AE1725" s="25" t="str">
        <f t="shared" si="977"/>
        <v>null</v>
      </c>
      <c r="AF1725" s="26" t="s">
        <v>0</v>
      </c>
      <c r="AG1725" s="47" t="s">
        <v>3728</v>
      </c>
    </row>
    <row r="1726" spans="1:33" ht="6" customHeight="1" x14ac:dyDescent="0.4">
      <c r="A1726" s="4">
        <f>ROW()</f>
        <v>1726</v>
      </c>
      <c r="B1726" s="9" t="s">
        <v>27</v>
      </c>
      <c r="C1726" s="55" t="str">
        <f t="shared" si="969"/>
        <v>p.taxonomizar</v>
      </c>
      <c r="D1726" s="6" t="str">
        <f t="shared" si="970"/>
        <v>é.critério</v>
      </c>
      <c r="E1726" s="8" t="s">
        <v>28</v>
      </c>
      <c r="F1726" s="42" t="str">
        <f t="shared" si="971"/>
        <v>d.taxonomizar</v>
      </c>
      <c r="G1726" s="46" t="s">
        <v>2491</v>
      </c>
      <c r="H1726" s="41" t="s">
        <v>2321</v>
      </c>
      <c r="I1726" s="16" t="str">
        <f t="shared" si="972"/>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73"/>
        <v>Propriedade destinada a taxonomizar: é.critério</v>
      </c>
      <c r="V1726" s="5" t="str">
        <f t="shared" si="974"/>
        <v>Dado para taxonomizar:  critério  Deve ser formatado como (rdfs:Literal  or  xsd:string)</v>
      </c>
      <c r="W1726" s="5" t="s">
        <v>7047</v>
      </c>
      <c r="X1726" s="24" t="str">
        <f t="shared" si="921"/>
        <v>taxon.125</v>
      </c>
      <c r="Y1726" s="24" t="str">
        <f t="shared" si="916"/>
        <v>Ação taxonomizar</v>
      </c>
      <c r="Z1726" s="47" t="s">
        <v>2795</v>
      </c>
      <c r="AA1726" s="25" t="str">
        <f t="shared" si="975"/>
        <v>null</v>
      </c>
      <c r="AB1726" s="26" t="s">
        <v>0</v>
      </c>
      <c r="AC1726" s="25" t="str">
        <f t="shared" si="976"/>
        <v>null</v>
      </c>
      <c r="AD1726" s="26" t="s">
        <v>0</v>
      </c>
      <c r="AE1726" s="25" t="str">
        <f t="shared" si="977"/>
        <v>null</v>
      </c>
      <c r="AF1726" s="26" t="s">
        <v>0</v>
      </c>
      <c r="AG1726" s="47" t="s">
        <v>3729</v>
      </c>
    </row>
    <row r="1727" spans="1:33" ht="6" customHeight="1" x14ac:dyDescent="0.4">
      <c r="A1727" s="4">
        <f>ROW()</f>
        <v>1727</v>
      </c>
      <c r="B1727" s="9" t="s">
        <v>27</v>
      </c>
      <c r="C1727" s="55" t="str">
        <f t="shared" si="969"/>
        <v>p.taxonomizar</v>
      </c>
      <c r="D1727" s="6" t="str">
        <f t="shared" si="970"/>
        <v>é.critério.de</v>
      </c>
      <c r="E1727" s="8" t="s">
        <v>28</v>
      </c>
      <c r="F1727" s="42" t="str">
        <f t="shared" si="971"/>
        <v>d.taxonomizar</v>
      </c>
      <c r="G1727" s="46" t="s">
        <v>2480</v>
      </c>
      <c r="H1727" s="41" t="s">
        <v>2321</v>
      </c>
      <c r="I1727" s="16" t="str">
        <f t="shared" si="972"/>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73"/>
        <v>Propriedade destinada a taxonomizar: é.critério.de</v>
      </c>
      <c r="V1727" s="5" t="str">
        <f t="shared" si="974"/>
        <v>Dado para taxonomizar:  critério.de  Deve ser formatado como (rdfs:Literal  or  xsd:string)</v>
      </c>
      <c r="W1727" s="5" t="s">
        <v>7047</v>
      </c>
      <c r="X1727" s="24" t="str">
        <f t="shared" si="921"/>
        <v>taxon.126</v>
      </c>
      <c r="Y1727" s="24" t="str">
        <f t="shared" si="916"/>
        <v>Ação taxonomizar</v>
      </c>
      <c r="Z1727" s="47" t="s">
        <v>2795</v>
      </c>
      <c r="AA1727" s="25" t="str">
        <f t="shared" si="975"/>
        <v>null</v>
      </c>
      <c r="AB1727" s="26" t="s">
        <v>0</v>
      </c>
      <c r="AC1727" s="25" t="str">
        <f t="shared" si="976"/>
        <v>null</v>
      </c>
      <c r="AD1727" s="26" t="s">
        <v>0</v>
      </c>
      <c r="AE1727" s="25" t="str">
        <f t="shared" si="977"/>
        <v>null</v>
      </c>
      <c r="AF1727" s="26" t="s">
        <v>0</v>
      </c>
      <c r="AG1727" s="47" t="s">
        <v>3729</v>
      </c>
    </row>
    <row r="1728" spans="1:33" ht="6" customHeight="1" x14ac:dyDescent="0.4">
      <c r="A1728" s="4">
        <f>ROW()</f>
        <v>1728</v>
      </c>
      <c r="B1728" s="9" t="s">
        <v>27</v>
      </c>
      <c r="C1728" s="55" t="str">
        <f t="shared" si="969"/>
        <v>p.taxonomizar</v>
      </c>
      <c r="D1728" s="6" t="str">
        <f t="shared" si="970"/>
        <v>é.dimensão</v>
      </c>
      <c r="E1728" s="8" t="s">
        <v>28</v>
      </c>
      <c r="F1728" s="42" t="str">
        <f t="shared" si="971"/>
        <v>d.taxonomizar</v>
      </c>
      <c r="G1728" s="46" t="s">
        <v>2488</v>
      </c>
      <c r="H1728" s="41" t="s">
        <v>2321</v>
      </c>
      <c r="I1728" s="16" t="str">
        <f t="shared" si="972"/>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73"/>
        <v>Propriedade destinada a taxonomizar: é.dimensão</v>
      </c>
      <c r="V1728" s="5" t="str">
        <f t="shared" si="974"/>
        <v>Dado para taxonomizar:  dimensão  Deve ser formatado como (rdfs:Literal  or  xsd:string)</v>
      </c>
      <c r="W1728" s="5" t="s">
        <v>7048</v>
      </c>
      <c r="X1728" s="24" t="str">
        <f t="shared" si="921"/>
        <v>taxon.127</v>
      </c>
      <c r="Y1728" s="24" t="str">
        <f t="shared" si="916"/>
        <v>Ação taxonomizar</v>
      </c>
      <c r="Z1728" s="47" t="s">
        <v>2796</v>
      </c>
      <c r="AA1728" s="25" t="str">
        <f t="shared" si="975"/>
        <v>null</v>
      </c>
      <c r="AB1728" s="26" t="s">
        <v>0</v>
      </c>
      <c r="AC1728" s="25" t="str">
        <f t="shared" si="976"/>
        <v>null</v>
      </c>
      <c r="AD1728" s="26" t="s">
        <v>0</v>
      </c>
      <c r="AE1728" s="25" t="str">
        <f t="shared" si="977"/>
        <v>null</v>
      </c>
      <c r="AF1728" s="26" t="s">
        <v>0</v>
      </c>
      <c r="AG1728" s="47" t="s">
        <v>3730</v>
      </c>
    </row>
    <row r="1729" spans="1:33" ht="6" customHeight="1" x14ac:dyDescent="0.4">
      <c r="A1729" s="4">
        <f>ROW()</f>
        <v>1729</v>
      </c>
      <c r="B1729" s="9" t="s">
        <v>27</v>
      </c>
      <c r="C1729" s="55" t="str">
        <f t="shared" si="969"/>
        <v>p.taxonomizar</v>
      </c>
      <c r="D1729" s="6" t="str">
        <f t="shared" si="970"/>
        <v>é.disponível.em</v>
      </c>
      <c r="E1729" s="8" t="s">
        <v>28</v>
      </c>
      <c r="F1729" s="42" t="str">
        <f t="shared" si="971"/>
        <v>d.taxonomizar</v>
      </c>
      <c r="G1729" s="46" t="s">
        <v>2492</v>
      </c>
      <c r="H1729" s="41" t="s">
        <v>2321</v>
      </c>
      <c r="I1729" s="16" t="str">
        <f t="shared" si="972"/>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73"/>
        <v>Propriedade destinada a taxonomizar: é.disponível.em</v>
      </c>
      <c r="V1729" s="5" t="str">
        <f t="shared" si="974"/>
        <v>Dado para taxonomizar:  disponível.em  Deve ser formatado como (rdfs:Literal  or  xsd:string)</v>
      </c>
      <c r="W1729" s="5" t="s">
        <v>7049</v>
      </c>
      <c r="X1729" s="24" t="str">
        <f t="shared" si="921"/>
        <v>taxon.128</v>
      </c>
      <c r="Y1729" s="24" t="str">
        <f t="shared" si="916"/>
        <v>Ação taxonomizar</v>
      </c>
      <c r="Z1729" s="47" t="s">
        <v>2797</v>
      </c>
      <c r="AA1729" s="25" t="str">
        <f t="shared" si="975"/>
        <v>null</v>
      </c>
      <c r="AB1729" s="26" t="s">
        <v>0</v>
      </c>
      <c r="AC1729" s="25" t="str">
        <f t="shared" si="976"/>
        <v>null</v>
      </c>
      <c r="AD1729" s="26" t="s">
        <v>0</v>
      </c>
      <c r="AE1729" s="25" t="str">
        <f t="shared" si="977"/>
        <v>null</v>
      </c>
      <c r="AF1729" s="26" t="s">
        <v>0</v>
      </c>
      <c r="AG1729" s="47" t="s">
        <v>3731</v>
      </c>
    </row>
    <row r="1730" spans="1:33" ht="6" customHeight="1" x14ac:dyDescent="0.4">
      <c r="A1730" s="4">
        <f>ROW()</f>
        <v>1730</v>
      </c>
      <c r="B1730" s="9" t="s">
        <v>27</v>
      </c>
      <c r="C1730" s="55" t="str">
        <f t="shared" si="969"/>
        <v>p.taxonomizar</v>
      </c>
      <c r="D1730" s="6" t="str">
        <f t="shared" si="970"/>
        <v>é.eixo.temático</v>
      </c>
      <c r="E1730" s="8" t="s">
        <v>28</v>
      </c>
      <c r="F1730" s="42" t="str">
        <f t="shared" si="971"/>
        <v>d.taxonomizar</v>
      </c>
      <c r="G1730" s="46" t="s">
        <v>2531</v>
      </c>
      <c r="H1730" s="41" t="s">
        <v>2321</v>
      </c>
      <c r="I1730" s="16" t="str">
        <f t="shared" si="972"/>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73"/>
        <v>Propriedade destinada a taxonomizar: é.eixo.temático</v>
      </c>
      <c r="V1730" s="5" t="str">
        <f t="shared" si="974"/>
        <v>Dado para taxonomizar:  eixo.temático  Deve ser formatado como (rdfs:Literal  or  xsd:string)</v>
      </c>
      <c r="W1730" s="5" t="s">
        <v>7050</v>
      </c>
      <c r="X1730" s="24" t="str">
        <f t="shared" si="921"/>
        <v>taxon.129</v>
      </c>
      <c r="Y1730" s="24" t="str">
        <f t="shared" ref="Y1730:Y1793" si="978">_xlfn.CONCAT("Ação ", SUBSTITUTE(F1730, "d.",  ""))</f>
        <v>Ação taxonomizar</v>
      </c>
      <c r="Z1730" s="47" t="s">
        <v>2798</v>
      </c>
      <c r="AA1730" s="25" t="str">
        <f t="shared" si="975"/>
        <v>null</v>
      </c>
      <c r="AB1730" s="26" t="s">
        <v>0</v>
      </c>
      <c r="AC1730" s="25" t="str">
        <f t="shared" si="976"/>
        <v>null</v>
      </c>
      <c r="AD1730" s="26" t="s">
        <v>0</v>
      </c>
      <c r="AE1730" s="25" t="str">
        <f t="shared" si="977"/>
        <v>null</v>
      </c>
      <c r="AF1730" s="26" t="s">
        <v>0</v>
      </c>
      <c r="AG1730" s="47" t="s">
        <v>3732</v>
      </c>
    </row>
    <row r="1731" spans="1:33" ht="6" customHeight="1" x14ac:dyDescent="0.4">
      <c r="A1731" s="4">
        <f>ROW()</f>
        <v>1731</v>
      </c>
      <c r="B1731" s="9" t="s">
        <v>27</v>
      </c>
      <c r="C1731" s="55" t="str">
        <f t="shared" si="969"/>
        <v>p.taxonomizar</v>
      </c>
      <c r="D1731" s="6" t="str">
        <f t="shared" si="970"/>
        <v>é.elegível.de</v>
      </c>
      <c r="E1731" s="8" t="s">
        <v>28</v>
      </c>
      <c r="F1731" s="42" t="str">
        <f t="shared" si="971"/>
        <v>d.taxonomizar</v>
      </c>
      <c r="G1731" s="46" t="s">
        <v>2530</v>
      </c>
      <c r="H1731" s="41" t="s">
        <v>2321</v>
      </c>
      <c r="I1731" s="16" t="str">
        <f t="shared" si="972"/>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73"/>
        <v>Propriedade destinada a taxonomizar: é.elegível.de</v>
      </c>
      <c r="V1731" s="5" t="str">
        <f t="shared" si="974"/>
        <v>Dado para taxonomizar:  elegível.de  Deve ser formatado como (rdfs:Literal  or  xsd:string)</v>
      </c>
      <c r="W1731" s="5" t="s">
        <v>7051</v>
      </c>
      <c r="X1731" s="24" t="str">
        <f t="shared" ref="X1731:X1794" si="979">IF(F1730&lt;&gt;F1731,_xlfn.CONCAT(RIGHT(LEFT(F1731,7),5),".100"),_xlfn.CONCAT(RIGHT(LEFT(F1731,7),5),".",SUM(VALUE(RIGHT(X1730,3)),1)))</f>
        <v>taxon.130</v>
      </c>
      <c r="Y1731" s="24" t="str">
        <f t="shared" si="978"/>
        <v>Ação taxonomizar</v>
      </c>
      <c r="Z1731" s="47" t="s">
        <v>2799</v>
      </c>
      <c r="AA1731" s="25" t="str">
        <f t="shared" si="975"/>
        <v>null</v>
      </c>
      <c r="AB1731" s="26" t="s">
        <v>0</v>
      </c>
      <c r="AC1731" s="25" t="str">
        <f t="shared" si="976"/>
        <v>null</v>
      </c>
      <c r="AD1731" s="26" t="s">
        <v>0</v>
      </c>
      <c r="AE1731" s="25" t="str">
        <f t="shared" si="977"/>
        <v>null</v>
      </c>
      <c r="AF1731" s="26" t="s">
        <v>0</v>
      </c>
      <c r="AG1731" s="47" t="s">
        <v>3733</v>
      </c>
    </row>
    <row r="1732" spans="1:33" ht="6" customHeight="1" x14ac:dyDescent="0.4">
      <c r="A1732" s="4">
        <f>ROW()</f>
        <v>1732</v>
      </c>
      <c r="B1732" s="9" t="s">
        <v>27</v>
      </c>
      <c r="C1732" s="55" t="str">
        <f t="shared" si="969"/>
        <v>p.taxonomizar</v>
      </c>
      <c r="D1732" s="6" t="str">
        <f t="shared" si="970"/>
        <v>é.empregos.gerados</v>
      </c>
      <c r="E1732" s="8" t="s">
        <v>28</v>
      </c>
      <c r="F1732" s="42" t="str">
        <f t="shared" si="971"/>
        <v>d.taxonomizar</v>
      </c>
      <c r="G1732" s="46" t="s">
        <v>2508</v>
      </c>
      <c r="H1732" s="41" t="s">
        <v>2321</v>
      </c>
      <c r="I1732" s="16" t="str">
        <f t="shared" si="972"/>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73"/>
        <v>Propriedade destinada a taxonomizar: é.empregos.gerados</v>
      </c>
      <c r="V1732" s="5" t="str">
        <f t="shared" si="974"/>
        <v>Dado para taxonomizar:  empregos.gerados  Deve ser formatado como (rdfs:Literal  or  xsd:string)</v>
      </c>
      <c r="W1732" s="5" t="s">
        <v>7028</v>
      </c>
      <c r="X1732" s="24" t="str">
        <f t="shared" si="979"/>
        <v>taxon.131</v>
      </c>
      <c r="Y1732" s="24" t="str">
        <f t="shared" si="978"/>
        <v>Ação taxonomizar</v>
      </c>
      <c r="Z1732" s="47" t="s">
        <v>2778</v>
      </c>
      <c r="AA1732" s="25" t="str">
        <f t="shared" si="975"/>
        <v>null</v>
      </c>
      <c r="AB1732" s="26" t="s">
        <v>0</v>
      </c>
      <c r="AC1732" s="25" t="str">
        <f t="shared" si="976"/>
        <v>null</v>
      </c>
      <c r="AD1732" s="26" t="s">
        <v>0</v>
      </c>
      <c r="AE1732" s="25" t="str">
        <f t="shared" si="977"/>
        <v>null</v>
      </c>
      <c r="AF1732" s="26" t="s">
        <v>0</v>
      </c>
      <c r="AG1732" s="47" t="s">
        <v>5200</v>
      </c>
    </row>
    <row r="1733" spans="1:33" ht="6" customHeight="1" x14ac:dyDescent="0.4">
      <c r="A1733" s="4">
        <f>ROW()</f>
        <v>1733</v>
      </c>
      <c r="B1733" s="9" t="s">
        <v>27</v>
      </c>
      <c r="C1733" s="55" t="str">
        <f t="shared" si="969"/>
        <v>p.taxonomizar</v>
      </c>
      <c r="D1733" s="6" t="str">
        <f t="shared" si="970"/>
        <v>é.encontrado.em</v>
      </c>
      <c r="E1733" s="8" t="s">
        <v>28</v>
      </c>
      <c r="F1733" s="42" t="str">
        <f t="shared" si="971"/>
        <v>d.taxonomizar</v>
      </c>
      <c r="G1733" s="46" t="s">
        <v>2497</v>
      </c>
      <c r="H1733" s="41" t="s">
        <v>2321</v>
      </c>
      <c r="I1733" s="16" t="str">
        <f t="shared" si="972"/>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73"/>
        <v>Propriedade destinada a taxonomizar: é.encontrado.em</v>
      </c>
      <c r="V1733" s="5" t="str">
        <f t="shared" si="974"/>
        <v>Dado para taxonomizar:  encontrado.em  Deve ser formatado como (rdfs:Literal  or  xsd:string)</v>
      </c>
      <c r="W1733" s="5" t="s">
        <v>7052</v>
      </c>
      <c r="X1733" s="24" t="str">
        <f t="shared" si="979"/>
        <v>taxon.132</v>
      </c>
      <c r="Y1733" s="24" t="str">
        <f t="shared" si="978"/>
        <v>Ação taxonomizar</v>
      </c>
      <c r="Z1733" s="47" t="s">
        <v>2800</v>
      </c>
      <c r="AA1733" s="25" t="str">
        <f t="shared" si="975"/>
        <v>null</v>
      </c>
      <c r="AB1733" s="26" t="s">
        <v>0</v>
      </c>
      <c r="AC1733" s="25" t="str">
        <f t="shared" si="976"/>
        <v>null</v>
      </c>
      <c r="AD1733" s="26" t="s">
        <v>0</v>
      </c>
      <c r="AE1733" s="25" t="str">
        <f t="shared" si="977"/>
        <v>null</v>
      </c>
      <c r="AF1733" s="26" t="s">
        <v>0</v>
      </c>
      <c r="AG1733" s="47" t="s">
        <v>3734</v>
      </c>
    </row>
    <row r="1734" spans="1:33" ht="6" customHeight="1" x14ac:dyDescent="0.4">
      <c r="A1734" s="4">
        <f>ROW()</f>
        <v>1734</v>
      </c>
      <c r="B1734" s="9" t="s">
        <v>27</v>
      </c>
      <c r="C1734" s="55" t="str">
        <f t="shared" ref="C1734:C1766" si="980">SUBSTITUTE(F1734,"d.","p.")</f>
        <v>p.taxonomizar</v>
      </c>
      <c r="D1734" s="6" t="str">
        <f t="shared" ref="D1734:D1766" si="981">_xlfn.CONCAT("é.",G1734)</f>
        <v>é.esperado.que</v>
      </c>
      <c r="E1734" s="8" t="s">
        <v>28</v>
      </c>
      <c r="F1734" s="42" t="str">
        <f t="shared" si="971"/>
        <v>d.taxonomizar</v>
      </c>
      <c r="G1734" s="46" t="s">
        <v>2487</v>
      </c>
      <c r="H1734" s="41" t="s">
        <v>2321</v>
      </c>
      <c r="I1734" s="16" t="str">
        <f t="shared" ref="I1734:I1765" si="982">J1734</f>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ref="U1734:U1766" si="983">_xlfn.CONCAT("Propriedade destinada a ",MID(C1734,FIND("p.",C1734,1)+2,100),": ",D1734)</f>
        <v>Propriedade destinada a taxonomizar: é.esperado.que</v>
      </c>
      <c r="V1734" s="5" t="str">
        <f t="shared" ref="V1734:V1766" si="984">_xlfn.CONCAT("Dado para ",MID(F1734,FIND("d.",F1734,1)+2,100),":  ",G1734, "  Deve ser formatado como (",H1734, ")")</f>
        <v>Dado para taxonomizar:  esperado.que  Deve ser formatado como (rdfs:Literal  or  xsd:string)</v>
      </c>
      <c r="W1734" s="5" t="s">
        <v>7053</v>
      </c>
      <c r="X1734" s="24" t="str">
        <f t="shared" si="979"/>
        <v>taxon.133</v>
      </c>
      <c r="Y1734" s="24" t="str">
        <f t="shared" si="978"/>
        <v>Ação taxonomizar</v>
      </c>
      <c r="Z1734" s="47" t="s">
        <v>2801</v>
      </c>
      <c r="AA1734" s="25" t="str">
        <f t="shared" ref="AA1734:AA1765" si="985">IF(AB1734="null", "null", "categoria.revit")</f>
        <v>null</v>
      </c>
      <c r="AB1734" s="26" t="s">
        <v>0</v>
      </c>
      <c r="AC1734" s="25" t="str">
        <f t="shared" ref="AC1734:AC1765" si="986">IF(AD1734="null", "null", "classe.ifc")</f>
        <v>null</v>
      </c>
      <c r="AD1734" s="26" t="s">
        <v>0</v>
      </c>
      <c r="AE1734" s="25" t="str">
        <f t="shared" ref="AE1734:AE1765" si="987">IF(AF1734="null", "null", "propiedade")</f>
        <v>null</v>
      </c>
      <c r="AF1734" s="26" t="s">
        <v>0</v>
      </c>
      <c r="AG1734" s="47" t="s">
        <v>3735</v>
      </c>
    </row>
    <row r="1735" spans="1:33" ht="6" customHeight="1" x14ac:dyDescent="0.4">
      <c r="A1735" s="4">
        <f>ROW()</f>
        <v>1735</v>
      </c>
      <c r="B1735" s="9" t="s">
        <v>27</v>
      </c>
      <c r="C1735" s="55" t="str">
        <f t="shared" si="980"/>
        <v>p.taxonomizar</v>
      </c>
      <c r="D1735" s="6" t="str">
        <f t="shared" si="981"/>
        <v>é.estratégia.de</v>
      </c>
      <c r="E1735" s="8" t="s">
        <v>28</v>
      </c>
      <c r="F1735" s="42" t="str">
        <f t="shared" si="971"/>
        <v>d.taxonomizar</v>
      </c>
      <c r="G1735" s="46" t="s">
        <v>2481</v>
      </c>
      <c r="H1735" s="41" t="s">
        <v>2321</v>
      </c>
      <c r="I1735" s="16" t="str">
        <f t="shared" si="982"/>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83"/>
        <v>Propriedade destinada a taxonomizar: é.estratégia.de</v>
      </c>
      <c r="V1735" s="5" t="str">
        <f t="shared" si="984"/>
        <v>Dado para taxonomizar:  estratégia.de  Deve ser formatado como (rdfs:Literal  or  xsd:string)</v>
      </c>
      <c r="W1735" s="5" t="s">
        <v>7054</v>
      </c>
      <c r="X1735" s="24" t="str">
        <f t="shared" si="979"/>
        <v>taxon.134</v>
      </c>
      <c r="Y1735" s="24" t="str">
        <f t="shared" si="978"/>
        <v>Ação taxonomizar</v>
      </c>
      <c r="Z1735" s="47" t="s">
        <v>5068</v>
      </c>
      <c r="AA1735" s="25" t="str">
        <f t="shared" si="985"/>
        <v>null</v>
      </c>
      <c r="AB1735" s="26" t="s">
        <v>0</v>
      </c>
      <c r="AC1735" s="25" t="str">
        <f t="shared" si="986"/>
        <v>null</v>
      </c>
      <c r="AD1735" s="26" t="s">
        <v>0</v>
      </c>
      <c r="AE1735" s="25" t="str">
        <f t="shared" si="987"/>
        <v>null</v>
      </c>
      <c r="AF1735" s="26" t="s">
        <v>0</v>
      </c>
      <c r="AG1735" s="47" t="s">
        <v>3736</v>
      </c>
    </row>
    <row r="1736" spans="1:33" ht="6" customHeight="1" x14ac:dyDescent="0.4">
      <c r="A1736" s="4">
        <f>ROW()</f>
        <v>1736</v>
      </c>
      <c r="B1736" s="9" t="s">
        <v>27</v>
      </c>
      <c r="C1736" s="55" t="str">
        <f t="shared" si="980"/>
        <v>p.taxonomizar</v>
      </c>
      <c r="D1736" s="6" t="str">
        <f t="shared" si="981"/>
        <v>é.estratégia.usada</v>
      </c>
      <c r="E1736" s="8" t="s">
        <v>28</v>
      </c>
      <c r="F1736" s="42" t="str">
        <f t="shared" si="971"/>
        <v>d.taxonomizar</v>
      </c>
      <c r="G1736" s="46" t="s">
        <v>2482</v>
      </c>
      <c r="H1736" s="41" t="s">
        <v>2321</v>
      </c>
      <c r="I1736" s="16" t="str">
        <f t="shared" si="982"/>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83"/>
        <v>Propriedade destinada a taxonomizar: é.estratégia.usada</v>
      </c>
      <c r="V1736" s="5" t="str">
        <f t="shared" si="984"/>
        <v>Dado para taxonomizar:  estratégia.usada  Deve ser formatado como (rdfs:Literal  or  xsd:string)</v>
      </c>
      <c r="W1736" s="5" t="s">
        <v>7055</v>
      </c>
      <c r="X1736" s="24" t="str">
        <f t="shared" si="979"/>
        <v>taxon.135</v>
      </c>
      <c r="Y1736" s="24" t="str">
        <f t="shared" si="978"/>
        <v>Ação taxonomizar</v>
      </c>
      <c r="Z1736" s="47" t="s">
        <v>2802</v>
      </c>
      <c r="AA1736" s="25" t="str">
        <f t="shared" si="985"/>
        <v>null</v>
      </c>
      <c r="AB1736" s="26" t="s">
        <v>0</v>
      </c>
      <c r="AC1736" s="25" t="str">
        <f t="shared" si="986"/>
        <v>null</v>
      </c>
      <c r="AD1736" s="26" t="s">
        <v>0</v>
      </c>
      <c r="AE1736" s="25" t="str">
        <f t="shared" si="987"/>
        <v>null</v>
      </c>
      <c r="AF1736" s="26" t="s">
        <v>0</v>
      </c>
      <c r="AG1736" s="47" t="s">
        <v>3737</v>
      </c>
    </row>
    <row r="1737" spans="1:33" ht="6" customHeight="1" x14ac:dyDescent="0.4">
      <c r="A1737" s="4">
        <f>ROW()</f>
        <v>1737</v>
      </c>
      <c r="B1737" s="9" t="s">
        <v>27</v>
      </c>
      <c r="C1737" s="55" t="str">
        <f t="shared" si="980"/>
        <v>p.taxonomizar</v>
      </c>
      <c r="D1737" s="6" t="str">
        <f t="shared" si="981"/>
        <v>é.explicado.em</v>
      </c>
      <c r="E1737" s="8" t="s">
        <v>28</v>
      </c>
      <c r="F1737" s="42" t="str">
        <f t="shared" si="971"/>
        <v>d.taxonomizar</v>
      </c>
      <c r="G1737" s="46" t="s">
        <v>2504</v>
      </c>
      <c r="H1737" s="41" t="s">
        <v>2321</v>
      </c>
      <c r="I1737" s="16" t="str">
        <f t="shared" si="982"/>
        <v>null</v>
      </c>
      <c r="J1737" s="13" t="s">
        <v>0</v>
      </c>
      <c r="K1737" s="13" t="s">
        <v>0</v>
      </c>
      <c r="L1737" s="13" t="s">
        <v>0</v>
      </c>
      <c r="M1737" s="13" t="s">
        <v>0</v>
      </c>
      <c r="N1737" s="13" t="s">
        <v>285</v>
      </c>
      <c r="O1737" s="13" t="s">
        <v>0</v>
      </c>
      <c r="P1737" s="13" t="s">
        <v>286</v>
      </c>
      <c r="Q1737" s="13" t="s">
        <v>2505</v>
      </c>
      <c r="R1737" s="15" t="s">
        <v>0</v>
      </c>
      <c r="S1737" s="10" t="s">
        <v>1</v>
      </c>
      <c r="T1737" s="10" t="s">
        <v>32</v>
      </c>
      <c r="U1737" s="5" t="str">
        <f t="shared" si="983"/>
        <v>Propriedade destinada a taxonomizar: é.explicado.em</v>
      </c>
      <c r="V1737" s="5" t="str">
        <f t="shared" si="984"/>
        <v>Dado para taxonomizar:  explicado.em  Deve ser formatado como (rdfs:Literal  or  xsd:string)</v>
      </c>
      <c r="W1737" s="5" t="s">
        <v>7056</v>
      </c>
      <c r="X1737" s="24" t="str">
        <f t="shared" si="979"/>
        <v>taxon.136</v>
      </c>
      <c r="Y1737" s="24" t="str">
        <f t="shared" si="978"/>
        <v>Ação taxonomizar</v>
      </c>
      <c r="Z1737" s="47" t="s">
        <v>5069</v>
      </c>
      <c r="AA1737" s="25" t="str">
        <f t="shared" si="985"/>
        <v>null</v>
      </c>
      <c r="AB1737" s="26" t="s">
        <v>0</v>
      </c>
      <c r="AC1737" s="25" t="str">
        <f t="shared" si="986"/>
        <v>null</v>
      </c>
      <c r="AD1737" s="26" t="s">
        <v>0</v>
      </c>
      <c r="AE1737" s="25" t="str">
        <f t="shared" si="987"/>
        <v>null</v>
      </c>
      <c r="AF1737" s="26" t="s">
        <v>0</v>
      </c>
      <c r="AG1737" s="47" t="s">
        <v>5270</v>
      </c>
    </row>
    <row r="1738" spans="1:33" ht="6" customHeight="1" x14ac:dyDescent="0.4">
      <c r="A1738" s="4">
        <f>ROW()</f>
        <v>1738</v>
      </c>
      <c r="B1738" s="9" t="s">
        <v>27</v>
      </c>
      <c r="C1738" s="55" t="str">
        <f t="shared" si="980"/>
        <v>p.taxonomizar</v>
      </c>
      <c r="D1738" s="6" t="str">
        <f t="shared" si="981"/>
        <v>é.explicativa.de</v>
      </c>
      <c r="E1738" s="8" t="s">
        <v>28</v>
      </c>
      <c r="F1738" s="42" t="str">
        <f t="shared" si="971"/>
        <v>d.taxonomizar</v>
      </c>
      <c r="G1738" s="46" t="s">
        <v>2503</v>
      </c>
      <c r="H1738" s="41" t="s">
        <v>2321</v>
      </c>
      <c r="I1738" s="16" t="str">
        <f t="shared" si="982"/>
        <v>null</v>
      </c>
      <c r="J1738" s="13" t="s">
        <v>0</v>
      </c>
      <c r="K1738" s="13" t="s">
        <v>0</v>
      </c>
      <c r="L1738" s="13" t="s">
        <v>0</v>
      </c>
      <c r="M1738" s="13" t="s">
        <v>0</v>
      </c>
      <c r="N1738" s="13" t="s">
        <v>285</v>
      </c>
      <c r="O1738" s="13" t="s">
        <v>0</v>
      </c>
      <c r="P1738" s="13" t="s">
        <v>286</v>
      </c>
      <c r="Q1738" s="13" t="s">
        <v>2506</v>
      </c>
      <c r="R1738" s="15" t="s">
        <v>0</v>
      </c>
      <c r="S1738" s="10" t="s">
        <v>1</v>
      </c>
      <c r="T1738" s="10" t="s">
        <v>32</v>
      </c>
      <c r="U1738" s="5" t="str">
        <f t="shared" si="983"/>
        <v>Propriedade destinada a taxonomizar: é.explicativa.de</v>
      </c>
      <c r="V1738" s="5" t="str">
        <f t="shared" si="984"/>
        <v>Dado para taxonomizar:  explicativa.de  Deve ser formatado como (rdfs:Literal  or  xsd:string)</v>
      </c>
      <c r="W1738" s="5" t="s">
        <v>7057</v>
      </c>
      <c r="X1738" s="24" t="str">
        <f t="shared" si="979"/>
        <v>taxon.137</v>
      </c>
      <c r="Y1738" s="24" t="str">
        <f t="shared" si="978"/>
        <v>Ação taxonomizar</v>
      </c>
      <c r="Z1738" s="47" t="s">
        <v>5070</v>
      </c>
      <c r="AA1738" s="25" t="str">
        <f t="shared" si="985"/>
        <v>null</v>
      </c>
      <c r="AB1738" s="26" t="s">
        <v>0</v>
      </c>
      <c r="AC1738" s="25" t="str">
        <f t="shared" si="986"/>
        <v>null</v>
      </c>
      <c r="AD1738" s="26" t="s">
        <v>0</v>
      </c>
      <c r="AE1738" s="25" t="str">
        <f t="shared" si="987"/>
        <v>null</v>
      </c>
      <c r="AF1738" s="26" t="s">
        <v>0</v>
      </c>
      <c r="AG1738" s="47" t="s">
        <v>5271</v>
      </c>
    </row>
    <row r="1739" spans="1:33" ht="6" customHeight="1" x14ac:dyDescent="0.4">
      <c r="A1739" s="4">
        <f>ROW()</f>
        <v>1739</v>
      </c>
      <c r="B1739" s="9" t="s">
        <v>27</v>
      </c>
      <c r="C1739" s="55" t="str">
        <f t="shared" si="980"/>
        <v>p.taxonomizar</v>
      </c>
      <c r="D1739" s="6" t="str">
        <f t="shared" si="981"/>
        <v>é.financiador</v>
      </c>
      <c r="E1739" s="8" t="s">
        <v>28</v>
      </c>
      <c r="F1739" s="42" t="str">
        <f t="shared" si="971"/>
        <v>d.taxonomizar</v>
      </c>
      <c r="G1739" s="46" t="s">
        <v>2529</v>
      </c>
      <c r="H1739" s="41" t="s">
        <v>2321</v>
      </c>
      <c r="I1739" s="16" t="str">
        <f t="shared" si="982"/>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83"/>
        <v>Propriedade destinada a taxonomizar: é.financiador</v>
      </c>
      <c r="V1739" s="5" t="str">
        <f t="shared" si="984"/>
        <v>Dado para taxonomizar:  financiador  Deve ser formatado como (rdfs:Literal  or  xsd:string)</v>
      </c>
      <c r="W1739" s="5" t="s">
        <v>7058</v>
      </c>
      <c r="X1739" s="24" t="str">
        <f t="shared" si="979"/>
        <v>taxon.138</v>
      </c>
      <c r="Y1739" s="24" t="str">
        <f t="shared" si="978"/>
        <v>Ação taxonomizar</v>
      </c>
      <c r="Z1739" s="47" t="s">
        <v>2803</v>
      </c>
      <c r="AA1739" s="25" t="str">
        <f t="shared" si="985"/>
        <v>null</v>
      </c>
      <c r="AB1739" s="26" t="s">
        <v>0</v>
      </c>
      <c r="AC1739" s="25" t="str">
        <f t="shared" si="986"/>
        <v>null</v>
      </c>
      <c r="AD1739" s="26" t="s">
        <v>0</v>
      </c>
      <c r="AE1739" s="25" t="str">
        <f t="shared" si="987"/>
        <v>null</v>
      </c>
      <c r="AF1739" s="26" t="s">
        <v>0</v>
      </c>
      <c r="AG1739" s="47" t="s">
        <v>3738</v>
      </c>
    </row>
    <row r="1740" spans="1:33" ht="6" customHeight="1" x14ac:dyDescent="0.4">
      <c r="A1740" s="4">
        <f>ROW()</f>
        <v>1740</v>
      </c>
      <c r="B1740" s="9" t="s">
        <v>27</v>
      </c>
      <c r="C1740" s="55" t="str">
        <f t="shared" si="980"/>
        <v>p.taxonomizar</v>
      </c>
      <c r="D1740" s="6" t="str">
        <f t="shared" si="981"/>
        <v>é.fora.do.escopo</v>
      </c>
      <c r="E1740" s="8" t="s">
        <v>28</v>
      </c>
      <c r="F1740" s="42" t="str">
        <f t="shared" si="971"/>
        <v>d.taxonomizar</v>
      </c>
      <c r="G1740" s="18" t="s">
        <v>2564</v>
      </c>
      <c r="H1740" s="41" t="s">
        <v>2321</v>
      </c>
      <c r="I1740" s="16" t="str">
        <f t="shared" si="98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83"/>
        <v>Propriedade destinada a taxonomizar: é.fora.do.escopo</v>
      </c>
      <c r="V1740" s="5" t="str">
        <f t="shared" si="984"/>
        <v>Dado para taxonomizar:  fora.do.escopo  Deve ser formatado como (rdfs:Literal  or  xsd:string)</v>
      </c>
      <c r="W1740" s="5" t="s">
        <v>7059</v>
      </c>
      <c r="X1740" s="24" t="str">
        <f t="shared" si="979"/>
        <v>taxon.139</v>
      </c>
      <c r="Y1740" s="24" t="str">
        <f t="shared" si="978"/>
        <v>Ação taxonomizar</v>
      </c>
      <c r="Z1740" s="47" t="s">
        <v>5071</v>
      </c>
      <c r="AA1740" s="25" t="str">
        <f t="shared" si="985"/>
        <v>null</v>
      </c>
      <c r="AB1740" s="26" t="s">
        <v>0</v>
      </c>
      <c r="AC1740" s="25" t="str">
        <f t="shared" si="986"/>
        <v>null</v>
      </c>
      <c r="AD1740" s="26" t="s">
        <v>0</v>
      </c>
      <c r="AE1740" s="25" t="str">
        <f t="shared" si="987"/>
        <v>null</v>
      </c>
      <c r="AF1740" s="26" t="s">
        <v>0</v>
      </c>
      <c r="AG1740" s="47" t="s">
        <v>3739</v>
      </c>
    </row>
    <row r="1741" spans="1:33" ht="6" customHeight="1" x14ac:dyDescent="0.4">
      <c r="A1741" s="4">
        <f>ROW()</f>
        <v>1741</v>
      </c>
      <c r="B1741" s="9" t="s">
        <v>27</v>
      </c>
      <c r="C1741" s="55" t="str">
        <f t="shared" si="980"/>
        <v>p.taxonomizar</v>
      </c>
      <c r="D1741" s="6" t="str">
        <f t="shared" si="981"/>
        <v>é.fundamentado.em</v>
      </c>
      <c r="E1741" s="8" t="s">
        <v>28</v>
      </c>
      <c r="F1741" s="42" t="str">
        <f t="shared" si="971"/>
        <v>d.taxonomizar</v>
      </c>
      <c r="G1741" s="46" t="s">
        <v>2524</v>
      </c>
      <c r="H1741" s="41" t="s">
        <v>2321</v>
      </c>
      <c r="I1741" s="16" t="str">
        <f t="shared" si="982"/>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83"/>
        <v>Propriedade destinada a taxonomizar: é.fundamentado.em</v>
      </c>
      <c r="V1741" s="5" t="str">
        <f t="shared" si="984"/>
        <v>Dado para taxonomizar:  fundamentado.em  Deve ser formatado como (rdfs:Literal  or  xsd:string)</v>
      </c>
      <c r="W1741" s="5" t="s">
        <v>7060</v>
      </c>
      <c r="X1741" s="24" t="str">
        <f t="shared" si="979"/>
        <v>taxon.140</v>
      </c>
      <c r="Y1741" s="24" t="str">
        <f t="shared" si="978"/>
        <v>Ação taxonomizar</v>
      </c>
      <c r="Z1741" s="47" t="s">
        <v>2804</v>
      </c>
      <c r="AA1741" s="25" t="str">
        <f t="shared" si="985"/>
        <v>null</v>
      </c>
      <c r="AB1741" s="26" t="s">
        <v>0</v>
      </c>
      <c r="AC1741" s="25" t="str">
        <f t="shared" si="986"/>
        <v>null</v>
      </c>
      <c r="AD1741" s="26" t="s">
        <v>0</v>
      </c>
      <c r="AE1741" s="25" t="str">
        <f t="shared" si="987"/>
        <v>null</v>
      </c>
      <c r="AF1741" s="26" t="s">
        <v>0</v>
      </c>
      <c r="AG1741" s="47" t="s">
        <v>5202</v>
      </c>
    </row>
    <row r="1742" spans="1:33" ht="6" customHeight="1" x14ac:dyDescent="0.4">
      <c r="A1742" s="4">
        <f>ROW()</f>
        <v>1742</v>
      </c>
      <c r="B1742" s="9" t="s">
        <v>27</v>
      </c>
      <c r="C1742" s="55" t="str">
        <f t="shared" si="980"/>
        <v>p.taxonomizar</v>
      </c>
      <c r="D1742" s="6" t="str">
        <f t="shared" si="981"/>
        <v>é.impacto</v>
      </c>
      <c r="E1742" s="8" t="s">
        <v>28</v>
      </c>
      <c r="F1742" s="42" t="str">
        <f t="shared" si="971"/>
        <v>d.taxonomizar</v>
      </c>
      <c r="G1742" s="46" t="s">
        <v>2537</v>
      </c>
      <c r="H1742" s="41" t="s">
        <v>2321</v>
      </c>
      <c r="I1742" s="16" t="str">
        <f t="shared" si="98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83"/>
        <v>Propriedade destinada a taxonomizar: é.impacto</v>
      </c>
      <c r="V1742" s="5" t="str">
        <f t="shared" si="984"/>
        <v>Dado para taxonomizar:  impacto  Deve ser formatado como (rdfs:Literal  or  xsd:string)</v>
      </c>
      <c r="W1742" s="5" t="s">
        <v>7061</v>
      </c>
      <c r="X1742" s="24" t="str">
        <f t="shared" si="979"/>
        <v>taxon.141</v>
      </c>
      <c r="Y1742" s="24" t="str">
        <f t="shared" si="978"/>
        <v>Ação taxonomizar</v>
      </c>
      <c r="Z1742" s="47" t="s">
        <v>5073</v>
      </c>
      <c r="AA1742" s="25" t="str">
        <f t="shared" si="985"/>
        <v>null</v>
      </c>
      <c r="AB1742" s="26" t="s">
        <v>0</v>
      </c>
      <c r="AC1742" s="25" t="str">
        <f t="shared" si="986"/>
        <v>null</v>
      </c>
      <c r="AD1742" s="26" t="s">
        <v>0</v>
      </c>
      <c r="AE1742" s="25" t="str">
        <f t="shared" si="987"/>
        <v>null</v>
      </c>
      <c r="AF1742" s="26" t="s">
        <v>0</v>
      </c>
      <c r="AG1742" s="47" t="s">
        <v>5272</v>
      </c>
    </row>
    <row r="1743" spans="1:33" ht="6" customHeight="1" x14ac:dyDescent="0.4">
      <c r="A1743" s="4">
        <f>ROW()</f>
        <v>1743</v>
      </c>
      <c r="B1743" s="9" t="s">
        <v>27</v>
      </c>
      <c r="C1743" s="55" t="str">
        <f t="shared" si="980"/>
        <v>p.taxonomizar</v>
      </c>
      <c r="D1743" s="6" t="str">
        <f t="shared" si="981"/>
        <v>é.indicador</v>
      </c>
      <c r="E1743" s="8" t="s">
        <v>28</v>
      </c>
      <c r="F1743" s="42" t="str">
        <f>F1741</f>
        <v>d.taxonomizar</v>
      </c>
      <c r="G1743" s="46" t="s">
        <v>2496</v>
      </c>
      <c r="H1743" s="41" t="s">
        <v>2321</v>
      </c>
      <c r="I1743" s="16" t="str">
        <f t="shared" si="98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83"/>
        <v>Propriedade destinada a taxonomizar: é.indicador</v>
      </c>
      <c r="V1743" s="5" t="str">
        <f t="shared" si="984"/>
        <v>Dado para taxonomizar:  indicador  Deve ser formatado como (rdfs:Literal  or  xsd:string)</v>
      </c>
      <c r="W1743" s="5" t="s">
        <v>7062</v>
      </c>
      <c r="X1743" s="24" t="str">
        <f t="shared" si="979"/>
        <v>taxon.142</v>
      </c>
      <c r="Y1743" s="24" t="str">
        <f t="shared" si="978"/>
        <v>Ação taxonomizar</v>
      </c>
      <c r="Z1743" s="47" t="s">
        <v>5072</v>
      </c>
      <c r="AA1743" s="25" t="str">
        <f t="shared" si="985"/>
        <v>null</v>
      </c>
      <c r="AB1743" s="26" t="s">
        <v>0</v>
      </c>
      <c r="AC1743" s="25" t="str">
        <f t="shared" si="986"/>
        <v>null</v>
      </c>
      <c r="AD1743" s="26" t="s">
        <v>0</v>
      </c>
      <c r="AE1743" s="25" t="str">
        <f t="shared" si="987"/>
        <v>null</v>
      </c>
      <c r="AF1743" s="26" t="s">
        <v>0</v>
      </c>
      <c r="AG1743" s="47" t="s">
        <v>3740</v>
      </c>
    </row>
    <row r="1744" spans="1:33" ht="6" customHeight="1" x14ac:dyDescent="0.4">
      <c r="A1744" s="4">
        <f>ROW()</f>
        <v>1744</v>
      </c>
      <c r="B1744" s="9" t="s">
        <v>27</v>
      </c>
      <c r="C1744" s="55" t="str">
        <f t="shared" si="980"/>
        <v>p.taxonomizar</v>
      </c>
      <c r="D1744" s="6" t="str">
        <f t="shared" si="981"/>
        <v>é.introdução</v>
      </c>
      <c r="E1744" s="8" t="s">
        <v>28</v>
      </c>
      <c r="F1744" s="42" t="str">
        <f>F1742</f>
        <v>d.taxonomizar</v>
      </c>
      <c r="G1744" s="46" t="s">
        <v>2571</v>
      </c>
      <c r="H1744" s="41" t="s">
        <v>2321</v>
      </c>
      <c r="I1744" s="16" t="str">
        <f t="shared" si="98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83"/>
        <v>Propriedade destinada a taxonomizar: é.introdução</v>
      </c>
      <c r="V1744" s="5" t="str">
        <f t="shared" si="984"/>
        <v>Dado para taxonomizar:  introdução  Deve ser formatado como (rdfs:Literal  or  xsd:string)</v>
      </c>
      <c r="W1744" s="5" t="s">
        <v>7063</v>
      </c>
      <c r="X1744" s="24" t="str">
        <f t="shared" si="979"/>
        <v>taxon.143</v>
      </c>
      <c r="Y1744" s="24" t="str">
        <f t="shared" si="978"/>
        <v>Ação taxonomizar</v>
      </c>
      <c r="Z1744" s="47" t="s">
        <v>5074</v>
      </c>
      <c r="AA1744" s="25" t="str">
        <f t="shared" si="985"/>
        <v>null</v>
      </c>
      <c r="AB1744" s="26" t="s">
        <v>0</v>
      </c>
      <c r="AC1744" s="25" t="str">
        <f t="shared" si="986"/>
        <v>null</v>
      </c>
      <c r="AD1744" s="26" t="s">
        <v>0</v>
      </c>
      <c r="AE1744" s="25" t="str">
        <f t="shared" si="987"/>
        <v>null</v>
      </c>
      <c r="AF1744" s="26" t="s">
        <v>0</v>
      </c>
      <c r="AG1744" s="47" t="s">
        <v>3741</v>
      </c>
    </row>
    <row r="1745" spans="1:33" ht="6" customHeight="1" x14ac:dyDescent="0.4">
      <c r="A1745" s="4">
        <f>ROW()</f>
        <v>1745</v>
      </c>
      <c r="B1745" s="9" t="s">
        <v>27</v>
      </c>
      <c r="C1745" s="55" t="str">
        <f t="shared" si="980"/>
        <v>p.taxonomizar</v>
      </c>
      <c r="D1745" s="6" t="str">
        <f t="shared" si="981"/>
        <v>é.medida.qualificada</v>
      </c>
      <c r="E1745" s="8" t="s">
        <v>28</v>
      </c>
      <c r="F1745" s="42" t="str">
        <f t="shared" ref="F1745:F1766" si="988">F1744</f>
        <v>d.taxonomizar</v>
      </c>
      <c r="G1745" s="18" t="s">
        <v>2555</v>
      </c>
      <c r="H1745" s="41" t="s">
        <v>2321</v>
      </c>
      <c r="I1745" s="16" t="str">
        <f t="shared" si="98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83"/>
        <v>Propriedade destinada a taxonomizar: é.medida.qualificada</v>
      </c>
      <c r="V1745" s="5" t="str">
        <f t="shared" si="984"/>
        <v>Dado para taxonomizar:  medida.qualificada  Deve ser formatado como (rdfs:Literal  or  xsd:string)</v>
      </c>
      <c r="W1745" s="5" t="s">
        <v>7064</v>
      </c>
      <c r="X1745" s="24" t="str">
        <f t="shared" si="979"/>
        <v>taxon.144</v>
      </c>
      <c r="Y1745" s="24" t="str">
        <f t="shared" si="978"/>
        <v>Ação taxonomizar</v>
      </c>
      <c r="Z1745" s="47" t="s">
        <v>5075</v>
      </c>
      <c r="AA1745" s="25" t="str">
        <f t="shared" si="985"/>
        <v>null</v>
      </c>
      <c r="AB1745" s="26" t="s">
        <v>0</v>
      </c>
      <c r="AC1745" s="25" t="str">
        <f t="shared" si="986"/>
        <v>null</v>
      </c>
      <c r="AD1745" s="26" t="s">
        <v>0</v>
      </c>
      <c r="AE1745" s="25" t="str">
        <f t="shared" si="987"/>
        <v>null</v>
      </c>
      <c r="AF1745" s="26" t="s">
        <v>0</v>
      </c>
      <c r="AG1745" s="47" t="s">
        <v>3742</v>
      </c>
    </row>
    <row r="1746" spans="1:33" ht="6" customHeight="1" x14ac:dyDescent="0.4">
      <c r="A1746" s="4">
        <f>ROW()</f>
        <v>1746</v>
      </c>
      <c r="B1746" s="9" t="s">
        <v>27</v>
      </c>
      <c r="C1746" s="55" t="str">
        <f t="shared" si="980"/>
        <v>p.taxonomizar</v>
      </c>
      <c r="D1746" s="6" t="str">
        <f t="shared" si="981"/>
        <v>é.missão.principal</v>
      </c>
      <c r="E1746" s="8" t="s">
        <v>28</v>
      </c>
      <c r="F1746" s="42" t="str">
        <f t="shared" si="988"/>
        <v>d.taxonomizar</v>
      </c>
      <c r="G1746" s="46" t="s">
        <v>2532</v>
      </c>
      <c r="H1746" s="41" t="s">
        <v>2321</v>
      </c>
      <c r="I1746" s="16" t="str">
        <f t="shared" si="982"/>
        <v>null</v>
      </c>
      <c r="J1746" s="13" t="s">
        <v>0</v>
      </c>
      <c r="K1746" s="13" t="s">
        <v>0</v>
      </c>
      <c r="L1746" s="13" t="s">
        <v>0</v>
      </c>
      <c r="M1746" s="13" t="s">
        <v>0</v>
      </c>
      <c r="N1746" s="15" t="s">
        <v>0</v>
      </c>
      <c r="O1746" s="13" t="s">
        <v>0</v>
      </c>
      <c r="P1746" s="13" t="s">
        <v>0</v>
      </c>
      <c r="Q1746" s="13" t="s">
        <v>0</v>
      </c>
      <c r="R1746" s="15" t="s">
        <v>2534</v>
      </c>
      <c r="S1746" s="10" t="s">
        <v>1</v>
      </c>
      <c r="T1746" s="10" t="s">
        <v>32</v>
      </c>
      <c r="U1746" s="5" t="str">
        <f t="shared" si="983"/>
        <v>Propriedade destinada a taxonomizar: é.missão.principal</v>
      </c>
      <c r="V1746" s="5" t="str">
        <f t="shared" si="984"/>
        <v>Dado para taxonomizar:  missão.principal  Deve ser formatado como (rdfs:Literal  or  xsd:string)</v>
      </c>
      <c r="W1746" s="5" t="s">
        <v>7065</v>
      </c>
      <c r="X1746" s="24" t="str">
        <f t="shared" si="979"/>
        <v>taxon.145</v>
      </c>
      <c r="Y1746" s="24" t="str">
        <f t="shared" si="978"/>
        <v>Ação taxonomizar</v>
      </c>
      <c r="Z1746" s="47" t="s">
        <v>2805</v>
      </c>
      <c r="AA1746" s="25" t="str">
        <f t="shared" si="985"/>
        <v>null</v>
      </c>
      <c r="AB1746" s="26" t="s">
        <v>0</v>
      </c>
      <c r="AC1746" s="25" t="str">
        <f t="shared" si="986"/>
        <v>null</v>
      </c>
      <c r="AD1746" s="26" t="s">
        <v>0</v>
      </c>
      <c r="AE1746" s="25" t="str">
        <f t="shared" si="987"/>
        <v>null</v>
      </c>
      <c r="AF1746" s="26" t="s">
        <v>0</v>
      </c>
      <c r="AG1746" s="47" t="s">
        <v>3743</v>
      </c>
    </row>
    <row r="1747" spans="1:33" ht="6" customHeight="1" x14ac:dyDescent="0.4">
      <c r="A1747" s="4">
        <f>ROW()</f>
        <v>1747</v>
      </c>
      <c r="B1747" s="9" t="s">
        <v>27</v>
      </c>
      <c r="C1747" s="55" t="str">
        <f t="shared" si="980"/>
        <v>p.taxonomizar</v>
      </c>
      <c r="D1747" s="6" t="str">
        <f t="shared" si="981"/>
        <v>é.não.prejudicar</v>
      </c>
      <c r="E1747" s="8" t="s">
        <v>28</v>
      </c>
      <c r="F1747" s="42" t="str">
        <f t="shared" si="988"/>
        <v>d.taxonomizar</v>
      </c>
      <c r="G1747" s="18" t="s">
        <v>2560</v>
      </c>
      <c r="H1747" s="41" t="s">
        <v>2321</v>
      </c>
      <c r="I1747" s="16" t="str">
        <f t="shared" si="98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83"/>
        <v>Propriedade destinada a taxonomizar: é.não.prejudicar</v>
      </c>
      <c r="V1747" s="5" t="str">
        <f t="shared" si="984"/>
        <v>Dado para taxonomizar:  não.prejudicar  Deve ser formatado como (rdfs:Literal  or  xsd:string)</v>
      </c>
      <c r="W1747" s="5" t="s">
        <v>7066</v>
      </c>
      <c r="X1747" s="24" t="str">
        <f t="shared" si="979"/>
        <v>taxon.146</v>
      </c>
      <c r="Y1747" s="24" t="str">
        <f t="shared" si="978"/>
        <v>Ação taxonomizar</v>
      </c>
      <c r="Z1747" s="47" t="s">
        <v>2806</v>
      </c>
      <c r="AA1747" s="25" t="str">
        <f t="shared" si="985"/>
        <v>null</v>
      </c>
      <c r="AB1747" s="26" t="s">
        <v>0</v>
      </c>
      <c r="AC1747" s="25" t="str">
        <f t="shared" si="986"/>
        <v>null</v>
      </c>
      <c r="AD1747" s="26" t="s">
        <v>0</v>
      </c>
      <c r="AE1747" s="25" t="str">
        <f t="shared" si="987"/>
        <v>null</v>
      </c>
      <c r="AF1747" s="26" t="s">
        <v>0</v>
      </c>
      <c r="AG1747" s="47" t="s">
        <v>3744</v>
      </c>
    </row>
    <row r="1748" spans="1:33" ht="6" customHeight="1" x14ac:dyDescent="0.4">
      <c r="A1748" s="4">
        <f>ROW()</f>
        <v>1748</v>
      </c>
      <c r="B1748" s="9" t="s">
        <v>27</v>
      </c>
      <c r="C1748" s="55" t="str">
        <f t="shared" si="980"/>
        <v>p.taxonomizar</v>
      </c>
      <c r="D1748" s="6" t="str">
        <f t="shared" si="981"/>
        <v>é.nível.de.atuação</v>
      </c>
      <c r="E1748" s="8" t="s">
        <v>28</v>
      </c>
      <c r="F1748" s="42" t="str">
        <f t="shared" si="988"/>
        <v>d.taxonomizar</v>
      </c>
      <c r="G1748" s="46" t="s">
        <v>2489</v>
      </c>
      <c r="H1748" s="41" t="s">
        <v>2321</v>
      </c>
      <c r="I1748" s="16" t="str">
        <f t="shared" si="98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83"/>
        <v>Propriedade destinada a taxonomizar: é.nível.de.atuação</v>
      </c>
      <c r="V1748" s="5" t="str">
        <f t="shared" si="984"/>
        <v>Dado para taxonomizar:  nível.de.atuação  Deve ser formatado como (rdfs:Literal  or  xsd:string)</v>
      </c>
      <c r="W1748" s="5" t="s">
        <v>7067</v>
      </c>
      <c r="X1748" s="24" t="str">
        <f t="shared" si="979"/>
        <v>taxon.147</v>
      </c>
      <c r="Y1748" s="24" t="str">
        <f t="shared" si="978"/>
        <v>Ação taxonomizar</v>
      </c>
      <c r="Z1748" s="47" t="s">
        <v>5076</v>
      </c>
      <c r="AA1748" s="25" t="str">
        <f t="shared" si="985"/>
        <v>null</v>
      </c>
      <c r="AB1748" s="26" t="s">
        <v>0</v>
      </c>
      <c r="AC1748" s="25" t="str">
        <f t="shared" si="986"/>
        <v>null</v>
      </c>
      <c r="AD1748" s="26" t="s">
        <v>0</v>
      </c>
      <c r="AE1748" s="25" t="str">
        <f t="shared" si="987"/>
        <v>null</v>
      </c>
      <c r="AF1748" s="26" t="s">
        <v>0</v>
      </c>
      <c r="AG1748" s="47" t="s">
        <v>5203</v>
      </c>
    </row>
    <row r="1749" spans="1:33" ht="6" customHeight="1" x14ac:dyDescent="0.4">
      <c r="A1749" s="4">
        <f>ROW()</f>
        <v>1749</v>
      </c>
      <c r="B1749" s="9" t="s">
        <v>27</v>
      </c>
      <c r="C1749" s="55" t="str">
        <f t="shared" si="980"/>
        <v>p.taxonomizar</v>
      </c>
      <c r="D1749" s="6" t="str">
        <f t="shared" si="981"/>
        <v>é.nota</v>
      </c>
      <c r="E1749" s="8" t="s">
        <v>28</v>
      </c>
      <c r="F1749" s="42" t="str">
        <f t="shared" si="988"/>
        <v>d.taxonomizar</v>
      </c>
      <c r="G1749" s="46" t="s">
        <v>2483</v>
      </c>
      <c r="H1749" s="41" t="s">
        <v>2321</v>
      </c>
      <c r="I1749" s="16" t="str">
        <f t="shared" si="98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83"/>
        <v>Propriedade destinada a taxonomizar: é.nota</v>
      </c>
      <c r="V1749" s="5" t="str">
        <f t="shared" si="984"/>
        <v>Dado para taxonomizar:  nota  Deve ser formatado como (rdfs:Literal  or  xsd:string)</v>
      </c>
      <c r="W1749" s="5" t="s">
        <v>7068</v>
      </c>
      <c r="X1749" s="24" t="str">
        <f t="shared" si="979"/>
        <v>taxon.148</v>
      </c>
      <c r="Y1749" s="24" t="str">
        <f t="shared" si="978"/>
        <v>Ação taxonomizar</v>
      </c>
      <c r="Z1749" s="47" t="s">
        <v>5077</v>
      </c>
      <c r="AA1749" s="25" t="str">
        <f t="shared" si="985"/>
        <v>null</v>
      </c>
      <c r="AB1749" s="26" t="s">
        <v>0</v>
      </c>
      <c r="AC1749" s="25" t="str">
        <f t="shared" si="986"/>
        <v>null</v>
      </c>
      <c r="AD1749" s="26" t="s">
        <v>0</v>
      </c>
      <c r="AE1749" s="25" t="str">
        <f t="shared" si="987"/>
        <v>null</v>
      </c>
      <c r="AF1749" s="26" t="s">
        <v>0</v>
      </c>
      <c r="AG1749" s="47" t="s">
        <v>3745</v>
      </c>
    </row>
    <row r="1750" spans="1:33" ht="6" customHeight="1" x14ac:dyDescent="0.4">
      <c r="A1750" s="4">
        <f>ROW()</f>
        <v>1750</v>
      </c>
      <c r="B1750" s="9" t="s">
        <v>27</v>
      </c>
      <c r="C1750" s="55" t="str">
        <f t="shared" si="980"/>
        <v>p.taxonomizar</v>
      </c>
      <c r="D1750" s="6" t="str">
        <f t="shared" si="981"/>
        <v>é.nota.aplicada</v>
      </c>
      <c r="E1750" s="8" t="s">
        <v>28</v>
      </c>
      <c r="F1750" s="42" t="str">
        <f t="shared" si="988"/>
        <v>d.taxonomizar</v>
      </c>
      <c r="G1750" s="46" t="s">
        <v>2484</v>
      </c>
      <c r="H1750" s="41" t="s">
        <v>2321</v>
      </c>
      <c r="I1750" s="16" t="str">
        <f t="shared" si="98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83"/>
        <v>Propriedade destinada a taxonomizar: é.nota.aplicada</v>
      </c>
      <c r="V1750" s="5" t="str">
        <f t="shared" si="984"/>
        <v>Dado para taxonomizar:  nota.aplicada  Deve ser formatado como (rdfs:Literal  or  xsd:string)</v>
      </c>
      <c r="W1750" s="5" t="s">
        <v>7069</v>
      </c>
      <c r="X1750" s="24" t="str">
        <f t="shared" si="979"/>
        <v>taxon.149</v>
      </c>
      <c r="Y1750" s="24" t="str">
        <f t="shared" si="978"/>
        <v>Ação taxonomizar</v>
      </c>
      <c r="Z1750" s="47" t="s">
        <v>2807</v>
      </c>
      <c r="AA1750" s="25" t="str">
        <f t="shared" si="985"/>
        <v>null</v>
      </c>
      <c r="AB1750" s="26" t="s">
        <v>0</v>
      </c>
      <c r="AC1750" s="25" t="str">
        <f t="shared" si="986"/>
        <v>null</v>
      </c>
      <c r="AD1750" s="26" t="s">
        <v>0</v>
      </c>
      <c r="AE1750" s="25" t="str">
        <f t="shared" si="987"/>
        <v>null</v>
      </c>
      <c r="AF1750" s="26" t="s">
        <v>0</v>
      </c>
      <c r="AG1750" s="47" t="s">
        <v>3746</v>
      </c>
    </row>
    <row r="1751" spans="1:33" ht="6" customHeight="1" x14ac:dyDescent="0.4">
      <c r="A1751" s="4">
        <f>ROW()</f>
        <v>1751</v>
      </c>
      <c r="B1751" s="9" t="s">
        <v>27</v>
      </c>
      <c r="C1751" s="55" t="str">
        <f t="shared" si="980"/>
        <v>p.taxonomizar</v>
      </c>
      <c r="D1751" s="6" t="str">
        <f t="shared" si="981"/>
        <v>é.orientação.de.preenchimento</v>
      </c>
      <c r="E1751" s="8" t="s">
        <v>28</v>
      </c>
      <c r="F1751" s="42" t="str">
        <f t="shared" si="988"/>
        <v>d.taxonomizar</v>
      </c>
      <c r="G1751" s="46" t="s">
        <v>2490</v>
      </c>
      <c r="H1751" s="41" t="s">
        <v>2321</v>
      </c>
      <c r="I1751" s="16" t="str">
        <f t="shared" si="98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83"/>
        <v>Propriedade destinada a taxonomizar: é.orientação.de.preenchimento</v>
      </c>
      <c r="V1751" s="5" t="str">
        <f t="shared" si="984"/>
        <v>Dado para taxonomizar:  orientação.de.preenchimento  Deve ser formatado como (rdfs:Literal  or  xsd:string)</v>
      </c>
      <c r="W1751" s="5" t="s">
        <v>7070</v>
      </c>
      <c r="X1751" s="24" t="str">
        <f t="shared" si="979"/>
        <v>taxon.150</v>
      </c>
      <c r="Y1751" s="24" t="str">
        <f t="shared" si="978"/>
        <v>Ação taxonomizar</v>
      </c>
      <c r="Z1751" s="47" t="s">
        <v>2808</v>
      </c>
      <c r="AA1751" s="25" t="str">
        <f t="shared" si="985"/>
        <v>null</v>
      </c>
      <c r="AB1751" s="26" t="s">
        <v>0</v>
      </c>
      <c r="AC1751" s="25" t="str">
        <f t="shared" si="986"/>
        <v>null</v>
      </c>
      <c r="AD1751" s="26" t="s">
        <v>0</v>
      </c>
      <c r="AE1751" s="25" t="str">
        <f t="shared" si="987"/>
        <v>null</v>
      </c>
      <c r="AF1751" s="26" t="s">
        <v>0</v>
      </c>
      <c r="AG1751" s="47" t="s">
        <v>5204</v>
      </c>
    </row>
    <row r="1752" spans="1:33" ht="6" customHeight="1" x14ac:dyDescent="0.4">
      <c r="A1752" s="4">
        <f>ROW()</f>
        <v>1752</v>
      </c>
      <c r="B1752" s="9" t="s">
        <v>27</v>
      </c>
      <c r="C1752" s="55" t="str">
        <f t="shared" si="980"/>
        <v>p.taxonomizar</v>
      </c>
      <c r="D1752" s="6" t="str">
        <f t="shared" si="981"/>
        <v>é.para.certificar</v>
      </c>
      <c r="E1752" s="8" t="s">
        <v>28</v>
      </c>
      <c r="F1752" s="42" t="str">
        <f t="shared" si="988"/>
        <v>d.taxonomizar</v>
      </c>
      <c r="G1752" s="46" t="s">
        <v>2485</v>
      </c>
      <c r="H1752" s="41" t="s">
        <v>2321</v>
      </c>
      <c r="I1752" s="16" t="str">
        <f t="shared" si="98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83"/>
        <v>Propriedade destinada a taxonomizar: é.para.certificar</v>
      </c>
      <c r="V1752" s="5" t="str">
        <f t="shared" si="984"/>
        <v>Dado para taxonomizar:  para.certificar  Deve ser formatado como (rdfs:Literal  or  xsd:string)</v>
      </c>
      <c r="W1752" s="5" t="s">
        <v>7071</v>
      </c>
      <c r="X1752" s="24" t="str">
        <f t="shared" si="979"/>
        <v>taxon.151</v>
      </c>
      <c r="Y1752" s="24" t="str">
        <f t="shared" si="978"/>
        <v>Ação taxonomizar</v>
      </c>
      <c r="Z1752" s="47" t="s">
        <v>2809</v>
      </c>
      <c r="AA1752" s="25" t="str">
        <f t="shared" si="985"/>
        <v>null</v>
      </c>
      <c r="AB1752" s="26" t="s">
        <v>0</v>
      </c>
      <c r="AC1752" s="25" t="str">
        <f t="shared" si="986"/>
        <v>null</v>
      </c>
      <c r="AD1752" s="26" t="s">
        <v>0</v>
      </c>
      <c r="AE1752" s="25" t="str">
        <f t="shared" si="987"/>
        <v>null</v>
      </c>
      <c r="AF1752" s="26" t="s">
        <v>0</v>
      </c>
      <c r="AG1752" s="47" t="s">
        <v>3747</v>
      </c>
    </row>
    <row r="1753" spans="1:33" ht="6" customHeight="1" x14ac:dyDescent="0.4">
      <c r="A1753" s="4">
        <f>ROW()</f>
        <v>1753</v>
      </c>
      <c r="B1753" s="9" t="s">
        <v>27</v>
      </c>
      <c r="C1753" s="55" t="str">
        <f t="shared" si="980"/>
        <v>p.taxonomizar</v>
      </c>
      <c r="D1753" s="6" t="str">
        <f t="shared" si="981"/>
        <v>é.para.qualificar</v>
      </c>
      <c r="E1753" s="8" t="s">
        <v>28</v>
      </c>
      <c r="F1753" s="42" t="str">
        <f t="shared" si="988"/>
        <v>d.taxonomizar</v>
      </c>
      <c r="G1753" s="18" t="s">
        <v>2557</v>
      </c>
      <c r="H1753" s="41" t="s">
        <v>2321</v>
      </c>
      <c r="I1753" s="16" t="str">
        <f t="shared" si="982"/>
        <v>null</v>
      </c>
      <c r="J1753" s="13" t="s">
        <v>0</v>
      </c>
      <c r="K1753" s="13" t="s">
        <v>0</v>
      </c>
      <c r="L1753" s="13" t="s">
        <v>0</v>
      </c>
      <c r="M1753" s="13" t="s">
        <v>0</v>
      </c>
      <c r="N1753" s="15" t="s">
        <v>0</v>
      </c>
      <c r="O1753" s="13" t="s">
        <v>0</v>
      </c>
      <c r="P1753" s="13" t="s">
        <v>0</v>
      </c>
      <c r="Q1753" s="13" t="s">
        <v>2559</v>
      </c>
      <c r="R1753" s="15" t="s">
        <v>0</v>
      </c>
      <c r="S1753" s="10" t="s">
        <v>1</v>
      </c>
      <c r="T1753" s="10" t="s">
        <v>32</v>
      </c>
      <c r="U1753" s="5" t="str">
        <f t="shared" si="983"/>
        <v>Propriedade destinada a taxonomizar: é.para.qualificar</v>
      </c>
      <c r="V1753" s="5" t="str">
        <f t="shared" si="984"/>
        <v>Dado para taxonomizar:  para.qualificar  Deve ser formatado como (rdfs:Literal  or  xsd:string)</v>
      </c>
      <c r="W1753" s="5" t="s">
        <v>7072</v>
      </c>
      <c r="X1753" s="24" t="str">
        <f t="shared" si="979"/>
        <v>taxon.152</v>
      </c>
      <c r="Y1753" s="24" t="str">
        <f t="shared" si="978"/>
        <v>Ação taxonomizar</v>
      </c>
      <c r="Z1753" s="47" t="s">
        <v>2810</v>
      </c>
      <c r="AA1753" s="25" t="str">
        <f t="shared" si="985"/>
        <v>null</v>
      </c>
      <c r="AB1753" s="26" t="s">
        <v>0</v>
      </c>
      <c r="AC1753" s="25" t="str">
        <f t="shared" si="986"/>
        <v>null</v>
      </c>
      <c r="AD1753" s="26" t="s">
        <v>0</v>
      </c>
      <c r="AE1753" s="25" t="str">
        <f t="shared" si="987"/>
        <v>null</v>
      </c>
      <c r="AF1753" s="26" t="s">
        <v>0</v>
      </c>
      <c r="AG1753" s="47" t="s">
        <v>3748</v>
      </c>
    </row>
    <row r="1754" spans="1:33" ht="6" customHeight="1" x14ac:dyDescent="0.4">
      <c r="A1754" s="4">
        <f>ROW()</f>
        <v>1754</v>
      </c>
      <c r="B1754" s="9" t="s">
        <v>27</v>
      </c>
      <c r="C1754" s="55" t="str">
        <f t="shared" si="980"/>
        <v>p.taxonomizar</v>
      </c>
      <c r="D1754" s="6" t="str">
        <f t="shared" si="981"/>
        <v>é.paradigma</v>
      </c>
      <c r="E1754" s="8" t="s">
        <v>28</v>
      </c>
      <c r="F1754" s="42" t="str">
        <f t="shared" si="988"/>
        <v>d.taxonomizar</v>
      </c>
      <c r="G1754" s="46" t="s">
        <v>2502</v>
      </c>
      <c r="H1754" s="41" t="s">
        <v>2321</v>
      </c>
      <c r="I1754" s="16" t="str">
        <f t="shared" si="98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83"/>
        <v>Propriedade destinada a taxonomizar: é.paradigma</v>
      </c>
      <c r="V1754" s="5" t="str">
        <f t="shared" si="984"/>
        <v>Dado para taxonomizar:  paradigma  Deve ser formatado como (rdfs:Literal  or  xsd:string)</v>
      </c>
      <c r="W1754" s="5" t="s">
        <v>7073</v>
      </c>
      <c r="X1754" s="24" t="str">
        <f t="shared" si="979"/>
        <v>taxon.153</v>
      </c>
      <c r="Y1754" s="24" t="str">
        <f t="shared" si="978"/>
        <v>Ação taxonomizar</v>
      </c>
      <c r="Z1754" s="47" t="s">
        <v>2811</v>
      </c>
      <c r="AA1754" s="25" t="str">
        <f t="shared" si="985"/>
        <v>null</v>
      </c>
      <c r="AB1754" s="26" t="s">
        <v>0</v>
      </c>
      <c r="AC1754" s="25" t="str">
        <f t="shared" si="986"/>
        <v>null</v>
      </c>
      <c r="AD1754" s="26" t="s">
        <v>0</v>
      </c>
      <c r="AE1754" s="25" t="str">
        <f t="shared" si="987"/>
        <v>null</v>
      </c>
      <c r="AF1754" s="26" t="s">
        <v>0</v>
      </c>
      <c r="AG1754" s="47" t="s">
        <v>3749</v>
      </c>
    </row>
    <row r="1755" spans="1:33" ht="6" customHeight="1" x14ac:dyDescent="0.4">
      <c r="A1755" s="4">
        <f>ROW()</f>
        <v>1755</v>
      </c>
      <c r="B1755" s="9" t="s">
        <v>27</v>
      </c>
      <c r="C1755" s="55" t="str">
        <f t="shared" si="980"/>
        <v>p.taxonomizar</v>
      </c>
      <c r="D1755" s="6" t="str">
        <f t="shared" si="981"/>
        <v>é.percentual.do.pbi</v>
      </c>
      <c r="E1755" s="8" t="s">
        <v>28</v>
      </c>
      <c r="F1755" s="42" t="str">
        <f t="shared" si="988"/>
        <v>d.taxonomizar</v>
      </c>
      <c r="G1755" s="46" t="s">
        <v>2509</v>
      </c>
      <c r="H1755" s="41" t="s">
        <v>2321</v>
      </c>
      <c r="I1755" s="16" t="str">
        <f t="shared" si="98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83"/>
        <v>Propriedade destinada a taxonomizar: é.percentual.do.pbi</v>
      </c>
      <c r="V1755" s="5" t="str">
        <f t="shared" si="984"/>
        <v>Dado para taxonomizar:  percentual.do.pbi  Deve ser formatado como (rdfs:Literal  or  xsd:string)</v>
      </c>
      <c r="W1755" s="5" t="s">
        <v>7058</v>
      </c>
      <c r="X1755" s="24" t="str">
        <f t="shared" si="979"/>
        <v>taxon.154</v>
      </c>
      <c r="Y1755" s="24" t="str">
        <f t="shared" si="978"/>
        <v>Ação taxonomizar</v>
      </c>
      <c r="Z1755" s="47" t="s">
        <v>2803</v>
      </c>
      <c r="AA1755" s="25" t="str">
        <f t="shared" si="985"/>
        <v>null</v>
      </c>
      <c r="AB1755" s="26" t="s">
        <v>0</v>
      </c>
      <c r="AC1755" s="25" t="str">
        <f t="shared" si="986"/>
        <v>null</v>
      </c>
      <c r="AD1755" s="26" t="s">
        <v>0</v>
      </c>
      <c r="AE1755" s="25" t="str">
        <f t="shared" si="987"/>
        <v>null</v>
      </c>
      <c r="AF1755" s="26" t="s">
        <v>0</v>
      </c>
      <c r="AG1755" s="47" t="s">
        <v>3738</v>
      </c>
    </row>
    <row r="1756" spans="1:33" ht="6" customHeight="1" x14ac:dyDescent="0.4">
      <c r="A1756" s="4">
        <f>ROW()</f>
        <v>1756</v>
      </c>
      <c r="B1756" s="9" t="s">
        <v>27</v>
      </c>
      <c r="C1756" s="55" t="str">
        <f t="shared" si="980"/>
        <v>p.taxonomizar</v>
      </c>
      <c r="D1756" s="6" t="str">
        <f t="shared" si="981"/>
        <v>é.princípio</v>
      </c>
      <c r="E1756" s="8" t="s">
        <v>28</v>
      </c>
      <c r="F1756" s="42" t="str">
        <f t="shared" si="988"/>
        <v>d.taxonomizar</v>
      </c>
      <c r="G1756" s="46" t="s">
        <v>2494</v>
      </c>
      <c r="H1756" s="41" t="s">
        <v>2321</v>
      </c>
      <c r="I1756" s="16" t="str">
        <f t="shared" si="982"/>
        <v>null</v>
      </c>
      <c r="J1756" s="13" t="s">
        <v>0</v>
      </c>
      <c r="K1756" s="13" t="s">
        <v>0</v>
      </c>
      <c r="L1756" s="13" t="s">
        <v>0</v>
      </c>
      <c r="M1756" s="13" t="s">
        <v>0</v>
      </c>
      <c r="N1756" s="15" t="s">
        <v>0</v>
      </c>
      <c r="O1756" s="13" t="s">
        <v>0</v>
      </c>
      <c r="P1756" s="13" t="s">
        <v>0</v>
      </c>
      <c r="Q1756" s="13" t="s">
        <v>0</v>
      </c>
      <c r="R1756" s="15" t="s">
        <v>2533</v>
      </c>
      <c r="S1756" s="10" t="s">
        <v>1</v>
      </c>
      <c r="T1756" s="10" t="s">
        <v>32</v>
      </c>
      <c r="U1756" s="5" t="str">
        <f t="shared" si="983"/>
        <v>Propriedade destinada a taxonomizar: é.princípio</v>
      </c>
      <c r="V1756" s="5" t="str">
        <f t="shared" si="984"/>
        <v>Dado para taxonomizar:  princípio  Deve ser formatado como (rdfs:Literal  or  xsd:string)</v>
      </c>
      <c r="W1756" s="5" t="s">
        <v>7074</v>
      </c>
      <c r="X1756" s="24" t="str">
        <f t="shared" si="979"/>
        <v>taxon.155</v>
      </c>
      <c r="Y1756" s="24" t="str">
        <f t="shared" si="978"/>
        <v>Ação taxonomizar</v>
      </c>
      <c r="Z1756" s="47" t="s">
        <v>5032</v>
      </c>
      <c r="AA1756" s="25" t="str">
        <f t="shared" si="985"/>
        <v>null</v>
      </c>
      <c r="AB1756" s="26" t="s">
        <v>0</v>
      </c>
      <c r="AC1756" s="25" t="str">
        <f t="shared" si="986"/>
        <v>null</v>
      </c>
      <c r="AD1756" s="26" t="s">
        <v>0</v>
      </c>
      <c r="AE1756" s="25" t="str">
        <f t="shared" si="987"/>
        <v>null</v>
      </c>
      <c r="AF1756" s="26" t="s">
        <v>0</v>
      </c>
      <c r="AG1756" s="47" t="s">
        <v>5273</v>
      </c>
    </row>
    <row r="1757" spans="1:33" ht="6" customHeight="1" x14ac:dyDescent="0.4">
      <c r="A1757" s="4">
        <f>ROW()</f>
        <v>1757</v>
      </c>
      <c r="B1757" s="9" t="s">
        <v>27</v>
      </c>
      <c r="C1757" s="55" t="str">
        <f t="shared" si="980"/>
        <v>p.taxonomizar</v>
      </c>
      <c r="D1757" s="6" t="str">
        <f t="shared" si="981"/>
        <v>é.qualificada.com</v>
      </c>
      <c r="E1757" s="8" t="s">
        <v>28</v>
      </c>
      <c r="F1757" s="42" t="str">
        <f t="shared" si="988"/>
        <v>d.taxonomizar</v>
      </c>
      <c r="G1757" s="46" t="s">
        <v>2558</v>
      </c>
      <c r="H1757" s="41" t="s">
        <v>2321</v>
      </c>
      <c r="I1757" s="16" t="str">
        <f t="shared" si="982"/>
        <v>null</v>
      </c>
      <c r="J1757" s="13" t="s">
        <v>0</v>
      </c>
      <c r="K1757" s="13" t="s">
        <v>0</v>
      </c>
      <c r="L1757" s="13" t="s">
        <v>0</v>
      </c>
      <c r="M1757" s="13" t="s">
        <v>0</v>
      </c>
      <c r="N1757" s="15" t="s">
        <v>0</v>
      </c>
      <c r="O1757" s="13" t="s">
        <v>0</v>
      </c>
      <c r="P1757" s="13" t="s">
        <v>0</v>
      </c>
      <c r="Q1757" s="13" t="s">
        <v>2567</v>
      </c>
      <c r="R1757" s="15" t="s">
        <v>0</v>
      </c>
      <c r="S1757" s="10" t="s">
        <v>1</v>
      </c>
      <c r="T1757" s="10" t="s">
        <v>32</v>
      </c>
      <c r="U1757" s="5" t="str">
        <f t="shared" si="983"/>
        <v>Propriedade destinada a taxonomizar: é.qualificada.com</v>
      </c>
      <c r="V1757" s="5" t="str">
        <f t="shared" si="984"/>
        <v>Dado para taxonomizar:  qualificada.com  Deve ser formatado como (rdfs:Literal  or  xsd:string)</v>
      </c>
      <c r="W1757" s="5" t="s">
        <v>7075</v>
      </c>
      <c r="X1757" s="24" t="str">
        <f t="shared" si="979"/>
        <v>taxon.156</v>
      </c>
      <c r="Y1757" s="24" t="str">
        <f t="shared" si="978"/>
        <v>Ação taxonomizar</v>
      </c>
      <c r="Z1757" s="47" t="s">
        <v>5078</v>
      </c>
      <c r="AA1757" s="25" t="str">
        <f t="shared" si="985"/>
        <v>null</v>
      </c>
      <c r="AB1757" s="26" t="s">
        <v>0</v>
      </c>
      <c r="AC1757" s="25" t="str">
        <f t="shared" si="986"/>
        <v>null</v>
      </c>
      <c r="AD1757" s="26" t="s">
        <v>0</v>
      </c>
      <c r="AE1757" s="25" t="str">
        <f t="shared" si="987"/>
        <v>null</v>
      </c>
      <c r="AF1757" s="26" t="s">
        <v>0</v>
      </c>
      <c r="AG1757" s="47" t="s">
        <v>3750</v>
      </c>
    </row>
    <row r="1758" spans="1:33" ht="6" customHeight="1" x14ac:dyDescent="0.4">
      <c r="A1758" s="4">
        <f>ROW()</f>
        <v>1758</v>
      </c>
      <c r="B1758" s="9" t="s">
        <v>27</v>
      </c>
      <c r="C1758" s="55" t="str">
        <f t="shared" si="980"/>
        <v>p.taxonomizar</v>
      </c>
      <c r="D1758" s="6" t="str">
        <f t="shared" si="981"/>
        <v>é.qualificadora.de</v>
      </c>
      <c r="E1758" s="8" t="s">
        <v>28</v>
      </c>
      <c r="F1758" s="42" t="str">
        <f t="shared" si="988"/>
        <v>d.taxonomizar</v>
      </c>
      <c r="G1758" s="46" t="s">
        <v>2566</v>
      </c>
      <c r="H1758" s="41" t="s">
        <v>2321</v>
      </c>
      <c r="I1758" s="16" t="str">
        <f t="shared" si="982"/>
        <v>null</v>
      </c>
      <c r="J1758" s="13" t="s">
        <v>0</v>
      </c>
      <c r="K1758" s="13" t="s">
        <v>0</v>
      </c>
      <c r="L1758" s="13" t="s">
        <v>0</v>
      </c>
      <c r="M1758" s="13" t="s">
        <v>0</v>
      </c>
      <c r="N1758" s="15" t="s">
        <v>0</v>
      </c>
      <c r="O1758" s="13" t="s">
        <v>0</v>
      </c>
      <c r="P1758" s="13" t="s">
        <v>0</v>
      </c>
      <c r="Q1758" s="13" t="s">
        <v>2559</v>
      </c>
      <c r="R1758" s="15" t="s">
        <v>0</v>
      </c>
      <c r="S1758" s="10" t="s">
        <v>1</v>
      </c>
      <c r="T1758" s="10" t="s">
        <v>32</v>
      </c>
      <c r="U1758" s="5" t="str">
        <f t="shared" si="983"/>
        <v>Propriedade destinada a taxonomizar: é.qualificadora.de</v>
      </c>
      <c r="V1758" s="5" t="str">
        <f t="shared" si="984"/>
        <v>Dado para taxonomizar:  qualificadora.de  Deve ser formatado como (rdfs:Literal  or  xsd:string)</v>
      </c>
      <c r="W1758" s="5" t="s">
        <v>7076</v>
      </c>
      <c r="X1758" s="24" t="str">
        <f t="shared" si="979"/>
        <v>taxon.157</v>
      </c>
      <c r="Y1758" s="24" t="str">
        <f t="shared" si="978"/>
        <v>Ação taxonomizar</v>
      </c>
      <c r="Z1758" s="47" t="s">
        <v>5079</v>
      </c>
      <c r="AA1758" s="25" t="str">
        <f t="shared" si="985"/>
        <v>null</v>
      </c>
      <c r="AB1758" s="26" t="s">
        <v>0</v>
      </c>
      <c r="AC1758" s="25" t="str">
        <f t="shared" si="986"/>
        <v>null</v>
      </c>
      <c r="AD1758" s="26" t="s">
        <v>0</v>
      </c>
      <c r="AE1758" s="25" t="str">
        <f t="shared" si="987"/>
        <v>null</v>
      </c>
      <c r="AF1758" s="26" t="s">
        <v>0</v>
      </c>
      <c r="AG1758" s="47" t="s">
        <v>3751</v>
      </c>
    </row>
    <row r="1759" spans="1:33" ht="6" customHeight="1" x14ac:dyDescent="0.4">
      <c r="A1759" s="4">
        <f>ROW()</f>
        <v>1759</v>
      </c>
      <c r="B1759" s="9" t="s">
        <v>27</v>
      </c>
      <c r="C1759" s="55" t="str">
        <f t="shared" si="980"/>
        <v>p.taxonomizar</v>
      </c>
      <c r="D1759" s="6" t="str">
        <f t="shared" si="981"/>
        <v>é.receita.alinhada</v>
      </c>
      <c r="E1759" s="8" t="s">
        <v>28</v>
      </c>
      <c r="F1759" s="42" t="str">
        <f t="shared" si="988"/>
        <v>d.taxonomizar</v>
      </c>
      <c r="G1759" s="18" t="s">
        <v>2548</v>
      </c>
      <c r="H1759" s="42" t="s">
        <v>36</v>
      </c>
      <c r="I1759" s="16" t="str">
        <f t="shared" si="982"/>
        <v>null</v>
      </c>
      <c r="J1759" s="13" t="s">
        <v>0</v>
      </c>
      <c r="K1759" s="13" t="s">
        <v>0</v>
      </c>
      <c r="L1759" s="13" t="s">
        <v>0</v>
      </c>
      <c r="M1759" s="13" t="s">
        <v>0</v>
      </c>
      <c r="N1759" s="15" t="s">
        <v>0</v>
      </c>
      <c r="O1759" s="13" t="s">
        <v>0</v>
      </c>
      <c r="P1759" s="13" t="s">
        <v>0</v>
      </c>
      <c r="Q1759" s="13" t="s">
        <v>2551</v>
      </c>
      <c r="R1759" s="15" t="s">
        <v>0</v>
      </c>
      <c r="S1759" s="10" t="s">
        <v>1</v>
      </c>
      <c r="T1759" s="10" t="s">
        <v>32</v>
      </c>
      <c r="U1759" s="5" t="str">
        <f t="shared" si="983"/>
        <v>Propriedade destinada a taxonomizar: é.receita.alinhada</v>
      </c>
      <c r="V1759" s="5" t="str">
        <f t="shared" si="984"/>
        <v>Dado para taxonomizar:  receita.alinhada  Deve ser formatado como (xsd:double)</v>
      </c>
      <c r="W1759" s="5" t="s">
        <v>7077</v>
      </c>
      <c r="X1759" s="24" t="str">
        <f t="shared" si="979"/>
        <v>taxon.158</v>
      </c>
      <c r="Y1759" s="24" t="str">
        <f t="shared" si="978"/>
        <v>Ação taxonomizar</v>
      </c>
      <c r="Z1759" s="47" t="s">
        <v>5080</v>
      </c>
      <c r="AA1759" s="25" t="str">
        <f t="shared" si="985"/>
        <v>null</v>
      </c>
      <c r="AB1759" s="26" t="s">
        <v>0</v>
      </c>
      <c r="AC1759" s="25" t="str">
        <f t="shared" si="986"/>
        <v>null</v>
      </c>
      <c r="AD1759" s="26" t="s">
        <v>0</v>
      </c>
      <c r="AE1759" s="25" t="str">
        <f t="shared" si="987"/>
        <v>null</v>
      </c>
      <c r="AF1759" s="26" t="s">
        <v>0</v>
      </c>
      <c r="AG1759" s="47" t="s">
        <v>3752</v>
      </c>
    </row>
    <row r="1760" spans="1:33" ht="6" customHeight="1" x14ac:dyDescent="0.4">
      <c r="A1760" s="4">
        <f>ROW()</f>
        <v>1760</v>
      </c>
      <c r="B1760" s="9" t="s">
        <v>27</v>
      </c>
      <c r="C1760" s="55" t="str">
        <f t="shared" si="980"/>
        <v>p.taxonomizar</v>
      </c>
      <c r="D1760" s="6" t="str">
        <f t="shared" si="981"/>
        <v>é.receita.anual.gerada</v>
      </c>
      <c r="E1760" s="8" t="s">
        <v>28</v>
      </c>
      <c r="F1760" s="42" t="str">
        <f t="shared" si="988"/>
        <v>d.taxonomizar</v>
      </c>
      <c r="G1760" s="46" t="s">
        <v>2507</v>
      </c>
      <c r="H1760" s="42" t="s">
        <v>36</v>
      </c>
      <c r="I1760" s="16" t="str">
        <f t="shared" si="982"/>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83"/>
        <v>Propriedade destinada a taxonomizar: é.receita.anual.gerada</v>
      </c>
      <c r="V1760" s="5" t="str">
        <f t="shared" si="984"/>
        <v>Dado para taxonomizar:  receita.anual.gerada  Deve ser formatado como (xsd:double)</v>
      </c>
      <c r="W1760" s="5" t="s">
        <v>7029</v>
      </c>
      <c r="X1760" s="24" t="str">
        <f t="shared" si="979"/>
        <v>taxon.159</v>
      </c>
      <c r="Y1760" s="24" t="str">
        <f t="shared" si="978"/>
        <v>Ação taxonomizar</v>
      </c>
      <c r="Z1760" s="47" t="s">
        <v>2779</v>
      </c>
      <c r="AA1760" s="25" t="str">
        <f t="shared" si="985"/>
        <v>null</v>
      </c>
      <c r="AB1760" s="26" t="s">
        <v>0</v>
      </c>
      <c r="AC1760" s="25" t="str">
        <f t="shared" si="986"/>
        <v>null</v>
      </c>
      <c r="AD1760" s="26" t="s">
        <v>0</v>
      </c>
      <c r="AE1760" s="25" t="str">
        <f t="shared" si="987"/>
        <v>null</v>
      </c>
      <c r="AF1760" s="26" t="s">
        <v>0</v>
      </c>
      <c r="AG1760" s="47" t="s">
        <v>5201</v>
      </c>
    </row>
    <row r="1761" spans="1:33" ht="6" customHeight="1" x14ac:dyDescent="0.4">
      <c r="A1761" s="4">
        <f>ROW()</f>
        <v>1761</v>
      </c>
      <c r="B1761" s="9" t="s">
        <v>27</v>
      </c>
      <c r="C1761" s="55" t="str">
        <f t="shared" si="980"/>
        <v>p.taxonomizar</v>
      </c>
      <c r="D1761" s="6" t="str">
        <f t="shared" si="981"/>
        <v>é.receita.percentual</v>
      </c>
      <c r="E1761" s="8" t="s">
        <v>28</v>
      </c>
      <c r="F1761" s="42" t="str">
        <f t="shared" si="988"/>
        <v>d.taxonomizar</v>
      </c>
      <c r="G1761" s="18" t="s">
        <v>2541</v>
      </c>
      <c r="H1761" s="42" t="s">
        <v>36</v>
      </c>
      <c r="I1761" s="16" t="str">
        <f t="shared" si="982"/>
        <v>null</v>
      </c>
      <c r="J1761" s="13" t="s">
        <v>0</v>
      </c>
      <c r="K1761" s="13" t="s">
        <v>0</v>
      </c>
      <c r="L1761" s="13" t="s">
        <v>0</v>
      </c>
      <c r="M1761" s="13" t="s">
        <v>0</v>
      </c>
      <c r="N1761" s="15" t="s">
        <v>0</v>
      </c>
      <c r="O1761" s="13" t="s">
        <v>0</v>
      </c>
      <c r="P1761" s="13" t="s">
        <v>0</v>
      </c>
      <c r="Q1761" s="13" t="s">
        <v>2543</v>
      </c>
      <c r="R1761" s="15" t="s">
        <v>0</v>
      </c>
      <c r="S1761" s="10" t="s">
        <v>1</v>
      </c>
      <c r="T1761" s="10" t="s">
        <v>32</v>
      </c>
      <c r="U1761" s="5" t="str">
        <f t="shared" si="983"/>
        <v>Propriedade destinada a taxonomizar: é.receita.percentual</v>
      </c>
      <c r="V1761" s="5" t="str">
        <f t="shared" si="984"/>
        <v>Dado para taxonomizar:  receita.percentual  Deve ser formatado como (xsd:double)</v>
      </c>
      <c r="W1761" s="5" t="s">
        <v>7078</v>
      </c>
      <c r="X1761" s="24" t="str">
        <f t="shared" si="979"/>
        <v>taxon.160</v>
      </c>
      <c r="Y1761" s="24" t="str">
        <f t="shared" si="978"/>
        <v>Ação taxonomizar</v>
      </c>
      <c r="Z1761" s="47" t="s">
        <v>2812</v>
      </c>
      <c r="AA1761" s="25" t="str">
        <f t="shared" si="985"/>
        <v>null</v>
      </c>
      <c r="AB1761" s="26" t="s">
        <v>0</v>
      </c>
      <c r="AC1761" s="25" t="str">
        <f t="shared" si="986"/>
        <v>null</v>
      </c>
      <c r="AD1761" s="26" t="s">
        <v>0</v>
      </c>
      <c r="AE1761" s="25" t="str">
        <f t="shared" si="987"/>
        <v>null</v>
      </c>
      <c r="AF1761" s="26" t="s">
        <v>0</v>
      </c>
      <c r="AG1761" s="47" t="s">
        <v>3753</v>
      </c>
    </row>
    <row r="1762" spans="1:33" ht="6" customHeight="1" x14ac:dyDescent="0.4">
      <c r="A1762" s="4">
        <f>ROW()</f>
        <v>1762</v>
      </c>
      <c r="B1762" s="9" t="s">
        <v>27</v>
      </c>
      <c r="C1762" s="55" t="str">
        <f t="shared" si="980"/>
        <v>p.taxonomizar</v>
      </c>
      <c r="D1762" s="6" t="str">
        <f t="shared" si="981"/>
        <v>é.receita.semi.alinhada</v>
      </c>
      <c r="E1762" s="8" t="s">
        <v>28</v>
      </c>
      <c r="F1762" s="42" t="str">
        <f t="shared" si="988"/>
        <v>d.taxonomizar</v>
      </c>
      <c r="G1762" s="18" t="s">
        <v>2549</v>
      </c>
      <c r="H1762" s="42" t="s">
        <v>36</v>
      </c>
      <c r="I1762" s="16" t="str">
        <f t="shared" si="982"/>
        <v>null</v>
      </c>
      <c r="J1762" s="13" t="s">
        <v>0</v>
      </c>
      <c r="K1762" s="13" t="s">
        <v>0</v>
      </c>
      <c r="L1762" s="13" t="s">
        <v>0</v>
      </c>
      <c r="M1762" s="13" t="s">
        <v>0</v>
      </c>
      <c r="N1762" s="15" t="s">
        <v>0</v>
      </c>
      <c r="O1762" s="13" t="s">
        <v>0</v>
      </c>
      <c r="P1762" s="13" t="s">
        <v>0</v>
      </c>
      <c r="Q1762" s="13" t="s">
        <v>2550</v>
      </c>
      <c r="R1762" s="15" t="s">
        <v>0</v>
      </c>
      <c r="S1762" s="10" t="s">
        <v>1</v>
      </c>
      <c r="T1762" s="10" t="s">
        <v>32</v>
      </c>
      <c r="U1762" s="5" t="str">
        <f t="shared" si="983"/>
        <v>Propriedade destinada a taxonomizar: é.receita.semi.alinhada</v>
      </c>
      <c r="V1762" s="5" t="str">
        <f t="shared" si="984"/>
        <v>Dado para taxonomizar:  receita.semi.alinhada  Deve ser formatado como (xsd:double)</v>
      </c>
      <c r="W1762" s="5" t="s">
        <v>7079</v>
      </c>
      <c r="X1762" s="24" t="str">
        <f t="shared" si="979"/>
        <v>taxon.161</v>
      </c>
      <c r="Y1762" s="24" t="str">
        <f t="shared" si="978"/>
        <v>Ação taxonomizar</v>
      </c>
      <c r="Z1762" s="47" t="s">
        <v>2813</v>
      </c>
      <c r="AA1762" s="25" t="str">
        <f t="shared" si="985"/>
        <v>null</v>
      </c>
      <c r="AB1762" s="26" t="s">
        <v>0</v>
      </c>
      <c r="AC1762" s="25" t="str">
        <f t="shared" si="986"/>
        <v>null</v>
      </c>
      <c r="AD1762" s="26" t="s">
        <v>0</v>
      </c>
      <c r="AE1762" s="25" t="str">
        <f t="shared" si="987"/>
        <v>null</v>
      </c>
      <c r="AF1762" s="26" t="s">
        <v>0</v>
      </c>
      <c r="AG1762" s="47" t="s">
        <v>3754</v>
      </c>
    </row>
    <row r="1763" spans="1:33" ht="6" customHeight="1" x14ac:dyDescent="0.4">
      <c r="A1763" s="4">
        <f>ROW()</f>
        <v>1763</v>
      </c>
      <c r="B1763" s="9" t="s">
        <v>27</v>
      </c>
      <c r="C1763" s="55" t="str">
        <f t="shared" si="980"/>
        <v>p.taxonomizar</v>
      </c>
      <c r="D1763" s="6" t="str">
        <f t="shared" si="981"/>
        <v>é.receita.total</v>
      </c>
      <c r="E1763" s="8" t="s">
        <v>28</v>
      </c>
      <c r="F1763" s="42" t="str">
        <f t="shared" si="988"/>
        <v>d.taxonomizar</v>
      </c>
      <c r="G1763" s="18" t="s">
        <v>2538</v>
      </c>
      <c r="H1763" s="42" t="s">
        <v>36</v>
      </c>
      <c r="I1763" s="16" t="str">
        <f t="shared" si="982"/>
        <v>null</v>
      </c>
      <c r="J1763" s="13" t="s">
        <v>0</v>
      </c>
      <c r="K1763" s="13" t="s">
        <v>0</v>
      </c>
      <c r="L1763" s="13" t="s">
        <v>0</v>
      </c>
      <c r="M1763" s="13" t="s">
        <v>0</v>
      </c>
      <c r="N1763" s="15" t="s">
        <v>0</v>
      </c>
      <c r="O1763" s="13" t="s">
        <v>0</v>
      </c>
      <c r="P1763" s="13" t="s">
        <v>0</v>
      </c>
      <c r="Q1763" s="13" t="s">
        <v>2542</v>
      </c>
      <c r="R1763" s="15" t="s">
        <v>0</v>
      </c>
      <c r="S1763" s="10" t="s">
        <v>1</v>
      </c>
      <c r="T1763" s="10" t="s">
        <v>32</v>
      </c>
      <c r="U1763" s="5" t="str">
        <f t="shared" si="983"/>
        <v>Propriedade destinada a taxonomizar: é.receita.total</v>
      </c>
      <c r="V1763" s="5" t="str">
        <f t="shared" si="984"/>
        <v>Dado para taxonomizar:  receita.total  Deve ser formatado como (xsd:double)</v>
      </c>
      <c r="W1763" s="5" t="s">
        <v>7080</v>
      </c>
      <c r="X1763" s="24" t="str">
        <f t="shared" si="979"/>
        <v>taxon.162</v>
      </c>
      <c r="Y1763" s="24" t="str">
        <f t="shared" si="978"/>
        <v>Ação taxonomizar</v>
      </c>
      <c r="Z1763" s="47" t="s">
        <v>2814</v>
      </c>
      <c r="AA1763" s="25" t="str">
        <f t="shared" si="985"/>
        <v>null</v>
      </c>
      <c r="AB1763" s="26" t="s">
        <v>0</v>
      </c>
      <c r="AC1763" s="25" t="str">
        <f t="shared" si="986"/>
        <v>null</v>
      </c>
      <c r="AD1763" s="26" t="s">
        <v>0</v>
      </c>
      <c r="AE1763" s="25" t="str">
        <f t="shared" si="987"/>
        <v>null</v>
      </c>
      <c r="AF1763" s="26" t="s">
        <v>0</v>
      </c>
      <c r="AG1763" s="47" t="s">
        <v>3755</v>
      </c>
    </row>
    <row r="1764" spans="1:33" ht="6" customHeight="1" x14ac:dyDescent="0.4">
      <c r="A1764" s="4">
        <f>ROW()</f>
        <v>1764</v>
      </c>
      <c r="B1764" s="9" t="s">
        <v>27</v>
      </c>
      <c r="C1764" s="55" t="str">
        <f t="shared" si="980"/>
        <v>p.taxonomizar</v>
      </c>
      <c r="D1764" s="6" t="str">
        <f t="shared" si="981"/>
        <v>é.salvaguarda.mínima</v>
      </c>
      <c r="E1764" s="8" t="s">
        <v>28</v>
      </c>
      <c r="F1764" s="42" t="str">
        <f t="shared" si="988"/>
        <v>d.taxonomizar</v>
      </c>
      <c r="G1764" s="46" t="s">
        <v>2495</v>
      </c>
      <c r="H1764" s="41" t="s">
        <v>2321</v>
      </c>
      <c r="I1764" s="16" t="str">
        <f t="shared" si="982"/>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83"/>
        <v>Propriedade destinada a taxonomizar: é.salvaguarda.mínima</v>
      </c>
      <c r="V1764" s="5" t="str">
        <f t="shared" si="984"/>
        <v>Dado para taxonomizar:  salvaguarda.mínima  Deve ser formatado como (rdfs:Literal  or  xsd:string)</v>
      </c>
      <c r="W1764" s="5" t="s">
        <v>7081</v>
      </c>
      <c r="X1764" s="24" t="str">
        <f t="shared" si="979"/>
        <v>taxon.163</v>
      </c>
      <c r="Y1764" s="24" t="str">
        <f t="shared" si="978"/>
        <v>Ação taxonomizar</v>
      </c>
      <c r="Z1764" s="47" t="s">
        <v>2815</v>
      </c>
      <c r="AA1764" s="25" t="str">
        <f t="shared" si="985"/>
        <v>null</v>
      </c>
      <c r="AB1764" s="26" t="s">
        <v>0</v>
      </c>
      <c r="AC1764" s="25" t="str">
        <f t="shared" si="986"/>
        <v>null</v>
      </c>
      <c r="AD1764" s="26" t="s">
        <v>0</v>
      </c>
      <c r="AE1764" s="25" t="str">
        <f t="shared" si="987"/>
        <v>null</v>
      </c>
      <c r="AF1764" s="26" t="s">
        <v>0</v>
      </c>
      <c r="AG1764" s="47" t="s">
        <v>3756</v>
      </c>
    </row>
    <row r="1765" spans="1:33" ht="6" customHeight="1" x14ac:dyDescent="0.4">
      <c r="A1765" s="4">
        <f>ROW()</f>
        <v>1765</v>
      </c>
      <c r="B1765" s="9" t="s">
        <v>27</v>
      </c>
      <c r="C1765" s="55" t="str">
        <f t="shared" si="980"/>
        <v>p.taxonomizar</v>
      </c>
      <c r="D1765" s="6" t="str">
        <f t="shared" si="981"/>
        <v>é.solução</v>
      </c>
      <c r="E1765" s="8" t="s">
        <v>28</v>
      </c>
      <c r="F1765" s="42" t="str">
        <f t="shared" si="988"/>
        <v>d.taxonomizar</v>
      </c>
      <c r="G1765" s="46" t="s">
        <v>2501</v>
      </c>
      <c r="H1765" s="41" t="s">
        <v>2321</v>
      </c>
      <c r="I1765" s="16" t="str">
        <f t="shared" si="982"/>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83"/>
        <v>Propriedade destinada a taxonomizar: é.solução</v>
      </c>
      <c r="V1765" s="5" t="str">
        <f t="shared" si="984"/>
        <v>Dado para taxonomizar:  solução  Deve ser formatado como (rdfs:Literal  or  xsd:string)</v>
      </c>
      <c r="W1765" s="5" t="s">
        <v>7082</v>
      </c>
      <c r="X1765" s="24" t="str">
        <f t="shared" si="979"/>
        <v>taxon.164</v>
      </c>
      <c r="Y1765" s="24" t="str">
        <f t="shared" si="978"/>
        <v>Ação taxonomizar</v>
      </c>
      <c r="Z1765" s="47" t="s">
        <v>2816</v>
      </c>
      <c r="AA1765" s="25" t="str">
        <f t="shared" si="985"/>
        <v>null</v>
      </c>
      <c r="AB1765" s="26" t="s">
        <v>0</v>
      </c>
      <c r="AC1765" s="25" t="str">
        <f t="shared" si="986"/>
        <v>null</v>
      </c>
      <c r="AD1765" s="26" t="s">
        <v>0</v>
      </c>
      <c r="AE1765" s="25" t="str">
        <f t="shared" si="987"/>
        <v>null</v>
      </c>
      <c r="AF1765" s="26" t="s">
        <v>0</v>
      </c>
      <c r="AG1765" s="47" t="s">
        <v>3757</v>
      </c>
    </row>
    <row r="1766" spans="1:33" ht="6" customHeight="1" x14ac:dyDescent="0.4">
      <c r="A1766" s="4">
        <f>ROW()</f>
        <v>1766</v>
      </c>
      <c r="B1766" s="9" t="s">
        <v>27</v>
      </c>
      <c r="C1766" s="55" t="str">
        <f t="shared" si="980"/>
        <v>p.taxonomizar</v>
      </c>
      <c r="D1766" s="6" t="str">
        <f t="shared" si="981"/>
        <v>é.tipo.de.atividade</v>
      </c>
      <c r="E1766" s="8" t="s">
        <v>28</v>
      </c>
      <c r="F1766" s="42" t="str">
        <f t="shared" si="988"/>
        <v>d.taxonomizar</v>
      </c>
      <c r="G1766" s="46" t="s">
        <v>2554</v>
      </c>
      <c r="H1766" s="41" t="s">
        <v>2321</v>
      </c>
      <c r="I1766" s="16" t="str">
        <f t="shared" ref="I1766" si="989">J1766</f>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83"/>
        <v>Propriedade destinada a taxonomizar: é.tipo.de.atividade</v>
      </c>
      <c r="V1766" s="5" t="str">
        <f t="shared" si="984"/>
        <v>Dado para taxonomizar:  tipo.de.atividade  Deve ser formatado como (rdfs:Literal  or  xsd:string)</v>
      </c>
      <c r="W1766" s="5" t="s">
        <v>7083</v>
      </c>
      <c r="X1766" s="24" t="str">
        <f t="shared" si="979"/>
        <v>taxon.165</v>
      </c>
      <c r="Y1766" s="24" t="str">
        <f t="shared" si="978"/>
        <v>Ação taxonomizar</v>
      </c>
      <c r="Z1766" s="47" t="s">
        <v>2817</v>
      </c>
      <c r="AA1766" s="25" t="str">
        <f t="shared" ref="AA1766" si="990">IF(AB1766="null", "null", "categoria.revit")</f>
        <v>null</v>
      </c>
      <c r="AB1766" s="26" t="s">
        <v>0</v>
      </c>
      <c r="AC1766" s="25" t="str">
        <f t="shared" ref="AC1766" si="991">IF(AD1766="null", "null", "classe.ifc")</f>
        <v>null</v>
      </c>
      <c r="AD1766" s="26" t="s">
        <v>0</v>
      </c>
      <c r="AE1766" s="25" t="str">
        <f t="shared" ref="AE1766" si="992">IF(AF1766="null", "null", "propiedade")</f>
        <v>null</v>
      </c>
      <c r="AF1766" s="26" t="s">
        <v>0</v>
      </c>
      <c r="AG1766" s="47" t="s">
        <v>3758</v>
      </c>
    </row>
    <row r="1767" spans="1:33" ht="6" customHeight="1" x14ac:dyDescent="0.4">
      <c r="A1767" s="4">
        <f>ROW()</f>
        <v>1767</v>
      </c>
      <c r="B1767" s="9" t="s">
        <v>27</v>
      </c>
      <c r="C1767" s="54" t="str">
        <f t="shared" ref="C1767:C1774" si="993">SUBSTITUTE(F1767,"d.","p.")</f>
        <v>p.telhar</v>
      </c>
      <c r="D1767" s="6" t="str">
        <f t="shared" ref="D1767:D1773" si="994">_xlfn.CONCAT("é.",G1767)</f>
        <v>é.tesoura</v>
      </c>
      <c r="E1767" s="8" t="s">
        <v>28</v>
      </c>
      <c r="F1767" s="51" t="s">
        <v>4367</v>
      </c>
      <c r="G1767" s="18" t="s">
        <v>4940</v>
      </c>
      <c r="H1767" s="41" t="s">
        <v>2321</v>
      </c>
      <c r="I1767" s="16" t="str">
        <f t="shared" ref="I1767:I1773" si="995">J1767</f>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ref="U1767:U1773" si="996">_xlfn.CONCAT("Propriedade destinada a ",MID(C1767,FIND("p.",C1767,1)+2,100),": ",D1767)</f>
        <v>Propriedade destinada a telhar: é.tesoura</v>
      </c>
      <c r="V1767" s="5" t="str">
        <f t="shared" ref="V1767:V1773" si="997">_xlfn.CONCAT("Dado para ",MID(F1767,FIND("d.",F1767,1)+2,100),":  ",G1767, "  Deve ser formatado como (",H1767, ")")</f>
        <v>Dado para telhar:  tesoura  Deve ser formatado como (rdfs:Literal  or  xsd:string)</v>
      </c>
      <c r="W1767" s="5" t="s">
        <v>7084</v>
      </c>
      <c r="X1767" s="24" t="str">
        <f t="shared" si="979"/>
        <v>telha.100</v>
      </c>
      <c r="Y1767" s="24" t="str">
        <f t="shared" si="978"/>
        <v>Ação telhar</v>
      </c>
      <c r="Z1767" s="47" t="s">
        <v>4501</v>
      </c>
      <c r="AA1767" s="25" t="str">
        <f t="shared" ref="AA1767:AA1773" si="998">IF(AB1767="null", "null", "categoria.revit")</f>
        <v>null</v>
      </c>
      <c r="AB1767" s="26" t="s">
        <v>0</v>
      </c>
      <c r="AC1767" s="25" t="str">
        <f t="shared" ref="AC1767:AC1773" si="999">IF(AD1767="null", "null", "classe.ifc")</f>
        <v>null</v>
      </c>
      <c r="AD1767" s="26" t="s">
        <v>0</v>
      </c>
      <c r="AE1767" s="25" t="str">
        <f t="shared" ref="AE1767:AE1773" si="1000">IF(AF1767="null", "null", "propiedade")</f>
        <v>null</v>
      </c>
      <c r="AF1767" s="26" t="s">
        <v>0</v>
      </c>
      <c r="AG1767" s="47" t="s">
        <v>4499</v>
      </c>
    </row>
    <row r="1768" spans="1:33" ht="6" customHeight="1" x14ac:dyDescent="0.4">
      <c r="A1768" s="4">
        <f>ROW()</f>
        <v>1768</v>
      </c>
      <c r="B1768" s="9" t="s">
        <v>27</v>
      </c>
      <c r="C1768" s="55" t="str">
        <f t="shared" si="993"/>
        <v>p.telhar</v>
      </c>
      <c r="D1768" s="6" t="str">
        <f t="shared" si="994"/>
        <v>é.cumeeira</v>
      </c>
      <c r="E1768" s="8" t="s">
        <v>28</v>
      </c>
      <c r="F1768" s="42" t="str">
        <f t="shared" ref="F1768:F1773" si="1001">F1767</f>
        <v>d.telhar</v>
      </c>
      <c r="G1768" s="18" t="s">
        <v>4941</v>
      </c>
      <c r="H1768" s="41" t="s">
        <v>2321</v>
      </c>
      <c r="I1768" s="16" t="str">
        <f t="shared" si="995"/>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6"/>
        <v>Propriedade destinada a telhar: é.cumeeira</v>
      </c>
      <c r="V1768" s="5" t="str">
        <f t="shared" si="997"/>
        <v>Dado para telhar:  cumeeira  Deve ser formatado como (rdfs:Literal  or  xsd:string)</v>
      </c>
      <c r="W1768" s="5" t="s">
        <v>7085</v>
      </c>
      <c r="X1768" s="24" t="str">
        <f t="shared" si="979"/>
        <v>telha.101</v>
      </c>
      <c r="Y1768" s="24" t="str">
        <f t="shared" si="978"/>
        <v>Ação telhar</v>
      </c>
      <c r="Z1768" s="47" t="s">
        <v>4505</v>
      </c>
      <c r="AA1768" s="25" t="str">
        <f t="shared" si="998"/>
        <v>null</v>
      </c>
      <c r="AB1768" s="26" t="s">
        <v>0</v>
      </c>
      <c r="AC1768" s="25" t="str">
        <f t="shared" si="999"/>
        <v>null</v>
      </c>
      <c r="AD1768" s="26" t="s">
        <v>0</v>
      </c>
      <c r="AE1768" s="25" t="str">
        <f t="shared" si="1000"/>
        <v>null</v>
      </c>
      <c r="AF1768" s="26" t="s">
        <v>0</v>
      </c>
      <c r="AG1768" s="47" t="s">
        <v>4506</v>
      </c>
    </row>
    <row r="1769" spans="1:33" ht="6" customHeight="1" x14ac:dyDescent="0.4">
      <c r="A1769" s="4">
        <f>ROW()</f>
        <v>1769</v>
      </c>
      <c r="B1769" s="9" t="s">
        <v>27</v>
      </c>
      <c r="C1769" s="55" t="str">
        <f t="shared" si="993"/>
        <v>p.telhar</v>
      </c>
      <c r="D1769" s="6" t="str">
        <f t="shared" si="994"/>
        <v>é.rincão</v>
      </c>
      <c r="E1769" s="8" t="s">
        <v>28</v>
      </c>
      <c r="F1769" s="42" t="str">
        <f t="shared" si="1001"/>
        <v>d.telhar</v>
      </c>
      <c r="G1769" s="18" t="s">
        <v>4942</v>
      </c>
      <c r="H1769" s="41" t="s">
        <v>2321</v>
      </c>
      <c r="I1769" s="16" t="str">
        <f t="shared" si="995"/>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6"/>
        <v>Propriedade destinada a telhar: é.rincão</v>
      </c>
      <c r="V1769" s="5" t="str">
        <f t="shared" si="997"/>
        <v>Dado para telhar:  rincão  Deve ser formatado como (rdfs:Literal  or  xsd:string)</v>
      </c>
      <c r="W1769" s="5" t="s">
        <v>7086</v>
      </c>
      <c r="X1769" s="24" t="str">
        <f t="shared" si="979"/>
        <v>telha.102</v>
      </c>
      <c r="Y1769" s="24" t="str">
        <f t="shared" si="978"/>
        <v>Ação telhar</v>
      </c>
      <c r="Z1769" s="47" t="s">
        <v>4507</v>
      </c>
      <c r="AA1769" s="25" t="str">
        <f t="shared" si="998"/>
        <v>null</v>
      </c>
      <c r="AB1769" s="26" t="s">
        <v>0</v>
      </c>
      <c r="AC1769" s="25" t="str">
        <f t="shared" si="999"/>
        <v>null</v>
      </c>
      <c r="AD1769" s="26" t="s">
        <v>0</v>
      </c>
      <c r="AE1769" s="25" t="str">
        <f t="shared" si="1000"/>
        <v>null</v>
      </c>
      <c r="AF1769" s="26" t="s">
        <v>0</v>
      </c>
      <c r="AG1769" s="47" t="s">
        <v>4508</v>
      </c>
    </row>
    <row r="1770" spans="1:33" ht="6" customHeight="1" x14ac:dyDescent="0.4">
      <c r="A1770" s="4">
        <f>ROW()</f>
        <v>1770</v>
      </c>
      <c r="B1770" s="9" t="s">
        <v>27</v>
      </c>
      <c r="C1770" s="55" t="str">
        <f t="shared" si="993"/>
        <v>p.telhar</v>
      </c>
      <c r="D1770" s="6" t="str">
        <f t="shared" si="994"/>
        <v>é.terça</v>
      </c>
      <c r="E1770" s="8" t="s">
        <v>28</v>
      </c>
      <c r="F1770" s="42" t="str">
        <f t="shared" si="1001"/>
        <v>d.telhar</v>
      </c>
      <c r="G1770" s="18" t="s">
        <v>4943</v>
      </c>
      <c r="H1770" s="41" t="s">
        <v>2321</v>
      </c>
      <c r="I1770" s="16" t="str">
        <f t="shared" si="995"/>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6"/>
        <v>Propriedade destinada a telhar: é.terça</v>
      </c>
      <c r="V1770" s="5" t="str">
        <f t="shared" si="997"/>
        <v>Dado para telhar:  terça  Deve ser formatado como (rdfs:Literal  or  xsd:string)</v>
      </c>
      <c r="W1770" s="5" t="s">
        <v>7087</v>
      </c>
      <c r="X1770" s="24" t="str">
        <f t="shared" si="979"/>
        <v>telha.103</v>
      </c>
      <c r="Y1770" s="24" t="str">
        <f t="shared" si="978"/>
        <v>Ação telhar</v>
      </c>
      <c r="Z1770" s="47" t="s">
        <v>4502</v>
      </c>
      <c r="AA1770" s="25" t="str">
        <f t="shared" si="998"/>
        <v>null</v>
      </c>
      <c r="AB1770" s="26" t="s">
        <v>0</v>
      </c>
      <c r="AC1770" s="25" t="str">
        <f t="shared" si="999"/>
        <v>null</v>
      </c>
      <c r="AD1770" s="26" t="s">
        <v>0</v>
      </c>
      <c r="AE1770" s="25" t="str">
        <f t="shared" si="1000"/>
        <v>null</v>
      </c>
      <c r="AF1770" s="26" t="s">
        <v>0</v>
      </c>
      <c r="AG1770" s="47" t="s">
        <v>4500</v>
      </c>
    </row>
    <row r="1771" spans="1:33" ht="6" customHeight="1" x14ac:dyDescent="0.4">
      <c r="A1771" s="4">
        <f>ROW()</f>
        <v>1771</v>
      </c>
      <c r="B1771" s="9" t="s">
        <v>27</v>
      </c>
      <c r="C1771" s="55" t="str">
        <f t="shared" si="993"/>
        <v>p.telhar</v>
      </c>
      <c r="D1771" s="6" t="str">
        <f t="shared" si="994"/>
        <v>é.caibro</v>
      </c>
      <c r="E1771" s="8" t="s">
        <v>28</v>
      </c>
      <c r="F1771" s="42" t="str">
        <f t="shared" si="1001"/>
        <v>d.telhar</v>
      </c>
      <c r="G1771" s="18" t="s">
        <v>4944</v>
      </c>
      <c r="H1771" s="41" t="s">
        <v>2321</v>
      </c>
      <c r="I1771" s="16" t="str">
        <f t="shared" si="995"/>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6"/>
        <v>Propriedade destinada a telhar: é.caibro</v>
      </c>
      <c r="V1771" s="5" t="str">
        <f t="shared" si="997"/>
        <v>Dado para telhar:  caibro  Deve ser formatado como (rdfs:Literal  or  xsd:string)</v>
      </c>
      <c r="W1771" s="5" t="s">
        <v>7088</v>
      </c>
      <c r="X1771" s="24" t="str">
        <f t="shared" si="979"/>
        <v>telha.104</v>
      </c>
      <c r="Y1771" s="24" t="str">
        <f t="shared" si="978"/>
        <v>Ação telhar</v>
      </c>
      <c r="Z1771" s="47" t="s">
        <v>4504</v>
      </c>
      <c r="AA1771" s="25" t="str">
        <f t="shared" si="998"/>
        <v>null</v>
      </c>
      <c r="AB1771" s="26" t="s">
        <v>0</v>
      </c>
      <c r="AC1771" s="25" t="str">
        <f t="shared" si="999"/>
        <v>null</v>
      </c>
      <c r="AD1771" s="26" t="s">
        <v>0</v>
      </c>
      <c r="AE1771" s="25" t="str">
        <f t="shared" si="1000"/>
        <v>null</v>
      </c>
      <c r="AF1771" s="26" t="s">
        <v>0</v>
      </c>
      <c r="AG1771" s="47" t="s">
        <v>4496</v>
      </c>
    </row>
    <row r="1772" spans="1:33" ht="6" customHeight="1" x14ac:dyDescent="0.4">
      <c r="A1772" s="4">
        <f>ROW()</f>
        <v>1772</v>
      </c>
      <c r="B1772" s="9" t="s">
        <v>27</v>
      </c>
      <c r="C1772" s="55" t="str">
        <f t="shared" si="993"/>
        <v>p.telhar</v>
      </c>
      <c r="D1772" s="6" t="str">
        <f t="shared" si="994"/>
        <v>é.ripa</v>
      </c>
      <c r="E1772" s="8" t="s">
        <v>28</v>
      </c>
      <c r="F1772" s="42" t="str">
        <f t="shared" si="1001"/>
        <v>d.telhar</v>
      </c>
      <c r="G1772" s="18" t="s">
        <v>4945</v>
      </c>
      <c r="H1772" s="41" t="s">
        <v>2321</v>
      </c>
      <c r="I1772" s="16" t="str">
        <f t="shared" si="995"/>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6"/>
        <v>Propriedade destinada a telhar: é.ripa</v>
      </c>
      <c r="V1772" s="5" t="str">
        <f t="shared" si="997"/>
        <v>Dado para telhar:  ripa  Deve ser formatado como (rdfs:Literal  or  xsd:string)</v>
      </c>
      <c r="W1772" s="5" t="s">
        <v>7089</v>
      </c>
      <c r="X1772" s="24" t="str">
        <f t="shared" si="979"/>
        <v>telha.105</v>
      </c>
      <c r="Y1772" s="24" t="str">
        <f t="shared" si="978"/>
        <v>Ação telhar</v>
      </c>
      <c r="Z1772" s="47" t="s">
        <v>4503</v>
      </c>
      <c r="AA1772" s="25" t="str">
        <f t="shared" si="998"/>
        <v>null</v>
      </c>
      <c r="AB1772" s="26" t="s">
        <v>0</v>
      </c>
      <c r="AC1772" s="25" t="str">
        <f t="shared" si="999"/>
        <v>null</v>
      </c>
      <c r="AD1772" s="26" t="s">
        <v>0</v>
      </c>
      <c r="AE1772" s="25" t="str">
        <f t="shared" si="1000"/>
        <v>null</v>
      </c>
      <c r="AF1772" s="26" t="s">
        <v>0</v>
      </c>
      <c r="AG1772" s="47" t="s">
        <v>4497</v>
      </c>
    </row>
    <row r="1773" spans="1:33" ht="6" customHeight="1" x14ac:dyDescent="0.4">
      <c r="A1773" s="4">
        <f>ROW()</f>
        <v>1773</v>
      </c>
      <c r="B1773" s="9" t="s">
        <v>27</v>
      </c>
      <c r="C1773" s="55" t="str">
        <f t="shared" si="993"/>
        <v>p.telhar</v>
      </c>
      <c r="D1773" s="6" t="str">
        <f t="shared" si="994"/>
        <v>é.telha</v>
      </c>
      <c r="E1773" s="8" t="s">
        <v>28</v>
      </c>
      <c r="F1773" s="42" t="str">
        <f t="shared" si="1001"/>
        <v>d.telhar</v>
      </c>
      <c r="G1773" s="18" t="s">
        <v>4946</v>
      </c>
      <c r="H1773" s="41" t="s">
        <v>2321</v>
      </c>
      <c r="I1773" s="16" t="str">
        <f t="shared" si="995"/>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96"/>
        <v>Propriedade destinada a telhar: é.telha</v>
      </c>
      <c r="V1773" s="5" t="str">
        <f t="shared" si="997"/>
        <v>Dado para telhar:  telha  Deve ser formatado como (rdfs:Literal  or  xsd:string)</v>
      </c>
      <c r="W1773" s="5" t="s">
        <v>7090</v>
      </c>
      <c r="X1773" s="24" t="str">
        <f t="shared" si="979"/>
        <v>telha.106</v>
      </c>
      <c r="Y1773" s="24" t="str">
        <f t="shared" si="978"/>
        <v>Ação telhar</v>
      </c>
      <c r="Z1773" s="47" t="s">
        <v>4435</v>
      </c>
      <c r="AA1773" s="25" t="str">
        <f t="shared" si="998"/>
        <v>null</v>
      </c>
      <c r="AB1773" s="26" t="s">
        <v>0</v>
      </c>
      <c r="AC1773" s="25" t="str">
        <f t="shared" si="999"/>
        <v>null</v>
      </c>
      <c r="AD1773" s="26" t="s">
        <v>0</v>
      </c>
      <c r="AE1773" s="25" t="str">
        <f t="shared" si="1000"/>
        <v>null</v>
      </c>
      <c r="AF1773" s="26" t="s">
        <v>0</v>
      </c>
      <c r="AG1773" s="47" t="s">
        <v>4498</v>
      </c>
    </row>
    <row r="1774" spans="1:33" ht="6" customHeight="1" x14ac:dyDescent="0.4">
      <c r="A1774" s="4">
        <f>ROW()</f>
        <v>1774</v>
      </c>
      <c r="B1774" s="9" t="s">
        <v>27</v>
      </c>
      <c r="C1774" s="54" t="str">
        <f t="shared" si="993"/>
        <v>p.temporalizar</v>
      </c>
      <c r="D1774" s="6" t="str">
        <f t="shared" ref="D1774:D1787" si="1002">_xlfn.CONCAT("é.",G1774)</f>
        <v>é.ano</v>
      </c>
      <c r="E1774" s="8" t="s">
        <v>28</v>
      </c>
      <c r="F1774" s="51" t="s">
        <v>4066</v>
      </c>
      <c r="G1774" s="17" t="s">
        <v>208</v>
      </c>
      <c r="H1774" s="41" t="s">
        <v>347</v>
      </c>
      <c r="I1774" s="16" t="str">
        <f t="shared" ref="I1774:I1787" si="1003">J1774</f>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ref="U1774:U1787" si="1004">_xlfn.CONCAT("Propriedade destinada a ",MID(C1774,FIND("p.",C1774,1)+2,100),": ",D1774)</f>
        <v>Propriedade destinada a temporalizar: é.ano</v>
      </c>
      <c r="V1774" s="5" t="str">
        <f t="shared" ref="V1774:V1787" si="1005">_xlfn.CONCAT("Dado para ",MID(F1774,FIND("d.",F1774,1)+2,100),":  ",G1774, "  Deve ser formatado como (",H1774, ")")</f>
        <v>Dado para temporalizar:  ano  Deve ser formatado como (xsd:gYear)</v>
      </c>
      <c r="W1774" s="5" t="s">
        <v>7091</v>
      </c>
      <c r="X1774" s="24" t="str">
        <f t="shared" si="979"/>
        <v>tempo.100</v>
      </c>
      <c r="Y1774" s="24" t="str">
        <f t="shared" si="978"/>
        <v>Ação temporalizar</v>
      </c>
      <c r="Z1774" s="47" t="s">
        <v>2090</v>
      </c>
      <c r="AA1774" s="25" t="str">
        <f t="shared" ref="AA1774:AA1787" si="1006">IF(AB1774="null", "null", "categoria.revit")</f>
        <v>null</v>
      </c>
      <c r="AB1774" s="26" t="s">
        <v>0</v>
      </c>
      <c r="AC1774" s="25" t="str">
        <f t="shared" ref="AC1774:AC1787" si="1007">IF(AD1774="null", "null", "classe.ifc")</f>
        <v>null</v>
      </c>
      <c r="AD1774" s="26" t="s">
        <v>0</v>
      </c>
      <c r="AE1774" s="25" t="str">
        <f t="shared" ref="AE1774:AE1787" si="1008">IF(AF1774="null", "null", "propiedade")</f>
        <v>null</v>
      </c>
      <c r="AF1774" s="26" t="s">
        <v>0</v>
      </c>
      <c r="AG1774" s="47" t="s">
        <v>5293</v>
      </c>
    </row>
    <row r="1775" spans="1:33" ht="6" customHeight="1" x14ac:dyDescent="0.4">
      <c r="A1775" s="4">
        <f>ROW()</f>
        <v>1775</v>
      </c>
      <c r="B1775" s="9" t="s">
        <v>27</v>
      </c>
      <c r="C1775" s="55" t="str">
        <f>SUBSTITUTE(F1775,"d.","p.")</f>
        <v>p.temporalizar</v>
      </c>
      <c r="D1775" s="6" t="str">
        <f t="shared" si="1002"/>
        <v>é.ano.fiscal</v>
      </c>
      <c r="E1775" s="8" t="s">
        <v>28</v>
      </c>
      <c r="F1775" s="42" t="str">
        <f>F1774</f>
        <v>d.temporalizar</v>
      </c>
      <c r="G1775" s="17" t="s">
        <v>1037</v>
      </c>
      <c r="H1775" s="41" t="s">
        <v>347</v>
      </c>
      <c r="I1775" s="16" t="str">
        <f t="shared" si="1003"/>
        <v>Functional</v>
      </c>
      <c r="J1775" s="13" t="s">
        <v>29</v>
      </c>
      <c r="K1775" s="15" t="s">
        <v>0</v>
      </c>
      <c r="L1775" s="15" t="s">
        <v>0</v>
      </c>
      <c r="M1775" s="15" t="s">
        <v>0</v>
      </c>
      <c r="N1775" s="15" t="s">
        <v>0</v>
      </c>
      <c r="O1775" s="15" t="s">
        <v>0</v>
      </c>
      <c r="P1775" s="15" t="s">
        <v>0</v>
      </c>
      <c r="Q1775" s="15" t="s">
        <v>0</v>
      </c>
      <c r="R1775" s="15" t="s">
        <v>0</v>
      </c>
      <c r="S1775" s="10" t="s">
        <v>1</v>
      </c>
      <c r="T1775" s="10" t="s">
        <v>32</v>
      </c>
      <c r="U1775" s="5" t="str">
        <f t="shared" si="1004"/>
        <v>Propriedade destinada a temporalizar: é.ano.fiscal</v>
      </c>
      <c r="V1775" s="5" t="str">
        <f t="shared" si="1005"/>
        <v>Dado para temporalizar:  ano.fiscal  Deve ser formatado como (xsd:gYear)</v>
      </c>
      <c r="W1775" s="5" t="s">
        <v>7092</v>
      </c>
      <c r="X1775" s="24" t="str">
        <f t="shared" si="979"/>
        <v>tempo.101</v>
      </c>
      <c r="Y1775" s="24" t="str">
        <f t="shared" si="978"/>
        <v>Ação temporalizar</v>
      </c>
      <c r="Z1775" s="47" t="s">
        <v>2091</v>
      </c>
      <c r="AA1775" s="25" t="str">
        <f t="shared" si="1006"/>
        <v>null</v>
      </c>
      <c r="AB1775" s="26" t="s">
        <v>0</v>
      </c>
      <c r="AC1775" s="25" t="str">
        <f t="shared" si="1007"/>
        <v>null</v>
      </c>
      <c r="AD1775" s="26" t="s">
        <v>0</v>
      </c>
      <c r="AE1775" s="25" t="str">
        <f t="shared" si="1008"/>
        <v>null</v>
      </c>
      <c r="AF1775" s="26" t="s">
        <v>0</v>
      </c>
      <c r="AG1775" s="47" t="s">
        <v>3682</v>
      </c>
    </row>
    <row r="1776" spans="1:33" ht="6" customHeight="1" x14ac:dyDescent="0.4">
      <c r="A1776" s="4">
        <f>ROW()</f>
        <v>1776</v>
      </c>
      <c r="B1776" s="9" t="s">
        <v>27</v>
      </c>
      <c r="C1776" s="55" t="str">
        <f t="shared" ref="C1776:C1795" si="1009">SUBSTITUTE(F1776,"d.","p.")</f>
        <v>p.temporalizar</v>
      </c>
      <c r="D1776" s="6" t="str">
        <f t="shared" si="1002"/>
        <v>é.data</v>
      </c>
      <c r="E1776" s="8" t="s">
        <v>28</v>
      </c>
      <c r="F1776" s="42" t="str">
        <f t="shared" ref="F1776:F1789" si="1010">F1775</f>
        <v>d.temporalizar</v>
      </c>
      <c r="G1776" s="17" t="s">
        <v>1263</v>
      </c>
      <c r="H1776" s="41" t="s">
        <v>345</v>
      </c>
      <c r="I1776" s="16" t="str">
        <f t="shared" si="1003"/>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4"/>
        <v>Propriedade destinada a temporalizar: é.data</v>
      </c>
      <c r="V1776" s="5" t="str">
        <f t="shared" si="1005"/>
        <v>Dado para temporalizar:  data  Deve ser formatado como (xsd:date)</v>
      </c>
      <c r="W1776" s="5" t="s">
        <v>7093</v>
      </c>
      <c r="X1776" s="24" t="str">
        <f t="shared" si="979"/>
        <v>tempo.102</v>
      </c>
      <c r="Y1776" s="24" t="str">
        <f t="shared" si="978"/>
        <v>Ação temporalizar</v>
      </c>
      <c r="Z1776" s="47" t="s">
        <v>5020</v>
      </c>
      <c r="AA1776" s="25" t="str">
        <f t="shared" si="1006"/>
        <v>null</v>
      </c>
      <c r="AB1776" s="26" t="s">
        <v>0</v>
      </c>
      <c r="AC1776" s="25" t="str">
        <f t="shared" si="1007"/>
        <v>null</v>
      </c>
      <c r="AD1776" s="26" t="s">
        <v>0</v>
      </c>
      <c r="AE1776" s="25" t="str">
        <f t="shared" si="1008"/>
        <v>null</v>
      </c>
      <c r="AF1776" s="26" t="s">
        <v>0</v>
      </c>
      <c r="AG1776" s="47" t="s">
        <v>5297</v>
      </c>
    </row>
    <row r="1777" spans="1:33" ht="6" customHeight="1" x14ac:dyDescent="0.4">
      <c r="A1777" s="4">
        <f>ROW()</f>
        <v>1777</v>
      </c>
      <c r="B1777" s="9" t="s">
        <v>27</v>
      </c>
      <c r="C1777" s="55" t="str">
        <f t="shared" si="1009"/>
        <v>p.temporalizar</v>
      </c>
      <c r="D1777" s="6" t="str">
        <f t="shared" si="1002"/>
        <v>é.data.de.levantamento</v>
      </c>
      <c r="E1777" s="8" t="s">
        <v>28</v>
      </c>
      <c r="F1777" s="42" t="str">
        <f t="shared" si="1010"/>
        <v>d.temporalizar</v>
      </c>
      <c r="G1777" s="17" t="s">
        <v>1036</v>
      </c>
      <c r="H1777" s="41" t="s">
        <v>345</v>
      </c>
      <c r="I1777" s="16" t="str">
        <f t="shared" si="1003"/>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1004"/>
        <v>Propriedade destinada a temporalizar: é.data.de.levantamento</v>
      </c>
      <c r="V1777" s="5" t="str">
        <f t="shared" si="1005"/>
        <v>Dado para temporalizar:  data.de.levantamento  Deve ser formatado como (xsd:date)</v>
      </c>
      <c r="W1777" s="5" t="s">
        <v>7094</v>
      </c>
      <c r="X1777" s="24" t="str">
        <f t="shared" si="979"/>
        <v>tempo.103</v>
      </c>
      <c r="Y1777" s="24" t="str">
        <f t="shared" si="978"/>
        <v>Ação temporalizar</v>
      </c>
      <c r="Z1777" s="47" t="s">
        <v>5023</v>
      </c>
      <c r="AA1777" s="25" t="str">
        <f t="shared" si="1006"/>
        <v>null</v>
      </c>
      <c r="AB1777" s="26" t="s">
        <v>0</v>
      </c>
      <c r="AC1777" s="25" t="str">
        <f t="shared" si="1007"/>
        <v>null</v>
      </c>
      <c r="AD1777" s="26" t="s">
        <v>0</v>
      </c>
      <c r="AE1777" s="25" t="str">
        <f t="shared" si="1008"/>
        <v>null</v>
      </c>
      <c r="AF1777" s="26" t="s">
        <v>0</v>
      </c>
      <c r="AG1777" s="47" t="s">
        <v>5299</v>
      </c>
    </row>
    <row r="1778" spans="1:33" ht="6" customHeight="1" x14ac:dyDescent="0.4">
      <c r="A1778" s="4">
        <f>ROW()</f>
        <v>1778</v>
      </c>
      <c r="B1778" s="9" t="s">
        <v>27</v>
      </c>
      <c r="C1778" s="55" t="str">
        <f t="shared" si="1009"/>
        <v>p.temporalizar</v>
      </c>
      <c r="D1778" s="6" t="str">
        <f t="shared" si="1002"/>
        <v>é.data.de.validade</v>
      </c>
      <c r="E1778" s="8" t="s">
        <v>28</v>
      </c>
      <c r="F1778" s="42" t="str">
        <f t="shared" si="1010"/>
        <v>d.temporalizar</v>
      </c>
      <c r="G1778" s="17" t="s">
        <v>1034</v>
      </c>
      <c r="H1778" s="41" t="s">
        <v>345</v>
      </c>
      <c r="I1778" s="16" t="str">
        <f t="shared" si="1003"/>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4"/>
        <v>Propriedade destinada a temporalizar: é.data.de.validade</v>
      </c>
      <c r="V1778" s="5" t="str">
        <f t="shared" si="1005"/>
        <v>Dado para temporalizar:  data.de.validade  Deve ser formatado como (xsd:date)</v>
      </c>
      <c r="W1778" s="5" t="s">
        <v>7095</v>
      </c>
      <c r="X1778" s="24" t="str">
        <f t="shared" si="979"/>
        <v>tempo.104</v>
      </c>
      <c r="Y1778" s="24" t="str">
        <f t="shared" si="978"/>
        <v>Ação temporalizar</v>
      </c>
      <c r="Z1778" s="47" t="s">
        <v>5021</v>
      </c>
      <c r="AA1778" s="25" t="str">
        <f t="shared" si="1006"/>
        <v>null</v>
      </c>
      <c r="AB1778" s="26" t="s">
        <v>0</v>
      </c>
      <c r="AC1778" s="25" t="str">
        <f t="shared" si="1007"/>
        <v>null</v>
      </c>
      <c r="AD1778" s="26" t="s">
        <v>0</v>
      </c>
      <c r="AE1778" s="25" t="str">
        <f t="shared" si="1008"/>
        <v>null</v>
      </c>
      <c r="AF1778" s="26" t="s">
        <v>0</v>
      </c>
      <c r="AG1778" s="47" t="s">
        <v>5300</v>
      </c>
    </row>
    <row r="1779" spans="1:33" ht="6" customHeight="1" x14ac:dyDescent="0.4">
      <c r="A1779" s="4">
        <f>ROW()</f>
        <v>1779</v>
      </c>
      <c r="B1779" s="9" t="s">
        <v>27</v>
      </c>
      <c r="C1779" s="55" t="str">
        <f t="shared" si="1009"/>
        <v>p.temporalizar</v>
      </c>
      <c r="D1779" s="6" t="str">
        <f t="shared" si="1002"/>
        <v>é.data.de.verificação</v>
      </c>
      <c r="E1779" s="8" t="s">
        <v>28</v>
      </c>
      <c r="F1779" s="42" t="str">
        <f t="shared" si="1010"/>
        <v>d.temporalizar</v>
      </c>
      <c r="G1779" s="17" t="s">
        <v>1035</v>
      </c>
      <c r="H1779" s="41" t="s">
        <v>345</v>
      </c>
      <c r="I1779" s="16" t="str">
        <f t="shared" si="1003"/>
        <v>Functional</v>
      </c>
      <c r="J1779" s="13" t="s">
        <v>29</v>
      </c>
      <c r="K1779" s="15" t="s">
        <v>0</v>
      </c>
      <c r="L1779" s="15" t="s">
        <v>0</v>
      </c>
      <c r="M1779" s="15" t="s">
        <v>0</v>
      </c>
      <c r="N1779" s="15" t="s">
        <v>0</v>
      </c>
      <c r="O1779" s="15" t="s">
        <v>0</v>
      </c>
      <c r="P1779" s="15" t="s">
        <v>0</v>
      </c>
      <c r="Q1779" s="15" t="s">
        <v>0</v>
      </c>
      <c r="R1779" s="15" t="s">
        <v>0</v>
      </c>
      <c r="S1779" s="10" t="s">
        <v>1</v>
      </c>
      <c r="T1779" s="10" t="s">
        <v>32</v>
      </c>
      <c r="U1779" s="5" t="str">
        <f t="shared" si="1004"/>
        <v>Propriedade destinada a temporalizar: é.data.de.verificação</v>
      </c>
      <c r="V1779" s="5" t="str">
        <f t="shared" si="1005"/>
        <v>Dado para temporalizar:  data.de.verificação  Deve ser formatado como (xsd:date)</v>
      </c>
      <c r="W1779" s="5" t="s">
        <v>7096</v>
      </c>
      <c r="X1779" s="24" t="str">
        <f t="shared" si="979"/>
        <v>tempo.105</v>
      </c>
      <c r="Y1779" s="24" t="str">
        <f t="shared" si="978"/>
        <v>Ação temporalizar</v>
      </c>
      <c r="Z1779" s="47" t="s">
        <v>5022</v>
      </c>
      <c r="AA1779" s="25" t="str">
        <f t="shared" si="1006"/>
        <v>null</v>
      </c>
      <c r="AB1779" s="26" t="s">
        <v>0</v>
      </c>
      <c r="AC1779" s="25" t="str">
        <f t="shared" si="1007"/>
        <v>null</v>
      </c>
      <c r="AD1779" s="26" t="s">
        <v>0</v>
      </c>
      <c r="AE1779" s="25" t="str">
        <f t="shared" si="1008"/>
        <v>null</v>
      </c>
      <c r="AF1779" s="26" t="s">
        <v>0</v>
      </c>
      <c r="AG1779" s="47" t="s">
        <v>5298</v>
      </c>
    </row>
    <row r="1780" spans="1:33" ht="6" customHeight="1" x14ac:dyDescent="0.4">
      <c r="A1780" s="4">
        <f>ROW()</f>
        <v>1780</v>
      </c>
      <c r="B1780" s="9" t="s">
        <v>27</v>
      </c>
      <c r="C1780" s="55" t="str">
        <f t="shared" si="1009"/>
        <v>p.temporalizar</v>
      </c>
      <c r="D1780" s="6" t="str">
        <f t="shared" si="1002"/>
        <v>é.dia</v>
      </c>
      <c r="E1780" s="8" t="s">
        <v>28</v>
      </c>
      <c r="F1780" s="42" t="str">
        <f t="shared" si="1010"/>
        <v>d.temporalizar</v>
      </c>
      <c r="G1780" s="17" t="s">
        <v>206</v>
      </c>
      <c r="H1780" s="41" t="s">
        <v>345</v>
      </c>
      <c r="I1780" s="16" t="str">
        <f t="shared" si="1003"/>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1004"/>
        <v>Propriedade destinada a temporalizar: é.dia</v>
      </c>
      <c r="V1780" s="5" t="str">
        <f t="shared" si="1005"/>
        <v>Dado para temporalizar:  dia  Deve ser formatado como (xsd:date)</v>
      </c>
      <c r="W1780" s="5" t="s">
        <v>7097</v>
      </c>
      <c r="X1780" s="24" t="str">
        <f t="shared" si="979"/>
        <v>tempo.106</v>
      </c>
      <c r="Y1780" s="24" t="str">
        <f t="shared" si="978"/>
        <v>Ação temporalizar</v>
      </c>
      <c r="Z1780" s="47" t="s">
        <v>2088</v>
      </c>
      <c r="AA1780" s="25" t="str">
        <f t="shared" si="1006"/>
        <v>null</v>
      </c>
      <c r="AB1780" s="26" t="s">
        <v>0</v>
      </c>
      <c r="AC1780" s="25" t="str">
        <f t="shared" si="1007"/>
        <v>null</v>
      </c>
      <c r="AD1780" s="26" t="s">
        <v>0</v>
      </c>
      <c r="AE1780" s="25" t="str">
        <f t="shared" si="1008"/>
        <v>null</v>
      </c>
      <c r="AF1780" s="26" t="s">
        <v>0</v>
      </c>
      <c r="AG1780" s="47" t="s">
        <v>5292</v>
      </c>
    </row>
    <row r="1781" spans="1:33" ht="6" customHeight="1" x14ac:dyDescent="0.4">
      <c r="A1781" s="4">
        <f>ROW()</f>
        <v>1781</v>
      </c>
      <c r="B1781" s="9" t="s">
        <v>27</v>
      </c>
      <c r="C1781" s="55" t="str">
        <f t="shared" si="1009"/>
        <v>p.temporalizar</v>
      </c>
      <c r="D1781" s="6" t="str">
        <f t="shared" si="1002"/>
        <v>é.durabilidade</v>
      </c>
      <c r="E1781" s="8" t="s">
        <v>28</v>
      </c>
      <c r="F1781" s="42" t="str">
        <f t="shared" si="1010"/>
        <v>d.temporalizar</v>
      </c>
      <c r="G1781" s="18" t="s">
        <v>241</v>
      </c>
      <c r="H1781" s="41" t="s">
        <v>349</v>
      </c>
      <c r="I1781" s="16" t="str">
        <f t="shared" si="1003"/>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1004"/>
        <v>Propriedade destinada a temporalizar: é.durabilidade</v>
      </c>
      <c r="V1781" s="5" t="str">
        <f t="shared" si="1005"/>
        <v>Dado para temporalizar:  durabilidade  Deve ser formatado como (xsd:duration)</v>
      </c>
      <c r="W1781" s="5" t="s">
        <v>7098</v>
      </c>
      <c r="X1781" s="24" t="str">
        <f t="shared" si="979"/>
        <v>tempo.107</v>
      </c>
      <c r="Y1781" s="24" t="str">
        <f t="shared" si="978"/>
        <v>Ação temporalizar</v>
      </c>
      <c r="Z1781" s="47" t="s">
        <v>5059</v>
      </c>
      <c r="AA1781" s="25" t="str">
        <f t="shared" si="1006"/>
        <v>null</v>
      </c>
      <c r="AB1781" s="26" t="s">
        <v>0</v>
      </c>
      <c r="AC1781" s="25" t="str">
        <f t="shared" si="1007"/>
        <v>null</v>
      </c>
      <c r="AD1781" s="26" t="s">
        <v>0</v>
      </c>
      <c r="AE1781" s="25" t="str">
        <f t="shared" si="1008"/>
        <v>null</v>
      </c>
      <c r="AF1781" s="26" t="s">
        <v>0</v>
      </c>
      <c r="AG1781" s="47" t="s">
        <v>5283</v>
      </c>
    </row>
    <row r="1782" spans="1:33" ht="6" customHeight="1" x14ac:dyDescent="0.4">
      <c r="A1782" s="4">
        <f>ROW()</f>
        <v>1782</v>
      </c>
      <c r="B1782" s="9" t="s">
        <v>27</v>
      </c>
      <c r="C1782" s="55" t="str">
        <f t="shared" si="1009"/>
        <v>p.temporalizar</v>
      </c>
      <c r="D1782" s="6" t="str">
        <f t="shared" si="1002"/>
        <v>é.duração</v>
      </c>
      <c r="E1782" s="8" t="s">
        <v>28</v>
      </c>
      <c r="F1782" s="42" t="str">
        <f t="shared" si="1010"/>
        <v>d.temporalizar</v>
      </c>
      <c r="G1782" s="18" t="s">
        <v>111</v>
      </c>
      <c r="H1782" s="41" t="s">
        <v>349</v>
      </c>
      <c r="I1782" s="16" t="str">
        <f t="shared" si="1003"/>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4"/>
        <v>Propriedade destinada a temporalizar: é.duração</v>
      </c>
      <c r="V1782" s="5" t="str">
        <f t="shared" si="1005"/>
        <v>Dado para temporalizar:  duração  Deve ser formatado como (xsd:duration)</v>
      </c>
      <c r="W1782" s="5" t="s">
        <v>7099</v>
      </c>
      <c r="X1782" s="24" t="str">
        <f t="shared" si="979"/>
        <v>tempo.108</v>
      </c>
      <c r="Y1782" s="24" t="str">
        <f t="shared" si="978"/>
        <v>Ação temporalizar</v>
      </c>
      <c r="Z1782" s="47" t="s">
        <v>5018</v>
      </c>
      <c r="AA1782" s="25" t="str">
        <f t="shared" si="1006"/>
        <v>null</v>
      </c>
      <c r="AB1782" s="26" t="s">
        <v>0</v>
      </c>
      <c r="AC1782" s="25" t="str">
        <f t="shared" si="1007"/>
        <v>null</v>
      </c>
      <c r="AD1782" s="26" t="s">
        <v>0</v>
      </c>
      <c r="AE1782" s="25" t="str">
        <f t="shared" si="1008"/>
        <v>null</v>
      </c>
      <c r="AF1782" s="26" t="s">
        <v>0</v>
      </c>
      <c r="AG1782" s="47" t="s">
        <v>5295</v>
      </c>
    </row>
    <row r="1783" spans="1:33" ht="6" customHeight="1" x14ac:dyDescent="0.4">
      <c r="A1783" s="4">
        <f>ROW()</f>
        <v>1783</v>
      </c>
      <c r="B1783" s="9" t="s">
        <v>27</v>
      </c>
      <c r="C1783" s="55" t="str">
        <f t="shared" si="1009"/>
        <v>p.temporalizar</v>
      </c>
      <c r="D1783" s="6" t="str">
        <f t="shared" si="1002"/>
        <v>é.horário</v>
      </c>
      <c r="E1783" s="8" t="s">
        <v>28</v>
      </c>
      <c r="F1783" s="42" t="str">
        <f t="shared" si="1010"/>
        <v>d.temporalizar</v>
      </c>
      <c r="G1783" s="18" t="s">
        <v>112</v>
      </c>
      <c r="H1783" s="41" t="s">
        <v>346</v>
      </c>
      <c r="I1783" s="16" t="str">
        <f t="shared" si="1003"/>
        <v>Functional</v>
      </c>
      <c r="J1783" s="13" t="s">
        <v>29</v>
      </c>
      <c r="K1783" s="13" t="s">
        <v>0</v>
      </c>
      <c r="L1783" s="13" t="s">
        <v>0</v>
      </c>
      <c r="M1783" s="13" t="s">
        <v>0</v>
      </c>
      <c r="N1783" s="13" t="s">
        <v>0</v>
      </c>
      <c r="O1783" s="13" t="s">
        <v>0</v>
      </c>
      <c r="P1783" s="13" t="s">
        <v>0</v>
      </c>
      <c r="Q1783" s="13" t="s">
        <v>0</v>
      </c>
      <c r="R1783" s="15" t="s">
        <v>0</v>
      </c>
      <c r="S1783" s="10" t="s">
        <v>1</v>
      </c>
      <c r="T1783" s="10" t="s">
        <v>32</v>
      </c>
      <c r="U1783" s="5" t="str">
        <f t="shared" si="1004"/>
        <v>Propriedade destinada a temporalizar: é.horário</v>
      </c>
      <c r="V1783" s="5" t="str">
        <f t="shared" si="1005"/>
        <v>Dado para temporalizar:  horário  Deve ser formatado como (xsd:time)</v>
      </c>
      <c r="W1783" s="5" t="s">
        <v>7100</v>
      </c>
      <c r="X1783" s="24" t="str">
        <f t="shared" si="979"/>
        <v>tempo.109</v>
      </c>
      <c r="Y1783" s="24" t="str">
        <f t="shared" si="978"/>
        <v>Ação temporalizar</v>
      </c>
      <c r="Z1783" s="47" t="s">
        <v>5019</v>
      </c>
      <c r="AA1783" s="25" t="str">
        <f t="shared" si="1006"/>
        <v>null</v>
      </c>
      <c r="AB1783" s="26" t="s">
        <v>0</v>
      </c>
      <c r="AC1783" s="25" t="str">
        <f t="shared" si="1007"/>
        <v>null</v>
      </c>
      <c r="AD1783" s="26" t="s">
        <v>0</v>
      </c>
      <c r="AE1783" s="25" t="str">
        <f t="shared" si="1008"/>
        <v>null</v>
      </c>
      <c r="AF1783" s="26" t="s">
        <v>0</v>
      </c>
      <c r="AG1783" s="47" t="s">
        <v>5296</v>
      </c>
    </row>
    <row r="1784" spans="1:33" ht="6" customHeight="1" x14ac:dyDescent="0.4">
      <c r="A1784" s="4">
        <f>ROW()</f>
        <v>1784</v>
      </c>
      <c r="B1784" s="9" t="s">
        <v>27</v>
      </c>
      <c r="C1784" s="55" t="str">
        <f t="shared" si="1009"/>
        <v>p.temporalizar</v>
      </c>
      <c r="D1784" s="6" t="str">
        <f t="shared" si="1002"/>
        <v>é.instante</v>
      </c>
      <c r="E1784" s="8" t="s">
        <v>28</v>
      </c>
      <c r="F1784" s="42" t="str">
        <f t="shared" si="1010"/>
        <v>d.temporalizar</v>
      </c>
      <c r="G1784" s="18" t="s">
        <v>4355</v>
      </c>
      <c r="H1784" s="42" t="s">
        <v>33</v>
      </c>
      <c r="I1784" s="16" t="str">
        <f t="shared" si="1003"/>
        <v>null</v>
      </c>
      <c r="J1784" s="13" t="s">
        <v>0</v>
      </c>
      <c r="K1784" s="13" t="s">
        <v>0</v>
      </c>
      <c r="L1784" s="13" t="s">
        <v>0</v>
      </c>
      <c r="M1784" s="13" t="s">
        <v>0</v>
      </c>
      <c r="N1784" s="15" t="s">
        <v>0</v>
      </c>
      <c r="O1784" s="13" t="s">
        <v>0</v>
      </c>
      <c r="P1784" s="13" t="s">
        <v>0</v>
      </c>
      <c r="Q1784" s="13" t="s">
        <v>0</v>
      </c>
      <c r="R1784" s="65" t="s">
        <v>0</v>
      </c>
      <c r="S1784" s="10" t="s">
        <v>1</v>
      </c>
      <c r="T1784" s="10" t="s">
        <v>32</v>
      </c>
      <c r="U1784" s="5" t="str">
        <f t="shared" si="1004"/>
        <v>Propriedade destinada a temporalizar: é.instante</v>
      </c>
      <c r="V1784" s="5" t="str">
        <f t="shared" si="1005"/>
        <v>Dado para temporalizar:  instante  Deve ser formatado como (xsd:integer)</v>
      </c>
      <c r="W1784" s="5" t="s">
        <v>7101</v>
      </c>
      <c r="X1784" s="24" t="str">
        <f t="shared" si="979"/>
        <v>tempo.110</v>
      </c>
      <c r="Y1784" s="24" t="str">
        <f t="shared" si="978"/>
        <v>Ação temporalizar</v>
      </c>
      <c r="Z1784" s="47" t="s">
        <v>4356</v>
      </c>
      <c r="AA1784" s="25" t="str">
        <f t="shared" si="1006"/>
        <v>null</v>
      </c>
      <c r="AB1784" s="26" t="s">
        <v>0</v>
      </c>
      <c r="AC1784" s="25" t="str">
        <f t="shared" si="1007"/>
        <v>null</v>
      </c>
      <c r="AD1784" s="26" t="s">
        <v>0</v>
      </c>
      <c r="AE1784" s="25" t="str">
        <f t="shared" si="1008"/>
        <v>null</v>
      </c>
      <c r="AF1784" s="26" t="s">
        <v>0</v>
      </c>
      <c r="AG1784" s="47" t="s">
        <v>4357</v>
      </c>
    </row>
    <row r="1785" spans="1:33" ht="6" customHeight="1" x14ac:dyDescent="0.4">
      <c r="A1785" s="4">
        <f>ROW()</f>
        <v>1785</v>
      </c>
      <c r="B1785" s="9" t="s">
        <v>27</v>
      </c>
      <c r="C1785" s="55" t="str">
        <f t="shared" si="1009"/>
        <v>p.temporalizar</v>
      </c>
      <c r="D1785" s="6" t="str">
        <f t="shared" si="1002"/>
        <v>é.mês</v>
      </c>
      <c r="E1785" s="8" t="s">
        <v>28</v>
      </c>
      <c r="F1785" s="42" t="str">
        <f t="shared" si="1010"/>
        <v>d.temporalizar</v>
      </c>
      <c r="G1785" s="17" t="s">
        <v>207</v>
      </c>
      <c r="H1785" s="41" t="s">
        <v>2211</v>
      </c>
      <c r="I1785" s="16" t="str">
        <f t="shared" si="1003"/>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1004"/>
        <v>Propriedade destinada a temporalizar: é.mês</v>
      </c>
      <c r="V1785" s="5" t="str">
        <f t="shared" si="1005"/>
        <v>Dado para temporalizar:  mês  Deve ser formatado como (xsd:gYearMonth)</v>
      </c>
      <c r="W1785" s="5" t="s">
        <v>7102</v>
      </c>
      <c r="X1785" s="24" t="str">
        <f t="shared" si="979"/>
        <v>tempo.111</v>
      </c>
      <c r="Y1785" s="24" t="str">
        <f t="shared" si="978"/>
        <v>Ação temporalizar</v>
      </c>
      <c r="Z1785" s="47" t="s">
        <v>2089</v>
      </c>
      <c r="AA1785" s="25" t="str">
        <f t="shared" si="1006"/>
        <v>null</v>
      </c>
      <c r="AB1785" s="26" t="s">
        <v>0</v>
      </c>
      <c r="AC1785" s="25" t="str">
        <f t="shared" si="1007"/>
        <v>null</v>
      </c>
      <c r="AD1785" s="26" t="s">
        <v>0</v>
      </c>
      <c r="AE1785" s="25" t="str">
        <f t="shared" si="1008"/>
        <v>null</v>
      </c>
      <c r="AF1785" s="26" t="s">
        <v>0</v>
      </c>
      <c r="AG1785" s="47" t="s">
        <v>5205</v>
      </c>
    </row>
    <row r="1786" spans="1:33" ht="6" customHeight="1" x14ac:dyDescent="0.4">
      <c r="A1786" s="4">
        <f>ROW()</f>
        <v>1786</v>
      </c>
      <c r="B1786" s="9" t="s">
        <v>27</v>
      </c>
      <c r="C1786" s="55" t="str">
        <f t="shared" si="1009"/>
        <v>p.temporalizar</v>
      </c>
      <c r="D1786" s="6" t="str">
        <f t="shared" si="1002"/>
        <v>é.momento</v>
      </c>
      <c r="E1786" s="8" t="s">
        <v>28</v>
      </c>
      <c r="F1786" s="42" t="str">
        <f t="shared" si="1010"/>
        <v>d.temporalizar</v>
      </c>
      <c r="G1786" s="18" t="s">
        <v>174</v>
      </c>
      <c r="H1786" s="41" t="s">
        <v>348</v>
      </c>
      <c r="I1786" s="16" t="str">
        <f t="shared" si="1003"/>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4"/>
        <v>Propriedade destinada a temporalizar: é.momento</v>
      </c>
      <c r="V1786" s="5" t="str">
        <f t="shared" si="1005"/>
        <v>Dado para temporalizar:  momento  Deve ser formatado como (xsd:dayTimeDuration)</v>
      </c>
      <c r="W1786" s="5" t="s">
        <v>7103</v>
      </c>
      <c r="X1786" s="24" t="str">
        <f t="shared" si="979"/>
        <v>tempo.112</v>
      </c>
      <c r="Y1786" s="24" t="str">
        <f t="shared" si="978"/>
        <v>Ação temporalizar</v>
      </c>
      <c r="Z1786" s="47" t="s">
        <v>5016</v>
      </c>
      <c r="AA1786" s="25" t="str">
        <f t="shared" si="1006"/>
        <v>null</v>
      </c>
      <c r="AB1786" s="26" t="s">
        <v>0</v>
      </c>
      <c r="AC1786" s="25" t="str">
        <f t="shared" si="1007"/>
        <v>null</v>
      </c>
      <c r="AD1786" s="26" t="s">
        <v>0</v>
      </c>
      <c r="AE1786" s="25" t="str">
        <f t="shared" si="1008"/>
        <v>null</v>
      </c>
      <c r="AF1786" s="26" t="s">
        <v>0</v>
      </c>
      <c r="AG1786" s="47" t="s">
        <v>5294</v>
      </c>
    </row>
    <row r="1787" spans="1:33" ht="6" customHeight="1" x14ac:dyDescent="0.4">
      <c r="A1787" s="4">
        <f>ROW()</f>
        <v>1787</v>
      </c>
      <c r="B1787" s="9" t="s">
        <v>27</v>
      </c>
      <c r="C1787" s="55" t="str">
        <f t="shared" si="1009"/>
        <v>p.temporalizar</v>
      </c>
      <c r="D1787" s="6" t="str">
        <f t="shared" si="1002"/>
        <v>é.momento.final</v>
      </c>
      <c r="E1787" s="8" t="s">
        <v>28</v>
      </c>
      <c r="F1787" s="42" t="str">
        <f t="shared" si="1010"/>
        <v>d.temporalizar</v>
      </c>
      <c r="G1787" s="18" t="s">
        <v>1033</v>
      </c>
      <c r="H1787" s="41" t="s">
        <v>348</v>
      </c>
      <c r="I1787" s="16" t="str">
        <f t="shared" si="1003"/>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si="1004"/>
        <v>Propriedade destinada a temporalizar: é.momento.final</v>
      </c>
      <c r="V1787" s="5" t="str">
        <f t="shared" si="1005"/>
        <v>Dado para temporalizar:  momento.final  Deve ser formatado como (xsd:dayTimeDuration)</v>
      </c>
      <c r="W1787" s="5" t="s">
        <v>7104</v>
      </c>
      <c r="X1787" s="24" t="str">
        <f t="shared" si="979"/>
        <v>tempo.113</v>
      </c>
      <c r="Y1787" s="24" t="str">
        <f t="shared" si="978"/>
        <v>Ação temporalizar</v>
      </c>
      <c r="Z1787" s="47" t="s">
        <v>5017</v>
      </c>
      <c r="AA1787" s="25" t="str">
        <f t="shared" si="1006"/>
        <v>null</v>
      </c>
      <c r="AB1787" s="26" t="s">
        <v>0</v>
      </c>
      <c r="AC1787" s="25" t="str">
        <f t="shared" si="1007"/>
        <v>null</v>
      </c>
      <c r="AD1787" s="26" t="s">
        <v>0</v>
      </c>
      <c r="AE1787" s="25" t="str">
        <f t="shared" si="1008"/>
        <v>null</v>
      </c>
      <c r="AF1787" s="26" t="s">
        <v>0</v>
      </c>
      <c r="AG1787" s="47" t="s">
        <v>5282</v>
      </c>
    </row>
    <row r="1788" spans="1:33" ht="6" customHeight="1" x14ac:dyDescent="0.4">
      <c r="A1788" s="4">
        <f>ROW()</f>
        <v>1788</v>
      </c>
      <c r="B1788" s="9" t="s">
        <v>27</v>
      </c>
      <c r="C1788" s="55" t="str">
        <f t="shared" si="1009"/>
        <v>p.temporalizar</v>
      </c>
      <c r="D1788" s="6" t="str">
        <f t="shared" ref="D1788" si="1011">_xlfn.CONCAT("é.",G1788)</f>
        <v>é.momento.inicial</v>
      </c>
      <c r="E1788" s="8" t="s">
        <v>28</v>
      </c>
      <c r="F1788" s="42" t="str">
        <f t="shared" si="1010"/>
        <v>d.temporalizar</v>
      </c>
      <c r="G1788" s="18" t="s">
        <v>1032</v>
      </c>
      <c r="H1788" s="41" t="s">
        <v>348</v>
      </c>
      <c r="I1788" s="16" t="str">
        <f t="shared" ref="I1788" si="1012">J1788</f>
        <v>Functional</v>
      </c>
      <c r="J1788" s="13" t="s">
        <v>29</v>
      </c>
      <c r="K1788" s="13" t="s">
        <v>0</v>
      </c>
      <c r="L1788" s="13" t="s">
        <v>0</v>
      </c>
      <c r="M1788" s="13" t="s">
        <v>0</v>
      </c>
      <c r="N1788" s="13" t="s">
        <v>0</v>
      </c>
      <c r="O1788" s="13" t="s">
        <v>0</v>
      </c>
      <c r="P1788" s="13" t="s">
        <v>0</v>
      </c>
      <c r="Q1788" s="13" t="s">
        <v>0</v>
      </c>
      <c r="R1788" s="15" t="s">
        <v>0</v>
      </c>
      <c r="S1788" s="10" t="s">
        <v>1</v>
      </c>
      <c r="T1788" s="10" t="s">
        <v>32</v>
      </c>
      <c r="U1788" s="5" t="str">
        <f t="shared" ref="U1788" si="1013">_xlfn.CONCAT("Propriedade destinada a ",MID(C1788,FIND("p.",C1788,1)+2,100),": ",D1788)</f>
        <v>Propriedade destinada a temporalizar: é.momento.inicial</v>
      </c>
      <c r="V1788" s="5" t="str">
        <f t="shared" ref="V1788" si="1014">_xlfn.CONCAT("Dado para ",MID(F1788,FIND("d.",F1788,1)+2,100),":  ",G1788, "  Deve ser formatado como (",H1788, ")")</f>
        <v>Dado para temporalizar:  momento.inicial  Deve ser formatado como (xsd:dayTimeDuration)</v>
      </c>
      <c r="W1788" s="5" t="s">
        <v>7105</v>
      </c>
      <c r="X1788" s="24" t="str">
        <f t="shared" si="979"/>
        <v>tempo.114</v>
      </c>
      <c r="Y1788" s="24" t="str">
        <f t="shared" si="978"/>
        <v>Ação temporalizar</v>
      </c>
      <c r="Z1788" s="47" t="s">
        <v>5015</v>
      </c>
      <c r="AA1788" s="25" t="str">
        <f t="shared" ref="AA1788" si="1015">IF(AB1788="null", "null", "categoria.revit")</f>
        <v>null</v>
      </c>
      <c r="AB1788" s="26" t="s">
        <v>0</v>
      </c>
      <c r="AC1788" s="25" t="str">
        <f t="shared" ref="AC1788" si="1016">IF(AD1788="null", "null", "classe.ifc")</f>
        <v>null</v>
      </c>
      <c r="AD1788" s="26" t="s">
        <v>0</v>
      </c>
      <c r="AE1788" s="25" t="str">
        <f t="shared" ref="AE1788" si="1017">IF(AF1788="null", "null", "propiedade")</f>
        <v>null</v>
      </c>
      <c r="AF1788" s="26" t="s">
        <v>0</v>
      </c>
      <c r="AG1788" s="47" t="s">
        <v>5281</v>
      </c>
    </row>
    <row r="1789" spans="1:33" ht="6" customHeight="1" x14ac:dyDescent="0.4">
      <c r="A1789" s="4">
        <f>ROW()</f>
        <v>1789</v>
      </c>
      <c r="B1789" s="9" t="s">
        <v>27</v>
      </c>
      <c r="C1789" s="55" t="str">
        <f t="shared" si="1009"/>
        <v>p.temporalizar</v>
      </c>
      <c r="D1789" s="6" t="str">
        <f>_xlfn.CONCAT("é.",G1789)</f>
        <v>é.periodicidade</v>
      </c>
      <c r="E1789" s="8" t="s">
        <v>28</v>
      </c>
      <c r="F1789" s="42" t="str">
        <f t="shared" si="1010"/>
        <v>d.temporalizar</v>
      </c>
      <c r="G1789" s="18" t="s">
        <v>62</v>
      </c>
      <c r="H1789" s="41" t="s">
        <v>2321</v>
      </c>
      <c r="I1789" s="16" t="str">
        <f>J1789</f>
        <v>null</v>
      </c>
      <c r="J1789" s="13" t="s">
        <v>0</v>
      </c>
      <c r="K1789" s="13" t="s">
        <v>0</v>
      </c>
      <c r="L1789" s="15" t="s">
        <v>0</v>
      </c>
      <c r="M1789" s="13" t="s">
        <v>0</v>
      </c>
      <c r="N1789" s="15" t="s">
        <v>0</v>
      </c>
      <c r="O1789" s="13" t="s">
        <v>0</v>
      </c>
      <c r="P1789" s="13" t="s">
        <v>0</v>
      </c>
      <c r="Q1789" s="13" t="s">
        <v>0</v>
      </c>
      <c r="R1789" s="15" t="s">
        <v>0</v>
      </c>
      <c r="S1789" s="10" t="s">
        <v>1</v>
      </c>
      <c r="T1789" s="10" t="s">
        <v>32</v>
      </c>
      <c r="U1789" s="5" t="str">
        <f>_xlfn.CONCAT("Propriedade destinada a ",MID(C1789,FIND("p.",C1789,1)+2,100),": ",D1789)</f>
        <v>Propriedade destinada a temporalizar: é.periodicidade</v>
      </c>
      <c r="V1789" s="5" t="str">
        <f>_xlfn.CONCAT("Dado para ",MID(F1789,FIND("d.",F1789,1)+2,100),":  ",G1789, "  Deve ser formatado como (",H1789, ")")</f>
        <v>Dado para temporalizar:  periodicidade  Deve ser formatado como (rdfs:Literal  or  xsd:string)</v>
      </c>
      <c r="W1789" s="5" t="s">
        <v>7106</v>
      </c>
      <c r="X1789" s="24" t="str">
        <f t="shared" si="979"/>
        <v>tempo.115</v>
      </c>
      <c r="Y1789" s="24" t="str">
        <f t="shared" si="978"/>
        <v>Ação temporalizar</v>
      </c>
      <c r="Z1789" s="47" t="s">
        <v>5024</v>
      </c>
      <c r="AA1789" s="25" t="str">
        <f>IF(AB1789="null", "null", "categoria.revit")</f>
        <v>null</v>
      </c>
      <c r="AB1789" s="26" t="s">
        <v>0</v>
      </c>
      <c r="AC1789" s="25" t="str">
        <f>IF(AD1789="null", "null", "classe.ifc")</f>
        <v>null</v>
      </c>
      <c r="AD1789" s="26" t="s">
        <v>0</v>
      </c>
      <c r="AE1789" s="25" t="str">
        <f>IF(AF1789="null", "null", "propiedade")</f>
        <v>null</v>
      </c>
      <c r="AF1789" s="26" t="s">
        <v>0</v>
      </c>
      <c r="AG1789" s="47" t="s">
        <v>5284</v>
      </c>
    </row>
    <row r="1790" spans="1:33" ht="6" customHeight="1" x14ac:dyDescent="0.4">
      <c r="A1790" s="4">
        <f>ROW()</f>
        <v>1790</v>
      </c>
      <c r="B1790" s="9" t="s">
        <v>27</v>
      </c>
      <c r="C1790" s="54" t="str">
        <f t="shared" si="1009"/>
        <v>p.transitar</v>
      </c>
      <c r="D1790" s="6" t="str">
        <f>_xlfn.CONCAT("é.",G1790)</f>
        <v>é.caminho</v>
      </c>
      <c r="E1790" s="8" t="s">
        <v>28</v>
      </c>
      <c r="F1790" s="51" t="s">
        <v>4067</v>
      </c>
      <c r="G1790" s="23" t="s">
        <v>5471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é.caminho</v>
      </c>
      <c r="V1790" s="5" t="str">
        <f>_xlfn.CONCAT("Dado para ",MID(F1790,FIND("d.",F1790,1)+2,100),":  ",G1790, "  Deve ser formatado como (",H1790, ")")</f>
        <v>Dado para transitar:  caminho  Deve ser formatado como (rdfs:Literal  or  xsd:string)</v>
      </c>
      <c r="W1790" s="5" t="s">
        <v>7107</v>
      </c>
      <c r="X1790" s="24" t="str">
        <f t="shared" si="979"/>
        <v>trans.100</v>
      </c>
      <c r="Y1790" s="24" t="str">
        <f t="shared" si="978"/>
        <v>Ação transitar</v>
      </c>
      <c r="Z1790" s="47" t="s">
        <v>7181</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7236</v>
      </c>
    </row>
    <row r="1791" spans="1:33" ht="6" customHeight="1" x14ac:dyDescent="0.4">
      <c r="A1791" s="4">
        <f>ROW()</f>
        <v>1791</v>
      </c>
      <c r="B1791" s="9" t="s">
        <v>27</v>
      </c>
      <c r="C1791" s="55" t="str">
        <f t="shared" si="1009"/>
        <v>p.transitar</v>
      </c>
      <c r="D1791" s="6" t="str">
        <f>_xlfn.CONCAT("é.",G1791)</f>
        <v>é.eixo.de.carga</v>
      </c>
      <c r="E1791" s="8" t="s">
        <v>28</v>
      </c>
      <c r="F1791" s="42" t="str">
        <f t="shared" ref="F1791:F1794" si="1018">F1790</f>
        <v>d.transitar</v>
      </c>
      <c r="G1791" s="23" t="s">
        <v>2241</v>
      </c>
      <c r="H1791" s="41" t="s">
        <v>2321</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é.eixo.de.carga</v>
      </c>
      <c r="V1791" s="5" t="str">
        <f>_xlfn.CONCAT("Dado para ",MID(F1791,FIND("d.",F1791,1)+2,100),":  ",G1791, "  Deve ser formatado como (",H1791, ")")</f>
        <v>Dado para transitar:  eixo.de.carga  Deve ser formatado como (rdfs:Literal  or  xsd:string)</v>
      </c>
      <c r="W1791" s="5" t="s">
        <v>7108</v>
      </c>
      <c r="X1791" s="24" t="str">
        <f t="shared" si="979"/>
        <v>trans.101</v>
      </c>
      <c r="Y1791" s="24" t="str">
        <f t="shared" si="978"/>
        <v>Ação transitar</v>
      </c>
      <c r="Z1791" s="47" t="s">
        <v>7182</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7237</v>
      </c>
    </row>
    <row r="1792" spans="1:33" ht="6" customHeight="1" x14ac:dyDescent="0.4">
      <c r="A1792" s="4">
        <f>ROW()</f>
        <v>1792</v>
      </c>
      <c r="B1792" s="9" t="s">
        <v>27</v>
      </c>
      <c r="C1792" s="55" t="str">
        <f t="shared" si="1009"/>
        <v>p.transitar</v>
      </c>
      <c r="D1792" s="6" t="str">
        <f>_xlfn.CONCAT("é.",G1792)</f>
        <v>é.largura.efetiva</v>
      </c>
      <c r="E1792" s="8" t="s">
        <v>28</v>
      </c>
      <c r="F1792" s="42" t="str">
        <f t="shared" si="1018"/>
        <v>d.transitar</v>
      </c>
      <c r="G1792" s="23" t="s">
        <v>2242</v>
      </c>
      <c r="H1792" s="41" t="s">
        <v>36</v>
      </c>
      <c r="I1792" s="16" t="str">
        <f>J1792</f>
        <v>null</v>
      </c>
      <c r="J1792" s="15" t="s">
        <v>0</v>
      </c>
      <c r="K1792" s="13" t="s">
        <v>0</v>
      </c>
      <c r="L1792" s="13" t="s">
        <v>0</v>
      </c>
      <c r="M1792" s="13" t="s">
        <v>0</v>
      </c>
      <c r="N1792" s="13" t="s">
        <v>0</v>
      </c>
      <c r="O1792" s="13" t="s">
        <v>0</v>
      </c>
      <c r="P1792" s="13" t="s">
        <v>0</v>
      </c>
      <c r="Q1792" s="13" t="s">
        <v>0</v>
      </c>
      <c r="R1792" s="15" t="s">
        <v>0</v>
      </c>
      <c r="S1792" s="10" t="s">
        <v>1</v>
      </c>
      <c r="T1792" s="10" t="s">
        <v>32</v>
      </c>
      <c r="U1792" s="5" t="str">
        <f>_xlfn.CONCAT("Propriedade destinada a ",MID(C1792,FIND("p.",C1792,1)+2,100),": ",D1792)</f>
        <v>Propriedade destinada a transitar: é.largura.efetiva</v>
      </c>
      <c r="V1792" s="5" t="str">
        <f>_xlfn.CONCAT("Dado para ",MID(F1792,FIND("d.",F1792,1)+2,100),":  ",G1792, "  Deve ser formatado como (",H1792, ")")</f>
        <v>Dado para transitar:  largura.efetiva  Deve ser formatado como (xsd:double)</v>
      </c>
      <c r="W1792" s="5" t="s">
        <v>7109</v>
      </c>
      <c r="X1792" s="24" t="str">
        <f t="shared" si="979"/>
        <v>trans.102</v>
      </c>
      <c r="Y1792" s="24" t="str">
        <f t="shared" si="978"/>
        <v>Ação transitar</v>
      </c>
      <c r="Z1792" s="47" t="s">
        <v>7183</v>
      </c>
      <c r="AA1792" s="25" t="str">
        <f>IF(AB1792="null", "null", "categoria.revit")</f>
        <v>categoria.revit</v>
      </c>
      <c r="AB1792" s="26" t="s">
        <v>3949</v>
      </c>
      <c r="AC1792" s="25" t="str">
        <f>IF(AD1792="null", "null", "classe.ifc")</f>
        <v>classe.ifc</v>
      </c>
      <c r="AD1792" s="26" t="s">
        <v>3889</v>
      </c>
      <c r="AE1792" s="25" t="str">
        <f>IF(AF1792="null", "null", "propiedade")</f>
        <v>null</v>
      </c>
      <c r="AF1792" s="26" t="s">
        <v>0</v>
      </c>
      <c r="AG1792" s="47" t="s">
        <v>7238</v>
      </c>
    </row>
    <row r="1793" spans="1:33" ht="6" customHeight="1" x14ac:dyDescent="0.4">
      <c r="A1793" s="4">
        <f>ROW()</f>
        <v>1793</v>
      </c>
      <c r="B1793" s="9" t="s">
        <v>27</v>
      </c>
      <c r="C1793" s="55" t="str">
        <f t="shared" si="1009"/>
        <v>p.transitar</v>
      </c>
      <c r="D1793" s="6" t="str">
        <f t="shared" ref="D1793" si="1019">_xlfn.CONCAT("é.",G1793)</f>
        <v>é.vão</v>
      </c>
      <c r="E1793" s="8" t="s">
        <v>28</v>
      </c>
      <c r="F1793" s="42" t="str">
        <f t="shared" si="1018"/>
        <v>d.transitar</v>
      </c>
      <c r="G1793" s="23" t="s">
        <v>2245</v>
      </c>
      <c r="H1793" s="41" t="s">
        <v>36</v>
      </c>
      <c r="I1793" s="16" t="str">
        <f t="shared" ref="I1793" si="1020">J1793</f>
        <v>null</v>
      </c>
      <c r="J1793" s="15" t="s">
        <v>0</v>
      </c>
      <c r="K1793" s="13" t="s">
        <v>0</v>
      </c>
      <c r="L1793" s="13" t="s">
        <v>0</v>
      </c>
      <c r="M1793" s="13" t="s">
        <v>0</v>
      </c>
      <c r="N1793" s="13" t="s">
        <v>0</v>
      </c>
      <c r="O1793" s="13" t="s">
        <v>0</v>
      </c>
      <c r="P1793" s="13" t="s">
        <v>0</v>
      </c>
      <c r="Q1793" s="13" t="s">
        <v>0</v>
      </c>
      <c r="R1793" s="15" t="s">
        <v>0</v>
      </c>
      <c r="S1793" s="10" t="s">
        <v>1</v>
      </c>
      <c r="T1793" s="10" t="s">
        <v>32</v>
      </c>
      <c r="U1793" s="5" t="str">
        <f t="shared" ref="U1793" si="1021">_xlfn.CONCAT("Propriedade destinada a ",MID(C1793,FIND("p.",C1793,1)+2,100),": ",D1793)</f>
        <v>Propriedade destinada a transitar: é.vão</v>
      </c>
      <c r="V1793" s="5" t="str">
        <f t="shared" ref="V1793" si="1022">_xlfn.CONCAT("Dado para ",MID(F1793,FIND("d.",F1793,1)+2,100),":  ",G1793, "  Deve ser formatado como (",H1793, ")")</f>
        <v>Dado para transitar:  vão  Deve ser formatado como (xsd:double)</v>
      </c>
      <c r="W1793" s="5" t="s">
        <v>7110</v>
      </c>
      <c r="X1793" s="24" t="str">
        <f t="shared" si="979"/>
        <v>trans.103</v>
      </c>
      <c r="Y1793" s="24" t="str">
        <f t="shared" si="978"/>
        <v>Ação transitar</v>
      </c>
      <c r="Z1793" s="47" t="s">
        <v>7184</v>
      </c>
      <c r="AA1793" s="25" t="str">
        <f t="shared" ref="AA1793" si="1023">IF(AB1793="null", "null", "categoria.revit")</f>
        <v>categoria.revit</v>
      </c>
      <c r="AB1793" s="26" t="s">
        <v>3949</v>
      </c>
      <c r="AC1793" s="25" t="str">
        <f t="shared" ref="AC1793" si="1024">IF(AD1793="null", "null", "classe.ifc")</f>
        <v>classe.ifc</v>
      </c>
      <c r="AD1793" s="26" t="s">
        <v>3889</v>
      </c>
      <c r="AE1793" s="25" t="str">
        <f t="shared" ref="AE1793" si="1025">IF(AF1793="null", "null", "propiedade")</f>
        <v>null</v>
      </c>
      <c r="AF1793" s="26" t="s">
        <v>0</v>
      </c>
      <c r="AG1793" s="47" t="s">
        <v>7239</v>
      </c>
    </row>
    <row r="1794" spans="1:33" ht="6" customHeight="1" x14ac:dyDescent="0.4">
      <c r="A1794" s="4">
        <f>ROW()</f>
        <v>1794</v>
      </c>
      <c r="B1794" s="9" t="s">
        <v>27</v>
      </c>
      <c r="C1794" s="55" t="str">
        <f t="shared" si="1009"/>
        <v>p.transitar</v>
      </c>
      <c r="D1794" s="6" t="str">
        <f>_xlfn.CONCAT("é.",G1794)</f>
        <v>é.vão.livre</v>
      </c>
      <c r="E1794" s="8" t="s">
        <v>28</v>
      </c>
      <c r="F1794" s="42" t="str">
        <f t="shared" si="1018"/>
        <v>d.transitar</v>
      </c>
      <c r="G1794" s="23" t="s">
        <v>2244</v>
      </c>
      <c r="H1794" s="41" t="s">
        <v>36</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é.vão.livre</v>
      </c>
      <c r="V1794" s="5" t="str">
        <f>_xlfn.CONCAT("Dado para ",MID(F1794,FIND("d.",F1794,1)+2,100),":  ",G1794, "  Deve ser formatado como (",H1794, ")")</f>
        <v>Dado para transitar:  vão.livre  Deve ser formatado como (xsd:double)</v>
      </c>
      <c r="W1794" s="5" t="s">
        <v>7111</v>
      </c>
      <c r="X1794" s="24" t="str">
        <f t="shared" si="979"/>
        <v>trans.104</v>
      </c>
      <c r="Y1794" s="24" t="str">
        <f t="shared" ref="Y1794:Y1857" si="1026">_xlfn.CONCAT("Ação ", SUBSTITUTE(F1794, "d.",  ""))</f>
        <v>Ação transitar</v>
      </c>
      <c r="Z1794" s="47" t="s">
        <v>7185</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7240</v>
      </c>
    </row>
    <row r="1795" spans="1:33" ht="6" customHeight="1" x14ac:dyDescent="0.4">
      <c r="A1795" s="4">
        <f>ROW()</f>
        <v>1795</v>
      </c>
      <c r="B1795" s="9" t="s">
        <v>27</v>
      </c>
      <c r="C1795" s="55" t="str">
        <f t="shared" si="1009"/>
        <v>p.transitar</v>
      </c>
      <c r="D1795" s="6" t="str">
        <f>_xlfn.CONCAT("é.",G1795)</f>
        <v>é.veículo.tipo</v>
      </c>
      <c r="E1795" s="8" t="s">
        <v>28</v>
      </c>
      <c r="F1795" s="42" t="str">
        <f>F1794</f>
        <v>d.transitar</v>
      </c>
      <c r="G1795" s="23" t="s">
        <v>2243</v>
      </c>
      <c r="H1795" s="41" t="s">
        <v>2321</v>
      </c>
      <c r="I1795" s="16" t="str">
        <f>J1795</f>
        <v>null</v>
      </c>
      <c r="J1795" s="15" t="s">
        <v>0</v>
      </c>
      <c r="K1795" s="13" t="s">
        <v>0</v>
      </c>
      <c r="L1795" s="13" t="s">
        <v>0</v>
      </c>
      <c r="M1795" s="13" t="s">
        <v>0</v>
      </c>
      <c r="N1795" s="13" t="s">
        <v>0</v>
      </c>
      <c r="O1795" s="13" t="s">
        <v>0</v>
      </c>
      <c r="P1795" s="13" t="s">
        <v>0</v>
      </c>
      <c r="Q1795" s="13" t="s">
        <v>0</v>
      </c>
      <c r="R1795" s="15" t="s">
        <v>0</v>
      </c>
      <c r="S1795" s="10" t="s">
        <v>1</v>
      </c>
      <c r="T1795" s="10" t="s">
        <v>32</v>
      </c>
      <c r="U1795" s="5" t="str">
        <f>_xlfn.CONCAT("Propriedade destinada a ",MID(C1795,FIND("p.",C1795,1)+2,100),": ",D1795)</f>
        <v>Propriedade destinada a transitar: é.veículo.tipo</v>
      </c>
      <c r="V1795" s="5" t="str">
        <f>_xlfn.CONCAT("Dado para ",MID(F1795,FIND("d.",F1795,1)+2,100),":  ",G1795, "  Deve ser formatado como (",H1795, ")")</f>
        <v>Dado para transitar:  veículo.tipo  Deve ser formatado como (rdfs:Literal  or  xsd:string)</v>
      </c>
      <c r="W1795" s="5" t="s">
        <v>7112</v>
      </c>
      <c r="X1795" s="24" t="str">
        <f t="shared" ref="X1795:X1858" si="1027">IF(F1794&lt;&gt;F1795,_xlfn.CONCAT(RIGHT(LEFT(F1795,7),5),".100"),_xlfn.CONCAT(RIGHT(LEFT(F1795,7),5),".",SUM(VALUE(RIGHT(X1794,3)),1)))</f>
        <v>trans.105</v>
      </c>
      <c r="Y1795" s="24" t="str">
        <f t="shared" si="1026"/>
        <v>Ação transitar</v>
      </c>
      <c r="Z1795" s="47" t="s">
        <v>7186</v>
      </c>
      <c r="AA1795" s="25" t="str">
        <f>IF(AB1795="null", "null", "categoria.revit")</f>
        <v>categoria.revit</v>
      </c>
      <c r="AB1795" s="26" t="s">
        <v>3949</v>
      </c>
      <c r="AC1795" s="25" t="str">
        <f>IF(AD1795="null", "null", "classe.ifc")</f>
        <v>classe.ifc</v>
      </c>
      <c r="AD1795" s="26" t="s">
        <v>3889</v>
      </c>
      <c r="AE1795" s="25" t="str">
        <f>IF(AF1795="null", "null", "propiedade")</f>
        <v>null</v>
      </c>
      <c r="AF1795" s="26" t="s">
        <v>0</v>
      </c>
      <c r="AG1795" s="47" t="s">
        <v>7241</v>
      </c>
    </row>
    <row r="1796" spans="1:33" ht="6" customHeight="1" x14ac:dyDescent="0.4">
      <c r="A1796" s="4">
        <f>ROW()</f>
        <v>1796</v>
      </c>
      <c r="B1796" s="9" t="s">
        <v>27</v>
      </c>
      <c r="C1796" s="54" t="str">
        <f t="shared" ref="C1796:C1835" si="1028">SUBSTITUTE(F1796,"d.","p.")</f>
        <v>p.urbanizar</v>
      </c>
      <c r="D1796" s="6" t="str">
        <f t="shared" ref="D1796:D1805" si="1029">_xlfn.CONCAT("é.",G1796)</f>
        <v>é.afastamento.lateral</v>
      </c>
      <c r="E1796" s="8" t="s">
        <v>28</v>
      </c>
      <c r="F1796" s="51" t="s">
        <v>4068</v>
      </c>
      <c r="G1796" s="18" t="s">
        <v>1042</v>
      </c>
      <c r="H1796" s="41" t="s">
        <v>36</v>
      </c>
      <c r="I1796" s="16" t="str">
        <f t="shared" ref="I1796:I1801" si="1030">J1796</f>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ref="U1796:U1804" si="1031">_xlfn.CONCAT("Propriedade destinada a ",MID(C1796,FIND("p.",C1796,1)+2,100),": ",D1796)</f>
        <v>Propriedade destinada a urbanizar: é.afastamento.lateral</v>
      </c>
      <c r="V1796" s="5" t="str">
        <f t="shared" ref="V1796:V1804" si="1032">_xlfn.CONCAT("Dado para ",MID(F1796,FIND("d.",F1796,1)+2,100),":  ",G1796, "  Deve ser formatado como (",H1796, ")")</f>
        <v>Dado para urbanizar:  afastamento.lateral  Deve ser formatado como (xsd:double)</v>
      </c>
      <c r="W1796" s="5" t="s">
        <v>7113</v>
      </c>
      <c r="X1796" s="24" t="str">
        <f t="shared" si="1027"/>
        <v>urban.100</v>
      </c>
      <c r="Y1796" s="24" t="str">
        <f t="shared" si="1026"/>
        <v>Ação urbanizar</v>
      </c>
      <c r="Z1796" s="47" t="s">
        <v>5008</v>
      </c>
      <c r="AA1796" s="25" t="str">
        <f t="shared" ref="AA1796:AA1857" si="1033">IF(AB1796="null", "null", "categoria.revit")</f>
        <v>null</v>
      </c>
      <c r="AB1796" s="26" t="s">
        <v>0</v>
      </c>
      <c r="AC1796" s="25" t="str">
        <f t="shared" ref="AC1796:AC1857" si="1034">IF(AD1796="null", "null", "classe.ifc")</f>
        <v>null</v>
      </c>
      <c r="AD1796" s="26" t="s">
        <v>0</v>
      </c>
      <c r="AE1796" s="25" t="str">
        <f t="shared" ref="AE1796:AE1804" si="1035">IF(AF1796="null", "null", "propiedade")</f>
        <v>null</v>
      </c>
      <c r="AF1796" s="26" t="s">
        <v>0</v>
      </c>
      <c r="AG1796" s="47" t="s">
        <v>5302</v>
      </c>
    </row>
    <row r="1797" spans="1:33" ht="6" customHeight="1" x14ac:dyDescent="0.4">
      <c r="A1797" s="4">
        <f>ROW()</f>
        <v>1797</v>
      </c>
      <c r="B1797" s="9" t="s">
        <v>27</v>
      </c>
      <c r="C1797" s="55" t="str">
        <f t="shared" si="1028"/>
        <v>p.urbanizar</v>
      </c>
      <c r="D1797" s="6" t="str">
        <f t="shared" si="1029"/>
        <v>é.altura.predial</v>
      </c>
      <c r="E1797" s="8" t="s">
        <v>28</v>
      </c>
      <c r="F1797" s="42" t="str">
        <f t="shared" ref="F1797:F1811" si="1036">F1796</f>
        <v>d.urbanizar</v>
      </c>
      <c r="G1797" s="18" t="s">
        <v>1043</v>
      </c>
      <c r="H1797" s="41" t="s">
        <v>36</v>
      </c>
      <c r="I1797" s="16" t="str">
        <f t="shared" si="1030"/>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1031"/>
        <v>Propriedade destinada a urbanizar: é.altura.predial</v>
      </c>
      <c r="V1797" s="5" t="str">
        <f t="shared" si="1032"/>
        <v>Dado para urbanizar:  altura.predial  Deve ser formatado como (xsd:double)</v>
      </c>
      <c r="W1797" s="5" t="s">
        <v>7114</v>
      </c>
      <c r="X1797" s="24" t="str">
        <f t="shared" si="1027"/>
        <v>urban.101</v>
      </c>
      <c r="Y1797" s="24" t="str">
        <f t="shared" si="1026"/>
        <v>Ação urbanizar</v>
      </c>
      <c r="Z1797" s="47" t="s">
        <v>5009</v>
      </c>
      <c r="AA1797" s="25" t="str">
        <f t="shared" si="1033"/>
        <v>null</v>
      </c>
      <c r="AB1797" s="26" t="s">
        <v>0</v>
      </c>
      <c r="AC1797" s="25" t="str">
        <f t="shared" si="1034"/>
        <v>null</v>
      </c>
      <c r="AD1797" s="26" t="s">
        <v>0</v>
      </c>
      <c r="AE1797" s="25" t="str">
        <f t="shared" si="1035"/>
        <v>null</v>
      </c>
      <c r="AF1797" s="26" t="s">
        <v>0</v>
      </c>
      <c r="AG1797" s="47" t="s">
        <v>5301</v>
      </c>
    </row>
    <row r="1798" spans="1:33" ht="6" customHeight="1" x14ac:dyDescent="0.4">
      <c r="A1798" s="4">
        <f>ROW()</f>
        <v>1798</v>
      </c>
      <c r="B1798" s="9" t="s">
        <v>27</v>
      </c>
      <c r="C1798" s="55" t="str">
        <f t="shared" si="1028"/>
        <v>p.urbanizar</v>
      </c>
      <c r="D1798" s="6" t="str">
        <f t="shared" si="1029"/>
        <v>é.área.de.planejamento</v>
      </c>
      <c r="E1798" s="8" t="s">
        <v>28</v>
      </c>
      <c r="F1798" s="42" t="str">
        <f t="shared" si="1036"/>
        <v>d.urbanizar</v>
      </c>
      <c r="G1798" s="18" t="s">
        <v>7553</v>
      </c>
      <c r="H1798" s="41" t="s">
        <v>2321</v>
      </c>
      <c r="I1798" s="16" t="str">
        <f t="shared" si="1030"/>
        <v>Functional</v>
      </c>
      <c r="J1798" s="13" t="s">
        <v>29</v>
      </c>
      <c r="K1798" s="13" t="s">
        <v>0</v>
      </c>
      <c r="L1798" s="13" t="s">
        <v>0</v>
      </c>
      <c r="M1798" s="13" t="s">
        <v>0</v>
      </c>
      <c r="N1798" s="15" t="s">
        <v>0</v>
      </c>
      <c r="O1798" s="13" t="s">
        <v>0</v>
      </c>
      <c r="P1798" s="13" t="s">
        <v>0</v>
      </c>
      <c r="Q1798" s="13" t="s">
        <v>0</v>
      </c>
      <c r="R1798" s="15" t="s">
        <v>0</v>
      </c>
      <c r="S1798" s="10" t="s">
        <v>1</v>
      </c>
      <c r="T1798" s="10" t="s">
        <v>32</v>
      </c>
      <c r="U1798" s="5" t="str">
        <f t="shared" si="1031"/>
        <v>Propriedade destinada a urbanizar: é.área.de.planejamento</v>
      </c>
      <c r="V1798" s="5" t="str">
        <f t="shared" si="1032"/>
        <v>Dado para urbanizar:  área.de.planejamento  Deve ser formatado como (rdfs:Literal  or  xsd:string)</v>
      </c>
      <c r="W1798" s="5" t="s">
        <v>7115</v>
      </c>
      <c r="X1798" s="24" t="str">
        <f t="shared" si="1027"/>
        <v>urban.102</v>
      </c>
      <c r="Y1798" s="24" t="str">
        <f t="shared" si="1026"/>
        <v>Ação urbanizar</v>
      </c>
      <c r="Z1798" s="47" t="s">
        <v>5010</v>
      </c>
      <c r="AA1798" s="25" t="str">
        <f t="shared" si="1033"/>
        <v>null</v>
      </c>
      <c r="AB1798" s="26" t="s">
        <v>0</v>
      </c>
      <c r="AC1798" s="25" t="str">
        <f t="shared" si="1034"/>
        <v>null</v>
      </c>
      <c r="AD1798" s="26" t="s">
        <v>0</v>
      </c>
      <c r="AE1798" s="25" t="str">
        <f t="shared" si="1035"/>
        <v>propiedade</v>
      </c>
      <c r="AF1798" s="26" t="s">
        <v>2624</v>
      </c>
      <c r="AG1798" s="47" t="s">
        <v>3683</v>
      </c>
    </row>
    <row r="1799" spans="1:33" ht="6" customHeight="1" x14ac:dyDescent="0.4">
      <c r="A1799" s="4">
        <f>ROW()</f>
        <v>1799</v>
      </c>
      <c r="B1799" s="9" t="s">
        <v>27</v>
      </c>
      <c r="C1799" s="55" t="str">
        <f t="shared" si="1028"/>
        <v>p.urbanizar</v>
      </c>
      <c r="D1799" s="6" t="str">
        <f t="shared" si="1029"/>
        <v>é.calor.antropogênico</v>
      </c>
      <c r="E1799" s="8" t="s">
        <v>28</v>
      </c>
      <c r="F1799" s="42" t="str">
        <f t="shared" si="1036"/>
        <v>d.urbanizar</v>
      </c>
      <c r="G1799" s="18" t="s">
        <v>7552</v>
      </c>
      <c r="H1799" s="41" t="s">
        <v>36</v>
      </c>
      <c r="I1799" s="16" t="str">
        <f t="shared" si="1030"/>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31"/>
        <v>Propriedade destinada a urbanizar: é.calor.antropogênico</v>
      </c>
      <c r="V1799" s="5" t="str">
        <f t="shared" si="1032"/>
        <v>Dado para urbanizar:  calor.antropogênico  Deve ser formatado como (xsd:double)</v>
      </c>
      <c r="W1799" s="5" t="s">
        <v>7116</v>
      </c>
      <c r="X1799" s="24" t="str">
        <f t="shared" si="1027"/>
        <v>urban.103</v>
      </c>
      <c r="Y1799" s="24" t="str">
        <f t="shared" si="1026"/>
        <v>Ação urbanizar</v>
      </c>
      <c r="Z1799" s="47" t="s">
        <v>5011</v>
      </c>
      <c r="AA1799" s="25" t="str">
        <f t="shared" si="1033"/>
        <v>null</v>
      </c>
      <c r="AB1799" s="26" t="s">
        <v>0</v>
      </c>
      <c r="AC1799" s="25" t="str">
        <f t="shared" si="1034"/>
        <v>null</v>
      </c>
      <c r="AD1799" s="26" t="s">
        <v>0</v>
      </c>
      <c r="AE1799" s="25" t="str">
        <f t="shared" si="1035"/>
        <v>null</v>
      </c>
      <c r="AF1799" s="26" t="s">
        <v>0</v>
      </c>
      <c r="AG1799" s="47" t="s">
        <v>5303</v>
      </c>
    </row>
    <row r="1800" spans="1:33" ht="6" customHeight="1" x14ac:dyDescent="0.4">
      <c r="A1800" s="4">
        <f>ROW()</f>
        <v>1800</v>
      </c>
      <c r="B1800" s="9" t="s">
        <v>27</v>
      </c>
      <c r="C1800" s="55" t="str">
        <f t="shared" si="1028"/>
        <v>p.urbanizar</v>
      </c>
      <c r="D1800" s="6" t="str">
        <f t="shared" si="1029"/>
        <v>é.cobertura.impermeável</v>
      </c>
      <c r="E1800" s="8" t="s">
        <v>28</v>
      </c>
      <c r="F1800" s="42" t="str">
        <f t="shared" si="1036"/>
        <v>d.urbanizar</v>
      </c>
      <c r="G1800" s="18" t="s">
        <v>1044</v>
      </c>
      <c r="H1800" s="41" t="s">
        <v>2321</v>
      </c>
      <c r="I1800" s="16" t="str">
        <f t="shared" si="1030"/>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31"/>
        <v>Propriedade destinada a urbanizar: é.cobertura.impermeável</v>
      </c>
      <c r="V1800" s="5" t="str">
        <f t="shared" si="1032"/>
        <v>Dado para urbanizar:  cobertura.impermeável  Deve ser formatado como (rdfs:Literal  or  xsd:string)</v>
      </c>
      <c r="W1800" s="5" t="s">
        <v>7117</v>
      </c>
      <c r="X1800" s="24" t="str">
        <f t="shared" si="1027"/>
        <v>urban.104</v>
      </c>
      <c r="Y1800" s="24" t="str">
        <f t="shared" si="1026"/>
        <v>Ação urbanizar</v>
      </c>
      <c r="Z1800" s="47" t="s">
        <v>5012</v>
      </c>
      <c r="AA1800" s="25" t="str">
        <f t="shared" si="1033"/>
        <v>null</v>
      </c>
      <c r="AB1800" s="26" t="s">
        <v>0</v>
      </c>
      <c r="AC1800" s="25" t="str">
        <f t="shared" si="1034"/>
        <v>null</v>
      </c>
      <c r="AD1800" s="26" t="s">
        <v>0</v>
      </c>
      <c r="AE1800" s="25" t="str">
        <f t="shared" si="1035"/>
        <v>null</v>
      </c>
      <c r="AF1800" s="26" t="s">
        <v>0</v>
      </c>
      <c r="AG1800" s="47" t="s">
        <v>5304</v>
      </c>
    </row>
    <row r="1801" spans="1:33" ht="6" customHeight="1" x14ac:dyDescent="0.4">
      <c r="A1801" s="4">
        <f>ROW()</f>
        <v>1801</v>
      </c>
      <c r="B1801" s="9" t="s">
        <v>27</v>
      </c>
      <c r="C1801" s="55" t="str">
        <f t="shared" si="1028"/>
        <v>p.urbanizar</v>
      </c>
      <c r="D1801" s="6" t="str">
        <f t="shared" si="1029"/>
        <v>é.divisa</v>
      </c>
      <c r="E1801" s="8" t="s">
        <v>28</v>
      </c>
      <c r="F1801" s="42" t="str">
        <f t="shared" si="1036"/>
        <v>d.urbanizar</v>
      </c>
      <c r="G1801" s="18" t="s">
        <v>462</v>
      </c>
      <c r="H1801" s="41" t="s">
        <v>2321</v>
      </c>
      <c r="I1801" s="16" t="str">
        <f t="shared" si="1030"/>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1031"/>
        <v>Propriedade destinada a urbanizar: é.divisa</v>
      </c>
      <c r="V1801" s="5" t="str">
        <f t="shared" si="1032"/>
        <v>Dado para urbanizar:  divisa  Deve ser formatado como (rdfs:Literal  or  xsd:string)</v>
      </c>
      <c r="W1801" s="5" t="s">
        <v>7118</v>
      </c>
      <c r="X1801" s="24" t="str">
        <f t="shared" si="1027"/>
        <v>urban.105</v>
      </c>
      <c r="Y1801" s="24" t="str">
        <f t="shared" si="1026"/>
        <v>Ação urbanizar</v>
      </c>
      <c r="Z1801" s="47" t="s">
        <v>5013</v>
      </c>
      <c r="AA1801" s="25" t="str">
        <f t="shared" si="1033"/>
        <v>categoria.revit</v>
      </c>
      <c r="AB1801" s="26" t="s">
        <v>3966</v>
      </c>
      <c r="AC1801" s="25" t="str">
        <f t="shared" si="1034"/>
        <v>classe.ifc</v>
      </c>
      <c r="AD1801" s="26" t="s">
        <v>3917</v>
      </c>
      <c r="AE1801" s="25" t="str">
        <f t="shared" si="1035"/>
        <v>null</v>
      </c>
      <c r="AF1801" s="26" t="s">
        <v>0</v>
      </c>
      <c r="AG1801" s="47" t="s">
        <v>5305</v>
      </c>
    </row>
    <row r="1802" spans="1:33" ht="6" customHeight="1" x14ac:dyDescent="0.4">
      <c r="A1802" s="4">
        <f>ROW()</f>
        <v>1802</v>
      </c>
      <c r="B1802" s="9" t="s">
        <v>27</v>
      </c>
      <c r="C1802" s="55" t="str">
        <f t="shared" si="1028"/>
        <v>p.urbanizar</v>
      </c>
      <c r="D1802" s="6" t="str">
        <f t="shared" si="1029"/>
        <v>é.fator.de.forma</v>
      </c>
      <c r="E1802" s="8" t="s">
        <v>28</v>
      </c>
      <c r="F1802" s="42" t="str">
        <f t="shared" si="1036"/>
        <v>d.urbanizar</v>
      </c>
      <c r="G1802" s="18" t="s">
        <v>1045</v>
      </c>
      <c r="H1802" s="41" t="s">
        <v>2321</v>
      </c>
      <c r="I1802" s="16" t="str">
        <f t="shared" ref="I1802:I1861" si="1037">J1802</f>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31"/>
        <v>Propriedade destinada a urbanizar: é.fator.de.forma</v>
      </c>
      <c r="V1802" s="5" t="str">
        <f t="shared" si="1032"/>
        <v>Dado para urbanizar:  fator.de.forma  Deve ser formatado como (rdfs:Literal  or  xsd:string)</v>
      </c>
      <c r="W1802" s="5" t="s">
        <v>7119</v>
      </c>
      <c r="X1802" s="24" t="str">
        <f t="shared" si="1027"/>
        <v>urban.106</v>
      </c>
      <c r="Y1802" s="24" t="str">
        <f t="shared" si="1026"/>
        <v>Ação urbanizar</v>
      </c>
      <c r="Z1802" s="47" t="s">
        <v>5014</v>
      </c>
      <c r="AA1802" s="25" t="str">
        <f t="shared" si="1033"/>
        <v>null</v>
      </c>
      <c r="AB1802" s="26" t="s">
        <v>0</v>
      </c>
      <c r="AC1802" s="25" t="str">
        <f t="shared" si="1034"/>
        <v>null</v>
      </c>
      <c r="AD1802" s="26" t="s">
        <v>0</v>
      </c>
      <c r="AE1802" s="25" t="str">
        <f t="shared" si="1035"/>
        <v>null</v>
      </c>
      <c r="AF1802" s="26" t="s">
        <v>0</v>
      </c>
      <c r="AG1802" s="47" t="s">
        <v>5307</v>
      </c>
    </row>
    <row r="1803" spans="1:33" ht="6" customHeight="1" x14ac:dyDescent="0.4">
      <c r="A1803" s="4">
        <f>ROW()</f>
        <v>1803</v>
      </c>
      <c r="B1803" s="9" t="s">
        <v>27</v>
      </c>
      <c r="C1803" s="55" t="str">
        <f t="shared" si="1028"/>
        <v>p.urbanizar</v>
      </c>
      <c r="D1803" s="6" t="str">
        <f t="shared" si="1029"/>
        <v>é.gabarito</v>
      </c>
      <c r="E1803" s="8" t="s">
        <v>28</v>
      </c>
      <c r="F1803" s="42" t="str">
        <f t="shared" si="1036"/>
        <v>d.urbanizar</v>
      </c>
      <c r="G1803" s="18" t="s">
        <v>233</v>
      </c>
      <c r="H1803" s="41" t="s">
        <v>36</v>
      </c>
      <c r="I1803" s="16" t="str">
        <f t="shared" si="1037"/>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31"/>
        <v>Propriedade destinada a urbanizar: é.gabarito</v>
      </c>
      <c r="V1803" s="5" t="str">
        <f t="shared" si="1032"/>
        <v>Dado para urbanizar:  gabarito  Deve ser formatado como (xsd:double)</v>
      </c>
      <c r="W1803" s="5" t="s">
        <v>7120</v>
      </c>
      <c r="X1803" s="24" t="str">
        <f t="shared" si="1027"/>
        <v>urban.107</v>
      </c>
      <c r="Y1803" s="24" t="str">
        <f t="shared" si="1026"/>
        <v>Ação urbanizar</v>
      </c>
      <c r="Z1803" s="47" t="s">
        <v>5007</v>
      </c>
      <c r="AA1803" s="25" t="str">
        <f t="shared" si="1033"/>
        <v>null</v>
      </c>
      <c r="AB1803" s="26" t="s">
        <v>0</v>
      </c>
      <c r="AC1803" s="25" t="str">
        <f t="shared" si="1034"/>
        <v>null</v>
      </c>
      <c r="AD1803" s="26" t="s">
        <v>0</v>
      </c>
      <c r="AE1803" s="25" t="str">
        <f t="shared" si="1035"/>
        <v>null</v>
      </c>
      <c r="AF1803" s="26" t="s">
        <v>0</v>
      </c>
      <c r="AG1803" s="47" t="s">
        <v>5306</v>
      </c>
    </row>
    <row r="1804" spans="1:33" ht="6" customHeight="1" x14ac:dyDescent="0.4">
      <c r="A1804" s="4">
        <f>ROW()</f>
        <v>1804</v>
      </c>
      <c r="B1804" s="9" t="s">
        <v>27</v>
      </c>
      <c r="C1804" s="55" t="str">
        <f t="shared" si="1028"/>
        <v>p.urbanizar</v>
      </c>
      <c r="D1804" s="6" t="str">
        <f t="shared" si="1029"/>
        <v>é.índice.de.aproveitamento</v>
      </c>
      <c r="E1804" s="8" t="s">
        <v>28</v>
      </c>
      <c r="F1804" s="42" t="str">
        <f t="shared" si="1036"/>
        <v>d.urbanizar</v>
      </c>
      <c r="G1804" s="18" t="s">
        <v>1046</v>
      </c>
      <c r="H1804" s="41" t="s">
        <v>36</v>
      </c>
      <c r="I1804" s="16" t="str">
        <f t="shared" si="1037"/>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31"/>
        <v>Propriedade destinada a urbanizar: é.índice.de.aproveitamento</v>
      </c>
      <c r="V1804" s="5" t="str">
        <f t="shared" si="1032"/>
        <v>Dado para urbanizar:  índice.de.aproveitamento  Deve ser formatado como (xsd:double)</v>
      </c>
      <c r="W1804" s="5" t="s">
        <v>7121</v>
      </c>
      <c r="X1804" s="24" t="str">
        <f t="shared" si="1027"/>
        <v>urban.108</v>
      </c>
      <c r="Y1804" s="24" t="str">
        <f t="shared" si="1026"/>
        <v>Ação urbanizar</v>
      </c>
      <c r="Z1804" s="47" t="s">
        <v>5006</v>
      </c>
      <c r="AA1804" s="25" t="str">
        <f t="shared" si="1033"/>
        <v>null</v>
      </c>
      <c r="AB1804" s="26" t="s">
        <v>0</v>
      </c>
      <c r="AC1804" s="25" t="str">
        <f t="shared" si="1034"/>
        <v>null</v>
      </c>
      <c r="AD1804" s="26" t="s">
        <v>0</v>
      </c>
      <c r="AE1804" s="25" t="str">
        <f t="shared" si="1035"/>
        <v>null</v>
      </c>
      <c r="AF1804" s="26" t="s">
        <v>0</v>
      </c>
      <c r="AG1804" s="47" t="s">
        <v>5308</v>
      </c>
    </row>
    <row r="1805" spans="1:33" ht="6" customHeight="1" x14ac:dyDescent="0.4">
      <c r="A1805" s="4">
        <f>ROW()</f>
        <v>1805</v>
      </c>
      <c r="B1805" s="9" t="s">
        <v>27</v>
      </c>
      <c r="C1805" s="55" t="str">
        <f t="shared" si="1028"/>
        <v>p.urbanizar</v>
      </c>
      <c r="D1805" s="6" t="str">
        <f t="shared" si="1029"/>
        <v>é.lote.urbano</v>
      </c>
      <c r="E1805" s="8" t="s">
        <v>28</v>
      </c>
      <c r="F1805" s="42" t="str">
        <f t="shared" si="1036"/>
        <v>d.urbanizar</v>
      </c>
      <c r="G1805" s="18" t="s">
        <v>1047</v>
      </c>
      <c r="H1805" s="41" t="s">
        <v>2321</v>
      </c>
      <c r="I1805" s="16" t="str">
        <f t="shared" si="103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U1861" si="1038">_xlfn.CONCAT("Propriedade destinada a ",MID(C1805,FIND("p.",C1805,1)+2,100),": ",D1805)</f>
        <v>Propriedade destinada a urbanizar: é.lote.urbano</v>
      </c>
      <c r="V1805" s="5" t="str">
        <f t="shared" ref="V1805:V1861" si="1039">_xlfn.CONCAT("Dado para ",MID(F1805,FIND("d.",F1805,1)+2,100),":  ",G1805, "  Deve ser formatado como (",H1805, ")")</f>
        <v>Dado para urbanizar:  lote.urbano  Deve ser formatado como (rdfs:Literal  or  xsd:string)</v>
      </c>
      <c r="W1805" s="5" t="s">
        <v>7122</v>
      </c>
      <c r="X1805" s="24" t="str">
        <f t="shared" si="1027"/>
        <v>urban.109</v>
      </c>
      <c r="Y1805" s="24" t="str">
        <f t="shared" si="1026"/>
        <v>Ação urbanizar</v>
      </c>
      <c r="Z1805" s="47" t="s">
        <v>2097</v>
      </c>
      <c r="AA1805" s="25" t="str">
        <f t="shared" si="1033"/>
        <v>categoria.revit</v>
      </c>
      <c r="AB1805" s="26" t="s">
        <v>3966</v>
      </c>
      <c r="AC1805" s="25" t="str">
        <f t="shared" si="1034"/>
        <v>classe.ifc</v>
      </c>
      <c r="AD1805" s="26" t="s">
        <v>3917</v>
      </c>
      <c r="AE1805" s="25" t="str">
        <f t="shared" ref="AE1805:AE1861" si="1040">IF(AF1805="null", "null", "propiedade")</f>
        <v>null</v>
      </c>
      <c r="AF1805" s="26" t="s">
        <v>0</v>
      </c>
      <c r="AG1805" s="47" t="s">
        <v>5206</v>
      </c>
    </row>
    <row r="1806" spans="1:33" ht="6" customHeight="1" x14ac:dyDescent="0.4">
      <c r="A1806" s="4">
        <f>ROW()</f>
        <v>1806</v>
      </c>
      <c r="B1806" s="9" t="s">
        <v>27</v>
      </c>
      <c r="C1806" s="55" t="str">
        <f t="shared" si="1028"/>
        <v>p.urbanizar</v>
      </c>
      <c r="D1806" s="6" t="str">
        <f t="shared" ref="D1806:D1861" si="1041">_xlfn.CONCAT("é.",G1806)</f>
        <v>é.meio.fio</v>
      </c>
      <c r="E1806" s="8" t="s">
        <v>28</v>
      </c>
      <c r="F1806" s="42" t="str">
        <f t="shared" si="1036"/>
        <v>d.urbanizar</v>
      </c>
      <c r="G1806" s="18" t="s">
        <v>1048</v>
      </c>
      <c r="H1806" s="41" t="s">
        <v>2321</v>
      </c>
      <c r="I1806" s="16" t="str">
        <f t="shared" si="103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1038"/>
        <v>Propriedade destinada a urbanizar: é.meio.fio</v>
      </c>
      <c r="V1806" s="5" t="str">
        <f t="shared" si="1039"/>
        <v>Dado para urbanizar:  meio.fio  Deve ser formatado como (rdfs:Literal  or  xsd:string)</v>
      </c>
      <c r="W1806" s="5" t="s">
        <v>7123</v>
      </c>
      <c r="X1806" s="24" t="str">
        <f t="shared" si="1027"/>
        <v>urban.110</v>
      </c>
      <c r="Y1806" s="24" t="str">
        <f t="shared" si="1026"/>
        <v>Ação urbanizar</v>
      </c>
      <c r="Z1806" s="47" t="s">
        <v>2098</v>
      </c>
      <c r="AA1806" s="25" t="str">
        <f t="shared" si="1033"/>
        <v>categoria.revit</v>
      </c>
      <c r="AB1806" s="26" t="s">
        <v>3967</v>
      </c>
      <c r="AC1806" s="25" t="str">
        <f t="shared" si="1034"/>
        <v>classe.ifc</v>
      </c>
      <c r="AD1806" s="26" t="s">
        <v>3918</v>
      </c>
      <c r="AE1806" s="25" t="str">
        <f t="shared" si="1040"/>
        <v>null</v>
      </c>
      <c r="AF1806" s="26" t="s">
        <v>0</v>
      </c>
      <c r="AG1806" s="47" t="s">
        <v>5285</v>
      </c>
    </row>
    <row r="1807" spans="1:33" ht="6" customHeight="1" x14ac:dyDescent="0.4">
      <c r="A1807" s="4">
        <f>ROW()</f>
        <v>1807</v>
      </c>
      <c r="B1807" s="9" t="s">
        <v>27</v>
      </c>
      <c r="C1807" s="55" t="str">
        <f t="shared" si="1028"/>
        <v>p.urbanizar</v>
      </c>
      <c r="D1807" s="6" t="str">
        <f t="shared" si="1041"/>
        <v>é.operação.urbana</v>
      </c>
      <c r="E1807" s="8" t="s">
        <v>28</v>
      </c>
      <c r="F1807" s="42" t="str">
        <f t="shared" si="1036"/>
        <v>d.urbanizar</v>
      </c>
      <c r="G1807" s="18" t="s">
        <v>1049</v>
      </c>
      <c r="H1807" s="41" t="s">
        <v>2321</v>
      </c>
      <c r="I1807" s="16" t="str">
        <f t="shared" si="1037"/>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8"/>
        <v>Propriedade destinada a urbanizar: é.operação.urbana</v>
      </c>
      <c r="V1807" s="5" t="str">
        <f t="shared" si="1039"/>
        <v>Dado para urbanizar:  operação.urbana  Deve ser formatado como (rdfs:Literal  or  xsd:string)</v>
      </c>
      <c r="W1807" s="5" t="s">
        <v>7124</v>
      </c>
      <c r="X1807" s="24" t="str">
        <f t="shared" si="1027"/>
        <v>urban.111</v>
      </c>
      <c r="Y1807" s="24" t="str">
        <f t="shared" si="1026"/>
        <v>Ação urbanizar</v>
      </c>
      <c r="Z1807" s="47" t="s">
        <v>2099</v>
      </c>
      <c r="AA1807" s="25" t="str">
        <f t="shared" si="1033"/>
        <v>null</v>
      </c>
      <c r="AB1807" s="26" t="s">
        <v>0</v>
      </c>
      <c r="AC1807" s="25" t="str">
        <f t="shared" si="1034"/>
        <v>null</v>
      </c>
      <c r="AD1807" s="26" t="s">
        <v>0</v>
      </c>
      <c r="AE1807" s="25" t="str">
        <f t="shared" si="1040"/>
        <v>null</v>
      </c>
      <c r="AF1807" s="26" t="s">
        <v>0</v>
      </c>
      <c r="AG1807" s="47" t="s">
        <v>3684</v>
      </c>
    </row>
    <row r="1808" spans="1:33" ht="6" customHeight="1" x14ac:dyDescent="0.4">
      <c r="A1808" s="4">
        <f>ROW()</f>
        <v>1808</v>
      </c>
      <c r="B1808" s="9" t="s">
        <v>27</v>
      </c>
      <c r="C1808" s="55" t="str">
        <f t="shared" si="1028"/>
        <v>p.urbanizar</v>
      </c>
      <c r="D1808" s="6" t="str">
        <f t="shared" si="1041"/>
        <v>é.recuo.frontal</v>
      </c>
      <c r="E1808" s="8" t="s">
        <v>28</v>
      </c>
      <c r="F1808" s="42" t="str">
        <f t="shared" si="1036"/>
        <v>d.urbanizar</v>
      </c>
      <c r="G1808" s="18" t="s">
        <v>1050</v>
      </c>
      <c r="H1808" s="41" t="s">
        <v>36</v>
      </c>
      <c r="I1808" s="16" t="str">
        <f t="shared" si="1037"/>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38"/>
        <v>Propriedade destinada a urbanizar: é.recuo.frontal</v>
      </c>
      <c r="V1808" s="5" t="str">
        <f t="shared" si="1039"/>
        <v>Dado para urbanizar:  recuo.frontal  Deve ser formatado como (xsd:double)</v>
      </c>
      <c r="W1808" s="5" t="s">
        <v>7125</v>
      </c>
      <c r="X1808" s="24" t="str">
        <f t="shared" si="1027"/>
        <v>urban.112</v>
      </c>
      <c r="Y1808" s="24" t="str">
        <f t="shared" si="1026"/>
        <v>Ação urbanizar</v>
      </c>
      <c r="Z1808" s="47" t="s">
        <v>2100</v>
      </c>
      <c r="AA1808" s="25" t="str">
        <f t="shared" si="1033"/>
        <v>null</v>
      </c>
      <c r="AB1808" s="26" t="s">
        <v>0</v>
      </c>
      <c r="AC1808" s="25" t="str">
        <f t="shared" si="1034"/>
        <v>null</v>
      </c>
      <c r="AD1808" s="26" t="s">
        <v>0</v>
      </c>
      <c r="AE1808" s="25" t="str">
        <f t="shared" si="1040"/>
        <v>null</v>
      </c>
      <c r="AF1808" s="26" t="s">
        <v>0</v>
      </c>
      <c r="AG1808" s="47" t="s">
        <v>3685</v>
      </c>
    </row>
    <row r="1809" spans="1:33" ht="6" customHeight="1" x14ac:dyDescent="0.4">
      <c r="A1809" s="4">
        <f>ROW()</f>
        <v>1809</v>
      </c>
      <c r="B1809" s="9" t="s">
        <v>27</v>
      </c>
      <c r="C1809" s="55" t="str">
        <f t="shared" si="1028"/>
        <v>p.urbanizar</v>
      </c>
      <c r="D1809" s="6" t="str">
        <f t="shared" si="1041"/>
        <v>é.região.administrativa</v>
      </c>
      <c r="E1809" s="8" t="s">
        <v>28</v>
      </c>
      <c r="F1809" s="42" t="str">
        <f t="shared" si="1036"/>
        <v>d.urbanizar</v>
      </c>
      <c r="G1809" s="18" t="s">
        <v>1051</v>
      </c>
      <c r="H1809" s="41" t="s">
        <v>2321</v>
      </c>
      <c r="I1809" s="16" t="str">
        <f t="shared" si="1037"/>
        <v>Functional</v>
      </c>
      <c r="J1809" s="13" t="s">
        <v>29</v>
      </c>
      <c r="K1809" s="13" t="s">
        <v>0</v>
      </c>
      <c r="L1809" s="13" t="s">
        <v>0</v>
      </c>
      <c r="M1809" s="13" t="s">
        <v>0</v>
      </c>
      <c r="N1809" s="15" t="s">
        <v>0</v>
      </c>
      <c r="O1809" s="13" t="s">
        <v>0</v>
      </c>
      <c r="P1809" s="13" t="s">
        <v>0</v>
      </c>
      <c r="Q1809" s="13" t="s">
        <v>0</v>
      </c>
      <c r="R1809" s="15" t="s">
        <v>0</v>
      </c>
      <c r="S1809" s="10" t="s">
        <v>1</v>
      </c>
      <c r="T1809" s="10" t="s">
        <v>32</v>
      </c>
      <c r="U1809" s="5" t="str">
        <f t="shared" si="1038"/>
        <v>Propriedade destinada a urbanizar: é.região.administrativa</v>
      </c>
      <c r="V1809" s="5" t="str">
        <f t="shared" si="1039"/>
        <v>Dado para urbanizar:  região.administrativa  Deve ser formatado como (rdfs:Literal  or  xsd:string)</v>
      </c>
      <c r="W1809" s="5" t="s">
        <v>7126</v>
      </c>
      <c r="X1809" s="24" t="str">
        <f t="shared" si="1027"/>
        <v>urban.113</v>
      </c>
      <c r="Y1809" s="24" t="str">
        <f t="shared" si="1026"/>
        <v>Ação urbanizar</v>
      </c>
      <c r="Z1809" s="47" t="s">
        <v>2101</v>
      </c>
      <c r="AA1809" s="25" t="str">
        <f t="shared" si="1033"/>
        <v>null</v>
      </c>
      <c r="AB1809" s="26" t="s">
        <v>0</v>
      </c>
      <c r="AC1809" s="25" t="str">
        <f t="shared" si="1034"/>
        <v>null</v>
      </c>
      <c r="AD1809" s="26" t="s">
        <v>0</v>
      </c>
      <c r="AE1809" s="25" t="str">
        <f t="shared" si="1040"/>
        <v>propiedade</v>
      </c>
      <c r="AF1809" s="26" t="s">
        <v>2676</v>
      </c>
      <c r="AG1809" s="47" t="s">
        <v>3686</v>
      </c>
    </row>
    <row r="1810" spans="1:33" ht="6" customHeight="1" x14ac:dyDescent="0.4">
      <c r="A1810" s="4">
        <f>ROW()</f>
        <v>1810</v>
      </c>
      <c r="B1810" s="9" t="s">
        <v>27</v>
      </c>
      <c r="C1810" s="55" t="str">
        <f t="shared" si="1028"/>
        <v>p.urbanizar</v>
      </c>
      <c r="D1810" s="6" t="str">
        <f t="shared" si="1041"/>
        <v>é.taxa.de.ocupação</v>
      </c>
      <c r="E1810" s="8" t="s">
        <v>28</v>
      </c>
      <c r="F1810" s="42" t="str">
        <f t="shared" si="1036"/>
        <v>d.urbanizar</v>
      </c>
      <c r="G1810" s="18" t="s">
        <v>1052</v>
      </c>
      <c r="H1810" s="41" t="s">
        <v>36</v>
      </c>
      <c r="I1810" s="16" t="str">
        <f t="shared" si="1037"/>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8"/>
        <v>Propriedade destinada a urbanizar: é.taxa.de.ocupação</v>
      </c>
      <c r="V1810" s="5" t="str">
        <f t="shared" si="1039"/>
        <v>Dado para urbanizar:  taxa.de.ocupação  Deve ser formatado como (xsd:double)</v>
      </c>
      <c r="W1810" s="5" t="s">
        <v>7127</v>
      </c>
      <c r="X1810" s="24" t="str">
        <f t="shared" si="1027"/>
        <v>urban.114</v>
      </c>
      <c r="Y1810" s="24" t="str">
        <f t="shared" si="1026"/>
        <v>Ação urbanizar</v>
      </c>
      <c r="Z1810" s="47" t="s">
        <v>2102</v>
      </c>
      <c r="AA1810" s="25" t="str">
        <f t="shared" si="1033"/>
        <v>null</v>
      </c>
      <c r="AB1810" s="26" t="s">
        <v>0</v>
      </c>
      <c r="AC1810" s="25" t="str">
        <f t="shared" si="1034"/>
        <v>null</v>
      </c>
      <c r="AD1810" s="26" t="s">
        <v>0</v>
      </c>
      <c r="AE1810" s="25" t="str">
        <f t="shared" si="1040"/>
        <v>null</v>
      </c>
      <c r="AF1810" s="26" t="s">
        <v>0</v>
      </c>
      <c r="AG1810" s="47" t="s">
        <v>3687</v>
      </c>
    </row>
    <row r="1811" spans="1:33" ht="6" customHeight="1" x14ac:dyDescent="0.4">
      <c r="A1811" s="4">
        <f>ROW()</f>
        <v>1811</v>
      </c>
      <c r="B1811" s="9" t="s">
        <v>27</v>
      </c>
      <c r="C1811" s="55" t="str">
        <f t="shared" si="1028"/>
        <v>p.urbanizar</v>
      </c>
      <c r="D1811" s="6" t="str">
        <f t="shared" si="1041"/>
        <v>é.zoneamento</v>
      </c>
      <c r="E1811" s="8" t="s">
        <v>28</v>
      </c>
      <c r="F1811" s="42" t="str">
        <f t="shared" si="1036"/>
        <v>d.urbanizar</v>
      </c>
      <c r="G1811" s="18" t="s">
        <v>234</v>
      </c>
      <c r="H1811" s="41" t="s">
        <v>2321</v>
      </c>
      <c r="I1811" s="16" t="str">
        <f t="shared" si="1037"/>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8"/>
        <v>Propriedade destinada a urbanizar: é.zoneamento</v>
      </c>
      <c r="V1811" s="5" t="str">
        <f t="shared" si="1039"/>
        <v>Dado para urbanizar:  zoneamento  Deve ser formatado como (rdfs:Literal  or  xsd:string)</v>
      </c>
      <c r="W1811" s="5" t="s">
        <v>7128</v>
      </c>
      <c r="X1811" s="24" t="str">
        <f t="shared" si="1027"/>
        <v>urban.115</v>
      </c>
      <c r="Y1811" s="24" t="str">
        <f t="shared" si="1026"/>
        <v>Ação urbanizar</v>
      </c>
      <c r="Z1811" s="47" t="s">
        <v>2103</v>
      </c>
      <c r="AA1811" s="25" t="str">
        <f t="shared" si="1033"/>
        <v>null</v>
      </c>
      <c r="AB1811" s="26" t="s">
        <v>0</v>
      </c>
      <c r="AC1811" s="25" t="str">
        <f t="shared" si="1034"/>
        <v>null</v>
      </c>
      <c r="AD1811" s="26" t="s">
        <v>0</v>
      </c>
      <c r="AE1811" s="25" t="str">
        <f t="shared" si="1040"/>
        <v>propiedade</v>
      </c>
      <c r="AF1811" s="26" t="s">
        <v>2625</v>
      </c>
      <c r="AG1811" s="47" t="s">
        <v>3688</v>
      </c>
    </row>
    <row r="1812" spans="1:33" ht="6" customHeight="1" x14ac:dyDescent="0.4">
      <c r="A1812" s="4">
        <f>ROW()</f>
        <v>1812</v>
      </c>
      <c r="B1812" s="9" t="s">
        <v>27</v>
      </c>
      <c r="C1812" s="54" t="str">
        <f t="shared" si="1028"/>
        <v>p.vestir</v>
      </c>
      <c r="D1812" s="6" t="str">
        <f t="shared" si="1041"/>
        <v>é.calçado</v>
      </c>
      <c r="E1812" s="8" t="s">
        <v>28</v>
      </c>
      <c r="F1812" s="51" t="s">
        <v>4069</v>
      </c>
      <c r="G1812" s="18" t="s">
        <v>331</v>
      </c>
      <c r="H1812" s="41" t="s">
        <v>37</v>
      </c>
      <c r="I1812" s="16" t="str">
        <f t="shared" si="1037"/>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8"/>
        <v>Propriedade destinada a vestir: é.calçado</v>
      </c>
      <c r="V1812" s="5" t="str">
        <f t="shared" si="1039"/>
        <v>Dado para vestir:  calçado  Deve ser formatado como (xsd:boolean)</v>
      </c>
      <c r="W1812" s="5" t="s">
        <v>7129</v>
      </c>
      <c r="X1812" s="24" t="str">
        <f t="shared" si="1027"/>
        <v>vesti.100</v>
      </c>
      <c r="Y1812" s="24" t="str">
        <f t="shared" si="1026"/>
        <v>Ação vestir</v>
      </c>
      <c r="Z1812" s="47" t="s">
        <v>2104</v>
      </c>
      <c r="AA1812" s="25" t="str">
        <f t="shared" si="1033"/>
        <v>null</v>
      </c>
      <c r="AB1812" s="26" t="s">
        <v>0</v>
      </c>
      <c r="AC1812" s="25" t="str">
        <f t="shared" si="1034"/>
        <v>null</v>
      </c>
      <c r="AD1812" s="26" t="s">
        <v>0</v>
      </c>
      <c r="AE1812" s="25" t="str">
        <f t="shared" si="1040"/>
        <v>null</v>
      </c>
      <c r="AF1812" s="26" t="s">
        <v>0</v>
      </c>
      <c r="AG1812" s="47" t="s">
        <v>3689</v>
      </c>
    </row>
    <row r="1813" spans="1:33" ht="6" customHeight="1" x14ac:dyDescent="0.4">
      <c r="A1813" s="4">
        <f>ROW()</f>
        <v>1813</v>
      </c>
      <c r="B1813" s="9" t="s">
        <v>27</v>
      </c>
      <c r="C1813" s="55" t="str">
        <f t="shared" si="1028"/>
        <v>p.vestir</v>
      </c>
      <c r="D1813" s="6" t="str">
        <f t="shared" si="1041"/>
        <v>é.capacete</v>
      </c>
      <c r="E1813" s="8" t="s">
        <v>28</v>
      </c>
      <c r="F1813" s="42" t="str">
        <f t="shared" ref="F1813:F1819" si="1042">F1812</f>
        <v>d.vestir</v>
      </c>
      <c r="G1813" s="18" t="s">
        <v>344</v>
      </c>
      <c r="H1813" s="41" t="s">
        <v>37</v>
      </c>
      <c r="I1813" s="16" t="str">
        <f t="shared" si="1037"/>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8"/>
        <v>Propriedade destinada a vestir: é.capacete</v>
      </c>
      <c r="V1813" s="5" t="str">
        <f t="shared" si="1039"/>
        <v>Dado para vestir:  capacete  Deve ser formatado como (xsd:boolean)</v>
      </c>
      <c r="W1813" s="5" t="s">
        <v>7130</v>
      </c>
      <c r="X1813" s="24" t="str">
        <f t="shared" si="1027"/>
        <v>vesti.101</v>
      </c>
      <c r="Y1813" s="24" t="str">
        <f t="shared" si="1026"/>
        <v>Ação vestir</v>
      </c>
      <c r="Z1813" s="47" t="s">
        <v>2105</v>
      </c>
      <c r="AA1813" s="25" t="str">
        <f t="shared" si="1033"/>
        <v>null</v>
      </c>
      <c r="AB1813" s="26" t="s">
        <v>0</v>
      </c>
      <c r="AC1813" s="25" t="str">
        <f t="shared" si="1034"/>
        <v>null</v>
      </c>
      <c r="AD1813" s="26" t="s">
        <v>0</v>
      </c>
      <c r="AE1813" s="25" t="str">
        <f t="shared" si="1040"/>
        <v>null</v>
      </c>
      <c r="AF1813" s="26" t="s">
        <v>0</v>
      </c>
      <c r="AG1813" s="47" t="s">
        <v>3690</v>
      </c>
    </row>
    <row r="1814" spans="1:33" ht="6" customHeight="1" x14ac:dyDescent="0.4">
      <c r="A1814" s="4">
        <f>ROW()</f>
        <v>1814</v>
      </c>
      <c r="B1814" s="9" t="s">
        <v>27</v>
      </c>
      <c r="C1814" s="55" t="str">
        <f t="shared" si="1028"/>
        <v>p.vestir</v>
      </c>
      <c r="D1814" s="6" t="str">
        <f t="shared" si="1041"/>
        <v>é.cintado</v>
      </c>
      <c r="E1814" s="8" t="s">
        <v>28</v>
      </c>
      <c r="F1814" s="42" t="str">
        <f t="shared" si="1042"/>
        <v>d.vestir</v>
      </c>
      <c r="G1814" s="18" t="s">
        <v>333</v>
      </c>
      <c r="H1814" s="41" t="s">
        <v>37</v>
      </c>
      <c r="I1814" s="16" t="str">
        <f t="shared" si="1037"/>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8"/>
        <v>Propriedade destinada a vestir: é.cintado</v>
      </c>
      <c r="V1814" s="5" t="str">
        <f t="shared" si="1039"/>
        <v>Dado para vestir:  cintado  Deve ser formatado como (xsd:boolean)</v>
      </c>
      <c r="W1814" s="5" t="s">
        <v>7131</v>
      </c>
      <c r="X1814" s="24" t="str">
        <f t="shared" si="1027"/>
        <v>vesti.102</v>
      </c>
      <c r="Y1814" s="24" t="str">
        <f t="shared" si="1026"/>
        <v>Ação vestir</v>
      </c>
      <c r="Z1814" s="47" t="s">
        <v>2106</v>
      </c>
      <c r="AA1814" s="25" t="str">
        <f t="shared" si="1033"/>
        <v>null</v>
      </c>
      <c r="AB1814" s="26" t="s">
        <v>0</v>
      </c>
      <c r="AC1814" s="25" t="str">
        <f t="shared" si="1034"/>
        <v>null</v>
      </c>
      <c r="AD1814" s="26" t="s">
        <v>0</v>
      </c>
      <c r="AE1814" s="25" t="str">
        <f t="shared" si="1040"/>
        <v>null</v>
      </c>
      <c r="AF1814" s="26" t="s">
        <v>0</v>
      </c>
      <c r="AG1814" s="47" t="s">
        <v>3691</v>
      </c>
    </row>
    <row r="1815" spans="1:33" ht="6" customHeight="1" x14ac:dyDescent="0.4">
      <c r="A1815" s="4">
        <f>ROW()</f>
        <v>1815</v>
      </c>
      <c r="B1815" s="9" t="s">
        <v>27</v>
      </c>
      <c r="C1815" s="55" t="str">
        <f t="shared" si="1028"/>
        <v>p.vestir</v>
      </c>
      <c r="D1815" s="6" t="str">
        <f t="shared" si="1041"/>
        <v>é.enluvado</v>
      </c>
      <c r="E1815" s="8" t="s">
        <v>28</v>
      </c>
      <c r="F1815" s="42" t="str">
        <f t="shared" si="1042"/>
        <v>d.vestir</v>
      </c>
      <c r="G1815" s="18" t="s">
        <v>336</v>
      </c>
      <c r="H1815" s="41" t="s">
        <v>37</v>
      </c>
      <c r="I1815" s="16" t="str">
        <f t="shared" si="1037"/>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8"/>
        <v>Propriedade destinada a vestir: é.enluvado</v>
      </c>
      <c r="V1815" s="5" t="str">
        <f t="shared" si="1039"/>
        <v>Dado para vestir:  enluvado  Deve ser formatado como (xsd:boolean)</v>
      </c>
      <c r="W1815" s="5" t="s">
        <v>7132</v>
      </c>
      <c r="X1815" s="24" t="str">
        <f t="shared" si="1027"/>
        <v>vesti.103</v>
      </c>
      <c r="Y1815" s="24" t="str">
        <f t="shared" si="1026"/>
        <v>Ação vestir</v>
      </c>
      <c r="Z1815" s="47" t="s">
        <v>2107</v>
      </c>
      <c r="AA1815" s="25" t="str">
        <f t="shared" si="1033"/>
        <v>null</v>
      </c>
      <c r="AB1815" s="26" t="s">
        <v>0</v>
      </c>
      <c r="AC1815" s="25" t="str">
        <f t="shared" si="1034"/>
        <v>null</v>
      </c>
      <c r="AD1815" s="26" t="s">
        <v>0</v>
      </c>
      <c r="AE1815" s="25" t="str">
        <f t="shared" si="1040"/>
        <v>null</v>
      </c>
      <c r="AF1815" s="26" t="s">
        <v>0</v>
      </c>
      <c r="AG1815" s="47" t="s">
        <v>3692</v>
      </c>
    </row>
    <row r="1816" spans="1:33" ht="6" customHeight="1" x14ac:dyDescent="0.4">
      <c r="A1816" s="4">
        <f>ROW()</f>
        <v>1816</v>
      </c>
      <c r="B1816" s="9" t="s">
        <v>27</v>
      </c>
      <c r="C1816" s="55" t="str">
        <f t="shared" si="1028"/>
        <v>p.vestir</v>
      </c>
      <c r="D1816" s="6" t="str">
        <f t="shared" si="1041"/>
        <v>é.epi</v>
      </c>
      <c r="E1816" s="8" t="s">
        <v>28</v>
      </c>
      <c r="F1816" s="42" t="str">
        <f t="shared" si="1042"/>
        <v>d.vestir</v>
      </c>
      <c r="G1816" s="18" t="s">
        <v>332</v>
      </c>
      <c r="H1816" s="41" t="s">
        <v>37</v>
      </c>
      <c r="I1816" s="16" t="str">
        <f t="shared" si="1037"/>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8"/>
        <v>Propriedade destinada a vestir: é.epi</v>
      </c>
      <c r="V1816" s="5" t="str">
        <f t="shared" si="1039"/>
        <v>Dado para vestir:  epi  Deve ser formatado como (xsd:boolean)</v>
      </c>
      <c r="W1816" s="5" t="s">
        <v>7133</v>
      </c>
      <c r="X1816" s="24" t="str">
        <f t="shared" si="1027"/>
        <v>vesti.104</v>
      </c>
      <c r="Y1816" s="24" t="str">
        <f t="shared" si="1026"/>
        <v>Ação vestir</v>
      </c>
      <c r="Z1816" s="47" t="s">
        <v>2108</v>
      </c>
      <c r="AA1816" s="25" t="str">
        <f t="shared" si="1033"/>
        <v>null</v>
      </c>
      <c r="AB1816" s="26" t="s">
        <v>0</v>
      </c>
      <c r="AC1816" s="25" t="str">
        <f t="shared" si="1034"/>
        <v>null</v>
      </c>
      <c r="AD1816" s="26" t="s">
        <v>0</v>
      </c>
      <c r="AE1816" s="25" t="str">
        <f t="shared" si="1040"/>
        <v>null</v>
      </c>
      <c r="AF1816" s="26" t="s">
        <v>0</v>
      </c>
      <c r="AG1816" s="47" t="s">
        <v>3693</v>
      </c>
    </row>
    <row r="1817" spans="1:33" ht="6" customHeight="1" x14ac:dyDescent="0.4">
      <c r="A1817" s="4">
        <f>ROW()</f>
        <v>1817</v>
      </c>
      <c r="B1817" s="9" t="s">
        <v>27</v>
      </c>
      <c r="C1817" s="55" t="str">
        <f t="shared" si="1028"/>
        <v>p.vestir</v>
      </c>
      <c r="D1817" s="6" t="str">
        <f t="shared" si="1041"/>
        <v>é.mascarado</v>
      </c>
      <c r="E1817" s="8" t="s">
        <v>28</v>
      </c>
      <c r="F1817" s="42" t="str">
        <f t="shared" si="1042"/>
        <v>d.vestir</v>
      </c>
      <c r="G1817" s="18" t="s">
        <v>334</v>
      </c>
      <c r="H1817" s="41" t="s">
        <v>37</v>
      </c>
      <c r="I1817" s="16" t="str">
        <f t="shared" si="1037"/>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8"/>
        <v>Propriedade destinada a vestir: é.mascarado</v>
      </c>
      <c r="V1817" s="5" t="str">
        <f t="shared" si="1039"/>
        <v>Dado para vestir:  mascarado  Deve ser formatado como (xsd:boolean)</v>
      </c>
      <c r="W1817" s="5" t="s">
        <v>7134</v>
      </c>
      <c r="X1817" s="24" t="str">
        <f t="shared" si="1027"/>
        <v>vesti.105</v>
      </c>
      <c r="Y1817" s="24" t="str">
        <f t="shared" si="1026"/>
        <v>Ação vestir</v>
      </c>
      <c r="Z1817" s="47" t="s">
        <v>2109</v>
      </c>
      <c r="AA1817" s="25" t="str">
        <f t="shared" si="1033"/>
        <v>null</v>
      </c>
      <c r="AB1817" s="26" t="s">
        <v>0</v>
      </c>
      <c r="AC1817" s="25" t="str">
        <f t="shared" si="1034"/>
        <v>null</v>
      </c>
      <c r="AD1817" s="26" t="s">
        <v>0</v>
      </c>
      <c r="AE1817" s="25" t="str">
        <f t="shared" si="1040"/>
        <v>null</v>
      </c>
      <c r="AF1817" s="26" t="s">
        <v>0</v>
      </c>
      <c r="AG1817" s="47" t="s">
        <v>3694</v>
      </c>
    </row>
    <row r="1818" spans="1:33" ht="6" customHeight="1" x14ac:dyDescent="0.4">
      <c r="A1818" s="4">
        <f>ROW()</f>
        <v>1818</v>
      </c>
      <c r="B1818" s="9" t="s">
        <v>27</v>
      </c>
      <c r="C1818" s="55" t="str">
        <f t="shared" si="1028"/>
        <v>p.vestir</v>
      </c>
      <c r="D1818" s="6" t="str">
        <f t="shared" si="1041"/>
        <v>é.paramentado</v>
      </c>
      <c r="E1818" s="8" t="s">
        <v>28</v>
      </c>
      <c r="F1818" s="42" t="str">
        <f t="shared" si="1042"/>
        <v>d.vestir</v>
      </c>
      <c r="G1818" s="18" t="s">
        <v>428</v>
      </c>
      <c r="H1818" s="41" t="s">
        <v>37</v>
      </c>
      <c r="I1818" s="16" t="str">
        <f t="shared" si="1037"/>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8"/>
        <v>Propriedade destinada a vestir: é.paramentado</v>
      </c>
      <c r="V1818" s="5" t="str">
        <f t="shared" si="1039"/>
        <v>Dado para vestir:  paramentado  Deve ser formatado como (xsd:boolean)</v>
      </c>
      <c r="W1818" s="5" t="s">
        <v>7135</v>
      </c>
      <c r="X1818" s="24" t="str">
        <f t="shared" si="1027"/>
        <v>vesti.106</v>
      </c>
      <c r="Y1818" s="24" t="str">
        <f t="shared" si="1026"/>
        <v>Ação vestir</v>
      </c>
      <c r="Z1818" s="47" t="s">
        <v>2110</v>
      </c>
      <c r="AA1818" s="25" t="str">
        <f t="shared" si="1033"/>
        <v>null</v>
      </c>
      <c r="AB1818" s="26" t="s">
        <v>0</v>
      </c>
      <c r="AC1818" s="25" t="str">
        <f t="shared" si="1034"/>
        <v>null</v>
      </c>
      <c r="AD1818" s="26" t="s">
        <v>0</v>
      </c>
      <c r="AE1818" s="25" t="str">
        <f t="shared" si="1040"/>
        <v>null</v>
      </c>
      <c r="AF1818" s="26" t="s">
        <v>0</v>
      </c>
      <c r="AG1818" s="47" t="s">
        <v>3695</v>
      </c>
    </row>
    <row r="1819" spans="1:33" ht="6" customHeight="1" x14ac:dyDescent="0.4">
      <c r="A1819" s="4">
        <f>ROW()</f>
        <v>1819</v>
      </c>
      <c r="B1819" s="9" t="s">
        <v>27</v>
      </c>
      <c r="C1819" s="55" t="str">
        <f t="shared" si="1028"/>
        <v>p.vestir</v>
      </c>
      <c r="D1819" s="6" t="str">
        <f t="shared" si="1041"/>
        <v>é.uniformizado</v>
      </c>
      <c r="E1819" s="8" t="s">
        <v>28</v>
      </c>
      <c r="F1819" s="42" t="str">
        <f t="shared" si="1042"/>
        <v>d.vestir</v>
      </c>
      <c r="G1819" s="18" t="s">
        <v>335</v>
      </c>
      <c r="H1819" s="41" t="s">
        <v>37</v>
      </c>
      <c r="I1819" s="16" t="str">
        <f t="shared" si="1037"/>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8"/>
        <v>Propriedade destinada a vestir: é.uniformizado</v>
      </c>
      <c r="V1819" s="5" t="str">
        <f t="shared" si="1039"/>
        <v>Dado para vestir:  uniformizado  Deve ser formatado como (xsd:boolean)</v>
      </c>
      <c r="W1819" s="5" t="s">
        <v>7136</v>
      </c>
      <c r="X1819" s="24" t="str">
        <f t="shared" si="1027"/>
        <v>vesti.107</v>
      </c>
      <c r="Y1819" s="24" t="str">
        <f t="shared" si="1026"/>
        <v>Ação vestir</v>
      </c>
      <c r="Z1819" s="47" t="s">
        <v>2111</v>
      </c>
      <c r="AA1819" s="25" t="str">
        <f t="shared" si="1033"/>
        <v>null</v>
      </c>
      <c r="AB1819" s="26" t="s">
        <v>0</v>
      </c>
      <c r="AC1819" s="25" t="str">
        <f t="shared" si="1034"/>
        <v>null</v>
      </c>
      <c r="AD1819" s="26" t="s">
        <v>0</v>
      </c>
      <c r="AE1819" s="25" t="str">
        <f t="shared" si="1040"/>
        <v>null</v>
      </c>
      <c r="AF1819" s="26" t="s">
        <v>0</v>
      </c>
      <c r="AG1819" s="47" t="s">
        <v>3696</v>
      </c>
    </row>
    <row r="1820" spans="1:33" ht="6" customHeight="1" x14ac:dyDescent="0.4">
      <c r="A1820" s="4">
        <f>ROW()</f>
        <v>1820</v>
      </c>
      <c r="B1820" s="9" t="s">
        <v>27</v>
      </c>
      <c r="C1820" s="54" t="str">
        <f t="shared" si="1028"/>
        <v>p.vigiar</v>
      </c>
      <c r="D1820" s="6" t="str">
        <f t="shared" si="1041"/>
        <v>é.blitz.eletrônica</v>
      </c>
      <c r="E1820" s="8" t="s">
        <v>28</v>
      </c>
      <c r="F1820" s="51" t="s">
        <v>7810</v>
      </c>
      <c r="G1820" s="18" t="s">
        <v>7829</v>
      </c>
      <c r="H1820" s="41" t="s">
        <v>2321</v>
      </c>
      <c r="I1820" s="16" t="str">
        <f t="shared" si="1037"/>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8"/>
        <v>Propriedade destinada a vigiar: é.blitz.eletrônica</v>
      </c>
      <c r="V1820" s="5" t="str">
        <f t="shared" si="1039"/>
        <v>Dado para vigiar:  blitz.eletrônica  Deve ser formatado como (rdfs:Literal  or  xsd:string)</v>
      </c>
      <c r="W1820" s="5" t="s">
        <v>7830</v>
      </c>
      <c r="X1820" s="24" t="str">
        <f t="shared" si="1027"/>
        <v>vigia.100</v>
      </c>
      <c r="Y1820" s="24" t="str">
        <f t="shared" si="1026"/>
        <v>Ação vigiar</v>
      </c>
      <c r="Z1820" s="47" t="str">
        <f t="shared" ref="Z1820" si="1043">_xlfn.TRANSLATE(W1820,"pt","es")</f>
        <v>Declara el ID de Revit o IFC GlobalId o un identificador único de objeto. Declara que cuenta con equipos automáticos de lectura de matrículas con tecnología OCR (reconocimiento automático de caracteres) e integración GPS.</v>
      </c>
      <c r="AA1820" s="25" t="str">
        <f t="shared" si="1033"/>
        <v>categoria.revit</v>
      </c>
      <c r="AB1820" s="26" t="s">
        <v>3955</v>
      </c>
      <c r="AC1820" s="25" t="str">
        <f t="shared" si="1034"/>
        <v>classe.ifc</v>
      </c>
      <c r="AD1820" s="26" t="s">
        <v>3907</v>
      </c>
      <c r="AE1820" s="25" t="str">
        <f t="shared" si="1040"/>
        <v>null</v>
      </c>
      <c r="AF1820" s="26" t="s">
        <v>0</v>
      </c>
      <c r="AG1820" s="47" t="s">
        <v>7847</v>
      </c>
    </row>
    <row r="1821" spans="1:33" ht="6" customHeight="1" x14ac:dyDescent="0.4">
      <c r="A1821" s="4">
        <f>ROW()</f>
        <v>1821</v>
      </c>
      <c r="B1821" s="9" t="s">
        <v>27</v>
      </c>
      <c r="C1821" s="55" t="str">
        <f t="shared" si="1028"/>
        <v>p.vigiar</v>
      </c>
      <c r="D1821" s="6" t="str">
        <f t="shared" si="1041"/>
        <v>é.câmera</v>
      </c>
      <c r="E1821" s="8" t="s">
        <v>28</v>
      </c>
      <c r="F1821" s="42" t="str">
        <f>F1820</f>
        <v>d.vigiar</v>
      </c>
      <c r="G1821" s="18" t="s">
        <v>4947</v>
      </c>
      <c r="H1821" s="41" t="s">
        <v>2321</v>
      </c>
      <c r="I1821" s="16" t="str">
        <f t="shared" si="1037"/>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8"/>
        <v>Propriedade destinada a vigiar: é.câmera</v>
      </c>
      <c r="V1821" s="5" t="str">
        <f t="shared" si="1039"/>
        <v>Dado para vigiar:  câmera  Deve ser formatado como (rdfs:Literal  or  xsd:string)</v>
      </c>
      <c r="W1821" s="5" t="s">
        <v>7137</v>
      </c>
      <c r="X1821" s="24" t="str">
        <f t="shared" si="1027"/>
        <v>vigia.101</v>
      </c>
      <c r="Y1821" s="24" t="str">
        <f t="shared" si="1026"/>
        <v>Ação vigiar</v>
      </c>
      <c r="Z1821" s="47" t="str">
        <f>_xlfn.TRANSLATE(W1821,"pt","es")</f>
        <v>Declara el ID de Revit o IFC GlobalId o un identificador único de objeto. Declara una cámara de vigilancia estándar.</v>
      </c>
      <c r="AA1821" s="25" t="str">
        <f t="shared" si="1033"/>
        <v>categoria.revit</v>
      </c>
      <c r="AB1821" s="26" t="s">
        <v>3955</v>
      </c>
      <c r="AC1821" s="25" t="str">
        <f t="shared" si="1034"/>
        <v>classe.ifc</v>
      </c>
      <c r="AD1821" s="26" t="s">
        <v>3907</v>
      </c>
      <c r="AE1821" s="25" t="str">
        <f t="shared" si="1040"/>
        <v>null</v>
      </c>
      <c r="AF1821" s="26" t="s">
        <v>0</v>
      </c>
      <c r="AG1821" s="47" t="s">
        <v>7838</v>
      </c>
    </row>
    <row r="1822" spans="1:33" ht="6" customHeight="1" x14ac:dyDescent="0.4">
      <c r="A1822" s="4">
        <f>ROW()</f>
        <v>1822</v>
      </c>
      <c r="B1822" s="9" t="s">
        <v>27</v>
      </c>
      <c r="C1822" s="55" t="str">
        <f t="shared" si="1028"/>
        <v>p.vigiar</v>
      </c>
      <c r="D1822" s="6" t="str">
        <f t="shared" si="1041"/>
        <v>é.câmera.hdcvi</v>
      </c>
      <c r="E1822" s="8" t="s">
        <v>28</v>
      </c>
      <c r="F1822" s="42" t="str">
        <f t="shared" ref="F1822:F1835" si="1044">F1821</f>
        <v>d.vigiar</v>
      </c>
      <c r="G1822" s="18" t="s">
        <v>2212</v>
      </c>
      <c r="H1822" s="41" t="s">
        <v>2321</v>
      </c>
      <c r="I1822" s="16" t="str">
        <f t="shared" si="1037"/>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8"/>
        <v>Propriedade destinada a vigiar: é.câmera.hdcvi</v>
      </c>
      <c r="V1822" s="5" t="str">
        <f t="shared" si="1039"/>
        <v>Dado para vigiar:  câmera.hdcvi  Deve ser formatado como (rdfs:Literal  or  xsd:string)</v>
      </c>
      <c r="W1822" s="5" t="s">
        <v>7138</v>
      </c>
      <c r="X1822" s="24" t="str">
        <f t="shared" si="1027"/>
        <v>vigia.102</v>
      </c>
      <c r="Y1822" s="24" t="str">
        <f t="shared" si="1026"/>
        <v>Ação vigiar</v>
      </c>
      <c r="Z1822" s="47" t="str">
        <f t="shared" ref="Z1822:Z1835" si="1045">_xlfn.TRANSLATE(W1822,"pt","es")</f>
        <v>Declara el ID de Revit o IFC GlobalId o un identificador único de objeto. Declara una cámara de vigilancia de alta resolución.</v>
      </c>
      <c r="AA1822" s="25" t="str">
        <f t="shared" si="1033"/>
        <v>categoria.revit</v>
      </c>
      <c r="AB1822" s="26" t="s">
        <v>3955</v>
      </c>
      <c r="AC1822" s="25" t="str">
        <f t="shared" si="1034"/>
        <v>classe.ifc</v>
      </c>
      <c r="AD1822" s="26" t="s">
        <v>3907</v>
      </c>
      <c r="AE1822" s="25" t="str">
        <f t="shared" si="1040"/>
        <v>null</v>
      </c>
      <c r="AF1822" s="26" t="s">
        <v>0</v>
      </c>
      <c r="AG1822" s="47" t="s">
        <v>7848</v>
      </c>
    </row>
    <row r="1823" spans="1:33" ht="6" customHeight="1" x14ac:dyDescent="0.4">
      <c r="A1823" s="4">
        <f>ROW()</f>
        <v>1823</v>
      </c>
      <c r="B1823" s="9" t="s">
        <v>27</v>
      </c>
      <c r="C1823" s="55" t="str">
        <f t="shared" si="1028"/>
        <v>p.vigiar</v>
      </c>
      <c r="D1823" s="6" t="str">
        <f t="shared" si="1041"/>
        <v>é.câmera.multi.hd</v>
      </c>
      <c r="E1823" s="8" t="s">
        <v>28</v>
      </c>
      <c r="F1823" s="42" t="str">
        <f t="shared" si="1044"/>
        <v>d.vigiar</v>
      </c>
      <c r="G1823" s="18" t="s">
        <v>2213</v>
      </c>
      <c r="H1823" s="41" t="s">
        <v>2321</v>
      </c>
      <c r="I1823" s="16" t="str">
        <f t="shared" si="1037"/>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8"/>
        <v>Propriedade destinada a vigiar: é.câmera.multi.hd</v>
      </c>
      <c r="V1823" s="5" t="str">
        <f t="shared" si="1039"/>
        <v>Dado para vigiar:  câmera.multi.hd  Deve ser formatado como (rdfs:Literal  or  xsd:string)</v>
      </c>
      <c r="W1823" s="5" t="s">
        <v>7139</v>
      </c>
      <c r="X1823" s="24" t="str">
        <f t="shared" si="1027"/>
        <v>vigia.103</v>
      </c>
      <c r="Y1823" s="24" t="str">
        <f t="shared" si="1026"/>
        <v>Ação vigiar</v>
      </c>
      <c r="Z1823" s="47" t="str">
        <f t="shared" si="1045"/>
        <v>Declara el ID de Revit o IFC GlobalId o un identificador único de objeto. Declara que hay una cámara de vigilancia con visión nocturna y micrófono incorporado.</v>
      </c>
      <c r="AA1823" s="25" t="str">
        <f t="shared" si="1033"/>
        <v>categoria.revit</v>
      </c>
      <c r="AB1823" s="26" t="s">
        <v>3955</v>
      </c>
      <c r="AC1823" s="25" t="str">
        <f t="shared" si="1034"/>
        <v>classe.ifc</v>
      </c>
      <c r="AD1823" s="26" t="s">
        <v>3907</v>
      </c>
      <c r="AE1823" s="25" t="str">
        <f t="shared" si="1040"/>
        <v>null</v>
      </c>
      <c r="AF1823" s="26" t="s">
        <v>0</v>
      </c>
      <c r="AG1823" s="47" t="s">
        <v>7849</v>
      </c>
    </row>
    <row r="1824" spans="1:33" ht="6" customHeight="1" x14ac:dyDescent="0.4">
      <c r="A1824" s="4">
        <f>ROW()</f>
        <v>1824</v>
      </c>
      <c r="B1824" s="9" t="s">
        <v>27</v>
      </c>
      <c r="C1824" s="55" t="str">
        <f t="shared" si="1028"/>
        <v>p.vigiar</v>
      </c>
      <c r="D1824" s="6" t="str">
        <f t="shared" si="1041"/>
        <v>é.gabriel.cam.plus</v>
      </c>
      <c r="E1824" s="8" t="s">
        <v>28</v>
      </c>
      <c r="F1824" s="42" t="str">
        <f t="shared" si="1044"/>
        <v>d.vigiar</v>
      </c>
      <c r="G1824" s="18" t="s">
        <v>7835</v>
      </c>
      <c r="H1824" s="41" t="s">
        <v>2321</v>
      </c>
      <c r="I1824" s="16" t="str">
        <f t="shared" si="1037"/>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8"/>
        <v>Propriedade destinada a vigiar: é.gabriel.cam.plus</v>
      </c>
      <c r="V1824" s="5" t="str">
        <f t="shared" si="1039"/>
        <v>Dado para vigiar:  gabriel.cam.plus  Deve ser formatado como (rdfs:Literal  or  xsd:string)</v>
      </c>
      <c r="W1824" s="5" t="s">
        <v>7826</v>
      </c>
      <c r="X1824" s="24" t="str">
        <f t="shared" si="1027"/>
        <v>vigia.104</v>
      </c>
      <c r="Y1824" s="24" t="str">
        <f t="shared" si="1026"/>
        <v>Ação vigiar</v>
      </c>
      <c r="Z1824" s="47" t="str">
        <f t="shared" si="1045"/>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24" s="25" t="str">
        <f t="shared" si="1033"/>
        <v>categoria.revit</v>
      </c>
      <c r="AB1824" s="26" t="s">
        <v>3955</v>
      </c>
      <c r="AC1824" s="25" t="str">
        <f t="shared" si="1034"/>
        <v>classe.ifc</v>
      </c>
      <c r="AD1824" s="26" t="s">
        <v>3907</v>
      </c>
      <c r="AE1824" s="25" t="str">
        <f t="shared" si="1040"/>
        <v>null</v>
      </c>
      <c r="AF1824" s="26" t="s">
        <v>0</v>
      </c>
      <c r="AG1824" s="47" t="s">
        <v>7839</v>
      </c>
    </row>
    <row r="1825" spans="1:33" ht="6" customHeight="1" x14ac:dyDescent="0.4">
      <c r="A1825" s="4">
        <f>ROW()</f>
        <v>1825</v>
      </c>
      <c r="B1825" s="9" t="s">
        <v>27</v>
      </c>
      <c r="C1825" s="55" t="str">
        <f t="shared" si="1028"/>
        <v>p.vigiar</v>
      </c>
      <c r="D1825" s="6" t="str">
        <f t="shared" si="1041"/>
        <v>é.gabriel.cam.max</v>
      </c>
      <c r="E1825" s="8" t="s">
        <v>28</v>
      </c>
      <c r="F1825" s="42" t="str">
        <f t="shared" si="1044"/>
        <v>d.vigiar</v>
      </c>
      <c r="G1825" s="18" t="s">
        <v>7834</v>
      </c>
      <c r="H1825" s="41" t="s">
        <v>2321</v>
      </c>
      <c r="I1825" s="16" t="str">
        <f t="shared" si="1037"/>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8"/>
        <v>Propriedade destinada a vigiar: é.gabriel.cam.max</v>
      </c>
      <c r="V1825" s="5" t="str">
        <f t="shared" si="1039"/>
        <v>Dado para vigiar:  gabriel.cam.max  Deve ser formatado como (rdfs:Literal  or  xsd:string)</v>
      </c>
      <c r="W1825" s="5" t="s">
        <v>7826</v>
      </c>
      <c r="X1825" s="24" t="str">
        <f t="shared" si="1027"/>
        <v>vigia.105</v>
      </c>
      <c r="Y1825" s="24" t="str">
        <f t="shared" si="1026"/>
        <v>Ação vigiar</v>
      </c>
      <c r="Z1825" s="47" t="str">
        <f t="shared" si="1045"/>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25" s="25" t="str">
        <f t="shared" si="1033"/>
        <v>categoria.revit</v>
      </c>
      <c r="AB1825" s="26" t="s">
        <v>3955</v>
      </c>
      <c r="AC1825" s="25" t="str">
        <f t="shared" si="1034"/>
        <v>classe.ifc</v>
      </c>
      <c r="AD1825" s="26" t="s">
        <v>3907</v>
      </c>
      <c r="AE1825" s="25" t="str">
        <f t="shared" si="1040"/>
        <v>null</v>
      </c>
      <c r="AF1825" s="26" t="s">
        <v>0</v>
      </c>
      <c r="AG1825" s="47" t="s">
        <v>7839</v>
      </c>
    </row>
    <row r="1826" spans="1:33" ht="6" customHeight="1" x14ac:dyDescent="0.4">
      <c r="A1826" s="4">
        <f>ROW()</f>
        <v>1826</v>
      </c>
      <c r="B1826" s="9" t="s">
        <v>27</v>
      </c>
      <c r="C1826" s="55" t="str">
        <f t="shared" si="1028"/>
        <v>p.vigiar</v>
      </c>
      <c r="D1826" s="6" t="str">
        <f t="shared" si="1041"/>
        <v>é.gabriel.cam.360</v>
      </c>
      <c r="E1826" s="8" t="s">
        <v>28</v>
      </c>
      <c r="F1826" s="42" t="str">
        <f t="shared" si="1044"/>
        <v>d.vigiar</v>
      </c>
      <c r="G1826" s="18" t="s">
        <v>7836</v>
      </c>
      <c r="H1826" s="41" t="s">
        <v>2321</v>
      </c>
      <c r="I1826" s="16" t="str">
        <f t="shared" si="1037"/>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8"/>
        <v>Propriedade destinada a vigiar: é.gabriel.cam.360</v>
      </c>
      <c r="V1826" s="5" t="str">
        <f t="shared" si="1039"/>
        <v>Dado para vigiar:  gabriel.cam.360  Deve ser formatado como (rdfs:Literal  or  xsd:string)</v>
      </c>
      <c r="W1826" s="5" t="s">
        <v>7828</v>
      </c>
      <c r="X1826" s="24" t="str">
        <f t="shared" si="1027"/>
        <v>vigia.106</v>
      </c>
      <c r="Y1826" s="24" t="str">
        <f t="shared" si="1026"/>
        <v>Ação vigiar</v>
      </c>
      <c r="Z1826" s="47" t="str">
        <f t="shared" si="1045"/>
        <v>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v>
      </c>
      <c r="AA1826" s="25" t="str">
        <f t="shared" si="1033"/>
        <v>categoria.revit</v>
      </c>
      <c r="AB1826" s="26" t="s">
        <v>3955</v>
      </c>
      <c r="AC1826" s="25" t="str">
        <f t="shared" si="1034"/>
        <v>classe.ifc</v>
      </c>
      <c r="AD1826" s="26" t="s">
        <v>3907</v>
      </c>
      <c r="AE1826" s="25" t="str">
        <f t="shared" si="1040"/>
        <v>null</v>
      </c>
      <c r="AF1826" s="26" t="s">
        <v>0</v>
      </c>
      <c r="AG1826" s="47" t="s">
        <v>7840</v>
      </c>
    </row>
    <row r="1827" spans="1:33" ht="6" customHeight="1" x14ac:dyDescent="0.4">
      <c r="A1827" s="4">
        <f>ROW()</f>
        <v>1827</v>
      </c>
      <c r="B1827" s="9" t="s">
        <v>27</v>
      </c>
      <c r="C1827" s="55" t="str">
        <f t="shared" si="1028"/>
        <v>p.vigiar</v>
      </c>
      <c r="D1827" s="6" t="str">
        <f t="shared" si="1041"/>
        <v>é.gabriel.cam.mini</v>
      </c>
      <c r="E1827" s="8" t="s">
        <v>28</v>
      </c>
      <c r="F1827" s="42" t="str">
        <f t="shared" si="1044"/>
        <v>d.vigiar</v>
      </c>
      <c r="G1827" s="18" t="s">
        <v>7833</v>
      </c>
      <c r="H1827" s="41" t="s">
        <v>2321</v>
      </c>
      <c r="I1827" s="16" t="str">
        <f t="shared" si="1037"/>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1038"/>
        <v>Propriedade destinada a vigiar: é.gabriel.cam.mini</v>
      </c>
      <c r="V1827" s="5" t="str">
        <f t="shared" si="1039"/>
        <v>Dado para vigiar:  gabriel.cam.mini  Deve ser formatado como (rdfs:Literal  or  xsd:string)</v>
      </c>
      <c r="W1827" s="5" t="s">
        <v>7827</v>
      </c>
      <c r="X1827" s="24" t="str">
        <f t="shared" si="1027"/>
        <v>vigia.107</v>
      </c>
      <c r="Y1827" s="24" t="str">
        <f t="shared" si="1026"/>
        <v>Ação vigiar</v>
      </c>
      <c r="Z1827" s="47" t="str">
        <f t="shared" si="1045"/>
        <v>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v>
      </c>
      <c r="AA1827" s="25" t="str">
        <f t="shared" si="1033"/>
        <v>categoria.revit</v>
      </c>
      <c r="AB1827" s="26" t="s">
        <v>3955</v>
      </c>
      <c r="AC1827" s="25" t="str">
        <f t="shared" si="1034"/>
        <v>classe.ifc</v>
      </c>
      <c r="AD1827" s="26" t="s">
        <v>3907</v>
      </c>
      <c r="AE1827" s="25" t="str">
        <f t="shared" si="1040"/>
        <v>null</v>
      </c>
      <c r="AF1827" s="26" t="s">
        <v>0</v>
      </c>
      <c r="AG1827" s="47" t="s">
        <v>7850</v>
      </c>
    </row>
    <row r="1828" spans="1:33" ht="6" customHeight="1" x14ac:dyDescent="0.4">
      <c r="A1828" s="4">
        <f>ROW()</f>
        <v>1828</v>
      </c>
      <c r="B1828" s="9" t="s">
        <v>27</v>
      </c>
      <c r="C1828" s="55" t="str">
        <f t="shared" si="1028"/>
        <v>p.vigiar</v>
      </c>
      <c r="D1828" s="6" t="str">
        <f t="shared" si="1041"/>
        <v>é.gabriel.totem</v>
      </c>
      <c r="E1828" s="8" t="s">
        <v>28</v>
      </c>
      <c r="F1828" s="42" t="str">
        <f t="shared" si="1044"/>
        <v>d.vigiar</v>
      </c>
      <c r="G1828" s="18" t="s">
        <v>7832</v>
      </c>
      <c r="H1828" s="41" t="s">
        <v>2321</v>
      </c>
      <c r="I1828" s="16" t="str">
        <f t="shared" si="1037"/>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38"/>
        <v>Propriedade destinada a vigiar: é.gabriel.totem</v>
      </c>
      <c r="V1828" s="5" t="str">
        <f t="shared" si="1039"/>
        <v>Dado para vigiar:  gabriel.totem  Deve ser formatado como (rdfs:Literal  or  xsd:string)</v>
      </c>
      <c r="W1828" s="5" t="s">
        <v>7826</v>
      </c>
      <c r="X1828" s="24" t="str">
        <f t="shared" si="1027"/>
        <v>vigia.108</v>
      </c>
      <c r="Y1828" s="24" t="str">
        <f t="shared" si="1026"/>
        <v>Ação vigiar</v>
      </c>
      <c r="Z1828" s="47" t="str">
        <f t="shared" si="1045"/>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28" s="25" t="str">
        <f t="shared" si="1033"/>
        <v>categoria.revit</v>
      </c>
      <c r="AB1828" s="26" t="s">
        <v>3955</v>
      </c>
      <c r="AC1828" s="25" t="str">
        <f t="shared" si="1034"/>
        <v>classe.ifc</v>
      </c>
      <c r="AD1828" s="26" t="s">
        <v>3907</v>
      </c>
      <c r="AE1828" s="25" t="str">
        <f t="shared" si="1040"/>
        <v>null</v>
      </c>
      <c r="AF1828" s="26" t="s">
        <v>0</v>
      </c>
      <c r="AG1828" s="47" t="s">
        <v>7839</v>
      </c>
    </row>
    <row r="1829" spans="1:33" ht="6" customHeight="1" x14ac:dyDescent="0.4">
      <c r="A1829" s="4">
        <f>ROW()</f>
        <v>1829</v>
      </c>
      <c r="B1829" s="9" t="s">
        <v>27</v>
      </c>
      <c r="C1829" s="55" t="str">
        <f t="shared" si="1028"/>
        <v>p.vigiar</v>
      </c>
      <c r="D1829" s="6" t="str">
        <f t="shared" si="1041"/>
        <v>é.monitor.de.infração</v>
      </c>
      <c r="E1829" s="8" t="s">
        <v>28</v>
      </c>
      <c r="F1829" s="42" t="str">
        <f t="shared" si="1044"/>
        <v>d.vigiar</v>
      </c>
      <c r="G1829" s="18" t="s">
        <v>7824</v>
      </c>
      <c r="H1829" s="41" t="s">
        <v>2321</v>
      </c>
      <c r="I1829" s="16" t="str">
        <f t="shared" si="1037"/>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38"/>
        <v>Propriedade destinada a vigiar: é.monitor.de.infração</v>
      </c>
      <c r="V1829" s="5" t="str">
        <f t="shared" si="1039"/>
        <v>Dado para vigiar:  monitor.de.infração  Deve ser formatado como (rdfs:Literal  or  xsd:string)</v>
      </c>
      <c r="W1829" s="5" t="s">
        <v>7821</v>
      </c>
      <c r="X1829" s="24" t="str">
        <f t="shared" si="1027"/>
        <v>vigia.109</v>
      </c>
      <c r="Y1829" s="24" t="str">
        <f t="shared" si="1026"/>
        <v>Ação vigiar</v>
      </c>
      <c r="Z1829" s="47" t="str">
        <f t="shared" si="1045"/>
        <v>Declara el ID de Revit o IFC GlobalId o un identificador único de objeto. Declara un equipo que inspecciona el movimiento vehicular de giros irregulares y retornos en lugares prohibidos de las rutas de tráfico.</v>
      </c>
      <c r="AA1829" s="25" t="str">
        <f t="shared" si="1033"/>
        <v>categoria.revit</v>
      </c>
      <c r="AB1829" s="26" t="s">
        <v>3955</v>
      </c>
      <c r="AC1829" s="25" t="str">
        <f t="shared" si="1034"/>
        <v>classe.ifc</v>
      </c>
      <c r="AD1829" s="26" t="s">
        <v>3907</v>
      </c>
      <c r="AE1829" s="25" t="str">
        <f t="shared" si="1040"/>
        <v>null</v>
      </c>
      <c r="AF1829" s="26" t="s">
        <v>0</v>
      </c>
      <c r="AG1829" s="47" t="s">
        <v>7841</v>
      </c>
    </row>
    <row r="1830" spans="1:33" ht="6" customHeight="1" x14ac:dyDescent="0.4">
      <c r="A1830" s="4">
        <f>ROW()</f>
        <v>1830</v>
      </c>
      <c r="B1830" s="9" t="s">
        <v>27</v>
      </c>
      <c r="C1830" s="55" t="str">
        <f t="shared" si="1028"/>
        <v>p.vigiar</v>
      </c>
      <c r="D1830" s="6" t="str">
        <f t="shared" si="1041"/>
        <v>é.monitor.de.pedágio</v>
      </c>
      <c r="E1830" s="8" t="s">
        <v>28</v>
      </c>
      <c r="F1830" s="42" t="str">
        <f t="shared" si="1044"/>
        <v>d.vigiar</v>
      </c>
      <c r="G1830" s="18" t="s">
        <v>7814</v>
      </c>
      <c r="H1830" s="41" t="s">
        <v>2321</v>
      </c>
      <c r="I1830" s="16" t="str">
        <f t="shared" si="1037"/>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8"/>
        <v>Propriedade destinada a vigiar: é.monitor.de.pedágio</v>
      </c>
      <c r="V1830" s="5" t="str">
        <f t="shared" si="1039"/>
        <v>Dado para vigiar:  monitor.de.pedágio  Deve ser formatado como (rdfs:Literal  or  xsd:string)</v>
      </c>
      <c r="W1830" s="5" t="s">
        <v>7815</v>
      </c>
      <c r="X1830" s="24" t="str">
        <f t="shared" si="1027"/>
        <v>vigia.110</v>
      </c>
      <c r="Y1830" s="24" t="str">
        <f t="shared" si="1026"/>
        <v>Ação vigiar</v>
      </c>
      <c r="Z1830" s="47" t="str">
        <f t="shared" si="1045"/>
        <v>Declara el ID de Revit o IFC GlobalId o un identificador único de objeto. Declara que se instala un equipo de inspección en las plazas de peaje.</v>
      </c>
      <c r="AA1830" s="25" t="str">
        <f t="shared" si="1033"/>
        <v>categoria.revit</v>
      </c>
      <c r="AB1830" s="26" t="s">
        <v>3955</v>
      </c>
      <c r="AC1830" s="25" t="str">
        <f t="shared" si="1034"/>
        <v>classe.ifc</v>
      </c>
      <c r="AD1830" s="26" t="s">
        <v>3907</v>
      </c>
      <c r="AE1830" s="25" t="str">
        <f t="shared" si="1040"/>
        <v>null</v>
      </c>
      <c r="AF1830" s="26" t="s">
        <v>0</v>
      </c>
      <c r="AG1830" s="47" t="s">
        <v>7842</v>
      </c>
    </row>
    <row r="1831" spans="1:33" ht="6" customHeight="1" x14ac:dyDescent="0.4">
      <c r="A1831" s="4">
        <f>ROW()</f>
        <v>1831</v>
      </c>
      <c r="B1831" s="9" t="s">
        <v>27</v>
      </c>
      <c r="C1831" s="55" t="str">
        <f t="shared" si="1028"/>
        <v>p.vigiar</v>
      </c>
      <c r="D1831" s="6" t="str">
        <f t="shared" si="1041"/>
        <v>é.leitor.de.placa</v>
      </c>
      <c r="E1831" s="8" t="s">
        <v>28</v>
      </c>
      <c r="F1831" s="42" t="str">
        <f t="shared" si="1044"/>
        <v>d.vigiar</v>
      </c>
      <c r="G1831" s="18" t="s">
        <v>7823</v>
      </c>
      <c r="H1831" s="41" t="s">
        <v>2321</v>
      </c>
      <c r="I1831" s="16" t="str">
        <f t="shared" si="1037"/>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8"/>
        <v>Propriedade destinada a vigiar: é.leitor.de.placa</v>
      </c>
      <c r="V1831" s="5" t="str">
        <f t="shared" si="1039"/>
        <v>Dado para vigiar:  leitor.de.placa  Deve ser formatado como (rdfs:Literal  or  xsd:string)</v>
      </c>
      <c r="W1831" s="5" t="s">
        <v>7822</v>
      </c>
      <c r="X1831" s="24" t="str">
        <f t="shared" si="1027"/>
        <v>vigia.111</v>
      </c>
      <c r="Y1831" s="24" t="str">
        <f t="shared" si="1026"/>
        <v>Ação vigiar</v>
      </c>
      <c r="Z1831" s="47" t="str">
        <f t="shared" si="1045"/>
        <v>Declara el ID de Revit o IFC GlobalId o un identificador único de objeto. Declara un equipo que realiza la Lectura Automática de Matrículas – LAP.</v>
      </c>
      <c r="AA1831" s="25" t="str">
        <f t="shared" si="1033"/>
        <v>categoria.revit</v>
      </c>
      <c r="AB1831" s="26" t="s">
        <v>3955</v>
      </c>
      <c r="AC1831" s="25" t="str">
        <f t="shared" si="1034"/>
        <v>classe.ifc</v>
      </c>
      <c r="AD1831" s="26" t="s">
        <v>3907</v>
      </c>
      <c r="AE1831" s="25" t="str">
        <f t="shared" si="1040"/>
        <v>null</v>
      </c>
      <c r="AF1831" s="26" t="s">
        <v>0</v>
      </c>
      <c r="AG1831" s="47" t="s">
        <v>7843</v>
      </c>
    </row>
    <row r="1832" spans="1:33" ht="6" customHeight="1" x14ac:dyDescent="0.4">
      <c r="A1832" s="4">
        <f>ROW()</f>
        <v>1832</v>
      </c>
      <c r="B1832" s="9" t="s">
        <v>27</v>
      </c>
      <c r="C1832" s="55" t="str">
        <f t="shared" si="1028"/>
        <v>p.vigiar</v>
      </c>
      <c r="D1832" s="6" t="str">
        <f t="shared" si="1041"/>
        <v>é.lombada.eletrônica</v>
      </c>
      <c r="E1832" s="8" t="s">
        <v>28</v>
      </c>
      <c r="F1832" s="42" t="str">
        <f t="shared" si="1044"/>
        <v>d.vigiar</v>
      </c>
      <c r="G1832" s="18" t="s">
        <v>7816</v>
      </c>
      <c r="H1832" s="41" t="s">
        <v>2321</v>
      </c>
      <c r="I1832" s="16" t="str">
        <f t="shared" si="1037"/>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8"/>
        <v>Propriedade destinada a vigiar: é.lombada.eletrônica</v>
      </c>
      <c r="V1832" s="5" t="str">
        <f t="shared" si="1039"/>
        <v>Dado para vigiar:  lombada.eletrônica  Deve ser formatado como (rdfs:Literal  or  xsd:string)</v>
      </c>
      <c r="W1832" s="5" t="s">
        <v>7825</v>
      </c>
      <c r="X1832" s="24" t="str">
        <f t="shared" si="1027"/>
        <v>vigia.112</v>
      </c>
      <c r="Y1832" s="24" t="str">
        <f t="shared" si="1026"/>
        <v>Ação vigiar</v>
      </c>
      <c r="Z1832" s="47" t="str">
        <f t="shared" si="1045"/>
        <v>Declara el ID de Revit o IFC GlobalId o un identificador único de objeto. Declara un equipo de control de velocidad que muestra al conductor, en tiempo real, la velocidad que está pasando, indicando si está por encima del límite permitido.</v>
      </c>
      <c r="AA1832" s="25" t="str">
        <f t="shared" si="1033"/>
        <v>categoria.revit</v>
      </c>
      <c r="AB1832" s="26" t="s">
        <v>3955</v>
      </c>
      <c r="AC1832" s="25" t="str">
        <f t="shared" si="1034"/>
        <v>classe.ifc</v>
      </c>
      <c r="AD1832" s="26" t="s">
        <v>3907</v>
      </c>
      <c r="AE1832" s="25" t="str">
        <f t="shared" si="1040"/>
        <v>null</v>
      </c>
      <c r="AF1832" s="26" t="s">
        <v>0</v>
      </c>
      <c r="AG1832" s="47" t="s">
        <v>7851</v>
      </c>
    </row>
    <row r="1833" spans="1:33" ht="6" customHeight="1" x14ac:dyDescent="0.4">
      <c r="A1833" s="4">
        <f>ROW()</f>
        <v>1833</v>
      </c>
      <c r="B1833" s="9" t="s">
        <v>27</v>
      </c>
      <c r="C1833" s="55" t="str">
        <f t="shared" si="1028"/>
        <v>p.vigiar</v>
      </c>
      <c r="D1833" s="6" t="str">
        <f t="shared" si="1041"/>
        <v>é.radar.semafórico</v>
      </c>
      <c r="E1833" s="8" t="s">
        <v>28</v>
      </c>
      <c r="F1833" s="42" t="str">
        <f t="shared" si="1044"/>
        <v>d.vigiar</v>
      </c>
      <c r="G1833" s="18" t="s">
        <v>7811</v>
      </c>
      <c r="H1833" s="41" t="s">
        <v>2321</v>
      </c>
      <c r="I1833" s="16" t="str">
        <f t="shared" si="1037"/>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8"/>
        <v>Propriedade destinada a vigiar: é.radar.semafórico</v>
      </c>
      <c r="V1833" s="5" t="str">
        <f t="shared" si="1039"/>
        <v>Dado para vigiar:  radar.semafórico  Deve ser formatado como (rdfs:Literal  or  xsd:string)</v>
      </c>
      <c r="W1833" s="5" t="s">
        <v>7812</v>
      </c>
      <c r="X1833" s="24" t="str">
        <f t="shared" si="1027"/>
        <v>vigia.113</v>
      </c>
      <c r="Y1833" s="24" t="str">
        <f t="shared" si="1026"/>
        <v>Ação vigiar</v>
      </c>
      <c r="Z1833" s="47" t="str">
        <f t="shared" si="1045"/>
        <v>Declara el ID de Revit o IFC GlobalId o un identificador único de objeto. Declara un equipo de inspección instalado en intersecciones con semáforos.</v>
      </c>
      <c r="AA1833" s="25" t="str">
        <f t="shared" si="1033"/>
        <v>categoria.revit</v>
      </c>
      <c r="AB1833" s="26" t="s">
        <v>3955</v>
      </c>
      <c r="AC1833" s="25" t="str">
        <f t="shared" si="1034"/>
        <v>classe.ifc</v>
      </c>
      <c r="AD1833" s="26" t="s">
        <v>3907</v>
      </c>
      <c r="AE1833" s="25" t="str">
        <f t="shared" si="1040"/>
        <v>null</v>
      </c>
      <c r="AF1833" s="26" t="s">
        <v>0</v>
      </c>
      <c r="AG1833" s="47" t="s">
        <v>7813</v>
      </c>
    </row>
    <row r="1834" spans="1:33" ht="6" customHeight="1" x14ac:dyDescent="0.4">
      <c r="A1834" s="4">
        <f>ROW()</f>
        <v>1834</v>
      </c>
      <c r="B1834" s="9" t="s">
        <v>27</v>
      </c>
      <c r="C1834" s="55" t="str">
        <f t="shared" si="1028"/>
        <v>p.vigiar</v>
      </c>
      <c r="D1834" s="6" t="str">
        <f t="shared" si="1041"/>
        <v>é.sistema.get</v>
      </c>
      <c r="E1834" s="8" t="s">
        <v>28</v>
      </c>
      <c r="F1834" s="42" t="str">
        <f t="shared" si="1044"/>
        <v>d.vigiar</v>
      </c>
      <c r="G1834" s="18" t="s">
        <v>7819</v>
      </c>
      <c r="H1834" s="41" t="s">
        <v>2321</v>
      </c>
      <c r="I1834" s="16" t="str">
        <f t="shared" si="1037"/>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8"/>
        <v>Propriedade destinada a vigiar: é.sistema.get</v>
      </c>
      <c r="V1834" s="5" t="str">
        <f t="shared" si="1039"/>
        <v>Dado para vigiar:  sistema.get  Deve ser formatado como (rdfs:Literal  or  xsd:string)</v>
      </c>
      <c r="W1834" s="5" t="s">
        <v>7820</v>
      </c>
      <c r="X1834" s="24" t="str">
        <f t="shared" si="1027"/>
        <v>vigia.114</v>
      </c>
      <c r="Y1834" s="24" t="str">
        <f t="shared" si="1026"/>
        <v>Ação vigiar</v>
      </c>
      <c r="Z1834" s="47" t="str">
        <f t="shared" si="1045"/>
        <v>Declara el ID de Revit o IFC GlobalId o un identificador único de objeto. Declara un sistema de gestión de estadísticas de tráfico.</v>
      </c>
      <c r="AA1834" s="25" t="str">
        <f t="shared" si="1033"/>
        <v>categoria.revit</v>
      </c>
      <c r="AB1834" s="26" t="s">
        <v>3955</v>
      </c>
      <c r="AC1834" s="25" t="str">
        <f t="shared" si="1034"/>
        <v>classe.ifc</v>
      </c>
      <c r="AD1834" s="26" t="s">
        <v>3907</v>
      </c>
      <c r="AE1834" s="25" t="str">
        <f t="shared" si="1040"/>
        <v>null</v>
      </c>
      <c r="AF1834" s="26" t="s">
        <v>0</v>
      </c>
      <c r="AG1834" s="47" t="s">
        <v>7845</v>
      </c>
    </row>
    <row r="1835" spans="1:33" ht="6" customHeight="1" x14ac:dyDescent="0.4">
      <c r="A1835" s="4">
        <f>ROW()</f>
        <v>1835</v>
      </c>
      <c r="B1835" s="9" t="s">
        <v>27</v>
      </c>
      <c r="C1835" s="55" t="str">
        <f t="shared" si="1028"/>
        <v>p.vigiar</v>
      </c>
      <c r="D1835" s="6" t="str">
        <f t="shared" si="1041"/>
        <v>é.sistema.gitweb</v>
      </c>
      <c r="E1835" s="8" t="s">
        <v>28</v>
      </c>
      <c r="F1835" s="42" t="str">
        <f t="shared" si="1044"/>
        <v>d.vigiar</v>
      </c>
      <c r="G1835" s="18" t="s">
        <v>7817</v>
      </c>
      <c r="H1835" s="41" t="s">
        <v>2321</v>
      </c>
      <c r="I1835" s="16" t="str">
        <f t="shared" si="1037"/>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8"/>
        <v>Propriedade destinada a vigiar: é.sistema.gitweb</v>
      </c>
      <c r="V1835" s="5" t="str">
        <f t="shared" si="1039"/>
        <v>Dado para vigiar:  sistema.gitweb  Deve ser formatado como (rdfs:Literal  or  xsd:string)</v>
      </c>
      <c r="W1835" s="5" t="s">
        <v>7818</v>
      </c>
      <c r="X1835" s="24" t="str">
        <f t="shared" si="1027"/>
        <v>vigia.115</v>
      </c>
      <c r="Y1835" s="24" t="str">
        <f t="shared" si="1026"/>
        <v>Ação vigiar</v>
      </c>
      <c r="Z1835" s="47" t="str">
        <f t="shared" si="1045"/>
        <v>Declara el ID de Revit o IFC GlobalId o un identificador único de objeto. Declara un acceso remoto vía navegador a las cámaras de seguridad.</v>
      </c>
      <c r="AA1835" s="25" t="str">
        <f t="shared" si="1033"/>
        <v>categoria.revit</v>
      </c>
      <c r="AB1835" s="26" t="s">
        <v>3955</v>
      </c>
      <c r="AC1835" s="25" t="str">
        <f t="shared" si="1034"/>
        <v>classe.ifc</v>
      </c>
      <c r="AD1835" s="26" t="s">
        <v>3907</v>
      </c>
      <c r="AE1835" s="25" t="str">
        <f t="shared" si="1040"/>
        <v>null</v>
      </c>
      <c r="AF1835" s="26" t="s">
        <v>0</v>
      </c>
      <c r="AG1835" s="47" t="s">
        <v>7846</v>
      </c>
    </row>
    <row r="1836" spans="1:33" ht="6" customHeight="1" x14ac:dyDescent="0.4">
      <c r="A1836" s="4">
        <f>ROW()</f>
        <v>1836</v>
      </c>
      <c r="B1836" s="9" t="s">
        <v>27</v>
      </c>
      <c r="C1836" s="54" t="str">
        <f t="shared" ref="C1836:C1861" si="1046">SUBSTITUTE(F1836,"d.","p.")</f>
        <v>p.vistoriar</v>
      </c>
      <c r="D1836" s="6" t="str">
        <f t="shared" si="1041"/>
        <v>é.conservado</v>
      </c>
      <c r="E1836" s="8" t="s">
        <v>28</v>
      </c>
      <c r="F1836" s="51" t="s">
        <v>4070</v>
      </c>
      <c r="G1836" s="18" t="s">
        <v>211</v>
      </c>
      <c r="H1836" s="41" t="s">
        <v>37</v>
      </c>
      <c r="I1836" s="16" t="str">
        <f t="shared" si="1037"/>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1038"/>
        <v>Propriedade destinada a vistoriar: é.conservado</v>
      </c>
      <c r="V1836" s="5" t="str">
        <f t="shared" si="1039"/>
        <v>Dado para vistoriar:  conservado  Deve ser formatado como (xsd:boolean)</v>
      </c>
      <c r="W1836" s="5" t="s">
        <v>7140</v>
      </c>
      <c r="X1836" s="24" t="str">
        <f t="shared" si="1027"/>
        <v>visto.100</v>
      </c>
      <c r="Y1836" s="24" t="str">
        <f t="shared" si="1026"/>
        <v>Ação vistoriar</v>
      </c>
      <c r="Z1836" s="47" t="s">
        <v>2112</v>
      </c>
      <c r="AA1836" s="25" t="str">
        <f t="shared" si="1033"/>
        <v>null</v>
      </c>
      <c r="AB1836" s="26" t="s">
        <v>0</v>
      </c>
      <c r="AC1836" s="25" t="str">
        <f t="shared" si="1034"/>
        <v>null</v>
      </c>
      <c r="AD1836" s="26" t="s">
        <v>0</v>
      </c>
      <c r="AE1836" s="25" t="str">
        <f t="shared" si="1040"/>
        <v>null</v>
      </c>
      <c r="AF1836" s="26" t="s">
        <v>0</v>
      </c>
      <c r="AG1836" s="47" t="s">
        <v>3697</v>
      </c>
    </row>
    <row r="1837" spans="1:33" ht="6" customHeight="1" x14ac:dyDescent="0.4">
      <c r="A1837" s="4">
        <f>ROW()</f>
        <v>1837</v>
      </c>
      <c r="B1837" s="9" t="s">
        <v>27</v>
      </c>
      <c r="C1837" s="55" t="str">
        <f t="shared" si="1046"/>
        <v>p.vistoriar</v>
      </c>
      <c r="D1837" s="6" t="str">
        <f t="shared" si="1041"/>
        <v>é.conforme</v>
      </c>
      <c r="E1837" s="8" t="s">
        <v>28</v>
      </c>
      <c r="F1837" s="42" t="str">
        <f>F1836</f>
        <v>d.vistoriar</v>
      </c>
      <c r="G1837" s="18" t="s">
        <v>212</v>
      </c>
      <c r="H1837" s="41" t="s">
        <v>37</v>
      </c>
      <c r="I1837" s="16" t="str">
        <f t="shared" si="1037"/>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38"/>
        <v>Propriedade destinada a vistoriar: é.conforme</v>
      </c>
      <c r="V1837" s="5" t="str">
        <f t="shared" si="1039"/>
        <v>Dado para vistoriar:  conforme  Deve ser formatado como (xsd:boolean)</v>
      </c>
      <c r="W1837" s="5" t="s">
        <v>7141</v>
      </c>
      <c r="X1837" s="24" t="str">
        <f t="shared" si="1027"/>
        <v>visto.101</v>
      </c>
      <c r="Y1837" s="24" t="str">
        <f t="shared" si="1026"/>
        <v>Ação vistoriar</v>
      </c>
      <c r="Z1837" s="47" t="s">
        <v>2113</v>
      </c>
      <c r="AA1837" s="25" t="str">
        <f t="shared" si="1033"/>
        <v>null</v>
      </c>
      <c r="AB1837" s="26" t="s">
        <v>0</v>
      </c>
      <c r="AC1837" s="25" t="str">
        <f t="shared" si="1034"/>
        <v>null</v>
      </c>
      <c r="AD1837" s="26" t="s">
        <v>0</v>
      </c>
      <c r="AE1837" s="25" t="str">
        <f t="shared" si="1040"/>
        <v>null</v>
      </c>
      <c r="AF1837" s="26" t="s">
        <v>0</v>
      </c>
      <c r="AG1837" s="47" t="s">
        <v>3698</v>
      </c>
    </row>
    <row r="1838" spans="1:33" ht="6" customHeight="1" x14ac:dyDescent="0.4">
      <c r="A1838" s="4">
        <f>ROW()</f>
        <v>1838</v>
      </c>
      <c r="B1838" s="9" t="s">
        <v>27</v>
      </c>
      <c r="C1838" s="55" t="str">
        <f t="shared" si="1046"/>
        <v>p.vistoriar</v>
      </c>
      <c r="D1838" s="6" t="str">
        <f t="shared" si="1041"/>
        <v>é.operacional</v>
      </c>
      <c r="E1838" s="8" t="s">
        <v>28</v>
      </c>
      <c r="F1838" s="42" t="str">
        <f>F1837</f>
        <v>d.vistoriar</v>
      </c>
      <c r="G1838" s="18" t="s">
        <v>214</v>
      </c>
      <c r="H1838" s="41" t="s">
        <v>37</v>
      </c>
      <c r="I1838" s="16" t="str">
        <f t="shared" si="1037"/>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38"/>
        <v>Propriedade destinada a vistoriar: é.operacional</v>
      </c>
      <c r="V1838" s="5" t="str">
        <f t="shared" si="1039"/>
        <v>Dado para vistoriar:  operacional  Deve ser formatado como (xsd:boolean)</v>
      </c>
      <c r="W1838" s="5" t="s">
        <v>7142</v>
      </c>
      <c r="X1838" s="24" t="str">
        <f t="shared" si="1027"/>
        <v>visto.102</v>
      </c>
      <c r="Y1838" s="24" t="str">
        <f t="shared" si="1026"/>
        <v>Ação vistoriar</v>
      </c>
      <c r="Z1838" s="47" t="s">
        <v>2114</v>
      </c>
      <c r="AA1838" s="25" t="str">
        <f t="shared" si="1033"/>
        <v>null</v>
      </c>
      <c r="AB1838" s="26" t="s">
        <v>0</v>
      </c>
      <c r="AC1838" s="25" t="str">
        <f t="shared" si="1034"/>
        <v>null</v>
      </c>
      <c r="AD1838" s="26" t="s">
        <v>0</v>
      </c>
      <c r="AE1838" s="25" t="str">
        <f t="shared" si="1040"/>
        <v>null</v>
      </c>
      <c r="AF1838" s="26" t="s">
        <v>0</v>
      </c>
      <c r="AG1838" s="47" t="s">
        <v>5207</v>
      </c>
    </row>
    <row r="1839" spans="1:33" ht="6" customHeight="1" x14ac:dyDescent="0.4">
      <c r="A1839" s="4">
        <f>ROW()</f>
        <v>1839</v>
      </c>
      <c r="B1839" s="9" t="s">
        <v>27</v>
      </c>
      <c r="C1839" s="55" t="str">
        <f t="shared" si="1046"/>
        <v>p.vistoriar</v>
      </c>
      <c r="D1839" s="6" t="str">
        <f t="shared" si="1041"/>
        <v>é.clausurado</v>
      </c>
      <c r="E1839" s="8" t="s">
        <v>28</v>
      </c>
      <c r="F1839" s="42" t="str">
        <f>F1838</f>
        <v>d.vistoriar</v>
      </c>
      <c r="G1839" s="18" t="s">
        <v>255</v>
      </c>
      <c r="H1839" s="41" t="s">
        <v>37</v>
      </c>
      <c r="I1839" s="16" t="str">
        <f t="shared" si="1037"/>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38"/>
        <v>Propriedade destinada a vistoriar: é.clausurado</v>
      </c>
      <c r="V1839" s="5" t="str">
        <f t="shared" si="1039"/>
        <v>Dado para vistoriar:  clausurado  Deve ser formatado como (xsd:boolean)</v>
      </c>
      <c r="W1839" s="5" t="s">
        <v>7143</v>
      </c>
      <c r="X1839" s="24" t="str">
        <f t="shared" si="1027"/>
        <v>visto.103</v>
      </c>
      <c r="Y1839" s="24" t="str">
        <f t="shared" si="1026"/>
        <v>Ação vistoriar</v>
      </c>
      <c r="Z1839" s="47" t="s">
        <v>2115</v>
      </c>
      <c r="AA1839" s="25" t="str">
        <f t="shared" si="1033"/>
        <v>null</v>
      </c>
      <c r="AB1839" s="26" t="s">
        <v>0</v>
      </c>
      <c r="AC1839" s="25" t="str">
        <f t="shared" si="1034"/>
        <v>null</v>
      </c>
      <c r="AD1839" s="26" t="s">
        <v>0</v>
      </c>
      <c r="AE1839" s="25" t="str">
        <f t="shared" si="1040"/>
        <v>null</v>
      </c>
      <c r="AF1839" s="26" t="s">
        <v>0</v>
      </c>
      <c r="AG1839" s="47" t="s">
        <v>5208</v>
      </c>
    </row>
    <row r="1840" spans="1:33" ht="6" customHeight="1" x14ac:dyDescent="0.4">
      <c r="A1840" s="4">
        <f>ROW()</f>
        <v>1840</v>
      </c>
      <c r="B1840" s="9" t="s">
        <v>27</v>
      </c>
      <c r="C1840" s="55" t="str">
        <f t="shared" si="1046"/>
        <v>p.vistoriar</v>
      </c>
      <c r="D1840" s="6" t="str">
        <f t="shared" si="1041"/>
        <v>é.interditado</v>
      </c>
      <c r="E1840" s="8" t="s">
        <v>28</v>
      </c>
      <c r="F1840" s="42" t="str">
        <f>F1838</f>
        <v>d.vistoriar</v>
      </c>
      <c r="G1840" s="18" t="s">
        <v>256</v>
      </c>
      <c r="H1840" s="41" t="s">
        <v>37</v>
      </c>
      <c r="I1840" s="16" t="str">
        <f t="shared" si="1037"/>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38"/>
        <v>Propriedade destinada a vistoriar: é.interditado</v>
      </c>
      <c r="V1840" s="5" t="str">
        <f t="shared" si="1039"/>
        <v>Dado para vistoriar:  interditado  Deve ser formatado como (xsd:boolean)</v>
      </c>
      <c r="W1840" s="5" t="s">
        <v>7144</v>
      </c>
      <c r="X1840" s="24" t="str">
        <f t="shared" si="1027"/>
        <v>visto.104</v>
      </c>
      <c r="Y1840" s="24" t="str">
        <f t="shared" si="1026"/>
        <v>Ação vistoriar</v>
      </c>
      <c r="Z1840" s="47" t="s">
        <v>2116</v>
      </c>
      <c r="AA1840" s="25" t="str">
        <f t="shared" si="1033"/>
        <v>null</v>
      </c>
      <c r="AB1840" s="26" t="s">
        <v>0</v>
      </c>
      <c r="AC1840" s="25" t="str">
        <f t="shared" si="1034"/>
        <v>null</v>
      </c>
      <c r="AD1840" s="26" t="s">
        <v>0</v>
      </c>
      <c r="AE1840" s="25" t="str">
        <f t="shared" si="1040"/>
        <v>null</v>
      </c>
      <c r="AF1840" s="26" t="s">
        <v>0</v>
      </c>
      <c r="AG1840" s="47" t="s">
        <v>5209</v>
      </c>
    </row>
    <row r="1841" spans="1:33" ht="6" customHeight="1" x14ac:dyDescent="0.4">
      <c r="A1841" s="4">
        <f>ROW()</f>
        <v>1841</v>
      </c>
      <c r="B1841" s="9" t="s">
        <v>27</v>
      </c>
      <c r="C1841" s="55" t="str">
        <f t="shared" si="1046"/>
        <v>p.vistoriar</v>
      </c>
      <c r="D1841" s="6" t="str">
        <f t="shared" si="1041"/>
        <v>é.uas</v>
      </c>
      <c r="E1841" s="8" t="s">
        <v>28</v>
      </c>
      <c r="F1841" s="42" t="str">
        <f>F1838</f>
        <v>d.vistoriar</v>
      </c>
      <c r="G1841" s="18" t="s">
        <v>1252</v>
      </c>
      <c r="H1841" s="41" t="s">
        <v>2321</v>
      </c>
      <c r="I1841" s="16" t="str">
        <f t="shared" si="1037"/>
        <v>null</v>
      </c>
      <c r="J1841" s="13" t="s">
        <v>0</v>
      </c>
      <c r="K1841" s="13" t="s">
        <v>0</v>
      </c>
      <c r="L1841" s="13" t="s">
        <v>0</v>
      </c>
      <c r="M1841" s="13" t="s">
        <v>0</v>
      </c>
      <c r="N1841" s="13" t="s">
        <v>0</v>
      </c>
      <c r="O1841" s="13" t="s">
        <v>0</v>
      </c>
      <c r="P1841" s="13" t="s">
        <v>0</v>
      </c>
      <c r="Q1841" s="13" t="s">
        <v>0</v>
      </c>
      <c r="R1841" s="15" t="s">
        <v>1257</v>
      </c>
      <c r="S1841" s="10" t="s">
        <v>1</v>
      </c>
      <c r="T1841" s="10" t="s">
        <v>32</v>
      </c>
      <c r="U1841" s="5" t="str">
        <f t="shared" si="1038"/>
        <v>Propriedade destinada a vistoriar: é.uas</v>
      </c>
      <c r="V1841" s="5" t="str">
        <f t="shared" si="1039"/>
        <v>Dado para vistoriar:  uas  Deve ser formatado como (rdfs:Literal  or  xsd:string)</v>
      </c>
      <c r="W1841" s="5" t="s">
        <v>7145</v>
      </c>
      <c r="X1841" s="24" t="str">
        <f t="shared" si="1027"/>
        <v>visto.105</v>
      </c>
      <c r="Y1841" s="24" t="str">
        <f t="shared" si="1026"/>
        <v>Ação vistoriar</v>
      </c>
      <c r="Z1841" s="47" t="s">
        <v>2117</v>
      </c>
      <c r="AA1841" s="25" t="str">
        <f t="shared" si="1033"/>
        <v>null</v>
      </c>
      <c r="AB1841" s="26" t="s">
        <v>0</v>
      </c>
      <c r="AC1841" s="25" t="str">
        <f t="shared" si="1034"/>
        <v>null</v>
      </c>
      <c r="AD1841" s="26" t="s">
        <v>0</v>
      </c>
      <c r="AE1841" s="25" t="str">
        <f t="shared" si="1040"/>
        <v>null</v>
      </c>
      <c r="AF1841" s="26" t="s">
        <v>0</v>
      </c>
      <c r="AG1841" s="47" t="s">
        <v>3699</v>
      </c>
    </row>
    <row r="1842" spans="1:33" ht="6" customHeight="1" x14ac:dyDescent="0.4">
      <c r="A1842" s="4">
        <f>ROW()</f>
        <v>1842</v>
      </c>
      <c r="B1842" s="9" t="s">
        <v>27</v>
      </c>
      <c r="C1842" s="55" t="str">
        <f t="shared" si="1046"/>
        <v>p.vistoriar</v>
      </c>
      <c r="D1842" s="6" t="str">
        <f t="shared" si="1041"/>
        <v>é.drone</v>
      </c>
      <c r="E1842" s="8" t="s">
        <v>28</v>
      </c>
      <c r="F1842" s="42" t="str">
        <f>F1838</f>
        <v>d.vistoriar</v>
      </c>
      <c r="G1842" s="18" t="s">
        <v>1253</v>
      </c>
      <c r="H1842" s="41" t="s">
        <v>2321</v>
      </c>
      <c r="I1842" s="16" t="str">
        <f t="shared" si="1037"/>
        <v>null</v>
      </c>
      <c r="J1842" s="13" t="s">
        <v>0</v>
      </c>
      <c r="K1842" s="13" t="s">
        <v>0</v>
      </c>
      <c r="L1842" s="13" t="s">
        <v>0</v>
      </c>
      <c r="M1842" s="13" t="s">
        <v>0</v>
      </c>
      <c r="N1842" s="13" t="s">
        <v>0</v>
      </c>
      <c r="O1842" s="13" t="s">
        <v>0</v>
      </c>
      <c r="P1842" s="13" t="s">
        <v>0</v>
      </c>
      <c r="Q1842" s="13" t="s">
        <v>0</v>
      </c>
      <c r="R1842" s="15" t="s">
        <v>1259</v>
      </c>
      <c r="S1842" s="10" t="s">
        <v>1</v>
      </c>
      <c r="T1842" s="10" t="s">
        <v>32</v>
      </c>
      <c r="U1842" s="5" t="str">
        <f t="shared" si="1038"/>
        <v>Propriedade destinada a vistoriar: é.drone</v>
      </c>
      <c r="V1842" s="5" t="str">
        <f t="shared" si="1039"/>
        <v>Dado para vistoriar:  drone  Deve ser formatado como (rdfs:Literal  or  xsd:string)</v>
      </c>
      <c r="W1842" s="5" t="s">
        <v>7146</v>
      </c>
      <c r="X1842" s="24" t="str">
        <f t="shared" si="1027"/>
        <v>visto.106</v>
      </c>
      <c r="Y1842" s="24" t="str">
        <f t="shared" si="1026"/>
        <v>Ação vistoriar</v>
      </c>
      <c r="Z1842" s="47" t="s">
        <v>2118</v>
      </c>
      <c r="AA1842" s="25" t="str">
        <f t="shared" si="1033"/>
        <v>null</v>
      </c>
      <c r="AB1842" s="26" t="s">
        <v>0</v>
      </c>
      <c r="AC1842" s="25" t="str">
        <f t="shared" si="1034"/>
        <v>null</v>
      </c>
      <c r="AD1842" s="26" t="s">
        <v>0</v>
      </c>
      <c r="AE1842" s="25" t="str">
        <f t="shared" si="1040"/>
        <v>null</v>
      </c>
      <c r="AF1842" s="26" t="s">
        <v>0</v>
      </c>
      <c r="AG1842" s="47" t="s">
        <v>3700</v>
      </c>
    </row>
    <row r="1843" spans="1:33" ht="6" customHeight="1" x14ac:dyDescent="0.4">
      <c r="A1843" s="4">
        <f>ROW()</f>
        <v>1843</v>
      </c>
      <c r="B1843" s="9" t="s">
        <v>27</v>
      </c>
      <c r="C1843" s="55" t="str">
        <f t="shared" si="1046"/>
        <v>p.vistoriar</v>
      </c>
      <c r="D1843" s="6" t="str">
        <f t="shared" si="1041"/>
        <v>é.vant</v>
      </c>
      <c r="E1843" s="8" t="s">
        <v>28</v>
      </c>
      <c r="F1843" s="42" t="str">
        <f>F1838</f>
        <v>d.vistoriar</v>
      </c>
      <c r="G1843" s="18" t="s">
        <v>1254</v>
      </c>
      <c r="H1843" s="41" t="s">
        <v>2321</v>
      </c>
      <c r="I1843" s="16" t="str">
        <f t="shared" si="1037"/>
        <v>null</v>
      </c>
      <c r="J1843" s="13" t="s">
        <v>0</v>
      </c>
      <c r="K1843" s="13" t="s">
        <v>0</v>
      </c>
      <c r="L1843" s="13" t="s">
        <v>0</v>
      </c>
      <c r="M1843" s="13" t="s">
        <v>0</v>
      </c>
      <c r="N1843" s="13" t="s">
        <v>0</v>
      </c>
      <c r="O1843" s="13" t="s">
        <v>0</v>
      </c>
      <c r="P1843" s="13" t="s">
        <v>0</v>
      </c>
      <c r="Q1843" s="13" t="s">
        <v>0</v>
      </c>
      <c r="R1843" s="15" t="s">
        <v>1258</v>
      </c>
      <c r="S1843" s="10" t="s">
        <v>1</v>
      </c>
      <c r="T1843" s="10" t="s">
        <v>32</v>
      </c>
      <c r="U1843" s="5" t="str">
        <f t="shared" si="1038"/>
        <v>Propriedade destinada a vistoriar: é.vant</v>
      </c>
      <c r="V1843" s="5" t="str">
        <f t="shared" si="1039"/>
        <v>Dado para vistoriar:  vant  Deve ser formatado como (rdfs:Literal  or  xsd:string)</v>
      </c>
      <c r="W1843" s="5" t="s">
        <v>7147</v>
      </c>
      <c r="X1843" s="24" t="str">
        <f t="shared" si="1027"/>
        <v>visto.107</v>
      </c>
      <c r="Y1843" s="24" t="str">
        <f t="shared" si="1026"/>
        <v>Ação vistoriar</v>
      </c>
      <c r="Z1843" s="47" t="s">
        <v>2119</v>
      </c>
      <c r="AA1843" s="25" t="str">
        <f t="shared" si="1033"/>
        <v>null</v>
      </c>
      <c r="AB1843" s="26" t="s">
        <v>0</v>
      </c>
      <c r="AC1843" s="25" t="str">
        <f t="shared" si="1034"/>
        <v>null</v>
      </c>
      <c r="AD1843" s="26" t="s">
        <v>0</v>
      </c>
      <c r="AE1843" s="25" t="str">
        <f t="shared" si="1040"/>
        <v>null</v>
      </c>
      <c r="AF1843" s="26" t="s">
        <v>0</v>
      </c>
      <c r="AG1843" s="47" t="s">
        <v>3701</v>
      </c>
    </row>
    <row r="1844" spans="1:33" ht="6" customHeight="1" x14ac:dyDescent="0.4">
      <c r="A1844" s="4">
        <f>ROW()</f>
        <v>1844</v>
      </c>
      <c r="B1844" s="9" t="s">
        <v>27</v>
      </c>
      <c r="C1844" s="55" t="str">
        <f t="shared" si="1046"/>
        <v>p.vistoriar</v>
      </c>
      <c r="D1844" s="6" t="str">
        <f t="shared" si="1041"/>
        <v>é.plano.de.voo</v>
      </c>
      <c r="E1844" s="8" t="s">
        <v>28</v>
      </c>
      <c r="F1844" s="42" t="str">
        <f>F1838</f>
        <v>d.vistoriar</v>
      </c>
      <c r="G1844" s="18" t="s">
        <v>1255</v>
      </c>
      <c r="H1844" s="41" t="s">
        <v>2321</v>
      </c>
      <c r="I1844" s="16" t="str">
        <f t="shared" si="1037"/>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38"/>
        <v>Propriedade destinada a vistoriar: é.plano.de.voo</v>
      </c>
      <c r="V1844" s="5" t="str">
        <f t="shared" si="1039"/>
        <v>Dado para vistoriar:  plano.de.voo  Deve ser formatado como (rdfs:Literal  or  xsd:string)</v>
      </c>
      <c r="W1844" s="5" t="s">
        <v>7148</v>
      </c>
      <c r="X1844" s="24" t="str">
        <f t="shared" si="1027"/>
        <v>visto.108</v>
      </c>
      <c r="Y1844" s="24" t="str">
        <f t="shared" si="1026"/>
        <v>Ação vistoriar</v>
      </c>
      <c r="Z1844" s="47" t="s">
        <v>2120</v>
      </c>
      <c r="AA1844" s="25" t="str">
        <f t="shared" si="1033"/>
        <v>null</v>
      </c>
      <c r="AB1844" s="26" t="s">
        <v>0</v>
      </c>
      <c r="AC1844" s="25" t="str">
        <f t="shared" si="1034"/>
        <v>null</v>
      </c>
      <c r="AD1844" s="26" t="s">
        <v>0</v>
      </c>
      <c r="AE1844" s="25" t="str">
        <f t="shared" si="1040"/>
        <v>null</v>
      </c>
      <c r="AF1844" s="26" t="s">
        <v>0</v>
      </c>
      <c r="AG1844" s="47" t="s">
        <v>3702</v>
      </c>
    </row>
    <row r="1845" spans="1:33" ht="6" customHeight="1" x14ac:dyDescent="0.4">
      <c r="A1845" s="4">
        <f>ROW()</f>
        <v>1845</v>
      </c>
      <c r="B1845" s="9" t="s">
        <v>27</v>
      </c>
      <c r="C1845" s="55" t="str">
        <f t="shared" si="1046"/>
        <v>p.vistoriar</v>
      </c>
      <c r="D1845" s="6" t="str">
        <f t="shared" si="1041"/>
        <v>é.voo.realizado</v>
      </c>
      <c r="E1845" s="8" t="s">
        <v>28</v>
      </c>
      <c r="F1845" s="42" t="str">
        <f>F1838</f>
        <v>d.vistoriar</v>
      </c>
      <c r="G1845" s="18" t="s">
        <v>1256</v>
      </c>
      <c r="H1845" s="41" t="s">
        <v>2321</v>
      </c>
      <c r="I1845" s="16" t="str">
        <f t="shared" si="1037"/>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38"/>
        <v>Propriedade destinada a vistoriar: é.voo.realizado</v>
      </c>
      <c r="V1845" s="5" t="str">
        <f t="shared" si="1039"/>
        <v>Dado para vistoriar:  voo.realizado  Deve ser formatado como (rdfs:Literal  or  xsd:string)</v>
      </c>
      <c r="W1845" s="5" t="s">
        <v>7149</v>
      </c>
      <c r="X1845" s="24" t="str">
        <f t="shared" si="1027"/>
        <v>visto.109</v>
      </c>
      <c r="Y1845" s="24" t="str">
        <f t="shared" si="1026"/>
        <v>Ação vistoriar</v>
      </c>
      <c r="Z1845" s="47" t="s">
        <v>2121</v>
      </c>
      <c r="AA1845" s="25" t="str">
        <f t="shared" si="1033"/>
        <v>null</v>
      </c>
      <c r="AB1845" s="26" t="s">
        <v>0</v>
      </c>
      <c r="AC1845" s="25" t="str">
        <f t="shared" si="1034"/>
        <v>null</v>
      </c>
      <c r="AD1845" s="26" t="s">
        <v>0</v>
      </c>
      <c r="AE1845" s="25" t="str">
        <f t="shared" si="1040"/>
        <v>null</v>
      </c>
      <c r="AF1845" s="26" t="s">
        <v>0</v>
      </c>
      <c r="AG1845" s="47" t="s">
        <v>3703</v>
      </c>
    </row>
    <row r="1846" spans="1:33" ht="6" customHeight="1" x14ac:dyDescent="0.4">
      <c r="A1846" s="4">
        <f>ROW()</f>
        <v>1846</v>
      </c>
      <c r="B1846" s="9" t="s">
        <v>27</v>
      </c>
      <c r="C1846" s="55" t="str">
        <f t="shared" si="1046"/>
        <v>p.vistoriar</v>
      </c>
      <c r="D1846" s="6" t="str">
        <f t="shared" si="1041"/>
        <v>é.fotografia</v>
      </c>
      <c r="E1846" s="8" t="s">
        <v>28</v>
      </c>
      <c r="F1846" s="42" t="str">
        <f>F1838</f>
        <v>d.vistoriar</v>
      </c>
      <c r="G1846" s="18" t="s">
        <v>1260</v>
      </c>
      <c r="H1846" s="41" t="s">
        <v>2321</v>
      </c>
      <c r="I1846" s="16" t="str">
        <f t="shared" si="1037"/>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38"/>
        <v>Propriedade destinada a vistoriar: é.fotografia</v>
      </c>
      <c r="V1846" s="5" t="str">
        <f t="shared" si="1039"/>
        <v>Dado para vistoriar:  fotografia  Deve ser formatado como (rdfs:Literal  or  xsd:string)</v>
      </c>
      <c r="W1846" s="5" t="s">
        <v>7150</v>
      </c>
      <c r="X1846" s="24" t="str">
        <f t="shared" si="1027"/>
        <v>visto.110</v>
      </c>
      <c r="Y1846" s="24" t="str">
        <f t="shared" si="1026"/>
        <v>Ação vistoriar</v>
      </c>
      <c r="Z1846" s="47" t="s">
        <v>2122</v>
      </c>
      <c r="AA1846" s="25" t="str">
        <f t="shared" si="1033"/>
        <v>null</v>
      </c>
      <c r="AB1846" s="26" t="s">
        <v>0</v>
      </c>
      <c r="AC1846" s="25" t="str">
        <f t="shared" si="1034"/>
        <v>null</v>
      </c>
      <c r="AD1846" s="26" t="s">
        <v>0</v>
      </c>
      <c r="AE1846" s="25" t="str">
        <f t="shared" si="1040"/>
        <v>null</v>
      </c>
      <c r="AF1846" s="26" t="s">
        <v>0</v>
      </c>
      <c r="AG1846" s="47" t="s">
        <v>3704</v>
      </c>
    </row>
    <row r="1847" spans="1:33" ht="6" customHeight="1" x14ac:dyDescent="0.4">
      <c r="A1847" s="4">
        <f>ROW()</f>
        <v>1847</v>
      </c>
      <c r="B1847" s="9" t="s">
        <v>27</v>
      </c>
      <c r="C1847" s="55" t="str">
        <f t="shared" si="1046"/>
        <v>p.vistoriar</v>
      </c>
      <c r="D1847" s="6" t="str">
        <f t="shared" si="1041"/>
        <v>é.video</v>
      </c>
      <c r="E1847" s="8" t="s">
        <v>28</v>
      </c>
      <c r="F1847" s="42" t="str">
        <f>F1838</f>
        <v>d.vistoriar</v>
      </c>
      <c r="G1847" s="18" t="s">
        <v>1261</v>
      </c>
      <c r="H1847" s="41" t="s">
        <v>2321</v>
      </c>
      <c r="I1847" s="16" t="str">
        <f t="shared" si="1037"/>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38"/>
        <v>Propriedade destinada a vistoriar: é.video</v>
      </c>
      <c r="V1847" s="5" t="str">
        <f t="shared" si="1039"/>
        <v>Dado para vistoriar:  video  Deve ser formatado como (rdfs:Literal  or  xsd:string)</v>
      </c>
      <c r="W1847" s="5" t="s">
        <v>7151</v>
      </c>
      <c r="X1847" s="24" t="str">
        <f t="shared" si="1027"/>
        <v>visto.111</v>
      </c>
      <c r="Y1847" s="24" t="str">
        <f t="shared" si="1026"/>
        <v>Ação vistoriar</v>
      </c>
      <c r="Z1847" s="47" t="s">
        <v>2123</v>
      </c>
      <c r="AA1847" s="25" t="str">
        <f t="shared" si="1033"/>
        <v>null</v>
      </c>
      <c r="AB1847" s="26" t="s">
        <v>0</v>
      </c>
      <c r="AC1847" s="25" t="str">
        <f t="shared" si="1034"/>
        <v>null</v>
      </c>
      <c r="AD1847" s="26" t="s">
        <v>0</v>
      </c>
      <c r="AE1847" s="25" t="str">
        <f t="shared" si="1040"/>
        <v>null</v>
      </c>
      <c r="AF1847" s="26" t="s">
        <v>0</v>
      </c>
      <c r="AG1847" s="47" t="s">
        <v>3705</v>
      </c>
    </row>
    <row r="1848" spans="1:33" ht="6" customHeight="1" x14ac:dyDescent="0.4">
      <c r="A1848" s="4">
        <f>ROW()</f>
        <v>1848</v>
      </c>
      <c r="B1848" s="9" t="s">
        <v>27</v>
      </c>
      <c r="C1848" s="55" t="str">
        <f t="shared" si="1046"/>
        <v>p.vistoriar</v>
      </c>
      <c r="D1848" s="6" t="str">
        <f t="shared" si="1041"/>
        <v>é.banco.de.imagens</v>
      </c>
      <c r="E1848" s="8" t="s">
        <v>28</v>
      </c>
      <c r="F1848" s="42" t="str">
        <f>F1838</f>
        <v>d.vistoriar</v>
      </c>
      <c r="G1848" s="18" t="s">
        <v>1264</v>
      </c>
      <c r="H1848" s="41" t="s">
        <v>2321</v>
      </c>
      <c r="I1848" s="16" t="str">
        <f t="shared" si="1037"/>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38"/>
        <v>Propriedade destinada a vistoriar: é.banco.de.imagens</v>
      </c>
      <c r="V1848" s="5" t="str">
        <f t="shared" si="1039"/>
        <v>Dado para vistoriar:  banco.de.imagens  Deve ser formatado como (rdfs:Literal  or  xsd:string)</v>
      </c>
      <c r="W1848" s="5" t="s">
        <v>7152</v>
      </c>
      <c r="X1848" s="24" t="str">
        <f t="shared" si="1027"/>
        <v>visto.112</v>
      </c>
      <c r="Y1848" s="24" t="str">
        <f t="shared" si="1026"/>
        <v>Ação vistoriar</v>
      </c>
      <c r="Z1848" s="47" t="s">
        <v>5005</v>
      </c>
      <c r="AA1848" s="25" t="str">
        <f t="shared" si="1033"/>
        <v>null</v>
      </c>
      <c r="AB1848" s="26" t="s">
        <v>0</v>
      </c>
      <c r="AC1848" s="25" t="str">
        <f t="shared" si="1034"/>
        <v>null</v>
      </c>
      <c r="AD1848" s="26" t="s">
        <v>0</v>
      </c>
      <c r="AE1848" s="25" t="str">
        <f t="shared" si="1040"/>
        <v>null</v>
      </c>
      <c r="AF1848" s="26" t="s">
        <v>0</v>
      </c>
      <c r="AG1848" s="47" t="s">
        <v>5274</v>
      </c>
    </row>
    <row r="1849" spans="1:33" ht="6" customHeight="1" x14ac:dyDescent="0.4">
      <c r="A1849" s="4">
        <f>ROW()</f>
        <v>1849</v>
      </c>
      <c r="B1849" s="9" t="s">
        <v>27</v>
      </c>
      <c r="C1849" s="55" t="str">
        <f t="shared" si="1046"/>
        <v>p.vistoriar</v>
      </c>
      <c r="D1849" s="6" t="str">
        <f t="shared" si="1041"/>
        <v>é.waypoint</v>
      </c>
      <c r="E1849" s="8" t="s">
        <v>28</v>
      </c>
      <c r="F1849" s="42" t="str">
        <f>F1839</f>
        <v>d.vistoriar</v>
      </c>
      <c r="G1849" s="18" t="s">
        <v>1262</v>
      </c>
      <c r="H1849" s="41" t="s">
        <v>2321</v>
      </c>
      <c r="I1849" s="16" t="str">
        <f t="shared" si="1037"/>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38"/>
        <v>Propriedade destinada a vistoriar: é.waypoint</v>
      </c>
      <c r="V1849" s="5" t="str">
        <f t="shared" si="1039"/>
        <v>Dado para vistoriar:  waypoint  Deve ser formatado como (rdfs:Literal  or  xsd:string)</v>
      </c>
      <c r="W1849" s="5" t="s">
        <v>7153</v>
      </c>
      <c r="X1849" s="24" t="str">
        <f t="shared" si="1027"/>
        <v>visto.113</v>
      </c>
      <c r="Y1849" s="24" t="str">
        <f t="shared" si="1026"/>
        <v>Ação vistoriar</v>
      </c>
      <c r="Z1849" s="47" t="s">
        <v>2124</v>
      </c>
      <c r="AA1849" s="25" t="str">
        <f t="shared" si="1033"/>
        <v>null</v>
      </c>
      <c r="AB1849" s="26" t="s">
        <v>0</v>
      </c>
      <c r="AC1849" s="25" t="str">
        <f t="shared" si="1034"/>
        <v>null</v>
      </c>
      <c r="AD1849" s="26" t="s">
        <v>0</v>
      </c>
      <c r="AE1849" s="25" t="str">
        <f t="shared" si="1040"/>
        <v>null</v>
      </c>
      <c r="AF1849" s="26" t="s">
        <v>0</v>
      </c>
      <c r="AG1849" s="47" t="s">
        <v>3706</v>
      </c>
    </row>
    <row r="1850" spans="1:33" ht="6" customHeight="1" x14ac:dyDescent="0.4">
      <c r="A1850" s="4">
        <f>ROW()</f>
        <v>1850</v>
      </c>
      <c r="B1850" s="9" t="s">
        <v>27</v>
      </c>
      <c r="C1850" s="54" t="str">
        <f t="shared" si="1046"/>
        <v>p.votar</v>
      </c>
      <c r="D1850" s="6" t="str">
        <f t="shared" ref="D1850:D1854" si="1047">_xlfn.CONCAT("é.",G1850)</f>
        <v>é.urna.papel</v>
      </c>
      <c r="E1850" s="8" t="s">
        <v>28</v>
      </c>
      <c r="F1850" s="51" t="s">
        <v>7789</v>
      </c>
      <c r="G1850" s="18" t="s">
        <v>7790</v>
      </c>
      <c r="H1850" s="41" t="s">
        <v>2321</v>
      </c>
      <c r="I1850" s="16" t="str">
        <f t="shared" ref="I1850:I1854" si="1048">J1850</f>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ref="U1850:U1854" si="1049">_xlfn.CONCAT("Propriedade destinada a ",MID(C1850,FIND("p.",C1850,1)+2,100),": ",D1850)</f>
        <v>Propriedade destinada a votar: é.urna.papel</v>
      </c>
      <c r="V1850" s="5" t="str">
        <f t="shared" ref="V1850:V1854" si="1050">_xlfn.CONCAT("Dado para ",MID(F1850,FIND("d.",F1850,1)+2,100),":  ",G1850, "  Deve ser formatado como (",H1850, ")")</f>
        <v>Dado para votar:  urna.papel  Deve ser formatado como (rdfs:Literal  or  xsd:string)</v>
      </c>
      <c r="W1850" s="5" t="s">
        <v>7792</v>
      </c>
      <c r="X1850" s="24" t="str">
        <f t="shared" si="1027"/>
        <v>votar.100</v>
      </c>
      <c r="Y1850" s="24" t="str">
        <f t="shared" si="1026"/>
        <v>Ação votar</v>
      </c>
      <c r="Z1850" s="47" t="s">
        <v>7798</v>
      </c>
      <c r="AA1850" s="25" t="str">
        <f t="shared" ref="AA1850:AA1854" si="1051">IF(AB1850="null", "null", "categoria.revit")</f>
        <v>null</v>
      </c>
      <c r="AB1850" s="26" t="s">
        <v>0</v>
      </c>
      <c r="AC1850" s="25" t="str">
        <f t="shared" ref="AC1850:AC1854" si="1052">IF(AD1850="null", "null", "classe.ifc")</f>
        <v>null</v>
      </c>
      <c r="AD1850" s="26" t="s">
        <v>0</v>
      </c>
      <c r="AE1850" s="25" t="str">
        <f t="shared" ref="AE1850:AE1854" si="1053">IF(AF1850="null", "null", "propiedade")</f>
        <v>null</v>
      </c>
      <c r="AF1850" s="26" t="s">
        <v>0</v>
      </c>
      <c r="AG1850" s="47" t="s">
        <v>7797</v>
      </c>
    </row>
    <row r="1851" spans="1:33" ht="6" customHeight="1" x14ac:dyDescent="0.4">
      <c r="A1851" s="4">
        <f>ROW()</f>
        <v>1851</v>
      </c>
      <c r="B1851" s="9" t="s">
        <v>27</v>
      </c>
      <c r="C1851" s="55" t="str">
        <f t="shared" si="1046"/>
        <v>p.votar</v>
      </c>
      <c r="D1851" s="6" t="str">
        <f t="shared" si="1047"/>
        <v>é.urna.eletrônica</v>
      </c>
      <c r="E1851" s="8" t="s">
        <v>28</v>
      </c>
      <c r="F1851" s="42" t="str">
        <f t="shared" ref="F1851:F1854" si="1054">F1850</f>
        <v>d.votar</v>
      </c>
      <c r="G1851" s="18" t="s">
        <v>7791</v>
      </c>
      <c r="H1851" s="41" t="s">
        <v>2321</v>
      </c>
      <c r="I1851" s="16" t="str">
        <f t="shared" si="1048"/>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49"/>
        <v>Propriedade destinada a votar: é.urna.eletrônica</v>
      </c>
      <c r="V1851" s="5" t="str">
        <f t="shared" si="1050"/>
        <v>Dado para votar:  urna.eletrônica  Deve ser formatado como (rdfs:Literal  or  xsd:string)</v>
      </c>
      <c r="W1851" s="5" t="s">
        <v>7793</v>
      </c>
      <c r="X1851" s="24" t="str">
        <f t="shared" si="1027"/>
        <v>votar.101</v>
      </c>
      <c r="Y1851" s="24" t="str">
        <f t="shared" si="1026"/>
        <v>Ação votar</v>
      </c>
      <c r="Z1851" s="47" t="s">
        <v>7799</v>
      </c>
      <c r="AA1851" s="25" t="str">
        <f t="shared" si="1051"/>
        <v>null</v>
      </c>
      <c r="AB1851" s="26" t="s">
        <v>0</v>
      </c>
      <c r="AC1851" s="25" t="str">
        <f t="shared" si="1052"/>
        <v>null</v>
      </c>
      <c r="AD1851" s="26" t="s">
        <v>0</v>
      </c>
      <c r="AE1851" s="25" t="str">
        <f t="shared" si="1053"/>
        <v>null</v>
      </c>
      <c r="AF1851" s="26" t="s">
        <v>0</v>
      </c>
      <c r="AG1851" s="47" t="s">
        <v>7795</v>
      </c>
    </row>
    <row r="1852" spans="1:33" ht="6" customHeight="1" x14ac:dyDescent="0.4">
      <c r="A1852" s="4">
        <f>ROW()</f>
        <v>1852</v>
      </c>
      <c r="B1852" s="9" t="s">
        <v>27</v>
      </c>
      <c r="C1852" s="55" t="str">
        <f t="shared" si="1046"/>
        <v>p.votar</v>
      </c>
      <c r="D1852" s="6" t="str">
        <f t="shared" si="1047"/>
        <v>é.cabine.de.votação</v>
      </c>
      <c r="E1852" s="8" t="s">
        <v>28</v>
      </c>
      <c r="F1852" s="42" t="str">
        <f t="shared" si="1054"/>
        <v>d.votar</v>
      </c>
      <c r="G1852" s="18" t="s">
        <v>7809</v>
      </c>
      <c r="H1852" s="41" t="s">
        <v>2321</v>
      </c>
      <c r="I1852" s="16" t="str">
        <f t="shared" si="1048"/>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49"/>
        <v>Propriedade destinada a votar: é.cabine.de.votação</v>
      </c>
      <c r="V1852" s="5" t="str">
        <f t="shared" si="1050"/>
        <v>Dado para votar:  cabine.de.votação  Deve ser formatado como (rdfs:Literal  or  xsd:string)</v>
      </c>
      <c r="W1852" s="5" t="s">
        <v>7804</v>
      </c>
      <c r="X1852" s="24" t="str">
        <f t="shared" si="1027"/>
        <v>votar.102</v>
      </c>
      <c r="Y1852" s="24" t="str">
        <f t="shared" si="1026"/>
        <v>Ação votar</v>
      </c>
      <c r="Z1852" s="69" t="s">
        <v>7805</v>
      </c>
      <c r="AA1852" s="25" t="str">
        <f t="shared" si="1051"/>
        <v>null</v>
      </c>
      <c r="AB1852" s="26" t="s">
        <v>0</v>
      </c>
      <c r="AC1852" s="25" t="str">
        <f t="shared" si="1052"/>
        <v>null</v>
      </c>
      <c r="AD1852" s="26" t="s">
        <v>0</v>
      </c>
      <c r="AE1852" s="25" t="str">
        <f t="shared" si="1053"/>
        <v>null</v>
      </c>
      <c r="AF1852" s="26" t="s">
        <v>0</v>
      </c>
      <c r="AG1852" s="47" t="s">
        <v>7807</v>
      </c>
    </row>
    <row r="1853" spans="1:33" ht="6" customHeight="1" x14ac:dyDescent="0.4">
      <c r="A1853" s="4">
        <f>ROW()</f>
        <v>1853</v>
      </c>
      <c r="B1853" s="9" t="s">
        <v>27</v>
      </c>
      <c r="C1853" s="55" t="str">
        <f t="shared" ref="C1853" si="1055">SUBSTITUTE(F1853,"d.","p.")</f>
        <v>p.votar</v>
      </c>
      <c r="D1853" s="6" t="str">
        <f t="shared" ref="D1853" si="1056">_xlfn.CONCAT("é.",G1853)</f>
        <v>é.fiscal.mesa</v>
      </c>
      <c r="E1853" s="8" t="s">
        <v>28</v>
      </c>
      <c r="F1853" s="42" t="str">
        <f t="shared" si="1054"/>
        <v>d.votar</v>
      </c>
      <c r="G1853" s="18" t="s">
        <v>7801</v>
      </c>
      <c r="H1853" s="41" t="s">
        <v>2321</v>
      </c>
      <c r="I1853" s="16" t="str">
        <f t="shared" ref="I1853" si="1057">J1853</f>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ref="U1853" si="1058">_xlfn.CONCAT("Propriedade destinada a ",MID(C1853,FIND("p.",C1853,1)+2,100),": ",D1853)</f>
        <v>Propriedade destinada a votar: é.fiscal.mesa</v>
      </c>
      <c r="V1853" s="5" t="str">
        <f t="shared" ref="V1853" si="1059">_xlfn.CONCAT("Dado para ",MID(F1853,FIND("d.",F1853,1)+2,100),":  ",G1853, "  Deve ser formatado como (",H1853, ")")</f>
        <v>Dado para votar:  fiscal.mesa  Deve ser formatado como (rdfs:Literal  or  xsd:string)</v>
      </c>
      <c r="W1853" s="5" t="s">
        <v>7794</v>
      </c>
      <c r="X1853" s="24" t="str">
        <f t="shared" si="1027"/>
        <v>votar.103</v>
      </c>
      <c r="Y1853" s="24" t="str">
        <f t="shared" si="1026"/>
        <v>Ação votar</v>
      </c>
      <c r="Z1853" s="47" t="s">
        <v>7800</v>
      </c>
      <c r="AA1853" s="25" t="str">
        <f t="shared" ref="AA1853" si="1060">IF(AB1853="null", "null", "categoria.revit")</f>
        <v>null</v>
      </c>
      <c r="AB1853" s="26" t="s">
        <v>0</v>
      </c>
      <c r="AC1853" s="25" t="str">
        <f t="shared" ref="AC1853" si="1061">IF(AD1853="null", "null", "classe.ifc")</f>
        <v>null</v>
      </c>
      <c r="AD1853" s="26" t="s">
        <v>0</v>
      </c>
      <c r="AE1853" s="25" t="str">
        <f t="shared" ref="AE1853" si="1062">IF(AF1853="null", "null", "propiedade")</f>
        <v>null</v>
      </c>
      <c r="AF1853" s="26" t="s">
        <v>0</v>
      </c>
      <c r="AG1853" s="47" t="s">
        <v>7796</v>
      </c>
    </row>
    <row r="1854" spans="1:33" ht="6" customHeight="1" x14ac:dyDescent="0.4">
      <c r="A1854" s="4">
        <f>ROW()</f>
        <v>1854</v>
      </c>
      <c r="B1854" s="9" t="s">
        <v>27</v>
      </c>
      <c r="C1854" s="55" t="str">
        <f t="shared" si="1046"/>
        <v>p.votar</v>
      </c>
      <c r="D1854" s="6" t="str">
        <f t="shared" si="1047"/>
        <v>é.fiscal.cadeira</v>
      </c>
      <c r="E1854" s="8" t="s">
        <v>28</v>
      </c>
      <c r="F1854" s="42" t="str">
        <f t="shared" si="1054"/>
        <v>d.votar</v>
      </c>
      <c r="G1854" s="18" t="s">
        <v>7802</v>
      </c>
      <c r="H1854" s="41" t="s">
        <v>2321</v>
      </c>
      <c r="I1854" s="16" t="str">
        <f t="shared" si="1048"/>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49"/>
        <v>Propriedade destinada a votar: é.fiscal.cadeira</v>
      </c>
      <c r="V1854" s="5" t="str">
        <f t="shared" si="1050"/>
        <v>Dado para votar:  fiscal.cadeira  Deve ser formatado como (rdfs:Literal  or  xsd:string)</v>
      </c>
      <c r="W1854" s="5" t="s">
        <v>7803</v>
      </c>
      <c r="X1854" s="24" t="str">
        <f t="shared" si="1027"/>
        <v>votar.104</v>
      </c>
      <c r="Y1854" s="24" t="str">
        <f t="shared" si="1026"/>
        <v>Ação votar</v>
      </c>
      <c r="Z1854" s="47" t="s">
        <v>7806</v>
      </c>
      <c r="AA1854" s="25" t="str">
        <f t="shared" si="1051"/>
        <v>null</v>
      </c>
      <c r="AB1854" s="26" t="s">
        <v>0</v>
      </c>
      <c r="AC1854" s="25" t="str">
        <f t="shared" si="1052"/>
        <v>null</v>
      </c>
      <c r="AD1854" s="26" t="s">
        <v>0</v>
      </c>
      <c r="AE1854" s="25" t="str">
        <f t="shared" si="1053"/>
        <v>null</v>
      </c>
      <c r="AF1854" s="26" t="s">
        <v>0</v>
      </c>
      <c r="AG1854" s="47" t="s">
        <v>7808</v>
      </c>
    </row>
    <row r="1855" spans="1:33" ht="6" customHeight="1" x14ac:dyDescent="0.4">
      <c r="A1855" s="4">
        <f>ROW()</f>
        <v>1855</v>
      </c>
      <c r="B1855" s="9" t="s">
        <v>27</v>
      </c>
      <c r="C1855" s="54" t="str">
        <f t="shared" si="1046"/>
        <v>p.zonificar</v>
      </c>
      <c r="D1855" s="6" t="str">
        <f t="shared" si="1041"/>
        <v>é.zona</v>
      </c>
      <c r="E1855" s="8" t="s">
        <v>28</v>
      </c>
      <c r="F1855" s="50" t="s">
        <v>4071</v>
      </c>
      <c r="G1855" s="18" t="s">
        <v>128</v>
      </c>
      <c r="H1855" s="41" t="s">
        <v>2321</v>
      </c>
      <c r="I1855" s="16" t="str">
        <f t="shared" si="1037"/>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38"/>
        <v>Propriedade destinada a zonificar: é.zona</v>
      </c>
      <c r="V1855" s="5" t="str">
        <f t="shared" si="1039"/>
        <v>Dado para zonificar:  zona  Deve ser formatado como (rdfs:Literal  or  xsd:string)</v>
      </c>
      <c r="W1855" s="5" t="s">
        <v>7154</v>
      </c>
      <c r="X1855" s="24" t="str">
        <f t="shared" si="1027"/>
        <v>zonif.100</v>
      </c>
      <c r="Y1855" s="24" t="str">
        <f t="shared" si="1026"/>
        <v>Ação zonificar</v>
      </c>
      <c r="Z1855" s="47" t="s">
        <v>5025</v>
      </c>
      <c r="AA1855" s="25" t="str">
        <f t="shared" si="1033"/>
        <v>categoria.revit</v>
      </c>
      <c r="AB1855" s="26" t="s">
        <v>3968</v>
      </c>
      <c r="AC1855" s="25" t="str">
        <f t="shared" si="1034"/>
        <v>classe.ifc</v>
      </c>
      <c r="AD1855" s="26" t="s">
        <v>3919</v>
      </c>
      <c r="AE1855" s="25" t="str">
        <f t="shared" si="1040"/>
        <v>null</v>
      </c>
      <c r="AF1855" s="26" t="s">
        <v>0</v>
      </c>
      <c r="AG1855" s="47" t="s">
        <v>5309</v>
      </c>
    </row>
    <row r="1856" spans="1:33" ht="6" customHeight="1" x14ac:dyDescent="0.4">
      <c r="A1856" s="4">
        <f>ROW()</f>
        <v>1856</v>
      </c>
      <c r="B1856" s="9" t="s">
        <v>27</v>
      </c>
      <c r="C1856" s="55" t="str">
        <f t="shared" si="1046"/>
        <v>p.zonificar</v>
      </c>
      <c r="D1856" s="6" t="str">
        <f t="shared" si="1041"/>
        <v>é.zona.avac</v>
      </c>
      <c r="E1856" s="8" t="s">
        <v>28</v>
      </c>
      <c r="F1856" s="42" t="str">
        <f t="shared" ref="F1856:F1861" si="1063">F1855</f>
        <v>d.zonificar</v>
      </c>
      <c r="G1856" s="18" t="s">
        <v>1053</v>
      </c>
      <c r="H1856" s="41" t="s">
        <v>2321</v>
      </c>
      <c r="I1856" s="16" t="str">
        <f t="shared" si="1037"/>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38"/>
        <v>Propriedade destinada a zonificar: é.zona.avac</v>
      </c>
      <c r="V1856" s="5" t="str">
        <f t="shared" si="1039"/>
        <v>Dado para zonificar:  zona.avac  Deve ser formatado como (rdfs:Literal  or  xsd:string)</v>
      </c>
      <c r="W1856" s="5" t="s">
        <v>7155</v>
      </c>
      <c r="X1856" s="24" t="str">
        <f t="shared" si="1027"/>
        <v>zonif.101</v>
      </c>
      <c r="Y1856" s="24" t="str">
        <f t="shared" si="1026"/>
        <v>Ação zonificar</v>
      </c>
      <c r="Z1856" s="47" t="s">
        <v>5026</v>
      </c>
      <c r="AA1856" s="25" t="str">
        <f t="shared" si="1033"/>
        <v>categoria.revit</v>
      </c>
      <c r="AB1856" s="26" t="s">
        <v>3968</v>
      </c>
      <c r="AC1856" s="25" t="str">
        <f t="shared" si="1034"/>
        <v>classe.ifc</v>
      </c>
      <c r="AD1856" s="26" t="s">
        <v>3919</v>
      </c>
      <c r="AE1856" s="25" t="str">
        <f t="shared" si="1040"/>
        <v>null</v>
      </c>
      <c r="AF1856" s="26" t="s">
        <v>0</v>
      </c>
      <c r="AG1856" s="47" t="s">
        <v>5310</v>
      </c>
    </row>
    <row r="1857" spans="1:33" ht="6" customHeight="1" x14ac:dyDescent="0.4">
      <c r="A1857" s="4">
        <f>ROW()</f>
        <v>1857</v>
      </c>
      <c r="B1857" s="9" t="s">
        <v>27</v>
      </c>
      <c r="C1857" s="55" t="str">
        <f t="shared" si="1046"/>
        <v>p.zonificar</v>
      </c>
      <c r="D1857" s="6" t="str">
        <f t="shared" si="1041"/>
        <v>é.zona.isolada</v>
      </c>
      <c r="E1857" s="8" t="s">
        <v>28</v>
      </c>
      <c r="F1857" s="42" t="str">
        <f t="shared" si="1063"/>
        <v>d.zonificar</v>
      </c>
      <c r="G1857" s="18" t="s">
        <v>1054</v>
      </c>
      <c r="H1857" s="41" t="s">
        <v>2321</v>
      </c>
      <c r="I1857" s="16" t="str">
        <f t="shared" si="1037"/>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38"/>
        <v>Propriedade destinada a zonificar: é.zona.isolada</v>
      </c>
      <c r="V1857" s="5" t="str">
        <f t="shared" si="1039"/>
        <v>Dado para zonificar:  zona.isolada  Deve ser formatado como (rdfs:Literal  or  xsd:string)</v>
      </c>
      <c r="W1857" s="5" t="s">
        <v>7156</v>
      </c>
      <c r="X1857" s="24" t="str">
        <f t="shared" si="1027"/>
        <v>zonif.102</v>
      </c>
      <c r="Y1857" s="24" t="str">
        <f t="shared" si="1026"/>
        <v>Ação zonificar</v>
      </c>
      <c r="Z1857" s="47" t="s">
        <v>5027</v>
      </c>
      <c r="AA1857" s="25" t="str">
        <f t="shared" si="1033"/>
        <v>categoria.revit</v>
      </c>
      <c r="AB1857" s="26" t="s">
        <v>3968</v>
      </c>
      <c r="AC1857" s="25" t="str">
        <f t="shared" si="1034"/>
        <v>classe.ifc</v>
      </c>
      <c r="AD1857" s="26" t="s">
        <v>3919</v>
      </c>
      <c r="AE1857" s="25" t="str">
        <f t="shared" si="1040"/>
        <v>null</v>
      </c>
      <c r="AF1857" s="26" t="s">
        <v>0</v>
      </c>
      <c r="AG1857" s="47" t="s">
        <v>5311</v>
      </c>
    </row>
    <row r="1858" spans="1:33" ht="6" customHeight="1" x14ac:dyDescent="0.4">
      <c r="A1858" s="4">
        <f>ROW()</f>
        <v>1858</v>
      </c>
      <c r="B1858" s="9" t="s">
        <v>27</v>
      </c>
      <c r="C1858" s="55" t="str">
        <f t="shared" si="1046"/>
        <v>p.zonificar</v>
      </c>
      <c r="D1858" s="6" t="str">
        <f t="shared" si="1041"/>
        <v>é.zona.de.maquinária</v>
      </c>
      <c r="E1858" s="8" t="s">
        <v>28</v>
      </c>
      <c r="F1858" s="42" t="str">
        <f t="shared" si="1063"/>
        <v>d.zonificar</v>
      </c>
      <c r="G1858" s="18" t="s">
        <v>1055</v>
      </c>
      <c r="H1858" s="41" t="s">
        <v>2321</v>
      </c>
      <c r="I1858" s="16" t="str">
        <f t="shared" si="1037"/>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38"/>
        <v>Propriedade destinada a zonificar: é.zona.de.maquinária</v>
      </c>
      <c r="V1858" s="5" t="str">
        <f t="shared" si="1039"/>
        <v>Dado para zonificar:  zona.de.maquinária  Deve ser formatado como (rdfs:Literal  or  xsd:string)</v>
      </c>
      <c r="W1858" s="5" t="s">
        <v>7157</v>
      </c>
      <c r="X1858" s="24" t="str">
        <f t="shared" si="1027"/>
        <v>zonif.103</v>
      </c>
      <c r="Y1858" s="24" t="str">
        <f t="shared" ref="Y1858:Y1861" si="1064">_xlfn.CONCAT("Ação ", SUBSTITUTE(F1858, "d.",  ""))</f>
        <v>Ação zonificar</v>
      </c>
      <c r="Z1858" s="47" t="s">
        <v>5028</v>
      </c>
      <c r="AA1858" s="25" t="str">
        <f t="shared" ref="AA1858:AA1861" si="1065">IF(AB1858="null", "null", "categoria.revit")</f>
        <v>categoria.revit</v>
      </c>
      <c r="AB1858" s="26" t="s">
        <v>3968</v>
      </c>
      <c r="AC1858" s="25" t="str">
        <f t="shared" ref="AC1858:AC1861" si="1066">IF(AD1858="null", "null", "classe.ifc")</f>
        <v>classe.ifc</v>
      </c>
      <c r="AD1858" s="26" t="s">
        <v>3919</v>
      </c>
      <c r="AE1858" s="25" t="str">
        <f t="shared" si="1040"/>
        <v>null</v>
      </c>
      <c r="AF1858" s="26" t="s">
        <v>0</v>
      </c>
      <c r="AG1858" s="47" t="s">
        <v>5315</v>
      </c>
    </row>
    <row r="1859" spans="1:33" ht="6" customHeight="1" x14ac:dyDescent="0.4">
      <c r="A1859" s="4">
        <f>ROW()</f>
        <v>1859</v>
      </c>
      <c r="B1859" s="9" t="s">
        <v>27</v>
      </c>
      <c r="C1859" s="55" t="str">
        <f t="shared" si="1046"/>
        <v>p.zonificar</v>
      </c>
      <c r="D1859" s="6" t="str">
        <f t="shared" si="1041"/>
        <v>é.zona.pública</v>
      </c>
      <c r="E1859" s="8" t="s">
        <v>28</v>
      </c>
      <c r="F1859" s="42" t="str">
        <f t="shared" si="1063"/>
        <v>d.zonificar</v>
      </c>
      <c r="G1859" s="18" t="s">
        <v>1056</v>
      </c>
      <c r="H1859" s="41" t="s">
        <v>2321</v>
      </c>
      <c r="I1859" s="16" t="str">
        <f t="shared" si="1037"/>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38"/>
        <v>Propriedade destinada a zonificar: é.zona.pública</v>
      </c>
      <c r="V1859" s="5" t="str">
        <f t="shared" si="1039"/>
        <v>Dado para zonificar:  zona.pública  Deve ser formatado como (rdfs:Literal  or  xsd:string)</v>
      </c>
      <c r="W1859" s="5" t="s">
        <v>7158</v>
      </c>
      <c r="X1859" s="24" t="str">
        <f t="shared" ref="X1859:X1861" si="1067">IF(F1858&lt;&gt;F1859,_xlfn.CONCAT(RIGHT(LEFT(F1859,7),5),".100"),_xlfn.CONCAT(RIGHT(LEFT(F1859,7),5),".",SUM(VALUE(RIGHT(X1858,3)),1)))</f>
        <v>zonif.104</v>
      </c>
      <c r="Y1859" s="24" t="str">
        <f t="shared" si="1064"/>
        <v>Ação zonificar</v>
      </c>
      <c r="Z1859" s="47" t="s">
        <v>5029</v>
      </c>
      <c r="AA1859" s="25" t="str">
        <f t="shared" si="1065"/>
        <v>categoria.revit</v>
      </c>
      <c r="AB1859" s="26" t="s">
        <v>3968</v>
      </c>
      <c r="AC1859" s="25" t="str">
        <f t="shared" si="1066"/>
        <v>classe.ifc</v>
      </c>
      <c r="AD1859" s="26" t="s">
        <v>3919</v>
      </c>
      <c r="AE1859" s="25" t="str">
        <f t="shared" si="1040"/>
        <v>null</v>
      </c>
      <c r="AF1859" s="26" t="s">
        <v>0</v>
      </c>
      <c r="AG1859" s="47" t="s">
        <v>5314</v>
      </c>
    </row>
    <row r="1860" spans="1:33" ht="6" customHeight="1" x14ac:dyDescent="0.4">
      <c r="A1860" s="4">
        <f>ROW()</f>
        <v>1860</v>
      </c>
      <c r="B1860" s="9" t="s">
        <v>27</v>
      </c>
      <c r="C1860" s="55" t="str">
        <f t="shared" si="1046"/>
        <v>p.zonificar</v>
      </c>
      <c r="D1860" s="6" t="str">
        <f t="shared" si="1041"/>
        <v>é.zona.privada</v>
      </c>
      <c r="E1860" s="8" t="s">
        <v>28</v>
      </c>
      <c r="F1860" s="42" t="str">
        <f t="shared" si="1063"/>
        <v>d.zonificar</v>
      </c>
      <c r="G1860" s="18" t="s">
        <v>1057</v>
      </c>
      <c r="H1860" s="41" t="s">
        <v>2321</v>
      </c>
      <c r="I1860" s="16" t="str">
        <f t="shared" si="1037"/>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38"/>
        <v>Propriedade destinada a zonificar: é.zona.privada</v>
      </c>
      <c r="V1860" s="5" t="str">
        <f t="shared" si="1039"/>
        <v>Dado para zonificar:  zona.privada  Deve ser formatado como (rdfs:Literal  or  xsd:string)</v>
      </c>
      <c r="W1860" s="5" t="s">
        <v>7159</v>
      </c>
      <c r="X1860" s="24" t="str">
        <f t="shared" si="1067"/>
        <v>zonif.105</v>
      </c>
      <c r="Y1860" s="24" t="str">
        <f t="shared" si="1064"/>
        <v>Ação zonificar</v>
      </c>
      <c r="Z1860" s="47" t="s">
        <v>5030</v>
      </c>
      <c r="AA1860" s="25" t="str">
        <f t="shared" si="1065"/>
        <v>categoria.revit</v>
      </c>
      <c r="AB1860" s="26" t="s">
        <v>3968</v>
      </c>
      <c r="AC1860" s="25" t="str">
        <f t="shared" si="1066"/>
        <v>classe.ifc</v>
      </c>
      <c r="AD1860" s="26" t="s">
        <v>3919</v>
      </c>
      <c r="AE1860" s="25" t="str">
        <f t="shared" si="1040"/>
        <v>null</v>
      </c>
      <c r="AF1860" s="26" t="s">
        <v>0</v>
      </c>
      <c r="AG1860" s="47" t="s">
        <v>5312</v>
      </c>
    </row>
    <row r="1861" spans="1:33" ht="6" customHeight="1" x14ac:dyDescent="0.4">
      <c r="A1861" s="4">
        <f>ROW()</f>
        <v>1861</v>
      </c>
      <c r="B1861" s="9" t="s">
        <v>27</v>
      </c>
      <c r="C1861" s="55" t="str">
        <f t="shared" si="1046"/>
        <v>p.zonificar</v>
      </c>
      <c r="D1861" s="6" t="str">
        <f t="shared" si="1041"/>
        <v>é.zona.protegida</v>
      </c>
      <c r="E1861" s="8" t="s">
        <v>28</v>
      </c>
      <c r="F1861" s="42" t="str">
        <f t="shared" si="1063"/>
        <v>d.zonificar</v>
      </c>
      <c r="G1861" s="18" t="s">
        <v>1058</v>
      </c>
      <c r="H1861" s="41" t="s">
        <v>2321</v>
      </c>
      <c r="I1861" s="16" t="str">
        <f t="shared" si="1037"/>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38"/>
        <v>Propriedade destinada a zonificar: é.zona.protegida</v>
      </c>
      <c r="V1861" s="5" t="str">
        <f t="shared" si="1039"/>
        <v>Dado para zonificar:  zona.protegida  Deve ser formatado como (rdfs:Literal  or  xsd:string)</v>
      </c>
      <c r="W1861" s="5" t="s">
        <v>7160</v>
      </c>
      <c r="X1861" s="24" t="str">
        <f t="shared" si="1067"/>
        <v>zonif.106</v>
      </c>
      <c r="Y1861" s="24" t="str">
        <f t="shared" si="1064"/>
        <v>Ação zonificar</v>
      </c>
      <c r="Z1861" s="47" t="s">
        <v>5031</v>
      </c>
      <c r="AA1861" s="25" t="str">
        <f t="shared" si="1065"/>
        <v>null</v>
      </c>
      <c r="AB1861" s="26" t="s">
        <v>0</v>
      </c>
      <c r="AC1861" s="25" t="str">
        <f t="shared" si="1066"/>
        <v>null</v>
      </c>
      <c r="AD1861" s="26" t="s">
        <v>0</v>
      </c>
      <c r="AE1861" s="25" t="str">
        <f t="shared" si="1040"/>
        <v>null</v>
      </c>
      <c r="AF1861" s="26" t="s">
        <v>0</v>
      </c>
      <c r="AG1861" s="47" t="s">
        <v>5313</v>
      </c>
    </row>
  </sheetData>
  <autoFilter ref="F1:F1861" xr:uid="{F84E98E2-D495-4DD0-8499-3FFEA5DEAE25}"/>
  <sortState xmlns:xlrd2="http://schemas.microsoft.com/office/spreadsheetml/2017/richdata2" ref="A2:AG1861">
    <sortCondition ref="F1:F1861"/>
  </sortState>
  <phoneticPr fontId="6" type="noConversion"/>
  <conditionalFormatting sqref="G18:G32">
    <cfRule type="duplicateValues" dxfId="87" priority="76"/>
  </conditionalFormatting>
  <conditionalFormatting sqref="G33:G66">
    <cfRule type="duplicateValues" dxfId="86" priority="347"/>
  </conditionalFormatting>
  <conditionalFormatting sqref="G67:G73">
    <cfRule type="duplicateValues" dxfId="85" priority="32"/>
  </conditionalFormatting>
  <conditionalFormatting sqref="G111:G116">
    <cfRule type="duplicateValues" dxfId="84" priority="31"/>
  </conditionalFormatting>
  <conditionalFormatting sqref="G135:G139">
    <cfRule type="duplicateValues" dxfId="83" priority="30"/>
  </conditionalFormatting>
  <conditionalFormatting sqref="G200:G224">
    <cfRule type="duplicateValues" dxfId="82" priority="299"/>
  </conditionalFormatting>
  <conditionalFormatting sqref="G415:G426">
    <cfRule type="duplicateValues" dxfId="81" priority="71"/>
    <cfRule type="duplicateValues" dxfId="80" priority="72"/>
  </conditionalFormatting>
  <conditionalFormatting sqref="G427:G432">
    <cfRule type="duplicateValues" dxfId="79" priority="24"/>
    <cfRule type="duplicateValues" dxfId="78" priority="25"/>
  </conditionalFormatting>
  <conditionalFormatting sqref="G433:G440">
    <cfRule type="duplicateValues" dxfId="77" priority="37"/>
  </conditionalFormatting>
  <conditionalFormatting sqref="G469:G504">
    <cfRule type="duplicateValues" dxfId="76" priority="15"/>
    <cfRule type="duplicateValues" dxfId="75" priority="16"/>
    <cfRule type="duplicateValues" dxfId="74" priority="17"/>
    <cfRule type="duplicateValues" dxfId="73" priority="18"/>
  </conditionalFormatting>
  <conditionalFormatting sqref="G569:G575">
    <cfRule type="duplicateValues" dxfId="72" priority="54"/>
  </conditionalFormatting>
  <conditionalFormatting sqref="G732:G748 G751:G768">
    <cfRule type="duplicateValues" dxfId="71" priority="359"/>
  </conditionalFormatting>
  <conditionalFormatting sqref="G749:G750">
    <cfRule type="duplicateValues" dxfId="70" priority="106"/>
  </conditionalFormatting>
  <conditionalFormatting sqref="G985:G1010">
    <cfRule type="duplicateValues" dxfId="69" priority="45"/>
  </conditionalFormatting>
  <conditionalFormatting sqref="G1167:G1185">
    <cfRule type="duplicateValues" dxfId="68" priority="9"/>
    <cfRule type="duplicateValues" dxfId="67" priority="10"/>
    <cfRule type="duplicateValues" dxfId="66" priority="11"/>
    <cfRule type="duplicateValues" dxfId="65" priority="12"/>
    <cfRule type="duplicateValues" dxfId="64" priority="13"/>
  </conditionalFormatting>
  <conditionalFormatting sqref="G1836:G1048576 G1186:G1202 G1:G1166 G1264:G1630 G1632:G1819">
    <cfRule type="duplicateValues" dxfId="63" priority="14"/>
  </conditionalFormatting>
  <conditionalFormatting sqref="G1203:G1263">
    <cfRule type="duplicateValues" dxfId="62" priority="4"/>
    <cfRule type="duplicateValues" dxfId="61" priority="5"/>
    <cfRule type="duplicateValues" dxfId="60" priority="6"/>
    <cfRule type="duplicateValues" dxfId="59" priority="7"/>
    <cfRule type="duplicateValues" dxfId="58" priority="8"/>
  </conditionalFormatting>
  <conditionalFormatting sqref="G1304:G1324">
    <cfRule type="duplicateValues" dxfId="57" priority="69"/>
    <cfRule type="duplicateValues" dxfId="56" priority="70"/>
  </conditionalFormatting>
  <conditionalFormatting sqref="G1385:G1386 G1388:G1394">
    <cfRule type="duplicateValues" dxfId="55" priority="50"/>
  </conditionalFormatting>
  <conditionalFormatting sqref="G1387">
    <cfRule type="duplicateValues" dxfId="54" priority="47"/>
    <cfRule type="duplicateValues" dxfId="53" priority="48"/>
    <cfRule type="duplicateValues" dxfId="52" priority="49"/>
  </conditionalFormatting>
  <conditionalFormatting sqref="G1451:G1470">
    <cfRule type="duplicateValues" dxfId="51" priority="77"/>
    <cfRule type="duplicateValues" dxfId="50" priority="78"/>
  </conditionalFormatting>
  <conditionalFormatting sqref="G1544:G1558">
    <cfRule type="duplicateValues" dxfId="49" priority="55"/>
  </conditionalFormatting>
  <conditionalFormatting sqref="G1577:G1606">
    <cfRule type="duplicateValues" dxfId="48" priority="298"/>
  </conditionalFormatting>
  <conditionalFormatting sqref="G1836:G1048576 G1796:G1819 G1607:G1610 G1:G17 G74:G110 G1325:G1384 G1559:G1576 G1395:G1450 G1471:G1543 G441:G468 G117:G134 G140:G199 G505:G568 G1011:G1166 G225:G414 G1186:G1202 G1264:G1303 G576:G984 G1612">
    <cfRule type="duplicateValues" dxfId="47" priority="348"/>
  </conditionalFormatting>
  <conditionalFormatting sqref="G1836:G1048576 G1796:G1819 G1607:G1610 G2:G17 G74:G110 G1325:G1384 G1559:G1576 G1395:G1450 G1471:G1543 G441:G468 G117:G134 G140:G199 G505:G568 G1011:G1166 G225:G414 G576:G731 G1186:G1202 G1264:G1303 G769:G984 G1612">
    <cfRule type="duplicateValues" dxfId="46" priority="357"/>
  </conditionalFormatting>
  <conditionalFormatting sqref="G1633:G1652">
    <cfRule type="duplicateValues" dxfId="45" priority="358"/>
  </conditionalFormatting>
  <conditionalFormatting sqref="G1658:G1666">
    <cfRule type="duplicateValues" dxfId="44" priority="56"/>
  </conditionalFormatting>
  <conditionalFormatting sqref="G1667:G1668 G1653:G1657">
    <cfRule type="duplicateValues" dxfId="43" priority="65"/>
    <cfRule type="duplicateValues" dxfId="42" priority="67"/>
  </conditionalFormatting>
  <conditionalFormatting sqref="G1836:G1048576 G1667:G1694 G1395:G1543 G441:G468 G1:G66 G74:G110 G117:G134 G505:G568 G1011:G1166 G140:G432 G1186:G1202 G1264:G1384 G576:G984 G1796:G1819 G1559:G1630 G1632:G1657">
    <cfRule type="duplicateValues" dxfId="41" priority="59"/>
  </conditionalFormatting>
  <conditionalFormatting sqref="G1672:G1694">
    <cfRule type="duplicateValues" dxfId="40" priority="62"/>
    <cfRule type="duplicateValues" dxfId="39" priority="63"/>
  </conditionalFormatting>
  <conditionalFormatting sqref="G1701:G1766">
    <cfRule type="duplicateValues" dxfId="38" priority="42"/>
    <cfRule type="duplicateValues" dxfId="37" priority="43"/>
    <cfRule type="duplicateValues" dxfId="36" priority="44"/>
  </conditionalFormatting>
  <conditionalFormatting sqref="G1836:G1048576 G1767:G1773 G1:G66 G441:G468 G74:G110 G117:G134 G1011:G1166 G140:G432 G1186:G1202 G505:G984 G1796:G1819 G1264:G1630 G1632:G1700">
    <cfRule type="duplicateValues" dxfId="35" priority="46"/>
  </conditionalFormatting>
  <conditionalFormatting sqref="G1767:G1773 G1695:G1700">
    <cfRule type="duplicateValues" dxfId="34" priority="57"/>
    <cfRule type="duplicateValues" dxfId="33" priority="58"/>
  </conditionalFormatting>
  <conditionalFormatting sqref="G1774:G1789">
    <cfRule type="duplicateValues" dxfId="32" priority="22"/>
  </conditionalFormatting>
  <conditionalFormatting sqref="G1779">
    <cfRule type="duplicateValues" dxfId="31" priority="20"/>
  </conditionalFormatting>
  <conditionalFormatting sqref="G1780:G1789 G1774:G1778">
    <cfRule type="duplicateValues" dxfId="30" priority="21"/>
  </conditionalFormatting>
  <conditionalFormatting sqref="G1790:G1795">
    <cfRule type="duplicateValues" dxfId="29" priority="19"/>
  </conditionalFormatting>
  <conditionalFormatting sqref="Q1653:Q1654">
    <cfRule type="duplicateValues" dxfId="28" priority="66"/>
  </conditionalFormatting>
  <conditionalFormatting sqref="R181:R182">
    <cfRule type="duplicateValues" dxfId="27" priority="107"/>
  </conditionalFormatting>
  <conditionalFormatting sqref="R212">
    <cfRule type="duplicateValues" dxfId="26" priority="81"/>
  </conditionalFormatting>
  <conditionalFormatting sqref="R247:R248">
    <cfRule type="duplicateValues" dxfId="25" priority="73"/>
    <cfRule type="duplicateValues" dxfId="24" priority="74"/>
  </conditionalFormatting>
  <conditionalFormatting sqref="R253:R254">
    <cfRule type="duplicateValues" dxfId="23" priority="96"/>
    <cfRule type="duplicateValues" dxfId="22" priority="97"/>
  </conditionalFormatting>
  <conditionalFormatting sqref="R291:R292">
    <cfRule type="duplicateValues" dxfId="21" priority="92"/>
    <cfRule type="duplicateValues" dxfId="20" priority="93"/>
  </conditionalFormatting>
  <conditionalFormatting sqref="R749:R750">
    <cfRule type="duplicateValues" dxfId="19" priority="105"/>
  </conditionalFormatting>
  <conditionalFormatting sqref="R1144">
    <cfRule type="duplicateValues" dxfId="18" priority="110"/>
  </conditionalFormatting>
  <conditionalFormatting sqref="R1589">
    <cfRule type="duplicateValues" dxfId="17" priority="83"/>
  </conditionalFormatting>
  <conditionalFormatting sqref="R1590">
    <cfRule type="duplicateValues" dxfId="16" priority="86"/>
    <cfRule type="duplicateValues" dxfId="15" priority="87"/>
  </conditionalFormatting>
  <conditionalFormatting sqref="R1591">
    <cfRule type="duplicateValues" dxfId="14" priority="88"/>
    <cfRule type="duplicateValues" dxfId="13" priority="89"/>
  </conditionalFormatting>
  <conditionalFormatting sqref="R1606">
    <cfRule type="duplicateValues" dxfId="12" priority="297"/>
  </conditionalFormatting>
  <conditionalFormatting sqref="Z755">
    <cfRule type="duplicateValues" dxfId="11" priority="51"/>
    <cfRule type="duplicateValues" dxfId="10" priority="52"/>
    <cfRule type="duplicateValues" dxfId="9" priority="53"/>
  </conditionalFormatting>
  <conditionalFormatting sqref="Z756:Z762">
    <cfRule type="duplicateValues" dxfId="8" priority="116"/>
    <cfRule type="duplicateValues" dxfId="7" priority="117"/>
    <cfRule type="duplicateValues" dxfId="6" priority="118"/>
  </conditionalFormatting>
  <conditionalFormatting sqref="AG755:AG762">
    <cfRule type="duplicateValues" dxfId="5" priority="113"/>
    <cfRule type="duplicateValues" dxfId="4" priority="114"/>
    <cfRule type="duplicateValues" dxfId="3" priority="115"/>
  </conditionalFormatting>
  <conditionalFormatting sqref="G1631">
    <cfRule type="duplicateValues" dxfId="2" priority="2"/>
  </conditionalFormatting>
  <conditionalFormatting sqref="G1:G1048576">
    <cfRule type="duplicateValues" dxfId="1" priority="1"/>
  </conditionalFormatting>
  <conditionalFormatting sqref="G1820:G1835">
    <cfRule type="duplicateValues" dxfId="0" priority="435"/>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2026-06-15T16:29:37Z</dcterms:modified>
</cp:coreProperties>
</file>