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6F6D0932-4E75-4675-815F-E2F4517AC66B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S3" i="39"/>
  <c r="S4" i="39"/>
  <c r="S5" i="39"/>
  <c r="S6" i="39"/>
  <c r="S7" i="39"/>
  <c r="S8" i="39"/>
  <c r="S9" i="39"/>
  <c r="S10" i="39"/>
  <c r="S11" i="39"/>
  <c r="S12" i="39"/>
  <c r="S13" i="39"/>
  <c r="S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S2" i="39"/>
  <c r="T2" i="39"/>
  <c r="U2" i="39"/>
  <c r="W3" i="39"/>
  <c r="W4" i="39"/>
  <c r="W5" i="39"/>
  <c r="W6" i="39"/>
  <c r="W7" i="39"/>
  <c r="W8" i="39"/>
  <c r="W9" i="39"/>
  <c r="W10" i="39"/>
  <c r="W11" i="39"/>
  <c r="W12" i="39"/>
  <c r="W13" i="39"/>
  <c r="W14" i="39"/>
  <c r="O2" i="39"/>
  <c r="N2" i="39"/>
  <c r="M2" i="39"/>
  <c r="L2" i="39"/>
  <c r="AA2" i="39"/>
  <c r="Q13" i="39" l="1"/>
  <c r="Q9" i="39"/>
  <c r="Q3" i="39"/>
  <c r="AA10" i="39"/>
  <c r="Q11" i="39"/>
  <c r="Q14" i="39"/>
  <c r="AA11" i="39"/>
  <c r="AA13" i="39"/>
  <c r="Q10" i="39"/>
  <c r="Q12" i="39"/>
  <c r="AA9" i="39"/>
  <c r="AA14" i="39"/>
  <c r="AA3" i="39"/>
  <c r="AA12" i="39"/>
  <c r="B24" i="31" l="1"/>
  <c r="Q4" i="39"/>
  <c r="Q5" i="39"/>
  <c r="Q7" i="39"/>
  <c r="Q8" i="39"/>
  <c r="Q6" i="39"/>
  <c r="B23" i="31" l="1"/>
  <c r="AA5" i="39"/>
  <c r="AA7" i="39"/>
  <c r="AA8" i="39"/>
  <c r="AA6" i="39"/>
  <c r="AA4" i="39"/>
  <c r="B18" i="31" l="1"/>
  <c r="B6" i="31" l="1"/>
  <c r="B5" i="31"/>
</calcChain>
</file>

<file path=xl/sharedStrings.xml><?xml version="1.0" encoding="utf-8"?>
<sst xmlns="http://schemas.openxmlformats.org/spreadsheetml/2006/main" count="1104" uniqueCount="203">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</sst>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3828125" style="2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26" t="s">
        <v>96</v>
      </c>
    </row>
    <row r="2" spans="1:3" ht="9" customHeight="1" x14ac:dyDescent="0.2">
      <c r="A2" s="2" t="s">
        <v>14</v>
      </c>
      <c r="B2" s="2" t="s">
        <v>74</v>
      </c>
      <c r="C2" s="27" t="s">
        <v>97</v>
      </c>
    </row>
    <row r="3" spans="1:3" ht="9" customHeight="1" x14ac:dyDescent="0.2">
      <c r="A3" s="2" t="s">
        <v>15</v>
      </c>
      <c r="B3" s="3" t="s">
        <v>86</v>
      </c>
      <c r="C3" s="27" t="s">
        <v>97</v>
      </c>
    </row>
    <row r="4" spans="1:3" ht="9" customHeight="1" x14ac:dyDescent="0.2">
      <c r="A4" s="2" t="s">
        <v>7</v>
      </c>
      <c r="B4" s="2" t="s">
        <v>16</v>
      </c>
      <c r="C4" s="27" t="s">
        <v>97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27" t="s">
        <v>97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27" t="s">
        <v>97</v>
      </c>
    </row>
    <row r="7" spans="1:3" ht="9" customHeight="1" x14ac:dyDescent="0.2">
      <c r="A7" s="2" t="s">
        <v>4</v>
      </c>
      <c r="B7" s="2" t="s">
        <v>27</v>
      </c>
      <c r="C7" s="27" t="s">
        <v>97</v>
      </c>
    </row>
    <row r="8" spans="1:3" s="25" customFormat="1" ht="8.25" customHeight="1" x14ac:dyDescent="0.4">
      <c r="A8" s="2" t="s">
        <v>5</v>
      </c>
      <c r="B8" s="2" t="s">
        <v>94</v>
      </c>
      <c r="C8" s="27" t="s">
        <v>97</v>
      </c>
    </row>
    <row r="9" spans="1:3" ht="9" customHeight="1" x14ac:dyDescent="0.2">
      <c r="A9" s="2" t="s">
        <v>17</v>
      </c>
      <c r="B9" s="2" t="s">
        <v>18</v>
      </c>
      <c r="C9" s="27" t="s">
        <v>97</v>
      </c>
    </row>
    <row r="10" spans="1:3" ht="9" customHeight="1" x14ac:dyDescent="0.2">
      <c r="A10" s="2" t="s">
        <v>19</v>
      </c>
      <c r="B10" s="2" t="s">
        <v>12</v>
      </c>
      <c r="C10" s="27" t="s">
        <v>97</v>
      </c>
    </row>
    <row r="11" spans="1:3" ht="9" customHeight="1" x14ac:dyDescent="0.2">
      <c r="A11" s="2" t="s">
        <v>0</v>
      </c>
      <c r="B11" s="2" t="s">
        <v>12</v>
      </c>
      <c r="C11" s="27" t="s">
        <v>97</v>
      </c>
    </row>
    <row r="12" spans="1:3" ht="9" customHeight="1" x14ac:dyDescent="0.2">
      <c r="A12" s="2" t="s">
        <v>1</v>
      </c>
      <c r="B12" s="2" t="s">
        <v>12</v>
      </c>
      <c r="C12" s="27" t="s">
        <v>97</v>
      </c>
    </row>
    <row r="13" spans="1:3" ht="9" customHeight="1" x14ac:dyDescent="0.2">
      <c r="A13" s="2" t="s">
        <v>20</v>
      </c>
      <c r="B13" s="2" t="s">
        <v>12</v>
      </c>
      <c r="C13" s="27" t="s">
        <v>97</v>
      </c>
    </row>
    <row r="14" spans="1:3" ht="9" customHeight="1" x14ac:dyDescent="0.2">
      <c r="A14" s="2" t="s">
        <v>21</v>
      </c>
      <c r="B14" s="2" t="s">
        <v>12</v>
      </c>
      <c r="C14" s="27" t="s">
        <v>97</v>
      </c>
    </row>
    <row r="15" spans="1:3" ht="9" customHeight="1" x14ac:dyDescent="0.2">
      <c r="A15" s="2" t="s">
        <v>22</v>
      </c>
      <c r="B15" s="2" t="s">
        <v>12</v>
      </c>
      <c r="C15" s="27" t="s">
        <v>97</v>
      </c>
    </row>
    <row r="16" spans="1:3" ht="9" customHeight="1" x14ac:dyDescent="0.2">
      <c r="A16" s="2" t="s">
        <v>23</v>
      </c>
      <c r="B16" s="2" t="s">
        <v>12</v>
      </c>
      <c r="C16" s="27" t="s">
        <v>97</v>
      </c>
    </row>
    <row r="17" spans="1:3" ht="9" customHeight="1" x14ac:dyDescent="0.2">
      <c r="A17" s="2" t="s">
        <v>10</v>
      </c>
      <c r="B17" s="4" t="s">
        <v>87</v>
      </c>
      <c r="C17" s="27" t="s">
        <v>97</v>
      </c>
    </row>
    <row r="18" spans="1:3" ht="9" customHeight="1" x14ac:dyDescent="0.2">
      <c r="A18" s="2" t="s">
        <v>24</v>
      </c>
      <c r="B18" s="5">
        <f ca="1">NOW()</f>
        <v>46249.373742592594</v>
      </c>
      <c r="C18" s="27" t="s">
        <v>97</v>
      </c>
    </row>
    <row r="19" spans="1:3" ht="9" customHeight="1" x14ac:dyDescent="0.2">
      <c r="A19" s="2" t="s">
        <v>25</v>
      </c>
      <c r="B19" s="2" t="s">
        <v>12</v>
      </c>
      <c r="C19" s="27" t="s">
        <v>97</v>
      </c>
    </row>
    <row r="20" spans="1:3" ht="9" customHeight="1" x14ac:dyDescent="0.2">
      <c r="A20" s="2" t="s">
        <v>26</v>
      </c>
      <c r="B20" s="2" t="s">
        <v>12</v>
      </c>
      <c r="C20" s="27" t="s">
        <v>97</v>
      </c>
    </row>
    <row r="21" spans="1:3" ht="9" customHeight="1" x14ac:dyDescent="0.2">
      <c r="A21" s="2" t="s">
        <v>11</v>
      </c>
      <c r="B21" s="2" t="s">
        <v>12</v>
      </c>
      <c r="C21" s="27" t="s">
        <v>97</v>
      </c>
    </row>
    <row r="22" spans="1:3" ht="10.5" customHeight="1" x14ac:dyDescent="0.2">
      <c r="A22" s="4" t="s">
        <v>28</v>
      </c>
      <c r="B22" s="6" t="s">
        <v>88</v>
      </c>
      <c r="C22" s="27" t="s">
        <v>97</v>
      </c>
    </row>
    <row r="23" spans="1:3" ht="10.5" customHeight="1" x14ac:dyDescent="0.2">
      <c r="A23" s="4" t="s">
        <v>29</v>
      </c>
      <c r="B23" s="6" t="str">
        <f>_xlfn.TRANSLATE(B22,"pt","es")</f>
        <v>Formalizar los datos de los vuelos de drones.</v>
      </c>
      <c r="C23" s="27" t="s">
        <v>98</v>
      </c>
    </row>
    <row r="24" spans="1:3" s="25" customFormat="1" ht="9.75" customHeight="1" x14ac:dyDescent="0.4">
      <c r="A24" s="4" t="s">
        <v>95</v>
      </c>
      <c r="B24" s="6" t="str">
        <f>_xlfn.TRANSLATE(B22,"pt","en")</f>
        <v>Formalize data for drone flights.</v>
      </c>
      <c r="C24" s="2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4"/>
  <sheetViews>
    <sheetView tabSelected="1" zoomScale="235" zoomScaleNormal="235" workbookViewId="0">
      <pane ySplit="1" topLeftCell="A2" activePane="bottomLeft" state="frozen"/>
      <selection pane="bottomLeft" activeCell="X5" sqref="X5"/>
    </sheetView>
  </sheetViews>
  <sheetFormatPr defaultColWidth="9.15234375" defaultRowHeight="8.5" customHeight="1" x14ac:dyDescent="0.4"/>
  <cols>
    <col min="1" max="1" width="1.921875" customWidth="1"/>
    <col min="2" max="2" width="4.23046875" style="31" bestFit="1" customWidth="1"/>
    <col min="3" max="3" width="6.3828125" style="31" bestFit="1" customWidth="1"/>
    <col min="4" max="4" width="5.3046875" style="31" bestFit="1" customWidth="1"/>
    <col min="5" max="5" width="4.921875" style="31" bestFit="1" customWidth="1"/>
    <col min="6" max="6" width="7.3046875" style="31" bestFit="1" customWidth="1"/>
    <col min="7" max="11" width="6.4609375" style="31" bestFit="1" customWidth="1"/>
    <col min="12" max="12" width="6.3828125" style="31" bestFit="1" customWidth="1"/>
    <col min="13" max="13" width="5.3046875" style="31" bestFit="1" customWidth="1"/>
    <col min="14" max="14" width="5" style="31" bestFit="1" customWidth="1"/>
    <col min="15" max="15" width="7.3046875" style="31" bestFit="1" customWidth="1"/>
    <col min="16" max="16" width="40.07421875" style="31" bestFit="1" customWidth="1"/>
    <col min="17" max="17" width="40" style="31" bestFit="1" customWidth="1"/>
    <col min="18" max="18" width="3.69140625" style="31" bestFit="1" customWidth="1"/>
    <col min="19" max="19" width="6.4609375" style="31" bestFit="1" customWidth="1"/>
    <col min="20" max="20" width="6.07421875" style="31" customWidth="1"/>
    <col min="21" max="21" width="5.69140625" style="31" customWidth="1"/>
    <col min="22" max="22" width="8.765625" style="31" customWidth="1"/>
    <col min="23" max="23" width="5.3046875" style="31" bestFit="1" customWidth="1"/>
    <col min="24" max="24" width="7.61328125" style="31" bestFit="1" customWidth="1"/>
    <col min="25" max="25" width="5.3828125" style="31" bestFit="1" customWidth="1"/>
    <col min="26" max="26" width="7.07421875" style="31" bestFit="1" customWidth="1"/>
    <col min="27" max="27" width="36" style="31" bestFit="1" customWidth="1"/>
    <col min="28" max="16384" width="9.15234375" style="31"/>
  </cols>
  <sheetData>
    <row r="1" spans="1:27" ht="40.200000000000003" customHeight="1" x14ac:dyDescent="0.4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19" t="s">
        <v>71</v>
      </c>
      <c r="S1" s="19" t="s">
        <v>31</v>
      </c>
      <c r="T1" s="19" t="s">
        <v>72</v>
      </c>
      <c r="U1" s="19" t="s">
        <v>33</v>
      </c>
      <c r="V1" s="19" t="s">
        <v>32</v>
      </c>
      <c r="W1" s="29" t="s">
        <v>54</v>
      </c>
      <c r="X1" s="19" t="s">
        <v>90</v>
      </c>
      <c r="Y1" s="19" t="s">
        <v>91</v>
      </c>
      <c r="Z1" s="19" t="s">
        <v>92</v>
      </c>
      <c r="AA1" s="23" t="s">
        <v>93</v>
      </c>
    </row>
    <row r="2" spans="1:27" customFormat="1" ht="6" customHeight="1" x14ac:dyDescent="0.4">
      <c r="A2" s="35">
        <v>2</v>
      </c>
      <c r="B2" s="57" t="s">
        <v>191</v>
      </c>
      <c r="C2" s="58" t="s">
        <v>198</v>
      </c>
      <c r="D2" s="58" t="s">
        <v>192</v>
      </c>
      <c r="E2" s="59" t="s">
        <v>193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194</v>
      </c>
      <c r="Q2" s="62" t="s">
        <v>195</v>
      </c>
      <c r="R2" s="24" t="s">
        <v>9</v>
      </c>
      <c r="S2" s="24" t="str">
        <f t="shared" ref="S2:U14" si="2">SUBSTITUTE(C2, ".", " ")</f>
        <v>De Tempo</v>
      </c>
      <c r="T2" s="24" t="str">
        <f t="shared" si="2"/>
        <v>Eventos</v>
      </c>
      <c r="U2" s="24" t="str">
        <f t="shared" si="2"/>
        <v>Calendários</v>
      </c>
      <c r="V2" s="34" t="s">
        <v>89</v>
      </c>
      <c r="W2" s="30" t="str">
        <f>CONCATENATE("Key-UAS-",A2)</f>
        <v>Key-UAS-2</v>
      </c>
      <c r="X2" s="24" t="s">
        <v>9</v>
      </c>
      <c r="Y2" s="24" t="s">
        <v>9</v>
      </c>
      <c r="Z2" s="24" t="s">
        <v>9</v>
      </c>
      <c r="AA2" s="24" t="str">
        <f>_xlfn.TRANSLATE(Q2,"es","en")</f>
        <v>A calendar date for an event that happened or will happen.</v>
      </c>
    </row>
    <row r="3" spans="1:27" ht="6.75" customHeight="1" x14ac:dyDescent="0.4">
      <c r="A3" s="35">
        <v>3</v>
      </c>
      <c r="B3" s="57" t="s">
        <v>191</v>
      </c>
      <c r="C3" s="63" t="s">
        <v>197</v>
      </c>
      <c r="D3" s="63" t="s">
        <v>75</v>
      </c>
      <c r="E3" s="63" t="s">
        <v>105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106</v>
      </c>
      <c r="Q3" s="24" t="str">
        <f t="shared" ref="Q3" si="3">_xlfn.TRANSLATE(P3,"pt","es")</f>
        <v>Es una aeronave estándar de tipo dron o UAS.</v>
      </c>
      <c r="R3" s="24" t="s">
        <v>9</v>
      </c>
      <c r="S3" s="24" t="str">
        <f t="shared" si="2"/>
        <v>De Operação</v>
      </c>
      <c r="T3" s="24" t="str">
        <f t="shared" si="2"/>
        <v>Manutenção</v>
      </c>
      <c r="U3" s="24" t="str">
        <f t="shared" si="2"/>
        <v>Vistorias</v>
      </c>
      <c r="V3" s="34" t="s">
        <v>89</v>
      </c>
      <c r="W3" s="30" t="str">
        <f t="shared" ref="W3:W14" si="4">CONCATENATE("Key-UAS-",A3)</f>
        <v>Key-UAS-3</v>
      </c>
      <c r="X3" s="24" t="s">
        <v>102</v>
      </c>
      <c r="Y3" s="24" t="s">
        <v>103</v>
      </c>
      <c r="Z3" s="24" t="s">
        <v>101</v>
      </c>
      <c r="AA3" s="24" t="str">
        <f>_xlfn.TRANSLATE(P3,"pt","en")</f>
        <v>It is a standard drone-type aircraft or UAS.</v>
      </c>
    </row>
    <row r="4" spans="1:27" ht="6.75" customHeight="1" x14ac:dyDescent="0.4">
      <c r="A4" s="35">
        <v>4</v>
      </c>
      <c r="B4" s="57" t="s">
        <v>191</v>
      </c>
      <c r="C4" s="63" t="s">
        <v>197</v>
      </c>
      <c r="D4" s="63" t="s">
        <v>75</v>
      </c>
      <c r="E4" s="63" t="s">
        <v>105</v>
      </c>
      <c r="F4" s="63" t="s">
        <v>104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182</v>
      </c>
      <c r="Q4" s="24" t="str">
        <f t="shared" ref="Q4:Q10" si="5">_xlfn.TRANSLATE(P4,"pt","es")</f>
        <v>Es una aeronave tipo dron o UAS con un dispositivo LIDAR (Detección y Alcance de Luz) incorporado.</v>
      </c>
      <c r="R4" s="24" t="s">
        <v>9</v>
      </c>
      <c r="S4" s="24" t="str">
        <f t="shared" si="2"/>
        <v>De Operação</v>
      </c>
      <c r="T4" s="24" t="str">
        <f t="shared" si="2"/>
        <v>Manutenção</v>
      </c>
      <c r="U4" s="24" t="str">
        <f t="shared" si="2"/>
        <v>Vistorias</v>
      </c>
      <c r="V4" s="34" t="s">
        <v>89</v>
      </c>
      <c r="W4" s="30" t="str">
        <f t="shared" si="4"/>
        <v>Key-UAS-4</v>
      </c>
      <c r="X4" s="24" t="s">
        <v>102</v>
      </c>
      <c r="Y4" s="24" t="s">
        <v>103</v>
      </c>
      <c r="Z4" s="24" t="s">
        <v>101</v>
      </c>
      <c r="AA4" s="24" t="str">
        <f>_xlfn.TRANSLATE(P4,"pt","en")</f>
        <v>It is a drone-type aircraft or UAS with a built-in LIDAR (Light Detection and Ranging) device.</v>
      </c>
    </row>
    <row r="5" spans="1:27" ht="6.75" customHeight="1" x14ac:dyDescent="0.4">
      <c r="A5" s="35">
        <v>5</v>
      </c>
      <c r="B5" s="57" t="s">
        <v>191</v>
      </c>
      <c r="C5" s="63" t="s">
        <v>197</v>
      </c>
      <c r="D5" s="63" t="s">
        <v>75</v>
      </c>
      <c r="E5" s="63" t="s">
        <v>105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tr">
        <f t="shared" si="5"/>
        <v>Plan de vuelo autónomo.</v>
      </c>
      <c r="R5" s="24" t="s">
        <v>9</v>
      </c>
      <c r="S5" s="24" t="str">
        <f t="shared" si="2"/>
        <v>De Operação</v>
      </c>
      <c r="T5" s="24" t="str">
        <f t="shared" si="2"/>
        <v>Manutenção</v>
      </c>
      <c r="U5" s="24" t="str">
        <f t="shared" si="2"/>
        <v>Vistorias</v>
      </c>
      <c r="V5" s="34" t="s">
        <v>89</v>
      </c>
      <c r="W5" s="30" t="str">
        <f t="shared" si="4"/>
        <v>Key-UAS-5</v>
      </c>
      <c r="X5" s="24" t="s">
        <v>9</v>
      </c>
      <c r="Y5" s="24" t="s">
        <v>9</v>
      </c>
      <c r="Z5" s="24" t="s">
        <v>9</v>
      </c>
      <c r="AA5" s="24" t="str">
        <f t="shared" ref="AA5:AA10" si="6">_xlfn.TRANSLATE(P5,"pt","en")</f>
        <v>Autonomous flight plan.</v>
      </c>
    </row>
    <row r="6" spans="1:27" ht="6.75" customHeight="1" x14ac:dyDescent="0.4">
      <c r="A6" s="35">
        <v>6</v>
      </c>
      <c r="B6" s="57" t="s">
        <v>191</v>
      </c>
      <c r="C6" s="63" t="s">
        <v>197</v>
      </c>
      <c r="D6" s="63" t="s">
        <v>75</v>
      </c>
      <c r="E6" s="63" t="s">
        <v>105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tr">
        <f t="shared" si="5"/>
        <v>Vuelo autónomo realizado con un dron.</v>
      </c>
      <c r="R6" s="24" t="s">
        <v>9</v>
      </c>
      <c r="S6" s="24" t="str">
        <f t="shared" si="2"/>
        <v>De Operação</v>
      </c>
      <c r="T6" s="24" t="str">
        <f t="shared" si="2"/>
        <v>Manutenção</v>
      </c>
      <c r="U6" s="24" t="str">
        <f t="shared" si="2"/>
        <v>Vistorias</v>
      </c>
      <c r="V6" s="34" t="s">
        <v>89</v>
      </c>
      <c r="W6" s="30" t="str">
        <f t="shared" si="4"/>
        <v>Key-UAS-6</v>
      </c>
      <c r="X6" s="24" t="s">
        <v>9</v>
      </c>
      <c r="Y6" s="24" t="s">
        <v>9</v>
      </c>
      <c r="Z6" s="24" t="s">
        <v>9</v>
      </c>
      <c r="AA6" s="24" t="str">
        <f t="shared" si="6"/>
        <v>Autonomous flight carried out with a drone.</v>
      </c>
    </row>
    <row r="7" spans="1:27" ht="6.75" customHeight="1" x14ac:dyDescent="0.4">
      <c r="A7" s="35">
        <v>7</v>
      </c>
      <c r="B7" s="57" t="s">
        <v>191</v>
      </c>
      <c r="C7" s="63" t="s">
        <v>197</v>
      </c>
      <c r="D7" s="63" t="s">
        <v>75</v>
      </c>
      <c r="E7" s="63" t="s">
        <v>105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tr">
        <f t="shared" si="5"/>
        <v>El vuelo manual se realiza con dron.</v>
      </c>
      <c r="R7" s="24" t="s">
        <v>9</v>
      </c>
      <c r="S7" s="24" t="str">
        <f t="shared" si="2"/>
        <v>De Operação</v>
      </c>
      <c r="T7" s="24" t="str">
        <f t="shared" si="2"/>
        <v>Manutenção</v>
      </c>
      <c r="U7" s="24" t="str">
        <f t="shared" si="2"/>
        <v>Vistorias</v>
      </c>
      <c r="V7" s="34" t="s">
        <v>89</v>
      </c>
      <c r="W7" s="30" t="str">
        <f t="shared" si="4"/>
        <v>Key-UAS-7</v>
      </c>
      <c r="X7" s="24" t="s">
        <v>9</v>
      </c>
      <c r="Y7" s="24" t="s">
        <v>9</v>
      </c>
      <c r="Z7" s="24" t="s">
        <v>9</v>
      </c>
      <c r="AA7" s="24" t="str">
        <f t="shared" si="6"/>
        <v>Manual flight carried out with drone.</v>
      </c>
    </row>
    <row r="8" spans="1:27" ht="6.75" customHeight="1" x14ac:dyDescent="0.4">
      <c r="A8" s="35">
        <v>8</v>
      </c>
      <c r="B8" s="57" t="s">
        <v>191</v>
      </c>
      <c r="C8" s="63" t="s">
        <v>197</v>
      </c>
      <c r="D8" s="63" t="s">
        <v>75</v>
      </c>
      <c r="E8" s="63" t="s">
        <v>105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tr">
        <f t="shared" si="5"/>
        <v>Inspección realizada en el terreno.</v>
      </c>
      <c r="R8" s="24" t="s">
        <v>9</v>
      </c>
      <c r="S8" s="24" t="str">
        <f t="shared" si="2"/>
        <v>De Operação</v>
      </c>
      <c r="T8" s="24" t="str">
        <f t="shared" si="2"/>
        <v>Manutenção</v>
      </c>
      <c r="U8" s="24" t="str">
        <f t="shared" si="2"/>
        <v>Vistorias</v>
      </c>
      <c r="V8" s="34" t="s">
        <v>89</v>
      </c>
      <c r="W8" s="30" t="str">
        <f t="shared" si="4"/>
        <v>Key-UAS-8</v>
      </c>
      <c r="X8" s="24" t="s">
        <v>9</v>
      </c>
      <c r="Y8" s="24" t="s">
        <v>9</v>
      </c>
      <c r="Z8" s="24" t="s">
        <v>9</v>
      </c>
      <c r="AA8" s="24" t="str">
        <f t="shared" si="6"/>
        <v>Inspection carried out in the field.</v>
      </c>
    </row>
    <row r="9" spans="1:27" ht="6.75" customHeight="1" x14ac:dyDescent="0.4">
      <c r="A9" s="35">
        <v>9</v>
      </c>
      <c r="B9" s="57" t="s">
        <v>191</v>
      </c>
      <c r="C9" s="63" t="s">
        <v>197</v>
      </c>
      <c r="D9" s="63" t="s">
        <v>75</v>
      </c>
      <c r="E9" s="63" t="s">
        <v>177</v>
      </c>
      <c r="F9" s="63" t="s">
        <v>176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178</v>
      </c>
      <c r="Q9" s="24" t="str">
        <f t="shared" si="5"/>
        <v>Banco de Imágenes Fotográficas correspondiente a un vuelo de mantenimiento realizado.</v>
      </c>
      <c r="R9" s="24" t="s">
        <v>9</v>
      </c>
      <c r="S9" s="24" t="str">
        <f t="shared" si="2"/>
        <v>De Operação</v>
      </c>
      <c r="T9" s="24" t="str">
        <f t="shared" si="2"/>
        <v>Manutenção</v>
      </c>
      <c r="U9" s="24" t="str">
        <f t="shared" si="2"/>
        <v>Imagens</v>
      </c>
      <c r="V9" s="34" t="s">
        <v>89</v>
      </c>
      <c r="W9" s="30" t="str">
        <f t="shared" si="4"/>
        <v>Key-UAS-9</v>
      </c>
      <c r="X9" s="24" t="s">
        <v>9</v>
      </c>
      <c r="Y9" s="24" t="s">
        <v>9</v>
      </c>
      <c r="Z9" s="24" t="s">
        <v>179</v>
      </c>
      <c r="AA9" s="24" t="str">
        <f t="shared" si="6"/>
        <v>Photographic Image Bank corresponding to a Maintenance Flight performed.</v>
      </c>
    </row>
    <row r="10" spans="1:27" ht="6.75" customHeight="1" x14ac:dyDescent="0.4">
      <c r="A10" s="35">
        <v>10</v>
      </c>
      <c r="B10" s="57" t="s">
        <v>191</v>
      </c>
      <c r="C10" s="63" t="s">
        <v>197</v>
      </c>
      <c r="D10" s="63" t="s">
        <v>75</v>
      </c>
      <c r="E10" s="63" t="s">
        <v>177</v>
      </c>
      <c r="F10" s="63" t="s">
        <v>155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156</v>
      </c>
      <c r="Q10" s="24" t="str">
        <f t="shared" si="5"/>
        <v>Imagen fotográfica correspondiente a un WayPoint.</v>
      </c>
      <c r="R10" s="24" t="s">
        <v>9</v>
      </c>
      <c r="S10" s="24" t="str">
        <f t="shared" si="2"/>
        <v>De Operação</v>
      </c>
      <c r="T10" s="24" t="str">
        <f t="shared" si="2"/>
        <v>Manutenção</v>
      </c>
      <c r="U10" s="24" t="str">
        <f t="shared" si="2"/>
        <v>Imagens</v>
      </c>
      <c r="V10" s="34" t="s">
        <v>89</v>
      </c>
      <c r="W10" s="30" t="str">
        <f t="shared" si="4"/>
        <v>Key-UAS-10</v>
      </c>
      <c r="X10" s="24" t="s">
        <v>9</v>
      </c>
      <c r="Y10" s="24" t="s">
        <v>9</v>
      </c>
      <c r="Z10" s="24" t="s">
        <v>157</v>
      </c>
      <c r="AA10" s="24" t="str">
        <f t="shared" si="6"/>
        <v>Photographic image corresponding to a WayPoint.</v>
      </c>
    </row>
    <row r="11" spans="1:27" ht="6.75" customHeight="1" x14ac:dyDescent="0.4">
      <c r="A11" s="35">
        <v>11</v>
      </c>
      <c r="B11" s="57" t="s">
        <v>191</v>
      </c>
      <c r="C11" s="63" t="s">
        <v>197</v>
      </c>
      <c r="D11" s="63" t="s">
        <v>75</v>
      </c>
      <c r="E11" s="63" t="s">
        <v>177</v>
      </c>
      <c r="F11" s="63" t="s">
        <v>183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181</v>
      </c>
      <c r="Q11" s="24" t="str">
        <f t="shared" ref="Q11" si="7">_xlfn.TRANSLATE(P11,"pt","es")</f>
        <v>Vídeo grabado durante un vuelo.</v>
      </c>
      <c r="R11" s="24" t="s">
        <v>9</v>
      </c>
      <c r="S11" s="24" t="str">
        <f t="shared" si="2"/>
        <v>De Operação</v>
      </c>
      <c r="T11" s="24" t="str">
        <f t="shared" si="2"/>
        <v>Manutenção</v>
      </c>
      <c r="U11" s="24" t="str">
        <f t="shared" si="2"/>
        <v>Imagens</v>
      </c>
      <c r="V11" s="34" t="s">
        <v>89</v>
      </c>
      <c r="W11" s="30" t="str">
        <f t="shared" si="4"/>
        <v>Key-UAS-11</v>
      </c>
      <c r="X11" s="24" t="s">
        <v>9</v>
      </c>
      <c r="Y11" s="24" t="s">
        <v>9</v>
      </c>
      <c r="Z11" s="24" t="s">
        <v>179</v>
      </c>
      <c r="AA11" s="24" t="str">
        <f t="shared" ref="AA11" si="8">_xlfn.TRANSLATE(P11,"pt","en")</f>
        <v>Video recorded during a flight.</v>
      </c>
    </row>
    <row r="12" spans="1:27" ht="6.75" customHeight="1" x14ac:dyDescent="0.4">
      <c r="A12" s="35">
        <v>12</v>
      </c>
      <c r="B12" s="57" t="s">
        <v>100</v>
      </c>
      <c r="C12" s="64" t="s">
        <v>107</v>
      </c>
      <c r="D12" s="64" t="s">
        <v>202</v>
      </c>
      <c r="E12" s="64" t="s">
        <v>199</v>
      </c>
      <c r="F12" s="63" t="s">
        <v>186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188</v>
      </c>
      <c r="Q12" s="24" t="str">
        <f t="shared" ref="Q12:Q14" si="9">_xlfn.TRANSLATE(P12,"pt","es")</f>
        <v>El vuelo con drones planeó realizar acciones de conservación de los sistemas del edificio.</v>
      </c>
      <c r="R12" s="24" t="s">
        <v>9</v>
      </c>
      <c r="S12" s="24" t="str">
        <f t="shared" si="2"/>
        <v>De Manutenção</v>
      </c>
      <c r="T12" s="24" t="str">
        <f t="shared" si="2"/>
        <v>Diagnósticas</v>
      </c>
      <c r="U12" s="24" t="str">
        <f t="shared" si="2"/>
        <v>Preventivas</v>
      </c>
      <c r="V12" s="34" t="s">
        <v>89</v>
      </c>
      <c r="W12" s="30" t="str">
        <f t="shared" si="4"/>
        <v>Key-UAS-12</v>
      </c>
      <c r="X12" s="24" t="s">
        <v>9</v>
      </c>
      <c r="Y12" s="24" t="s">
        <v>9</v>
      </c>
      <c r="Z12" s="24" t="s">
        <v>9</v>
      </c>
      <c r="AA12" s="24" t="str">
        <f t="shared" ref="AA12:AA14" si="10">_xlfn.TRANSLATE(P12,"pt","en")</f>
        <v>Drone flight planned to take conservation actions of building systems.</v>
      </c>
    </row>
    <row r="13" spans="1:27" ht="6.75" customHeight="1" x14ac:dyDescent="0.4">
      <c r="A13" s="35">
        <v>13</v>
      </c>
      <c r="B13" s="57" t="s">
        <v>100</v>
      </c>
      <c r="C13" s="64" t="s">
        <v>107</v>
      </c>
      <c r="D13" s="64" t="s">
        <v>202</v>
      </c>
      <c r="E13" s="64" t="s">
        <v>200</v>
      </c>
      <c r="F13" s="63" t="s">
        <v>185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187</v>
      </c>
      <c r="Q13" s="24" t="str">
        <f t="shared" si="9"/>
        <v>El vuelo de drones planeó tomar medidas correctivas para patologías.</v>
      </c>
      <c r="R13" s="24" t="s">
        <v>9</v>
      </c>
      <c r="S13" s="24" t="str">
        <f t="shared" si="2"/>
        <v>De Manutenção</v>
      </c>
      <c r="T13" s="24" t="str">
        <f t="shared" si="2"/>
        <v>Diagnósticas</v>
      </c>
      <c r="U13" s="24" t="str">
        <f t="shared" si="2"/>
        <v>Corretivas</v>
      </c>
      <c r="V13" s="34" t="s">
        <v>89</v>
      </c>
      <c r="W13" s="30" t="str">
        <f t="shared" si="4"/>
        <v>Key-UAS-13</v>
      </c>
      <c r="X13" s="24" t="s">
        <v>9</v>
      </c>
      <c r="Y13" s="24" t="s">
        <v>9</v>
      </c>
      <c r="Z13" s="24" t="s">
        <v>9</v>
      </c>
      <c r="AA13" s="24" t="str">
        <f t="shared" si="10"/>
        <v>Drone flight planned to take corrective actions for pathologies.</v>
      </c>
    </row>
    <row r="14" spans="1:27" ht="6.75" customHeight="1" x14ac:dyDescent="0.4">
      <c r="A14" s="35">
        <v>14</v>
      </c>
      <c r="B14" s="57" t="s">
        <v>100</v>
      </c>
      <c r="C14" s="64" t="s">
        <v>107</v>
      </c>
      <c r="D14" s="64" t="s">
        <v>202</v>
      </c>
      <c r="E14" s="64" t="s">
        <v>201</v>
      </c>
      <c r="F14" s="63" t="s">
        <v>184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190</v>
      </c>
      <c r="Q14" s="24" t="str">
        <f t="shared" si="9"/>
        <v>Vuelo planificado con dron para predecir el mantenimiento futuro o patologías.</v>
      </c>
      <c r="R14" s="24" t="s">
        <v>9</v>
      </c>
      <c r="S14" s="24" t="str">
        <f t="shared" si="2"/>
        <v>De Manutenção</v>
      </c>
      <c r="T14" s="24" t="str">
        <f t="shared" si="2"/>
        <v>Diagnósticas</v>
      </c>
      <c r="U14" s="24" t="str">
        <f t="shared" si="2"/>
        <v>Preditivas</v>
      </c>
      <c r="V14" s="34" t="s">
        <v>89</v>
      </c>
      <c r="W14" s="30" t="str">
        <f t="shared" si="4"/>
        <v>Key-UAS-14</v>
      </c>
      <c r="X14" s="24" t="s">
        <v>9</v>
      </c>
      <c r="Y14" s="24" t="s">
        <v>9</v>
      </c>
      <c r="Z14" s="24" t="s">
        <v>9</v>
      </c>
      <c r="AA14" s="24" t="str">
        <f t="shared" si="10"/>
        <v>Planned drone flight to predict future maintenance or pathologies.</v>
      </c>
    </row>
  </sheetData>
  <conditionalFormatting sqref="F1">
    <cfRule type="duplicateValues" dxfId="12" priority="39"/>
    <cfRule type="duplicateValues" dxfId="11" priority="40"/>
    <cfRule type="duplicateValues" dxfId="10" priority="41"/>
    <cfRule type="duplicateValues" dxfId="9" priority="42"/>
    <cfRule type="duplicateValues" dxfId="8" priority="43"/>
  </conditionalFormatting>
  <conditionalFormatting sqref="F2">
    <cfRule type="duplicateValues" dxfId="7" priority="4"/>
    <cfRule type="duplicateValues" dxfId="6" priority="5"/>
  </conditionalFormatting>
  <conditionalFormatting sqref="F3:F7 F1">
    <cfRule type="duplicateValues" dxfId="5" priority="185"/>
  </conditionalFormatting>
  <conditionalFormatting sqref="F3:F1048576 F1">
    <cfRule type="duplicateValues" dxfId="4" priority="14"/>
  </conditionalFormatting>
  <conditionalFormatting sqref="F12:F1048576 F1 F3:F7">
    <cfRule type="duplicateValues" dxfId="3" priority="36"/>
  </conditionalFormatting>
  <conditionalFormatting sqref="G1:O1">
    <cfRule type="cellIs" dxfId="2" priority="38" operator="equal">
      <formula>"null"</formula>
    </cfRule>
  </conditionalFormatting>
  <conditionalFormatting sqref="AA1:AA14 A2:B14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  <ignoredError sqref="AA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16"/>
  </cols>
  <sheetData>
    <row r="1" spans="1:21" ht="7.75" x14ac:dyDescent="0.2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7.75" x14ac:dyDescent="0.2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10.5" customHeight="1" x14ac:dyDescent="0.2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2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4"/>
  <cols>
    <col min="1" max="1" width="2.53515625" bestFit="1" customWidth="1"/>
    <col min="2" max="2" width="8.53515625" customWidth="1"/>
    <col min="3" max="3" width="8.69140625" customWidth="1"/>
    <col min="4" max="4" width="7.15234375" customWidth="1"/>
    <col min="5" max="5" width="4" customWidth="1"/>
    <col min="6" max="6" width="6.84375" customWidth="1"/>
    <col min="7" max="7" width="4.84375" customWidth="1"/>
    <col min="8" max="8" width="7.15234375" customWidth="1"/>
    <col min="9" max="9" width="7.3046875" customWidth="1"/>
    <col min="10" max="10" width="3.69140625" customWidth="1"/>
    <col min="11" max="11" width="4" customWidth="1"/>
    <col min="12" max="12" width="3.15234375" customWidth="1"/>
    <col min="13" max="13" width="14.53515625" customWidth="1"/>
    <col min="14" max="14" width="4.53515625" customWidth="1"/>
    <col min="15" max="15" width="7.15234375" customWidth="1"/>
    <col min="16" max="16" width="5.3828125" customWidth="1"/>
    <col min="17" max="17" width="28.84375" customWidth="1"/>
    <col min="18" max="18" width="6.3828125" customWidth="1"/>
    <col min="19" max="19" width="31.84375" customWidth="1"/>
    <col min="20" max="20" width="2.84375" customWidth="1"/>
    <col min="21" max="21" width="7.3046875" customWidth="1"/>
    <col min="22" max="22" width="6.69140625" customWidth="1"/>
    <col min="23" max="23" width="9.53515625" customWidth="1"/>
    <col min="24" max="24" width="4.84375" customWidth="1"/>
    <col min="25" max="25" width="7.3828125" customWidth="1"/>
    <col min="26" max="26" width="6.3046875" customWidth="1"/>
    <col min="27" max="27" width="10.3828125" customWidth="1"/>
  </cols>
  <sheetData>
    <row r="1" spans="1:27" ht="21.75" customHeight="1" x14ac:dyDescent="0.4">
      <c r="A1" s="36" t="s">
        <v>108</v>
      </c>
      <c r="B1" s="37" t="s">
        <v>109</v>
      </c>
      <c r="C1" s="37" t="s">
        <v>13</v>
      </c>
      <c r="D1" s="38" t="s">
        <v>110</v>
      </c>
      <c r="E1" s="37" t="s">
        <v>2</v>
      </c>
      <c r="F1" s="38" t="s">
        <v>110</v>
      </c>
      <c r="G1" s="38" t="s">
        <v>2</v>
      </c>
      <c r="H1" s="39" t="s">
        <v>110</v>
      </c>
      <c r="I1" s="37" t="s">
        <v>2</v>
      </c>
      <c r="J1" s="38" t="s">
        <v>110</v>
      </c>
      <c r="K1" s="38" t="s">
        <v>2</v>
      </c>
      <c r="L1" s="37" t="s">
        <v>110</v>
      </c>
      <c r="M1" s="37" t="s">
        <v>2</v>
      </c>
      <c r="N1" s="37" t="s">
        <v>110</v>
      </c>
      <c r="O1" s="37" t="s">
        <v>2</v>
      </c>
      <c r="P1" s="38" t="s">
        <v>110</v>
      </c>
      <c r="Q1" s="38" t="s">
        <v>2</v>
      </c>
      <c r="R1" s="38" t="s">
        <v>110</v>
      </c>
      <c r="S1" s="38" t="s">
        <v>2</v>
      </c>
      <c r="T1" s="37" t="s">
        <v>110</v>
      </c>
      <c r="U1" s="37" t="s">
        <v>2</v>
      </c>
      <c r="V1" s="40" t="s">
        <v>110</v>
      </c>
      <c r="W1" s="41" t="s">
        <v>111</v>
      </c>
      <c r="X1" s="42" t="s">
        <v>110</v>
      </c>
      <c r="Y1" s="41" t="s">
        <v>111</v>
      </c>
      <c r="Z1" s="42" t="s">
        <v>110</v>
      </c>
      <c r="AA1" s="41" t="s">
        <v>111</v>
      </c>
    </row>
    <row r="2" spans="1:27" ht="6.75" customHeight="1" x14ac:dyDescent="0.4">
      <c r="A2" s="43">
        <v>2</v>
      </c>
      <c r="B2" s="44" t="s">
        <v>127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128</v>
      </c>
      <c r="O2" s="52" t="s">
        <v>129</v>
      </c>
      <c r="P2" s="51" t="s">
        <v>114</v>
      </c>
      <c r="Q2" s="52" t="s">
        <v>130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118</v>
      </c>
      <c r="W2" s="55" t="s">
        <v>131</v>
      </c>
      <c r="X2" s="48" t="s">
        <v>119</v>
      </c>
      <c r="Y2" s="52" t="s">
        <v>132</v>
      </c>
      <c r="Z2" s="48" t="s">
        <v>120</v>
      </c>
      <c r="AA2" s="52" t="s">
        <v>133</v>
      </c>
    </row>
    <row r="3" spans="1:27" ht="6.75" customHeight="1" x14ac:dyDescent="0.4">
      <c r="A3" s="43">
        <v>3</v>
      </c>
      <c r="B3" s="44" t="s">
        <v>150</v>
      </c>
      <c r="C3" s="45" t="s">
        <v>199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112</v>
      </c>
      <c r="M3" s="49" t="s">
        <v>113</v>
      </c>
      <c r="N3" s="48" t="s">
        <v>9</v>
      </c>
      <c r="O3" s="50" t="s">
        <v>9</v>
      </c>
      <c r="P3" s="51" t="s">
        <v>114</v>
      </c>
      <c r="Q3" s="52" t="s">
        <v>196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120</v>
      </c>
      <c r="AA3" s="52" t="s">
        <v>154</v>
      </c>
    </row>
    <row r="4" spans="1:27" ht="6.75" customHeight="1" x14ac:dyDescent="0.4">
      <c r="A4" s="43">
        <v>4</v>
      </c>
      <c r="B4" s="44" t="s">
        <v>151</v>
      </c>
      <c r="C4" s="45" t="s">
        <v>199</v>
      </c>
      <c r="D4" s="46" t="s">
        <v>115</v>
      </c>
      <c r="E4" s="54" t="s">
        <v>116</v>
      </c>
      <c r="F4" s="46" t="s">
        <v>9</v>
      </c>
      <c r="G4" s="47" t="s">
        <v>9</v>
      </c>
      <c r="H4" s="46" t="s">
        <v>117</v>
      </c>
      <c r="I4" s="54" t="s">
        <v>150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114</v>
      </c>
      <c r="Q4" s="52" t="s">
        <v>196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120</v>
      </c>
      <c r="AA4" s="52" t="s">
        <v>154</v>
      </c>
    </row>
    <row r="5" spans="1:27" ht="6.75" customHeight="1" x14ac:dyDescent="0.4">
      <c r="A5" s="43">
        <v>5</v>
      </c>
      <c r="B5" s="44" t="s">
        <v>152</v>
      </c>
      <c r="C5" s="45" t="s">
        <v>199</v>
      </c>
      <c r="D5" s="46" t="s">
        <v>115</v>
      </c>
      <c r="E5" s="54" t="s">
        <v>121</v>
      </c>
      <c r="F5" s="46" t="s">
        <v>9</v>
      </c>
      <c r="G5" s="47" t="s">
        <v>9</v>
      </c>
      <c r="H5" s="46" t="s">
        <v>117</v>
      </c>
      <c r="I5" s="54" t="s">
        <v>150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114</v>
      </c>
      <c r="Q5" s="52" t="s">
        <v>196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120</v>
      </c>
      <c r="AA5" s="52" t="s">
        <v>154</v>
      </c>
    </row>
    <row r="6" spans="1:27" ht="6.75" customHeight="1" x14ac:dyDescent="0.4">
      <c r="A6" s="43">
        <v>6</v>
      </c>
      <c r="B6" s="44" t="s">
        <v>122</v>
      </c>
      <c r="C6" s="45" t="s">
        <v>176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117</v>
      </c>
      <c r="I6" s="54" t="s">
        <v>150</v>
      </c>
      <c r="J6" s="46" t="s">
        <v>9</v>
      </c>
      <c r="K6" s="47" t="s">
        <v>9</v>
      </c>
      <c r="L6" s="48" t="s">
        <v>112</v>
      </c>
      <c r="M6" s="49" t="s">
        <v>123</v>
      </c>
      <c r="N6" s="51" t="s">
        <v>9</v>
      </c>
      <c r="O6" s="52" t="s">
        <v>9</v>
      </c>
      <c r="P6" s="51" t="s">
        <v>114</v>
      </c>
      <c r="Q6" s="52" t="s">
        <v>124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120</v>
      </c>
      <c r="AA6" s="52" t="s">
        <v>154</v>
      </c>
    </row>
    <row r="7" spans="1:27" ht="6.75" customHeight="1" x14ac:dyDescent="0.4">
      <c r="A7" s="43">
        <v>7</v>
      </c>
      <c r="B7" s="44" t="s">
        <v>125</v>
      </c>
      <c r="C7" s="45" t="s">
        <v>176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117</v>
      </c>
      <c r="I7" s="54" t="s">
        <v>150</v>
      </c>
      <c r="J7" s="46" t="s">
        <v>9</v>
      </c>
      <c r="K7" s="47" t="s">
        <v>9</v>
      </c>
      <c r="L7" s="48" t="s">
        <v>112</v>
      </c>
      <c r="M7" s="49" t="s">
        <v>126</v>
      </c>
      <c r="N7" s="51" t="s">
        <v>9</v>
      </c>
      <c r="O7" s="52" t="s">
        <v>9</v>
      </c>
      <c r="P7" s="51" t="s">
        <v>114</v>
      </c>
      <c r="Q7" s="52" t="s">
        <v>124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120</v>
      </c>
      <c r="AA7" s="52" t="s">
        <v>154</v>
      </c>
    </row>
    <row r="8" spans="1:27" ht="6.75" customHeight="1" x14ac:dyDescent="0.4">
      <c r="A8" s="43">
        <v>8</v>
      </c>
      <c r="B8" s="44" t="s">
        <v>158</v>
      </c>
      <c r="C8" s="45" t="s">
        <v>155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117</v>
      </c>
      <c r="I8" s="54" t="s">
        <v>122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114</v>
      </c>
      <c r="Q8" s="52" t="s">
        <v>175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120</v>
      </c>
      <c r="AA8" s="52" t="s">
        <v>180</v>
      </c>
    </row>
    <row r="9" spans="1:27" ht="6.75" customHeight="1" x14ac:dyDescent="0.4">
      <c r="A9" s="43">
        <v>9</v>
      </c>
      <c r="B9" s="44" t="s">
        <v>159</v>
      </c>
      <c r="C9" s="45" t="s">
        <v>155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117</v>
      </c>
      <c r="I9" s="54" t="s">
        <v>122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114</v>
      </c>
      <c r="Q9" s="52" t="s">
        <v>175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120</v>
      </c>
      <c r="AA9" s="52" t="s">
        <v>180</v>
      </c>
    </row>
    <row r="10" spans="1:27" ht="6.75" customHeight="1" x14ac:dyDescent="0.4">
      <c r="A10" s="43">
        <v>10</v>
      </c>
      <c r="B10" s="44" t="s">
        <v>160</v>
      </c>
      <c r="C10" s="45" t="s">
        <v>155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117</v>
      </c>
      <c r="I10" s="54" t="s">
        <v>122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114</v>
      </c>
      <c r="Q10" s="52" t="s">
        <v>175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120</v>
      </c>
      <c r="AA10" s="52" t="s">
        <v>180</v>
      </c>
    </row>
    <row r="11" spans="1:27" ht="6.75" customHeight="1" x14ac:dyDescent="0.4">
      <c r="A11" s="43">
        <v>11</v>
      </c>
      <c r="B11" s="44" t="s">
        <v>161</v>
      </c>
      <c r="C11" s="45" t="s">
        <v>155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117</v>
      </c>
      <c r="I11" s="54" t="s">
        <v>122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114</v>
      </c>
      <c r="Q11" s="52" t="s">
        <v>175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120</v>
      </c>
      <c r="AA11" s="52" t="s">
        <v>180</v>
      </c>
    </row>
    <row r="12" spans="1:27" ht="6.75" customHeight="1" x14ac:dyDescent="0.4">
      <c r="A12" s="43">
        <v>12</v>
      </c>
      <c r="B12" s="44" t="s">
        <v>162</v>
      </c>
      <c r="C12" s="45" t="s">
        <v>155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117</v>
      </c>
      <c r="I12" s="54" t="s">
        <v>122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114</v>
      </c>
      <c r="Q12" s="52" t="s">
        <v>175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120</v>
      </c>
      <c r="AA12" s="52" t="s">
        <v>180</v>
      </c>
    </row>
    <row r="13" spans="1:27" ht="6.75" customHeight="1" x14ac:dyDescent="0.4">
      <c r="A13" s="43">
        <v>13</v>
      </c>
      <c r="B13" s="44" t="s">
        <v>163</v>
      </c>
      <c r="C13" s="45" t="s">
        <v>155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117</v>
      </c>
      <c r="I13" s="54" t="s">
        <v>122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114</v>
      </c>
      <c r="Q13" s="52" t="s">
        <v>175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120</v>
      </c>
      <c r="AA13" s="52" t="s">
        <v>180</v>
      </c>
    </row>
    <row r="14" spans="1:27" ht="6.75" customHeight="1" x14ac:dyDescent="0.4">
      <c r="A14" s="43">
        <v>14</v>
      </c>
      <c r="B14" s="44" t="s">
        <v>164</v>
      </c>
      <c r="C14" s="45" t="s">
        <v>155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117</v>
      </c>
      <c r="I14" s="54" t="s">
        <v>122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114</v>
      </c>
      <c r="Q14" s="52" t="s">
        <v>175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120</v>
      </c>
      <c r="AA14" s="52" t="s">
        <v>180</v>
      </c>
    </row>
    <row r="15" spans="1:27" ht="6.75" customHeight="1" x14ac:dyDescent="0.4">
      <c r="A15" s="43">
        <v>15</v>
      </c>
      <c r="B15" s="44" t="s">
        <v>165</v>
      </c>
      <c r="C15" s="45" t="s">
        <v>155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117</v>
      </c>
      <c r="I15" s="54" t="s">
        <v>122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114</v>
      </c>
      <c r="Q15" s="52" t="s">
        <v>175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120</v>
      </c>
      <c r="AA15" s="52" t="s">
        <v>180</v>
      </c>
    </row>
    <row r="16" spans="1:27" ht="6.75" customHeight="1" x14ac:dyDescent="0.4">
      <c r="A16" s="43">
        <v>16</v>
      </c>
      <c r="B16" s="44" t="s">
        <v>166</v>
      </c>
      <c r="C16" s="45" t="s">
        <v>155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117</v>
      </c>
      <c r="I16" s="54" t="s">
        <v>125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114</v>
      </c>
      <c r="Q16" s="52" t="s">
        <v>174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120</v>
      </c>
      <c r="AA16" s="52" t="s">
        <v>180</v>
      </c>
    </row>
    <row r="17" spans="1:27" ht="6.75" customHeight="1" x14ac:dyDescent="0.4">
      <c r="A17" s="43">
        <v>17</v>
      </c>
      <c r="B17" s="44" t="s">
        <v>167</v>
      </c>
      <c r="C17" s="45" t="s">
        <v>155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117</v>
      </c>
      <c r="I17" s="54" t="s">
        <v>125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114</v>
      </c>
      <c r="Q17" s="52" t="s">
        <v>174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120</v>
      </c>
      <c r="AA17" s="52" t="s">
        <v>180</v>
      </c>
    </row>
    <row r="18" spans="1:27" ht="6.75" customHeight="1" x14ac:dyDescent="0.4">
      <c r="A18" s="43">
        <v>18</v>
      </c>
      <c r="B18" s="44" t="s">
        <v>168</v>
      </c>
      <c r="C18" s="45" t="s">
        <v>155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117</v>
      </c>
      <c r="I18" s="54" t="s">
        <v>125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114</v>
      </c>
      <c r="Q18" s="52" t="s">
        <v>174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120</v>
      </c>
      <c r="AA18" s="52" t="s">
        <v>180</v>
      </c>
    </row>
    <row r="19" spans="1:27" ht="6.75" customHeight="1" x14ac:dyDescent="0.4">
      <c r="A19" s="43">
        <v>19</v>
      </c>
      <c r="B19" s="44" t="s">
        <v>169</v>
      </c>
      <c r="C19" s="45" t="s">
        <v>155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117</v>
      </c>
      <c r="I19" s="54" t="s">
        <v>125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114</v>
      </c>
      <c r="Q19" s="52" t="s">
        <v>174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120</v>
      </c>
      <c r="AA19" s="52" t="s">
        <v>180</v>
      </c>
    </row>
    <row r="20" spans="1:27" ht="6.75" customHeight="1" x14ac:dyDescent="0.4">
      <c r="A20" s="43">
        <v>20</v>
      </c>
      <c r="B20" s="44" t="s">
        <v>170</v>
      </c>
      <c r="C20" s="45" t="s">
        <v>155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117</v>
      </c>
      <c r="I20" s="54" t="s">
        <v>125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114</v>
      </c>
      <c r="Q20" s="52" t="s">
        <v>174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120</v>
      </c>
      <c r="AA20" s="52" t="s">
        <v>180</v>
      </c>
    </row>
    <row r="21" spans="1:27" ht="6.75" customHeight="1" x14ac:dyDescent="0.4">
      <c r="A21" s="43">
        <v>21</v>
      </c>
      <c r="B21" s="44" t="s">
        <v>171</v>
      </c>
      <c r="C21" s="45" t="s">
        <v>155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117</v>
      </c>
      <c r="I21" s="54" t="s">
        <v>125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114</v>
      </c>
      <c r="Q21" s="52" t="s">
        <v>174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120</v>
      </c>
      <c r="AA21" s="52" t="s">
        <v>180</v>
      </c>
    </row>
    <row r="22" spans="1:27" ht="6.75" customHeight="1" x14ac:dyDescent="0.4">
      <c r="A22" s="43">
        <v>22</v>
      </c>
      <c r="B22" s="44" t="s">
        <v>172</v>
      </c>
      <c r="C22" s="45" t="s">
        <v>155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117</v>
      </c>
      <c r="I22" s="54" t="s">
        <v>125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114</v>
      </c>
      <c r="Q22" s="52" t="s">
        <v>174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120</v>
      </c>
      <c r="AA22" s="52" t="s">
        <v>180</v>
      </c>
    </row>
    <row r="23" spans="1:27" ht="6.75" customHeight="1" x14ac:dyDescent="0.4">
      <c r="A23" s="43">
        <v>23</v>
      </c>
      <c r="B23" s="44" t="s">
        <v>173</v>
      </c>
      <c r="C23" s="45" t="s">
        <v>155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117</v>
      </c>
      <c r="I23" s="54" t="s">
        <v>125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114</v>
      </c>
      <c r="Q23" s="52" t="s">
        <v>174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120</v>
      </c>
      <c r="AA23" s="52" t="s">
        <v>180</v>
      </c>
    </row>
    <row r="24" spans="1:27" ht="6.75" customHeight="1" x14ac:dyDescent="0.4">
      <c r="A24" s="43">
        <v>24</v>
      </c>
      <c r="B24" s="44" t="s">
        <v>134</v>
      </c>
      <c r="C24" s="45" t="s">
        <v>84</v>
      </c>
      <c r="D24" s="46" t="s">
        <v>135</v>
      </c>
      <c r="E24" s="54" t="s">
        <v>127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114</v>
      </c>
      <c r="Q24" s="52" t="s">
        <v>136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120</v>
      </c>
      <c r="AA24" s="52" t="s">
        <v>189</v>
      </c>
    </row>
    <row r="25" spans="1:27" ht="6.75" customHeight="1" x14ac:dyDescent="0.4">
      <c r="A25" s="43">
        <v>25</v>
      </c>
      <c r="B25" s="44" t="s">
        <v>137</v>
      </c>
      <c r="C25" s="45" t="s">
        <v>84</v>
      </c>
      <c r="D25" s="46" t="s">
        <v>135</v>
      </c>
      <c r="E25" s="54" t="s">
        <v>127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114</v>
      </c>
      <c r="Q25" s="52" t="s">
        <v>136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120</v>
      </c>
      <c r="AA25" s="52" t="s">
        <v>189</v>
      </c>
    </row>
    <row r="26" spans="1:27" ht="6.75" customHeight="1" x14ac:dyDescent="0.4">
      <c r="A26" s="43">
        <v>26</v>
      </c>
      <c r="B26" s="44" t="s">
        <v>116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117</v>
      </c>
      <c r="I26" s="54" t="s">
        <v>151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114</v>
      </c>
      <c r="Q26" s="52" t="s">
        <v>138</v>
      </c>
      <c r="R26" s="48" t="s">
        <v>9</v>
      </c>
      <c r="S26" s="50" t="s">
        <v>9</v>
      </c>
      <c r="T26" s="48" t="s">
        <v>139</v>
      </c>
      <c r="U26" s="56" t="s">
        <v>140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120</v>
      </c>
      <c r="AA26" s="52" t="s">
        <v>153</v>
      </c>
    </row>
    <row r="27" spans="1:27" ht="6.75" customHeight="1" x14ac:dyDescent="0.4">
      <c r="A27" s="43">
        <v>27</v>
      </c>
      <c r="B27" s="44" t="s">
        <v>121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117</v>
      </c>
      <c r="I27" s="54" t="s">
        <v>152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114</v>
      </c>
      <c r="Q27" s="52" t="s">
        <v>138</v>
      </c>
      <c r="R27" s="48" t="s">
        <v>9</v>
      </c>
      <c r="S27" s="50" t="s">
        <v>9</v>
      </c>
      <c r="T27" s="48" t="s">
        <v>139</v>
      </c>
      <c r="U27" s="56" t="s">
        <v>141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120</v>
      </c>
      <c r="AA27" s="52" t="s">
        <v>153</v>
      </c>
    </row>
    <row r="28" spans="1:27" ht="6.75" customHeight="1" x14ac:dyDescent="0.4">
      <c r="A28" s="43">
        <v>28</v>
      </c>
      <c r="B28" s="44" t="s">
        <v>142</v>
      </c>
      <c r="C28" s="45" t="s">
        <v>186</v>
      </c>
      <c r="D28" s="46" t="s">
        <v>143</v>
      </c>
      <c r="E28" s="54" t="s">
        <v>127</v>
      </c>
      <c r="F28" s="46" t="s">
        <v>144</v>
      </c>
      <c r="G28" s="54" t="s">
        <v>134</v>
      </c>
      <c r="H28" s="46" t="s">
        <v>117</v>
      </c>
      <c r="I28" s="47" t="s">
        <v>122</v>
      </c>
      <c r="J28" s="46" t="s">
        <v>115</v>
      </c>
      <c r="K28" s="47" t="s">
        <v>116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114</v>
      </c>
      <c r="Q28" s="52" t="s">
        <v>145</v>
      </c>
      <c r="R28" s="51" t="s">
        <v>146</v>
      </c>
      <c r="S28" s="52" t="s">
        <v>147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4">
      <c r="A29" s="43">
        <v>29</v>
      </c>
      <c r="B29" s="44" t="s">
        <v>148</v>
      </c>
      <c r="C29" s="45" t="s">
        <v>186</v>
      </c>
      <c r="D29" s="46" t="s">
        <v>143</v>
      </c>
      <c r="E29" s="54" t="s">
        <v>127</v>
      </c>
      <c r="F29" s="46" t="s">
        <v>144</v>
      </c>
      <c r="G29" s="54" t="s">
        <v>137</v>
      </c>
      <c r="H29" s="46" t="s">
        <v>117</v>
      </c>
      <c r="I29" s="47" t="s">
        <v>125</v>
      </c>
      <c r="J29" s="46" t="s">
        <v>115</v>
      </c>
      <c r="K29" s="47" t="s">
        <v>121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114</v>
      </c>
      <c r="Q29" s="52" t="s">
        <v>145</v>
      </c>
      <c r="R29" s="51" t="s">
        <v>146</v>
      </c>
      <c r="S29" s="52" t="s">
        <v>149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2026-08-15T11:58:25Z</dcterms:modified>
</cp:coreProperties>
</file>