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AAF4555-4469-4020-ABA3-4C3C53D1D346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4" l="1"/>
  <c r="X31" i="4"/>
  <c r="X30" i="4"/>
  <c r="X29" i="4"/>
  <c r="X28" i="4"/>
  <c r="P183" i="10" l="1"/>
  <c r="P182" i="10"/>
  <c r="P181" i="10"/>
  <c r="P180" i="10"/>
  <c r="P179" i="10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L15" i="4" l="1"/>
  <c r="M15" i="4"/>
  <c r="N15" i="4"/>
  <c r="O15" i="4"/>
  <c r="T15" i="4"/>
  <c r="U15" i="4"/>
  <c r="V15" i="4"/>
  <c r="X15" i="4"/>
  <c r="L16" i="4"/>
  <c r="M16" i="4"/>
  <c r="N16" i="4"/>
  <c r="O16" i="4"/>
  <c r="T16" i="4"/>
  <c r="U16" i="4"/>
  <c r="V16" i="4"/>
  <c r="X16" i="4"/>
  <c r="L17" i="4"/>
  <c r="M17" i="4"/>
  <c r="N17" i="4"/>
  <c r="O17" i="4"/>
  <c r="T17" i="4"/>
  <c r="U17" i="4"/>
  <c r="V17" i="4"/>
  <c r="X17" i="4"/>
  <c r="L18" i="4"/>
  <c r="M18" i="4"/>
  <c r="N18" i="4"/>
  <c r="O18" i="4"/>
  <c r="T18" i="4"/>
  <c r="U18" i="4"/>
  <c r="V18" i="4"/>
  <c r="X18" i="4"/>
  <c r="L19" i="4"/>
  <c r="M19" i="4"/>
  <c r="N19" i="4"/>
  <c r="O19" i="4"/>
  <c r="T19" i="4"/>
  <c r="U19" i="4"/>
  <c r="V19" i="4"/>
  <c r="X19" i="4"/>
  <c r="L20" i="4"/>
  <c r="M20" i="4"/>
  <c r="N20" i="4"/>
  <c r="O20" i="4"/>
  <c r="T20" i="4"/>
  <c r="U20" i="4"/>
  <c r="V20" i="4"/>
  <c r="X20" i="4"/>
  <c r="L21" i="4"/>
  <c r="M21" i="4"/>
  <c r="N21" i="4"/>
  <c r="O21" i="4"/>
  <c r="T21" i="4"/>
  <c r="U21" i="4"/>
  <c r="V21" i="4"/>
  <c r="X21" i="4"/>
  <c r="L22" i="4"/>
  <c r="M22" i="4"/>
  <c r="N22" i="4"/>
  <c r="O22" i="4"/>
  <c r="T22" i="4"/>
  <c r="U22" i="4"/>
  <c r="V22" i="4"/>
  <c r="X22" i="4"/>
  <c r="L23" i="4"/>
  <c r="M23" i="4"/>
  <c r="N23" i="4"/>
  <c r="O23" i="4"/>
  <c r="T23" i="4"/>
  <c r="U23" i="4"/>
  <c r="V23" i="4"/>
  <c r="X23" i="4"/>
  <c r="L24" i="4"/>
  <c r="M24" i="4"/>
  <c r="N24" i="4"/>
  <c r="O24" i="4"/>
  <c r="T24" i="4"/>
  <c r="U24" i="4"/>
  <c r="V24" i="4"/>
  <c r="X24" i="4"/>
  <c r="L25" i="4"/>
  <c r="M25" i="4"/>
  <c r="N25" i="4"/>
  <c r="O25" i="4"/>
  <c r="T25" i="4"/>
  <c r="U25" i="4"/>
  <c r="V25" i="4"/>
  <c r="X25" i="4"/>
  <c r="L26" i="4"/>
  <c r="M26" i="4"/>
  <c r="N26" i="4"/>
  <c r="O26" i="4"/>
  <c r="T26" i="4"/>
  <c r="U26" i="4"/>
  <c r="V26" i="4"/>
  <c r="X26" i="4"/>
  <c r="L27" i="4"/>
  <c r="M27" i="4"/>
  <c r="N27" i="4"/>
  <c r="O27" i="4"/>
  <c r="T27" i="4"/>
  <c r="U27" i="4"/>
  <c r="V27" i="4"/>
  <c r="X27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<sst xmlns="http://schemas.openxmlformats.org/spreadsheetml/2006/main" count="6725" uniqueCount="712">
  <si>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</si>
  <si>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</si>
  <si>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</si>
  <si>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</si>
  <si>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</si>
  <si>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</si>
  <si>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</si>
  <si>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</si>
  <si>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</si>
  <si>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</si>
  <si>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</si>
  <si>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</si>
  <si>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</si>
  <si>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</si>
  <si>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</si>
  <si>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</si>
  <si>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</si>
  <si>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</si>
  <si>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</si>
  <si>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</si>
  <si>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</si>
  <si>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</si>
  <si>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</si>
  <si>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</si>
  <si>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</si>
  <si>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</si>
  <si>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</si>
  <si>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</si>
  <si>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</si>
  <si>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</si>
  <si>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</si>
  <si>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</si>
  <si>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</si>
  <si>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</si>
  <si>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</si>
  <si>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</si>
  <si>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</si>
  <si>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</si>
  <si>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</si>
  <si>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</si>
  <si>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</si>
  <si>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</si>
  <si>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</si>
  <si>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</si>
  <si>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</si>
  <si>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</si>
  <si>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</si>
  <si>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</si>
  <si>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</si>
  <si>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</si>
  <si>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</si>
  <si>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</si>
  <si>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</si>
  <si>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</si>
  <si>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</si>
  <si>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</si>
  <si>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</si>
  <si>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</si>
  <si>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</si>
  <si>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</si>
  <si>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</si>
  <si>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</si>
  <si>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</si>
  <si>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</si>
  <si>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</si>
  <si>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</si>
  <si>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</si>
  <si>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</si>
  <si>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</si>
  <si>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</si>
  <si>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</si>
  <si>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</si>
  <si>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</si>
  <si>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</si>
  <si>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</si>
  <si>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</si>
  <si>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</si>
  <si>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</si>
  <si>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</si>
  <si>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</si>
  <si>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</si>
  <si>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</si>
  <si>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</si>
  <si>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</si>
  <si>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</si>
  <si>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</si>
  <si>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</si>
  <si>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</si>
  <si>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</si>
  <si>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</si>
  <si>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</si>
  <si>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</si>
  <si>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</si>
  <si>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</si>
  <si>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</si>
  <si>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</si>
  <si>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</si>
  <si>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</si>
  <si>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</si>
  <si>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</si>
  <si>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</si>
  <si>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</si>
  <si>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</si>
  <si>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</si>
  <si>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</si>
  <si>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</si>
  <si>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</si>
  <si>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</si>
  <si>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</si>
  <si>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</si>
  <si>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</si>
  <si>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</si>
  <si>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</si>
  <si>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</si>
  <si>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</si>
  <si>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</si>
  <si>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</si>
  <si>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</si>
  <si>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</si>
  <si>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</si>
  <si>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</si>
  <si>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</si>
  <si>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</si>
  <si>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</si>
  <si>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</si>
  <si>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</si>
  <si>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</si>
  <si>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</si>
  <si>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</si>
  <si>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</si>
  <si>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</si>
  <si>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</si>
  <si>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</si>
  <si>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</si>
  <si>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</si>
  <si>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</si>
  <si>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</si>
  <si>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</si>
  <si>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</si>
  <si>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</si>
  <si>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</si>
  <si>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</si>
  <si>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</si>
  <si>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</si>
  <si>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</si>
  <si>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</si>
  <si>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</si>
  <si>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</si>
  <si>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</si>
  <si>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</si>
  <si>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</si>
  <si>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</si>
  <si>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</si>
  <si>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</si>
  <si>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</si>
  <si>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</si>
  <si>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</si>
  <si>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</si>
  <si>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</si>
  <si>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</si>
  <si>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</si>
  <si>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</si>
  <si>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</si>
  <si>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</si>
  <si>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</si>
  <si>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</si>
  <si>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</si>
  <si>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</si>
  <si>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</si>
  <si>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</si>
  <si>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</si>
  <si>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</si>
  <si>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</si>
  <si>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</si>
  <si>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</si>
  <si>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</si>
  <si>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</si>
  <si>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</si>
  <si>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</si>
  <si>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</si>
  <si>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</si>
  <si>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</si>
  <si>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</si>
  <si>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</si>
  <si>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</si>
  <si>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</si>
  <si>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</si>
  <si>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</si>
  <si>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</si>
  <si>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</si>
  <si>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</si>
  <si>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</si>
  <si>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</si>
  <si>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</si>
  <si>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</si>
  <si>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</si>
  <si>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</si>
  <si>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</si>
  <si>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</si>
  <si>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</si>
  <si>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</si>
  <si>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</si>
  <si>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</si>
  <si>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</si>
  <si>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</si>
  <si>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</si>
  <si>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</si>
  <si>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</si>
  <si>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</si>
  <si>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</si>
  <si>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</si>
  <si>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</si>
  <si>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</si>
  <si>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</si>
  <si>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</si>
  <si>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</si>
  <si>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</si>
  <si>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</si>
  <si>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</si>
  <si>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</si>
  <si>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</si>
  <si>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</si>
  <si>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</si>
  <si>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</si>
  <si>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</si>
  <si>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</si>
  <si>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</si>
  <si>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</si>
  <si>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</si>
  <si>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</si>
  <si>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</si>
  <si>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</si>
  <si>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</si>
  <si>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</si>
  <si>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</si>
  <si>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</si>
  <si>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</si>
  <si>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</si>
  <si>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</si>
  <si>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</si>
  <si>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</si>
  <si>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</si>
  <si>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</si>
  <si>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</si>
  <si>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</si>
  <si>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</si>
  <si>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</si>
  <si>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</si>
  <si>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</si>
  <si>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</si>
  <si>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</si>
  <si>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</si>
  <si>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</si>
  <si>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</si>
  <si>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</si>
  <si>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</si>
  <si>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</si>
  <si>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</si>
  <si>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</si>
  <si>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</si>
  <si>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</si>
  <si>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</si>
  <si>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</si>
  <si>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</si>
  <si>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</si>
  <si>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</si>
  <si>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</si>
  <si>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</si>
  <si>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</si>
  <si>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</si>
  <si>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</si>
  <si>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</si>
  <si>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</si>
  <si>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</si>
  <si>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</si>
  <si>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</si>
  <si>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</si>
  <si>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</si>
  <si>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</si>
  <si>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</si>
  <si>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</si>
  <si>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</si>
  <si>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</si>
  <si>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</si>
  <si>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</si>
  <si>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</si>
  <si>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</si>
  <si>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</si>
  <si>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</si>
  <si>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</si>
  <si>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</si>
  <si>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</si>
  <si>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</si>
  <si>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</si>
  <si>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</si>
  <si>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</si>
  <si>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</si>
  <si>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</si>
  <si>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</si>
  <si>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</si>
  <si>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</si>
  <si>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</si>
  <si>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</si>
  <si>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</si>
  <si>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</si>
  <si>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</si>
  <si>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</si>
  <si>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</si>
  <si>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</si>
  <si>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</si>
  <si>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</si>
  <si>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</si>
  <si>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</si>
  <si>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</si>
  <si>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</si>
  <si>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</si>
  <si>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</si>
  <si>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</si>
  <si>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</si>
  <si>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</si>
  <si>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</si>
  <si>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</si>
  <si>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</si>
  <si>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</si>
  <si>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</si>
  <si>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</si>
  <si>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</si>
  <si>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</si>
  <si>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</si>
  <si>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</si>
  <si>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</si>
  <si>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</si>
  <si>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</si>
  <si>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</si>
  <si>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</si>
  <si>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</si>
  <si>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</si>
  <si>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</si>
  <si>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</si>
  <si>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</si>
  <si>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</si>
  <si>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</si>
  <si>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</si>
  <si>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</si>
  <si>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</si>
  <si>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</si>
  <si>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</si>
  <si>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</si>
  <si>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</si>
  <si>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</si>
  <si>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</si>
  <si>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</si>
  <si>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</si>
  <si>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</si>
  <si>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</si>
  <si>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</si>
  <si>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</si>
  <si>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</si>
  <si>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</si>
  <si>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</si>
  <si>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</si>
  <si>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</si>
  <si>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</si>
  <si>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</si>
  <si>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</si>
  <si>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</si>
  <si>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</si>
  <si>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</si>
  <si>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</si>
  <si>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</si>
  <si>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</si>
  <si>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</si>
  <si>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</si>
  <si>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</si>
  <si>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</si>
  <si>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</si>
  <si>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</si>
  <si>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</si>
  <si>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</si>
  <si>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</si>
  <si>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</si>
  <si>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</si>
  <si>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</si>
  <si>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</si>
  <si>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</si>
  <si>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</si>
  <si>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</si>
  <si>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</si>
  <si>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</si>
  <si>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</si>
  <si>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</si>
  <si>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</si>
  <si>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</si>
  <si>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</si>
  <si>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</si>
  <si>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</si>
  <si>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</si>
  <si>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</si>
  <si>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</si>
  <si>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</si>
  <si>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</si>
  <si>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</si>
  <si>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</si>
  <si>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</si>
  <si>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</si>
  <si>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</si>
  <si>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</si>
  <si>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</si>
  <si>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</si>
  <si>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</si>
  <si>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</si>
  <si>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</si>
  <si>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</si>
  <si>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</si>
  <si>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</si>
  <si>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</si>
  <si>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</si>
  <si>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</si>
  <si>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</si>
  <si>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</si>
  <si>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</si>
  <si>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</si>
  <si>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</si>
  <si>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</si>
  <si>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</si>
  <si>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</si>
  <si>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</si>
  <si>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</si>
  <si>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</si>
  <si>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</si>
  <si>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</si>
  <si>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</si>
  <si>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</si>
  <si>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</si>
  <si>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</si>
  <si>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</si>
  <si>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</si>
  <si>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</si>
  <si>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</si>
  <si>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</si>
  <si>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</si>
  <si>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</si>
  <si>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</si>
  <si>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</si>
  <si>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</si>
  <si>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</si>
  <si>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</si>
  <si>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</si>
  <si>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</si>
  <si>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</si>
  <si>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</si>
  <si>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</si>
  <si>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</si>
  <si>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</si>
  <si>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</si>
  <si>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</si>
  <si>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</si>
  <si>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</si>
  <si>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</si>
  <si>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</si>
  <si>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</si>
  <si>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</si>
  <si>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</si>
  <si>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</si>
  <si>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</si>
  <si>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</si>
  <si>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</si>
  <si>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</si>
  <si>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</si>
  <si>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</si>
  <si>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</si>
  <si>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Interdisciplinar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</si>
  <si>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</si>
  <si>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</si>
  <si>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</si>
  <si>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</si>
  <si>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</si>
  <si>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</si>
  <si>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</si>
  <si>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</si>
  <si>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</si>
  <si>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</si>
  <si>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</si>
  <si>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</si>
  <si>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</si>
  <si>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</si>
  <si>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</si>
  <si>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</si>
  <si>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</si>
  <si>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</si>
  <si>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</si>
  <si>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</si>
  <si>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</si>
  <si>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</si>
  <si>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</si>
  <si>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</si>
  <si>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</si>
  <si>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</si>
  <si>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</si>
  <si>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</si>
  <si>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</si>
  <si>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</si>
  <si>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</si>
  <si>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</si>
  <si>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</si>
  <si>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</si>
  <si>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</si>
  <si>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</si>
  <si>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</si>
  <si>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</si>
  <si>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</si>
  <si>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</si>
  <si>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</si>
  <si>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</si>
  <si>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</si>
  <si>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</si>
  <si>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</si>
  <si>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</si>
  <si>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</si>
  <si>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</si>
  <si>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</si>
  <si>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</si>
  <si>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</si>
  <si>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</si>
  <si>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</si>
  <si>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</si>
  <si>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</si>
  <si>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</si>
  <si>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</si>
  <si>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</si>
  <si>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</si>
  <si>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</si>
  <si>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</si>
  <si>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</si>
  <si>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</si>
  <si>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</si>
  <si>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</si>
  <si>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</si>
  <si>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</si>
  <si>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</si>
  <si>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</si>
  <si>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</si>
  <si>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</si>
  <si>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</si>
  <si>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</si>
  <si>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</si>
  <si>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</si>
  <si>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</si>
  <si>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</si>
  <si>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</si>
  <si>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</si>
  <si>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</si>
  <si>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</si>
  <si>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</si>
  <si>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</si>
  <si>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</si>
  <si>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</si>
  <si>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</si>
  <si>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</si>
  <si>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</si>
  <si>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</si>
  <si>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</si>
  <si>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</si>
  <si>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</si>
  <si>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</si>
  <si>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</si>
  <si>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</si>
  <si>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</si>
  <si>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</si>
  <si>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</si>
  <si>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</si>
  <si>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</si>
  <si>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</si>
  <si>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</si>
  <si>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</si>
  <si>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</si>
  <si>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</si>
  <si>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</si>
  <si>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</si>
  <si>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</si>
  <si>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</si>
  <si>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</si>
  <si>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</si>
  <si>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</si>
  <si>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</si>
  <si>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</si>
  <si>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</si>
  <si>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</si>
  <si>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</si>
  <si>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</si>
  <si>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</si>
  <si>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</si>
  <si>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</si>
  <si>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</si>
  <si>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</si>
  <si>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</si>
  <si>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</si>
  <si>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</si>
  <si>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</si>
  <si>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</si>
  <si>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</si>
  <si>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</si>
  <si>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</si>
  <si>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</si>
  <si>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</si>
  <si>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</si>
  <si>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</si>
  <si>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</si>
  <si>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</si>
  <si>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</si>
  <si>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</si>
  <si>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</si>
  <si>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</si>
  <si>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</si>
  <si>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</si>
  <si>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</si>
  <si>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</si>
  <si>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</si>
  <si>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</si>
  <si>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</si>
  <si>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</si>
  <si>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</si>
  <si>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</si>
  <si>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</si>
  <si>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Discipline of Architecture</t>
  </si>
  <si>
    <t>Construction Discipline</t>
  </si>
  <si>
    <t>Engineering Discipline</t>
  </si>
  <si>
    <t>Specialty Discipline</t>
  </si>
  <si>
    <t>Manufacturing Discipline</t>
  </si>
  <si>
    <t>Management Discipline</t>
  </si>
  <si>
    <t>Real Estate Discipline</t>
  </si>
  <si>
    <t>Legislation Discipline</t>
  </si>
  <si>
    <t>Discipline of Surveys and implementation</t>
  </si>
  <si>
    <t>Operation Discipline</t>
  </si>
  <si>
    <t>Other Disciplines</t>
  </si>
  <si>
    <t>Planning Discipline</t>
  </si>
  <si>
    <t>Restoration Discipline</t>
  </si>
  <si>
    <t>Disciplina de la Arquitectura</t>
  </si>
  <si>
    <t>Disciplina de la construcción</t>
  </si>
  <si>
    <t>Disciplina de la Ingeniería</t>
  </si>
  <si>
    <t>Disciplina de especialidad</t>
  </si>
  <si>
    <t>Disciplina de fabricación</t>
  </si>
  <si>
    <t>Disciplina de gestión</t>
  </si>
  <si>
    <t>Disciplina inmobiliaria</t>
  </si>
  <si>
    <t>Disciplina de la Legislación</t>
  </si>
  <si>
    <t>Disciplina de las encuestas e implementación</t>
  </si>
  <si>
    <t>Operación Disciplina</t>
  </si>
  <si>
    <t>Otras disciplinas</t>
  </si>
  <si>
    <t>Disciplina de planificación</t>
  </si>
  <si>
    <t>Disciplina de la Restauración</t>
  </si>
  <si>
    <t>Parâmetro Rvt</t>
  </si>
  <si>
    <t>Atributo Ifc</t>
  </si>
  <si>
    <t>API.Revit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</si>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</sst>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3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0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17" fillId="0" borderId="0" xfId="0" applyFont="1"/>
    <xf numFmtId="0" fontId="6" fillId="10" borderId="4" xfId="0" applyFont="1" applyFill="1" applyBorder="1" applyAlignment="1">
      <alignment vertical="center"/>
    </xf>
    <xf numFmtId="0" fontId="3" fillId="1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3">
    <cellStyle name="Hiperlink" xfId="2" builtinId="8"/>
    <cellStyle name="Normal" xfId="0" builtinId="0"/>
    <cellStyle name="Normal 2" xfId="1" xr:uid="{DFB85275-A9BE-4413-B02C-324FD368C2A1}"/>
  </cellStyles>
  <dxfs count="10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AG183" headerRowCount="0" totalsRowShown="0" headerRowDxfId="108" headerRowBorderDxfId="107" tableBorderDxfId="106" totalsRowBorderDxfId="105">
  <tableColumns count="33">
    <tableColumn id="1" xr3:uid="{38E6FF5A-1C06-481D-80DD-C82C301F082C}" name="1" headerRowDxfId="104" dataDxfId="103"/>
    <tableColumn id="2" xr3:uid="{3C6C0505-1689-4EE8-8610-376BB44C09BD}" name="Indivíduo" headerRowDxfId="102" dataDxfId="101"/>
    <tableColumn id="3" xr3:uid="{9E4249DB-15E5-43EE-8981-0CA7D155306D}" name="Classe" headerRowDxfId="100" dataDxfId="99"/>
    <tableColumn id="5" xr3:uid="{06450E5A-D634-468E-85D8-BF532072F033}" name="Coluna2" headerRowDxfId="98" dataDxfId="97"/>
    <tableColumn id="4" xr3:uid="{63966EBE-3AE3-4FE5-824F-31F181792B00}" name="Coluna1" headerRowDxfId="96" dataDxfId="95"/>
    <tableColumn id="10" xr3:uid="{B010664B-8605-436F-83C5-07C587B7EBF3}" name="Coluna7" headerRowDxfId="94" dataDxfId="93"/>
    <tableColumn id="11" xr3:uid="{7FFA8EB1-276A-4285-9A7C-A1D18E3DFF8B}" name="Coluna8" headerRowDxfId="92" dataDxfId="91"/>
    <tableColumn id="9" xr3:uid="{22CBEBAF-AA10-4617-8459-F68D0C361483}" name="Coluna6" headerRowDxfId="90" dataDxfId="89"/>
    <tableColumn id="8" xr3:uid="{C9056F13-CAD6-42A0-92E3-CCACD5427101}" name="Coluna5" headerRowDxfId="88" dataDxfId="87"/>
    <tableColumn id="15" xr3:uid="{7FF1F7A2-1E10-4F02-A617-405FDDE9D634}" name="Coluna10" headerRowDxfId="86" dataDxfId="85"/>
    <tableColumn id="14" xr3:uid="{A626C0EC-68E3-4B2E-81D7-D867605763EF}" name="Coluna9" headerRowDxfId="84" dataDxfId="83"/>
    <tableColumn id="25" xr3:uid="{5A8640B3-3235-4227-88AE-24186B8A867F}" name="Coluna20" headerRowDxfId="82" dataDxfId="81"/>
    <tableColumn id="24" xr3:uid="{7AF5C8AB-6C75-4A72-A612-E8206E08AA62}" name="Coluna19" headerRowDxfId="80" dataDxfId="79"/>
    <tableColumn id="12" xr3:uid="{613D7E6F-53D4-4E84-9337-FF573DD02A33}" name="Fato (11)" headerRowDxfId="78" dataDxfId="77"/>
    <tableColumn id="13" xr3:uid="{127ED421-F6A7-4128-8AF7-D3B35A7BF083}" name="Valor8" headerRowDxfId="76" dataDxfId="75"/>
    <tableColumn id="6" xr3:uid="{83791CD9-A300-4592-BA84-F1311915870A}" name="Coluna3" headerRowDxfId="74" dataDxfId="73"/>
    <tableColumn id="7" xr3:uid="{64784F60-3C84-43BD-A67F-5F0E13177E97}" name="Coluna4" headerRowDxfId="72" dataDxfId="71"/>
    <tableColumn id="16" xr3:uid="{2A7F449A-8617-40F9-A53A-E7F41637FF07}" name="Coluna11" headerRowDxfId="70" dataDxfId="69"/>
    <tableColumn id="17" xr3:uid="{A00A6729-6CD7-45BE-8067-C5D950C77857}" name="Coluna12" headerRowDxfId="68" dataDxfId="67"/>
    <tableColumn id="18" xr3:uid="{38BA47F5-E3A4-4441-811E-FFCE4B66524C}" name="Coluna13" headerRowDxfId="66" dataDxfId="65"/>
    <tableColumn id="19" xr3:uid="{0CD1E3E2-D75C-43AA-B1D7-E6D47E1EA043}" name="Coluna14" headerRowDxfId="64" dataDxfId="63"/>
    <tableColumn id="20" xr3:uid="{C83E6FE7-67F0-4D92-A6EB-2812DDF0E157}" name="Coluna15" headerRowDxfId="62" dataDxfId="61"/>
    <tableColumn id="21" xr3:uid="{691E0314-9C84-4100-A3A1-CCB94C4947BD}" name="Coluna16" headerRowDxfId="60" dataDxfId="59"/>
    <tableColumn id="22" xr3:uid="{DFA507C2-123C-4A86-82E8-279077327DAF}" name="Coluna17" headerRowDxfId="58" dataDxfId="57"/>
    <tableColumn id="23" xr3:uid="{5B916111-DB54-428A-BA8B-06C1A28879DE}" name="Coluna18" headerRowDxfId="56" dataDxfId="55"/>
    <tableColumn id="26" xr3:uid="{364EAD9F-B4D7-43DB-A456-E20A3CB3829E}" name="Coluna21" headerRowDxfId="54" dataDxfId="53"/>
    <tableColumn id="27" xr3:uid="{0295ED4C-EACC-4AE2-9685-0BAC96EB0ECA}" name="Coluna22" headerRowDxfId="52" dataDxfId="51"/>
    <tableColumn id="28" xr3:uid="{FA29F4FB-AC77-4D38-9885-60A710F77062}" name="Coluna23" headerRowDxfId="50" dataDxfId="49"/>
    <tableColumn id="29" xr3:uid="{A7FAABAE-4A27-4FF5-B0DD-8D1252FAF81E}" name="Coluna24" headerRowDxfId="48" dataDxfId="47"/>
    <tableColumn id="30" xr3:uid="{D98E6886-A8CD-454E-A6E0-0CFCFBAAA7E8}" name="Coluna25" headerRowDxfId="46" dataDxfId="45"/>
    <tableColumn id="31" xr3:uid="{45B42935-10EC-4D9E-8FE5-A6973C46330A}" name="Coluna26" headerRowDxfId="44" dataDxfId="43"/>
    <tableColumn id="32" xr3:uid="{BAA53309-A49A-4131-A521-AABC6126A49F}" name="Coluna27" headerRowDxfId="42" dataDxfId="41"/>
    <tableColumn id="33" xr3:uid="{D12E34CA-3D33-4D44-A383-CFF16E015D81}" name="Coluna28" headerRowDxfId="40" dataDxfId="39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39"/>
  <sheetViews>
    <sheetView topLeftCell="A13" zoomScale="190" zoomScaleNormal="190" workbookViewId="0">
      <selection activeCell="A27" sqref="A27:XFD39"/>
    </sheetView>
  </sheetViews>
  <sheetFormatPr defaultRowHeight="8.65" customHeight="1" x14ac:dyDescent="0.2"/>
  <cols>
    <col min="1" max="1" width="9.664062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1" t="s">
        <v>446</v>
      </c>
    </row>
    <row r="2" spans="1:3" ht="7.35" customHeight="1" x14ac:dyDescent="0.2">
      <c r="A2" s="2" t="s">
        <v>182</v>
      </c>
      <c r="B2" s="2" t="s">
        <v>431</v>
      </c>
      <c r="C2" s="42" t="s">
        <v>447</v>
      </c>
    </row>
    <row r="3" spans="1:3" ht="7.35" customHeight="1" x14ac:dyDescent="0.2">
      <c r="A3" s="2" t="s">
        <v>183</v>
      </c>
      <c r="B3" s="2" t="s">
        <v>180</v>
      </c>
      <c r="C3" s="42" t="s">
        <v>447</v>
      </c>
    </row>
    <row r="4" spans="1:3" ht="7.35" customHeight="1" x14ac:dyDescent="0.2">
      <c r="A4" s="3" t="s">
        <v>5</v>
      </c>
      <c r="B4" s="3" t="s">
        <v>384</v>
      </c>
      <c r="C4" s="42" t="s">
        <v>447</v>
      </c>
    </row>
    <row r="5" spans="1:3" ht="7.35" customHeight="1" x14ac:dyDescent="0.2">
      <c r="A5" s="3" t="s">
        <v>6</v>
      </c>
      <c r="B5" s="3" t="str">
        <f>_xlfn.CONCAT(B4,"Prop")</f>
        <v>BIMProp</v>
      </c>
      <c r="C5" s="42" t="s">
        <v>447</v>
      </c>
    </row>
    <row r="6" spans="1:3" ht="7.35" customHeight="1" x14ac:dyDescent="0.2">
      <c r="A6" s="3" t="s">
        <v>7</v>
      </c>
      <c r="B6" s="3" t="str">
        <f>_xlfn.CONCAT(B4,"Data")</f>
        <v>BIMData</v>
      </c>
      <c r="C6" s="42" t="s">
        <v>447</v>
      </c>
    </row>
    <row r="7" spans="1:3" ht="7.35" customHeight="1" x14ac:dyDescent="0.2">
      <c r="A7" s="3" t="s">
        <v>8</v>
      </c>
      <c r="B7" s="3" t="s">
        <v>198</v>
      </c>
      <c r="C7" s="42" t="s">
        <v>447</v>
      </c>
    </row>
    <row r="8" spans="1:3" ht="7.35" customHeight="1" x14ac:dyDescent="0.2">
      <c r="A8" s="39" t="s">
        <v>9</v>
      </c>
      <c r="B8" s="39" t="s">
        <v>445</v>
      </c>
      <c r="C8" s="42" t="s">
        <v>447</v>
      </c>
    </row>
    <row r="9" spans="1:3" ht="7.35" customHeight="1" x14ac:dyDescent="0.2">
      <c r="A9" s="3" t="s">
        <v>184</v>
      </c>
      <c r="B9" s="3" t="s">
        <v>185</v>
      </c>
      <c r="C9" s="42" t="s">
        <v>447</v>
      </c>
    </row>
    <row r="10" spans="1:3" ht="7.35" customHeight="1" x14ac:dyDescent="0.2">
      <c r="A10" s="3" t="s">
        <v>186</v>
      </c>
      <c r="B10" s="3" t="s">
        <v>16</v>
      </c>
      <c r="C10" s="42" t="s">
        <v>447</v>
      </c>
    </row>
    <row r="11" spans="1:3" ht="7.35" customHeight="1" x14ac:dyDescent="0.2">
      <c r="A11" s="3" t="s">
        <v>187</v>
      </c>
      <c r="B11" s="3" t="s">
        <v>197</v>
      </c>
      <c r="C11" s="42" t="s">
        <v>447</v>
      </c>
    </row>
    <row r="12" spans="1:3" ht="7.35" customHeight="1" x14ac:dyDescent="0.2">
      <c r="A12" s="3" t="s">
        <v>10</v>
      </c>
      <c r="B12" s="3" t="s">
        <v>17</v>
      </c>
      <c r="C12" s="42" t="s">
        <v>447</v>
      </c>
    </row>
    <row r="13" spans="1:3" ht="7.35" customHeight="1" x14ac:dyDescent="0.2">
      <c r="A13" s="3" t="s">
        <v>188</v>
      </c>
      <c r="B13" s="3" t="s">
        <v>179</v>
      </c>
      <c r="C13" s="42" t="s">
        <v>447</v>
      </c>
    </row>
    <row r="14" spans="1:3" ht="7.35" customHeight="1" x14ac:dyDescent="0.2">
      <c r="A14" s="3" t="s">
        <v>189</v>
      </c>
      <c r="B14" s="3" t="s">
        <v>11</v>
      </c>
      <c r="C14" s="42" t="s">
        <v>447</v>
      </c>
    </row>
    <row r="15" spans="1:3" ht="7.35" customHeight="1" x14ac:dyDescent="0.2">
      <c r="A15" s="3" t="s">
        <v>190</v>
      </c>
      <c r="B15" s="3" t="s">
        <v>11</v>
      </c>
      <c r="C15" s="42" t="s">
        <v>447</v>
      </c>
    </row>
    <row r="16" spans="1:3" ht="7.35" customHeight="1" x14ac:dyDescent="0.2">
      <c r="A16" s="3" t="s">
        <v>191</v>
      </c>
      <c r="B16" s="3" t="s">
        <v>11</v>
      </c>
      <c r="C16" s="42" t="s">
        <v>447</v>
      </c>
    </row>
    <row r="17" spans="1:3" ht="7.35" customHeight="1" x14ac:dyDescent="0.2">
      <c r="A17" s="3" t="s">
        <v>12</v>
      </c>
      <c r="B17" s="3" t="s">
        <v>13</v>
      </c>
      <c r="C17" s="42" t="s">
        <v>447</v>
      </c>
    </row>
    <row r="18" spans="1:3" ht="7.35" customHeight="1" x14ac:dyDescent="0.2">
      <c r="A18" s="3" t="s">
        <v>192</v>
      </c>
      <c r="B18" s="4">
        <f ca="1">NOW()</f>
        <v>46273.465476736113</v>
      </c>
      <c r="C18" s="42" t="s">
        <v>447</v>
      </c>
    </row>
    <row r="19" spans="1:3" ht="7.35" customHeight="1" x14ac:dyDescent="0.2">
      <c r="A19" s="3" t="s">
        <v>455</v>
      </c>
      <c r="B19" s="4" t="s">
        <v>450</v>
      </c>
      <c r="C19" s="42" t="s">
        <v>447</v>
      </c>
    </row>
    <row r="20" spans="1:3" ht="7.35" customHeight="1" x14ac:dyDescent="0.2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35" customHeight="1" x14ac:dyDescent="0.2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35" customHeight="1" x14ac:dyDescent="0.2">
      <c r="A22" s="3" t="s">
        <v>181</v>
      </c>
      <c r="B22" s="3" t="s">
        <v>11</v>
      </c>
      <c r="C22" s="42" t="s">
        <v>447</v>
      </c>
    </row>
    <row r="23" spans="1:3" ht="7.35" customHeight="1" x14ac:dyDescent="0.2">
      <c r="A23" s="3" t="s">
        <v>193</v>
      </c>
      <c r="B23" s="3" t="s">
        <v>11</v>
      </c>
      <c r="C23" s="42" t="s">
        <v>447</v>
      </c>
    </row>
    <row r="24" spans="1:3" ht="7.35" customHeight="1" x14ac:dyDescent="0.2">
      <c r="A24" s="3" t="s">
        <v>199</v>
      </c>
      <c r="B24" s="3" t="s">
        <v>200</v>
      </c>
      <c r="C24" s="42" t="s">
        <v>447</v>
      </c>
    </row>
    <row r="25" spans="1:3" ht="7.35" customHeight="1" x14ac:dyDescent="0.2">
      <c r="A25" s="3" t="s">
        <v>201</v>
      </c>
      <c r="B25" s="3" t="s">
        <v>202</v>
      </c>
      <c r="C25" s="42" t="s">
        <v>448</v>
      </c>
    </row>
    <row r="26" spans="1:3" ht="7.35" customHeight="1" x14ac:dyDescent="0.2">
      <c r="A26" s="39" t="s">
        <v>443</v>
      </c>
      <c r="B26" s="40" t="s">
        <v>444</v>
      </c>
      <c r="C26" s="42" t="s">
        <v>449</v>
      </c>
    </row>
    <row r="27" spans="1:3" ht="8.25" customHeight="1" x14ac:dyDescent="0.2">
      <c r="A27" s="39" t="s">
        <v>584</v>
      </c>
      <c r="B27" s="60" t="s">
        <v>585</v>
      </c>
      <c r="C27" s="42" t="s">
        <v>447</v>
      </c>
    </row>
    <row r="28" spans="1:3" ht="8.25" customHeight="1" x14ac:dyDescent="0.2">
      <c r="A28" s="39" t="s">
        <v>586</v>
      </c>
      <c r="B28" s="61" t="s">
        <v>587</v>
      </c>
      <c r="C28" s="42" t="s">
        <v>447</v>
      </c>
    </row>
    <row r="29" spans="1:3" ht="8.25" customHeight="1" x14ac:dyDescent="0.2">
      <c r="A29" s="39" t="s">
        <v>588</v>
      </c>
      <c r="B29" s="61" t="s">
        <v>589</v>
      </c>
      <c r="C29" s="42" t="s">
        <v>447</v>
      </c>
    </row>
    <row r="30" spans="1:3" s="63" customFormat="1" ht="8.25" customHeight="1" x14ac:dyDescent="0.15">
      <c r="A30" s="39" t="s">
        <v>590</v>
      </c>
      <c r="B30" s="62" t="s">
        <v>591</v>
      </c>
      <c r="C30" s="42" t="s">
        <v>447</v>
      </c>
    </row>
    <row r="31" spans="1:3" s="63" customFormat="1" ht="8.25" customHeight="1" x14ac:dyDescent="0.15">
      <c r="A31" s="39" t="s">
        <v>592</v>
      </c>
      <c r="B31" s="62" t="s">
        <v>593</v>
      </c>
      <c r="C31" s="42" t="s">
        <v>447</v>
      </c>
    </row>
    <row r="32" spans="1:3" s="63" customFormat="1" ht="8.25" customHeight="1" x14ac:dyDescent="0.15">
      <c r="A32" s="39" t="s">
        <v>594</v>
      </c>
      <c r="B32" s="62" t="s">
        <v>595</v>
      </c>
      <c r="C32" s="42" t="s">
        <v>447</v>
      </c>
    </row>
    <row r="33" spans="1:3" s="63" customFormat="1" ht="8.25" customHeight="1" x14ac:dyDescent="0.15">
      <c r="A33" s="39" t="s">
        <v>596</v>
      </c>
      <c r="B33" s="64" t="s">
        <v>597</v>
      </c>
      <c r="C33" s="42" t="s">
        <v>447</v>
      </c>
    </row>
    <row r="34" spans="1:3" s="63" customFormat="1" ht="8.25" customHeight="1" x14ac:dyDescent="0.15">
      <c r="A34" s="39" t="s">
        <v>598</v>
      </c>
      <c r="B34" s="64" t="s">
        <v>599</v>
      </c>
      <c r="C34" s="42" t="s">
        <v>447</v>
      </c>
    </row>
    <row r="35" spans="1:3" s="63" customFormat="1" ht="8.25" customHeight="1" x14ac:dyDescent="0.15">
      <c r="A35" s="39" t="s">
        <v>600</v>
      </c>
      <c r="B35" s="62" t="s">
        <v>601</v>
      </c>
      <c r="C35" s="42" t="s">
        <v>447</v>
      </c>
    </row>
    <row r="36" spans="1:3" s="63" customFormat="1" ht="8.25" customHeight="1" x14ac:dyDescent="0.15">
      <c r="A36" s="39" t="s">
        <v>602</v>
      </c>
      <c r="B36" s="64" t="s">
        <v>603</v>
      </c>
      <c r="C36" s="42" t="s">
        <v>447</v>
      </c>
    </row>
    <row r="37" spans="1:3" s="63" customFormat="1" ht="8.25" customHeight="1" x14ac:dyDescent="0.15">
      <c r="A37" s="39" t="s">
        <v>604</v>
      </c>
      <c r="B37" s="62" t="s">
        <v>605</v>
      </c>
      <c r="C37" s="42" t="s">
        <v>447</v>
      </c>
    </row>
    <row r="38" spans="1:3" ht="9.9499999999999993" customHeight="1" x14ac:dyDescent="0.2">
      <c r="A38" s="3" t="s">
        <v>606</v>
      </c>
      <c r="B38" s="65" t="s">
        <v>607</v>
      </c>
      <c r="C38" s="42" t="s">
        <v>447</v>
      </c>
    </row>
    <row r="39" spans="1:3" s="67" customFormat="1" ht="9.6" customHeight="1" x14ac:dyDescent="0.15">
      <c r="A39" s="39" t="s">
        <v>608</v>
      </c>
      <c r="B39" s="66" t="s">
        <v>609</v>
      </c>
      <c r="C39" s="42" t="s">
        <v>447</v>
      </c>
    </row>
  </sheetData>
  <hyperlinks>
    <hyperlink ref="B27" r:id="rId1" xr:uid="{AB3C08F0-2812-42D9-8E6A-835D285D3CA0}"/>
    <hyperlink ref="B29" r:id="rId2" xr:uid="{B241F630-284A-4FA7-B290-47037930EB1D}"/>
    <hyperlink ref="B28" r:id="rId3" xr:uid="{37361A8D-7F10-4E7E-B627-688AC0F0F860}"/>
    <hyperlink ref="B38" r:id="rId4" xr:uid="{B9B30222-2EEE-4D09-968A-F563A0CCD1E2}"/>
    <hyperlink ref="B39" r:id="rId5" location="categoria_888" xr:uid="{5E40CD92-E7D8-482D-B25C-91E7D2C86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D32"/>
  <sheetViews>
    <sheetView tabSelected="1" topLeftCell="R1" zoomScale="160" zoomScaleNormal="160" workbookViewId="0">
      <pane ySplit="1" topLeftCell="A23" activePane="bottomLeft" state="frozen"/>
      <selection pane="bottomLeft" activeCell="S1" sqref="S1"/>
    </sheetView>
  </sheetViews>
  <sheetFormatPr defaultRowHeight="6.75" customHeight="1" x14ac:dyDescent="0.2"/>
  <cols>
    <col min="1" max="1" width="2.83203125" bestFit="1" customWidth="1"/>
    <col min="2" max="2" width="7.33203125" style="31" bestFit="1" customWidth="1"/>
    <col min="3" max="3" width="8.1640625" style="31" bestFit="1" customWidth="1"/>
    <col min="4" max="4" width="10.5" style="31" bestFit="1" customWidth="1"/>
    <col min="5" max="5" width="11" style="31" bestFit="1" customWidth="1"/>
    <col min="6" max="6" width="14.33203125" style="31" bestFit="1" customWidth="1"/>
    <col min="7" max="11" width="8.5" style="31" bestFit="1" customWidth="1"/>
    <col min="12" max="12" width="8.1640625" bestFit="1" customWidth="1"/>
    <col min="13" max="13" width="10.5" bestFit="1" customWidth="1"/>
    <col min="14" max="14" width="11" bestFit="1" customWidth="1"/>
    <col min="15" max="15" width="14.33203125" bestFit="1" customWidth="1"/>
    <col min="16" max="16" width="61" customWidth="1"/>
    <col min="17" max="17" width="65.5" customWidth="1"/>
    <col min="18" max="18" width="57.33203125" customWidth="1"/>
    <col min="19" max="19" width="5" style="82" bestFit="1" customWidth="1"/>
    <col min="20" max="20" width="8.1640625" bestFit="1" customWidth="1"/>
    <col min="21" max="21" width="10.5" bestFit="1" customWidth="1"/>
    <col min="22" max="22" width="11" bestFit="1" customWidth="1"/>
    <col min="23" max="23" width="10" bestFit="1" customWidth="1"/>
    <col min="24" max="24" width="9.83203125" style="31" bestFit="1" customWidth="1"/>
    <col min="25" max="25" width="44.83203125" bestFit="1" customWidth="1"/>
    <col min="26" max="26" width="12.1640625" bestFit="1" customWidth="1"/>
    <col min="27" max="27" width="44.83203125" bestFit="1" customWidth="1"/>
    <col min="28" max="28" width="10.5" bestFit="1" customWidth="1"/>
    <col min="29" max="29" width="9.1640625" bestFit="1" customWidth="1"/>
    <col min="30" max="30" width="10.5" bestFit="1" customWidth="1"/>
  </cols>
  <sheetData>
    <row r="1" spans="1:30" ht="57.75" x14ac:dyDescent="0.2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37" t="s">
        <v>442</v>
      </c>
      <c r="S1" s="21" t="s">
        <v>429</v>
      </c>
      <c r="T1" s="20" t="s">
        <v>402</v>
      </c>
      <c r="U1" s="20" t="s">
        <v>403</v>
      </c>
      <c r="V1" s="20" t="s">
        <v>404</v>
      </c>
      <c r="W1" s="20" t="s">
        <v>405</v>
      </c>
      <c r="X1" s="59" t="s">
        <v>406</v>
      </c>
      <c r="Y1" s="20" t="s">
        <v>440</v>
      </c>
      <c r="Z1" s="20" t="s">
        <v>650</v>
      </c>
      <c r="AA1" s="20" t="s">
        <v>441</v>
      </c>
      <c r="AB1" s="20" t="s">
        <v>651</v>
      </c>
      <c r="AC1" s="20" t="s">
        <v>407</v>
      </c>
      <c r="AD1" s="20" t="s">
        <v>695</v>
      </c>
    </row>
    <row r="2" spans="1:30" ht="6.75" customHeight="1" x14ac:dyDescent="0.2">
      <c r="A2" s="50">
        <v>2</v>
      </c>
      <c r="B2" s="54" t="s">
        <v>610</v>
      </c>
      <c r="C2" s="30" t="s">
        <v>611</v>
      </c>
      <c r="D2" s="30" t="s">
        <v>407</v>
      </c>
      <c r="E2" s="30" t="s">
        <v>488</v>
      </c>
      <c r="F2" s="22" t="s">
        <v>490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545</v>
      </c>
      <c r="Q2" s="52" t="s">
        <v>546</v>
      </c>
      <c r="R2" s="55" t="s">
        <v>547</v>
      </c>
      <c r="S2" s="80" t="s">
        <v>196</v>
      </c>
      <c r="T2" s="53" t="str">
        <f t="shared" ref="T2:V14" si="2">SUBSTITUTE(C2, "_", " ")</f>
        <v>Normativos</v>
      </c>
      <c r="U2" s="53" t="str">
        <f t="shared" si="2"/>
        <v>ABNT</v>
      </c>
      <c r="V2" s="52" t="str">
        <f t="shared" si="2"/>
        <v>NBR.Parte</v>
      </c>
      <c r="W2" s="38" t="s">
        <v>471</v>
      </c>
      <c r="X2" s="58" t="str">
        <f t="shared" ref="X2:X14" si="3">CONCATENATE("Key-ABNT-",A2)</f>
        <v>Key-ABNT-2</v>
      </c>
      <c r="Y2" s="38" t="s">
        <v>619</v>
      </c>
      <c r="Z2" s="70" t="s">
        <v>196</v>
      </c>
      <c r="AA2" s="38" t="s">
        <v>620</v>
      </c>
      <c r="AB2" s="70" t="s">
        <v>196</v>
      </c>
      <c r="AC2" s="38" t="s">
        <v>472</v>
      </c>
      <c r="AD2" s="70" t="s">
        <v>196</v>
      </c>
    </row>
    <row r="3" spans="1:30" ht="6.75" customHeight="1" x14ac:dyDescent="0.2">
      <c r="A3" s="50">
        <v>3</v>
      </c>
      <c r="B3" s="54" t="s">
        <v>610</v>
      </c>
      <c r="C3" s="30" t="s">
        <v>611</v>
      </c>
      <c r="D3" s="30" t="s">
        <v>407</v>
      </c>
      <c r="E3" s="30" t="s">
        <v>488</v>
      </c>
      <c r="F3" s="22" t="s">
        <v>491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548</v>
      </c>
      <c r="Q3" s="52" t="s">
        <v>549</v>
      </c>
      <c r="R3" s="55" t="s">
        <v>550</v>
      </c>
      <c r="S3" s="80" t="s">
        <v>196</v>
      </c>
      <c r="T3" s="53" t="str">
        <f t="shared" si="2"/>
        <v>Normativos</v>
      </c>
      <c r="U3" s="53" t="str">
        <f t="shared" si="2"/>
        <v>ABNT</v>
      </c>
      <c r="V3" s="52" t="str">
        <f t="shared" si="2"/>
        <v>NBR.Parte</v>
      </c>
      <c r="W3" s="38" t="s">
        <v>471</v>
      </c>
      <c r="X3" s="58" t="str">
        <f t="shared" si="3"/>
        <v>Key-ABNT-3</v>
      </c>
      <c r="Y3" s="38" t="s">
        <v>621</v>
      </c>
      <c r="Z3" s="70" t="s">
        <v>196</v>
      </c>
      <c r="AA3" s="38" t="s">
        <v>622</v>
      </c>
      <c r="AB3" s="70" t="s">
        <v>196</v>
      </c>
      <c r="AC3" s="38" t="s">
        <v>473</v>
      </c>
      <c r="AD3" s="70" t="s">
        <v>196</v>
      </c>
    </row>
    <row r="4" spans="1:30" ht="6.75" customHeight="1" x14ac:dyDescent="0.2">
      <c r="A4" s="50">
        <v>4</v>
      </c>
      <c r="B4" s="54" t="s">
        <v>610</v>
      </c>
      <c r="C4" s="30" t="s">
        <v>611</v>
      </c>
      <c r="D4" s="30" t="s">
        <v>407</v>
      </c>
      <c r="E4" s="30" t="s">
        <v>488</v>
      </c>
      <c r="F4" s="22" t="s">
        <v>489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551</v>
      </c>
      <c r="Q4" s="52" t="s">
        <v>552</v>
      </c>
      <c r="R4" s="55" t="s">
        <v>553</v>
      </c>
      <c r="S4" s="80" t="s">
        <v>196</v>
      </c>
      <c r="T4" s="53" t="str">
        <f t="shared" si="2"/>
        <v>Normativos</v>
      </c>
      <c r="U4" s="53" t="str">
        <f t="shared" si="2"/>
        <v>ABNT</v>
      </c>
      <c r="V4" s="52" t="str">
        <f t="shared" si="2"/>
        <v>NBR.Parte</v>
      </c>
      <c r="W4" s="38" t="s">
        <v>471</v>
      </c>
      <c r="X4" s="58" t="str">
        <f t="shared" si="3"/>
        <v>Key-ABNT-4</v>
      </c>
      <c r="Y4" s="70" t="s">
        <v>196</v>
      </c>
      <c r="Z4" s="70" t="s">
        <v>196</v>
      </c>
      <c r="AA4" s="38" t="s">
        <v>613</v>
      </c>
      <c r="AB4" s="70" t="s">
        <v>196</v>
      </c>
      <c r="AC4" s="38" t="s">
        <v>377</v>
      </c>
      <c r="AD4" s="70" t="s">
        <v>196</v>
      </c>
    </row>
    <row r="5" spans="1:30" ht="6.75" customHeight="1" x14ac:dyDescent="0.2">
      <c r="A5" s="50">
        <v>5</v>
      </c>
      <c r="B5" s="54" t="s">
        <v>610</v>
      </c>
      <c r="C5" s="30" t="s">
        <v>611</v>
      </c>
      <c r="D5" s="30" t="s">
        <v>407</v>
      </c>
      <c r="E5" s="30" t="s">
        <v>488</v>
      </c>
      <c r="F5" s="22" t="s">
        <v>492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554</v>
      </c>
      <c r="Q5" s="52" t="s">
        <v>555</v>
      </c>
      <c r="R5" s="55" t="s">
        <v>556</v>
      </c>
      <c r="S5" s="80" t="s">
        <v>196</v>
      </c>
      <c r="T5" s="53" t="str">
        <f t="shared" si="2"/>
        <v>Normativos</v>
      </c>
      <c r="U5" s="53" t="str">
        <f t="shared" si="2"/>
        <v>ABNT</v>
      </c>
      <c r="V5" s="52" t="str">
        <f t="shared" si="2"/>
        <v>NBR.Parte</v>
      </c>
      <c r="W5" s="38" t="s">
        <v>471</v>
      </c>
      <c r="X5" s="58" t="str">
        <f t="shared" si="3"/>
        <v>Key-ABNT-5</v>
      </c>
      <c r="Y5" s="38" t="s">
        <v>614</v>
      </c>
      <c r="Z5" s="70" t="s">
        <v>196</v>
      </c>
      <c r="AA5" s="38" t="s">
        <v>615</v>
      </c>
      <c r="AB5" s="70" t="s">
        <v>196</v>
      </c>
      <c r="AC5" s="38" t="s">
        <v>474</v>
      </c>
      <c r="AD5" s="70" t="s">
        <v>196</v>
      </c>
    </row>
    <row r="6" spans="1:30" ht="6.75" customHeight="1" x14ac:dyDescent="0.2">
      <c r="A6" s="50">
        <v>6</v>
      </c>
      <c r="B6" s="54" t="s">
        <v>610</v>
      </c>
      <c r="C6" s="30" t="s">
        <v>611</v>
      </c>
      <c r="D6" s="30" t="s">
        <v>407</v>
      </c>
      <c r="E6" s="30" t="s">
        <v>488</v>
      </c>
      <c r="F6" s="22" t="s">
        <v>493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557</v>
      </c>
      <c r="Q6" s="52" t="s">
        <v>558</v>
      </c>
      <c r="R6" s="55" t="s">
        <v>559</v>
      </c>
      <c r="S6" s="80" t="s">
        <v>196</v>
      </c>
      <c r="T6" s="53" t="str">
        <f t="shared" si="2"/>
        <v>Normativos</v>
      </c>
      <c r="U6" s="53" t="str">
        <f t="shared" si="2"/>
        <v>ABNT</v>
      </c>
      <c r="V6" s="52" t="str">
        <f t="shared" si="2"/>
        <v>NBR.Parte</v>
      </c>
      <c r="W6" s="38" t="s">
        <v>471</v>
      </c>
      <c r="X6" s="58" t="str">
        <f t="shared" si="3"/>
        <v>Key-ABNT-6</v>
      </c>
      <c r="Y6" s="70" t="s">
        <v>196</v>
      </c>
      <c r="Z6" s="70" t="s">
        <v>196</v>
      </c>
      <c r="AA6" s="38" t="s">
        <v>613</v>
      </c>
      <c r="AB6" s="70" t="s">
        <v>196</v>
      </c>
      <c r="AC6" s="38" t="s">
        <v>475</v>
      </c>
      <c r="AD6" s="70" t="s">
        <v>196</v>
      </c>
    </row>
    <row r="7" spans="1:30" ht="6.75" customHeight="1" x14ac:dyDescent="0.2">
      <c r="A7" s="50">
        <v>7</v>
      </c>
      <c r="B7" s="54" t="s">
        <v>610</v>
      </c>
      <c r="C7" s="30" t="s">
        <v>611</v>
      </c>
      <c r="D7" s="30" t="s">
        <v>407</v>
      </c>
      <c r="E7" s="30" t="s">
        <v>488</v>
      </c>
      <c r="F7" s="22" t="s">
        <v>494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560</v>
      </c>
      <c r="Q7" s="52" t="s">
        <v>561</v>
      </c>
      <c r="R7" s="55" t="s">
        <v>562</v>
      </c>
      <c r="S7" s="80" t="s">
        <v>196</v>
      </c>
      <c r="T7" s="53" t="str">
        <f t="shared" si="2"/>
        <v>Normativos</v>
      </c>
      <c r="U7" s="53" t="str">
        <f t="shared" si="2"/>
        <v>ABNT</v>
      </c>
      <c r="V7" s="52" t="str">
        <f t="shared" si="2"/>
        <v>NBR.Parte</v>
      </c>
      <c r="W7" s="38" t="s">
        <v>471</v>
      </c>
      <c r="X7" s="58" t="str">
        <f t="shared" si="3"/>
        <v>Key-ABNT-7</v>
      </c>
      <c r="Y7" s="70" t="s">
        <v>196</v>
      </c>
      <c r="Z7" s="70" t="s">
        <v>196</v>
      </c>
      <c r="AA7" s="70" t="s">
        <v>196</v>
      </c>
      <c r="AB7" s="70" t="s">
        <v>196</v>
      </c>
      <c r="AC7" s="38" t="s">
        <v>476</v>
      </c>
      <c r="AD7" s="70" t="s">
        <v>196</v>
      </c>
    </row>
    <row r="8" spans="1:30" ht="6.75" customHeight="1" x14ac:dyDescent="0.2">
      <c r="A8" s="50">
        <v>8</v>
      </c>
      <c r="B8" s="54" t="s">
        <v>610</v>
      </c>
      <c r="C8" s="30" t="s">
        <v>611</v>
      </c>
      <c r="D8" s="30" t="s">
        <v>407</v>
      </c>
      <c r="E8" s="30" t="s">
        <v>488</v>
      </c>
      <c r="F8" s="22" t="s">
        <v>495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563</v>
      </c>
      <c r="Q8" s="52" t="s">
        <v>564</v>
      </c>
      <c r="R8" s="55" t="s">
        <v>565</v>
      </c>
      <c r="S8" s="80" t="s">
        <v>196</v>
      </c>
      <c r="T8" s="53" t="str">
        <f t="shared" si="2"/>
        <v>Normativos</v>
      </c>
      <c r="U8" s="53" t="str">
        <f t="shared" si="2"/>
        <v>ABNT</v>
      </c>
      <c r="V8" s="52" t="str">
        <f t="shared" si="2"/>
        <v>NBR.Parte</v>
      </c>
      <c r="W8" s="38" t="s">
        <v>471</v>
      </c>
      <c r="X8" s="58" t="str">
        <f t="shared" si="3"/>
        <v>Key-ABNT-8</v>
      </c>
      <c r="Y8" s="70" t="s">
        <v>196</v>
      </c>
      <c r="Z8" s="70" t="s">
        <v>196</v>
      </c>
      <c r="AA8" s="70" t="s">
        <v>196</v>
      </c>
      <c r="AB8" s="70" t="s">
        <v>196</v>
      </c>
      <c r="AC8" s="38" t="s">
        <v>477</v>
      </c>
      <c r="AD8" s="70" t="s">
        <v>196</v>
      </c>
    </row>
    <row r="9" spans="1:30" ht="6.75" customHeight="1" x14ac:dyDescent="0.2">
      <c r="A9" s="50">
        <v>9</v>
      </c>
      <c r="B9" s="54" t="s">
        <v>610</v>
      </c>
      <c r="C9" s="30" t="s">
        <v>611</v>
      </c>
      <c r="D9" s="30" t="s">
        <v>407</v>
      </c>
      <c r="E9" s="30" t="s">
        <v>488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566</v>
      </c>
      <c r="Q9" s="52" t="s">
        <v>567</v>
      </c>
      <c r="R9" s="55" t="s">
        <v>568</v>
      </c>
      <c r="S9" s="80" t="s">
        <v>196</v>
      </c>
      <c r="T9" s="53" t="str">
        <f t="shared" si="2"/>
        <v>Normativos</v>
      </c>
      <c r="U9" s="53" t="str">
        <f t="shared" si="2"/>
        <v>ABNT</v>
      </c>
      <c r="V9" s="52" t="str">
        <f t="shared" si="2"/>
        <v>NBR.Parte</v>
      </c>
      <c r="W9" s="38" t="s">
        <v>471</v>
      </c>
      <c r="X9" s="58" t="str">
        <f t="shared" si="3"/>
        <v>Key-ABNT-9</v>
      </c>
      <c r="Y9" s="70" t="s">
        <v>196</v>
      </c>
      <c r="Z9" s="70" t="s">
        <v>196</v>
      </c>
      <c r="AA9" s="70" t="s">
        <v>196</v>
      </c>
      <c r="AB9" s="70" t="s">
        <v>196</v>
      </c>
      <c r="AC9" s="38" t="s">
        <v>478</v>
      </c>
      <c r="AD9" s="70" t="s">
        <v>196</v>
      </c>
    </row>
    <row r="10" spans="1:30" ht="6.75" customHeight="1" x14ac:dyDescent="0.2">
      <c r="A10" s="50">
        <v>10</v>
      </c>
      <c r="B10" s="54" t="s">
        <v>610</v>
      </c>
      <c r="C10" s="30" t="s">
        <v>611</v>
      </c>
      <c r="D10" s="30" t="s">
        <v>407</v>
      </c>
      <c r="E10" s="30" t="s">
        <v>488</v>
      </c>
      <c r="F10" s="22" t="s">
        <v>497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569</v>
      </c>
      <c r="Q10" s="52" t="s">
        <v>570</v>
      </c>
      <c r="R10" s="55" t="s">
        <v>571</v>
      </c>
      <c r="S10" s="80" t="s">
        <v>196</v>
      </c>
      <c r="T10" s="53" t="str">
        <f t="shared" si="2"/>
        <v>Normativos</v>
      </c>
      <c r="U10" s="53" t="str">
        <f t="shared" si="2"/>
        <v>ABNT</v>
      </c>
      <c r="V10" s="52" t="str">
        <f t="shared" si="2"/>
        <v>NBR.Parte</v>
      </c>
      <c r="W10" s="38" t="s">
        <v>471</v>
      </c>
      <c r="X10" s="58" t="str">
        <f t="shared" si="3"/>
        <v>Key-ABNT-10</v>
      </c>
      <c r="Y10" s="70" t="s">
        <v>196</v>
      </c>
      <c r="Z10" s="70" t="s">
        <v>196</v>
      </c>
      <c r="AA10" s="70" t="s">
        <v>196</v>
      </c>
      <c r="AB10" s="70" t="s">
        <v>196</v>
      </c>
      <c r="AC10" s="38" t="s">
        <v>479</v>
      </c>
      <c r="AD10" s="70" t="s">
        <v>196</v>
      </c>
    </row>
    <row r="11" spans="1:30" ht="6.75" customHeight="1" x14ac:dyDescent="0.2">
      <c r="A11" s="50">
        <v>11</v>
      </c>
      <c r="B11" s="54" t="s">
        <v>610</v>
      </c>
      <c r="C11" s="30" t="s">
        <v>611</v>
      </c>
      <c r="D11" s="30" t="s">
        <v>407</v>
      </c>
      <c r="E11" s="30" t="s">
        <v>488</v>
      </c>
      <c r="F11" s="22" t="s">
        <v>498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572</v>
      </c>
      <c r="Q11" s="52" t="s">
        <v>573</v>
      </c>
      <c r="R11" s="55" t="s">
        <v>574</v>
      </c>
      <c r="S11" s="80" t="s">
        <v>196</v>
      </c>
      <c r="T11" s="53" t="str">
        <f t="shared" si="2"/>
        <v>Normativos</v>
      </c>
      <c r="U11" s="53" t="str">
        <f t="shared" si="2"/>
        <v>ABNT</v>
      </c>
      <c r="V11" s="52" t="str">
        <f t="shared" si="2"/>
        <v>NBR.Parte</v>
      </c>
      <c r="W11" s="38" t="s">
        <v>471</v>
      </c>
      <c r="X11" s="58" t="str">
        <f t="shared" si="3"/>
        <v>Key-ABNT-11</v>
      </c>
      <c r="Y11" s="70" t="s">
        <v>196</v>
      </c>
      <c r="Z11" s="70" t="s">
        <v>196</v>
      </c>
      <c r="AA11" s="70" t="s">
        <v>196</v>
      </c>
      <c r="AB11" s="70" t="s">
        <v>196</v>
      </c>
      <c r="AC11" s="38" t="s">
        <v>480</v>
      </c>
      <c r="AD11" s="70" t="s">
        <v>196</v>
      </c>
    </row>
    <row r="12" spans="1:30" ht="6.75" customHeight="1" x14ac:dyDescent="0.2">
      <c r="A12" s="50">
        <v>12</v>
      </c>
      <c r="B12" s="54" t="s">
        <v>610</v>
      </c>
      <c r="C12" s="30" t="s">
        <v>611</v>
      </c>
      <c r="D12" s="30" t="s">
        <v>407</v>
      </c>
      <c r="E12" s="30" t="s">
        <v>488</v>
      </c>
      <c r="F12" s="22" t="s">
        <v>499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575</v>
      </c>
      <c r="Q12" s="52" t="s">
        <v>576</v>
      </c>
      <c r="R12" s="55" t="s">
        <v>577</v>
      </c>
      <c r="S12" s="80" t="s">
        <v>196</v>
      </c>
      <c r="T12" s="53" t="str">
        <f t="shared" si="2"/>
        <v>Normativos</v>
      </c>
      <c r="U12" s="53" t="str">
        <f t="shared" si="2"/>
        <v>ABNT</v>
      </c>
      <c r="V12" s="52" t="str">
        <f t="shared" si="2"/>
        <v>NBR.Parte</v>
      </c>
      <c r="W12" s="38" t="s">
        <v>471</v>
      </c>
      <c r="X12" s="58" t="str">
        <f t="shared" si="3"/>
        <v>Key-ABNT-12</v>
      </c>
      <c r="Y12" s="38" t="s">
        <v>616</v>
      </c>
      <c r="Z12" s="70" t="s">
        <v>196</v>
      </c>
      <c r="AA12" s="38" t="s">
        <v>623</v>
      </c>
      <c r="AB12" s="70" t="s">
        <v>196</v>
      </c>
      <c r="AC12" s="38" t="s">
        <v>481</v>
      </c>
      <c r="AD12" s="70" t="s">
        <v>196</v>
      </c>
    </row>
    <row r="13" spans="1:30" ht="6.75" customHeight="1" x14ac:dyDescent="0.2">
      <c r="A13" s="50">
        <v>13</v>
      </c>
      <c r="B13" s="54" t="s">
        <v>610</v>
      </c>
      <c r="C13" s="30" t="s">
        <v>611</v>
      </c>
      <c r="D13" s="30" t="s">
        <v>407</v>
      </c>
      <c r="E13" s="30" t="s">
        <v>488</v>
      </c>
      <c r="F13" s="22" t="s">
        <v>500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578</v>
      </c>
      <c r="Q13" s="52" t="s">
        <v>579</v>
      </c>
      <c r="R13" s="55" t="s">
        <v>580</v>
      </c>
      <c r="S13" s="80" t="s">
        <v>196</v>
      </c>
      <c r="T13" s="53" t="str">
        <f t="shared" si="2"/>
        <v>Normativos</v>
      </c>
      <c r="U13" s="53" t="str">
        <f t="shared" si="2"/>
        <v>ABNT</v>
      </c>
      <c r="V13" s="52" t="str">
        <f t="shared" si="2"/>
        <v>NBR.Parte</v>
      </c>
      <c r="W13" s="38" t="s">
        <v>471</v>
      </c>
      <c r="X13" s="58" t="str">
        <f t="shared" si="3"/>
        <v>Key-ABNT-13</v>
      </c>
      <c r="Y13" s="38" t="s">
        <v>616</v>
      </c>
      <c r="Z13" s="70" t="s">
        <v>196</v>
      </c>
      <c r="AA13" s="38" t="s">
        <v>623</v>
      </c>
      <c r="AB13" s="70" t="s">
        <v>196</v>
      </c>
      <c r="AC13" s="38" t="s">
        <v>482</v>
      </c>
      <c r="AD13" s="70" t="s">
        <v>196</v>
      </c>
    </row>
    <row r="14" spans="1:30" ht="6.75" customHeight="1" x14ac:dyDescent="0.2">
      <c r="A14" s="50">
        <v>14</v>
      </c>
      <c r="B14" s="54" t="s">
        <v>610</v>
      </c>
      <c r="C14" s="30" t="s">
        <v>611</v>
      </c>
      <c r="D14" s="30" t="s">
        <v>407</v>
      </c>
      <c r="E14" s="30" t="s">
        <v>488</v>
      </c>
      <c r="F14" s="22" t="s">
        <v>501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581</v>
      </c>
      <c r="Q14" s="52" t="s">
        <v>582</v>
      </c>
      <c r="R14" s="55" t="s">
        <v>583</v>
      </c>
      <c r="S14" s="80" t="s">
        <v>196</v>
      </c>
      <c r="T14" s="53" t="str">
        <f t="shared" si="2"/>
        <v>Normativos</v>
      </c>
      <c r="U14" s="53" t="str">
        <f t="shared" si="2"/>
        <v>ABNT</v>
      </c>
      <c r="V14" s="52" t="str">
        <f t="shared" si="2"/>
        <v>NBR.Parte</v>
      </c>
      <c r="W14" s="38" t="s">
        <v>471</v>
      </c>
      <c r="X14" s="58" t="str">
        <f t="shared" si="3"/>
        <v>Key-ABNT-14</v>
      </c>
      <c r="Y14" s="68" t="s">
        <v>617</v>
      </c>
      <c r="Z14" s="70" t="s">
        <v>196</v>
      </c>
      <c r="AA14" s="69" t="s">
        <v>618</v>
      </c>
      <c r="AB14" s="70" t="s">
        <v>196</v>
      </c>
      <c r="AC14" s="38" t="s">
        <v>483</v>
      </c>
      <c r="AD14" s="70" t="s">
        <v>196</v>
      </c>
    </row>
    <row r="15" spans="1:30" ht="6.75" customHeight="1" x14ac:dyDescent="0.2">
      <c r="A15" s="50">
        <v>15</v>
      </c>
      <c r="B15" s="54" t="s">
        <v>610</v>
      </c>
      <c r="C15" s="30" t="s">
        <v>611</v>
      </c>
      <c r="D15" s="30" t="s">
        <v>612</v>
      </c>
      <c r="E15" s="30" t="s">
        <v>541</v>
      </c>
      <c r="F15" s="10" t="s">
        <v>514</v>
      </c>
      <c r="G15" s="51" t="s">
        <v>196</v>
      </c>
      <c r="H15" s="51" t="s">
        <v>196</v>
      </c>
      <c r="I15" s="51" t="s">
        <v>196</v>
      </c>
      <c r="J15" s="51" t="s">
        <v>196</v>
      </c>
      <c r="K15" s="51" t="s">
        <v>196</v>
      </c>
      <c r="L15" s="52" t="str">
        <f t="shared" ref="L15:M30" si="4">CONCATENATE("", C15)</f>
        <v>Normativos</v>
      </c>
      <c r="M15" s="52" t="str">
        <f t="shared" ref="M15:M27" si="5">CONCATENATE("", D15)</f>
        <v>NBR.Temáticas</v>
      </c>
      <c r="N15" s="52" t="str">
        <f t="shared" ref="N15:N27" si="6">CONCATENATE("", E15)</f>
        <v>NBR.Disciplinas</v>
      </c>
      <c r="O15" s="52" t="str">
        <f t="shared" ref="O15:O27" si="7">F15</f>
        <v>NBR.D.Arquitetura</v>
      </c>
      <c r="P15" s="38" t="s">
        <v>502</v>
      </c>
      <c r="Q15" s="38" t="s">
        <v>637</v>
      </c>
      <c r="R15" s="38" t="s">
        <v>624</v>
      </c>
      <c r="S15" s="80" t="s">
        <v>196</v>
      </c>
      <c r="T15" s="53" t="str">
        <f t="shared" ref="T15:V17" si="8">SUBSTITUTE(C15, "_", " ")</f>
        <v>Normativos</v>
      </c>
      <c r="U15" s="53" t="str">
        <f t="shared" si="8"/>
        <v>NBR.Temáticas</v>
      </c>
      <c r="V15" s="52" t="str">
        <f t="shared" si="8"/>
        <v>NBR.Disciplinas</v>
      </c>
      <c r="W15" s="38" t="s">
        <v>471</v>
      </c>
      <c r="X15" s="58" t="str">
        <f t="shared" ref="X15:X32" si="9">CONCATENATE("Key-ABNT-",A15)</f>
        <v>Key-ABNT-15</v>
      </c>
      <c r="Y15" s="70" t="s">
        <v>196</v>
      </c>
      <c r="Z15" s="70" t="s">
        <v>196</v>
      </c>
      <c r="AA15" s="38" t="s">
        <v>613</v>
      </c>
      <c r="AB15" s="70" t="s">
        <v>196</v>
      </c>
      <c r="AC15" s="53" t="s">
        <v>527</v>
      </c>
      <c r="AD15" s="70" t="s">
        <v>196</v>
      </c>
    </row>
    <row r="16" spans="1:30" ht="6.75" customHeight="1" x14ac:dyDescent="0.2">
      <c r="A16" s="50">
        <v>16</v>
      </c>
      <c r="B16" s="54" t="s">
        <v>610</v>
      </c>
      <c r="C16" s="30" t="s">
        <v>611</v>
      </c>
      <c r="D16" s="30" t="s">
        <v>612</v>
      </c>
      <c r="E16" s="30" t="s">
        <v>541</v>
      </c>
      <c r="F16" s="10" t="s">
        <v>515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NBR.Disciplinas</v>
      </c>
      <c r="O16" s="52" t="str">
        <f t="shared" si="7"/>
        <v>NBR.D.Construção</v>
      </c>
      <c r="P16" s="52" t="s">
        <v>503</v>
      </c>
      <c r="Q16" s="38" t="s">
        <v>638</v>
      </c>
      <c r="R16" s="38" t="s">
        <v>625</v>
      </c>
      <c r="S16" s="80" t="s">
        <v>196</v>
      </c>
      <c r="T16" s="53" t="str">
        <f t="shared" si="8"/>
        <v>Normativos</v>
      </c>
      <c r="U16" s="53" t="str">
        <f t="shared" si="8"/>
        <v>NBR.Temáticas</v>
      </c>
      <c r="V16" s="52" t="str">
        <f t="shared" si="8"/>
        <v>NBR.Disciplinas</v>
      </c>
      <c r="W16" s="38" t="s">
        <v>471</v>
      </c>
      <c r="X16" s="58" t="str">
        <f t="shared" si="9"/>
        <v>Key-ABNT-16</v>
      </c>
      <c r="Y16" s="70" t="s">
        <v>196</v>
      </c>
      <c r="Z16" s="70" t="s">
        <v>196</v>
      </c>
      <c r="AA16" s="38" t="s">
        <v>613</v>
      </c>
      <c r="AB16" s="70" t="s">
        <v>196</v>
      </c>
      <c r="AC16" s="53" t="s">
        <v>534</v>
      </c>
      <c r="AD16" s="70" t="s">
        <v>196</v>
      </c>
    </row>
    <row r="17" spans="1:30" ht="6.75" customHeight="1" x14ac:dyDescent="0.2">
      <c r="A17" s="50">
        <v>17</v>
      </c>
      <c r="B17" s="54" t="s">
        <v>610</v>
      </c>
      <c r="C17" s="30" t="s">
        <v>611</v>
      </c>
      <c r="D17" s="30" t="s">
        <v>612</v>
      </c>
      <c r="E17" s="30" t="s">
        <v>541</v>
      </c>
      <c r="F17" s="10" t="s">
        <v>516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NBR.Disciplinas</v>
      </c>
      <c r="O17" s="52" t="str">
        <f t="shared" si="7"/>
        <v>NBR.D.Engenharia</v>
      </c>
      <c r="P17" s="52" t="s">
        <v>504</v>
      </c>
      <c r="Q17" s="38" t="s">
        <v>639</v>
      </c>
      <c r="R17" s="38" t="s">
        <v>626</v>
      </c>
      <c r="S17" s="80" t="s">
        <v>196</v>
      </c>
      <c r="T17" s="53" t="str">
        <f t="shared" si="8"/>
        <v>Normativos</v>
      </c>
      <c r="U17" s="53" t="str">
        <f t="shared" si="8"/>
        <v>NBR.Temáticas</v>
      </c>
      <c r="V17" s="52" t="str">
        <f t="shared" si="8"/>
        <v>NBR.Disciplinas</v>
      </c>
      <c r="W17" s="38" t="s">
        <v>471</v>
      </c>
      <c r="X17" s="58" t="str">
        <f t="shared" si="9"/>
        <v>Key-ABNT-17</v>
      </c>
      <c r="Y17" s="70" t="s">
        <v>196</v>
      </c>
      <c r="Z17" s="70" t="s">
        <v>196</v>
      </c>
      <c r="AA17" s="38" t="s">
        <v>613</v>
      </c>
      <c r="AB17" s="70" t="s">
        <v>196</v>
      </c>
      <c r="AC17" s="53" t="s">
        <v>529</v>
      </c>
      <c r="AD17" s="70" t="s">
        <v>196</v>
      </c>
    </row>
    <row r="18" spans="1:30" ht="6.75" customHeight="1" x14ac:dyDescent="0.2">
      <c r="A18" s="50">
        <v>18</v>
      </c>
      <c r="B18" s="54" t="s">
        <v>610</v>
      </c>
      <c r="C18" s="30" t="s">
        <v>611</v>
      </c>
      <c r="D18" s="30" t="s">
        <v>612</v>
      </c>
      <c r="E18" s="30" t="s">
        <v>541</v>
      </c>
      <c r="F18" s="10" t="s">
        <v>522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NBR.Disciplinas</v>
      </c>
      <c r="O18" s="52" t="str">
        <f t="shared" si="7"/>
        <v>NBR.D.Especialidade</v>
      </c>
      <c r="P18" s="52" t="s">
        <v>505</v>
      </c>
      <c r="Q18" s="38" t="s">
        <v>640</v>
      </c>
      <c r="R18" s="38" t="s">
        <v>627</v>
      </c>
      <c r="S18" s="80" t="s">
        <v>196</v>
      </c>
      <c r="T18" s="53" t="str">
        <f t="shared" ref="T18:V27" si="10">SUBSTITUTE(C18, "_", " ")</f>
        <v>Normativos</v>
      </c>
      <c r="U18" s="53" t="str">
        <f t="shared" si="10"/>
        <v>NBR.Temáticas</v>
      </c>
      <c r="V18" s="52" t="str">
        <f t="shared" si="10"/>
        <v>NBR.Disciplinas</v>
      </c>
      <c r="W18" s="38" t="s">
        <v>471</v>
      </c>
      <c r="X18" s="58" t="str">
        <f t="shared" si="9"/>
        <v>Key-ABNT-18</v>
      </c>
      <c r="Y18" s="70" t="s">
        <v>196</v>
      </c>
      <c r="Z18" s="70" t="s">
        <v>196</v>
      </c>
      <c r="AA18" s="38" t="s">
        <v>613</v>
      </c>
      <c r="AB18" s="70" t="s">
        <v>196</v>
      </c>
      <c r="AC18" s="53" t="s">
        <v>530</v>
      </c>
      <c r="AD18" s="70" t="s">
        <v>196</v>
      </c>
    </row>
    <row r="19" spans="1:30" ht="6.75" customHeight="1" x14ac:dyDescent="0.2">
      <c r="A19" s="50">
        <v>19</v>
      </c>
      <c r="B19" s="54" t="s">
        <v>610</v>
      </c>
      <c r="C19" s="30" t="s">
        <v>611</v>
      </c>
      <c r="D19" s="30" t="s">
        <v>612</v>
      </c>
      <c r="E19" s="30" t="s">
        <v>541</v>
      </c>
      <c r="F19" s="10" t="s">
        <v>517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NBR.Disciplinas</v>
      </c>
      <c r="O19" s="52" t="str">
        <f t="shared" si="7"/>
        <v>NBR.D.Fabricação</v>
      </c>
      <c r="P19" s="52" t="s">
        <v>506</v>
      </c>
      <c r="Q19" s="38" t="s">
        <v>641</v>
      </c>
      <c r="R19" s="38" t="s">
        <v>628</v>
      </c>
      <c r="S19" s="80" t="s">
        <v>196</v>
      </c>
      <c r="T19" s="53" t="str">
        <f t="shared" si="10"/>
        <v>Normativos</v>
      </c>
      <c r="U19" s="53" t="str">
        <f t="shared" si="10"/>
        <v>NBR.Temáticas</v>
      </c>
      <c r="V19" s="52" t="str">
        <f t="shared" si="10"/>
        <v>NBR.Disciplinas</v>
      </c>
      <c r="W19" s="38" t="s">
        <v>471</v>
      </c>
      <c r="X19" s="58" t="str">
        <f t="shared" si="9"/>
        <v>Key-ABNT-19</v>
      </c>
      <c r="Y19" s="70" t="s">
        <v>196</v>
      </c>
      <c r="Z19" s="70" t="s">
        <v>196</v>
      </c>
      <c r="AA19" s="38" t="s">
        <v>613</v>
      </c>
      <c r="AB19" s="70" t="s">
        <v>196</v>
      </c>
      <c r="AC19" s="53" t="s">
        <v>531</v>
      </c>
      <c r="AD19" s="70" t="s">
        <v>196</v>
      </c>
    </row>
    <row r="20" spans="1:30" ht="6.75" customHeight="1" x14ac:dyDescent="0.2">
      <c r="A20" s="50">
        <v>20</v>
      </c>
      <c r="B20" s="54" t="s">
        <v>610</v>
      </c>
      <c r="C20" s="30" t="s">
        <v>611</v>
      </c>
      <c r="D20" s="30" t="s">
        <v>612</v>
      </c>
      <c r="E20" s="30" t="s">
        <v>541</v>
      </c>
      <c r="F20" s="10" t="s">
        <v>523</v>
      </c>
      <c r="G20" s="33" t="s">
        <v>196</v>
      </c>
      <c r="H20" s="33" t="s">
        <v>196</v>
      </c>
      <c r="I20" s="33" t="s">
        <v>196</v>
      </c>
      <c r="J20" s="33" t="s">
        <v>196</v>
      </c>
      <c r="K20" s="33" t="s">
        <v>196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NBR.Disciplinas</v>
      </c>
      <c r="O20" s="52" t="str">
        <f t="shared" si="7"/>
        <v>NBR.D.Gerencial</v>
      </c>
      <c r="P20" s="52" t="s">
        <v>507</v>
      </c>
      <c r="Q20" s="38" t="s">
        <v>642</v>
      </c>
      <c r="R20" s="38" t="s">
        <v>629</v>
      </c>
      <c r="S20" s="80" t="s">
        <v>196</v>
      </c>
      <c r="T20" s="53" t="str">
        <f t="shared" si="10"/>
        <v>Normativos</v>
      </c>
      <c r="U20" s="53" t="str">
        <f t="shared" si="10"/>
        <v>NBR.Temáticas</v>
      </c>
      <c r="V20" s="52" t="str">
        <f t="shared" si="10"/>
        <v>NBR.Disciplinas</v>
      </c>
      <c r="W20" s="38" t="s">
        <v>471</v>
      </c>
      <c r="X20" s="58" t="str">
        <f t="shared" si="9"/>
        <v>Key-ABNT-20</v>
      </c>
      <c r="Y20" s="70" t="s">
        <v>196</v>
      </c>
      <c r="Z20" s="70" t="s">
        <v>196</v>
      </c>
      <c r="AA20" s="38" t="s">
        <v>613</v>
      </c>
      <c r="AB20" s="70" t="s">
        <v>196</v>
      </c>
      <c r="AC20" s="53" t="s">
        <v>532</v>
      </c>
      <c r="AD20" s="70" t="s">
        <v>196</v>
      </c>
    </row>
    <row r="21" spans="1:30" ht="6.75" customHeight="1" x14ac:dyDescent="0.2">
      <c r="A21" s="50">
        <v>21</v>
      </c>
      <c r="B21" s="54" t="s">
        <v>610</v>
      </c>
      <c r="C21" s="30" t="s">
        <v>611</v>
      </c>
      <c r="D21" s="30" t="s">
        <v>612</v>
      </c>
      <c r="E21" s="30" t="s">
        <v>541</v>
      </c>
      <c r="F21" s="10" t="s">
        <v>524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NBR.Disciplinas</v>
      </c>
      <c r="O21" s="52" t="str">
        <f t="shared" si="7"/>
        <v>NBR.D.Imobilíaria</v>
      </c>
      <c r="P21" s="52" t="s">
        <v>508</v>
      </c>
      <c r="Q21" s="38" t="s">
        <v>643</v>
      </c>
      <c r="R21" s="38" t="s">
        <v>630</v>
      </c>
      <c r="S21" s="80" t="s">
        <v>196</v>
      </c>
      <c r="T21" s="53" t="str">
        <f t="shared" si="10"/>
        <v>Normativos</v>
      </c>
      <c r="U21" s="53" t="str">
        <f t="shared" si="10"/>
        <v>NBR.Temáticas</v>
      </c>
      <c r="V21" s="52" t="str">
        <f t="shared" si="10"/>
        <v>NBR.Disciplinas</v>
      </c>
      <c r="W21" s="38" t="s">
        <v>471</v>
      </c>
      <c r="X21" s="58" t="str">
        <f t="shared" si="9"/>
        <v>Key-ABNT-21</v>
      </c>
      <c r="Y21" s="70" t="s">
        <v>196</v>
      </c>
      <c r="Z21" s="70" t="s">
        <v>196</v>
      </c>
      <c r="AA21" s="38" t="s">
        <v>613</v>
      </c>
      <c r="AB21" s="70" t="s">
        <v>196</v>
      </c>
      <c r="AC21" s="53" t="s">
        <v>533</v>
      </c>
      <c r="AD21" s="70" t="s">
        <v>196</v>
      </c>
    </row>
    <row r="22" spans="1:30" ht="6.75" customHeight="1" x14ac:dyDescent="0.2">
      <c r="A22" s="50">
        <v>22</v>
      </c>
      <c r="B22" s="54" t="s">
        <v>610</v>
      </c>
      <c r="C22" s="30" t="s">
        <v>611</v>
      </c>
      <c r="D22" s="30" t="s">
        <v>612</v>
      </c>
      <c r="E22" s="30" t="s">
        <v>541</v>
      </c>
      <c r="F22" s="10" t="s">
        <v>518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NBR.Disciplinas</v>
      </c>
      <c r="O22" s="52" t="str">
        <f t="shared" si="7"/>
        <v>NBR.D.Legislação</v>
      </c>
      <c r="P22" s="52" t="s">
        <v>509</v>
      </c>
      <c r="Q22" s="38" t="s">
        <v>644</v>
      </c>
      <c r="R22" s="38" t="s">
        <v>631</v>
      </c>
      <c r="S22" s="80" t="s">
        <v>196</v>
      </c>
      <c r="T22" s="53" t="str">
        <f t="shared" si="10"/>
        <v>Normativos</v>
      </c>
      <c r="U22" s="53" t="str">
        <f t="shared" si="10"/>
        <v>NBR.Temáticas</v>
      </c>
      <c r="V22" s="52" t="str">
        <f t="shared" si="10"/>
        <v>NBR.Disciplinas</v>
      </c>
      <c r="W22" s="38" t="s">
        <v>471</v>
      </c>
      <c r="X22" s="58" t="str">
        <f t="shared" si="9"/>
        <v>Key-ABNT-22</v>
      </c>
      <c r="Y22" s="70" t="s">
        <v>196</v>
      </c>
      <c r="Z22" s="70" t="s">
        <v>196</v>
      </c>
      <c r="AA22" s="38" t="s">
        <v>613</v>
      </c>
      <c r="AB22" s="70" t="s">
        <v>196</v>
      </c>
      <c r="AC22" s="53" t="s">
        <v>536</v>
      </c>
      <c r="AD22" s="70" t="s">
        <v>196</v>
      </c>
    </row>
    <row r="23" spans="1:30" ht="6.75" customHeight="1" x14ac:dyDescent="0.2">
      <c r="A23" s="50">
        <v>23</v>
      </c>
      <c r="B23" s="54" t="s">
        <v>610</v>
      </c>
      <c r="C23" s="30" t="s">
        <v>611</v>
      </c>
      <c r="D23" s="30" t="s">
        <v>612</v>
      </c>
      <c r="E23" s="30" t="s">
        <v>541</v>
      </c>
      <c r="F23" s="10" t="s">
        <v>519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NBR.Disciplinas</v>
      </c>
      <c r="O23" s="52" t="str">
        <f t="shared" si="7"/>
        <v>NBR.D.Levantamento</v>
      </c>
      <c r="P23" s="52" t="s">
        <v>538</v>
      </c>
      <c r="Q23" s="38" t="s">
        <v>645</v>
      </c>
      <c r="R23" s="38" t="s">
        <v>632</v>
      </c>
      <c r="S23" s="80" t="s">
        <v>196</v>
      </c>
      <c r="T23" s="53" t="str">
        <f t="shared" si="10"/>
        <v>Normativos</v>
      </c>
      <c r="U23" s="53" t="str">
        <f t="shared" si="10"/>
        <v>NBR.Temáticas</v>
      </c>
      <c r="V23" s="52" t="str">
        <f t="shared" si="10"/>
        <v>NBR.Disciplinas</v>
      </c>
      <c r="W23" s="38" t="s">
        <v>471</v>
      </c>
      <c r="X23" s="58" t="str">
        <f t="shared" si="9"/>
        <v>Key-ABNT-23</v>
      </c>
      <c r="Y23" s="70" t="s">
        <v>196</v>
      </c>
      <c r="Z23" s="70" t="s">
        <v>196</v>
      </c>
      <c r="AA23" s="38" t="s">
        <v>613</v>
      </c>
      <c r="AB23" s="70" t="s">
        <v>196</v>
      </c>
      <c r="AC23" s="53" t="s">
        <v>537</v>
      </c>
      <c r="AD23" s="70" t="s">
        <v>196</v>
      </c>
    </row>
    <row r="24" spans="1:30" ht="6.75" customHeight="1" x14ac:dyDescent="0.2">
      <c r="A24" s="50">
        <v>24</v>
      </c>
      <c r="B24" s="54" t="s">
        <v>610</v>
      </c>
      <c r="C24" s="30" t="s">
        <v>611</v>
      </c>
      <c r="D24" s="30" t="s">
        <v>612</v>
      </c>
      <c r="E24" s="30" t="s">
        <v>541</v>
      </c>
      <c r="F24" s="10" t="s">
        <v>520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NBR.Disciplinas</v>
      </c>
      <c r="O24" s="52" t="str">
        <f t="shared" si="7"/>
        <v>NBR.D.Operação</v>
      </c>
      <c r="P24" s="52" t="s">
        <v>510</v>
      </c>
      <c r="Q24" s="38" t="s">
        <v>646</v>
      </c>
      <c r="R24" s="38" t="s">
        <v>633</v>
      </c>
      <c r="S24" s="80" t="s">
        <v>196</v>
      </c>
      <c r="T24" s="53" t="str">
        <f t="shared" si="10"/>
        <v>Normativos</v>
      </c>
      <c r="U24" s="53" t="str">
        <f t="shared" si="10"/>
        <v>NBR.Temáticas</v>
      </c>
      <c r="V24" s="52" t="str">
        <f t="shared" si="10"/>
        <v>NBR.Disciplinas</v>
      </c>
      <c r="W24" s="38" t="s">
        <v>471</v>
      </c>
      <c r="X24" s="58" t="str">
        <f t="shared" si="9"/>
        <v>Key-ABNT-24</v>
      </c>
      <c r="Y24" s="70" t="s">
        <v>196</v>
      </c>
      <c r="Z24" s="70" t="s">
        <v>196</v>
      </c>
      <c r="AA24" s="38" t="s">
        <v>613</v>
      </c>
      <c r="AB24" s="70" t="s">
        <v>196</v>
      </c>
      <c r="AC24" s="53" t="s">
        <v>535</v>
      </c>
      <c r="AD24" s="70" t="s">
        <v>196</v>
      </c>
    </row>
    <row r="25" spans="1:30" ht="6.75" customHeight="1" x14ac:dyDescent="0.2">
      <c r="A25" s="50">
        <v>25</v>
      </c>
      <c r="B25" s="54" t="s">
        <v>610</v>
      </c>
      <c r="C25" s="30" t="s">
        <v>611</v>
      </c>
      <c r="D25" s="30" t="s">
        <v>612</v>
      </c>
      <c r="E25" s="30" t="s">
        <v>541</v>
      </c>
      <c r="F25" s="10" t="s">
        <v>525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NBR.Disciplinas</v>
      </c>
      <c r="O25" s="52" t="str">
        <f t="shared" si="7"/>
        <v>NBR.D.Disciplina</v>
      </c>
      <c r="P25" s="52" t="s">
        <v>511</v>
      </c>
      <c r="Q25" s="38" t="s">
        <v>647</v>
      </c>
      <c r="R25" s="38" t="s">
        <v>634</v>
      </c>
      <c r="S25" s="80" t="s">
        <v>196</v>
      </c>
      <c r="T25" s="53" t="str">
        <f t="shared" si="10"/>
        <v>Normativos</v>
      </c>
      <c r="U25" s="53" t="str">
        <f t="shared" si="10"/>
        <v>NBR.Temáticas</v>
      </c>
      <c r="V25" s="52" t="str">
        <f t="shared" si="10"/>
        <v>NBR.Disciplinas</v>
      </c>
      <c r="W25" s="38" t="s">
        <v>471</v>
      </c>
      <c r="X25" s="58" t="str">
        <f t="shared" si="9"/>
        <v>Key-ABNT-25</v>
      </c>
      <c r="Y25" s="70" t="s">
        <v>196</v>
      </c>
      <c r="Z25" s="70" t="s">
        <v>196</v>
      </c>
      <c r="AA25" s="38" t="s">
        <v>613</v>
      </c>
      <c r="AB25" s="70" t="s">
        <v>196</v>
      </c>
      <c r="AC25" s="53" t="s">
        <v>540</v>
      </c>
      <c r="AD25" s="70" t="s">
        <v>196</v>
      </c>
    </row>
    <row r="26" spans="1:30" ht="6.75" customHeight="1" x14ac:dyDescent="0.2">
      <c r="A26" s="50">
        <v>26</v>
      </c>
      <c r="B26" s="54" t="s">
        <v>610</v>
      </c>
      <c r="C26" s="30" t="s">
        <v>611</v>
      </c>
      <c r="D26" s="30" t="s">
        <v>612</v>
      </c>
      <c r="E26" s="30" t="s">
        <v>541</v>
      </c>
      <c r="F26" s="10" t="s">
        <v>521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NBR.Disciplinas</v>
      </c>
      <c r="O26" s="52" t="str">
        <f t="shared" si="7"/>
        <v>NBR.D.Planejamento</v>
      </c>
      <c r="P26" s="52" t="s">
        <v>512</v>
      </c>
      <c r="Q26" s="38" t="s">
        <v>648</v>
      </c>
      <c r="R26" s="38" t="s">
        <v>635</v>
      </c>
      <c r="S26" s="80" t="s">
        <v>196</v>
      </c>
      <c r="T26" s="53" t="str">
        <f t="shared" si="10"/>
        <v>Normativos</v>
      </c>
      <c r="U26" s="53" t="str">
        <f t="shared" si="10"/>
        <v>NBR.Temáticas</v>
      </c>
      <c r="V26" s="52" t="str">
        <f t="shared" si="10"/>
        <v>NBR.Disciplinas</v>
      </c>
      <c r="W26" s="38" t="s">
        <v>471</v>
      </c>
      <c r="X26" s="58" t="str">
        <f t="shared" si="9"/>
        <v>Key-ABNT-26</v>
      </c>
      <c r="Y26" s="70" t="s">
        <v>196</v>
      </c>
      <c r="Z26" s="70" t="s">
        <v>196</v>
      </c>
      <c r="AA26" s="38" t="s">
        <v>613</v>
      </c>
      <c r="AB26" s="70" t="s">
        <v>196</v>
      </c>
      <c r="AC26" s="53" t="s">
        <v>528</v>
      </c>
      <c r="AD26" s="70" t="s">
        <v>196</v>
      </c>
    </row>
    <row r="27" spans="1:30" ht="6.75" customHeight="1" x14ac:dyDescent="0.2">
      <c r="A27" s="50">
        <v>27</v>
      </c>
      <c r="B27" s="54" t="s">
        <v>610</v>
      </c>
      <c r="C27" s="30" t="s">
        <v>611</v>
      </c>
      <c r="D27" s="30" t="s">
        <v>612</v>
      </c>
      <c r="E27" s="30" t="s">
        <v>541</v>
      </c>
      <c r="F27" s="10" t="s">
        <v>526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NBR.Disciplinas</v>
      </c>
      <c r="O27" s="52" t="str">
        <f t="shared" si="7"/>
        <v>NBR.D.Restauro</v>
      </c>
      <c r="P27" s="52" t="s">
        <v>513</v>
      </c>
      <c r="Q27" s="38" t="s">
        <v>649</v>
      </c>
      <c r="R27" s="38" t="s">
        <v>636</v>
      </c>
      <c r="S27" s="80" t="s">
        <v>196</v>
      </c>
      <c r="T27" s="53" t="str">
        <f t="shared" si="10"/>
        <v>Normativos</v>
      </c>
      <c r="U27" s="53" t="str">
        <f t="shared" si="10"/>
        <v>NBR.Temáticas</v>
      </c>
      <c r="V27" s="52" t="str">
        <f t="shared" si="10"/>
        <v>NBR.Disciplinas</v>
      </c>
      <c r="W27" s="38" t="s">
        <v>471</v>
      </c>
      <c r="X27" s="58" t="str">
        <f t="shared" si="9"/>
        <v>Key-ABNT-27</v>
      </c>
      <c r="Y27" s="70" t="s">
        <v>196</v>
      </c>
      <c r="Z27" s="70" t="s">
        <v>196</v>
      </c>
      <c r="AA27" s="38" t="s">
        <v>613</v>
      </c>
      <c r="AB27" s="70" t="s">
        <v>196</v>
      </c>
      <c r="AC27" s="53" t="s">
        <v>539</v>
      </c>
      <c r="AD27" s="70" t="s">
        <v>196</v>
      </c>
    </row>
    <row r="28" spans="1:30" s="81" customFormat="1" ht="6.75" customHeight="1" x14ac:dyDescent="0.2">
      <c r="A28" s="50">
        <v>28</v>
      </c>
      <c r="B28" s="54" t="s">
        <v>696</v>
      </c>
      <c r="C28" s="30" t="s">
        <v>697</v>
      </c>
      <c r="D28" s="30" t="s">
        <v>698</v>
      </c>
      <c r="E28" s="30" t="s">
        <v>699</v>
      </c>
      <c r="F28" s="30" t="s">
        <v>675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">
        <v>697</v>
      </c>
      <c r="M28" s="52" t="s">
        <v>698</v>
      </c>
      <c r="N28" s="52" t="s">
        <v>702</v>
      </c>
      <c r="O28" s="52" t="s">
        <v>703</v>
      </c>
      <c r="P28" s="38" t="s">
        <v>676</v>
      </c>
      <c r="Q28" s="38" t="s">
        <v>677</v>
      </c>
      <c r="R28" s="38" t="s">
        <v>678</v>
      </c>
      <c r="S28" s="80" t="s">
        <v>196</v>
      </c>
      <c r="T28" s="38" t="s">
        <v>704</v>
      </c>
      <c r="U28" s="38" t="s">
        <v>705</v>
      </c>
      <c r="V28" s="53" t="s">
        <v>702</v>
      </c>
      <c r="W28" s="38" t="s">
        <v>471</v>
      </c>
      <c r="X28" s="58" t="str">
        <f t="shared" si="9"/>
        <v>Key-ABNT-28</v>
      </c>
      <c r="Y28" s="70" t="s">
        <v>196</v>
      </c>
      <c r="Z28" s="70" t="s">
        <v>196</v>
      </c>
      <c r="AA28" s="70" t="s">
        <v>196</v>
      </c>
      <c r="AB28" s="70" t="s">
        <v>196</v>
      </c>
      <c r="AC28" s="70" t="s">
        <v>196</v>
      </c>
      <c r="AD28" s="70" t="s">
        <v>196</v>
      </c>
    </row>
    <row r="29" spans="1:30" s="81" customFormat="1" ht="6.75" customHeight="1" x14ac:dyDescent="0.2">
      <c r="A29" s="50">
        <v>29</v>
      </c>
      <c r="B29" s="54" t="s">
        <v>696</v>
      </c>
      <c r="C29" s="30" t="s">
        <v>697</v>
      </c>
      <c r="D29" s="30" t="s">
        <v>698</v>
      </c>
      <c r="E29" s="30" t="s">
        <v>699</v>
      </c>
      <c r="F29" s="30" t="s">
        <v>679</v>
      </c>
      <c r="G29" s="33" t="s">
        <v>196</v>
      </c>
      <c r="H29" s="33" t="s">
        <v>196</v>
      </c>
      <c r="I29" s="33" t="s">
        <v>196</v>
      </c>
      <c r="J29" s="33" t="s">
        <v>196</v>
      </c>
      <c r="K29" s="33" t="s">
        <v>196</v>
      </c>
      <c r="L29" s="52" t="s">
        <v>697</v>
      </c>
      <c r="M29" s="52" t="s">
        <v>698</v>
      </c>
      <c r="N29" s="52" t="s">
        <v>702</v>
      </c>
      <c r="O29" s="52" t="s">
        <v>706</v>
      </c>
      <c r="P29" s="38" t="s">
        <v>680</v>
      </c>
      <c r="Q29" s="38" t="s">
        <v>681</v>
      </c>
      <c r="R29" s="38" t="s">
        <v>682</v>
      </c>
      <c r="S29" s="80" t="s">
        <v>196</v>
      </c>
      <c r="T29" s="38" t="s">
        <v>704</v>
      </c>
      <c r="U29" s="38" t="s">
        <v>705</v>
      </c>
      <c r="V29" s="53" t="s">
        <v>702</v>
      </c>
      <c r="W29" s="38" t="s">
        <v>471</v>
      </c>
      <c r="X29" s="58" t="str">
        <f t="shared" si="9"/>
        <v>Key-ABNT-29</v>
      </c>
      <c r="Y29" s="70" t="s">
        <v>196</v>
      </c>
      <c r="Z29" s="70" t="s">
        <v>196</v>
      </c>
      <c r="AA29" s="70" t="s">
        <v>196</v>
      </c>
      <c r="AB29" s="70" t="s">
        <v>196</v>
      </c>
      <c r="AC29" s="70" t="s">
        <v>196</v>
      </c>
      <c r="AD29" s="70" t="s">
        <v>196</v>
      </c>
    </row>
    <row r="30" spans="1:30" s="81" customFormat="1" ht="6.75" customHeight="1" x14ac:dyDescent="0.2">
      <c r="A30" s="50">
        <v>30</v>
      </c>
      <c r="B30" s="54" t="s">
        <v>696</v>
      </c>
      <c r="C30" s="30" t="s">
        <v>697</v>
      </c>
      <c r="D30" s="30" t="s">
        <v>698</v>
      </c>
      <c r="E30" s="30" t="s">
        <v>699</v>
      </c>
      <c r="F30" s="30" t="s">
        <v>683</v>
      </c>
      <c r="G30" s="33" t="s">
        <v>196</v>
      </c>
      <c r="H30" s="33" t="s">
        <v>196</v>
      </c>
      <c r="I30" s="33" t="s">
        <v>196</v>
      </c>
      <c r="J30" s="33" t="s">
        <v>196</v>
      </c>
      <c r="K30" s="33" t="s">
        <v>196</v>
      </c>
      <c r="L30" s="52" t="s">
        <v>697</v>
      </c>
      <c r="M30" s="52" t="s">
        <v>698</v>
      </c>
      <c r="N30" s="52" t="s">
        <v>702</v>
      </c>
      <c r="O30" s="52" t="s">
        <v>707</v>
      </c>
      <c r="P30" s="38" t="s">
        <v>684</v>
      </c>
      <c r="Q30" s="38" t="s">
        <v>685</v>
      </c>
      <c r="R30" s="38" t="s">
        <v>686</v>
      </c>
      <c r="S30" s="80" t="s">
        <v>196</v>
      </c>
      <c r="T30" s="38" t="s">
        <v>704</v>
      </c>
      <c r="U30" s="38" t="s">
        <v>705</v>
      </c>
      <c r="V30" s="53" t="s">
        <v>702</v>
      </c>
      <c r="W30" s="38" t="s">
        <v>471</v>
      </c>
      <c r="X30" s="58" t="str">
        <f t="shared" si="9"/>
        <v>Key-ABNT-30</v>
      </c>
      <c r="Y30" s="70" t="s">
        <v>196</v>
      </c>
      <c r="Z30" s="70" t="s">
        <v>196</v>
      </c>
      <c r="AA30" s="70" t="s">
        <v>196</v>
      </c>
      <c r="AB30" s="70" t="s">
        <v>196</v>
      </c>
      <c r="AC30" s="70" t="s">
        <v>196</v>
      </c>
      <c r="AD30" s="70" t="s">
        <v>196</v>
      </c>
    </row>
    <row r="31" spans="1:30" s="81" customFormat="1" ht="6.75" customHeight="1" x14ac:dyDescent="0.2">
      <c r="A31" s="50">
        <v>31</v>
      </c>
      <c r="B31" s="54" t="s">
        <v>696</v>
      </c>
      <c r="C31" s="30" t="s">
        <v>697</v>
      </c>
      <c r="D31" s="30" t="s">
        <v>698</v>
      </c>
      <c r="E31" s="30" t="s">
        <v>699</v>
      </c>
      <c r="F31" s="30" t="s">
        <v>687</v>
      </c>
      <c r="G31" s="33" t="s">
        <v>196</v>
      </c>
      <c r="H31" s="33" t="s">
        <v>196</v>
      </c>
      <c r="I31" s="33" t="s">
        <v>196</v>
      </c>
      <c r="J31" s="33" t="s">
        <v>196</v>
      </c>
      <c r="K31" s="33" t="s">
        <v>196</v>
      </c>
      <c r="L31" s="52" t="s">
        <v>697</v>
      </c>
      <c r="M31" s="52" t="s">
        <v>698</v>
      </c>
      <c r="N31" s="52" t="s">
        <v>702</v>
      </c>
      <c r="O31" s="52" t="s">
        <v>708</v>
      </c>
      <c r="P31" s="38" t="s">
        <v>688</v>
      </c>
      <c r="Q31" s="38" t="s">
        <v>689</v>
      </c>
      <c r="R31" s="38" t="s">
        <v>690</v>
      </c>
      <c r="S31" s="80" t="s">
        <v>196</v>
      </c>
      <c r="T31" s="38" t="s">
        <v>704</v>
      </c>
      <c r="U31" s="38" t="s">
        <v>705</v>
      </c>
      <c r="V31" s="53" t="s">
        <v>702</v>
      </c>
      <c r="W31" s="38" t="s">
        <v>471</v>
      </c>
      <c r="X31" s="58" t="str">
        <f t="shared" si="9"/>
        <v>Key-ABNT-31</v>
      </c>
      <c r="Y31" s="70" t="s">
        <v>196</v>
      </c>
      <c r="Z31" s="70" t="s">
        <v>196</v>
      </c>
      <c r="AA31" s="70" t="s">
        <v>196</v>
      </c>
      <c r="AB31" s="70" t="s">
        <v>196</v>
      </c>
      <c r="AC31" s="70" t="s">
        <v>196</v>
      </c>
      <c r="AD31" s="70" t="s">
        <v>196</v>
      </c>
    </row>
    <row r="32" spans="1:30" s="81" customFormat="1" ht="6.75" customHeight="1" x14ac:dyDescent="0.2">
      <c r="A32" s="50">
        <v>32</v>
      </c>
      <c r="B32" s="54" t="s">
        <v>696</v>
      </c>
      <c r="C32" s="30" t="s">
        <v>697</v>
      </c>
      <c r="D32" s="30" t="s">
        <v>700</v>
      </c>
      <c r="E32" s="30" t="s">
        <v>701</v>
      </c>
      <c r="F32" s="30" t="s">
        <v>691</v>
      </c>
      <c r="G32" s="33" t="s">
        <v>196</v>
      </c>
      <c r="H32" s="33" t="s">
        <v>196</v>
      </c>
      <c r="I32" s="33" t="s">
        <v>196</v>
      </c>
      <c r="J32" s="33" t="s">
        <v>196</v>
      </c>
      <c r="K32" s="33" t="s">
        <v>196</v>
      </c>
      <c r="L32" s="52" t="s">
        <v>697</v>
      </c>
      <c r="M32" s="52" t="s">
        <v>700</v>
      </c>
      <c r="N32" s="52" t="s">
        <v>709</v>
      </c>
      <c r="O32" s="52" t="s">
        <v>710</v>
      </c>
      <c r="P32" s="38" t="s">
        <v>692</v>
      </c>
      <c r="Q32" s="38" t="s">
        <v>693</v>
      </c>
      <c r="R32" s="38" t="s">
        <v>694</v>
      </c>
      <c r="S32" s="80" t="s">
        <v>196</v>
      </c>
      <c r="T32" s="38" t="s">
        <v>704</v>
      </c>
      <c r="U32" s="38" t="s">
        <v>711</v>
      </c>
      <c r="V32" s="53" t="s">
        <v>709</v>
      </c>
      <c r="W32" s="38" t="s">
        <v>471</v>
      </c>
      <c r="X32" s="58" t="str">
        <f t="shared" si="9"/>
        <v>Key-ABNT-32</v>
      </c>
      <c r="Y32" s="70" t="s">
        <v>196</v>
      </c>
      <c r="Z32" s="70" t="s">
        <v>196</v>
      </c>
      <c r="AA32" s="70" t="s">
        <v>196</v>
      </c>
      <c r="AB32" s="70" t="s">
        <v>196</v>
      </c>
      <c r="AC32" s="70" t="s">
        <v>196</v>
      </c>
      <c r="AD32" s="70" t="s">
        <v>196</v>
      </c>
    </row>
  </sheetData>
  <conditionalFormatting sqref="A2:B27 A28:A32">
    <cfRule type="cellIs" dxfId="0" priority="7" operator="equal">
      <formula>"null"</formula>
    </cfRule>
  </conditionalFormatting>
  <conditionalFormatting sqref="F2:F14">
    <cfRule type="duplicateValues" dxfId="37" priority="22"/>
  </conditionalFormatting>
  <conditionalFormatting sqref="F15">
    <cfRule type="duplicateValues" dxfId="36" priority="41"/>
    <cfRule type="duplicateValues" dxfId="35" priority="43"/>
    <cfRule type="duplicateValues" dxfId="34" priority="44"/>
    <cfRule type="duplicateValues" dxfId="33" priority="45"/>
  </conditionalFormatting>
  <conditionalFormatting sqref="R1:R27">
    <cfRule type="cellIs" dxfId="31" priority="14" operator="equal">
      <formula>"null"</formula>
    </cfRule>
  </conditionalFormatting>
  <conditionalFormatting sqref="Y2 AA2">
    <cfRule type="cellIs" dxfId="30" priority="19" operator="equal">
      <formula>"null"</formula>
    </cfRule>
  </conditionalFormatting>
  <conditionalFormatting sqref="F28:F32">
    <cfRule type="duplicateValues" dxfId="2" priority="1"/>
  </conditionalFormatting>
  <conditionalFormatting sqref="F28:F32">
    <cfRule type="duplicateValues" dxfId="1" priority="2"/>
  </conditionalFormatting>
  <pageMargins left="0.511811024" right="0.511811024" top="0.78740157499999996" bottom="0.78740157499999996" header="0.31496062000000002" footer="0.31496062000000002"/>
  <ignoredErrors>
    <ignoredError sqref="S1:X1 AF1:XFD1 A33:Q1048576 A1:Q1 S33:Y1048576 AA33:AA1048576 AC33:AC1048576 AE33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2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2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195</v>
      </c>
      <c r="C1" s="28" t="s">
        <v>430</v>
      </c>
    </row>
    <row r="2" spans="1:3" x14ac:dyDescent="0.2">
      <c r="A2" s="23">
        <v>2</v>
      </c>
      <c r="B2" s="29" t="s">
        <v>196</v>
      </c>
      <c r="C2" s="29" t="s">
        <v>196</v>
      </c>
    </row>
  </sheetData>
  <conditionalFormatting sqref="A1:A2">
    <cfRule type="cellIs" dxfId="2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AG183"/>
  <sheetViews>
    <sheetView topLeftCell="M146" zoomScale="160" zoomScaleNormal="160" workbookViewId="0">
      <selection activeCell="P179" sqref="P179:Q183"/>
    </sheetView>
  </sheetViews>
  <sheetFormatPr defaultRowHeight="11.25" x14ac:dyDescent="0.2"/>
  <cols>
    <col min="1" max="1" width="2.5" bestFit="1" customWidth="1"/>
    <col min="2" max="2" width="9.83203125" bestFit="1" customWidth="1"/>
    <col min="3" max="3" width="10.83203125" bestFit="1" customWidth="1"/>
    <col min="4" max="4" width="8.1640625" bestFit="1" customWidth="1"/>
    <col min="5" max="5" width="5.83203125" bestFit="1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6.83203125" bestFit="1" customWidth="1"/>
    <col min="12" max="12" width="4.6640625" bestFit="1" customWidth="1"/>
    <col min="13" max="13" width="20.33203125" bestFit="1" customWidth="1"/>
    <col min="14" max="14" width="5.1640625" bestFit="1" customWidth="1"/>
    <col min="15" max="15" width="43.1640625" bestFit="1" customWidth="1"/>
    <col min="16" max="16" width="7.33203125" bestFit="1" customWidth="1"/>
    <col min="17" max="17" width="11" bestFit="1" customWidth="1"/>
    <col min="18" max="18" width="5" bestFit="1" customWidth="1"/>
    <col min="19" max="19" width="3.832031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9.1640625" bestFit="1" customWidth="1"/>
    <col min="25" max="25" width="7.6640625" bestFit="1" customWidth="1"/>
    <col min="26" max="26" width="9.1640625" bestFit="1" customWidth="1"/>
    <col min="27" max="27" width="5.83203125" bestFit="1" customWidth="1"/>
    <col min="28" max="28" width="9.1640625" bestFit="1" customWidth="1"/>
    <col min="29" max="29" width="7.1640625" bestFit="1" customWidth="1"/>
    <col min="30" max="30" width="9.1640625" bestFit="1" customWidth="1"/>
    <col min="31" max="31" width="7.1640625" bestFit="1" customWidth="1"/>
    <col min="32" max="32" width="9.1640625" bestFit="1" customWidth="1"/>
    <col min="33" max="33" width="7" bestFit="1" customWidth="1"/>
  </cols>
  <sheetData>
    <row r="1" spans="1:33" ht="21.95" customHeight="1" x14ac:dyDescent="0.2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  <c r="Z1" s="6" t="s">
        <v>2</v>
      </c>
      <c r="AA1" s="6" t="s">
        <v>3</v>
      </c>
      <c r="AB1" s="6" t="s">
        <v>2</v>
      </c>
      <c r="AC1" s="6" t="s">
        <v>3</v>
      </c>
      <c r="AD1" s="6" t="s">
        <v>2</v>
      </c>
      <c r="AE1" s="6" t="s">
        <v>3</v>
      </c>
      <c r="AF1" s="6" t="s">
        <v>2</v>
      </c>
      <c r="AG1" s="6" t="s">
        <v>3</v>
      </c>
    </row>
    <row r="2" spans="1:33" ht="6.6" customHeight="1" x14ac:dyDescent="0.2">
      <c r="A2" s="43">
        <v>2</v>
      </c>
      <c r="B2" s="44" t="s">
        <v>380</v>
      </c>
      <c r="C2" s="8" t="s">
        <v>611</v>
      </c>
      <c r="D2" s="56" t="s">
        <v>196</v>
      </c>
      <c r="E2" s="57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485</v>
      </c>
      <c r="L2" s="45" t="s">
        <v>432</v>
      </c>
      <c r="M2" s="46" t="s">
        <v>486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56" t="s">
        <v>196</v>
      </c>
      <c r="Y2" s="57" t="s">
        <v>196</v>
      </c>
      <c r="Z2" s="56" t="s">
        <v>196</v>
      </c>
      <c r="AA2" s="57" t="s">
        <v>196</v>
      </c>
      <c r="AB2" s="56" t="s">
        <v>196</v>
      </c>
      <c r="AC2" s="57" t="s">
        <v>196</v>
      </c>
      <c r="AD2" s="56" t="s">
        <v>196</v>
      </c>
      <c r="AE2" s="57" t="s">
        <v>196</v>
      </c>
      <c r="AF2" s="56" t="s">
        <v>196</v>
      </c>
      <c r="AG2" s="57" t="s">
        <v>196</v>
      </c>
    </row>
    <row r="3" spans="1:33" ht="6.6" customHeight="1" x14ac:dyDescent="0.2">
      <c r="A3" s="43">
        <v>3</v>
      </c>
      <c r="B3" s="7" t="s">
        <v>382</v>
      </c>
      <c r="C3" s="8" t="s">
        <v>488</v>
      </c>
      <c r="D3" s="56" t="s">
        <v>487</v>
      </c>
      <c r="E3" s="57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485</v>
      </c>
      <c r="L3" s="45" t="s">
        <v>432</v>
      </c>
      <c r="M3" s="46" t="s">
        <v>542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56" t="s">
        <v>196</v>
      </c>
      <c r="Y3" s="57" t="s">
        <v>196</v>
      </c>
      <c r="Z3" s="56" t="s">
        <v>196</v>
      </c>
      <c r="AA3" s="57" t="s">
        <v>196</v>
      </c>
      <c r="AB3" s="56" t="s">
        <v>196</v>
      </c>
      <c r="AC3" s="57" t="s">
        <v>196</v>
      </c>
      <c r="AD3" s="56" t="s">
        <v>196</v>
      </c>
      <c r="AE3" s="57" t="s">
        <v>196</v>
      </c>
      <c r="AF3" s="56" t="s">
        <v>196</v>
      </c>
      <c r="AG3" s="57" t="s">
        <v>196</v>
      </c>
    </row>
    <row r="4" spans="1:33" ht="6.6" customHeight="1" x14ac:dyDescent="0.2">
      <c r="A4" s="43">
        <v>4</v>
      </c>
      <c r="B4" s="7" t="s">
        <v>377</v>
      </c>
      <c r="C4" s="10" t="s">
        <v>489</v>
      </c>
      <c r="D4" s="56" t="s">
        <v>487</v>
      </c>
      <c r="E4" s="57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485</v>
      </c>
      <c r="L4" s="45" t="s">
        <v>432</v>
      </c>
      <c r="M4" s="46" t="s">
        <v>544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56" t="s">
        <v>669</v>
      </c>
      <c r="Y4" s="57" t="s">
        <v>653</v>
      </c>
      <c r="Z4" s="56" t="s">
        <v>669</v>
      </c>
      <c r="AA4" s="57" t="s">
        <v>657</v>
      </c>
      <c r="AB4" s="56" t="s">
        <v>669</v>
      </c>
      <c r="AC4" s="57" t="s">
        <v>660</v>
      </c>
      <c r="AD4" s="56" t="s">
        <v>669</v>
      </c>
      <c r="AE4" s="57" t="s">
        <v>663</v>
      </c>
      <c r="AF4" s="56" t="s">
        <v>669</v>
      </c>
      <c r="AG4" s="57" t="s">
        <v>666</v>
      </c>
    </row>
    <row r="5" spans="1:33" ht="6.6" customHeight="1" x14ac:dyDescent="0.2">
      <c r="A5" s="43">
        <v>5</v>
      </c>
      <c r="B5" s="7" t="s">
        <v>203</v>
      </c>
      <c r="C5" s="10" t="s">
        <v>521</v>
      </c>
      <c r="D5" s="56" t="s">
        <v>487</v>
      </c>
      <c r="E5" s="57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543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484</v>
      </c>
      <c r="R5" s="45" t="s">
        <v>454</v>
      </c>
      <c r="S5" s="46" t="s">
        <v>484</v>
      </c>
      <c r="T5" s="48" t="s">
        <v>196</v>
      </c>
      <c r="U5" s="49" t="s">
        <v>196</v>
      </c>
      <c r="V5" s="48" t="s">
        <v>196</v>
      </c>
      <c r="W5" s="49" t="s">
        <v>196</v>
      </c>
      <c r="X5" s="56" t="s">
        <v>669</v>
      </c>
      <c r="Y5" s="57" t="s">
        <v>653</v>
      </c>
      <c r="Z5" s="56" t="s">
        <v>669</v>
      </c>
      <c r="AA5" s="57" t="s">
        <v>657</v>
      </c>
      <c r="AB5" s="56" t="s">
        <v>669</v>
      </c>
      <c r="AC5" s="57" t="s">
        <v>660</v>
      </c>
      <c r="AD5" s="56" t="s">
        <v>669</v>
      </c>
      <c r="AE5" s="57" t="s">
        <v>663</v>
      </c>
      <c r="AF5" s="56" t="s">
        <v>669</v>
      </c>
      <c r="AG5" s="57" t="s">
        <v>666</v>
      </c>
    </row>
    <row r="6" spans="1:33" ht="6.6" customHeight="1" x14ac:dyDescent="0.2">
      <c r="A6" s="43">
        <v>6</v>
      </c>
      <c r="B6" s="12" t="s">
        <v>204</v>
      </c>
      <c r="C6" s="10" t="s">
        <v>521</v>
      </c>
      <c r="D6" s="56" t="s">
        <v>487</v>
      </c>
      <c r="E6" s="57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543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484</v>
      </c>
      <c r="R6" s="45" t="s">
        <v>454</v>
      </c>
      <c r="S6" s="46" t="s">
        <v>484</v>
      </c>
      <c r="T6" s="48" t="s">
        <v>196</v>
      </c>
      <c r="U6" s="49" t="s">
        <v>196</v>
      </c>
      <c r="V6" s="48" t="s">
        <v>196</v>
      </c>
      <c r="W6" s="49" t="s">
        <v>196</v>
      </c>
      <c r="X6" s="56" t="s">
        <v>669</v>
      </c>
      <c r="Y6" s="57" t="s">
        <v>653</v>
      </c>
      <c r="Z6" s="56" t="s">
        <v>669</v>
      </c>
      <c r="AA6" s="57" t="s">
        <v>657</v>
      </c>
      <c r="AB6" s="56" t="s">
        <v>669</v>
      </c>
      <c r="AC6" s="57" t="s">
        <v>660</v>
      </c>
      <c r="AD6" s="56" t="s">
        <v>669</v>
      </c>
      <c r="AE6" s="57" t="s">
        <v>663</v>
      </c>
      <c r="AF6" s="56" t="s">
        <v>669</v>
      </c>
      <c r="AG6" s="57" t="s">
        <v>666</v>
      </c>
    </row>
    <row r="7" spans="1:33" ht="6.6" customHeight="1" x14ac:dyDescent="0.2">
      <c r="A7" s="43">
        <v>7</v>
      </c>
      <c r="B7" s="12" t="s">
        <v>205</v>
      </c>
      <c r="C7" s="10" t="s">
        <v>521</v>
      </c>
      <c r="D7" s="56" t="s">
        <v>487</v>
      </c>
      <c r="E7" s="57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543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484</v>
      </c>
      <c r="R7" s="45" t="s">
        <v>454</v>
      </c>
      <c r="S7" s="46" t="s">
        <v>484</v>
      </c>
      <c r="T7" s="48" t="s">
        <v>196</v>
      </c>
      <c r="U7" s="49" t="s">
        <v>196</v>
      </c>
      <c r="V7" s="48" t="s">
        <v>196</v>
      </c>
      <c r="W7" s="49" t="s">
        <v>196</v>
      </c>
      <c r="X7" s="56" t="s">
        <v>669</v>
      </c>
      <c r="Y7" s="57" t="s">
        <v>653</v>
      </c>
      <c r="Z7" s="56" t="s">
        <v>669</v>
      </c>
      <c r="AA7" s="57" t="s">
        <v>657</v>
      </c>
      <c r="AB7" s="56" t="s">
        <v>669</v>
      </c>
      <c r="AC7" s="57" t="s">
        <v>660</v>
      </c>
      <c r="AD7" s="56" t="s">
        <v>669</v>
      </c>
      <c r="AE7" s="57" t="s">
        <v>663</v>
      </c>
      <c r="AF7" s="56" t="s">
        <v>669</v>
      </c>
      <c r="AG7" s="57" t="s">
        <v>666</v>
      </c>
    </row>
    <row r="8" spans="1:33" ht="6.6" customHeight="1" x14ac:dyDescent="0.2">
      <c r="A8" s="43">
        <v>8</v>
      </c>
      <c r="B8" s="12" t="s">
        <v>206</v>
      </c>
      <c r="C8" s="10" t="s">
        <v>521</v>
      </c>
      <c r="D8" s="56" t="s">
        <v>487</v>
      </c>
      <c r="E8" s="57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543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484</v>
      </c>
      <c r="R8" s="45" t="s">
        <v>454</v>
      </c>
      <c r="S8" s="46" t="s">
        <v>484</v>
      </c>
      <c r="T8" s="48" t="s">
        <v>196</v>
      </c>
      <c r="U8" s="49" t="s">
        <v>196</v>
      </c>
      <c r="V8" s="48" t="s">
        <v>196</v>
      </c>
      <c r="W8" s="49" t="s">
        <v>196</v>
      </c>
      <c r="X8" s="56" t="s">
        <v>669</v>
      </c>
      <c r="Y8" s="57" t="s">
        <v>653</v>
      </c>
      <c r="Z8" s="56" t="s">
        <v>669</v>
      </c>
      <c r="AA8" s="57" t="s">
        <v>657</v>
      </c>
      <c r="AB8" s="56" t="s">
        <v>669</v>
      </c>
      <c r="AC8" s="57" t="s">
        <v>660</v>
      </c>
      <c r="AD8" s="56" t="s">
        <v>669</v>
      </c>
      <c r="AE8" s="57" t="s">
        <v>663</v>
      </c>
      <c r="AF8" s="56" t="s">
        <v>669</v>
      </c>
      <c r="AG8" s="57" t="s">
        <v>666</v>
      </c>
    </row>
    <row r="9" spans="1:33" ht="6.6" customHeight="1" x14ac:dyDescent="0.2">
      <c r="A9" s="43">
        <v>9</v>
      </c>
      <c r="B9" s="12" t="s">
        <v>207</v>
      </c>
      <c r="C9" s="10" t="s">
        <v>521</v>
      </c>
      <c r="D9" s="56" t="s">
        <v>487</v>
      </c>
      <c r="E9" s="57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543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484</v>
      </c>
      <c r="R9" s="45" t="s">
        <v>454</v>
      </c>
      <c r="S9" s="46" t="s">
        <v>484</v>
      </c>
      <c r="T9" s="48" t="s">
        <v>196</v>
      </c>
      <c r="U9" s="49" t="s">
        <v>196</v>
      </c>
      <c r="V9" s="48" t="s">
        <v>196</v>
      </c>
      <c r="W9" s="49" t="s">
        <v>196</v>
      </c>
      <c r="X9" s="56" t="s">
        <v>669</v>
      </c>
      <c r="Y9" s="57" t="s">
        <v>653</v>
      </c>
      <c r="Z9" s="56" t="s">
        <v>669</v>
      </c>
      <c r="AA9" s="57" t="s">
        <v>657</v>
      </c>
      <c r="AB9" s="56" t="s">
        <v>669</v>
      </c>
      <c r="AC9" s="57" t="s">
        <v>660</v>
      </c>
      <c r="AD9" s="56" t="s">
        <v>669</v>
      </c>
      <c r="AE9" s="57" t="s">
        <v>663</v>
      </c>
      <c r="AF9" s="56" t="s">
        <v>669</v>
      </c>
      <c r="AG9" s="57" t="s">
        <v>666</v>
      </c>
    </row>
    <row r="10" spans="1:33" ht="6.6" customHeight="1" x14ac:dyDescent="0.2">
      <c r="A10" s="43">
        <v>10</v>
      </c>
      <c r="B10" s="12" t="s">
        <v>208</v>
      </c>
      <c r="C10" s="10" t="s">
        <v>521</v>
      </c>
      <c r="D10" s="56" t="s">
        <v>487</v>
      </c>
      <c r="E10" s="57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543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484</v>
      </c>
      <c r="R10" s="45" t="s">
        <v>454</v>
      </c>
      <c r="S10" s="46" t="s">
        <v>484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56" t="s">
        <v>669</v>
      </c>
      <c r="Y10" s="57" t="s">
        <v>653</v>
      </c>
      <c r="Z10" s="56" t="s">
        <v>669</v>
      </c>
      <c r="AA10" s="57" t="s">
        <v>657</v>
      </c>
      <c r="AB10" s="56" t="s">
        <v>669</v>
      </c>
      <c r="AC10" s="57" t="s">
        <v>660</v>
      </c>
      <c r="AD10" s="56" t="s">
        <v>669</v>
      </c>
      <c r="AE10" s="57" t="s">
        <v>663</v>
      </c>
      <c r="AF10" s="56" t="s">
        <v>669</v>
      </c>
      <c r="AG10" s="57" t="s">
        <v>666</v>
      </c>
    </row>
    <row r="11" spans="1:33" ht="6.6" customHeight="1" x14ac:dyDescent="0.2">
      <c r="A11" s="43">
        <v>11</v>
      </c>
      <c r="B11" s="12" t="s">
        <v>209</v>
      </c>
      <c r="C11" s="10" t="s">
        <v>521</v>
      </c>
      <c r="D11" s="56" t="s">
        <v>487</v>
      </c>
      <c r="E11" s="57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543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484</v>
      </c>
      <c r="R11" s="45" t="s">
        <v>454</v>
      </c>
      <c r="S11" s="46" t="s">
        <v>484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56" t="s">
        <v>669</v>
      </c>
      <c r="Y11" s="57" t="s">
        <v>653</v>
      </c>
      <c r="Z11" s="56" t="s">
        <v>669</v>
      </c>
      <c r="AA11" s="57" t="s">
        <v>657</v>
      </c>
      <c r="AB11" s="56" t="s">
        <v>669</v>
      </c>
      <c r="AC11" s="57" t="s">
        <v>660</v>
      </c>
      <c r="AD11" s="56" t="s">
        <v>669</v>
      </c>
      <c r="AE11" s="57" t="s">
        <v>663</v>
      </c>
      <c r="AF11" s="56" t="s">
        <v>669</v>
      </c>
      <c r="AG11" s="57" t="s">
        <v>666</v>
      </c>
    </row>
    <row r="12" spans="1:33" ht="6.6" customHeight="1" x14ac:dyDescent="0.2">
      <c r="A12" s="43">
        <v>12</v>
      </c>
      <c r="B12" s="12" t="s">
        <v>210</v>
      </c>
      <c r="C12" s="10" t="s">
        <v>521</v>
      </c>
      <c r="D12" s="56" t="s">
        <v>487</v>
      </c>
      <c r="E12" s="57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543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484</v>
      </c>
      <c r="R12" s="45" t="s">
        <v>454</v>
      </c>
      <c r="S12" s="46" t="s">
        <v>484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56" t="s">
        <v>669</v>
      </c>
      <c r="Y12" s="57" t="s">
        <v>653</v>
      </c>
      <c r="Z12" s="56" t="s">
        <v>669</v>
      </c>
      <c r="AA12" s="57" t="s">
        <v>657</v>
      </c>
      <c r="AB12" s="56" t="s">
        <v>669</v>
      </c>
      <c r="AC12" s="57" t="s">
        <v>660</v>
      </c>
      <c r="AD12" s="56" t="s">
        <v>669</v>
      </c>
      <c r="AE12" s="57" t="s">
        <v>663</v>
      </c>
      <c r="AF12" s="56" t="s">
        <v>669</v>
      </c>
      <c r="AG12" s="57" t="s">
        <v>666</v>
      </c>
    </row>
    <row r="13" spans="1:33" ht="6.6" customHeight="1" x14ac:dyDescent="0.2">
      <c r="A13" s="43">
        <v>13</v>
      </c>
      <c r="B13" s="12" t="s">
        <v>211</v>
      </c>
      <c r="C13" s="10" t="s">
        <v>521</v>
      </c>
      <c r="D13" s="56" t="s">
        <v>487</v>
      </c>
      <c r="E13" s="57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543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484</v>
      </c>
      <c r="R13" s="45" t="s">
        <v>454</v>
      </c>
      <c r="S13" s="46" t="s">
        <v>484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56" t="s">
        <v>669</v>
      </c>
      <c r="Y13" s="57" t="s">
        <v>653</v>
      </c>
      <c r="Z13" s="56" t="s">
        <v>669</v>
      </c>
      <c r="AA13" s="57" t="s">
        <v>657</v>
      </c>
      <c r="AB13" s="56" t="s">
        <v>669</v>
      </c>
      <c r="AC13" s="57" t="s">
        <v>660</v>
      </c>
      <c r="AD13" s="56" t="s">
        <v>669</v>
      </c>
      <c r="AE13" s="57" t="s">
        <v>663</v>
      </c>
      <c r="AF13" s="56" t="s">
        <v>669</v>
      </c>
      <c r="AG13" s="57" t="s">
        <v>666</v>
      </c>
    </row>
    <row r="14" spans="1:33" ht="6.6" customHeight="1" x14ac:dyDescent="0.2">
      <c r="A14" s="43">
        <v>14</v>
      </c>
      <c r="B14" s="12" t="s">
        <v>212</v>
      </c>
      <c r="C14" s="10" t="s">
        <v>521</v>
      </c>
      <c r="D14" s="56" t="s">
        <v>487</v>
      </c>
      <c r="E14" s="57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543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484</v>
      </c>
      <c r="R14" s="45" t="s">
        <v>454</v>
      </c>
      <c r="S14" s="46" t="s">
        <v>484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56" t="s">
        <v>669</v>
      </c>
      <c r="Y14" s="57" t="s">
        <v>653</v>
      </c>
      <c r="Z14" s="56" t="s">
        <v>669</v>
      </c>
      <c r="AA14" s="57" t="s">
        <v>657</v>
      </c>
      <c r="AB14" s="56" t="s">
        <v>669</v>
      </c>
      <c r="AC14" s="57" t="s">
        <v>660</v>
      </c>
      <c r="AD14" s="56" t="s">
        <v>669</v>
      </c>
      <c r="AE14" s="57" t="s">
        <v>663</v>
      </c>
      <c r="AF14" s="56" t="s">
        <v>669</v>
      </c>
      <c r="AG14" s="57" t="s">
        <v>666</v>
      </c>
    </row>
    <row r="15" spans="1:33" ht="6.6" customHeight="1" x14ac:dyDescent="0.2">
      <c r="A15" s="43">
        <v>15</v>
      </c>
      <c r="B15" s="12" t="s">
        <v>213</v>
      </c>
      <c r="C15" s="10" t="s">
        <v>521</v>
      </c>
      <c r="D15" s="56" t="s">
        <v>487</v>
      </c>
      <c r="E15" s="57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543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484</v>
      </c>
      <c r="R15" s="45" t="s">
        <v>454</v>
      </c>
      <c r="S15" s="46" t="s">
        <v>484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56" t="s">
        <v>669</v>
      </c>
      <c r="Y15" s="57" t="s">
        <v>653</v>
      </c>
      <c r="Z15" s="56" t="s">
        <v>669</v>
      </c>
      <c r="AA15" s="57" t="s">
        <v>657</v>
      </c>
      <c r="AB15" s="56" t="s">
        <v>669</v>
      </c>
      <c r="AC15" s="57" t="s">
        <v>660</v>
      </c>
      <c r="AD15" s="56" t="s">
        <v>669</v>
      </c>
      <c r="AE15" s="57" t="s">
        <v>663</v>
      </c>
      <c r="AF15" s="56" t="s">
        <v>669</v>
      </c>
      <c r="AG15" s="57" t="s">
        <v>666</v>
      </c>
    </row>
    <row r="16" spans="1:33" ht="6.6" customHeight="1" x14ac:dyDescent="0.2">
      <c r="A16" s="43">
        <v>16</v>
      </c>
      <c r="B16" s="12" t="s">
        <v>214</v>
      </c>
      <c r="C16" s="10" t="s">
        <v>521</v>
      </c>
      <c r="D16" s="56" t="s">
        <v>487</v>
      </c>
      <c r="E16" s="57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543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484</v>
      </c>
      <c r="R16" s="45" t="s">
        <v>454</v>
      </c>
      <c r="S16" s="46" t="s">
        <v>484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56" t="s">
        <v>669</v>
      </c>
      <c r="Y16" s="57" t="s">
        <v>653</v>
      </c>
      <c r="Z16" s="56" t="s">
        <v>669</v>
      </c>
      <c r="AA16" s="57" t="s">
        <v>657</v>
      </c>
      <c r="AB16" s="56" t="s">
        <v>669</v>
      </c>
      <c r="AC16" s="57" t="s">
        <v>660</v>
      </c>
      <c r="AD16" s="56" t="s">
        <v>669</v>
      </c>
      <c r="AE16" s="57" t="s">
        <v>663</v>
      </c>
      <c r="AF16" s="56" t="s">
        <v>669</v>
      </c>
      <c r="AG16" s="57" t="s">
        <v>666</v>
      </c>
    </row>
    <row r="17" spans="1:33" ht="6.6" customHeight="1" x14ac:dyDescent="0.2">
      <c r="A17" s="43">
        <v>17</v>
      </c>
      <c r="B17" s="12" t="s">
        <v>215</v>
      </c>
      <c r="C17" s="10" t="s">
        <v>521</v>
      </c>
      <c r="D17" s="56" t="s">
        <v>487</v>
      </c>
      <c r="E17" s="57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543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484</v>
      </c>
      <c r="R17" s="45" t="s">
        <v>454</v>
      </c>
      <c r="S17" s="46" t="s">
        <v>484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56" t="s">
        <v>669</v>
      </c>
      <c r="Y17" s="57" t="s">
        <v>653</v>
      </c>
      <c r="Z17" s="56" t="s">
        <v>669</v>
      </c>
      <c r="AA17" s="57" t="s">
        <v>657</v>
      </c>
      <c r="AB17" s="56" t="s">
        <v>669</v>
      </c>
      <c r="AC17" s="57" t="s">
        <v>660</v>
      </c>
      <c r="AD17" s="56" t="s">
        <v>669</v>
      </c>
      <c r="AE17" s="57" t="s">
        <v>663</v>
      </c>
      <c r="AF17" s="56" t="s">
        <v>669</v>
      </c>
      <c r="AG17" s="57" t="s">
        <v>666</v>
      </c>
    </row>
    <row r="18" spans="1:33" ht="6.6" customHeight="1" x14ac:dyDescent="0.2">
      <c r="A18" s="43">
        <v>18</v>
      </c>
      <c r="B18" s="12" t="s">
        <v>216</v>
      </c>
      <c r="C18" s="10" t="s">
        <v>521</v>
      </c>
      <c r="D18" s="56" t="s">
        <v>487</v>
      </c>
      <c r="E18" s="57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543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484</v>
      </c>
      <c r="R18" s="45" t="s">
        <v>454</v>
      </c>
      <c r="S18" s="46" t="s">
        <v>484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56" t="s">
        <v>669</v>
      </c>
      <c r="Y18" s="57" t="s">
        <v>653</v>
      </c>
      <c r="Z18" s="56" t="s">
        <v>669</v>
      </c>
      <c r="AA18" s="57" t="s">
        <v>657</v>
      </c>
      <c r="AB18" s="56" t="s">
        <v>669</v>
      </c>
      <c r="AC18" s="57" t="s">
        <v>660</v>
      </c>
      <c r="AD18" s="56" t="s">
        <v>669</v>
      </c>
      <c r="AE18" s="57" t="s">
        <v>663</v>
      </c>
      <c r="AF18" s="56" t="s">
        <v>669</v>
      </c>
      <c r="AG18" s="57" t="s">
        <v>666</v>
      </c>
    </row>
    <row r="19" spans="1:33" ht="6.6" customHeight="1" x14ac:dyDescent="0.2">
      <c r="A19" s="43">
        <v>19</v>
      </c>
      <c r="B19" s="12" t="s">
        <v>217</v>
      </c>
      <c r="C19" s="10" t="s">
        <v>521</v>
      </c>
      <c r="D19" s="56" t="s">
        <v>487</v>
      </c>
      <c r="E19" s="57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543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484</v>
      </c>
      <c r="R19" s="45" t="s">
        <v>454</v>
      </c>
      <c r="S19" s="46" t="s">
        <v>484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56" t="s">
        <v>669</v>
      </c>
      <c r="Y19" s="57" t="s">
        <v>653</v>
      </c>
      <c r="Z19" s="56" t="s">
        <v>669</v>
      </c>
      <c r="AA19" s="57" t="s">
        <v>657</v>
      </c>
      <c r="AB19" s="56" t="s">
        <v>669</v>
      </c>
      <c r="AC19" s="57" t="s">
        <v>660</v>
      </c>
      <c r="AD19" s="56" t="s">
        <v>669</v>
      </c>
      <c r="AE19" s="57" t="s">
        <v>663</v>
      </c>
      <c r="AF19" s="56" t="s">
        <v>669</v>
      </c>
      <c r="AG19" s="57" t="s">
        <v>666</v>
      </c>
    </row>
    <row r="20" spans="1:33" ht="6.6" customHeight="1" x14ac:dyDescent="0.2">
      <c r="A20" s="43">
        <v>20</v>
      </c>
      <c r="B20" s="7" t="s">
        <v>218</v>
      </c>
      <c r="C20" s="10" t="s">
        <v>514</v>
      </c>
      <c r="D20" s="56" t="s">
        <v>487</v>
      </c>
      <c r="E20" s="57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543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484</v>
      </c>
      <c r="R20" s="45" t="s">
        <v>454</v>
      </c>
      <c r="S20" s="46" t="s">
        <v>484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56" t="s">
        <v>669</v>
      </c>
      <c r="Y20" s="57" t="s">
        <v>653</v>
      </c>
      <c r="Z20" s="56" t="s">
        <v>669</v>
      </c>
      <c r="AA20" s="57" t="s">
        <v>657</v>
      </c>
      <c r="AB20" s="56" t="s">
        <v>669</v>
      </c>
      <c r="AC20" s="57" t="s">
        <v>660</v>
      </c>
      <c r="AD20" s="56" t="s">
        <v>669</v>
      </c>
      <c r="AE20" s="57" t="s">
        <v>663</v>
      </c>
      <c r="AF20" s="56" t="s">
        <v>669</v>
      </c>
      <c r="AG20" s="57" t="s">
        <v>666</v>
      </c>
    </row>
    <row r="21" spans="1:33" ht="6.6" customHeight="1" x14ac:dyDescent="0.2">
      <c r="A21" s="43">
        <v>21</v>
      </c>
      <c r="B21" s="12" t="s">
        <v>219</v>
      </c>
      <c r="C21" s="10" t="s">
        <v>514</v>
      </c>
      <c r="D21" s="56" t="s">
        <v>487</v>
      </c>
      <c r="E21" s="57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543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484</v>
      </c>
      <c r="R21" s="45" t="s">
        <v>454</v>
      </c>
      <c r="S21" s="46" t="s">
        <v>484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56" t="s">
        <v>669</v>
      </c>
      <c r="Y21" s="57" t="s">
        <v>653</v>
      </c>
      <c r="Z21" s="56" t="s">
        <v>669</v>
      </c>
      <c r="AA21" s="57" t="s">
        <v>657</v>
      </c>
      <c r="AB21" s="56" t="s">
        <v>669</v>
      </c>
      <c r="AC21" s="57" t="s">
        <v>660</v>
      </c>
      <c r="AD21" s="56" t="s">
        <v>669</v>
      </c>
      <c r="AE21" s="57" t="s">
        <v>663</v>
      </c>
      <c r="AF21" s="56" t="s">
        <v>669</v>
      </c>
      <c r="AG21" s="57" t="s">
        <v>666</v>
      </c>
    </row>
    <row r="22" spans="1:33" ht="6.6" customHeight="1" x14ac:dyDescent="0.2">
      <c r="A22" s="43">
        <v>22</v>
      </c>
      <c r="B22" s="12" t="s">
        <v>220</v>
      </c>
      <c r="C22" s="10" t="s">
        <v>514</v>
      </c>
      <c r="D22" s="56" t="s">
        <v>487</v>
      </c>
      <c r="E22" s="57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543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484</v>
      </c>
      <c r="R22" s="45" t="s">
        <v>454</v>
      </c>
      <c r="S22" s="46" t="s">
        <v>484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56" t="s">
        <v>669</v>
      </c>
      <c r="Y22" s="57" t="s">
        <v>653</v>
      </c>
      <c r="Z22" s="56" t="s">
        <v>669</v>
      </c>
      <c r="AA22" s="57" t="s">
        <v>657</v>
      </c>
      <c r="AB22" s="56" t="s">
        <v>669</v>
      </c>
      <c r="AC22" s="57" t="s">
        <v>660</v>
      </c>
      <c r="AD22" s="56" t="s">
        <v>669</v>
      </c>
      <c r="AE22" s="57" t="s">
        <v>663</v>
      </c>
      <c r="AF22" s="56" t="s">
        <v>669</v>
      </c>
      <c r="AG22" s="57" t="s">
        <v>666</v>
      </c>
    </row>
    <row r="23" spans="1:33" ht="6.6" customHeight="1" x14ac:dyDescent="0.2">
      <c r="A23" s="43">
        <v>23</v>
      </c>
      <c r="B23" s="12" t="s">
        <v>221</v>
      </c>
      <c r="C23" s="10" t="s">
        <v>514</v>
      </c>
      <c r="D23" s="56" t="s">
        <v>487</v>
      </c>
      <c r="E23" s="57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543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484</v>
      </c>
      <c r="R23" s="45" t="s">
        <v>454</v>
      </c>
      <c r="S23" s="46" t="s">
        <v>484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56" t="s">
        <v>669</v>
      </c>
      <c r="Y23" s="57" t="s">
        <v>653</v>
      </c>
      <c r="Z23" s="56" t="s">
        <v>669</v>
      </c>
      <c r="AA23" s="57" t="s">
        <v>657</v>
      </c>
      <c r="AB23" s="56" t="s">
        <v>669</v>
      </c>
      <c r="AC23" s="57" t="s">
        <v>660</v>
      </c>
      <c r="AD23" s="56" t="s">
        <v>669</v>
      </c>
      <c r="AE23" s="57" t="s">
        <v>663</v>
      </c>
      <c r="AF23" s="56" t="s">
        <v>669</v>
      </c>
      <c r="AG23" s="57" t="s">
        <v>666</v>
      </c>
    </row>
    <row r="24" spans="1:33" ht="6.6" customHeight="1" x14ac:dyDescent="0.2">
      <c r="A24" s="43">
        <v>24</v>
      </c>
      <c r="B24" s="12" t="s">
        <v>222</v>
      </c>
      <c r="C24" s="10" t="s">
        <v>514</v>
      </c>
      <c r="D24" s="56" t="s">
        <v>487</v>
      </c>
      <c r="E24" s="57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543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484</v>
      </c>
      <c r="R24" s="45" t="s">
        <v>454</v>
      </c>
      <c r="S24" s="46" t="s">
        <v>484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56" t="s">
        <v>669</v>
      </c>
      <c r="Y24" s="57" t="s">
        <v>653</v>
      </c>
      <c r="Z24" s="56" t="s">
        <v>669</v>
      </c>
      <c r="AA24" s="57" t="s">
        <v>657</v>
      </c>
      <c r="AB24" s="56" t="s">
        <v>669</v>
      </c>
      <c r="AC24" s="57" t="s">
        <v>660</v>
      </c>
      <c r="AD24" s="56" t="s">
        <v>669</v>
      </c>
      <c r="AE24" s="57" t="s">
        <v>663</v>
      </c>
      <c r="AF24" s="56" t="s">
        <v>669</v>
      </c>
      <c r="AG24" s="57" t="s">
        <v>666</v>
      </c>
    </row>
    <row r="25" spans="1:33" ht="6.6" customHeight="1" x14ac:dyDescent="0.2">
      <c r="A25" s="43">
        <v>25</v>
      </c>
      <c r="B25" s="12" t="s">
        <v>223</v>
      </c>
      <c r="C25" s="10" t="s">
        <v>514</v>
      </c>
      <c r="D25" s="56" t="s">
        <v>487</v>
      </c>
      <c r="E25" s="57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543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484</v>
      </c>
      <c r="R25" s="45" t="s">
        <v>454</v>
      </c>
      <c r="S25" s="46" t="s">
        <v>484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56" t="s">
        <v>669</v>
      </c>
      <c r="Y25" s="57" t="s">
        <v>653</v>
      </c>
      <c r="Z25" s="56" t="s">
        <v>669</v>
      </c>
      <c r="AA25" s="57" t="s">
        <v>657</v>
      </c>
      <c r="AB25" s="56" t="s">
        <v>669</v>
      </c>
      <c r="AC25" s="57" t="s">
        <v>660</v>
      </c>
      <c r="AD25" s="56" t="s">
        <v>669</v>
      </c>
      <c r="AE25" s="57" t="s">
        <v>663</v>
      </c>
      <c r="AF25" s="56" t="s">
        <v>669</v>
      </c>
      <c r="AG25" s="57" t="s">
        <v>666</v>
      </c>
    </row>
    <row r="26" spans="1:33" ht="6.6" customHeight="1" x14ac:dyDescent="0.2">
      <c r="A26" s="43">
        <v>26</v>
      </c>
      <c r="B26" s="12" t="s">
        <v>224</v>
      </c>
      <c r="C26" s="10" t="s">
        <v>514</v>
      </c>
      <c r="D26" s="56" t="s">
        <v>487</v>
      </c>
      <c r="E26" s="57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543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484</v>
      </c>
      <c r="R26" s="45" t="s">
        <v>454</v>
      </c>
      <c r="S26" s="46" t="s">
        <v>484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56" t="s">
        <v>669</v>
      </c>
      <c r="Y26" s="57" t="s">
        <v>653</v>
      </c>
      <c r="Z26" s="56" t="s">
        <v>669</v>
      </c>
      <c r="AA26" s="57" t="s">
        <v>657</v>
      </c>
      <c r="AB26" s="56" t="s">
        <v>669</v>
      </c>
      <c r="AC26" s="57" t="s">
        <v>660</v>
      </c>
      <c r="AD26" s="56" t="s">
        <v>669</v>
      </c>
      <c r="AE26" s="57" t="s">
        <v>663</v>
      </c>
      <c r="AF26" s="56" t="s">
        <v>669</v>
      </c>
      <c r="AG26" s="57" t="s">
        <v>666</v>
      </c>
    </row>
    <row r="27" spans="1:33" ht="6.6" customHeight="1" x14ac:dyDescent="0.2">
      <c r="A27" s="43">
        <v>27</v>
      </c>
      <c r="B27" s="12" t="s">
        <v>225</v>
      </c>
      <c r="C27" s="10" t="s">
        <v>514</v>
      </c>
      <c r="D27" s="56" t="s">
        <v>487</v>
      </c>
      <c r="E27" s="57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543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484</v>
      </c>
      <c r="R27" s="45" t="s">
        <v>454</v>
      </c>
      <c r="S27" s="46" t="s">
        <v>484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56" t="s">
        <v>669</v>
      </c>
      <c r="Y27" s="57" t="s">
        <v>653</v>
      </c>
      <c r="Z27" s="56" t="s">
        <v>669</v>
      </c>
      <c r="AA27" s="57" t="s">
        <v>657</v>
      </c>
      <c r="AB27" s="56" t="s">
        <v>669</v>
      </c>
      <c r="AC27" s="57" t="s">
        <v>660</v>
      </c>
      <c r="AD27" s="56" t="s">
        <v>669</v>
      </c>
      <c r="AE27" s="57" t="s">
        <v>663</v>
      </c>
      <c r="AF27" s="56" t="s">
        <v>669</v>
      </c>
      <c r="AG27" s="57" t="s">
        <v>666</v>
      </c>
    </row>
    <row r="28" spans="1:33" ht="6.6" customHeight="1" x14ac:dyDescent="0.2">
      <c r="A28" s="43">
        <v>28</v>
      </c>
      <c r="B28" s="12" t="s">
        <v>226</v>
      </c>
      <c r="C28" s="10" t="s">
        <v>514</v>
      </c>
      <c r="D28" s="56" t="s">
        <v>487</v>
      </c>
      <c r="E28" s="57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543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484</v>
      </c>
      <c r="R28" s="45" t="s">
        <v>454</v>
      </c>
      <c r="S28" s="46" t="s">
        <v>484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56" t="s">
        <v>669</v>
      </c>
      <c r="Y28" s="57" t="s">
        <v>653</v>
      </c>
      <c r="Z28" s="56" t="s">
        <v>669</v>
      </c>
      <c r="AA28" s="57" t="s">
        <v>657</v>
      </c>
      <c r="AB28" s="56" t="s">
        <v>669</v>
      </c>
      <c r="AC28" s="57" t="s">
        <v>660</v>
      </c>
      <c r="AD28" s="56" t="s">
        <v>669</v>
      </c>
      <c r="AE28" s="57" t="s">
        <v>663</v>
      </c>
      <c r="AF28" s="56" t="s">
        <v>669</v>
      </c>
      <c r="AG28" s="57" t="s">
        <v>666</v>
      </c>
    </row>
    <row r="29" spans="1:33" ht="6.6" customHeight="1" x14ac:dyDescent="0.2">
      <c r="A29" s="43">
        <v>29</v>
      </c>
      <c r="B29" s="12" t="s">
        <v>227</v>
      </c>
      <c r="C29" s="10" t="s">
        <v>514</v>
      </c>
      <c r="D29" s="56" t="s">
        <v>487</v>
      </c>
      <c r="E29" s="57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543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484</v>
      </c>
      <c r="R29" s="45" t="s">
        <v>454</v>
      </c>
      <c r="S29" s="46" t="s">
        <v>484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56" t="s">
        <v>669</v>
      </c>
      <c r="Y29" s="57" t="s">
        <v>653</v>
      </c>
      <c r="Z29" s="56" t="s">
        <v>669</v>
      </c>
      <c r="AA29" s="57" t="s">
        <v>657</v>
      </c>
      <c r="AB29" s="56" t="s">
        <v>669</v>
      </c>
      <c r="AC29" s="57" t="s">
        <v>660</v>
      </c>
      <c r="AD29" s="56" t="s">
        <v>669</v>
      </c>
      <c r="AE29" s="57" t="s">
        <v>663</v>
      </c>
      <c r="AF29" s="56" t="s">
        <v>669</v>
      </c>
      <c r="AG29" s="57" t="s">
        <v>666</v>
      </c>
    </row>
    <row r="30" spans="1:33" ht="6.6" customHeight="1" x14ac:dyDescent="0.2">
      <c r="A30" s="43">
        <v>30</v>
      </c>
      <c r="B30" s="12" t="s">
        <v>228</v>
      </c>
      <c r="C30" s="10" t="s">
        <v>514</v>
      </c>
      <c r="D30" s="56" t="s">
        <v>487</v>
      </c>
      <c r="E30" s="57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543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484</v>
      </c>
      <c r="R30" s="45" t="s">
        <v>454</v>
      </c>
      <c r="S30" s="46" t="s">
        <v>484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56" t="s">
        <v>669</v>
      </c>
      <c r="Y30" s="57" t="s">
        <v>653</v>
      </c>
      <c r="Z30" s="56" t="s">
        <v>669</v>
      </c>
      <c r="AA30" s="57" t="s">
        <v>657</v>
      </c>
      <c r="AB30" s="56" t="s">
        <v>669</v>
      </c>
      <c r="AC30" s="57" t="s">
        <v>660</v>
      </c>
      <c r="AD30" s="56" t="s">
        <v>669</v>
      </c>
      <c r="AE30" s="57" t="s">
        <v>663</v>
      </c>
      <c r="AF30" s="56" t="s">
        <v>669</v>
      </c>
      <c r="AG30" s="57" t="s">
        <v>666</v>
      </c>
    </row>
    <row r="31" spans="1:33" ht="6.6" customHeight="1" x14ac:dyDescent="0.2">
      <c r="A31" s="43">
        <v>31</v>
      </c>
      <c r="B31" s="12" t="s">
        <v>229</v>
      </c>
      <c r="C31" s="10" t="s">
        <v>514</v>
      </c>
      <c r="D31" s="56" t="s">
        <v>487</v>
      </c>
      <c r="E31" s="57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543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484</v>
      </c>
      <c r="R31" s="45" t="s">
        <v>454</v>
      </c>
      <c r="S31" s="46" t="s">
        <v>484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56" t="s">
        <v>669</v>
      </c>
      <c r="Y31" s="57" t="s">
        <v>653</v>
      </c>
      <c r="Z31" s="56" t="s">
        <v>669</v>
      </c>
      <c r="AA31" s="57" t="s">
        <v>657</v>
      </c>
      <c r="AB31" s="56" t="s">
        <v>669</v>
      </c>
      <c r="AC31" s="57" t="s">
        <v>660</v>
      </c>
      <c r="AD31" s="56" t="s">
        <v>669</v>
      </c>
      <c r="AE31" s="57" t="s">
        <v>663</v>
      </c>
      <c r="AF31" s="56" t="s">
        <v>669</v>
      </c>
      <c r="AG31" s="57" t="s">
        <v>666</v>
      </c>
    </row>
    <row r="32" spans="1:33" ht="6.6" customHeight="1" x14ac:dyDescent="0.2">
      <c r="A32" s="43">
        <v>32</v>
      </c>
      <c r="B32" s="12" t="s">
        <v>230</v>
      </c>
      <c r="C32" s="10" t="s">
        <v>516</v>
      </c>
      <c r="D32" s="56" t="s">
        <v>487</v>
      </c>
      <c r="E32" s="57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543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484</v>
      </c>
      <c r="R32" s="45" t="s">
        <v>454</v>
      </c>
      <c r="S32" s="46" t="s">
        <v>484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56" t="s">
        <v>669</v>
      </c>
      <c r="Y32" s="57" t="s">
        <v>653</v>
      </c>
      <c r="Z32" s="56" t="s">
        <v>669</v>
      </c>
      <c r="AA32" s="57" t="s">
        <v>657</v>
      </c>
      <c r="AB32" s="56" t="s">
        <v>669</v>
      </c>
      <c r="AC32" s="57" t="s">
        <v>660</v>
      </c>
      <c r="AD32" s="56" t="s">
        <v>669</v>
      </c>
      <c r="AE32" s="57" t="s">
        <v>663</v>
      </c>
      <c r="AF32" s="56" t="s">
        <v>669</v>
      </c>
      <c r="AG32" s="57" t="s">
        <v>666</v>
      </c>
    </row>
    <row r="33" spans="1:33" ht="6.6" customHeight="1" x14ac:dyDescent="0.2">
      <c r="A33" s="43">
        <v>33</v>
      </c>
      <c r="B33" s="12" t="s">
        <v>231</v>
      </c>
      <c r="C33" s="10" t="s">
        <v>516</v>
      </c>
      <c r="D33" s="56" t="s">
        <v>487</v>
      </c>
      <c r="E33" s="57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543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484</v>
      </c>
      <c r="R33" s="45" t="s">
        <v>454</v>
      </c>
      <c r="S33" s="46" t="s">
        <v>484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56" t="s">
        <v>669</v>
      </c>
      <c r="Y33" s="57" t="s">
        <v>653</v>
      </c>
      <c r="Z33" s="56" t="s">
        <v>669</v>
      </c>
      <c r="AA33" s="57" t="s">
        <v>657</v>
      </c>
      <c r="AB33" s="56" t="s">
        <v>669</v>
      </c>
      <c r="AC33" s="57" t="s">
        <v>660</v>
      </c>
      <c r="AD33" s="56" t="s">
        <v>669</v>
      </c>
      <c r="AE33" s="57" t="s">
        <v>663</v>
      </c>
      <c r="AF33" s="56" t="s">
        <v>669</v>
      </c>
      <c r="AG33" s="57" t="s">
        <v>666</v>
      </c>
    </row>
    <row r="34" spans="1:33" ht="6.6" customHeight="1" x14ac:dyDescent="0.2">
      <c r="A34" s="43">
        <v>34</v>
      </c>
      <c r="B34" s="12" t="s">
        <v>232</v>
      </c>
      <c r="C34" s="10" t="s">
        <v>516</v>
      </c>
      <c r="D34" s="56" t="s">
        <v>487</v>
      </c>
      <c r="E34" s="57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543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484</v>
      </c>
      <c r="R34" s="45" t="s">
        <v>454</v>
      </c>
      <c r="S34" s="46" t="s">
        <v>484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56" t="s">
        <v>669</v>
      </c>
      <c r="Y34" s="57" t="s">
        <v>653</v>
      </c>
      <c r="Z34" s="56" t="s">
        <v>669</v>
      </c>
      <c r="AA34" s="57" t="s">
        <v>657</v>
      </c>
      <c r="AB34" s="56" t="s">
        <v>669</v>
      </c>
      <c r="AC34" s="57" t="s">
        <v>660</v>
      </c>
      <c r="AD34" s="56" t="s">
        <v>669</v>
      </c>
      <c r="AE34" s="57" t="s">
        <v>663</v>
      </c>
      <c r="AF34" s="56" t="s">
        <v>669</v>
      </c>
      <c r="AG34" s="57" t="s">
        <v>666</v>
      </c>
    </row>
    <row r="35" spans="1:33" ht="6.6" customHeight="1" x14ac:dyDescent="0.2">
      <c r="A35" s="43">
        <v>35</v>
      </c>
      <c r="B35" s="12" t="s">
        <v>233</v>
      </c>
      <c r="C35" s="10" t="s">
        <v>516</v>
      </c>
      <c r="D35" s="56" t="s">
        <v>487</v>
      </c>
      <c r="E35" s="57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543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484</v>
      </c>
      <c r="R35" s="45" t="s">
        <v>454</v>
      </c>
      <c r="S35" s="46" t="s">
        <v>484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56" t="s">
        <v>669</v>
      </c>
      <c r="Y35" s="57" t="s">
        <v>653</v>
      </c>
      <c r="Z35" s="56" t="s">
        <v>669</v>
      </c>
      <c r="AA35" s="57" t="s">
        <v>657</v>
      </c>
      <c r="AB35" s="56" t="s">
        <v>669</v>
      </c>
      <c r="AC35" s="57" t="s">
        <v>660</v>
      </c>
      <c r="AD35" s="56" t="s">
        <v>669</v>
      </c>
      <c r="AE35" s="57" t="s">
        <v>663</v>
      </c>
      <c r="AF35" s="56" t="s">
        <v>669</v>
      </c>
      <c r="AG35" s="57" t="s">
        <v>666</v>
      </c>
    </row>
    <row r="36" spans="1:33" ht="6.6" customHeight="1" x14ac:dyDescent="0.2">
      <c r="A36" s="43">
        <v>36</v>
      </c>
      <c r="B36" s="12" t="s">
        <v>234</v>
      </c>
      <c r="C36" s="10" t="s">
        <v>516</v>
      </c>
      <c r="D36" s="56" t="s">
        <v>487</v>
      </c>
      <c r="E36" s="57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543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484</v>
      </c>
      <c r="R36" s="45" t="s">
        <v>454</v>
      </c>
      <c r="S36" s="46" t="s">
        <v>484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56" t="s">
        <v>669</v>
      </c>
      <c r="Y36" s="57" t="s">
        <v>653</v>
      </c>
      <c r="Z36" s="56" t="s">
        <v>669</v>
      </c>
      <c r="AA36" s="57" t="s">
        <v>657</v>
      </c>
      <c r="AB36" s="56" t="s">
        <v>669</v>
      </c>
      <c r="AC36" s="57" t="s">
        <v>660</v>
      </c>
      <c r="AD36" s="56" t="s">
        <v>669</v>
      </c>
      <c r="AE36" s="57" t="s">
        <v>663</v>
      </c>
      <c r="AF36" s="56" t="s">
        <v>669</v>
      </c>
      <c r="AG36" s="57" t="s">
        <v>666</v>
      </c>
    </row>
    <row r="37" spans="1:33" ht="6.6" customHeight="1" x14ac:dyDescent="0.2">
      <c r="A37" s="43">
        <v>37</v>
      </c>
      <c r="B37" s="12" t="s">
        <v>235</v>
      </c>
      <c r="C37" s="10" t="s">
        <v>516</v>
      </c>
      <c r="D37" s="56" t="s">
        <v>487</v>
      </c>
      <c r="E37" s="57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543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484</v>
      </c>
      <c r="R37" s="45" t="s">
        <v>454</v>
      </c>
      <c r="S37" s="46" t="s">
        <v>484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56" t="s">
        <v>669</v>
      </c>
      <c r="Y37" s="57" t="s">
        <v>653</v>
      </c>
      <c r="Z37" s="56" t="s">
        <v>669</v>
      </c>
      <c r="AA37" s="57" t="s">
        <v>657</v>
      </c>
      <c r="AB37" s="56" t="s">
        <v>669</v>
      </c>
      <c r="AC37" s="57" t="s">
        <v>660</v>
      </c>
      <c r="AD37" s="56" t="s">
        <v>669</v>
      </c>
      <c r="AE37" s="57" t="s">
        <v>663</v>
      </c>
      <c r="AF37" s="56" t="s">
        <v>669</v>
      </c>
      <c r="AG37" s="57" t="s">
        <v>666</v>
      </c>
    </row>
    <row r="38" spans="1:33" ht="6.6" customHeight="1" x14ac:dyDescent="0.2">
      <c r="A38" s="43">
        <v>38</v>
      </c>
      <c r="B38" s="12" t="s">
        <v>236</v>
      </c>
      <c r="C38" s="10" t="s">
        <v>516</v>
      </c>
      <c r="D38" s="56" t="s">
        <v>487</v>
      </c>
      <c r="E38" s="57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543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484</v>
      </c>
      <c r="R38" s="45" t="s">
        <v>454</v>
      </c>
      <c r="S38" s="46" t="s">
        <v>484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56" t="s">
        <v>669</v>
      </c>
      <c r="Y38" s="57" t="s">
        <v>653</v>
      </c>
      <c r="Z38" s="56" t="s">
        <v>669</v>
      </c>
      <c r="AA38" s="57" t="s">
        <v>657</v>
      </c>
      <c r="AB38" s="56" t="s">
        <v>669</v>
      </c>
      <c r="AC38" s="57" t="s">
        <v>660</v>
      </c>
      <c r="AD38" s="56" t="s">
        <v>669</v>
      </c>
      <c r="AE38" s="57" t="s">
        <v>663</v>
      </c>
      <c r="AF38" s="56" t="s">
        <v>669</v>
      </c>
      <c r="AG38" s="57" t="s">
        <v>666</v>
      </c>
    </row>
    <row r="39" spans="1:33" ht="6.6" customHeight="1" x14ac:dyDescent="0.2">
      <c r="A39" s="43">
        <v>39</v>
      </c>
      <c r="B39" s="12" t="s">
        <v>237</v>
      </c>
      <c r="C39" s="10" t="s">
        <v>516</v>
      </c>
      <c r="D39" s="56" t="s">
        <v>487</v>
      </c>
      <c r="E39" s="57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543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484</v>
      </c>
      <c r="R39" s="45" t="s">
        <v>454</v>
      </c>
      <c r="S39" s="46" t="s">
        <v>484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56" t="s">
        <v>669</v>
      </c>
      <c r="Y39" s="57" t="s">
        <v>653</v>
      </c>
      <c r="Z39" s="56" t="s">
        <v>669</v>
      </c>
      <c r="AA39" s="57" t="s">
        <v>657</v>
      </c>
      <c r="AB39" s="56" t="s">
        <v>669</v>
      </c>
      <c r="AC39" s="57" t="s">
        <v>660</v>
      </c>
      <c r="AD39" s="56" t="s">
        <v>669</v>
      </c>
      <c r="AE39" s="57" t="s">
        <v>663</v>
      </c>
      <c r="AF39" s="56" t="s">
        <v>669</v>
      </c>
      <c r="AG39" s="57" t="s">
        <v>666</v>
      </c>
    </row>
    <row r="40" spans="1:33" ht="6.6" customHeight="1" x14ac:dyDescent="0.2">
      <c r="A40" s="43">
        <v>40</v>
      </c>
      <c r="B40" s="12" t="s">
        <v>238</v>
      </c>
      <c r="C40" s="10" t="s">
        <v>516</v>
      </c>
      <c r="D40" s="56" t="s">
        <v>487</v>
      </c>
      <c r="E40" s="57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543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484</v>
      </c>
      <c r="R40" s="45" t="s">
        <v>454</v>
      </c>
      <c r="S40" s="46" t="s">
        <v>484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56" t="s">
        <v>669</v>
      </c>
      <c r="Y40" s="57" t="s">
        <v>653</v>
      </c>
      <c r="Z40" s="56" t="s">
        <v>669</v>
      </c>
      <c r="AA40" s="57" t="s">
        <v>657</v>
      </c>
      <c r="AB40" s="56" t="s">
        <v>669</v>
      </c>
      <c r="AC40" s="57" t="s">
        <v>660</v>
      </c>
      <c r="AD40" s="56" t="s">
        <v>669</v>
      </c>
      <c r="AE40" s="57" t="s">
        <v>663</v>
      </c>
      <c r="AF40" s="56" t="s">
        <v>669</v>
      </c>
      <c r="AG40" s="57" t="s">
        <v>666</v>
      </c>
    </row>
    <row r="41" spans="1:33" ht="6.6" customHeight="1" x14ac:dyDescent="0.2">
      <c r="A41" s="43">
        <v>41</v>
      </c>
      <c r="B41" s="12" t="s">
        <v>239</v>
      </c>
      <c r="C41" s="10" t="s">
        <v>516</v>
      </c>
      <c r="D41" s="56" t="s">
        <v>487</v>
      </c>
      <c r="E41" s="57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543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484</v>
      </c>
      <c r="R41" s="45" t="s">
        <v>454</v>
      </c>
      <c r="S41" s="46" t="s">
        <v>484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56" t="s">
        <v>669</v>
      </c>
      <c r="Y41" s="57" t="s">
        <v>653</v>
      </c>
      <c r="Z41" s="56" t="s">
        <v>669</v>
      </c>
      <c r="AA41" s="57" t="s">
        <v>657</v>
      </c>
      <c r="AB41" s="56" t="s">
        <v>669</v>
      </c>
      <c r="AC41" s="57" t="s">
        <v>660</v>
      </c>
      <c r="AD41" s="56" t="s">
        <v>669</v>
      </c>
      <c r="AE41" s="57" t="s">
        <v>663</v>
      </c>
      <c r="AF41" s="56" t="s">
        <v>669</v>
      </c>
      <c r="AG41" s="57" t="s">
        <v>666</v>
      </c>
    </row>
    <row r="42" spans="1:33" ht="6.6" customHeight="1" x14ac:dyDescent="0.2">
      <c r="A42" s="43">
        <v>42</v>
      </c>
      <c r="B42" s="12" t="s">
        <v>240</v>
      </c>
      <c r="C42" s="10" t="s">
        <v>516</v>
      </c>
      <c r="D42" s="56" t="s">
        <v>487</v>
      </c>
      <c r="E42" s="57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543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484</v>
      </c>
      <c r="R42" s="45" t="s">
        <v>454</v>
      </c>
      <c r="S42" s="46" t="s">
        <v>484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56" t="s">
        <v>669</v>
      </c>
      <c r="Y42" s="57" t="s">
        <v>653</v>
      </c>
      <c r="Z42" s="56" t="s">
        <v>669</v>
      </c>
      <c r="AA42" s="57" t="s">
        <v>657</v>
      </c>
      <c r="AB42" s="56" t="s">
        <v>669</v>
      </c>
      <c r="AC42" s="57" t="s">
        <v>660</v>
      </c>
      <c r="AD42" s="56" t="s">
        <v>669</v>
      </c>
      <c r="AE42" s="57" t="s">
        <v>663</v>
      </c>
      <c r="AF42" s="56" t="s">
        <v>669</v>
      </c>
      <c r="AG42" s="57" t="s">
        <v>666</v>
      </c>
    </row>
    <row r="43" spans="1:33" ht="6.6" customHeight="1" x14ac:dyDescent="0.2">
      <c r="A43" s="43">
        <v>43</v>
      </c>
      <c r="B43" s="12" t="s">
        <v>241</v>
      </c>
      <c r="C43" s="10" t="s">
        <v>516</v>
      </c>
      <c r="D43" s="56" t="s">
        <v>487</v>
      </c>
      <c r="E43" s="57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543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484</v>
      </c>
      <c r="R43" s="45" t="s">
        <v>454</v>
      </c>
      <c r="S43" s="46" t="s">
        <v>484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56" t="s">
        <v>669</v>
      </c>
      <c r="Y43" s="57" t="s">
        <v>653</v>
      </c>
      <c r="Z43" s="56" t="s">
        <v>669</v>
      </c>
      <c r="AA43" s="57" t="s">
        <v>657</v>
      </c>
      <c r="AB43" s="56" t="s">
        <v>669</v>
      </c>
      <c r="AC43" s="57" t="s">
        <v>660</v>
      </c>
      <c r="AD43" s="56" t="s">
        <v>669</v>
      </c>
      <c r="AE43" s="57" t="s">
        <v>663</v>
      </c>
      <c r="AF43" s="56" t="s">
        <v>669</v>
      </c>
      <c r="AG43" s="57" t="s">
        <v>666</v>
      </c>
    </row>
    <row r="44" spans="1:33" ht="6.6" customHeight="1" x14ac:dyDescent="0.2">
      <c r="A44" s="43">
        <v>44</v>
      </c>
      <c r="B44" s="12" t="s">
        <v>242</v>
      </c>
      <c r="C44" s="10" t="s">
        <v>516</v>
      </c>
      <c r="D44" s="56" t="s">
        <v>487</v>
      </c>
      <c r="E44" s="57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543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484</v>
      </c>
      <c r="R44" s="45" t="s">
        <v>454</v>
      </c>
      <c r="S44" s="46" t="s">
        <v>484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56" t="s">
        <v>669</v>
      </c>
      <c r="Y44" s="57" t="s">
        <v>653</v>
      </c>
      <c r="Z44" s="56" t="s">
        <v>669</v>
      </c>
      <c r="AA44" s="57" t="s">
        <v>657</v>
      </c>
      <c r="AB44" s="56" t="s">
        <v>669</v>
      </c>
      <c r="AC44" s="57" t="s">
        <v>660</v>
      </c>
      <c r="AD44" s="56" t="s">
        <v>669</v>
      </c>
      <c r="AE44" s="57" t="s">
        <v>663</v>
      </c>
      <c r="AF44" s="56" t="s">
        <v>669</v>
      </c>
      <c r="AG44" s="57" t="s">
        <v>666</v>
      </c>
    </row>
    <row r="45" spans="1:33" ht="6.6" customHeight="1" x14ac:dyDescent="0.2">
      <c r="A45" s="43">
        <v>45</v>
      </c>
      <c r="B45" s="12" t="s">
        <v>243</v>
      </c>
      <c r="C45" s="10" t="s">
        <v>516</v>
      </c>
      <c r="D45" s="56" t="s">
        <v>487</v>
      </c>
      <c r="E45" s="57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543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484</v>
      </c>
      <c r="R45" s="45" t="s">
        <v>454</v>
      </c>
      <c r="S45" s="46" t="s">
        <v>484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56" t="s">
        <v>669</v>
      </c>
      <c r="Y45" s="57" t="s">
        <v>653</v>
      </c>
      <c r="Z45" s="56" t="s">
        <v>669</v>
      </c>
      <c r="AA45" s="57" t="s">
        <v>657</v>
      </c>
      <c r="AB45" s="56" t="s">
        <v>669</v>
      </c>
      <c r="AC45" s="57" t="s">
        <v>660</v>
      </c>
      <c r="AD45" s="56" t="s">
        <v>669</v>
      </c>
      <c r="AE45" s="57" t="s">
        <v>663</v>
      </c>
      <c r="AF45" s="56" t="s">
        <v>669</v>
      </c>
      <c r="AG45" s="57" t="s">
        <v>666</v>
      </c>
    </row>
    <row r="46" spans="1:33" ht="6.6" customHeight="1" x14ac:dyDescent="0.2">
      <c r="A46" s="43">
        <v>46</v>
      </c>
      <c r="B46" s="12" t="s">
        <v>244</v>
      </c>
      <c r="C46" s="10" t="s">
        <v>516</v>
      </c>
      <c r="D46" s="56" t="s">
        <v>487</v>
      </c>
      <c r="E46" s="57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543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484</v>
      </c>
      <c r="R46" s="45" t="s">
        <v>454</v>
      </c>
      <c r="S46" s="46" t="s">
        <v>484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56" t="s">
        <v>669</v>
      </c>
      <c r="Y46" s="57" t="s">
        <v>653</v>
      </c>
      <c r="Z46" s="56" t="s">
        <v>669</v>
      </c>
      <c r="AA46" s="57" t="s">
        <v>657</v>
      </c>
      <c r="AB46" s="56" t="s">
        <v>669</v>
      </c>
      <c r="AC46" s="57" t="s">
        <v>660</v>
      </c>
      <c r="AD46" s="56" t="s">
        <v>669</v>
      </c>
      <c r="AE46" s="57" t="s">
        <v>663</v>
      </c>
      <c r="AF46" s="56" t="s">
        <v>669</v>
      </c>
      <c r="AG46" s="57" t="s">
        <v>666</v>
      </c>
    </row>
    <row r="47" spans="1:33" ht="6.6" customHeight="1" x14ac:dyDescent="0.2">
      <c r="A47" s="43">
        <v>47</v>
      </c>
      <c r="B47" s="12" t="s">
        <v>245</v>
      </c>
      <c r="C47" s="10" t="s">
        <v>516</v>
      </c>
      <c r="D47" s="56" t="s">
        <v>487</v>
      </c>
      <c r="E47" s="57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543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484</v>
      </c>
      <c r="R47" s="45" t="s">
        <v>454</v>
      </c>
      <c r="S47" s="46" t="s">
        <v>484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56" t="s">
        <v>669</v>
      </c>
      <c r="Y47" s="57" t="s">
        <v>653</v>
      </c>
      <c r="Z47" s="56" t="s">
        <v>669</v>
      </c>
      <c r="AA47" s="57" t="s">
        <v>657</v>
      </c>
      <c r="AB47" s="56" t="s">
        <v>669</v>
      </c>
      <c r="AC47" s="57" t="s">
        <v>660</v>
      </c>
      <c r="AD47" s="56" t="s">
        <v>669</v>
      </c>
      <c r="AE47" s="57" t="s">
        <v>663</v>
      </c>
      <c r="AF47" s="56" t="s">
        <v>669</v>
      </c>
      <c r="AG47" s="57" t="s">
        <v>666</v>
      </c>
    </row>
    <row r="48" spans="1:33" ht="6.6" customHeight="1" x14ac:dyDescent="0.2">
      <c r="A48" s="43">
        <v>48</v>
      </c>
      <c r="B48" s="12" t="s">
        <v>246</v>
      </c>
      <c r="C48" s="10" t="s">
        <v>516</v>
      </c>
      <c r="D48" s="56" t="s">
        <v>487</v>
      </c>
      <c r="E48" s="57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543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484</v>
      </c>
      <c r="R48" s="45" t="s">
        <v>454</v>
      </c>
      <c r="S48" s="46" t="s">
        <v>484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56" t="s">
        <v>669</v>
      </c>
      <c r="Y48" s="57" t="s">
        <v>653</v>
      </c>
      <c r="Z48" s="56" t="s">
        <v>669</v>
      </c>
      <c r="AA48" s="57" t="s">
        <v>657</v>
      </c>
      <c r="AB48" s="56" t="s">
        <v>669</v>
      </c>
      <c r="AC48" s="57" t="s">
        <v>660</v>
      </c>
      <c r="AD48" s="56" t="s">
        <v>669</v>
      </c>
      <c r="AE48" s="57" t="s">
        <v>663</v>
      </c>
      <c r="AF48" s="56" t="s">
        <v>669</v>
      </c>
      <c r="AG48" s="57" t="s">
        <v>666</v>
      </c>
    </row>
    <row r="49" spans="1:33" ht="6.6" customHeight="1" x14ac:dyDescent="0.2">
      <c r="A49" s="43">
        <v>49</v>
      </c>
      <c r="B49" s="12" t="s">
        <v>247</v>
      </c>
      <c r="C49" s="10" t="s">
        <v>516</v>
      </c>
      <c r="D49" s="56" t="s">
        <v>487</v>
      </c>
      <c r="E49" s="57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543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484</v>
      </c>
      <c r="R49" s="45" t="s">
        <v>454</v>
      </c>
      <c r="S49" s="46" t="s">
        <v>484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56" t="s">
        <v>669</v>
      </c>
      <c r="Y49" s="57" t="s">
        <v>653</v>
      </c>
      <c r="Z49" s="56" t="s">
        <v>669</v>
      </c>
      <c r="AA49" s="57" t="s">
        <v>657</v>
      </c>
      <c r="AB49" s="56" t="s">
        <v>669</v>
      </c>
      <c r="AC49" s="57" t="s">
        <v>660</v>
      </c>
      <c r="AD49" s="56" t="s">
        <v>669</v>
      </c>
      <c r="AE49" s="57" t="s">
        <v>663</v>
      </c>
      <c r="AF49" s="56" t="s">
        <v>669</v>
      </c>
      <c r="AG49" s="57" t="s">
        <v>666</v>
      </c>
    </row>
    <row r="50" spans="1:33" ht="6.6" customHeight="1" x14ac:dyDescent="0.2">
      <c r="A50" s="43">
        <v>50</v>
      </c>
      <c r="B50" s="12" t="s">
        <v>248</v>
      </c>
      <c r="C50" s="10" t="s">
        <v>516</v>
      </c>
      <c r="D50" s="56" t="s">
        <v>487</v>
      </c>
      <c r="E50" s="57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543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484</v>
      </c>
      <c r="R50" s="45" t="s">
        <v>454</v>
      </c>
      <c r="S50" s="46" t="s">
        <v>484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56" t="s">
        <v>669</v>
      </c>
      <c r="Y50" s="57" t="s">
        <v>653</v>
      </c>
      <c r="Z50" s="56" t="s">
        <v>669</v>
      </c>
      <c r="AA50" s="57" t="s">
        <v>657</v>
      </c>
      <c r="AB50" s="56" t="s">
        <v>669</v>
      </c>
      <c r="AC50" s="57" t="s">
        <v>660</v>
      </c>
      <c r="AD50" s="56" t="s">
        <v>669</v>
      </c>
      <c r="AE50" s="57" t="s">
        <v>663</v>
      </c>
      <c r="AF50" s="56" t="s">
        <v>669</v>
      </c>
      <c r="AG50" s="57" t="s">
        <v>666</v>
      </c>
    </row>
    <row r="51" spans="1:33" ht="6.6" customHeight="1" x14ac:dyDescent="0.2">
      <c r="A51" s="43">
        <v>51</v>
      </c>
      <c r="B51" s="12" t="s">
        <v>249</v>
      </c>
      <c r="C51" s="10" t="s">
        <v>516</v>
      </c>
      <c r="D51" s="56" t="s">
        <v>487</v>
      </c>
      <c r="E51" s="57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543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484</v>
      </c>
      <c r="R51" s="45" t="s">
        <v>454</v>
      </c>
      <c r="S51" s="46" t="s">
        <v>484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56" t="s">
        <v>669</v>
      </c>
      <c r="Y51" s="57" t="s">
        <v>653</v>
      </c>
      <c r="Z51" s="56" t="s">
        <v>669</v>
      </c>
      <c r="AA51" s="57" t="s">
        <v>657</v>
      </c>
      <c r="AB51" s="56" t="s">
        <v>669</v>
      </c>
      <c r="AC51" s="57" t="s">
        <v>660</v>
      </c>
      <c r="AD51" s="56" t="s">
        <v>669</v>
      </c>
      <c r="AE51" s="57" t="s">
        <v>663</v>
      </c>
      <c r="AF51" s="56" t="s">
        <v>669</v>
      </c>
      <c r="AG51" s="57" t="s">
        <v>666</v>
      </c>
    </row>
    <row r="52" spans="1:33" ht="6.6" customHeight="1" x14ac:dyDescent="0.2">
      <c r="A52" s="43">
        <v>52</v>
      </c>
      <c r="B52" s="12" t="s">
        <v>250</v>
      </c>
      <c r="C52" s="10" t="s">
        <v>516</v>
      </c>
      <c r="D52" s="56" t="s">
        <v>487</v>
      </c>
      <c r="E52" s="57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543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484</v>
      </c>
      <c r="R52" s="45" t="s">
        <v>454</v>
      </c>
      <c r="S52" s="46" t="s">
        <v>484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56" t="s">
        <v>669</v>
      </c>
      <c r="Y52" s="57" t="s">
        <v>653</v>
      </c>
      <c r="Z52" s="56" t="s">
        <v>669</v>
      </c>
      <c r="AA52" s="57" t="s">
        <v>657</v>
      </c>
      <c r="AB52" s="56" t="s">
        <v>669</v>
      </c>
      <c r="AC52" s="57" t="s">
        <v>660</v>
      </c>
      <c r="AD52" s="56" t="s">
        <v>669</v>
      </c>
      <c r="AE52" s="57" t="s">
        <v>663</v>
      </c>
      <c r="AF52" s="56" t="s">
        <v>669</v>
      </c>
      <c r="AG52" s="57" t="s">
        <v>666</v>
      </c>
    </row>
    <row r="53" spans="1:33" ht="6.6" customHeight="1" x14ac:dyDescent="0.2">
      <c r="A53" s="43">
        <v>53</v>
      </c>
      <c r="B53" s="12" t="s">
        <v>251</v>
      </c>
      <c r="C53" s="10" t="s">
        <v>516</v>
      </c>
      <c r="D53" s="56" t="s">
        <v>487</v>
      </c>
      <c r="E53" s="57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543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484</v>
      </c>
      <c r="R53" s="45" t="s">
        <v>454</v>
      </c>
      <c r="S53" s="46" t="s">
        <v>484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56" t="s">
        <v>669</v>
      </c>
      <c r="Y53" s="57" t="s">
        <v>653</v>
      </c>
      <c r="Z53" s="56" t="s">
        <v>669</v>
      </c>
      <c r="AA53" s="57" t="s">
        <v>657</v>
      </c>
      <c r="AB53" s="56" t="s">
        <v>669</v>
      </c>
      <c r="AC53" s="57" t="s">
        <v>660</v>
      </c>
      <c r="AD53" s="56" t="s">
        <v>669</v>
      </c>
      <c r="AE53" s="57" t="s">
        <v>663</v>
      </c>
      <c r="AF53" s="56" t="s">
        <v>669</v>
      </c>
      <c r="AG53" s="57" t="s">
        <v>666</v>
      </c>
    </row>
    <row r="54" spans="1:33" ht="6.6" customHeight="1" x14ac:dyDescent="0.2">
      <c r="A54" s="43">
        <v>54</v>
      </c>
      <c r="B54" s="12" t="s">
        <v>252</v>
      </c>
      <c r="C54" s="10" t="s">
        <v>516</v>
      </c>
      <c r="D54" s="56" t="s">
        <v>487</v>
      </c>
      <c r="E54" s="57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543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484</v>
      </c>
      <c r="R54" s="45" t="s">
        <v>454</v>
      </c>
      <c r="S54" s="46" t="s">
        <v>484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56" t="s">
        <v>669</v>
      </c>
      <c r="Y54" s="57" t="s">
        <v>653</v>
      </c>
      <c r="Z54" s="56" t="s">
        <v>669</v>
      </c>
      <c r="AA54" s="57" t="s">
        <v>657</v>
      </c>
      <c r="AB54" s="56" t="s">
        <v>669</v>
      </c>
      <c r="AC54" s="57" t="s">
        <v>660</v>
      </c>
      <c r="AD54" s="56" t="s">
        <v>669</v>
      </c>
      <c r="AE54" s="57" t="s">
        <v>663</v>
      </c>
      <c r="AF54" s="56" t="s">
        <v>669</v>
      </c>
      <c r="AG54" s="57" t="s">
        <v>666</v>
      </c>
    </row>
    <row r="55" spans="1:33" ht="6.6" customHeight="1" x14ac:dyDescent="0.2">
      <c r="A55" s="43">
        <v>55</v>
      </c>
      <c r="B55" s="12" t="s">
        <v>253</v>
      </c>
      <c r="C55" s="10" t="s">
        <v>516</v>
      </c>
      <c r="D55" s="56" t="s">
        <v>487</v>
      </c>
      <c r="E55" s="57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543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484</v>
      </c>
      <c r="R55" s="45" t="s">
        <v>454</v>
      </c>
      <c r="S55" s="46" t="s">
        <v>484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56" t="s">
        <v>669</v>
      </c>
      <c r="Y55" s="57" t="s">
        <v>653</v>
      </c>
      <c r="Z55" s="56" t="s">
        <v>669</v>
      </c>
      <c r="AA55" s="57" t="s">
        <v>657</v>
      </c>
      <c r="AB55" s="56" t="s">
        <v>669</v>
      </c>
      <c r="AC55" s="57" t="s">
        <v>660</v>
      </c>
      <c r="AD55" s="56" t="s">
        <v>669</v>
      </c>
      <c r="AE55" s="57" t="s">
        <v>663</v>
      </c>
      <c r="AF55" s="56" t="s">
        <v>669</v>
      </c>
      <c r="AG55" s="57" t="s">
        <v>666</v>
      </c>
    </row>
    <row r="56" spans="1:33" ht="6.6" customHeight="1" x14ac:dyDescent="0.2">
      <c r="A56" s="43">
        <v>56</v>
      </c>
      <c r="B56" s="12" t="s">
        <v>254</v>
      </c>
      <c r="C56" s="10" t="s">
        <v>516</v>
      </c>
      <c r="D56" s="56" t="s">
        <v>487</v>
      </c>
      <c r="E56" s="57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543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484</v>
      </c>
      <c r="R56" s="45" t="s">
        <v>454</v>
      </c>
      <c r="S56" s="46" t="s">
        <v>484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56" t="s">
        <v>669</v>
      </c>
      <c r="Y56" s="57" t="s">
        <v>653</v>
      </c>
      <c r="Z56" s="56" t="s">
        <v>669</v>
      </c>
      <c r="AA56" s="57" t="s">
        <v>657</v>
      </c>
      <c r="AB56" s="56" t="s">
        <v>669</v>
      </c>
      <c r="AC56" s="57" t="s">
        <v>660</v>
      </c>
      <c r="AD56" s="56" t="s">
        <v>669</v>
      </c>
      <c r="AE56" s="57" t="s">
        <v>663</v>
      </c>
      <c r="AF56" s="56" t="s">
        <v>669</v>
      </c>
      <c r="AG56" s="57" t="s">
        <v>666</v>
      </c>
    </row>
    <row r="57" spans="1:33" ht="6.6" customHeight="1" x14ac:dyDescent="0.2">
      <c r="A57" s="43">
        <v>57</v>
      </c>
      <c r="B57" s="12" t="s">
        <v>255</v>
      </c>
      <c r="C57" s="10" t="s">
        <v>516</v>
      </c>
      <c r="D57" s="56" t="s">
        <v>487</v>
      </c>
      <c r="E57" s="57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543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484</v>
      </c>
      <c r="R57" s="45" t="s">
        <v>454</v>
      </c>
      <c r="S57" s="46" t="s">
        <v>484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56" t="s">
        <v>669</v>
      </c>
      <c r="Y57" s="57" t="s">
        <v>653</v>
      </c>
      <c r="Z57" s="56" t="s">
        <v>669</v>
      </c>
      <c r="AA57" s="57" t="s">
        <v>657</v>
      </c>
      <c r="AB57" s="56" t="s">
        <v>669</v>
      </c>
      <c r="AC57" s="57" t="s">
        <v>660</v>
      </c>
      <c r="AD57" s="56" t="s">
        <v>669</v>
      </c>
      <c r="AE57" s="57" t="s">
        <v>663</v>
      </c>
      <c r="AF57" s="56" t="s">
        <v>669</v>
      </c>
      <c r="AG57" s="57" t="s">
        <v>666</v>
      </c>
    </row>
    <row r="58" spans="1:33" ht="6.6" customHeight="1" x14ac:dyDescent="0.2">
      <c r="A58" s="43">
        <v>58</v>
      </c>
      <c r="B58" s="12" t="s">
        <v>256</v>
      </c>
      <c r="C58" s="10" t="s">
        <v>516</v>
      </c>
      <c r="D58" s="56" t="s">
        <v>487</v>
      </c>
      <c r="E58" s="57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543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484</v>
      </c>
      <c r="R58" s="45" t="s">
        <v>454</v>
      </c>
      <c r="S58" s="46" t="s">
        <v>484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56" t="s">
        <v>669</v>
      </c>
      <c r="Y58" s="57" t="s">
        <v>653</v>
      </c>
      <c r="Z58" s="56" t="s">
        <v>669</v>
      </c>
      <c r="AA58" s="57" t="s">
        <v>657</v>
      </c>
      <c r="AB58" s="56" t="s">
        <v>669</v>
      </c>
      <c r="AC58" s="57" t="s">
        <v>660</v>
      </c>
      <c r="AD58" s="56" t="s">
        <v>669</v>
      </c>
      <c r="AE58" s="57" t="s">
        <v>663</v>
      </c>
      <c r="AF58" s="56" t="s">
        <v>669</v>
      </c>
      <c r="AG58" s="57" t="s">
        <v>666</v>
      </c>
    </row>
    <row r="59" spans="1:33" ht="6.6" customHeight="1" x14ac:dyDescent="0.2">
      <c r="A59" s="43">
        <v>59</v>
      </c>
      <c r="B59" s="12" t="s">
        <v>257</v>
      </c>
      <c r="C59" s="10" t="s">
        <v>516</v>
      </c>
      <c r="D59" s="56" t="s">
        <v>487</v>
      </c>
      <c r="E59" s="57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543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484</v>
      </c>
      <c r="R59" s="45" t="s">
        <v>454</v>
      </c>
      <c r="S59" s="46" t="s">
        <v>484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56" t="s">
        <v>669</v>
      </c>
      <c r="Y59" s="57" t="s">
        <v>653</v>
      </c>
      <c r="Z59" s="56" t="s">
        <v>669</v>
      </c>
      <c r="AA59" s="57" t="s">
        <v>657</v>
      </c>
      <c r="AB59" s="56" t="s">
        <v>669</v>
      </c>
      <c r="AC59" s="57" t="s">
        <v>660</v>
      </c>
      <c r="AD59" s="56" t="s">
        <v>669</v>
      </c>
      <c r="AE59" s="57" t="s">
        <v>663</v>
      </c>
      <c r="AF59" s="56" t="s">
        <v>669</v>
      </c>
      <c r="AG59" s="57" t="s">
        <v>666</v>
      </c>
    </row>
    <row r="60" spans="1:33" ht="6.6" customHeight="1" x14ac:dyDescent="0.2">
      <c r="A60" s="43">
        <v>60</v>
      </c>
      <c r="B60" s="12" t="s">
        <v>258</v>
      </c>
      <c r="C60" s="10" t="s">
        <v>516</v>
      </c>
      <c r="D60" s="56" t="s">
        <v>487</v>
      </c>
      <c r="E60" s="57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543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484</v>
      </c>
      <c r="R60" s="45" t="s">
        <v>454</v>
      </c>
      <c r="S60" s="46" t="s">
        <v>484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56" t="s">
        <v>669</v>
      </c>
      <c r="Y60" s="57" t="s">
        <v>653</v>
      </c>
      <c r="Z60" s="56" t="s">
        <v>669</v>
      </c>
      <c r="AA60" s="57" t="s">
        <v>657</v>
      </c>
      <c r="AB60" s="56" t="s">
        <v>669</v>
      </c>
      <c r="AC60" s="57" t="s">
        <v>660</v>
      </c>
      <c r="AD60" s="56" t="s">
        <v>669</v>
      </c>
      <c r="AE60" s="57" t="s">
        <v>663</v>
      </c>
      <c r="AF60" s="56" t="s">
        <v>669</v>
      </c>
      <c r="AG60" s="57" t="s">
        <v>666</v>
      </c>
    </row>
    <row r="61" spans="1:33" ht="6.6" customHeight="1" x14ac:dyDescent="0.2">
      <c r="A61" s="43">
        <v>61</v>
      </c>
      <c r="B61" s="12" t="s">
        <v>259</v>
      </c>
      <c r="C61" s="10" t="s">
        <v>516</v>
      </c>
      <c r="D61" s="56" t="s">
        <v>487</v>
      </c>
      <c r="E61" s="57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543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484</v>
      </c>
      <c r="R61" s="45" t="s">
        <v>454</v>
      </c>
      <c r="S61" s="46" t="s">
        <v>484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56" t="s">
        <v>669</v>
      </c>
      <c r="Y61" s="57" t="s">
        <v>653</v>
      </c>
      <c r="Z61" s="56" t="s">
        <v>669</v>
      </c>
      <c r="AA61" s="57" t="s">
        <v>657</v>
      </c>
      <c r="AB61" s="56" t="s">
        <v>669</v>
      </c>
      <c r="AC61" s="57" t="s">
        <v>660</v>
      </c>
      <c r="AD61" s="56" t="s">
        <v>669</v>
      </c>
      <c r="AE61" s="57" t="s">
        <v>663</v>
      </c>
      <c r="AF61" s="56" t="s">
        <v>669</v>
      </c>
      <c r="AG61" s="57" t="s">
        <v>666</v>
      </c>
    </row>
    <row r="62" spans="1:33" ht="6.6" customHeight="1" x14ac:dyDescent="0.2">
      <c r="A62" s="43">
        <v>62</v>
      </c>
      <c r="B62" s="12" t="s">
        <v>260</v>
      </c>
      <c r="C62" s="10" t="s">
        <v>516</v>
      </c>
      <c r="D62" s="56" t="s">
        <v>487</v>
      </c>
      <c r="E62" s="57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543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484</v>
      </c>
      <c r="R62" s="45" t="s">
        <v>454</v>
      </c>
      <c r="S62" s="46" t="s">
        <v>484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56" t="s">
        <v>669</v>
      </c>
      <c r="Y62" s="57" t="s">
        <v>653</v>
      </c>
      <c r="Z62" s="56" t="s">
        <v>669</v>
      </c>
      <c r="AA62" s="57" t="s">
        <v>657</v>
      </c>
      <c r="AB62" s="56" t="s">
        <v>669</v>
      </c>
      <c r="AC62" s="57" t="s">
        <v>660</v>
      </c>
      <c r="AD62" s="56" t="s">
        <v>669</v>
      </c>
      <c r="AE62" s="57" t="s">
        <v>663</v>
      </c>
      <c r="AF62" s="56" t="s">
        <v>669</v>
      </c>
      <c r="AG62" s="57" t="s">
        <v>666</v>
      </c>
    </row>
    <row r="63" spans="1:33" ht="6.6" customHeight="1" x14ac:dyDescent="0.2">
      <c r="A63" s="43">
        <v>63</v>
      </c>
      <c r="B63" s="13" t="s">
        <v>261</v>
      </c>
      <c r="C63" s="10" t="s">
        <v>516</v>
      </c>
      <c r="D63" s="56" t="s">
        <v>487</v>
      </c>
      <c r="E63" s="57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543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484</v>
      </c>
      <c r="R63" s="45" t="s">
        <v>454</v>
      </c>
      <c r="S63" s="46" t="s">
        <v>484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56" t="s">
        <v>669</v>
      </c>
      <c r="Y63" s="57" t="s">
        <v>653</v>
      </c>
      <c r="Z63" s="56" t="s">
        <v>669</v>
      </c>
      <c r="AA63" s="57" t="s">
        <v>657</v>
      </c>
      <c r="AB63" s="56" t="s">
        <v>669</v>
      </c>
      <c r="AC63" s="57" t="s">
        <v>660</v>
      </c>
      <c r="AD63" s="56" t="s">
        <v>669</v>
      </c>
      <c r="AE63" s="57" t="s">
        <v>663</v>
      </c>
      <c r="AF63" s="56" t="s">
        <v>669</v>
      </c>
      <c r="AG63" s="57" t="s">
        <v>666</v>
      </c>
    </row>
    <row r="64" spans="1:33" ht="6.6" customHeight="1" x14ac:dyDescent="0.2">
      <c r="A64" s="43">
        <v>64</v>
      </c>
      <c r="B64" s="12" t="s">
        <v>262</v>
      </c>
      <c r="C64" s="10" t="s">
        <v>516</v>
      </c>
      <c r="D64" s="56" t="s">
        <v>487</v>
      </c>
      <c r="E64" s="57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543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484</v>
      </c>
      <c r="R64" s="45" t="s">
        <v>454</v>
      </c>
      <c r="S64" s="46" t="s">
        <v>484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56" t="s">
        <v>669</v>
      </c>
      <c r="Y64" s="57" t="s">
        <v>653</v>
      </c>
      <c r="Z64" s="56" t="s">
        <v>669</v>
      </c>
      <c r="AA64" s="57" t="s">
        <v>657</v>
      </c>
      <c r="AB64" s="56" t="s">
        <v>669</v>
      </c>
      <c r="AC64" s="57" t="s">
        <v>660</v>
      </c>
      <c r="AD64" s="56" t="s">
        <v>669</v>
      </c>
      <c r="AE64" s="57" t="s">
        <v>663</v>
      </c>
      <c r="AF64" s="56" t="s">
        <v>669</v>
      </c>
      <c r="AG64" s="57" t="s">
        <v>666</v>
      </c>
    </row>
    <row r="65" spans="1:33" ht="6.6" customHeight="1" x14ac:dyDescent="0.2">
      <c r="A65" s="43">
        <v>65</v>
      </c>
      <c r="B65" s="12" t="s">
        <v>263</v>
      </c>
      <c r="C65" s="10" t="s">
        <v>516</v>
      </c>
      <c r="D65" s="56" t="s">
        <v>487</v>
      </c>
      <c r="E65" s="57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543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484</v>
      </c>
      <c r="R65" s="45" t="s">
        <v>454</v>
      </c>
      <c r="S65" s="46" t="s">
        <v>484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56" t="s">
        <v>669</v>
      </c>
      <c r="Y65" s="57" t="s">
        <v>653</v>
      </c>
      <c r="Z65" s="56" t="s">
        <v>669</v>
      </c>
      <c r="AA65" s="57" t="s">
        <v>657</v>
      </c>
      <c r="AB65" s="56" t="s">
        <v>669</v>
      </c>
      <c r="AC65" s="57" t="s">
        <v>660</v>
      </c>
      <c r="AD65" s="56" t="s">
        <v>669</v>
      </c>
      <c r="AE65" s="57" t="s">
        <v>663</v>
      </c>
      <c r="AF65" s="56" t="s">
        <v>669</v>
      </c>
      <c r="AG65" s="57" t="s">
        <v>666</v>
      </c>
    </row>
    <row r="66" spans="1:33" ht="6.6" customHeight="1" x14ac:dyDescent="0.2">
      <c r="A66" s="43">
        <v>66</v>
      </c>
      <c r="B66" s="12" t="s">
        <v>264</v>
      </c>
      <c r="C66" s="10" t="s">
        <v>516</v>
      </c>
      <c r="D66" s="56" t="s">
        <v>487</v>
      </c>
      <c r="E66" s="57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543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484</v>
      </c>
      <c r="R66" s="45" t="s">
        <v>454</v>
      </c>
      <c r="S66" s="46" t="s">
        <v>484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56" t="s">
        <v>669</v>
      </c>
      <c r="Y66" s="57" t="s">
        <v>653</v>
      </c>
      <c r="Z66" s="56" t="s">
        <v>669</v>
      </c>
      <c r="AA66" s="57" t="s">
        <v>657</v>
      </c>
      <c r="AB66" s="56" t="s">
        <v>669</v>
      </c>
      <c r="AC66" s="57" t="s">
        <v>660</v>
      </c>
      <c r="AD66" s="56" t="s">
        <v>669</v>
      </c>
      <c r="AE66" s="57" t="s">
        <v>663</v>
      </c>
      <c r="AF66" s="56" t="s">
        <v>669</v>
      </c>
      <c r="AG66" s="57" t="s">
        <v>666</v>
      </c>
    </row>
    <row r="67" spans="1:33" ht="6.6" customHeight="1" x14ac:dyDescent="0.2">
      <c r="A67" s="43">
        <v>67</v>
      </c>
      <c r="B67" s="12" t="s">
        <v>265</v>
      </c>
      <c r="C67" s="10" t="s">
        <v>516</v>
      </c>
      <c r="D67" s="56" t="s">
        <v>487</v>
      </c>
      <c r="E67" s="57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543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484</v>
      </c>
      <c r="R67" s="45" t="s">
        <v>454</v>
      </c>
      <c r="S67" s="46" t="s">
        <v>484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56" t="s">
        <v>669</v>
      </c>
      <c r="Y67" s="57" t="s">
        <v>653</v>
      </c>
      <c r="Z67" s="56" t="s">
        <v>669</v>
      </c>
      <c r="AA67" s="57" t="s">
        <v>657</v>
      </c>
      <c r="AB67" s="56" t="s">
        <v>669</v>
      </c>
      <c r="AC67" s="57" t="s">
        <v>660</v>
      </c>
      <c r="AD67" s="56" t="s">
        <v>669</v>
      </c>
      <c r="AE67" s="57" t="s">
        <v>663</v>
      </c>
      <c r="AF67" s="56" t="s">
        <v>669</v>
      </c>
      <c r="AG67" s="57" t="s">
        <v>666</v>
      </c>
    </row>
    <row r="68" spans="1:33" ht="6.6" customHeight="1" x14ac:dyDescent="0.2">
      <c r="A68" s="43">
        <v>68</v>
      </c>
      <c r="B68" s="12" t="s">
        <v>266</v>
      </c>
      <c r="C68" s="10" t="s">
        <v>522</v>
      </c>
      <c r="D68" s="56" t="s">
        <v>487</v>
      </c>
      <c r="E68" s="57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543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484</v>
      </c>
      <c r="R68" s="45" t="s">
        <v>454</v>
      </c>
      <c r="S68" s="46" t="s">
        <v>484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56" t="s">
        <v>669</v>
      </c>
      <c r="Y68" s="57" t="s">
        <v>653</v>
      </c>
      <c r="Z68" s="56" t="s">
        <v>669</v>
      </c>
      <c r="AA68" s="57" t="s">
        <v>657</v>
      </c>
      <c r="AB68" s="56" t="s">
        <v>669</v>
      </c>
      <c r="AC68" s="57" t="s">
        <v>660</v>
      </c>
      <c r="AD68" s="56" t="s">
        <v>669</v>
      </c>
      <c r="AE68" s="57" t="s">
        <v>663</v>
      </c>
      <c r="AF68" s="56" t="s">
        <v>669</v>
      </c>
      <c r="AG68" s="57" t="s">
        <v>666</v>
      </c>
    </row>
    <row r="69" spans="1:33" ht="6.6" customHeight="1" x14ac:dyDescent="0.2">
      <c r="A69" s="43">
        <v>69</v>
      </c>
      <c r="B69" s="12" t="s">
        <v>267</v>
      </c>
      <c r="C69" s="10" t="s">
        <v>522</v>
      </c>
      <c r="D69" s="56" t="s">
        <v>487</v>
      </c>
      <c r="E69" s="57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543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484</v>
      </c>
      <c r="R69" s="45" t="s">
        <v>454</v>
      </c>
      <c r="S69" s="46" t="s">
        <v>484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56" t="s">
        <v>669</v>
      </c>
      <c r="Y69" s="57" t="s">
        <v>653</v>
      </c>
      <c r="Z69" s="56" t="s">
        <v>669</v>
      </c>
      <c r="AA69" s="57" t="s">
        <v>657</v>
      </c>
      <c r="AB69" s="56" t="s">
        <v>669</v>
      </c>
      <c r="AC69" s="57" t="s">
        <v>660</v>
      </c>
      <c r="AD69" s="56" t="s">
        <v>669</v>
      </c>
      <c r="AE69" s="57" t="s">
        <v>663</v>
      </c>
      <c r="AF69" s="56" t="s">
        <v>669</v>
      </c>
      <c r="AG69" s="57" t="s">
        <v>666</v>
      </c>
    </row>
    <row r="70" spans="1:33" ht="6.6" customHeight="1" x14ac:dyDescent="0.2">
      <c r="A70" s="43">
        <v>70</v>
      </c>
      <c r="B70" s="12" t="s">
        <v>268</v>
      </c>
      <c r="C70" s="10" t="s">
        <v>522</v>
      </c>
      <c r="D70" s="56" t="s">
        <v>487</v>
      </c>
      <c r="E70" s="57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543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484</v>
      </c>
      <c r="R70" s="45" t="s">
        <v>454</v>
      </c>
      <c r="S70" s="46" t="s">
        <v>484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56" t="s">
        <v>669</v>
      </c>
      <c r="Y70" s="57" t="s">
        <v>653</v>
      </c>
      <c r="Z70" s="56" t="s">
        <v>669</v>
      </c>
      <c r="AA70" s="57" t="s">
        <v>657</v>
      </c>
      <c r="AB70" s="56" t="s">
        <v>669</v>
      </c>
      <c r="AC70" s="57" t="s">
        <v>660</v>
      </c>
      <c r="AD70" s="56" t="s">
        <v>669</v>
      </c>
      <c r="AE70" s="57" t="s">
        <v>663</v>
      </c>
      <c r="AF70" s="56" t="s">
        <v>669</v>
      </c>
      <c r="AG70" s="57" t="s">
        <v>666</v>
      </c>
    </row>
    <row r="71" spans="1:33" ht="6.6" customHeight="1" x14ac:dyDescent="0.2">
      <c r="A71" s="43">
        <v>71</v>
      </c>
      <c r="B71" s="12" t="s">
        <v>269</v>
      </c>
      <c r="C71" s="10" t="s">
        <v>522</v>
      </c>
      <c r="D71" s="56" t="s">
        <v>487</v>
      </c>
      <c r="E71" s="57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543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484</v>
      </c>
      <c r="R71" s="45" t="s">
        <v>454</v>
      </c>
      <c r="S71" s="46" t="s">
        <v>484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56" t="s">
        <v>669</v>
      </c>
      <c r="Y71" s="57" t="s">
        <v>653</v>
      </c>
      <c r="Z71" s="56" t="s">
        <v>669</v>
      </c>
      <c r="AA71" s="57" t="s">
        <v>657</v>
      </c>
      <c r="AB71" s="56" t="s">
        <v>669</v>
      </c>
      <c r="AC71" s="57" t="s">
        <v>660</v>
      </c>
      <c r="AD71" s="56" t="s">
        <v>669</v>
      </c>
      <c r="AE71" s="57" t="s">
        <v>663</v>
      </c>
      <c r="AF71" s="56" t="s">
        <v>669</v>
      </c>
      <c r="AG71" s="57" t="s">
        <v>666</v>
      </c>
    </row>
    <row r="72" spans="1:33" ht="6.6" customHeight="1" x14ac:dyDescent="0.2">
      <c r="A72" s="43">
        <v>72</v>
      </c>
      <c r="B72" s="12" t="s">
        <v>270</v>
      </c>
      <c r="C72" s="10" t="s">
        <v>522</v>
      </c>
      <c r="D72" s="56" t="s">
        <v>487</v>
      </c>
      <c r="E72" s="57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543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484</v>
      </c>
      <c r="R72" s="45" t="s">
        <v>454</v>
      </c>
      <c r="S72" s="46" t="s">
        <v>484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56" t="s">
        <v>669</v>
      </c>
      <c r="Y72" s="57" t="s">
        <v>653</v>
      </c>
      <c r="Z72" s="56" t="s">
        <v>669</v>
      </c>
      <c r="AA72" s="57" t="s">
        <v>657</v>
      </c>
      <c r="AB72" s="56" t="s">
        <v>669</v>
      </c>
      <c r="AC72" s="57" t="s">
        <v>660</v>
      </c>
      <c r="AD72" s="56" t="s">
        <v>669</v>
      </c>
      <c r="AE72" s="57" t="s">
        <v>663</v>
      </c>
      <c r="AF72" s="56" t="s">
        <v>669</v>
      </c>
      <c r="AG72" s="57" t="s">
        <v>666</v>
      </c>
    </row>
    <row r="73" spans="1:33" ht="6.6" customHeight="1" x14ac:dyDescent="0.2">
      <c r="A73" s="43">
        <v>73</v>
      </c>
      <c r="B73" s="12" t="s">
        <v>271</v>
      </c>
      <c r="C73" s="10" t="s">
        <v>522</v>
      </c>
      <c r="D73" s="56" t="s">
        <v>487</v>
      </c>
      <c r="E73" s="57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543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484</v>
      </c>
      <c r="R73" s="45" t="s">
        <v>454</v>
      </c>
      <c r="S73" s="46" t="s">
        <v>484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56" t="s">
        <v>669</v>
      </c>
      <c r="Y73" s="57" t="s">
        <v>653</v>
      </c>
      <c r="Z73" s="56" t="s">
        <v>669</v>
      </c>
      <c r="AA73" s="57" t="s">
        <v>657</v>
      </c>
      <c r="AB73" s="56" t="s">
        <v>669</v>
      </c>
      <c r="AC73" s="57" t="s">
        <v>660</v>
      </c>
      <c r="AD73" s="56" t="s">
        <v>669</v>
      </c>
      <c r="AE73" s="57" t="s">
        <v>663</v>
      </c>
      <c r="AF73" s="56" t="s">
        <v>669</v>
      </c>
      <c r="AG73" s="57" t="s">
        <v>666</v>
      </c>
    </row>
    <row r="74" spans="1:33" ht="6.6" customHeight="1" x14ac:dyDescent="0.2">
      <c r="A74" s="43">
        <v>74</v>
      </c>
      <c r="B74" s="12" t="s">
        <v>272</v>
      </c>
      <c r="C74" s="10" t="s">
        <v>522</v>
      </c>
      <c r="D74" s="56" t="s">
        <v>487</v>
      </c>
      <c r="E74" s="57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543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484</v>
      </c>
      <c r="R74" s="45" t="s">
        <v>454</v>
      </c>
      <c r="S74" s="46" t="s">
        <v>484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56" t="s">
        <v>669</v>
      </c>
      <c r="Y74" s="57" t="s">
        <v>653</v>
      </c>
      <c r="Z74" s="56" t="s">
        <v>669</v>
      </c>
      <c r="AA74" s="57" t="s">
        <v>657</v>
      </c>
      <c r="AB74" s="56" t="s">
        <v>669</v>
      </c>
      <c r="AC74" s="57" t="s">
        <v>660</v>
      </c>
      <c r="AD74" s="56" t="s">
        <v>669</v>
      </c>
      <c r="AE74" s="57" t="s">
        <v>663</v>
      </c>
      <c r="AF74" s="56" t="s">
        <v>669</v>
      </c>
      <c r="AG74" s="57" t="s">
        <v>666</v>
      </c>
    </row>
    <row r="75" spans="1:33" ht="6.6" customHeight="1" x14ac:dyDescent="0.2">
      <c r="A75" s="43">
        <v>75</v>
      </c>
      <c r="B75" s="12" t="s">
        <v>273</v>
      </c>
      <c r="C75" s="10" t="s">
        <v>522</v>
      </c>
      <c r="D75" s="56" t="s">
        <v>487</v>
      </c>
      <c r="E75" s="57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543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484</v>
      </c>
      <c r="R75" s="45" t="s">
        <v>454</v>
      </c>
      <c r="S75" s="46" t="s">
        <v>484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56" t="s">
        <v>669</v>
      </c>
      <c r="Y75" s="57" t="s">
        <v>653</v>
      </c>
      <c r="Z75" s="56" t="s">
        <v>669</v>
      </c>
      <c r="AA75" s="57" t="s">
        <v>657</v>
      </c>
      <c r="AB75" s="56" t="s">
        <v>669</v>
      </c>
      <c r="AC75" s="57" t="s">
        <v>660</v>
      </c>
      <c r="AD75" s="56" t="s">
        <v>669</v>
      </c>
      <c r="AE75" s="57" t="s">
        <v>663</v>
      </c>
      <c r="AF75" s="56" t="s">
        <v>669</v>
      </c>
      <c r="AG75" s="57" t="s">
        <v>666</v>
      </c>
    </row>
    <row r="76" spans="1:33" ht="6.6" customHeight="1" x14ac:dyDescent="0.2">
      <c r="A76" s="43">
        <v>76</v>
      </c>
      <c r="B76" s="12" t="s">
        <v>274</v>
      </c>
      <c r="C76" s="10" t="s">
        <v>522</v>
      </c>
      <c r="D76" s="56" t="s">
        <v>487</v>
      </c>
      <c r="E76" s="57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543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484</v>
      </c>
      <c r="R76" s="45" t="s">
        <v>454</v>
      </c>
      <c r="S76" s="46" t="s">
        <v>484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56" t="s">
        <v>669</v>
      </c>
      <c r="Y76" s="57" t="s">
        <v>653</v>
      </c>
      <c r="Z76" s="56" t="s">
        <v>669</v>
      </c>
      <c r="AA76" s="57" t="s">
        <v>657</v>
      </c>
      <c r="AB76" s="56" t="s">
        <v>669</v>
      </c>
      <c r="AC76" s="57" t="s">
        <v>660</v>
      </c>
      <c r="AD76" s="56" t="s">
        <v>669</v>
      </c>
      <c r="AE76" s="57" t="s">
        <v>663</v>
      </c>
      <c r="AF76" s="56" t="s">
        <v>669</v>
      </c>
      <c r="AG76" s="57" t="s">
        <v>666</v>
      </c>
    </row>
    <row r="77" spans="1:33" ht="6.6" customHeight="1" x14ac:dyDescent="0.2">
      <c r="A77" s="43">
        <v>77</v>
      </c>
      <c r="B77" s="12" t="s">
        <v>275</v>
      </c>
      <c r="C77" s="10" t="s">
        <v>522</v>
      </c>
      <c r="D77" s="56" t="s">
        <v>487</v>
      </c>
      <c r="E77" s="57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543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484</v>
      </c>
      <c r="R77" s="45" t="s">
        <v>454</v>
      </c>
      <c r="S77" s="46" t="s">
        <v>484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56" t="s">
        <v>669</v>
      </c>
      <c r="Y77" s="57" t="s">
        <v>653</v>
      </c>
      <c r="Z77" s="56" t="s">
        <v>669</v>
      </c>
      <c r="AA77" s="57" t="s">
        <v>657</v>
      </c>
      <c r="AB77" s="56" t="s">
        <v>669</v>
      </c>
      <c r="AC77" s="57" t="s">
        <v>660</v>
      </c>
      <c r="AD77" s="56" t="s">
        <v>669</v>
      </c>
      <c r="AE77" s="57" t="s">
        <v>663</v>
      </c>
      <c r="AF77" s="56" t="s">
        <v>669</v>
      </c>
      <c r="AG77" s="57" t="s">
        <v>666</v>
      </c>
    </row>
    <row r="78" spans="1:33" ht="6.6" customHeight="1" x14ac:dyDescent="0.2">
      <c r="A78" s="43">
        <v>78</v>
      </c>
      <c r="B78" s="12" t="s">
        <v>276</v>
      </c>
      <c r="C78" s="10" t="s">
        <v>522</v>
      </c>
      <c r="D78" s="56" t="s">
        <v>487</v>
      </c>
      <c r="E78" s="57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543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484</v>
      </c>
      <c r="R78" s="45" t="s">
        <v>454</v>
      </c>
      <c r="S78" s="46" t="s">
        <v>484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56" t="s">
        <v>669</v>
      </c>
      <c r="Y78" s="57" t="s">
        <v>653</v>
      </c>
      <c r="Z78" s="56" t="s">
        <v>669</v>
      </c>
      <c r="AA78" s="57" t="s">
        <v>657</v>
      </c>
      <c r="AB78" s="56" t="s">
        <v>669</v>
      </c>
      <c r="AC78" s="57" t="s">
        <v>660</v>
      </c>
      <c r="AD78" s="56" t="s">
        <v>669</v>
      </c>
      <c r="AE78" s="57" t="s">
        <v>663</v>
      </c>
      <c r="AF78" s="56" t="s">
        <v>669</v>
      </c>
      <c r="AG78" s="57" t="s">
        <v>666</v>
      </c>
    </row>
    <row r="79" spans="1:33" ht="6.6" customHeight="1" x14ac:dyDescent="0.2">
      <c r="A79" s="43">
        <v>79</v>
      </c>
      <c r="B79" s="12" t="s">
        <v>277</v>
      </c>
      <c r="C79" s="10" t="s">
        <v>522</v>
      </c>
      <c r="D79" s="56" t="s">
        <v>487</v>
      </c>
      <c r="E79" s="57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543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484</v>
      </c>
      <c r="R79" s="45" t="s">
        <v>454</v>
      </c>
      <c r="S79" s="46" t="s">
        <v>484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56" t="s">
        <v>669</v>
      </c>
      <c r="Y79" s="57" t="s">
        <v>653</v>
      </c>
      <c r="Z79" s="56" t="s">
        <v>669</v>
      </c>
      <c r="AA79" s="57" t="s">
        <v>657</v>
      </c>
      <c r="AB79" s="56" t="s">
        <v>669</v>
      </c>
      <c r="AC79" s="57" t="s">
        <v>660</v>
      </c>
      <c r="AD79" s="56" t="s">
        <v>669</v>
      </c>
      <c r="AE79" s="57" t="s">
        <v>663</v>
      </c>
      <c r="AF79" s="56" t="s">
        <v>669</v>
      </c>
      <c r="AG79" s="57" t="s">
        <v>666</v>
      </c>
    </row>
    <row r="80" spans="1:33" ht="6.6" customHeight="1" x14ac:dyDescent="0.2">
      <c r="A80" s="43">
        <v>80</v>
      </c>
      <c r="B80" s="13" t="s">
        <v>278</v>
      </c>
      <c r="C80" s="10" t="s">
        <v>522</v>
      </c>
      <c r="D80" s="56" t="s">
        <v>487</v>
      </c>
      <c r="E80" s="57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543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484</v>
      </c>
      <c r="R80" s="45" t="s">
        <v>454</v>
      </c>
      <c r="S80" s="46" t="s">
        <v>484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56" t="s">
        <v>669</v>
      </c>
      <c r="Y80" s="57" t="s">
        <v>653</v>
      </c>
      <c r="Z80" s="56" t="s">
        <v>669</v>
      </c>
      <c r="AA80" s="57" t="s">
        <v>657</v>
      </c>
      <c r="AB80" s="56" t="s">
        <v>669</v>
      </c>
      <c r="AC80" s="57" t="s">
        <v>660</v>
      </c>
      <c r="AD80" s="56" t="s">
        <v>669</v>
      </c>
      <c r="AE80" s="57" t="s">
        <v>663</v>
      </c>
      <c r="AF80" s="56" t="s">
        <v>669</v>
      </c>
      <c r="AG80" s="57" t="s">
        <v>666</v>
      </c>
    </row>
    <row r="81" spans="1:33" ht="6.6" customHeight="1" x14ac:dyDescent="0.2">
      <c r="A81" s="43">
        <v>81</v>
      </c>
      <c r="B81" s="12" t="s">
        <v>279</v>
      </c>
      <c r="C81" s="10" t="s">
        <v>522</v>
      </c>
      <c r="D81" s="56" t="s">
        <v>487</v>
      </c>
      <c r="E81" s="57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543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484</v>
      </c>
      <c r="R81" s="45" t="s">
        <v>454</v>
      </c>
      <c r="S81" s="46" t="s">
        <v>484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56" t="s">
        <v>669</v>
      </c>
      <c r="Y81" s="57" t="s">
        <v>653</v>
      </c>
      <c r="Z81" s="56" t="s">
        <v>669</v>
      </c>
      <c r="AA81" s="57" t="s">
        <v>657</v>
      </c>
      <c r="AB81" s="56" t="s">
        <v>669</v>
      </c>
      <c r="AC81" s="57" t="s">
        <v>660</v>
      </c>
      <c r="AD81" s="56" t="s">
        <v>669</v>
      </c>
      <c r="AE81" s="57" t="s">
        <v>663</v>
      </c>
      <c r="AF81" s="56" t="s">
        <v>669</v>
      </c>
      <c r="AG81" s="57" t="s">
        <v>666</v>
      </c>
    </row>
    <row r="82" spans="1:33" ht="6.6" customHeight="1" x14ac:dyDescent="0.2">
      <c r="A82" s="43">
        <v>82</v>
      </c>
      <c r="B82" s="12" t="s">
        <v>280</v>
      </c>
      <c r="C82" s="10" t="s">
        <v>522</v>
      </c>
      <c r="D82" s="56" t="s">
        <v>487</v>
      </c>
      <c r="E82" s="57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543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484</v>
      </c>
      <c r="R82" s="45" t="s">
        <v>454</v>
      </c>
      <c r="S82" s="46" t="s">
        <v>484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56" t="s">
        <v>669</v>
      </c>
      <c r="Y82" s="57" t="s">
        <v>653</v>
      </c>
      <c r="Z82" s="56" t="s">
        <v>669</v>
      </c>
      <c r="AA82" s="57" t="s">
        <v>657</v>
      </c>
      <c r="AB82" s="56" t="s">
        <v>669</v>
      </c>
      <c r="AC82" s="57" t="s">
        <v>660</v>
      </c>
      <c r="AD82" s="56" t="s">
        <v>669</v>
      </c>
      <c r="AE82" s="57" t="s">
        <v>663</v>
      </c>
      <c r="AF82" s="56" t="s">
        <v>669</v>
      </c>
      <c r="AG82" s="57" t="s">
        <v>666</v>
      </c>
    </row>
    <row r="83" spans="1:33" ht="6.6" customHeight="1" x14ac:dyDescent="0.2">
      <c r="A83" s="43">
        <v>83</v>
      </c>
      <c r="B83" s="12" t="s">
        <v>281</v>
      </c>
      <c r="C83" s="10" t="s">
        <v>522</v>
      </c>
      <c r="D83" s="56" t="s">
        <v>487</v>
      </c>
      <c r="E83" s="57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543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484</v>
      </c>
      <c r="R83" s="45" t="s">
        <v>454</v>
      </c>
      <c r="S83" s="46" t="s">
        <v>484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56" t="s">
        <v>669</v>
      </c>
      <c r="Y83" s="57" t="s">
        <v>653</v>
      </c>
      <c r="Z83" s="56" t="s">
        <v>669</v>
      </c>
      <c r="AA83" s="57" t="s">
        <v>657</v>
      </c>
      <c r="AB83" s="56" t="s">
        <v>669</v>
      </c>
      <c r="AC83" s="57" t="s">
        <v>660</v>
      </c>
      <c r="AD83" s="56" t="s">
        <v>669</v>
      </c>
      <c r="AE83" s="57" t="s">
        <v>663</v>
      </c>
      <c r="AF83" s="56" t="s">
        <v>669</v>
      </c>
      <c r="AG83" s="57" t="s">
        <v>666</v>
      </c>
    </row>
    <row r="84" spans="1:33" ht="6.6" customHeight="1" x14ac:dyDescent="0.2">
      <c r="A84" s="43">
        <v>84</v>
      </c>
      <c r="B84" s="12" t="s">
        <v>282</v>
      </c>
      <c r="C84" s="10" t="s">
        <v>522</v>
      </c>
      <c r="D84" s="56" t="s">
        <v>487</v>
      </c>
      <c r="E84" s="57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543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484</v>
      </c>
      <c r="R84" s="45" t="s">
        <v>454</v>
      </c>
      <c r="S84" s="46" t="s">
        <v>484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56" t="s">
        <v>669</v>
      </c>
      <c r="Y84" s="57" t="s">
        <v>653</v>
      </c>
      <c r="Z84" s="56" t="s">
        <v>669</v>
      </c>
      <c r="AA84" s="57" t="s">
        <v>657</v>
      </c>
      <c r="AB84" s="56" t="s">
        <v>669</v>
      </c>
      <c r="AC84" s="57" t="s">
        <v>660</v>
      </c>
      <c r="AD84" s="56" t="s">
        <v>669</v>
      </c>
      <c r="AE84" s="57" t="s">
        <v>663</v>
      </c>
      <c r="AF84" s="56" t="s">
        <v>669</v>
      </c>
      <c r="AG84" s="57" t="s">
        <v>666</v>
      </c>
    </row>
    <row r="85" spans="1:33" ht="6.6" customHeight="1" x14ac:dyDescent="0.2">
      <c r="A85" s="43">
        <v>85</v>
      </c>
      <c r="B85" s="12" t="s">
        <v>283</v>
      </c>
      <c r="C85" s="10" t="s">
        <v>522</v>
      </c>
      <c r="D85" s="56" t="s">
        <v>487</v>
      </c>
      <c r="E85" s="57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543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484</v>
      </c>
      <c r="R85" s="45" t="s">
        <v>454</v>
      </c>
      <c r="S85" s="46" t="s">
        <v>484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56" t="s">
        <v>669</v>
      </c>
      <c r="Y85" s="57" t="s">
        <v>653</v>
      </c>
      <c r="Z85" s="56" t="s">
        <v>669</v>
      </c>
      <c r="AA85" s="57" t="s">
        <v>657</v>
      </c>
      <c r="AB85" s="56" t="s">
        <v>669</v>
      </c>
      <c r="AC85" s="57" t="s">
        <v>660</v>
      </c>
      <c r="AD85" s="56" t="s">
        <v>669</v>
      </c>
      <c r="AE85" s="57" t="s">
        <v>663</v>
      </c>
      <c r="AF85" s="56" t="s">
        <v>669</v>
      </c>
      <c r="AG85" s="57" t="s">
        <v>666</v>
      </c>
    </row>
    <row r="86" spans="1:33" ht="6.6" customHeight="1" x14ac:dyDescent="0.2">
      <c r="A86" s="43">
        <v>86</v>
      </c>
      <c r="B86" s="12" t="s">
        <v>284</v>
      </c>
      <c r="C86" s="10" t="s">
        <v>522</v>
      </c>
      <c r="D86" s="56" t="s">
        <v>487</v>
      </c>
      <c r="E86" s="57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543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484</v>
      </c>
      <c r="R86" s="45" t="s">
        <v>454</v>
      </c>
      <c r="S86" s="46" t="s">
        <v>484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56" t="s">
        <v>669</v>
      </c>
      <c r="Y86" s="57" t="s">
        <v>653</v>
      </c>
      <c r="Z86" s="56" t="s">
        <v>669</v>
      </c>
      <c r="AA86" s="57" t="s">
        <v>657</v>
      </c>
      <c r="AB86" s="56" t="s">
        <v>669</v>
      </c>
      <c r="AC86" s="57" t="s">
        <v>660</v>
      </c>
      <c r="AD86" s="56" t="s">
        <v>669</v>
      </c>
      <c r="AE86" s="57" t="s">
        <v>663</v>
      </c>
      <c r="AF86" s="56" t="s">
        <v>669</v>
      </c>
      <c r="AG86" s="57" t="s">
        <v>666</v>
      </c>
    </row>
    <row r="87" spans="1:33" ht="6.6" customHeight="1" x14ac:dyDescent="0.2">
      <c r="A87" s="43">
        <v>87</v>
      </c>
      <c r="B87" s="12" t="s">
        <v>285</v>
      </c>
      <c r="C87" s="10" t="s">
        <v>522</v>
      </c>
      <c r="D87" s="56" t="s">
        <v>487</v>
      </c>
      <c r="E87" s="57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543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484</v>
      </c>
      <c r="R87" s="45" t="s">
        <v>454</v>
      </c>
      <c r="S87" s="46" t="s">
        <v>484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56" t="s">
        <v>669</v>
      </c>
      <c r="Y87" s="57" t="s">
        <v>653</v>
      </c>
      <c r="Z87" s="56" t="s">
        <v>669</v>
      </c>
      <c r="AA87" s="57" t="s">
        <v>657</v>
      </c>
      <c r="AB87" s="56" t="s">
        <v>669</v>
      </c>
      <c r="AC87" s="57" t="s">
        <v>660</v>
      </c>
      <c r="AD87" s="56" t="s">
        <v>669</v>
      </c>
      <c r="AE87" s="57" t="s">
        <v>663</v>
      </c>
      <c r="AF87" s="56" t="s">
        <v>669</v>
      </c>
      <c r="AG87" s="57" t="s">
        <v>666</v>
      </c>
    </row>
    <row r="88" spans="1:33" ht="6.6" customHeight="1" x14ac:dyDescent="0.2">
      <c r="A88" s="43">
        <v>88</v>
      </c>
      <c r="B88" s="7" t="s">
        <v>286</v>
      </c>
      <c r="C88" s="10" t="s">
        <v>523</v>
      </c>
      <c r="D88" s="56" t="s">
        <v>487</v>
      </c>
      <c r="E88" s="57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543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484</v>
      </c>
      <c r="R88" s="45" t="s">
        <v>454</v>
      </c>
      <c r="S88" s="46" t="s">
        <v>484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56" t="s">
        <v>669</v>
      </c>
      <c r="Y88" s="57" t="s">
        <v>653</v>
      </c>
      <c r="Z88" s="56" t="s">
        <v>669</v>
      </c>
      <c r="AA88" s="57" t="s">
        <v>657</v>
      </c>
      <c r="AB88" s="56" t="s">
        <v>669</v>
      </c>
      <c r="AC88" s="57" t="s">
        <v>660</v>
      </c>
      <c r="AD88" s="56" t="s">
        <v>669</v>
      </c>
      <c r="AE88" s="57" t="s">
        <v>663</v>
      </c>
      <c r="AF88" s="56" t="s">
        <v>669</v>
      </c>
      <c r="AG88" s="57" t="s">
        <v>666</v>
      </c>
    </row>
    <row r="89" spans="1:33" ht="6.6" customHeight="1" x14ac:dyDescent="0.2">
      <c r="A89" s="43">
        <v>89</v>
      </c>
      <c r="B89" s="12" t="s">
        <v>287</v>
      </c>
      <c r="C89" s="10" t="s">
        <v>523</v>
      </c>
      <c r="D89" s="56" t="s">
        <v>487</v>
      </c>
      <c r="E89" s="57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543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484</v>
      </c>
      <c r="R89" s="45" t="s">
        <v>454</v>
      </c>
      <c r="S89" s="46" t="s">
        <v>484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56" t="s">
        <v>669</v>
      </c>
      <c r="Y89" s="57" t="s">
        <v>653</v>
      </c>
      <c r="Z89" s="56" t="s">
        <v>669</v>
      </c>
      <c r="AA89" s="57" t="s">
        <v>657</v>
      </c>
      <c r="AB89" s="56" t="s">
        <v>669</v>
      </c>
      <c r="AC89" s="57" t="s">
        <v>660</v>
      </c>
      <c r="AD89" s="56" t="s">
        <v>669</v>
      </c>
      <c r="AE89" s="57" t="s">
        <v>663</v>
      </c>
      <c r="AF89" s="56" t="s">
        <v>669</v>
      </c>
      <c r="AG89" s="57" t="s">
        <v>666</v>
      </c>
    </row>
    <row r="90" spans="1:33" ht="6.6" customHeight="1" x14ac:dyDescent="0.2">
      <c r="A90" s="43">
        <v>90</v>
      </c>
      <c r="B90" s="12" t="s">
        <v>288</v>
      </c>
      <c r="C90" s="10" t="s">
        <v>523</v>
      </c>
      <c r="D90" s="56" t="s">
        <v>487</v>
      </c>
      <c r="E90" s="57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543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484</v>
      </c>
      <c r="R90" s="45" t="s">
        <v>454</v>
      </c>
      <c r="S90" s="46" t="s">
        <v>484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56" t="s">
        <v>669</v>
      </c>
      <c r="Y90" s="57" t="s">
        <v>653</v>
      </c>
      <c r="Z90" s="56" t="s">
        <v>669</v>
      </c>
      <c r="AA90" s="57" t="s">
        <v>657</v>
      </c>
      <c r="AB90" s="56" t="s">
        <v>669</v>
      </c>
      <c r="AC90" s="57" t="s">
        <v>660</v>
      </c>
      <c r="AD90" s="56" t="s">
        <v>669</v>
      </c>
      <c r="AE90" s="57" t="s">
        <v>663</v>
      </c>
      <c r="AF90" s="56" t="s">
        <v>669</v>
      </c>
      <c r="AG90" s="57" t="s">
        <v>666</v>
      </c>
    </row>
    <row r="91" spans="1:33" ht="6.6" customHeight="1" x14ac:dyDescent="0.2">
      <c r="A91" s="43">
        <v>91</v>
      </c>
      <c r="B91" s="13" t="s">
        <v>289</v>
      </c>
      <c r="C91" s="10" t="s">
        <v>523</v>
      </c>
      <c r="D91" s="56" t="s">
        <v>487</v>
      </c>
      <c r="E91" s="57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543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484</v>
      </c>
      <c r="R91" s="45" t="s">
        <v>454</v>
      </c>
      <c r="S91" s="46" t="s">
        <v>484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56" t="s">
        <v>669</v>
      </c>
      <c r="Y91" s="57" t="s">
        <v>653</v>
      </c>
      <c r="Z91" s="56" t="s">
        <v>669</v>
      </c>
      <c r="AA91" s="57" t="s">
        <v>657</v>
      </c>
      <c r="AB91" s="56" t="s">
        <v>669</v>
      </c>
      <c r="AC91" s="57" t="s">
        <v>660</v>
      </c>
      <c r="AD91" s="56" t="s">
        <v>669</v>
      </c>
      <c r="AE91" s="57" t="s">
        <v>663</v>
      </c>
      <c r="AF91" s="56" t="s">
        <v>669</v>
      </c>
      <c r="AG91" s="57" t="s">
        <v>666</v>
      </c>
    </row>
    <row r="92" spans="1:33" ht="6.6" customHeight="1" x14ac:dyDescent="0.2">
      <c r="A92" s="43">
        <v>92</v>
      </c>
      <c r="B92" s="13" t="s">
        <v>290</v>
      </c>
      <c r="C92" s="10" t="s">
        <v>523</v>
      </c>
      <c r="D92" s="56" t="s">
        <v>487</v>
      </c>
      <c r="E92" s="57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543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484</v>
      </c>
      <c r="R92" s="45" t="s">
        <v>454</v>
      </c>
      <c r="S92" s="46" t="s">
        <v>484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56" t="s">
        <v>669</v>
      </c>
      <c r="Y92" s="57" t="s">
        <v>653</v>
      </c>
      <c r="Z92" s="56" t="s">
        <v>669</v>
      </c>
      <c r="AA92" s="57" t="s">
        <v>657</v>
      </c>
      <c r="AB92" s="56" t="s">
        <v>669</v>
      </c>
      <c r="AC92" s="57" t="s">
        <v>660</v>
      </c>
      <c r="AD92" s="56" t="s">
        <v>669</v>
      </c>
      <c r="AE92" s="57" t="s">
        <v>663</v>
      </c>
      <c r="AF92" s="56" t="s">
        <v>669</v>
      </c>
      <c r="AG92" s="57" t="s">
        <v>666</v>
      </c>
    </row>
    <row r="93" spans="1:33" ht="6.6" customHeight="1" x14ac:dyDescent="0.2">
      <c r="A93" s="43">
        <v>93</v>
      </c>
      <c r="B93" s="12" t="s">
        <v>291</v>
      </c>
      <c r="C93" s="10" t="s">
        <v>523</v>
      </c>
      <c r="D93" s="56" t="s">
        <v>487</v>
      </c>
      <c r="E93" s="57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543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484</v>
      </c>
      <c r="R93" s="45" t="s">
        <v>454</v>
      </c>
      <c r="S93" s="46" t="s">
        <v>484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56" t="s">
        <v>669</v>
      </c>
      <c r="Y93" s="57" t="s">
        <v>653</v>
      </c>
      <c r="Z93" s="56" t="s">
        <v>669</v>
      </c>
      <c r="AA93" s="57" t="s">
        <v>657</v>
      </c>
      <c r="AB93" s="56" t="s">
        <v>669</v>
      </c>
      <c r="AC93" s="57" t="s">
        <v>660</v>
      </c>
      <c r="AD93" s="56" t="s">
        <v>669</v>
      </c>
      <c r="AE93" s="57" t="s">
        <v>663</v>
      </c>
      <c r="AF93" s="56" t="s">
        <v>669</v>
      </c>
      <c r="AG93" s="57" t="s">
        <v>666</v>
      </c>
    </row>
    <row r="94" spans="1:33" ht="6.6" customHeight="1" x14ac:dyDescent="0.2">
      <c r="A94" s="43">
        <v>94</v>
      </c>
      <c r="B94" s="12" t="s">
        <v>292</v>
      </c>
      <c r="C94" s="10" t="s">
        <v>523</v>
      </c>
      <c r="D94" s="56" t="s">
        <v>487</v>
      </c>
      <c r="E94" s="57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543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484</v>
      </c>
      <c r="R94" s="45" t="s">
        <v>454</v>
      </c>
      <c r="S94" s="46" t="s">
        <v>484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56" t="s">
        <v>669</v>
      </c>
      <c r="Y94" s="57" t="s">
        <v>653</v>
      </c>
      <c r="Z94" s="56" t="s">
        <v>669</v>
      </c>
      <c r="AA94" s="57" t="s">
        <v>657</v>
      </c>
      <c r="AB94" s="56" t="s">
        <v>669</v>
      </c>
      <c r="AC94" s="57" t="s">
        <v>660</v>
      </c>
      <c r="AD94" s="56" t="s">
        <v>669</v>
      </c>
      <c r="AE94" s="57" t="s">
        <v>663</v>
      </c>
      <c r="AF94" s="56" t="s">
        <v>669</v>
      </c>
      <c r="AG94" s="57" t="s">
        <v>666</v>
      </c>
    </row>
    <row r="95" spans="1:33" ht="6.6" customHeight="1" x14ac:dyDescent="0.2">
      <c r="A95" s="43">
        <v>95</v>
      </c>
      <c r="B95" s="12" t="s">
        <v>293</v>
      </c>
      <c r="C95" s="10" t="s">
        <v>517</v>
      </c>
      <c r="D95" s="56" t="s">
        <v>487</v>
      </c>
      <c r="E95" s="57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543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484</v>
      </c>
      <c r="R95" s="45" t="s">
        <v>454</v>
      </c>
      <c r="S95" s="46" t="s">
        <v>484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56" t="s">
        <v>669</v>
      </c>
      <c r="Y95" s="57" t="s">
        <v>653</v>
      </c>
      <c r="Z95" s="56" t="s">
        <v>669</v>
      </c>
      <c r="AA95" s="57" t="s">
        <v>657</v>
      </c>
      <c r="AB95" s="56" t="s">
        <v>669</v>
      </c>
      <c r="AC95" s="57" t="s">
        <v>660</v>
      </c>
      <c r="AD95" s="56" t="s">
        <v>669</v>
      </c>
      <c r="AE95" s="57" t="s">
        <v>663</v>
      </c>
      <c r="AF95" s="56" t="s">
        <v>669</v>
      </c>
      <c r="AG95" s="57" t="s">
        <v>666</v>
      </c>
    </row>
    <row r="96" spans="1:33" ht="6.6" customHeight="1" x14ac:dyDescent="0.2">
      <c r="A96" s="43">
        <v>96</v>
      </c>
      <c r="B96" s="12" t="s">
        <v>294</v>
      </c>
      <c r="C96" s="10" t="s">
        <v>517</v>
      </c>
      <c r="D96" s="56" t="s">
        <v>487</v>
      </c>
      <c r="E96" s="57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543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484</v>
      </c>
      <c r="R96" s="45" t="s">
        <v>454</v>
      </c>
      <c r="S96" s="46" t="s">
        <v>484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56" t="s">
        <v>669</v>
      </c>
      <c r="Y96" s="57" t="s">
        <v>653</v>
      </c>
      <c r="Z96" s="56" t="s">
        <v>669</v>
      </c>
      <c r="AA96" s="57" t="s">
        <v>657</v>
      </c>
      <c r="AB96" s="56" t="s">
        <v>669</v>
      </c>
      <c r="AC96" s="57" t="s">
        <v>660</v>
      </c>
      <c r="AD96" s="56" t="s">
        <v>669</v>
      </c>
      <c r="AE96" s="57" t="s">
        <v>663</v>
      </c>
      <c r="AF96" s="56" t="s">
        <v>669</v>
      </c>
      <c r="AG96" s="57" t="s">
        <v>666</v>
      </c>
    </row>
    <row r="97" spans="1:33" ht="6.6" customHeight="1" x14ac:dyDescent="0.2">
      <c r="A97" s="43">
        <v>97</v>
      </c>
      <c r="B97" s="12" t="s">
        <v>295</v>
      </c>
      <c r="C97" s="10" t="s">
        <v>517</v>
      </c>
      <c r="D97" s="56" t="s">
        <v>487</v>
      </c>
      <c r="E97" s="57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543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484</v>
      </c>
      <c r="R97" s="45" t="s">
        <v>454</v>
      </c>
      <c r="S97" s="46" t="s">
        <v>484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56" t="s">
        <v>669</v>
      </c>
      <c r="Y97" s="57" t="s">
        <v>653</v>
      </c>
      <c r="Z97" s="56" t="s">
        <v>669</v>
      </c>
      <c r="AA97" s="57" t="s">
        <v>657</v>
      </c>
      <c r="AB97" s="56" t="s">
        <v>669</v>
      </c>
      <c r="AC97" s="57" t="s">
        <v>660</v>
      </c>
      <c r="AD97" s="56" t="s">
        <v>669</v>
      </c>
      <c r="AE97" s="57" t="s">
        <v>663</v>
      </c>
      <c r="AF97" s="56" t="s">
        <v>669</v>
      </c>
      <c r="AG97" s="57" t="s">
        <v>666</v>
      </c>
    </row>
    <row r="98" spans="1:33" ht="6.6" customHeight="1" x14ac:dyDescent="0.2">
      <c r="A98" s="43">
        <v>98</v>
      </c>
      <c r="B98" s="12" t="s">
        <v>296</v>
      </c>
      <c r="C98" s="10" t="s">
        <v>517</v>
      </c>
      <c r="D98" s="56" t="s">
        <v>487</v>
      </c>
      <c r="E98" s="57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543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484</v>
      </c>
      <c r="R98" s="45" t="s">
        <v>454</v>
      </c>
      <c r="S98" s="46" t="s">
        <v>484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56" t="s">
        <v>669</v>
      </c>
      <c r="Y98" s="57" t="s">
        <v>653</v>
      </c>
      <c r="Z98" s="56" t="s">
        <v>669</v>
      </c>
      <c r="AA98" s="57" t="s">
        <v>657</v>
      </c>
      <c r="AB98" s="56" t="s">
        <v>669</v>
      </c>
      <c r="AC98" s="57" t="s">
        <v>660</v>
      </c>
      <c r="AD98" s="56" t="s">
        <v>669</v>
      </c>
      <c r="AE98" s="57" t="s">
        <v>663</v>
      </c>
      <c r="AF98" s="56" t="s">
        <v>669</v>
      </c>
      <c r="AG98" s="57" t="s">
        <v>666</v>
      </c>
    </row>
    <row r="99" spans="1:33" ht="6.6" customHeight="1" x14ac:dyDescent="0.2">
      <c r="A99" s="43">
        <v>99</v>
      </c>
      <c r="B99" s="12" t="s">
        <v>297</v>
      </c>
      <c r="C99" s="10" t="s">
        <v>517</v>
      </c>
      <c r="D99" s="56" t="s">
        <v>487</v>
      </c>
      <c r="E99" s="57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543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484</v>
      </c>
      <c r="R99" s="45" t="s">
        <v>454</v>
      </c>
      <c r="S99" s="46" t="s">
        <v>484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56" t="s">
        <v>669</v>
      </c>
      <c r="Y99" s="57" t="s">
        <v>653</v>
      </c>
      <c r="Z99" s="56" t="s">
        <v>669</v>
      </c>
      <c r="AA99" s="57" t="s">
        <v>657</v>
      </c>
      <c r="AB99" s="56" t="s">
        <v>669</v>
      </c>
      <c r="AC99" s="57" t="s">
        <v>660</v>
      </c>
      <c r="AD99" s="56" t="s">
        <v>669</v>
      </c>
      <c r="AE99" s="57" t="s">
        <v>663</v>
      </c>
      <c r="AF99" s="56" t="s">
        <v>669</v>
      </c>
      <c r="AG99" s="57" t="s">
        <v>666</v>
      </c>
    </row>
    <row r="100" spans="1:33" ht="6.6" customHeight="1" x14ac:dyDescent="0.2">
      <c r="A100" s="43">
        <v>100</v>
      </c>
      <c r="B100" s="12" t="s">
        <v>298</v>
      </c>
      <c r="C100" s="10" t="s">
        <v>517</v>
      </c>
      <c r="D100" s="56" t="s">
        <v>487</v>
      </c>
      <c r="E100" s="57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543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484</v>
      </c>
      <c r="R100" s="45" t="s">
        <v>454</v>
      </c>
      <c r="S100" s="46" t="s">
        <v>484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56" t="s">
        <v>669</v>
      </c>
      <c r="Y100" s="57" t="s">
        <v>653</v>
      </c>
      <c r="Z100" s="56" t="s">
        <v>669</v>
      </c>
      <c r="AA100" s="57" t="s">
        <v>657</v>
      </c>
      <c r="AB100" s="56" t="s">
        <v>669</v>
      </c>
      <c r="AC100" s="57" t="s">
        <v>660</v>
      </c>
      <c r="AD100" s="56" t="s">
        <v>669</v>
      </c>
      <c r="AE100" s="57" t="s">
        <v>663</v>
      </c>
      <c r="AF100" s="56" t="s">
        <v>669</v>
      </c>
      <c r="AG100" s="57" t="s">
        <v>666</v>
      </c>
    </row>
    <row r="101" spans="1:33" ht="6.6" customHeight="1" x14ac:dyDescent="0.2">
      <c r="A101" s="43">
        <v>101</v>
      </c>
      <c r="B101" s="12" t="s">
        <v>299</v>
      </c>
      <c r="C101" s="10" t="s">
        <v>517</v>
      </c>
      <c r="D101" s="56" t="s">
        <v>487</v>
      </c>
      <c r="E101" s="57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543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484</v>
      </c>
      <c r="R101" s="45" t="s">
        <v>454</v>
      </c>
      <c r="S101" s="46" t="s">
        <v>484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56" t="s">
        <v>669</v>
      </c>
      <c r="Y101" s="57" t="s">
        <v>653</v>
      </c>
      <c r="Z101" s="56" t="s">
        <v>669</v>
      </c>
      <c r="AA101" s="57" t="s">
        <v>657</v>
      </c>
      <c r="AB101" s="56" t="s">
        <v>669</v>
      </c>
      <c r="AC101" s="57" t="s">
        <v>660</v>
      </c>
      <c r="AD101" s="56" t="s">
        <v>669</v>
      </c>
      <c r="AE101" s="57" t="s">
        <v>663</v>
      </c>
      <c r="AF101" s="56" t="s">
        <v>669</v>
      </c>
      <c r="AG101" s="57" t="s">
        <v>666</v>
      </c>
    </row>
    <row r="102" spans="1:33" ht="6.6" customHeight="1" x14ac:dyDescent="0.2">
      <c r="A102" s="43">
        <v>102</v>
      </c>
      <c r="B102" s="13" t="s">
        <v>300</v>
      </c>
      <c r="C102" s="10" t="s">
        <v>517</v>
      </c>
      <c r="D102" s="56" t="s">
        <v>487</v>
      </c>
      <c r="E102" s="57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543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484</v>
      </c>
      <c r="R102" s="45" t="s">
        <v>454</v>
      </c>
      <c r="S102" s="46" t="s">
        <v>484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56" t="s">
        <v>669</v>
      </c>
      <c r="Y102" s="57" t="s">
        <v>653</v>
      </c>
      <c r="Z102" s="56" t="s">
        <v>669</v>
      </c>
      <c r="AA102" s="57" t="s">
        <v>657</v>
      </c>
      <c r="AB102" s="56" t="s">
        <v>669</v>
      </c>
      <c r="AC102" s="57" t="s">
        <v>660</v>
      </c>
      <c r="AD102" s="56" t="s">
        <v>669</v>
      </c>
      <c r="AE102" s="57" t="s">
        <v>663</v>
      </c>
      <c r="AF102" s="56" t="s">
        <v>669</v>
      </c>
      <c r="AG102" s="57" t="s">
        <v>666</v>
      </c>
    </row>
    <row r="103" spans="1:33" ht="6.6" customHeight="1" x14ac:dyDescent="0.2">
      <c r="A103" s="43">
        <v>103</v>
      </c>
      <c r="B103" s="13" t="s">
        <v>301</v>
      </c>
      <c r="C103" s="10" t="s">
        <v>517</v>
      </c>
      <c r="D103" s="56" t="s">
        <v>487</v>
      </c>
      <c r="E103" s="57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543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484</v>
      </c>
      <c r="R103" s="45" t="s">
        <v>454</v>
      </c>
      <c r="S103" s="46" t="s">
        <v>484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56" t="s">
        <v>669</v>
      </c>
      <c r="Y103" s="57" t="s">
        <v>653</v>
      </c>
      <c r="Z103" s="56" t="s">
        <v>669</v>
      </c>
      <c r="AA103" s="57" t="s">
        <v>657</v>
      </c>
      <c r="AB103" s="56" t="s">
        <v>669</v>
      </c>
      <c r="AC103" s="57" t="s">
        <v>660</v>
      </c>
      <c r="AD103" s="56" t="s">
        <v>669</v>
      </c>
      <c r="AE103" s="57" t="s">
        <v>663</v>
      </c>
      <c r="AF103" s="56" t="s">
        <v>669</v>
      </c>
      <c r="AG103" s="57" t="s">
        <v>666</v>
      </c>
    </row>
    <row r="104" spans="1:33" ht="6.6" customHeight="1" x14ac:dyDescent="0.2">
      <c r="A104" s="43">
        <v>104</v>
      </c>
      <c r="B104" s="7" t="s">
        <v>302</v>
      </c>
      <c r="C104" s="10" t="s">
        <v>519</v>
      </c>
      <c r="D104" s="56" t="s">
        <v>487</v>
      </c>
      <c r="E104" s="57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543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484</v>
      </c>
      <c r="R104" s="45" t="s">
        <v>454</v>
      </c>
      <c r="S104" s="46" t="s">
        <v>484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56" t="s">
        <v>669</v>
      </c>
      <c r="Y104" s="57" t="s">
        <v>653</v>
      </c>
      <c r="Z104" s="56" t="s">
        <v>669</v>
      </c>
      <c r="AA104" s="57" t="s">
        <v>657</v>
      </c>
      <c r="AB104" s="56" t="s">
        <v>669</v>
      </c>
      <c r="AC104" s="57" t="s">
        <v>660</v>
      </c>
      <c r="AD104" s="56" t="s">
        <v>669</v>
      </c>
      <c r="AE104" s="57" t="s">
        <v>663</v>
      </c>
      <c r="AF104" s="56" t="s">
        <v>669</v>
      </c>
      <c r="AG104" s="57" t="s">
        <v>666</v>
      </c>
    </row>
    <row r="105" spans="1:33" ht="6.6" customHeight="1" x14ac:dyDescent="0.2">
      <c r="A105" s="43">
        <v>105</v>
      </c>
      <c r="B105" s="12" t="s">
        <v>303</v>
      </c>
      <c r="C105" s="10" t="s">
        <v>519</v>
      </c>
      <c r="D105" s="56" t="s">
        <v>487</v>
      </c>
      <c r="E105" s="57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543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484</v>
      </c>
      <c r="R105" s="45" t="s">
        <v>454</v>
      </c>
      <c r="S105" s="46" t="s">
        <v>484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56" t="s">
        <v>669</v>
      </c>
      <c r="Y105" s="57" t="s">
        <v>653</v>
      </c>
      <c r="Z105" s="56" t="s">
        <v>669</v>
      </c>
      <c r="AA105" s="57" t="s">
        <v>657</v>
      </c>
      <c r="AB105" s="56" t="s">
        <v>669</v>
      </c>
      <c r="AC105" s="57" t="s">
        <v>660</v>
      </c>
      <c r="AD105" s="56" t="s">
        <v>669</v>
      </c>
      <c r="AE105" s="57" t="s">
        <v>663</v>
      </c>
      <c r="AF105" s="56" t="s">
        <v>669</v>
      </c>
      <c r="AG105" s="57" t="s">
        <v>666</v>
      </c>
    </row>
    <row r="106" spans="1:33" ht="6.6" customHeight="1" x14ac:dyDescent="0.2">
      <c r="A106" s="43">
        <v>106</v>
      </c>
      <c r="B106" s="12" t="s">
        <v>304</v>
      </c>
      <c r="C106" s="10" t="s">
        <v>519</v>
      </c>
      <c r="D106" s="56" t="s">
        <v>487</v>
      </c>
      <c r="E106" s="57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543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484</v>
      </c>
      <c r="R106" s="45" t="s">
        <v>454</v>
      </c>
      <c r="S106" s="46" t="s">
        <v>484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56" t="s">
        <v>669</v>
      </c>
      <c r="Y106" s="57" t="s">
        <v>653</v>
      </c>
      <c r="Z106" s="56" t="s">
        <v>669</v>
      </c>
      <c r="AA106" s="57" t="s">
        <v>657</v>
      </c>
      <c r="AB106" s="56" t="s">
        <v>669</v>
      </c>
      <c r="AC106" s="57" t="s">
        <v>660</v>
      </c>
      <c r="AD106" s="56" t="s">
        <v>669</v>
      </c>
      <c r="AE106" s="57" t="s">
        <v>663</v>
      </c>
      <c r="AF106" s="56" t="s">
        <v>669</v>
      </c>
      <c r="AG106" s="57" t="s">
        <v>666</v>
      </c>
    </row>
    <row r="107" spans="1:33" ht="6.6" customHeight="1" x14ac:dyDescent="0.2">
      <c r="A107" s="43">
        <v>107</v>
      </c>
      <c r="B107" s="12" t="s">
        <v>305</v>
      </c>
      <c r="C107" s="10" t="s">
        <v>519</v>
      </c>
      <c r="D107" s="56" t="s">
        <v>487</v>
      </c>
      <c r="E107" s="57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543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484</v>
      </c>
      <c r="R107" s="45" t="s">
        <v>454</v>
      </c>
      <c r="S107" s="46" t="s">
        <v>484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56" t="s">
        <v>669</v>
      </c>
      <c r="Y107" s="57" t="s">
        <v>653</v>
      </c>
      <c r="Z107" s="56" t="s">
        <v>669</v>
      </c>
      <c r="AA107" s="57" t="s">
        <v>657</v>
      </c>
      <c r="AB107" s="56" t="s">
        <v>669</v>
      </c>
      <c r="AC107" s="57" t="s">
        <v>660</v>
      </c>
      <c r="AD107" s="56" t="s">
        <v>669</v>
      </c>
      <c r="AE107" s="57" t="s">
        <v>663</v>
      </c>
      <c r="AF107" s="56" t="s">
        <v>669</v>
      </c>
      <c r="AG107" s="57" t="s">
        <v>666</v>
      </c>
    </row>
    <row r="108" spans="1:33" ht="6.6" customHeight="1" x14ac:dyDescent="0.2">
      <c r="A108" s="43">
        <v>108</v>
      </c>
      <c r="B108" s="7" t="s">
        <v>306</v>
      </c>
      <c r="C108" s="10" t="s">
        <v>515</v>
      </c>
      <c r="D108" s="56" t="s">
        <v>487</v>
      </c>
      <c r="E108" s="57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543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484</v>
      </c>
      <c r="R108" s="45" t="s">
        <v>454</v>
      </c>
      <c r="S108" s="46" t="s">
        <v>484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56" t="s">
        <v>669</v>
      </c>
      <c r="Y108" s="57" t="s">
        <v>653</v>
      </c>
      <c r="Z108" s="56" t="s">
        <v>669</v>
      </c>
      <c r="AA108" s="57" t="s">
        <v>657</v>
      </c>
      <c r="AB108" s="56" t="s">
        <v>669</v>
      </c>
      <c r="AC108" s="57" t="s">
        <v>660</v>
      </c>
      <c r="AD108" s="56" t="s">
        <v>669</v>
      </c>
      <c r="AE108" s="57" t="s">
        <v>663</v>
      </c>
      <c r="AF108" s="56" t="s">
        <v>669</v>
      </c>
      <c r="AG108" s="57" t="s">
        <v>666</v>
      </c>
    </row>
    <row r="109" spans="1:33" ht="6.6" customHeight="1" x14ac:dyDescent="0.2">
      <c r="A109" s="43">
        <v>109</v>
      </c>
      <c r="B109" s="12" t="s">
        <v>307</v>
      </c>
      <c r="C109" s="10" t="s">
        <v>515</v>
      </c>
      <c r="D109" s="56" t="s">
        <v>487</v>
      </c>
      <c r="E109" s="57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543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484</v>
      </c>
      <c r="R109" s="45" t="s">
        <v>454</v>
      </c>
      <c r="S109" s="46" t="s">
        <v>484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56" t="s">
        <v>669</v>
      </c>
      <c r="Y109" s="57" t="s">
        <v>653</v>
      </c>
      <c r="Z109" s="56" t="s">
        <v>669</v>
      </c>
      <c r="AA109" s="57" t="s">
        <v>657</v>
      </c>
      <c r="AB109" s="56" t="s">
        <v>669</v>
      </c>
      <c r="AC109" s="57" t="s">
        <v>660</v>
      </c>
      <c r="AD109" s="56" t="s">
        <v>669</v>
      </c>
      <c r="AE109" s="57" t="s">
        <v>663</v>
      </c>
      <c r="AF109" s="56" t="s">
        <v>669</v>
      </c>
      <c r="AG109" s="57" t="s">
        <v>666</v>
      </c>
    </row>
    <row r="110" spans="1:33" ht="6.6" customHeight="1" x14ac:dyDescent="0.2">
      <c r="A110" s="43">
        <v>110</v>
      </c>
      <c r="B110" s="12" t="s">
        <v>308</v>
      </c>
      <c r="C110" s="10" t="s">
        <v>515</v>
      </c>
      <c r="D110" s="56" t="s">
        <v>487</v>
      </c>
      <c r="E110" s="57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543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484</v>
      </c>
      <c r="R110" s="45" t="s">
        <v>454</v>
      </c>
      <c r="S110" s="46" t="s">
        <v>484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56" t="s">
        <v>669</v>
      </c>
      <c r="Y110" s="57" t="s">
        <v>653</v>
      </c>
      <c r="Z110" s="56" t="s">
        <v>669</v>
      </c>
      <c r="AA110" s="57" t="s">
        <v>657</v>
      </c>
      <c r="AB110" s="56" t="s">
        <v>669</v>
      </c>
      <c r="AC110" s="57" t="s">
        <v>660</v>
      </c>
      <c r="AD110" s="56" t="s">
        <v>669</v>
      </c>
      <c r="AE110" s="57" t="s">
        <v>663</v>
      </c>
      <c r="AF110" s="56" t="s">
        <v>669</v>
      </c>
      <c r="AG110" s="57" t="s">
        <v>666</v>
      </c>
    </row>
    <row r="111" spans="1:33" ht="6.6" customHeight="1" x14ac:dyDescent="0.2">
      <c r="A111" s="43">
        <v>111</v>
      </c>
      <c r="B111" s="13" t="s">
        <v>309</v>
      </c>
      <c r="C111" s="10" t="s">
        <v>515</v>
      </c>
      <c r="D111" s="56" t="s">
        <v>487</v>
      </c>
      <c r="E111" s="57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543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484</v>
      </c>
      <c r="R111" s="45" t="s">
        <v>454</v>
      </c>
      <c r="S111" s="46" t="s">
        <v>484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56" t="s">
        <v>669</v>
      </c>
      <c r="Y111" s="57" t="s">
        <v>653</v>
      </c>
      <c r="Z111" s="56" t="s">
        <v>669</v>
      </c>
      <c r="AA111" s="57" t="s">
        <v>657</v>
      </c>
      <c r="AB111" s="56" t="s">
        <v>669</v>
      </c>
      <c r="AC111" s="57" t="s">
        <v>660</v>
      </c>
      <c r="AD111" s="56" t="s">
        <v>669</v>
      </c>
      <c r="AE111" s="57" t="s">
        <v>663</v>
      </c>
      <c r="AF111" s="56" t="s">
        <v>669</v>
      </c>
      <c r="AG111" s="57" t="s">
        <v>666</v>
      </c>
    </row>
    <row r="112" spans="1:33" ht="6.6" customHeight="1" x14ac:dyDescent="0.2">
      <c r="A112" s="43">
        <v>112</v>
      </c>
      <c r="B112" s="12" t="s">
        <v>310</v>
      </c>
      <c r="C112" s="10" t="s">
        <v>515</v>
      </c>
      <c r="D112" s="56" t="s">
        <v>487</v>
      </c>
      <c r="E112" s="57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543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484</v>
      </c>
      <c r="R112" s="45" t="s">
        <v>454</v>
      </c>
      <c r="S112" s="46" t="s">
        <v>484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56" t="s">
        <v>669</v>
      </c>
      <c r="Y112" s="57" t="s">
        <v>653</v>
      </c>
      <c r="Z112" s="56" t="s">
        <v>669</v>
      </c>
      <c r="AA112" s="57" t="s">
        <v>657</v>
      </c>
      <c r="AB112" s="56" t="s">
        <v>669</v>
      </c>
      <c r="AC112" s="57" t="s">
        <v>660</v>
      </c>
      <c r="AD112" s="56" t="s">
        <v>669</v>
      </c>
      <c r="AE112" s="57" t="s">
        <v>663</v>
      </c>
      <c r="AF112" s="56" t="s">
        <v>669</v>
      </c>
      <c r="AG112" s="57" t="s">
        <v>666</v>
      </c>
    </row>
    <row r="113" spans="1:33" ht="6.6" customHeight="1" x14ac:dyDescent="0.2">
      <c r="A113" s="43">
        <v>113</v>
      </c>
      <c r="B113" s="12" t="s">
        <v>311</v>
      </c>
      <c r="C113" s="10" t="s">
        <v>515</v>
      </c>
      <c r="D113" s="56" t="s">
        <v>487</v>
      </c>
      <c r="E113" s="57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543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484</v>
      </c>
      <c r="R113" s="45" t="s">
        <v>454</v>
      </c>
      <c r="S113" s="46" t="s">
        <v>484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56" t="s">
        <v>669</v>
      </c>
      <c r="Y113" s="57" t="s">
        <v>653</v>
      </c>
      <c r="Z113" s="56" t="s">
        <v>669</v>
      </c>
      <c r="AA113" s="57" t="s">
        <v>657</v>
      </c>
      <c r="AB113" s="56" t="s">
        <v>669</v>
      </c>
      <c r="AC113" s="57" t="s">
        <v>660</v>
      </c>
      <c r="AD113" s="56" t="s">
        <v>669</v>
      </c>
      <c r="AE113" s="57" t="s">
        <v>663</v>
      </c>
      <c r="AF113" s="56" t="s">
        <v>669</v>
      </c>
      <c r="AG113" s="57" t="s">
        <v>666</v>
      </c>
    </row>
    <row r="114" spans="1:33" ht="6.6" customHeight="1" x14ac:dyDescent="0.2">
      <c r="A114" s="43">
        <v>114</v>
      </c>
      <c r="B114" s="12" t="s">
        <v>312</v>
      </c>
      <c r="C114" s="10" t="s">
        <v>515</v>
      </c>
      <c r="D114" s="56" t="s">
        <v>487</v>
      </c>
      <c r="E114" s="57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543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484</v>
      </c>
      <c r="R114" s="45" t="s">
        <v>454</v>
      </c>
      <c r="S114" s="46" t="s">
        <v>484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56" t="s">
        <v>669</v>
      </c>
      <c r="Y114" s="57" t="s">
        <v>653</v>
      </c>
      <c r="Z114" s="56" t="s">
        <v>669</v>
      </c>
      <c r="AA114" s="57" t="s">
        <v>657</v>
      </c>
      <c r="AB114" s="56" t="s">
        <v>669</v>
      </c>
      <c r="AC114" s="57" t="s">
        <v>660</v>
      </c>
      <c r="AD114" s="56" t="s">
        <v>669</v>
      </c>
      <c r="AE114" s="57" t="s">
        <v>663</v>
      </c>
      <c r="AF114" s="56" t="s">
        <v>669</v>
      </c>
      <c r="AG114" s="57" t="s">
        <v>666</v>
      </c>
    </row>
    <row r="115" spans="1:33" ht="6.6" customHeight="1" x14ac:dyDescent="0.2">
      <c r="A115" s="43">
        <v>115</v>
      </c>
      <c r="B115" s="12" t="s">
        <v>313</v>
      </c>
      <c r="C115" s="10" t="s">
        <v>515</v>
      </c>
      <c r="D115" s="56" t="s">
        <v>487</v>
      </c>
      <c r="E115" s="57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543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484</v>
      </c>
      <c r="R115" s="45" t="s">
        <v>454</v>
      </c>
      <c r="S115" s="46" t="s">
        <v>484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56" t="s">
        <v>669</v>
      </c>
      <c r="Y115" s="57" t="s">
        <v>653</v>
      </c>
      <c r="Z115" s="56" t="s">
        <v>669</v>
      </c>
      <c r="AA115" s="57" t="s">
        <v>657</v>
      </c>
      <c r="AB115" s="56" t="s">
        <v>669</v>
      </c>
      <c r="AC115" s="57" t="s">
        <v>660</v>
      </c>
      <c r="AD115" s="56" t="s">
        <v>669</v>
      </c>
      <c r="AE115" s="57" t="s">
        <v>663</v>
      </c>
      <c r="AF115" s="56" t="s">
        <v>669</v>
      </c>
      <c r="AG115" s="57" t="s">
        <v>666</v>
      </c>
    </row>
    <row r="116" spans="1:33" ht="6.6" customHeight="1" x14ac:dyDescent="0.2">
      <c r="A116" s="43">
        <v>116</v>
      </c>
      <c r="B116" s="12" t="s">
        <v>314</v>
      </c>
      <c r="C116" s="10" t="s">
        <v>515</v>
      </c>
      <c r="D116" s="56" t="s">
        <v>487</v>
      </c>
      <c r="E116" s="57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543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484</v>
      </c>
      <c r="R116" s="45" t="s">
        <v>454</v>
      </c>
      <c r="S116" s="46" t="s">
        <v>484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56" t="s">
        <v>669</v>
      </c>
      <c r="Y116" s="57" t="s">
        <v>653</v>
      </c>
      <c r="Z116" s="56" t="s">
        <v>669</v>
      </c>
      <c r="AA116" s="57" t="s">
        <v>657</v>
      </c>
      <c r="AB116" s="56" t="s">
        <v>669</v>
      </c>
      <c r="AC116" s="57" t="s">
        <v>660</v>
      </c>
      <c r="AD116" s="56" t="s">
        <v>669</v>
      </c>
      <c r="AE116" s="57" t="s">
        <v>663</v>
      </c>
      <c r="AF116" s="56" t="s">
        <v>669</v>
      </c>
      <c r="AG116" s="57" t="s">
        <v>666</v>
      </c>
    </row>
    <row r="117" spans="1:33" ht="6.6" customHeight="1" x14ac:dyDescent="0.2">
      <c r="A117" s="43">
        <v>117</v>
      </c>
      <c r="B117" s="12" t="s">
        <v>315</v>
      </c>
      <c r="C117" s="10" t="s">
        <v>515</v>
      </c>
      <c r="D117" s="56" t="s">
        <v>487</v>
      </c>
      <c r="E117" s="57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543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484</v>
      </c>
      <c r="R117" s="45" t="s">
        <v>454</v>
      </c>
      <c r="S117" s="46" t="s">
        <v>484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56" t="s">
        <v>669</v>
      </c>
      <c r="Y117" s="57" t="s">
        <v>653</v>
      </c>
      <c r="Z117" s="56" t="s">
        <v>669</v>
      </c>
      <c r="AA117" s="57" t="s">
        <v>657</v>
      </c>
      <c r="AB117" s="56" t="s">
        <v>669</v>
      </c>
      <c r="AC117" s="57" t="s">
        <v>660</v>
      </c>
      <c r="AD117" s="56" t="s">
        <v>669</v>
      </c>
      <c r="AE117" s="57" t="s">
        <v>663</v>
      </c>
      <c r="AF117" s="56" t="s">
        <v>669</v>
      </c>
      <c r="AG117" s="57" t="s">
        <v>666</v>
      </c>
    </row>
    <row r="118" spans="1:33" ht="6.6" customHeight="1" x14ac:dyDescent="0.2">
      <c r="A118" s="43">
        <v>118</v>
      </c>
      <c r="B118" s="12" t="s">
        <v>316</v>
      </c>
      <c r="C118" s="10" t="s">
        <v>515</v>
      </c>
      <c r="D118" s="56" t="s">
        <v>487</v>
      </c>
      <c r="E118" s="57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543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484</v>
      </c>
      <c r="R118" s="45" t="s">
        <v>454</v>
      </c>
      <c r="S118" s="46" t="s">
        <v>484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56" t="s">
        <v>669</v>
      </c>
      <c r="Y118" s="57" t="s">
        <v>653</v>
      </c>
      <c r="Z118" s="56" t="s">
        <v>669</v>
      </c>
      <c r="AA118" s="57" t="s">
        <v>657</v>
      </c>
      <c r="AB118" s="56" t="s">
        <v>669</v>
      </c>
      <c r="AC118" s="57" t="s">
        <v>660</v>
      </c>
      <c r="AD118" s="56" t="s">
        <v>669</v>
      </c>
      <c r="AE118" s="57" t="s">
        <v>663</v>
      </c>
      <c r="AF118" s="56" t="s">
        <v>669</v>
      </c>
      <c r="AG118" s="57" t="s">
        <v>666</v>
      </c>
    </row>
    <row r="119" spans="1:33" ht="6.6" customHeight="1" x14ac:dyDescent="0.2">
      <c r="A119" s="43">
        <v>119</v>
      </c>
      <c r="B119" s="12" t="s">
        <v>317</v>
      </c>
      <c r="C119" s="10" t="s">
        <v>515</v>
      </c>
      <c r="D119" s="56" t="s">
        <v>487</v>
      </c>
      <c r="E119" s="57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543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484</v>
      </c>
      <c r="R119" s="45" t="s">
        <v>454</v>
      </c>
      <c r="S119" s="46" t="s">
        <v>484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56" t="s">
        <v>669</v>
      </c>
      <c r="Y119" s="57" t="s">
        <v>653</v>
      </c>
      <c r="Z119" s="56" t="s">
        <v>669</v>
      </c>
      <c r="AA119" s="57" t="s">
        <v>657</v>
      </c>
      <c r="AB119" s="56" t="s">
        <v>669</v>
      </c>
      <c r="AC119" s="57" t="s">
        <v>660</v>
      </c>
      <c r="AD119" s="56" t="s">
        <v>669</v>
      </c>
      <c r="AE119" s="57" t="s">
        <v>663</v>
      </c>
      <c r="AF119" s="56" t="s">
        <v>669</v>
      </c>
      <c r="AG119" s="57" t="s">
        <v>666</v>
      </c>
    </row>
    <row r="120" spans="1:33" ht="6.6" customHeight="1" x14ac:dyDescent="0.2">
      <c r="A120" s="43">
        <v>120</v>
      </c>
      <c r="B120" s="12" t="s">
        <v>318</v>
      </c>
      <c r="C120" s="10" t="s">
        <v>515</v>
      </c>
      <c r="D120" s="56" t="s">
        <v>487</v>
      </c>
      <c r="E120" s="57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543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484</v>
      </c>
      <c r="R120" s="45" t="s">
        <v>454</v>
      </c>
      <c r="S120" s="46" t="s">
        <v>484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56" t="s">
        <v>669</v>
      </c>
      <c r="Y120" s="57" t="s">
        <v>653</v>
      </c>
      <c r="Z120" s="56" t="s">
        <v>669</v>
      </c>
      <c r="AA120" s="57" t="s">
        <v>657</v>
      </c>
      <c r="AB120" s="56" t="s">
        <v>669</v>
      </c>
      <c r="AC120" s="57" t="s">
        <v>660</v>
      </c>
      <c r="AD120" s="56" t="s">
        <v>669</v>
      </c>
      <c r="AE120" s="57" t="s">
        <v>663</v>
      </c>
      <c r="AF120" s="56" t="s">
        <v>669</v>
      </c>
      <c r="AG120" s="57" t="s">
        <v>666</v>
      </c>
    </row>
    <row r="121" spans="1:33" ht="6.6" customHeight="1" x14ac:dyDescent="0.2">
      <c r="A121" s="43">
        <v>121</v>
      </c>
      <c r="B121" s="12" t="s">
        <v>319</v>
      </c>
      <c r="C121" s="10" t="s">
        <v>515</v>
      </c>
      <c r="D121" s="56" t="s">
        <v>487</v>
      </c>
      <c r="E121" s="57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543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484</v>
      </c>
      <c r="R121" s="45" t="s">
        <v>454</v>
      </c>
      <c r="S121" s="46" t="s">
        <v>484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56" t="s">
        <v>669</v>
      </c>
      <c r="Y121" s="57" t="s">
        <v>653</v>
      </c>
      <c r="Z121" s="56" t="s">
        <v>669</v>
      </c>
      <c r="AA121" s="57" t="s">
        <v>657</v>
      </c>
      <c r="AB121" s="56" t="s">
        <v>669</v>
      </c>
      <c r="AC121" s="57" t="s">
        <v>660</v>
      </c>
      <c r="AD121" s="56" t="s">
        <v>669</v>
      </c>
      <c r="AE121" s="57" t="s">
        <v>663</v>
      </c>
      <c r="AF121" s="56" t="s">
        <v>669</v>
      </c>
      <c r="AG121" s="57" t="s">
        <v>666</v>
      </c>
    </row>
    <row r="122" spans="1:33" ht="6.6" customHeight="1" x14ac:dyDescent="0.2">
      <c r="A122" s="43">
        <v>122</v>
      </c>
      <c r="B122" s="12" t="s">
        <v>320</v>
      </c>
      <c r="C122" s="10" t="s">
        <v>515</v>
      </c>
      <c r="D122" s="56" t="s">
        <v>487</v>
      </c>
      <c r="E122" s="57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543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484</v>
      </c>
      <c r="R122" s="45" t="s">
        <v>454</v>
      </c>
      <c r="S122" s="46" t="s">
        <v>484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56" t="s">
        <v>669</v>
      </c>
      <c r="Y122" s="57" t="s">
        <v>653</v>
      </c>
      <c r="Z122" s="56" t="s">
        <v>669</v>
      </c>
      <c r="AA122" s="57" t="s">
        <v>657</v>
      </c>
      <c r="AB122" s="56" t="s">
        <v>669</v>
      </c>
      <c r="AC122" s="57" t="s">
        <v>660</v>
      </c>
      <c r="AD122" s="56" t="s">
        <v>669</v>
      </c>
      <c r="AE122" s="57" t="s">
        <v>663</v>
      </c>
      <c r="AF122" s="56" t="s">
        <v>669</v>
      </c>
      <c r="AG122" s="57" t="s">
        <v>666</v>
      </c>
    </row>
    <row r="123" spans="1:33" ht="6.6" customHeight="1" x14ac:dyDescent="0.2">
      <c r="A123" s="43">
        <v>123</v>
      </c>
      <c r="B123" s="13" t="s">
        <v>321</v>
      </c>
      <c r="C123" s="10" t="s">
        <v>515</v>
      </c>
      <c r="D123" s="56" t="s">
        <v>487</v>
      </c>
      <c r="E123" s="57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543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484</v>
      </c>
      <c r="R123" s="45" t="s">
        <v>454</v>
      </c>
      <c r="S123" s="46" t="s">
        <v>484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56" t="s">
        <v>669</v>
      </c>
      <c r="Y123" s="57" t="s">
        <v>653</v>
      </c>
      <c r="Z123" s="56" t="s">
        <v>669</v>
      </c>
      <c r="AA123" s="57" t="s">
        <v>657</v>
      </c>
      <c r="AB123" s="56" t="s">
        <v>669</v>
      </c>
      <c r="AC123" s="57" t="s">
        <v>660</v>
      </c>
      <c r="AD123" s="56" t="s">
        <v>669</v>
      </c>
      <c r="AE123" s="57" t="s">
        <v>663</v>
      </c>
      <c r="AF123" s="56" t="s">
        <v>669</v>
      </c>
      <c r="AG123" s="57" t="s">
        <v>666</v>
      </c>
    </row>
    <row r="124" spans="1:33" ht="6.6" customHeight="1" x14ac:dyDescent="0.2">
      <c r="A124" s="43">
        <v>124</v>
      </c>
      <c r="B124" s="14" t="s">
        <v>457</v>
      </c>
      <c r="C124" s="10" t="s">
        <v>515</v>
      </c>
      <c r="D124" s="56" t="s">
        <v>487</v>
      </c>
      <c r="E124" s="57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543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484</v>
      </c>
      <c r="R124" s="45" t="s">
        <v>454</v>
      </c>
      <c r="S124" s="46" t="s">
        <v>484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56" t="s">
        <v>669</v>
      </c>
      <c r="Y124" s="57" t="s">
        <v>653</v>
      </c>
      <c r="Z124" s="56" t="s">
        <v>669</v>
      </c>
      <c r="AA124" s="57" t="s">
        <v>657</v>
      </c>
      <c r="AB124" s="56" t="s">
        <v>669</v>
      </c>
      <c r="AC124" s="57" t="s">
        <v>660</v>
      </c>
      <c r="AD124" s="56" t="s">
        <v>669</v>
      </c>
      <c r="AE124" s="57" t="s">
        <v>663</v>
      </c>
      <c r="AF124" s="56" t="s">
        <v>669</v>
      </c>
      <c r="AG124" s="57" t="s">
        <v>666</v>
      </c>
    </row>
    <row r="125" spans="1:33" ht="6.6" customHeight="1" x14ac:dyDescent="0.2">
      <c r="A125" s="43">
        <v>125</v>
      </c>
      <c r="B125" s="14" t="s">
        <v>470</v>
      </c>
      <c r="C125" s="10" t="s">
        <v>515</v>
      </c>
      <c r="D125" s="56" t="s">
        <v>487</v>
      </c>
      <c r="E125" s="57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543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484</v>
      </c>
      <c r="R125" s="45" t="s">
        <v>454</v>
      </c>
      <c r="S125" s="46" t="s">
        <v>484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56" t="s">
        <v>669</v>
      </c>
      <c r="Y125" s="57" t="s">
        <v>653</v>
      </c>
      <c r="Z125" s="56" t="s">
        <v>669</v>
      </c>
      <c r="AA125" s="57" t="s">
        <v>657</v>
      </c>
      <c r="AB125" s="56" t="s">
        <v>669</v>
      </c>
      <c r="AC125" s="57" t="s">
        <v>660</v>
      </c>
      <c r="AD125" s="56" t="s">
        <v>669</v>
      </c>
      <c r="AE125" s="57" t="s">
        <v>663</v>
      </c>
      <c r="AF125" s="56" t="s">
        <v>669</v>
      </c>
      <c r="AG125" s="57" t="s">
        <v>666</v>
      </c>
    </row>
    <row r="126" spans="1:33" ht="6.6" customHeight="1" x14ac:dyDescent="0.2">
      <c r="A126" s="43">
        <v>126</v>
      </c>
      <c r="B126" s="12" t="s">
        <v>322</v>
      </c>
      <c r="C126" s="10" t="s">
        <v>515</v>
      </c>
      <c r="D126" s="56" t="s">
        <v>487</v>
      </c>
      <c r="E126" s="57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543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484</v>
      </c>
      <c r="R126" s="45" t="s">
        <v>454</v>
      </c>
      <c r="S126" s="46" t="s">
        <v>484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56" t="s">
        <v>669</v>
      </c>
      <c r="Y126" s="57" t="s">
        <v>653</v>
      </c>
      <c r="Z126" s="56" t="s">
        <v>669</v>
      </c>
      <c r="AA126" s="57" t="s">
        <v>657</v>
      </c>
      <c r="AB126" s="56" t="s">
        <v>669</v>
      </c>
      <c r="AC126" s="57" t="s">
        <v>660</v>
      </c>
      <c r="AD126" s="56" t="s">
        <v>669</v>
      </c>
      <c r="AE126" s="57" t="s">
        <v>663</v>
      </c>
      <c r="AF126" s="56" t="s">
        <v>669</v>
      </c>
      <c r="AG126" s="57" t="s">
        <v>666</v>
      </c>
    </row>
    <row r="127" spans="1:33" ht="6.6" customHeight="1" x14ac:dyDescent="0.2">
      <c r="A127" s="43">
        <v>127</v>
      </c>
      <c r="B127" s="7" t="s">
        <v>323</v>
      </c>
      <c r="C127" s="10" t="s">
        <v>524</v>
      </c>
      <c r="D127" s="56" t="s">
        <v>487</v>
      </c>
      <c r="E127" s="57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543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484</v>
      </c>
      <c r="R127" s="45" t="s">
        <v>454</v>
      </c>
      <c r="S127" s="46" t="s">
        <v>484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56" t="s">
        <v>669</v>
      </c>
      <c r="Y127" s="57" t="s">
        <v>653</v>
      </c>
      <c r="Z127" s="56" t="s">
        <v>669</v>
      </c>
      <c r="AA127" s="57" t="s">
        <v>657</v>
      </c>
      <c r="AB127" s="56" t="s">
        <v>669</v>
      </c>
      <c r="AC127" s="57" t="s">
        <v>660</v>
      </c>
      <c r="AD127" s="56" t="s">
        <v>669</v>
      </c>
      <c r="AE127" s="57" t="s">
        <v>663</v>
      </c>
      <c r="AF127" s="56" t="s">
        <v>669</v>
      </c>
      <c r="AG127" s="57" t="s">
        <v>666</v>
      </c>
    </row>
    <row r="128" spans="1:33" ht="6.6" customHeight="1" x14ac:dyDescent="0.2">
      <c r="A128" s="43">
        <v>128</v>
      </c>
      <c r="B128" s="15" t="s">
        <v>324</v>
      </c>
      <c r="C128" s="10" t="s">
        <v>524</v>
      </c>
      <c r="D128" s="56" t="s">
        <v>487</v>
      </c>
      <c r="E128" s="57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543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484</v>
      </c>
      <c r="R128" s="45" t="s">
        <v>454</v>
      </c>
      <c r="S128" s="46" t="s">
        <v>484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56" t="s">
        <v>669</v>
      </c>
      <c r="Y128" s="57" t="s">
        <v>653</v>
      </c>
      <c r="Z128" s="56" t="s">
        <v>669</v>
      </c>
      <c r="AA128" s="57" t="s">
        <v>657</v>
      </c>
      <c r="AB128" s="56" t="s">
        <v>669</v>
      </c>
      <c r="AC128" s="57" t="s">
        <v>660</v>
      </c>
      <c r="AD128" s="56" t="s">
        <v>669</v>
      </c>
      <c r="AE128" s="57" t="s">
        <v>663</v>
      </c>
      <c r="AF128" s="56" t="s">
        <v>669</v>
      </c>
      <c r="AG128" s="57" t="s">
        <v>666</v>
      </c>
    </row>
    <row r="129" spans="1:33" ht="6.6" customHeight="1" x14ac:dyDescent="0.2">
      <c r="A129" s="43">
        <v>129</v>
      </c>
      <c r="B129" s="12" t="s">
        <v>325</v>
      </c>
      <c r="C129" s="10" t="s">
        <v>524</v>
      </c>
      <c r="D129" s="56" t="s">
        <v>487</v>
      </c>
      <c r="E129" s="57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543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484</v>
      </c>
      <c r="R129" s="45" t="s">
        <v>454</v>
      </c>
      <c r="S129" s="46" t="s">
        <v>484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56" t="s">
        <v>669</v>
      </c>
      <c r="Y129" s="57" t="s">
        <v>653</v>
      </c>
      <c r="Z129" s="56" t="s">
        <v>669</v>
      </c>
      <c r="AA129" s="57" t="s">
        <v>657</v>
      </c>
      <c r="AB129" s="56" t="s">
        <v>669</v>
      </c>
      <c r="AC129" s="57" t="s">
        <v>660</v>
      </c>
      <c r="AD129" s="56" t="s">
        <v>669</v>
      </c>
      <c r="AE129" s="57" t="s">
        <v>663</v>
      </c>
      <c r="AF129" s="56" t="s">
        <v>669</v>
      </c>
      <c r="AG129" s="57" t="s">
        <v>666</v>
      </c>
    </row>
    <row r="130" spans="1:33" ht="6.6" customHeight="1" x14ac:dyDescent="0.2">
      <c r="A130" s="43">
        <v>130</v>
      </c>
      <c r="B130" s="12" t="s">
        <v>326</v>
      </c>
      <c r="C130" s="10" t="s">
        <v>524</v>
      </c>
      <c r="D130" s="56" t="s">
        <v>487</v>
      </c>
      <c r="E130" s="57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543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484</v>
      </c>
      <c r="R130" s="45" t="s">
        <v>454</v>
      </c>
      <c r="S130" s="46" t="s">
        <v>484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56" t="s">
        <v>669</v>
      </c>
      <c r="Y130" s="57" t="s">
        <v>653</v>
      </c>
      <c r="Z130" s="56" t="s">
        <v>669</v>
      </c>
      <c r="AA130" s="57" t="s">
        <v>657</v>
      </c>
      <c r="AB130" s="56" t="s">
        <v>669</v>
      </c>
      <c r="AC130" s="57" t="s">
        <v>660</v>
      </c>
      <c r="AD130" s="56" t="s">
        <v>669</v>
      </c>
      <c r="AE130" s="57" t="s">
        <v>663</v>
      </c>
      <c r="AF130" s="56" t="s">
        <v>669</v>
      </c>
      <c r="AG130" s="57" t="s">
        <v>666</v>
      </c>
    </row>
    <row r="131" spans="1:33" ht="6.6" customHeight="1" x14ac:dyDescent="0.2">
      <c r="A131" s="43">
        <v>131</v>
      </c>
      <c r="B131" s="12" t="s">
        <v>327</v>
      </c>
      <c r="C131" s="10" t="s">
        <v>524</v>
      </c>
      <c r="D131" s="56" t="s">
        <v>487</v>
      </c>
      <c r="E131" s="57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543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484</v>
      </c>
      <c r="R131" s="45" t="s">
        <v>454</v>
      </c>
      <c r="S131" s="46" t="s">
        <v>484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56" t="s">
        <v>669</v>
      </c>
      <c r="Y131" s="57" t="s">
        <v>653</v>
      </c>
      <c r="Z131" s="56" t="s">
        <v>669</v>
      </c>
      <c r="AA131" s="57" t="s">
        <v>657</v>
      </c>
      <c r="AB131" s="56" t="s">
        <v>669</v>
      </c>
      <c r="AC131" s="57" t="s">
        <v>660</v>
      </c>
      <c r="AD131" s="56" t="s">
        <v>669</v>
      </c>
      <c r="AE131" s="57" t="s">
        <v>663</v>
      </c>
      <c r="AF131" s="56" t="s">
        <v>669</v>
      </c>
      <c r="AG131" s="57" t="s">
        <v>666</v>
      </c>
    </row>
    <row r="132" spans="1:33" ht="6.6" customHeight="1" x14ac:dyDescent="0.2">
      <c r="A132" s="43">
        <v>132</v>
      </c>
      <c r="B132" s="12" t="s">
        <v>328</v>
      </c>
      <c r="C132" s="10" t="s">
        <v>524</v>
      </c>
      <c r="D132" s="56" t="s">
        <v>487</v>
      </c>
      <c r="E132" s="57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543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484</v>
      </c>
      <c r="R132" s="45" t="s">
        <v>454</v>
      </c>
      <c r="S132" s="46" t="s">
        <v>484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56" t="s">
        <v>669</v>
      </c>
      <c r="Y132" s="57" t="s">
        <v>653</v>
      </c>
      <c r="Z132" s="56" t="s">
        <v>669</v>
      </c>
      <c r="AA132" s="57" t="s">
        <v>657</v>
      </c>
      <c r="AB132" s="56" t="s">
        <v>669</v>
      </c>
      <c r="AC132" s="57" t="s">
        <v>660</v>
      </c>
      <c r="AD132" s="56" t="s">
        <v>669</v>
      </c>
      <c r="AE132" s="57" t="s">
        <v>663</v>
      </c>
      <c r="AF132" s="56" t="s">
        <v>669</v>
      </c>
      <c r="AG132" s="57" t="s">
        <v>666</v>
      </c>
    </row>
    <row r="133" spans="1:33" ht="6.6" customHeight="1" x14ac:dyDescent="0.2">
      <c r="A133" s="43">
        <v>133</v>
      </c>
      <c r="B133" s="12" t="s">
        <v>329</v>
      </c>
      <c r="C133" s="10" t="s">
        <v>520</v>
      </c>
      <c r="D133" s="56" t="s">
        <v>487</v>
      </c>
      <c r="E133" s="57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543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484</v>
      </c>
      <c r="R133" s="45" t="s">
        <v>454</v>
      </c>
      <c r="S133" s="46" t="s">
        <v>484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56" t="s">
        <v>669</v>
      </c>
      <c r="Y133" s="57" t="s">
        <v>653</v>
      </c>
      <c r="Z133" s="56" t="s">
        <v>669</v>
      </c>
      <c r="AA133" s="57" t="s">
        <v>657</v>
      </c>
      <c r="AB133" s="56" t="s">
        <v>669</v>
      </c>
      <c r="AC133" s="57" t="s">
        <v>660</v>
      </c>
      <c r="AD133" s="56" t="s">
        <v>669</v>
      </c>
      <c r="AE133" s="57" t="s">
        <v>663</v>
      </c>
      <c r="AF133" s="56" t="s">
        <v>669</v>
      </c>
      <c r="AG133" s="57" t="s">
        <v>666</v>
      </c>
    </row>
    <row r="134" spans="1:33" ht="6.6" customHeight="1" x14ac:dyDescent="0.2">
      <c r="A134" s="43">
        <v>134</v>
      </c>
      <c r="B134" s="12" t="s">
        <v>330</v>
      </c>
      <c r="C134" s="10" t="s">
        <v>520</v>
      </c>
      <c r="D134" s="56" t="s">
        <v>487</v>
      </c>
      <c r="E134" s="57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543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484</v>
      </c>
      <c r="R134" s="45" t="s">
        <v>454</v>
      </c>
      <c r="S134" s="46" t="s">
        <v>484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56" t="s">
        <v>669</v>
      </c>
      <c r="Y134" s="57" t="s">
        <v>653</v>
      </c>
      <c r="Z134" s="56" t="s">
        <v>669</v>
      </c>
      <c r="AA134" s="57" t="s">
        <v>657</v>
      </c>
      <c r="AB134" s="56" t="s">
        <v>669</v>
      </c>
      <c r="AC134" s="57" t="s">
        <v>660</v>
      </c>
      <c r="AD134" s="56" t="s">
        <v>669</v>
      </c>
      <c r="AE134" s="57" t="s">
        <v>663</v>
      </c>
      <c r="AF134" s="56" t="s">
        <v>669</v>
      </c>
      <c r="AG134" s="57" t="s">
        <v>666</v>
      </c>
    </row>
    <row r="135" spans="1:33" ht="6.6" customHeight="1" x14ac:dyDescent="0.2">
      <c r="A135" s="43">
        <v>135</v>
      </c>
      <c r="B135" s="12" t="s">
        <v>331</v>
      </c>
      <c r="C135" s="10" t="s">
        <v>520</v>
      </c>
      <c r="D135" s="56" t="s">
        <v>487</v>
      </c>
      <c r="E135" s="57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543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484</v>
      </c>
      <c r="R135" s="45" t="s">
        <v>454</v>
      </c>
      <c r="S135" s="46" t="s">
        <v>484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56" t="s">
        <v>669</v>
      </c>
      <c r="Y135" s="57" t="s">
        <v>653</v>
      </c>
      <c r="Z135" s="56" t="s">
        <v>669</v>
      </c>
      <c r="AA135" s="57" t="s">
        <v>657</v>
      </c>
      <c r="AB135" s="56" t="s">
        <v>669</v>
      </c>
      <c r="AC135" s="57" t="s">
        <v>660</v>
      </c>
      <c r="AD135" s="56" t="s">
        <v>669</v>
      </c>
      <c r="AE135" s="57" t="s">
        <v>663</v>
      </c>
      <c r="AF135" s="56" t="s">
        <v>669</v>
      </c>
      <c r="AG135" s="57" t="s">
        <v>666</v>
      </c>
    </row>
    <row r="136" spans="1:33" ht="6.6" customHeight="1" x14ac:dyDescent="0.2">
      <c r="A136" s="43">
        <v>136</v>
      </c>
      <c r="B136" s="12" t="s">
        <v>332</v>
      </c>
      <c r="C136" s="10" t="s">
        <v>520</v>
      </c>
      <c r="D136" s="56" t="s">
        <v>487</v>
      </c>
      <c r="E136" s="57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543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484</v>
      </c>
      <c r="R136" s="45" t="s">
        <v>454</v>
      </c>
      <c r="S136" s="46" t="s">
        <v>484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56" t="s">
        <v>669</v>
      </c>
      <c r="Y136" s="57" t="s">
        <v>653</v>
      </c>
      <c r="Z136" s="56" t="s">
        <v>669</v>
      </c>
      <c r="AA136" s="57" t="s">
        <v>657</v>
      </c>
      <c r="AB136" s="56" t="s">
        <v>669</v>
      </c>
      <c r="AC136" s="57" t="s">
        <v>660</v>
      </c>
      <c r="AD136" s="56" t="s">
        <v>669</v>
      </c>
      <c r="AE136" s="57" t="s">
        <v>663</v>
      </c>
      <c r="AF136" s="56" t="s">
        <v>669</v>
      </c>
      <c r="AG136" s="57" t="s">
        <v>666</v>
      </c>
    </row>
    <row r="137" spans="1:33" ht="6.6" customHeight="1" x14ac:dyDescent="0.2">
      <c r="A137" s="43">
        <v>137</v>
      </c>
      <c r="B137" s="12" t="s">
        <v>333</v>
      </c>
      <c r="C137" s="10" t="s">
        <v>520</v>
      </c>
      <c r="D137" s="56" t="s">
        <v>487</v>
      </c>
      <c r="E137" s="57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543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484</v>
      </c>
      <c r="R137" s="45" t="s">
        <v>454</v>
      </c>
      <c r="S137" s="46" t="s">
        <v>484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56" t="s">
        <v>669</v>
      </c>
      <c r="Y137" s="57" t="s">
        <v>653</v>
      </c>
      <c r="Z137" s="56" t="s">
        <v>669</v>
      </c>
      <c r="AA137" s="57" t="s">
        <v>657</v>
      </c>
      <c r="AB137" s="56" t="s">
        <v>669</v>
      </c>
      <c r="AC137" s="57" t="s">
        <v>660</v>
      </c>
      <c r="AD137" s="56" t="s">
        <v>669</v>
      </c>
      <c r="AE137" s="57" t="s">
        <v>663</v>
      </c>
      <c r="AF137" s="56" t="s">
        <v>669</v>
      </c>
      <c r="AG137" s="57" t="s">
        <v>666</v>
      </c>
    </row>
    <row r="138" spans="1:33" ht="6.6" customHeight="1" x14ac:dyDescent="0.2">
      <c r="A138" s="43">
        <v>138</v>
      </c>
      <c r="B138" s="12" t="s">
        <v>334</v>
      </c>
      <c r="C138" s="10" t="s">
        <v>520</v>
      </c>
      <c r="D138" s="56" t="s">
        <v>487</v>
      </c>
      <c r="E138" s="57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543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484</v>
      </c>
      <c r="R138" s="45" t="s">
        <v>454</v>
      </c>
      <c r="S138" s="46" t="s">
        <v>484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56" t="s">
        <v>669</v>
      </c>
      <c r="Y138" s="57" t="s">
        <v>653</v>
      </c>
      <c r="Z138" s="56" t="s">
        <v>669</v>
      </c>
      <c r="AA138" s="57" t="s">
        <v>657</v>
      </c>
      <c r="AB138" s="56" t="s">
        <v>669</v>
      </c>
      <c r="AC138" s="57" t="s">
        <v>660</v>
      </c>
      <c r="AD138" s="56" t="s">
        <v>669</v>
      </c>
      <c r="AE138" s="57" t="s">
        <v>663</v>
      </c>
      <c r="AF138" s="56" t="s">
        <v>669</v>
      </c>
      <c r="AG138" s="57" t="s">
        <v>666</v>
      </c>
    </row>
    <row r="139" spans="1:33" ht="6.6" customHeight="1" x14ac:dyDescent="0.2">
      <c r="A139" s="43">
        <v>139</v>
      </c>
      <c r="B139" s="12" t="s">
        <v>335</v>
      </c>
      <c r="C139" s="10" t="s">
        <v>520</v>
      </c>
      <c r="D139" s="56" t="s">
        <v>487</v>
      </c>
      <c r="E139" s="57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543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484</v>
      </c>
      <c r="R139" s="45" t="s">
        <v>454</v>
      </c>
      <c r="S139" s="46" t="s">
        <v>484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56" t="s">
        <v>669</v>
      </c>
      <c r="Y139" s="57" t="s">
        <v>653</v>
      </c>
      <c r="Z139" s="56" t="s">
        <v>669</v>
      </c>
      <c r="AA139" s="57" t="s">
        <v>657</v>
      </c>
      <c r="AB139" s="56" t="s">
        <v>669</v>
      </c>
      <c r="AC139" s="57" t="s">
        <v>660</v>
      </c>
      <c r="AD139" s="56" t="s">
        <v>669</v>
      </c>
      <c r="AE139" s="57" t="s">
        <v>663</v>
      </c>
      <c r="AF139" s="56" t="s">
        <v>669</v>
      </c>
      <c r="AG139" s="57" t="s">
        <v>666</v>
      </c>
    </row>
    <row r="140" spans="1:33" ht="6.6" customHeight="1" x14ac:dyDescent="0.2">
      <c r="A140" s="43">
        <v>140</v>
      </c>
      <c r="B140" s="12" t="s">
        <v>336</v>
      </c>
      <c r="C140" s="10" t="s">
        <v>520</v>
      </c>
      <c r="D140" s="56" t="s">
        <v>487</v>
      </c>
      <c r="E140" s="57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543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484</v>
      </c>
      <c r="R140" s="45" t="s">
        <v>454</v>
      </c>
      <c r="S140" s="46" t="s">
        <v>484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56" t="s">
        <v>669</v>
      </c>
      <c r="Y140" s="57" t="s">
        <v>653</v>
      </c>
      <c r="Z140" s="56" t="s">
        <v>669</v>
      </c>
      <c r="AA140" s="57" t="s">
        <v>657</v>
      </c>
      <c r="AB140" s="56" t="s">
        <v>669</v>
      </c>
      <c r="AC140" s="57" t="s">
        <v>660</v>
      </c>
      <c r="AD140" s="56" t="s">
        <v>669</v>
      </c>
      <c r="AE140" s="57" t="s">
        <v>663</v>
      </c>
      <c r="AF140" s="56" t="s">
        <v>669</v>
      </c>
      <c r="AG140" s="57" t="s">
        <v>666</v>
      </c>
    </row>
    <row r="141" spans="1:33" ht="6.6" customHeight="1" x14ac:dyDescent="0.2">
      <c r="A141" s="43">
        <v>141</v>
      </c>
      <c r="B141" s="12" t="s">
        <v>337</v>
      </c>
      <c r="C141" s="10" t="s">
        <v>520</v>
      </c>
      <c r="D141" s="56" t="s">
        <v>487</v>
      </c>
      <c r="E141" s="57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543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484</v>
      </c>
      <c r="R141" s="45" t="s">
        <v>454</v>
      </c>
      <c r="S141" s="46" t="s">
        <v>484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56" t="s">
        <v>669</v>
      </c>
      <c r="Y141" s="57" t="s">
        <v>653</v>
      </c>
      <c r="Z141" s="56" t="s">
        <v>669</v>
      </c>
      <c r="AA141" s="57" t="s">
        <v>657</v>
      </c>
      <c r="AB141" s="56" t="s">
        <v>669</v>
      </c>
      <c r="AC141" s="57" t="s">
        <v>660</v>
      </c>
      <c r="AD141" s="56" t="s">
        <v>669</v>
      </c>
      <c r="AE141" s="57" t="s">
        <v>663</v>
      </c>
      <c r="AF141" s="56" t="s">
        <v>669</v>
      </c>
      <c r="AG141" s="57" t="s">
        <v>666</v>
      </c>
    </row>
    <row r="142" spans="1:33" ht="6.6" customHeight="1" x14ac:dyDescent="0.2">
      <c r="A142" s="43">
        <v>142</v>
      </c>
      <c r="B142" s="12" t="s">
        <v>338</v>
      </c>
      <c r="C142" s="10" t="s">
        <v>520</v>
      </c>
      <c r="D142" s="56" t="s">
        <v>487</v>
      </c>
      <c r="E142" s="57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543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484</v>
      </c>
      <c r="R142" s="45" t="s">
        <v>454</v>
      </c>
      <c r="S142" s="46" t="s">
        <v>484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56" t="s">
        <v>669</v>
      </c>
      <c r="Y142" s="57" t="s">
        <v>653</v>
      </c>
      <c r="Z142" s="56" t="s">
        <v>669</v>
      </c>
      <c r="AA142" s="57" t="s">
        <v>657</v>
      </c>
      <c r="AB142" s="56" t="s">
        <v>669</v>
      </c>
      <c r="AC142" s="57" t="s">
        <v>660</v>
      </c>
      <c r="AD142" s="56" t="s">
        <v>669</v>
      </c>
      <c r="AE142" s="57" t="s">
        <v>663</v>
      </c>
      <c r="AF142" s="56" t="s">
        <v>669</v>
      </c>
      <c r="AG142" s="57" t="s">
        <v>666</v>
      </c>
    </row>
    <row r="143" spans="1:33" ht="6.6" customHeight="1" x14ac:dyDescent="0.2">
      <c r="A143" s="43">
        <v>143</v>
      </c>
      <c r="B143" s="12" t="s">
        <v>339</v>
      </c>
      <c r="C143" s="10" t="s">
        <v>520</v>
      </c>
      <c r="D143" s="56" t="s">
        <v>487</v>
      </c>
      <c r="E143" s="57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543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484</v>
      </c>
      <c r="R143" s="45" t="s">
        <v>454</v>
      </c>
      <c r="S143" s="46" t="s">
        <v>484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56" t="s">
        <v>669</v>
      </c>
      <c r="Y143" s="57" t="s">
        <v>653</v>
      </c>
      <c r="Z143" s="56" t="s">
        <v>669</v>
      </c>
      <c r="AA143" s="57" t="s">
        <v>657</v>
      </c>
      <c r="AB143" s="56" t="s">
        <v>669</v>
      </c>
      <c r="AC143" s="57" t="s">
        <v>660</v>
      </c>
      <c r="AD143" s="56" t="s">
        <v>669</v>
      </c>
      <c r="AE143" s="57" t="s">
        <v>663</v>
      </c>
      <c r="AF143" s="56" t="s">
        <v>669</v>
      </c>
      <c r="AG143" s="57" t="s">
        <v>666</v>
      </c>
    </row>
    <row r="144" spans="1:33" ht="6.6" customHeight="1" x14ac:dyDescent="0.2">
      <c r="A144" s="43">
        <v>144</v>
      </c>
      <c r="B144" s="12" t="s">
        <v>340</v>
      </c>
      <c r="C144" s="10" t="s">
        <v>520</v>
      </c>
      <c r="D144" s="56" t="s">
        <v>487</v>
      </c>
      <c r="E144" s="57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543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484</v>
      </c>
      <c r="R144" s="45" t="s">
        <v>454</v>
      </c>
      <c r="S144" s="46" t="s">
        <v>484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56" t="s">
        <v>669</v>
      </c>
      <c r="Y144" s="57" t="s">
        <v>653</v>
      </c>
      <c r="Z144" s="56" t="s">
        <v>669</v>
      </c>
      <c r="AA144" s="57" t="s">
        <v>657</v>
      </c>
      <c r="AB144" s="56" t="s">
        <v>669</v>
      </c>
      <c r="AC144" s="57" t="s">
        <v>660</v>
      </c>
      <c r="AD144" s="56" t="s">
        <v>669</v>
      </c>
      <c r="AE144" s="57" t="s">
        <v>663</v>
      </c>
      <c r="AF144" s="56" t="s">
        <v>669</v>
      </c>
      <c r="AG144" s="57" t="s">
        <v>666</v>
      </c>
    </row>
    <row r="145" spans="1:33" ht="6.6" customHeight="1" x14ac:dyDescent="0.2">
      <c r="A145" s="43">
        <v>145</v>
      </c>
      <c r="B145" s="12" t="s">
        <v>341</v>
      </c>
      <c r="C145" s="10" t="s">
        <v>520</v>
      </c>
      <c r="D145" s="56" t="s">
        <v>487</v>
      </c>
      <c r="E145" s="57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543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484</v>
      </c>
      <c r="R145" s="45" t="s">
        <v>454</v>
      </c>
      <c r="S145" s="46" t="s">
        <v>484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56" t="s">
        <v>669</v>
      </c>
      <c r="Y145" s="57" t="s">
        <v>653</v>
      </c>
      <c r="Z145" s="56" t="s">
        <v>669</v>
      </c>
      <c r="AA145" s="57" t="s">
        <v>657</v>
      </c>
      <c r="AB145" s="56" t="s">
        <v>669</v>
      </c>
      <c r="AC145" s="57" t="s">
        <v>660</v>
      </c>
      <c r="AD145" s="56" t="s">
        <v>669</v>
      </c>
      <c r="AE145" s="57" t="s">
        <v>663</v>
      </c>
      <c r="AF145" s="56" t="s">
        <v>669</v>
      </c>
      <c r="AG145" s="57" t="s">
        <v>666</v>
      </c>
    </row>
    <row r="146" spans="1:33" ht="6.6" customHeight="1" x14ac:dyDescent="0.2">
      <c r="A146" s="43">
        <v>146</v>
      </c>
      <c r="B146" s="12" t="s">
        <v>342</v>
      </c>
      <c r="C146" s="10" t="s">
        <v>520</v>
      </c>
      <c r="D146" s="56" t="s">
        <v>487</v>
      </c>
      <c r="E146" s="57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543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484</v>
      </c>
      <c r="R146" s="45" t="s">
        <v>454</v>
      </c>
      <c r="S146" s="46" t="s">
        <v>484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56" t="s">
        <v>669</v>
      </c>
      <c r="Y146" s="57" t="s">
        <v>653</v>
      </c>
      <c r="Z146" s="56" t="s">
        <v>669</v>
      </c>
      <c r="AA146" s="57" t="s">
        <v>657</v>
      </c>
      <c r="AB146" s="56" t="s">
        <v>669</v>
      </c>
      <c r="AC146" s="57" t="s">
        <v>660</v>
      </c>
      <c r="AD146" s="56" t="s">
        <v>669</v>
      </c>
      <c r="AE146" s="57" t="s">
        <v>663</v>
      </c>
      <c r="AF146" s="56" t="s">
        <v>669</v>
      </c>
      <c r="AG146" s="57" t="s">
        <v>666</v>
      </c>
    </row>
    <row r="147" spans="1:33" ht="6.6" customHeight="1" x14ac:dyDescent="0.2">
      <c r="A147" s="43">
        <v>147</v>
      </c>
      <c r="B147" s="12" t="s">
        <v>343</v>
      </c>
      <c r="C147" s="10" t="s">
        <v>520</v>
      </c>
      <c r="D147" s="56" t="s">
        <v>487</v>
      </c>
      <c r="E147" s="57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543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484</v>
      </c>
      <c r="R147" s="45" t="s">
        <v>454</v>
      </c>
      <c r="S147" s="46" t="s">
        <v>484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56" t="s">
        <v>669</v>
      </c>
      <c r="Y147" s="57" t="s">
        <v>653</v>
      </c>
      <c r="Z147" s="56" t="s">
        <v>669</v>
      </c>
      <c r="AA147" s="57" t="s">
        <v>657</v>
      </c>
      <c r="AB147" s="56" t="s">
        <v>669</v>
      </c>
      <c r="AC147" s="57" t="s">
        <v>660</v>
      </c>
      <c r="AD147" s="56" t="s">
        <v>669</v>
      </c>
      <c r="AE147" s="57" t="s">
        <v>663</v>
      </c>
      <c r="AF147" s="56" t="s">
        <v>669</v>
      </c>
      <c r="AG147" s="57" t="s">
        <v>666</v>
      </c>
    </row>
    <row r="148" spans="1:33" ht="6.6" customHeight="1" x14ac:dyDescent="0.2">
      <c r="A148" s="43">
        <v>148</v>
      </c>
      <c r="B148" s="12" t="s">
        <v>344</v>
      </c>
      <c r="C148" s="10" t="s">
        <v>520</v>
      </c>
      <c r="D148" s="56" t="s">
        <v>487</v>
      </c>
      <c r="E148" s="57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543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484</v>
      </c>
      <c r="R148" s="45" t="s">
        <v>454</v>
      </c>
      <c r="S148" s="46" t="s">
        <v>484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56" t="s">
        <v>669</v>
      </c>
      <c r="Y148" s="57" t="s">
        <v>653</v>
      </c>
      <c r="Z148" s="56" t="s">
        <v>669</v>
      </c>
      <c r="AA148" s="57" t="s">
        <v>657</v>
      </c>
      <c r="AB148" s="56" t="s">
        <v>669</v>
      </c>
      <c r="AC148" s="57" t="s">
        <v>660</v>
      </c>
      <c r="AD148" s="56" t="s">
        <v>669</v>
      </c>
      <c r="AE148" s="57" t="s">
        <v>663</v>
      </c>
      <c r="AF148" s="56" t="s">
        <v>669</v>
      </c>
      <c r="AG148" s="57" t="s">
        <v>666</v>
      </c>
    </row>
    <row r="149" spans="1:33" ht="6.6" customHeight="1" x14ac:dyDescent="0.2">
      <c r="A149" s="43">
        <v>149</v>
      </c>
      <c r="B149" s="12" t="s">
        <v>345</v>
      </c>
      <c r="C149" s="10" t="s">
        <v>520</v>
      </c>
      <c r="D149" s="56" t="s">
        <v>487</v>
      </c>
      <c r="E149" s="57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543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484</v>
      </c>
      <c r="R149" s="45" t="s">
        <v>454</v>
      </c>
      <c r="S149" s="46" t="s">
        <v>484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56" t="s">
        <v>669</v>
      </c>
      <c r="Y149" s="57" t="s">
        <v>653</v>
      </c>
      <c r="Z149" s="56" t="s">
        <v>669</v>
      </c>
      <c r="AA149" s="57" t="s">
        <v>657</v>
      </c>
      <c r="AB149" s="56" t="s">
        <v>669</v>
      </c>
      <c r="AC149" s="57" t="s">
        <v>660</v>
      </c>
      <c r="AD149" s="56" t="s">
        <v>669</v>
      </c>
      <c r="AE149" s="57" t="s">
        <v>663</v>
      </c>
      <c r="AF149" s="56" t="s">
        <v>669</v>
      </c>
      <c r="AG149" s="57" t="s">
        <v>666</v>
      </c>
    </row>
    <row r="150" spans="1:33" ht="6.6" customHeight="1" x14ac:dyDescent="0.2">
      <c r="A150" s="43">
        <v>150</v>
      </c>
      <c r="B150" s="12" t="s">
        <v>346</v>
      </c>
      <c r="C150" s="10" t="s">
        <v>520</v>
      </c>
      <c r="D150" s="56" t="s">
        <v>487</v>
      </c>
      <c r="E150" s="57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543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484</v>
      </c>
      <c r="R150" s="45" t="s">
        <v>454</v>
      </c>
      <c r="S150" s="46" t="s">
        <v>484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56" t="s">
        <v>669</v>
      </c>
      <c r="Y150" s="57" t="s">
        <v>653</v>
      </c>
      <c r="Z150" s="56" t="s">
        <v>669</v>
      </c>
      <c r="AA150" s="57" t="s">
        <v>657</v>
      </c>
      <c r="AB150" s="56" t="s">
        <v>669</v>
      </c>
      <c r="AC150" s="57" t="s">
        <v>660</v>
      </c>
      <c r="AD150" s="56" t="s">
        <v>669</v>
      </c>
      <c r="AE150" s="57" t="s">
        <v>663</v>
      </c>
      <c r="AF150" s="56" t="s">
        <v>669</v>
      </c>
      <c r="AG150" s="57" t="s">
        <v>666</v>
      </c>
    </row>
    <row r="151" spans="1:33" ht="6.6" customHeight="1" x14ac:dyDescent="0.2">
      <c r="A151" s="43">
        <v>151</v>
      </c>
      <c r="B151" s="12" t="s">
        <v>347</v>
      </c>
      <c r="C151" s="10" t="s">
        <v>520</v>
      </c>
      <c r="D151" s="56" t="s">
        <v>487</v>
      </c>
      <c r="E151" s="57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543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484</v>
      </c>
      <c r="R151" s="45" t="s">
        <v>454</v>
      </c>
      <c r="S151" s="46" t="s">
        <v>484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56" t="s">
        <v>669</v>
      </c>
      <c r="Y151" s="57" t="s">
        <v>653</v>
      </c>
      <c r="Z151" s="56" t="s">
        <v>669</v>
      </c>
      <c r="AA151" s="57" t="s">
        <v>657</v>
      </c>
      <c r="AB151" s="56" t="s">
        <v>669</v>
      </c>
      <c r="AC151" s="57" t="s">
        <v>660</v>
      </c>
      <c r="AD151" s="56" t="s">
        <v>669</v>
      </c>
      <c r="AE151" s="57" t="s">
        <v>663</v>
      </c>
      <c r="AF151" s="56" t="s">
        <v>669</v>
      </c>
      <c r="AG151" s="57" t="s">
        <v>666</v>
      </c>
    </row>
    <row r="152" spans="1:33" ht="6.6" customHeight="1" x14ac:dyDescent="0.2">
      <c r="A152" s="43">
        <v>152</v>
      </c>
      <c r="B152" s="12" t="s">
        <v>348</v>
      </c>
      <c r="C152" s="10" t="s">
        <v>520</v>
      </c>
      <c r="D152" s="56" t="s">
        <v>487</v>
      </c>
      <c r="E152" s="57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543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484</v>
      </c>
      <c r="R152" s="45" t="s">
        <v>454</v>
      </c>
      <c r="S152" s="46" t="s">
        <v>484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56" t="s">
        <v>669</v>
      </c>
      <c r="Y152" s="57" t="s">
        <v>653</v>
      </c>
      <c r="Z152" s="56" t="s">
        <v>669</v>
      </c>
      <c r="AA152" s="57" t="s">
        <v>657</v>
      </c>
      <c r="AB152" s="56" t="s">
        <v>669</v>
      </c>
      <c r="AC152" s="57" t="s">
        <v>660</v>
      </c>
      <c r="AD152" s="56" t="s">
        <v>669</v>
      </c>
      <c r="AE152" s="57" t="s">
        <v>663</v>
      </c>
      <c r="AF152" s="56" t="s">
        <v>669</v>
      </c>
      <c r="AG152" s="57" t="s">
        <v>666</v>
      </c>
    </row>
    <row r="153" spans="1:33" ht="6.6" customHeight="1" x14ac:dyDescent="0.2">
      <c r="A153" s="43">
        <v>153</v>
      </c>
      <c r="B153" s="12" t="s">
        <v>349</v>
      </c>
      <c r="C153" s="10" t="s">
        <v>520</v>
      </c>
      <c r="D153" s="56" t="s">
        <v>487</v>
      </c>
      <c r="E153" s="57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543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484</v>
      </c>
      <c r="R153" s="45" t="s">
        <v>454</v>
      </c>
      <c r="S153" s="46" t="s">
        <v>484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56" t="s">
        <v>669</v>
      </c>
      <c r="Y153" s="57" t="s">
        <v>653</v>
      </c>
      <c r="Z153" s="56" t="s">
        <v>669</v>
      </c>
      <c r="AA153" s="57" t="s">
        <v>657</v>
      </c>
      <c r="AB153" s="56" t="s">
        <v>669</v>
      </c>
      <c r="AC153" s="57" t="s">
        <v>660</v>
      </c>
      <c r="AD153" s="56" t="s">
        <v>669</v>
      </c>
      <c r="AE153" s="57" t="s">
        <v>663</v>
      </c>
      <c r="AF153" s="56" t="s">
        <v>669</v>
      </c>
      <c r="AG153" s="57" t="s">
        <v>666</v>
      </c>
    </row>
    <row r="154" spans="1:33" ht="6.6" customHeight="1" x14ac:dyDescent="0.2">
      <c r="A154" s="43">
        <v>154</v>
      </c>
      <c r="B154" s="12" t="s">
        <v>350</v>
      </c>
      <c r="C154" s="10" t="s">
        <v>526</v>
      </c>
      <c r="D154" s="56" t="s">
        <v>487</v>
      </c>
      <c r="E154" s="57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543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484</v>
      </c>
      <c r="R154" s="45" t="s">
        <v>454</v>
      </c>
      <c r="S154" s="46" t="s">
        <v>484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56" t="s">
        <v>669</v>
      </c>
      <c r="Y154" s="57" t="s">
        <v>653</v>
      </c>
      <c r="Z154" s="56" t="s">
        <v>669</v>
      </c>
      <c r="AA154" s="57" t="s">
        <v>657</v>
      </c>
      <c r="AB154" s="56" t="s">
        <v>669</v>
      </c>
      <c r="AC154" s="57" t="s">
        <v>660</v>
      </c>
      <c r="AD154" s="56" t="s">
        <v>669</v>
      </c>
      <c r="AE154" s="57" t="s">
        <v>663</v>
      </c>
      <c r="AF154" s="56" t="s">
        <v>669</v>
      </c>
      <c r="AG154" s="57" t="s">
        <v>666</v>
      </c>
    </row>
    <row r="155" spans="1:33" ht="6.6" customHeight="1" x14ac:dyDescent="0.2">
      <c r="A155" s="43">
        <v>155</v>
      </c>
      <c r="B155" s="12" t="s">
        <v>351</v>
      </c>
      <c r="C155" s="10" t="s">
        <v>526</v>
      </c>
      <c r="D155" s="56" t="s">
        <v>487</v>
      </c>
      <c r="E155" s="57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543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484</v>
      </c>
      <c r="R155" s="45" t="s">
        <v>454</v>
      </c>
      <c r="S155" s="46" t="s">
        <v>484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56" t="s">
        <v>669</v>
      </c>
      <c r="Y155" s="57" t="s">
        <v>653</v>
      </c>
      <c r="Z155" s="56" t="s">
        <v>669</v>
      </c>
      <c r="AA155" s="57" t="s">
        <v>657</v>
      </c>
      <c r="AB155" s="56" t="s">
        <v>669</v>
      </c>
      <c r="AC155" s="57" t="s">
        <v>660</v>
      </c>
      <c r="AD155" s="56" t="s">
        <v>669</v>
      </c>
      <c r="AE155" s="57" t="s">
        <v>663</v>
      </c>
      <c r="AF155" s="56" t="s">
        <v>669</v>
      </c>
      <c r="AG155" s="57" t="s">
        <v>666</v>
      </c>
    </row>
    <row r="156" spans="1:33" ht="6.6" customHeight="1" x14ac:dyDescent="0.2">
      <c r="A156" s="43">
        <v>156</v>
      </c>
      <c r="B156" s="12" t="s">
        <v>352</v>
      </c>
      <c r="C156" s="10" t="s">
        <v>526</v>
      </c>
      <c r="D156" s="56" t="s">
        <v>487</v>
      </c>
      <c r="E156" s="57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543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484</v>
      </c>
      <c r="R156" s="45" t="s">
        <v>454</v>
      </c>
      <c r="S156" s="46" t="s">
        <v>484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56" t="s">
        <v>669</v>
      </c>
      <c r="Y156" s="57" t="s">
        <v>653</v>
      </c>
      <c r="Z156" s="56" t="s">
        <v>669</v>
      </c>
      <c r="AA156" s="57" t="s">
        <v>657</v>
      </c>
      <c r="AB156" s="56" t="s">
        <v>669</v>
      </c>
      <c r="AC156" s="57" t="s">
        <v>660</v>
      </c>
      <c r="AD156" s="56" t="s">
        <v>669</v>
      </c>
      <c r="AE156" s="57" t="s">
        <v>663</v>
      </c>
      <c r="AF156" s="56" t="s">
        <v>669</v>
      </c>
      <c r="AG156" s="57" t="s">
        <v>666</v>
      </c>
    </row>
    <row r="157" spans="1:33" ht="6.6" customHeight="1" x14ac:dyDescent="0.2">
      <c r="A157" s="43">
        <v>157</v>
      </c>
      <c r="B157" s="12" t="s">
        <v>353</v>
      </c>
      <c r="C157" s="10" t="s">
        <v>526</v>
      </c>
      <c r="D157" s="56" t="s">
        <v>487</v>
      </c>
      <c r="E157" s="57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543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484</v>
      </c>
      <c r="R157" s="45" t="s">
        <v>454</v>
      </c>
      <c r="S157" s="46" t="s">
        <v>484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56" t="s">
        <v>669</v>
      </c>
      <c r="Y157" s="57" t="s">
        <v>653</v>
      </c>
      <c r="Z157" s="56" t="s">
        <v>669</v>
      </c>
      <c r="AA157" s="57" t="s">
        <v>657</v>
      </c>
      <c r="AB157" s="56" t="s">
        <v>669</v>
      </c>
      <c r="AC157" s="57" t="s">
        <v>660</v>
      </c>
      <c r="AD157" s="56" t="s">
        <v>669</v>
      </c>
      <c r="AE157" s="57" t="s">
        <v>663</v>
      </c>
      <c r="AF157" s="56" t="s">
        <v>669</v>
      </c>
      <c r="AG157" s="57" t="s">
        <v>666</v>
      </c>
    </row>
    <row r="158" spans="1:33" ht="6.6" customHeight="1" x14ac:dyDescent="0.2">
      <c r="A158" s="43">
        <v>158</v>
      </c>
      <c r="B158" s="12" t="s">
        <v>354</v>
      </c>
      <c r="C158" s="10" t="s">
        <v>526</v>
      </c>
      <c r="D158" s="56" t="s">
        <v>487</v>
      </c>
      <c r="E158" s="57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543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484</v>
      </c>
      <c r="R158" s="45" t="s">
        <v>454</v>
      </c>
      <c r="S158" s="46" t="s">
        <v>484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56" t="s">
        <v>669</v>
      </c>
      <c r="Y158" s="57" t="s">
        <v>653</v>
      </c>
      <c r="Z158" s="56" t="s">
        <v>669</v>
      </c>
      <c r="AA158" s="57" t="s">
        <v>657</v>
      </c>
      <c r="AB158" s="56" t="s">
        <v>669</v>
      </c>
      <c r="AC158" s="57" t="s">
        <v>660</v>
      </c>
      <c r="AD158" s="56" t="s">
        <v>669</v>
      </c>
      <c r="AE158" s="57" t="s">
        <v>663</v>
      </c>
      <c r="AF158" s="56" t="s">
        <v>669</v>
      </c>
      <c r="AG158" s="57" t="s">
        <v>666</v>
      </c>
    </row>
    <row r="159" spans="1:33" ht="6.6" customHeight="1" x14ac:dyDescent="0.2">
      <c r="A159" s="43">
        <v>159</v>
      </c>
      <c r="B159" s="7" t="s">
        <v>355</v>
      </c>
      <c r="C159" s="10" t="s">
        <v>518</v>
      </c>
      <c r="D159" s="56" t="s">
        <v>487</v>
      </c>
      <c r="E159" s="57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543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484</v>
      </c>
      <c r="R159" s="45" t="s">
        <v>454</v>
      </c>
      <c r="S159" s="46" t="s">
        <v>484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56" t="s">
        <v>669</v>
      </c>
      <c r="Y159" s="57" t="s">
        <v>653</v>
      </c>
      <c r="Z159" s="56" t="s">
        <v>669</v>
      </c>
      <c r="AA159" s="57" t="s">
        <v>657</v>
      </c>
      <c r="AB159" s="56" t="s">
        <v>669</v>
      </c>
      <c r="AC159" s="57" t="s">
        <v>660</v>
      </c>
      <c r="AD159" s="56" t="s">
        <v>669</v>
      </c>
      <c r="AE159" s="57" t="s">
        <v>663</v>
      </c>
      <c r="AF159" s="56" t="s">
        <v>669</v>
      </c>
      <c r="AG159" s="57" t="s">
        <v>666</v>
      </c>
    </row>
    <row r="160" spans="1:33" ht="6.6" customHeight="1" x14ac:dyDescent="0.2">
      <c r="A160" s="43">
        <v>160</v>
      </c>
      <c r="B160" s="12" t="s">
        <v>356</v>
      </c>
      <c r="C160" s="10" t="s">
        <v>518</v>
      </c>
      <c r="D160" s="56" t="s">
        <v>487</v>
      </c>
      <c r="E160" s="57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543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484</v>
      </c>
      <c r="R160" s="45" t="s">
        <v>454</v>
      </c>
      <c r="S160" s="46" t="s">
        <v>484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56" t="s">
        <v>669</v>
      </c>
      <c r="Y160" s="57" t="s">
        <v>653</v>
      </c>
      <c r="Z160" s="56" t="s">
        <v>669</v>
      </c>
      <c r="AA160" s="57" t="s">
        <v>657</v>
      </c>
      <c r="AB160" s="56" t="s">
        <v>669</v>
      </c>
      <c r="AC160" s="57" t="s">
        <v>660</v>
      </c>
      <c r="AD160" s="56" t="s">
        <v>669</v>
      </c>
      <c r="AE160" s="57" t="s">
        <v>663</v>
      </c>
      <c r="AF160" s="56" t="s">
        <v>669</v>
      </c>
      <c r="AG160" s="57" t="s">
        <v>666</v>
      </c>
    </row>
    <row r="161" spans="1:33" ht="6.6" customHeight="1" x14ac:dyDescent="0.2">
      <c r="A161" s="43">
        <v>161</v>
      </c>
      <c r="B161" s="12" t="s">
        <v>357</v>
      </c>
      <c r="C161" s="10" t="s">
        <v>518</v>
      </c>
      <c r="D161" s="56" t="s">
        <v>487</v>
      </c>
      <c r="E161" s="57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543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484</v>
      </c>
      <c r="R161" s="45" t="s">
        <v>454</v>
      </c>
      <c r="S161" s="46" t="s">
        <v>484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56" t="s">
        <v>669</v>
      </c>
      <c r="Y161" s="57" t="s">
        <v>653</v>
      </c>
      <c r="Z161" s="56" t="s">
        <v>669</v>
      </c>
      <c r="AA161" s="57" t="s">
        <v>657</v>
      </c>
      <c r="AB161" s="56" t="s">
        <v>669</v>
      </c>
      <c r="AC161" s="57" t="s">
        <v>660</v>
      </c>
      <c r="AD161" s="56" t="s">
        <v>669</v>
      </c>
      <c r="AE161" s="57" t="s">
        <v>663</v>
      </c>
      <c r="AF161" s="56" t="s">
        <v>669</v>
      </c>
      <c r="AG161" s="57" t="s">
        <v>666</v>
      </c>
    </row>
    <row r="162" spans="1:33" ht="6.6" customHeight="1" x14ac:dyDescent="0.2">
      <c r="A162" s="43">
        <v>162</v>
      </c>
      <c r="B162" s="12" t="s">
        <v>358</v>
      </c>
      <c r="C162" s="10" t="s">
        <v>518</v>
      </c>
      <c r="D162" s="56" t="s">
        <v>487</v>
      </c>
      <c r="E162" s="57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543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484</v>
      </c>
      <c r="R162" s="45" t="s">
        <v>454</v>
      </c>
      <c r="S162" s="46" t="s">
        <v>484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56" t="s">
        <v>669</v>
      </c>
      <c r="Y162" s="57" t="s">
        <v>653</v>
      </c>
      <c r="Z162" s="56" t="s">
        <v>669</v>
      </c>
      <c r="AA162" s="57" t="s">
        <v>657</v>
      </c>
      <c r="AB162" s="56" t="s">
        <v>669</v>
      </c>
      <c r="AC162" s="57" t="s">
        <v>660</v>
      </c>
      <c r="AD162" s="56" t="s">
        <v>669</v>
      </c>
      <c r="AE162" s="57" t="s">
        <v>663</v>
      </c>
      <c r="AF162" s="56" t="s">
        <v>669</v>
      </c>
      <c r="AG162" s="57" t="s">
        <v>666</v>
      </c>
    </row>
    <row r="163" spans="1:33" ht="6.6" customHeight="1" x14ac:dyDescent="0.2">
      <c r="A163" s="43">
        <v>163</v>
      </c>
      <c r="B163" s="12" t="s">
        <v>359</v>
      </c>
      <c r="C163" s="10" t="s">
        <v>518</v>
      </c>
      <c r="D163" s="56" t="s">
        <v>487</v>
      </c>
      <c r="E163" s="57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543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484</v>
      </c>
      <c r="R163" s="45" t="s">
        <v>454</v>
      </c>
      <c r="S163" s="46" t="s">
        <v>484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56" t="s">
        <v>669</v>
      </c>
      <c r="Y163" s="57" t="s">
        <v>653</v>
      </c>
      <c r="Z163" s="56" t="s">
        <v>669</v>
      </c>
      <c r="AA163" s="57" t="s">
        <v>657</v>
      </c>
      <c r="AB163" s="56" t="s">
        <v>669</v>
      </c>
      <c r="AC163" s="57" t="s">
        <v>660</v>
      </c>
      <c r="AD163" s="56" t="s">
        <v>669</v>
      </c>
      <c r="AE163" s="57" t="s">
        <v>663</v>
      </c>
      <c r="AF163" s="56" t="s">
        <v>669</v>
      </c>
      <c r="AG163" s="57" t="s">
        <v>666</v>
      </c>
    </row>
    <row r="164" spans="1:33" ht="6.6" customHeight="1" x14ac:dyDescent="0.2">
      <c r="A164" s="43">
        <v>164</v>
      </c>
      <c r="B164" s="12" t="s">
        <v>360</v>
      </c>
      <c r="C164" s="10" t="s">
        <v>518</v>
      </c>
      <c r="D164" s="56" t="s">
        <v>487</v>
      </c>
      <c r="E164" s="57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543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484</v>
      </c>
      <c r="R164" s="45" t="s">
        <v>454</v>
      </c>
      <c r="S164" s="46" t="s">
        <v>484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56" t="s">
        <v>669</v>
      </c>
      <c r="Y164" s="57" t="s">
        <v>653</v>
      </c>
      <c r="Z164" s="56" t="s">
        <v>669</v>
      </c>
      <c r="AA164" s="57" t="s">
        <v>657</v>
      </c>
      <c r="AB164" s="56" t="s">
        <v>669</v>
      </c>
      <c r="AC164" s="57" t="s">
        <v>660</v>
      </c>
      <c r="AD164" s="56" t="s">
        <v>669</v>
      </c>
      <c r="AE164" s="57" t="s">
        <v>663</v>
      </c>
      <c r="AF164" s="56" t="s">
        <v>669</v>
      </c>
      <c r="AG164" s="57" t="s">
        <v>666</v>
      </c>
    </row>
    <row r="165" spans="1:33" ht="6.6" customHeight="1" x14ac:dyDescent="0.2">
      <c r="A165" s="43">
        <v>165</v>
      </c>
      <c r="B165" s="12" t="s">
        <v>361</v>
      </c>
      <c r="C165" s="10" t="s">
        <v>518</v>
      </c>
      <c r="D165" s="56" t="s">
        <v>487</v>
      </c>
      <c r="E165" s="57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543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484</v>
      </c>
      <c r="R165" s="45" t="s">
        <v>454</v>
      </c>
      <c r="S165" s="46" t="s">
        <v>484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56" t="s">
        <v>669</v>
      </c>
      <c r="Y165" s="57" t="s">
        <v>653</v>
      </c>
      <c r="Z165" s="56" t="s">
        <v>669</v>
      </c>
      <c r="AA165" s="57" t="s">
        <v>657</v>
      </c>
      <c r="AB165" s="56" t="s">
        <v>669</v>
      </c>
      <c r="AC165" s="57" t="s">
        <v>660</v>
      </c>
      <c r="AD165" s="56" t="s">
        <v>669</v>
      </c>
      <c r="AE165" s="57" t="s">
        <v>663</v>
      </c>
      <c r="AF165" s="56" t="s">
        <v>669</v>
      </c>
      <c r="AG165" s="57" t="s">
        <v>666</v>
      </c>
    </row>
    <row r="166" spans="1:33" ht="6.6" customHeight="1" x14ac:dyDescent="0.2">
      <c r="A166" s="43">
        <v>166</v>
      </c>
      <c r="B166" s="12" t="s">
        <v>362</v>
      </c>
      <c r="C166" s="10" t="s">
        <v>518</v>
      </c>
      <c r="D166" s="56" t="s">
        <v>487</v>
      </c>
      <c r="E166" s="57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543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484</v>
      </c>
      <c r="R166" s="45" t="s">
        <v>454</v>
      </c>
      <c r="S166" s="46" t="s">
        <v>484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56" t="s">
        <v>669</v>
      </c>
      <c r="Y166" s="57" t="s">
        <v>653</v>
      </c>
      <c r="Z166" s="56" t="s">
        <v>669</v>
      </c>
      <c r="AA166" s="57" t="s">
        <v>657</v>
      </c>
      <c r="AB166" s="56" t="s">
        <v>669</v>
      </c>
      <c r="AC166" s="57" t="s">
        <v>660</v>
      </c>
      <c r="AD166" s="56" t="s">
        <v>669</v>
      </c>
      <c r="AE166" s="57" t="s">
        <v>663</v>
      </c>
      <c r="AF166" s="56" t="s">
        <v>669</v>
      </c>
      <c r="AG166" s="57" t="s">
        <v>666</v>
      </c>
    </row>
    <row r="167" spans="1:33" ht="6.6" customHeight="1" x14ac:dyDescent="0.2">
      <c r="A167" s="43">
        <v>167</v>
      </c>
      <c r="B167" s="12" t="s">
        <v>363</v>
      </c>
      <c r="C167" s="10" t="s">
        <v>518</v>
      </c>
      <c r="D167" s="56" t="s">
        <v>487</v>
      </c>
      <c r="E167" s="57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543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484</v>
      </c>
      <c r="R167" s="45" t="s">
        <v>454</v>
      </c>
      <c r="S167" s="46" t="s">
        <v>484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56" t="s">
        <v>669</v>
      </c>
      <c r="Y167" s="57" t="s">
        <v>653</v>
      </c>
      <c r="Z167" s="56" t="s">
        <v>669</v>
      </c>
      <c r="AA167" s="57" t="s">
        <v>657</v>
      </c>
      <c r="AB167" s="56" t="s">
        <v>669</v>
      </c>
      <c r="AC167" s="57" t="s">
        <v>660</v>
      </c>
      <c r="AD167" s="56" t="s">
        <v>669</v>
      </c>
      <c r="AE167" s="57" t="s">
        <v>663</v>
      </c>
      <c r="AF167" s="56" t="s">
        <v>669</v>
      </c>
      <c r="AG167" s="57" t="s">
        <v>666</v>
      </c>
    </row>
    <row r="168" spans="1:33" ht="6.6" customHeight="1" x14ac:dyDescent="0.2">
      <c r="A168" s="43">
        <v>168</v>
      </c>
      <c r="B168" s="12" t="s">
        <v>364</v>
      </c>
      <c r="C168" s="10" t="s">
        <v>518</v>
      </c>
      <c r="D168" s="56" t="s">
        <v>487</v>
      </c>
      <c r="E168" s="57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543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484</v>
      </c>
      <c r="R168" s="45" t="s">
        <v>454</v>
      </c>
      <c r="S168" s="46" t="s">
        <v>484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56" t="s">
        <v>669</v>
      </c>
      <c r="Y168" s="57" t="s">
        <v>653</v>
      </c>
      <c r="Z168" s="56" t="s">
        <v>669</v>
      </c>
      <c r="AA168" s="57" t="s">
        <v>657</v>
      </c>
      <c r="AB168" s="56" t="s">
        <v>669</v>
      </c>
      <c r="AC168" s="57" t="s">
        <v>660</v>
      </c>
      <c r="AD168" s="56" t="s">
        <v>669</v>
      </c>
      <c r="AE168" s="57" t="s">
        <v>663</v>
      </c>
      <c r="AF168" s="56" t="s">
        <v>669</v>
      </c>
      <c r="AG168" s="57" t="s">
        <v>666</v>
      </c>
    </row>
    <row r="169" spans="1:33" ht="6.6" customHeight="1" x14ac:dyDescent="0.2">
      <c r="A169" s="43">
        <v>169</v>
      </c>
      <c r="B169" s="12" t="s">
        <v>365</v>
      </c>
      <c r="C169" s="10" t="s">
        <v>518</v>
      </c>
      <c r="D169" s="56" t="s">
        <v>487</v>
      </c>
      <c r="E169" s="57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543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484</v>
      </c>
      <c r="R169" s="45" t="s">
        <v>454</v>
      </c>
      <c r="S169" s="46" t="s">
        <v>484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56" t="s">
        <v>669</v>
      </c>
      <c r="Y169" s="57" t="s">
        <v>653</v>
      </c>
      <c r="Z169" s="56" t="s">
        <v>669</v>
      </c>
      <c r="AA169" s="57" t="s">
        <v>657</v>
      </c>
      <c r="AB169" s="56" t="s">
        <v>669</v>
      </c>
      <c r="AC169" s="57" t="s">
        <v>660</v>
      </c>
      <c r="AD169" s="56" t="s">
        <v>669</v>
      </c>
      <c r="AE169" s="57" t="s">
        <v>663</v>
      </c>
      <c r="AF169" s="56" t="s">
        <v>669</v>
      </c>
      <c r="AG169" s="57" t="s">
        <v>666</v>
      </c>
    </row>
    <row r="170" spans="1:33" ht="6.6" customHeight="1" x14ac:dyDescent="0.2">
      <c r="A170" s="43">
        <v>170</v>
      </c>
      <c r="B170" s="12" t="s">
        <v>366</v>
      </c>
      <c r="C170" s="10" t="s">
        <v>518</v>
      </c>
      <c r="D170" s="56" t="s">
        <v>487</v>
      </c>
      <c r="E170" s="57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543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484</v>
      </c>
      <c r="R170" s="45" t="s">
        <v>454</v>
      </c>
      <c r="S170" s="46" t="s">
        <v>484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56" t="s">
        <v>669</v>
      </c>
      <c r="Y170" s="57" t="s">
        <v>653</v>
      </c>
      <c r="Z170" s="56" t="s">
        <v>669</v>
      </c>
      <c r="AA170" s="57" t="s">
        <v>657</v>
      </c>
      <c r="AB170" s="56" t="s">
        <v>669</v>
      </c>
      <c r="AC170" s="57" t="s">
        <v>660</v>
      </c>
      <c r="AD170" s="56" t="s">
        <v>669</v>
      </c>
      <c r="AE170" s="57" t="s">
        <v>663</v>
      </c>
      <c r="AF170" s="56" t="s">
        <v>669</v>
      </c>
      <c r="AG170" s="57" t="s">
        <v>666</v>
      </c>
    </row>
    <row r="171" spans="1:33" ht="6.6" customHeight="1" x14ac:dyDescent="0.2">
      <c r="A171" s="43">
        <v>171</v>
      </c>
      <c r="B171" s="12" t="s">
        <v>367</v>
      </c>
      <c r="C171" s="10" t="s">
        <v>518</v>
      </c>
      <c r="D171" s="56" t="s">
        <v>487</v>
      </c>
      <c r="E171" s="57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543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484</v>
      </c>
      <c r="R171" s="45" t="s">
        <v>454</v>
      </c>
      <c r="S171" s="46" t="s">
        <v>484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56" t="s">
        <v>669</v>
      </c>
      <c r="Y171" s="57" t="s">
        <v>653</v>
      </c>
      <c r="Z171" s="56" t="s">
        <v>669</v>
      </c>
      <c r="AA171" s="57" t="s">
        <v>657</v>
      </c>
      <c r="AB171" s="56" t="s">
        <v>669</v>
      </c>
      <c r="AC171" s="57" t="s">
        <v>660</v>
      </c>
      <c r="AD171" s="56" t="s">
        <v>669</v>
      </c>
      <c r="AE171" s="57" t="s">
        <v>663</v>
      </c>
      <c r="AF171" s="56" t="s">
        <v>669</v>
      </c>
      <c r="AG171" s="57" t="s">
        <v>666</v>
      </c>
    </row>
    <row r="172" spans="1:33" ht="6.6" customHeight="1" x14ac:dyDescent="0.2">
      <c r="A172" s="43">
        <v>172</v>
      </c>
      <c r="B172" s="12" t="s">
        <v>368</v>
      </c>
      <c r="C172" s="10" t="s">
        <v>525</v>
      </c>
      <c r="D172" s="56" t="s">
        <v>487</v>
      </c>
      <c r="E172" s="57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543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484</v>
      </c>
      <c r="R172" s="45" t="s">
        <v>454</v>
      </c>
      <c r="S172" s="46" t="s">
        <v>484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56" t="s">
        <v>669</v>
      </c>
      <c r="Y172" s="57" t="s">
        <v>653</v>
      </c>
      <c r="Z172" s="56" t="s">
        <v>669</v>
      </c>
      <c r="AA172" s="57" t="s">
        <v>657</v>
      </c>
      <c r="AB172" s="56" t="s">
        <v>669</v>
      </c>
      <c r="AC172" s="57" t="s">
        <v>660</v>
      </c>
      <c r="AD172" s="56" t="s">
        <v>669</v>
      </c>
      <c r="AE172" s="57" t="s">
        <v>663</v>
      </c>
      <c r="AF172" s="56" t="s">
        <v>669</v>
      </c>
      <c r="AG172" s="57" t="s">
        <v>666</v>
      </c>
    </row>
    <row r="173" spans="1:33" ht="6.6" customHeight="1" x14ac:dyDescent="0.2">
      <c r="A173" s="43">
        <v>173</v>
      </c>
      <c r="B173" s="12" t="s">
        <v>369</v>
      </c>
      <c r="C173" s="10" t="s">
        <v>525</v>
      </c>
      <c r="D173" s="56" t="s">
        <v>487</v>
      </c>
      <c r="E173" s="57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543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484</v>
      </c>
      <c r="R173" s="45" t="s">
        <v>454</v>
      </c>
      <c r="S173" s="46" t="s">
        <v>484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56" t="s">
        <v>669</v>
      </c>
      <c r="Y173" s="57" t="s">
        <v>653</v>
      </c>
      <c r="Z173" s="56" t="s">
        <v>669</v>
      </c>
      <c r="AA173" s="57" t="s">
        <v>657</v>
      </c>
      <c r="AB173" s="56" t="s">
        <v>669</v>
      </c>
      <c r="AC173" s="57" t="s">
        <v>660</v>
      </c>
      <c r="AD173" s="56" t="s">
        <v>669</v>
      </c>
      <c r="AE173" s="57" t="s">
        <v>663</v>
      </c>
      <c r="AF173" s="56" t="s">
        <v>669</v>
      </c>
      <c r="AG173" s="57" t="s">
        <v>666</v>
      </c>
    </row>
    <row r="174" spans="1:33" ht="6.6" customHeight="1" x14ac:dyDescent="0.2">
      <c r="A174" s="43">
        <v>174</v>
      </c>
      <c r="B174" s="12" t="s">
        <v>370</v>
      </c>
      <c r="C174" s="10" t="s">
        <v>525</v>
      </c>
      <c r="D174" s="56" t="s">
        <v>487</v>
      </c>
      <c r="E174" s="57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543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484</v>
      </c>
      <c r="R174" s="45" t="s">
        <v>454</v>
      </c>
      <c r="S174" s="46" t="s">
        <v>484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56" t="s">
        <v>669</v>
      </c>
      <c r="Y174" s="57" t="s">
        <v>653</v>
      </c>
      <c r="Z174" s="56" t="s">
        <v>669</v>
      </c>
      <c r="AA174" s="57" t="s">
        <v>657</v>
      </c>
      <c r="AB174" s="56" t="s">
        <v>669</v>
      </c>
      <c r="AC174" s="57" t="s">
        <v>660</v>
      </c>
      <c r="AD174" s="56" t="s">
        <v>669</v>
      </c>
      <c r="AE174" s="57" t="s">
        <v>663</v>
      </c>
      <c r="AF174" s="56" t="s">
        <v>669</v>
      </c>
      <c r="AG174" s="57" t="s">
        <v>666</v>
      </c>
    </row>
    <row r="175" spans="1:33" ht="6.6" customHeight="1" x14ac:dyDescent="0.2">
      <c r="A175" s="43">
        <v>175</v>
      </c>
      <c r="B175" s="12" t="s">
        <v>371</v>
      </c>
      <c r="C175" s="10" t="s">
        <v>525</v>
      </c>
      <c r="D175" s="56" t="s">
        <v>487</v>
      </c>
      <c r="E175" s="57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543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484</v>
      </c>
      <c r="R175" s="45" t="s">
        <v>454</v>
      </c>
      <c r="S175" s="46" t="s">
        <v>484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56" t="s">
        <v>669</v>
      </c>
      <c r="Y175" s="57" t="s">
        <v>653</v>
      </c>
      <c r="Z175" s="56" t="s">
        <v>669</v>
      </c>
      <c r="AA175" s="57" t="s">
        <v>657</v>
      </c>
      <c r="AB175" s="56" t="s">
        <v>669</v>
      </c>
      <c r="AC175" s="57" t="s">
        <v>660</v>
      </c>
      <c r="AD175" s="56" t="s">
        <v>669</v>
      </c>
      <c r="AE175" s="57" t="s">
        <v>663</v>
      </c>
      <c r="AF175" s="56" t="s">
        <v>669</v>
      </c>
      <c r="AG175" s="57" t="s">
        <v>666</v>
      </c>
    </row>
    <row r="176" spans="1:33" ht="6.6" customHeight="1" x14ac:dyDescent="0.2">
      <c r="A176" s="43">
        <v>176</v>
      </c>
      <c r="B176" s="12" t="s">
        <v>372</v>
      </c>
      <c r="C176" s="10" t="s">
        <v>525</v>
      </c>
      <c r="D176" s="56" t="s">
        <v>487</v>
      </c>
      <c r="E176" s="57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543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484</v>
      </c>
      <c r="R176" s="45" t="s">
        <v>454</v>
      </c>
      <c r="S176" s="46" t="s">
        <v>484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56" t="s">
        <v>669</v>
      </c>
      <c r="Y176" s="57" t="s">
        <v>653</v>
      </c>
      <c r="Z176" s="56" t="s">
        <v>669</v>
      </c>
      <c r="AA176" s="57" t="s">
        <v>657</v>
      </c>
      <c r="AB176" s="56" t="s">
        <v>669</v>
      </c>
      <c r="AC176" s="57" t="s">
        <v>660</v>
      </c>
      <c r="AD176" s="56" t="s">
        <v>669</v>
      </c>
      <c r="AE176" s="57" t="s">
        <v>663</v>
      </c>
      <c r="AF176" s="56" t="s">
        <v>669</v>
      </c>
      <c r="AG176" s="57" t="s">
        <v>666</v>
      </c>
    </row>
    <row r="177" spans="1:33" ht="6.6" customHeight="1" x14ac:dyDescent="0.2">
      <c r="A177" s="43">
        <v>177</v>
      </c>
      <c r="B177" s="12" t="s">
        <v>373</v>
      </c>
      <c r="C177" s="10" t="s">
        <v>525</v>
      </c>
      <c r="D177" s="56" t="s">
        <v>487</v>
      </c>
      <c r="E177" s="57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543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484</v>
      </c>
      <c r="R177" s="45" t="s">
        <v>454</v>
      </c>
      <c r="S177" s="46" t="s">
        <v>484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56" t="s">
        <v>669</v>
      </c>
      <c r="Y177" s="57" t="s">
        <v>653</v>
      </c>
      <c r="Z177" s="56" t="s">
        <v>669</v>
      </c>
      <c r="AA177" s="57" t="s">
        <v>657</v>
      </c>
      <c r="AB177" s="56" t="s">
        <v>669</v>
      </c>
      <c r="AC177" s="57" t="s">
        <v>660</v>
      </c>
      <c r="AD177" s="56" t="s">
        <v>669</v>
      </c>
      <c r="AE177" s="57" t="s">
        <v>663</v>
      </c>
      <c r="AF177" s="56" t="s">
        <v>669</v>
      </c>
      <c r="AG177" s="57" t="s">
        <v>666</v>
      </c>
    </row>
    <row r="178" spans="1:33" ht="6.6" customHeight="1" x14ac:dyDescent="0.2">
      <c r="A178" s="43">
        <v>178</v>
      </c>
      <c r="B178" s="16" t="s">
        <v>374</v>
      </c>
      <c r="C178" s="10" t="s">
        <v>525</v>
      </c>
      <c r="D178" s="56" t="s">
        <v>487</v>
      </c>
      <c r="E178" s="57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543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484</v>
      </c>
      <c r="R178" s="45" t="s">
        <v>454</v>
      </c>
      <c r="S178" s="46" t="s">
        <v>484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56" t="s">
        <v>669</v>
      </c>
      <c r="Y178" s="57" t="s">
        <v>653</v>
      </c>
      <c r="Z178" s="56" t="s">
        <v>669</v>
      </c>
      <c r="AA178" s="57" t="s">
        <v>657</v>
      </c>
      <c r="AB178" s="56" t="s">
        <v>669</v>
      </c>
      <c r="AC178" s="57" t="s">
        <v>660</v>
      </c>
      <c r="AD178" s="56" t="s">
        <v>669</v>
      </c>
      <c r="AE178" s="57" t="s">
        <v>663</v>
      </c>
      <c r="AF178" s="56" t="s">
        <v>669</v>
      </c>
      <c r="AG178" s="57" t="s">
        <v>666</v>
      </c>
    </row>
    <row r="179" spans="1:33" s="71" customFormat="1" ht="6.75" customHeight="1" x14ac:dyDescent="0.2">
      <c r="A179" s="43">
        <v>179</v>
      </c>
      <c r="B179" s="12" t="s">
        <v>653</v>
      </c>
      <c r="C179" s="10" t="s">
        <v>652</v>
      </c>
      <c r="D179" s="34" t="s">
        <v>196</v>
      </c>
      <c r="E179" s="35" t="s">
        <v>196</v>
      </c>
      <c r="F179" s="34" t="s">
        <v>196</v>
      </c>
      <c r="G179" s="35" t="s">
        <v>196</v>
      </c>
      <c r="H179" s="34" t="s">
        <v>196</v>
      </c>
      <c r="I179" s="35" t="s">
        <v>196</v>
      </c>
      <c r="J179" s="34" t="s">
        <v>376</v>
      </c>
      <c r="K179" s="35" t="s">
        <v>654</v>
      </c>
      <c r="L179" s="34" t="s">
        <v>432</v>
      </c>
      <c r="M179" s="35" t="s">
        <v>655</v>
      </c>
      <c r="N179" s="34" t="s">
        <v>1</v>
      </c>
      <c r="O179" s="76" t="s">
        <v>656</v>
      </c>
      <c r="P179" s="78" t="str">
        <f t="shared" ref="P179:P183" si="0">IF(Q179="null", "null", "método.revit")</f>
        <v>método.revit</v>
      </c>
      <c r="Q179" s="79" t="s">
        <v>670</v>
      </c>
      <c r="R179" s="45" t="s">
        <v>196</v>
      </c>
      <c r="S179" s="47" t="s">
        <v>196</v>
      </c>
      <c r="T179" s="45" t="s">
        <v>196</v>
      </c>
      <c r="U179" s="47" t="s">
        <v>196</v>
      </c>
      <c r="V179" s="45" t="s">
        <v>196</v>
      </c>
      <c r="W179" s="47" t="s">
        <v>196</v>
      </c>
      <c r="X179" s="56" t="s">
        <v>669</v>
      </c>
      <c r="Y179" s="57" t="s">
        <v>653</v>
      </c>
      <c r="Z179" s="56" t="s">
        <v>669</v>
      </c>
      <c r="AA179" s="57" t="s">
        <v>657</v>
      </c>
      <c r="AB179" s="56" t="s">
        <v>669</v>
      </c>
      <c r="AC179" s="57" t="s">
        <v>660</v>
      </c>
      <c r="AD179" s="56" t="s">
        <v>669</v>
      </c>
      <c r="AE179" s="57" t="s">
        <v>663</v>
      </c>
      <c r="AF179" s="56" t="s">
        <v>669</v>
      </c>
      <c r="AG179" s="57" t="s">
        <v>666</v>
      </c>
    </row>
    <row r="180" spans="1:33" s="71" customFormat="1" ht="6.75" customHeight="1" x14ac:dyDescent="0.2">
      <c r="A180" s="43">
        <v>180</v>
      </c>
      <c r="B180" s="12" t="s">
        <v>657</v>
      </c>
      <c r="C180" s="10" t="s">
        <v>652</v>
      </c>
      <c r="D180" s="34" t="s">
        <v>196</v>
      </c>
      <c r="E180" s="35" t="s">
        <v>196</v>
      </c>
      <c r="F180" s="34" t="s">
        <v>196</v>
      </c>
      <c r="G180" s="35" t="s">
        <v>196</v>
      </c>
      <c r="H180" s="34" t="s">
        <v>196</v>
      </c>
      <c r="I180" s="35" t="s">
        <v>196</v>
      </c>
      <c r="J180" s="34" t="s">
        <v>376</v>
      </c>
      <c r="K180" s="35" t="s">
        <v>654</v>
      </c>
      <c r="L180" s="34" t="s">
        <v>432</v>
      </c>
      <c r="M180" s="35" t="s">
        <v>658</v>
      </c>
      <c r="N180" s="34" t="s">
        <v>1</v>
      </c>
      <c r="O180" s="76" t="s">
        <v>659</v>
      </c>
      <c r="P180" s="78" t="str">
        <f t="shared" si="0"/>
        <v>método.revit</v>
      </c>
      <c r="Q180" s="79" t="s">
        <v>671</v>
      </c>
      <c r="R180" s="45" t="s">
        <v>196</v>
      </c>
      <c r="S180" s="47" t="s">
        <v>196</v>
      </c>
      <c r="T180" s="45" t="s">
        <v>196</v>
      </c>
      <c r="U180" s="47" t="s">
        <v>196</v>
      </c>
      <c r="V180" s="45" t="s">
        <v>196</v>
      </c>
      <c r="W180" s="47" t="s">
        <v>196</v>
      </c>
      <c r="X180" s="56" t="s">
        <v>669</v>
      </c>
      <c r="Y180" s="57" t="s">
        <v>653</v>
      </c>
      <c r="Z180" s="56" t="s">
        <v>669</v>
      </c>
      <c r="AA180" s="57" t="s">
        <v>657</v>
      </c>
      <c r="AB180" s="56" t="s">
        <v>669</v>
      </c>
      <c r="AC180" s="57" t="s">
        <v>660</v>
      </c>
      <c r="AD180" s="56" t="s">
        <v>669</v>
      </c>
      <c r="AE180" s="57" t="s">
        <v>663</v>
      </c>
      <c r="AF180" s="56" t="s">
        <v>669</v>
      </c>
      <c r="AG180" s="57" t="s">
        <v>666</v>
      </c>
    </row>
    <row r="181" spans="1:33" s="71" customFormat="1" ht="6.75" customHeight="1" x14ac:dyDescent="0.2">
      <c r="A181" s="43">
        <v>181</v>
      </c>
      <c r="B181" s="12" t="s">
        <v>660</v>
      </c>
      <c r="C181" s="10" t="s">
        <v>652</v>
      </c>
      <c r="D181" s="34" t="s">
        <v>196</v>
      </c>
      <c r="E181" s="35" t="s">
        <v>196</v>
      </c>
      <c r="F181" s="34" t="s">
        <v>196</v>
      </c>
      <c r="G181" s="35" t="s">
        <v>196</v>
      </c>
      <c r="H181" s="34" t="s">
        <v>196</v>
      </c>
      <c r="I181" s="35" t="s">
        <v>196</v>
      </c>
      <c r="J181" s="34" t="s">
        <v>376</v>
      </c>
      <c r="K181" s="35" t="s">
        <v>654</v>
      </c>
      <c r="L181" s="34" t="s">
        <v>432</v>
      </c>
      <c r="M181" s="35" t="s">
        <v>661</v>
      </c>
      <c r="N181" s="34" t="s">
        <v>1</v>
      </c>
      <c r="O181" s="76" t="s">
        <v>662</v>
      </c>
      <c r="P181" s="78" t="str">
        <f t="shared" si="0"/>
        <v>método.revit</v>
      </c>
      <c r="Q181" s="79" t="s">
        <v>672</v>
      </c>
      <c r="R181" s="45" t="s">
        <v>196</v>
      </c>
      <c r="S181" s="47" t="s">
        <v>196</v>
      </c>
      <c r="T181" s="45" t="s">
        <v>196</v>
      </c>
      <c r="U181" s="47" t="s">
        <v>196</v>
      </c>
      <c r="V181" s="45" t="s">
        <v>196</v>
      </c>
      <c r="W181" s="47" t="s">
        <v>196</v>
      </c>
      <c r="X181" s="56" t="s">
        <v>669</v>
      </c>
      <c r="Y181" s="57" t="s">
        <v>653</v>
      </c>
      <c r="Z181" s="56" t="s">
        <v>669</v>
      </c>
      <c r="AA181" s="57" t="s">
        <v>657</v>
      </c>
      <c r="AB181" s="56" t="s">
        <v>669</v>
      </c>
      <c r="AC181" s="57" t="s">
        <v>660</v>
      </c>
      <c r="AD181" s="56" t="s">
        <v>669</v>
      </c>
      <c r="AE181" s="57" t="s">
        <v>663</v>
      </c>
      <c r="AF181" s="56" t="s">
        <v>669</v>
      </c>
      <c r="AG181" s="57" t="s">
        <v>666</v>
      </c>
    </row>
    <row r="182" spans="1:33" s="71" customFormat="1" ht="6.75" customHeight="1" x14ac:dyDescent="0.2">
      <c r="A182" s="43">
        <v>182</v>
      </c>
      <c r="B182" s="12" t="s">
        <v>663</v>
      </c>
      <c r="C182" s="10" t="s">
        <v>652</v>
      </c>
      <c r="D182" s="34" t="s">
        <v>196</v>
      </c>
      <c r="E182" s="35" t="s">
        <v>196</v>
      </c>
      <c r="F182" s="34" t="s">
        <v>196</v>
      </c>
      <c r="G182" s="35" t="s">
        <v>196</v>
      </c>
      <c r="H182" s="34" t="s">
        <v>196</v>
      </c>
      <c r="I182" s="35" t="s">
        <v>196</v>
      </c>
      <c r="J182" s="34" t="s">
        <v>376</v>
      </c>
      <c r="K182" s="35" t="s">
        <v>654</v>
      </c>
      <c r="L182" s="34" t="s">
        <v>432</v>
      </c>
      <c r="M182" s="35" t="s">
        <v>664</v>
      </c>
      <c r="N182" s="34" t="s">
        <v>1</v>
      </c>
      <c r="O182" s="76" t="s">
        <v>665</v>
      </c>
      <c r="P182" s="78" t="str">
        <f t="shared" si="0"/>
        <v>método.revit</v>
      </c>
      <c r="Q182" s="79" t="s">
        <v>673</v>
      </c>
      <c r="R182" s="45" t="s">
        <v>196</v>
      </c>
      <c r="S182" s="47" t="s">
        <v>196</v>
      </c>
      <c r="T182" s="45" t="s">
        <v>196</v>
      </c>
      <c r="U182" s="47" t="s">
        <v>196</v>
      </c>
      <c r="V182" s="45" t="s">
        <v>196</v>
      </c>
      <c r="W182" s="47" t="s">
        <v>196</v>
      </c>
      <c r="X182" s="56" t="s">
        <v>669</v>
      </c>
      <c r="Y182" s="57" t="s">
        <v>653</v>
      </c>
      <c r="Z182" s="56" t="s">
        <v>669</v>
      </c>
      <c r="AA182" s="57" t="s">
        <v>657</v>
      </c>
      <c r="AB182" s="56" t="s">
        <v>669</v>
      </c>
      <c r="AC182" s="57" t="s">
        <v>660</v>
      </c>
      <c r="AD182" s="56" t="s">
        <v>669</v>
      </c>
      <c r="AE182" s="57" t="s">
        <v>663</v>
      </c>
      <c r="AF182" s="56" t="s">
        <v>669</v>
      </c>
      <c r="AG182" s="57" t="s">
        <v>666</v>
      </c>
    </row>
    <row r="183" spans="1:33" s="71" customFormat="1" ht="6.75" customHeight="1" x14ac:dyDescent="0.2">
      <c r="A183" s="43">
        <v>183</v>
      </c>
      <c r="B183" s="16" t="s">
        <v>666</v>
      </c>
      <c r="C183" s="72" t="s">
        <v>652</v>
      </c>
      <c r="D183" s="36" t="s">
        <v>196</v>
      </c>
      <c r="E183" s="73" t="s">
        <v>196</v>
      </c>
      <c r="F183" s="36" t="s">
        <v>196</v>
      </c>
      <c r="G183" s="73" t="s">
        <v>196</v>
      </c>
      <c r="H183" s="36" t="s">
        <v>196</v>
      </c>
      <c r="I183" s="73" t="s">
        <v>196</v>
      </c>
      <c r="J183" s="36" t="s">
        <v>376</v>
      </c>
      <c r="K183" s="73" t="s">
        <v>654</v>
      </c>
      <c r="L183" s="36" t="s">
        <v>432</v>
      </c>
      <c r="M183" s="73" t="s">
        <v>667</v>
      </c>
      <c r="N183" s="36" t="s">
        <v>1</v>
      </c>
      <c r="O183" s="77" t="s">
        <v>668</v>
      </c>
      <c r="P183" s="78" t="str">
        <f t="shared" si="0"/>
        <v>método.revit</v>
      </c>
      <c r="Q183" s="79" t="s">
        <v>674</v>
      </c>
      <c r="R183" s="75" t="s">
        <v>196</v>
      </c>
      <c r="S183" s="74" t="s">
        <v>196</v>
      </c>
      <c r="T183" s="75" t="s">
        <v>196</v>
      </c>
      <c r="U183" s="74" t="s">
        <v>196</v>
      </c>
      <c r="V183" s="75" t="s">
        <v>196</v>
      </c>
      <c r="W183" s="74" t="s">
        <v>196</v>
      </c>
      <c r="X183" s="56" t="s">
        <v>669</v>
      </c>
      <c r="Y183" s="57" t="s">
        <v>653</v>
      </c>
      <c r="Z183" s="56" t="s">
        <v>669</v>
      </c>
      <c r="AA183" s="57" t="s">
        <v>657</v>
      </c>
      <c r="AB183" s="56" t="s">
        <v>669</v>
      </c>
      <c r="AC183" s="57" t="s">
        <v>660</v>
      </c>
      <c r="AD183" s="56" t="s">
        <v>669</v>
      </c>
      <c r="AE183" s="57" t="s">
        <v>663</v>
      </c>
      <c r="AF183" s="56" t="s">
        <v>669</v>
      </c>
      <c r="AG183" s="57" t="s">
        <v>666</v>
      </c>
    </row>
  </sheetData>
  <phoneticPr fontId="12" type="noConversion"/>
  <conditionalFormatting sqref="B1:B178 B184:B1048576">
    <cfRule type="duplicateValues" dxfId="27" priority="24"/>
  </conditionalFormatting>
  <conditionalFormatting sqref="B179:B183">
    <cfRule type="duplicateValues" dxfId="26" priority="20"/>
    <cfRule type="duplicateValues" dxfId="25" priority="21"/>
  </conditionalFormatting>
  <conditionalFormatting sqref="L1">
    <cfRule type="cellIs" dxfId="24" priority="23" operator="equal">
      <formula>"null"</formula>
    </cfRule>
  </conditionalFormatting>
  <conditionalFormatting sqref="P2:S4">
    <cfRule type="cellIs" dxfId="23" priority="22" operator="equal">
      <formula>"null"</formula>
    </cfRule>
  </conditionalFormatting>
  <conditionalFormatting sqref="R179:W183">
    <cfRule type="cellIs" dxfId="22" priority="19" operator="equal">
      <formula>"null"</formula>
    </cfRule>
  </conditionalFormatting>
  <conditionalFormatting sqref="T1 V1 X1 F1 H1 J1 N1 P1 R1">
    <cfRule type="cellIs" dxfId="21" priority="26" operator="equal">
      <formula>"null"</formula>
    </cfRule>
  </conditionalFormatting>
  <conditionalFormatting sqref="T1:AG1 T2:W178">
    <cfRule type="cellIs" dxfId="20" priority="25" operator="equal">
      <formula>"null"</formula>
    </cfRule>
  </conditionalFormatting>
  <conditionalFormatting sqref="X2:Y183">
    <cfRule type="cellIs" dxfId="19" priority="13" operator="equal">
      <formula>"null"</formula>
    </cfRule>
  </conditionalFormatting>
  <conditionalFormatting sqref="Z1">
    <cfRule type="cellIs" dxfId="18" priority="8" operator="equal">
      <formula>"null"</formula>
    </cfRule>
  </conditionalFormatting>
  <conditionalFormatting sqref="Z2:Z183">
    <cfRule type="cellIs" dxfId="17" priority="7" operator="equal">
      <formula>"null"</formula>
    </cfRule>
  </conditionalFormatting>
  <conditionalFormatting sqref="AA2:AA183">
    <cfRule type="cellIs" dxfId="16" priority="12" operator="equal">
      <formula>"null"</formula>
    </cfRule>
  </conditionalFormatting>
  <conditionalFormatting sqref="AB1">
    <cfRule type="cellIs" dxfId="15" priority="6" operator="equal">
      <formula>"null"</formula>
    </cfRule>
  </conditionalFormatting>
  <conditionalFormatting sqref="AB2:AB183">
    <cfRule type="cellIs" dxfId="14" priority="5" operator="equal">
      <formula>"null"</formula>
    </cfRule>
  </conditionalFormatting>
  <conditionalFormatting sqref="AC2:AC183">
    <cfRule type="cellIs" dxfId="13" priority="11" operator="equal">
      <formula>"null"</formula>
    </cfRule>
  </conditionalFormatting>
  <conditionalFormatting sqref="AD1">
    <cfRule type="cellIs" dxfId="12" priority="4" operator="equal">
      <formula>"null"</formula>
    </cfRule>
  </conditionalFormatting>
  <conditionalFormatting sqref="AD2:AD183">
    <cfRule type="cellIs" dxfId="11" priority="3" operator="equal">
      <formula>"null"</formula>
    </cfRule>
  </conditionalFormatting>
  <conditionalFormatting sqref="AE2:AE183">
    <cfRule type="cellIs" dxfId="10" priority="10" operator="equal">
      <formula>"null"</formula>
    </cfRule>
  </conditionalFormatting>
  <conditionalFormatting sqref="AF1">
    <cfRule type="cellIs" dxfId="9" priority="2" operator="equal">
      <formula>"null"</formula>
    </cfRule>
  </conditionalFormatting>
  <conditionalFormatting sqref="AF2:AF183">
    <cfRule type="cellIs" dxfId="8" priority="1" operator="equal">
      <formula>"null"</formula>
    </cfRule>
  </conditionalFormatting>
  <conditionalFormatting sqref="AG2:AG183">
    <cfRule type="cellIs" dxfId="7" priority="9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2026-09-08T14:10:32Z</dcterms:modified>
</cp:coreProperties>
</file>