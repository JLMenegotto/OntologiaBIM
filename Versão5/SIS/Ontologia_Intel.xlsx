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E93A5881-B770-447B-A186-DB5FE893AB23}" xr6:coauthVersionLast="47" xr6:coauthVersionMax="47" xr10:uidLastSave="{00000000-0000-0000-0000-000000000000}"/>
  <bookViews>
    <workbookView xWindow="-120" yWindow="-120" windowWidth="24240" windowHeight="13290" tabRatio="520" activeTab="4" xr2:uid="{00000000-000D-0000-FFFF-FFFF00000000}"/>
  </bookViews>
  <sheets>
    <sheet name="Projeto" sheetId="13" r:id="rId1"/>
    <sheet name="Classes" sheetId="17" r:id="rId2"/>
    <sheet name="Disjunt" sheetId="3" r:id="rId3"/>
    <sheet name="Interop" sheetId="16" r:id="rId4"/>
    <sheet name="FatosIn" sheetId="25" r:id="rId5"/>
  </sheets>
  <definedNames>
    <definedName name="_xlnm._FilterDatabase" localSheetId="1" hidden="1">Classes!#REF!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7" l="1"/>
  <c r="V4" i="17"/>
  <c r="V5" i="17"/>
  <c r="V6" i="17"/>
  <c r="V7" i="17"/>
  <c r="V8" i="17"/>
  <c r="V9" i="17"/>
  <c r="V10" i="17"/>
  <c r="V11" i="17"/>
  <c r="V12" i="17"/>
  <c r="V13" i="17"/>
  <c r="V14" i="17"/>
  <c r="V15" i="17"/>
  <c r="V16" i="17"/>
  <c r="V17" i="17"/>
  <c r="V18" i="17"/>
  <c r="V19" i="17"/>
  <c r="V20" i="17"/>
  <c r="V21" i="17"/>
  <c r="V22" i="17"/>
  <c r="V23" i="17"/>
  <c r="V24" i="17"/>
  <c r="V25" i="17"/>
  <c r="V26" i="17"/>
  <c r="V27" i="17"/>
  <c r="V28" i="17"/>
  <c r="V29" i="17"/>
  <c r="V30" i="17"/>
  <c r="V31" i="17"/>
  <c r="V32" i="17"/>
  <c r="V33" i="17"/>
  <c r="V34" i="17"/>
  <c r="V35" i="17"/>
  <c r="V36" i="17"/>
  <c r="V37" i="17"/>
  <c r="V38" i="17"/>
  <c r="V39" i="17"/>
  <c r="V40" i="17"/>
  <c r="V41" i="17"/>
  <c r="V42" i="17"/>
  <c r="V43" i="17"/>
  <c r="V44" i="17"/>
  <c r="V45" i="17"/>
  <c r="V46" i="17"/>
  <c r="V47" i="17"/>
  <c r="V48" i="17"/>
  <c r="V49" i="17"/>
  <c r="V50" i="17"/>
  <c r="V51" i="17"/>
  <c r="V52" i="17"/>
  <c r="V53" i="17"/>
  <c r="V54" i="17"/>
  <c r="V55" i="17"/>
  <c r="V56" i="17"/>
  <c r="V57" i="17"/>
  <c r="V58" i="17"/>
  <c r="V59" i="17"/>
  <c r="V60" i="17"/>
  <c r="V61" i="17"/>
  <c r="V62" i="17"/>
  <c r="V63" i="17"/>
  <c r="V64" i="17"/>
  <c r="V65" i="17"/>
  <c r="V66" i="17"/>
  <c r="V67" i="17"/>
  <c r="V68" i="17"/>
  <c r="V69" i="17"/>
  <c r="V70" i="17"/>
  <c r="V71" i="17"/>
  <c r="V72" i="17"/>
  <c r="V73" i="17"/>
  <c r="V74" i="17"/>
  <c r="V75" i="17"/>
  <c r="V76" i="17"/>
  <c r="V77" i="17"/>
  <c r="V78" i="17"/>
  <c r="V79" i="17"/>
  <c r="V80" i="17"/>
  <c r="V81" i="17"/>
  <c r="V82" i="17"/>
  <c r="V83" i="17"/>
  <c r="V84" i="17"/>
  <c r="V85" i="17"/>
  <c r="V86" i="17"/>
  <c r="V87" i="17"/>
  <c r="V88" i="17"/>
  <c r="V89" i="17"/>
  <c r="V90" i="17"/>
  <c r="V91" i="17"/>
  <c r="V92" i="17"/>
  <c r="V93" i="17"/>
  <c r="V94" i="17"/>
  <c r="V95" i="17"/>
  <c r="V96" i="17"/>
  <c r="V97" i="17"/>
  <c r="V98" i="17"/>
  <c r="V99" i="17"/>
  <c r="V100" i="17"/>
  <c r="V101" i="17"/>
  <c r="V102" i="17"/>
  <c r="V103" i="17"/>
  <c r="V104" i="17"/>
  <c r="V105" i="17"/>
  <c r="V106" i="17"/>
  <c r="V107" i="17"/>
  <c r="V108" i="17"/>
  <c r="V109" i="17"/>
  <c r="V110" i="17"/>
  <c r="V111" i="17"/>
  <c r="V112" i="17"/>
  <c r="V113" i="17"/>
  <c r="V114" i="17"/>
  <c r="V115" i="17"/>
  <c r="V116" i="17"/>
  <c r="V117" i="17"/>
  <c r="V118" i="17"/>
  <c r="V119" i="17"/>
  <c r="V120" i="17"/>
  <c r="V121" i="17"/>
  <c r="V122" i="17"/>
  <c r="V123" i="17"/>
  <c r="V124" i="17"/>
  <c r="V125" i="17"/>
  <c r="V126" i="17"/>
  <c r="V127" i="17"/>
  <c r="V128" i="17"/>
  <c r="V129" i="17"/>
  <c r="V130" i="17"/>
  <c r="V131" i="17"/>
  <c r="V132" i="17"/>
  <c r="V133" i="17"/>
  <c r="V134" i="17"/>
  <c r="V135" i="17"/>
  <c r="V136" i="17"/>
  <c r="V137" i="17"/>
  <c r="V138" i="17"/>
  <c r="V139" i="17"/>
  <c r="V140" i="17"/>
  <c r="V141" i="17"/>
  <c r="V142" i="17"/>
  <c r="V143" i="17"/>
  <c r="V144" i="17"/>
  <c r="V145" i="17"/>
  <c r="V146" i="17"/>
  <c r="V147" i="17"/>
  <c r="V148" i="17"/>
  <c r="V149" i="17"/>
  <c r="V150" i="17"/>
  <c r="V151" i="17"/>
  <c r="V152" i="17"/>
  <c r="V153" i="17"/>
  <c r="V154" i="17"/>
  <c r="V155" i="17"/>
  <c r="V156" i="17"/>
  <c r="V157" i="17"/>
  <c r="V158" i="17"/>
  <c r="V159" i="17"/>
  <c r="V160" i="17"/>
  <c r="V161" i="17"/>
  <c r="V162" i="17"/>
  <c r="V163" i="17"/>
  <c r="V164" i="17"/>
  <c r="V165" i="17"/>
  <c r="V166" i="17"/>
  <c r="V167" i="17"/>
  <c r="V168" i="17"/>
  <c r="V169" i="17"/>
  <c r="V170" i="17"/>
  <c r="V171" i="17"/>
  <c r="V172" i="17"/>
  <c r="V173" i="17"/>
  <c r="V174" i="17"/>
  <c r="V175" i="17"/>
  <c r="V176" i="17"/>
  <c r="V177" i="17"/>
  <c r="V178" i="17"/>
  <c r="V179" i="17"/>
  <c r="V180" i="17"/>
  <c r="V181" i="17"/>
  <c r="V182" i="17"/>
  <c r="V183" i="17"/>
  <c r="V184" i="17"/>
  <c r="V185" i="17"/>
  <c r="V186" i="17"/>
  <c r="V187" i="17"/>
  <c r="V188" i="17"/>
  <c r="V189" i="17"/>
  <c r="V190" i="17"/>
  <c r="V191" i="17"/>
  <c r="V192" i="17"/>
  <c r="V193" i="17"/>
  <c r="V194" i="17"/>
  <c r="V195" i="17"/>
  <c r="V196" i="17"/>
  <c r="V197" i="17"/>
  <c r="V198" i="17"/>
  <c r="V199" i="17"/>
  <c r="V200" i="17"/>
  <c r="V201" i="17"/>
  <c r="V202" i="17"/>
  <c r="V203" i="17"/>
  <c r="V204" i="17"/>
  <c r="V205" i="17"/>
  <c r="V206" i="17"/>
  <c r="V207" i="17"/>
  <c r="V208" i="17"/>
  <c r="V209" i="17"/>
  <c r="V210" i="17"/>
  <c r="V211" i="17"/>
  <c r="V212" i="17"/>
  <c r="V213" i="17"/>
  <c r="V214" i="17"/>
  <c r="V215" i="17"/>
  <c r="V216" i="17"/>
  <c r="V217" i="17"/>
  <c r="V218" i="17"/>
  <c r="V219" i="17"/>
  <c r="V220" i="17"/>
  <c r="V221" i="17"/>
  <c r="V222" i="17"/>
  <c r="V223" i="17"/>
  <c r="V224" i="17"/>
  <c r="V225" i="17"/>
  <c r="V226" i="17"/>
  <c r="V227" i="17"/>
  <c r="V228" i="17"/>
  <c r="V229" i="17"/>
  <c r="V230" i="17"/>
  <c r="V231" i="17"/>
  <c r="V232" i="17"/>
  <c r="V233" i="17"/>
  <c r="V234" i="17"/>
  <c r="V235" i="17"/>
  <c r="V236" i="17"/>
  <c r="V237" i="17"/>
  <c r="V238" i="17"/>
  <c r="V239" i="17"/>
  <c r="V240" i="17"/>
  <c r="V241" i="17"/>
  <c r="V242" i="17"/>
  <c r="V243" i="17"/>
  <c r="V244" i="17"/>
  <c r="V245" i="17"/>
  <c r="V246" i="17"/>
  <c r="V247" i="17"/>
  <c r="V248" i="17"/>
  <c r="V249" i="17"/>
  <c r="V250" i="17"/>
  <c r="V251" i="17"/>
  <c r="V252" i="17"/>
  <c r="V253" i="17"/>
  <c r="V254" i="17"/>
  <c r="V255" i="17"/>
  <c r="V256" i="17"/>
  <c r="V257" i="17"/>
  <c r="V258" i="17"/>
  <c r="V259" i="17"/>
  <c r="V260" i="17"/>
  <c r="V261" i="17"/>
  <c r="V262" i="17"/>
  <c r="V263" i="17"/>
  <c r="V264" i="17"/>
  <c r="V265" i="17"/>
  <c r="V266" i="17"/>
  <c r="V267" i="17"/>
  <c r="V268" i="17"/>
  <c r="V269" i="17"/>
  <c r="V270" i="17"/>
  <c r="V271" i="17"/>
  <c r="V272" i="17"/>
  <c r="V273" i="17"/>
  <c r="V274" i="17"/>
  <c r="V275" i="17"/>
  <c r="V276" i="17"/>
  <c r="V277" i="17"/>
  <c r="V278" i="17"/>
  <c r="V279" i="17"/>
  <c r="V280" i="17"/>
  <c r="V281" i="17"/>
  <c r="V282" i="17"/>
  <c r="V283" i="17"/>
  <c r="V284" i="17"/>
  <c r="V285" i="17"/>
  <c r="V286" i="17"/>
  <c r="V287" i="17"/>
  <c r="V288" i="17"/>
  <c r="V289" i="17"/>
  <c r="V290" i="17"/>
  <c r="V291" i="17"/>
  <c r="V292" i="17"/>
  <c r="V293" i="17"/>
  <c r="V294" i="17"/>
  <c r="V295" i="17"/>
  <c r="V296" i="17"/>
  <c r="V297" i="17"/>
  <c r="V298" i="17"/>
  <c r="V299" i="17"/>
  <c r="V300" i="17"/>
  <c r="V301" i="17"/>
  <c r="V302" i="17"/>
  <c r="V303" i="17"/>
  <c r="V304" i="17"/>
  <c r="V305" i="17"/>
  <c r="V306" i="17"/>
  <c r="V307" i="17"/>
  <c r="V308" i="17"/>
  <c r="V309" i="17"/>
  <c r="V310" i="17"/>
  <c r="V311" i="17"/>
  <c r="V312" i="17"/>
  <c r="V313" i="17"/>
  <c r="V314" i="17"/>
  <c r="V315" i="17"/>
  <c r="V316" i="17"/>
  <c r="V317" i="17"/>
  <c r="V318" i="17"/>
  <c r="V319" i="17"/>
  <c r="V320" i="17"/>
  <c r="V321" i="17"/>
  <c r="V322" i="17"/>
  <c r="V323" i="17"/>
  <c r="V324" i="17"/>
  <c r="V325" i="17"/>
  <c r="V326" i="17"/>
  <c r="V327" i="17"/>
  <c r="V328" i="17"/>
  <c r="V329" i="17"/>
  <c r="V330" i="17"/>
  <c r="V331" i="17"/>
  <c r="V332" i="17"/>
  <c r="V333" i="17"/>
  <c r="V334" i="17"/>
  <c r="V335" i="17"/>
  <c r="V336" i="17"/>
  <c r="V337" i="17"/>
  <c r="V338" i="17"/>
  <c r="V339" i="17"/>
  <c r="V340" i="17"/>
  <c r="V341" i="17"/>
  <c r="V342" i="17"/>
  <c r="V343" i="17"/>
  <c r="V344" i="17"/>
  <c r="V345" i="17"/>
  <c r="V346" i="17"/>
  <c r="V347" i="17"/>
  <c r="V348" i="17"/>
  <c r="V349" i="17"/>
  <c r="V350" i="17"/>
  <c r="V351" i="17"/>
  <c r="V352" i="17"/>
  <c r="V353" i="17"/>
  <c r="U3" i="17"/>
  <c r="U4" i="17"/>
  <c r="U5" i="17"/>
  <c r="U6" i="17"/>
  <c r="U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168" i="17"/>
  <c r="U169" i="17"/>
  <c r="U170" i="17"/>
  <c r="U171" i="17"/>
  <c r="U172" i="17"/>
  <c r="U173" i="17"/>
  <c r="U174" i="17"/>
  <c r="U175" i="17"/>
  <c r="U176" i="17"/>
  <c r="U177" i="17"/>
  <c r="U178" i="17"/>
  <c r="U179" i="17"/>
  <c r="U180" i="17"/>
  <c r="U181" i="17"/>
  <c r="U182" i="17"/>
  <c r="U183" i="17"/>
  <c r="U184" i="17"/>
  <c r="U185" i="17"/>
  <c r="U186" i="17"/>
  <c r="U187" i="17"/>
  <c r="U188" i="17"/>
  <c r="U189" i="17"/>
  <c r="U190" i="17"/>
  <c r="U191" i="17"/>
  <c r="U192" i="17"/>
  <c r="U193" i="17"/>
  <c r="U194" i="17"/>
  <c r="U195" i="17"/>
  <c r="U196" i="17"/>
  <c r="U197" i="17"/>
  <c r="U198" i="17"/>
  <c r="U199" i="17"/>
  <c r="U200" i="17"/>
  <c r="U201" i="17"/>
  <c r="U202" i="17"/>
  <c r="U203" i="17"/>
  <c r="U204" i="17"/>
  <c r="U205" i="17"/>
  <c r="U206" i="17"/>
  <c r="U207" i="17"/>
  <c r="U208" i="17"/>
  <c r="U209" i="17"/>
  <c r="U210" i="17"/>
  <c r="U211" i="17"/>
  <c r="U212" i="17"/>
  <c r="U213" i="17"/>
  <c r="U214" i="17"/>
  <c r="U215" i="17"/>
  <c r="U216" i="17"/>
  <c r="U217" i="17"/>
  <c r="U218" i="17"/>
  <c r="U219" i="17"/>
  <c r="U220" i="17"/>
  <c r="U221" i="17"/>
  <c r="U222" i="17"/>
  <c r="U223" i="17"/>
  <c r="U224" i="17"/>
  <c r="U225" i="17"/>
  <c r="U226" i="17"/>
  <c r="U227" i="17"/>
  <c r="U228" i="17"/>
  <c r="U229" i="17"/>
  <c r="U230" i="17"/>
  <c r="U231" i="17"/>
  <c r="U232" i="17"/>
  <c r="U233" i="17"/>
  <c r="U234" i="17"/>
  <c r="U235" i="17"/>
  <c r="U236" i="17"/>
  <c r="U237" i="17"/>
  <c r="U238" i="17"/>
  <c r="U239" i="17"/>
  <c r="U240" i="17"/>
  <c r="U241" i="17"/>
  <c r="U242" i="17"/>
  <c r="U243" i="17"/>
  <c r="U244" i="17"/>
  <c r="U245" i="17"/>
  <c r="U246" i="17"/>
  <c r="U247" i="17"/>
  <c r="U248" i="17"/>
  <c r="U249" i="17"/>
  <c r="U250" i="17"/>
  <c r="U251" i="17"/>
  <c r="U252" i="17"/>
  <c r="U253" i="17"/>
  <c r="U254" i="17"/>
  <c r="U255" i="17"/>
  <c r="U256" i="17"/>
  <c r="U257" i="17"/>
  <c r="U258" i="17"/>
  <c r="U259" i="17"/>
  <c r="U260" i="17"/>
  <c r="U261" i="17"/>
  <c r="U262" i="17"/>
  <c r="U263" i="17"/>
  <c r="U264" i="17"/>
  <c r="U265" i="17"/>
  <c r="U266" i="17"/>
  <c r="U267" i="17"/>
  <c r="U268" i="17"/>
  <c r="U269" i="17"/>
  <c r="U270" i="17"/>
  <c r="U271" i="17"/>
  <c r="U272" i="17"/>
  <c r="U273" i="17"/>
  <c r="U274" i="17"/>
  <c r="U275" i="17"/>
  <c r="U276" i="17"/>
  <c r="U277" i="17"/>
  <c r="U278" i="17"/>
  <c r="U279" i="17"/>
  <c r="U280" i="17"/>
  <c r="U281" i="17"/>
  <c r="U282" i="17"/>
  <c r="U283" i="17"/>
  <c r="U284" i="17"/>
  <c r="U285" i="17"/>
  <c r="U286" i="17"/>
  <c r="U287" i="17"/>
  <c r="U288" i="17"/>
  <c r="U289" i="17"/>
  <c r="U290" i="17"/>
  <c r="U291" i="17"/>
  <c r="U292" i="17"/>
  <c r="U293" i="17"/>
  <c r="U294" i="17"/>
  <c r="U295" i="17"/>
  <c r="U296" i="17"/>
  <c r="U297" i="17"/>
  <c r="U298" i="17"/>
  <c r="U299" i="17"/>
  <c r="U300" i="17"/>
  <c r="U301" i="17"/>
  <c r="U302" i="17"/>
  <c r="U303" i="17"/>
  <c r="U304" i="17"/>
  <c r="U305" i="17"/>
  <c r="U306" i="17"/>
  <c r="U307" i="17"/>
  <c r="U308" i="17"/>
  <c r="U309" i="17"/>
  <c r="U310" i="17"/>
  <c r="U311" i="17"/>
  <c r="U312" i="17"/>
  <c r="U313" i="17"/>
  <c r="U314" i="17"/>
  <c r="U315" i="17"/>
  <c r="U316" i="17"/>
  <c r="U317" i="17"/>
  <c r="U318" i="17"/>
  <c r="U319" i="17"/>
  <c r="U320" i="17"/>
  <c r="U321" i="17"/>
  <c r="U322" i="17"/>
  <c r="U323" i="17"/>
  <c r="U324" i="17"/>
  <c r="U325" i="17"/>
  <c r="U326" i="17"/>
  <c r="U327" i="17"/>
  <c r="U328" i="17"/>
  <c r="U329" i="17"/>
  <c r="U330" i="17"/>
  <c r="U331" i="17"/>
  <c r="U332" i="17"/>
  <c r="U333" i="17"/>
  <c r="U334" i="17"/>
  <c r="U335" i="17"/>
  <c r="U336" i="17"/>
  <c r="U337" i="17"/>
  <c r="U338" i="17"/>
  <c r="U339" i="17"/>
  <c r="U340" i="17"/>
  <c r="U341" i="17"/>
  <c r="U342" i="17"/>
  <c r="U343" i="17"/>
  <c r="U344" i="17"/>
  <c r="U345" i="17"/>
  <c r="U346" i="17"/>
  <c r="U347" i="17"/>
  <c r="U348" i="17"/>
  <c r="U349" i="17"/>
  <c r="U350" i="17"/>
  <c r="U351" i="17"/>
  <c r="U352" i="17"/>
  <c r="U353" i="17"/>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T202" i="17"/>
  <c r="T203" i="17"/>
  <c r="T204" i="17"/>
  <c r="T205" i="17"/>
  <c r="T206" i="17"/>
  <c r="T207" i="17"/>
  <c r="T208" i="17"/>
  <c r="T209" i="17"/>
  <c r="T210" i="17"/>
  <c r="T211" i="17"/>
  <c r="T212" i="17"/>
  <c r="T213" i="17"/>
  <c r="T214" i="17"/>
  <c r="T215" i="17"/>
  <c r="T216" i="17"/>
  <c r="T217" i="17"/>
  <c r="T218" i="17"/>
  <c r="T219" i="17"/>
  <c r="T220" i="17"/>
  <c r="T221" i="17"/>
  <c r="T222" i="17"/>
  <c r="T223" i="17"/>
  <c r="T224" i="17"/>
  <c r="T225" i="17"/>
  <c r="T226" i="17"/>
  <c r="T227" i="17"/>
  <c r="T228" i="17"/>
  <c r="T229" i="17"/>
  <c r="T230" i="17"/>
  <c r="T231" i="17"/>
  <c r="T232" i="17"/>
  <c r="T233" i="17"/>
  <c r="T234" i="17"/>
  <c r="T235" i="17"/>
  <c r="T236" i="17"/>
  <c r="T237" i="17"/>
  <c r="T238" i="17"/>
  <c r="T239" i="17"/>
  <c r="T240" i="17"/>
  <c r="T241" i="17"/>
  <c r="T242" i="17"/>
  <c r="T243" i="17"/>
  <c r="T244" i="17"/>
  <c r="T245" i="17"/>
  <c r="T246" i="17"/>
  <c r="T247" i="17"/>
  <c r="T248" i="17"/>
  <c r="T249" i="17"/>
  <c r="T250" i="17"/>
  <c r="T251" i="17"/>
  <c r="T252" i="17"/>
  <c r="T253" i="17"/>
  <c r="T254" i="17"/>
  <c r="T255" i="17"/>
  <c r="T256" i="17"/>
  <c r="T257" i="17"/>
  <c r="T258" i="17"/>
  <c r="T259" i="17"/>
  <c r="T260" i="17"/>
  <c r="T261" i="17"/>
  <c r="T262" i="17"/>
  <c r="T263" i="17"/>
  <c r="T264" i="17"/>
  <c r="T265" i="17"/>
  <c r="T266" i="17"/>
  <c r="T267" i="17"/>
  <c r="T268" i="17"/>
  <c r="T269" i="17"/>
  <c r="T270" i="17"/>
  <c r="T271" i="17"/>
  <c r="T272" i="17"/>
  <c r="T273" i="17"/>
  <c r="T274" i="17"/>
  <c r="T275" i="17"/>
  <c r="T276" i="17"/>
  <c r="T277" i="17"/>
  <c r="T278" i="17"/>
  <c r="T279" i="17"/>
  <c r="T280" i="17"/>
  <c r="T281" i="17"/>
  <c r="T282" i="17"/>
  <c r="T283" i="17"/>
  <c r="T284" i="17"/>
  <c r="T285" i="17"/>
  <c r="T286" i="17"/>
  <c r="T287" i="17"/>
  <c r="T288" i="17"/>
  <c r="T289" i="17"/>
  <c r="T290" i="17"/>
  <c r="T291" i="17"/>
  <c r="T292" i="17"/>
  <c r="T293" i="17"/>
  <c r="T294" i="17"/>
  <c r="T295" i="17"/>
  <c r="T296" i="17"/>
  <c r="T297" i="17"/>
  <c r="T298" i="17"/>
  <c r="T299" i="17"/>
  <c r="T300" i="17"/>
  <c r="T301" i="17"/>
  <c r="T302" i="17"/>
  <c r="T303" i="17"/>
  <c r="T304" i="17"/>
  <c r="T305" i="17"/>
  <c r="T306" i="17"/>
  <c r="T307" i="17"/>
  <c r="T308" i="17"/>
  <c r="T309" i="17"/>
  <c r="T310" i="17"/>
  <c r="T311" i="17"/>
  <c r="T312" i="17"/>
  <c r="T313" i="17"/>
  <c r="T314" i="17"/>
  <c r="T315" i="17"/>
  <c r="T316" i="17"/>
  <c r="T317" i="17"/>
  <c r="T318" i="17"/>
  <c r="T319" i="17"/>
  <c r="T320" i="17"/>
  <c r="T321" i="17"/>
  <c r="T322" i="17"/>
  <c r="T323" i="17"/>
  <c r="T324" i="17"/>
  <c r="T325" i="17"/>
  <c r="T326" i="17"/>
  <c r="T327" i="17"/>
  <c r="T328" i="17"/>
  <c r="T329" i="17"/>
  <c r="T330" i="17"/>
  <c r="T331" i="17"/>
  <c r="T332" i="17"/>
  <c r="T333" i="17"/>
  <c r="T334" i="17"/>
  <c r="T335" i="17"/>
  <c r="T336" i="17"/>
  <c r="T337" i="17"/>
  <c r="T338" i="17"/>
  <c r="T339" i="17"/>
  <c r="T340" i="17"/>
  <c r="T341" i="17"/>
  <c r="T342" i="17"/>
  <c r="T343" i="17"/>
  <c r="T344" i="17"/>
  <c r="T345" i="17"/>
  <c r="T346" i="17"/>
  <c r="T347" i="17"/>
  <c r="T348" i="17"/>
  <c r="T349" i="17"/>
  <c r="T350" i="17"/>
  <c r="T351" i="17"/>
  <c r="T352" i="17"/>
  <c r="T353" i="17"/>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X112" i="17"/>
  <c r="X113" i="17"/>
  <c r="X114" i="17"/>
  <c r="X115" i="17"/>
  <c r="X116" i="17"/>
  <c r="X117" i="17"/>
  <c r="X118" i="17"/>
  <c r="X119" i="17"/>
  <c r="X120" i="17"/>
  <c r="X121" i="17"/>
  <c r="X122" i="17"/>
  <c r="X123" i="17"/>
  <c r="X124" i="17"/>
  <c r="X125" i="17"/>
  <c r="X126" i="17"/>
  <c r="X127" i="17"/>
  <c r="X128" i="17"/>
  <c r="X129" i="17"/>
  <c r="X130" i="17"/>
  <c r="X131" i="17"/>
  <c r="X132" i="17"/>
  <c r="X133" i="17"/>
  <c r="X134" i="17"/>
  <c r="X135" i="17"/>
  <c r="X136" i="17"/>
  <c r="X137" i="17"/>
  <c r="X138" i="17"/>
  <c r="X139" i="17"/>
  <c r="X140" i="17"/>
  <c r="X141" i="17"/>
  <c r="X142" i="17"/>
  <c r="X143" i="17"/>
  <c r="X144" i="17"/>
  <c r="X145" i="17"/>
  <c r="X146" i="17"/>
  <c r="X147" i="17"/>
  <c r="X148" i="17"/>
  <c r="X149" i="17"/>
  <c r="X150" i="17"/>
  <c r="X151" i="17"/>
  <c r="X152" i="17"/>
  <c r="X153" i="17"/>
  <c r="X154" i="17"/>
  <c r="X155" i="17"/>
  <c r="X156" i="17"/>
  <c r="X157" i="17"/>
  <c r="X158" i="17"/>
  <c r="X159" i="17"/>
  <c r="X160" i="17"/>
  <c r="X161" i="17"/>
  <c r="X162" i="17"/>
  <c r="X163" i="17"/>
  <c r="X164" i="17"/>
  <c r="X165" i="17"/>
  <c r="X166" i="17"/>
  <c r="X167" i="17"/>
  <c r="X168" i="17"/>
  <c r="X169" i="17"/>
  <c r="X170" i="17"/>
  <c r="X171" i="17"/>
  <c r="X172" i="17"/>
  <c r="X173" i="17"/>
  <c r="X174" i="17"/>
  <c r="X175" i="17"/>
  <c r="X176" i="17"/>
  <c r="X177" i="17"/>
  <c r="X178" i="17"/>
  <c r="X179" i="17"/>
  <c r="X180" i="17"/>
  <c r="X181" i="17"/>
  <c r="X182" i="17"/>
  <c r="X183" i="17"/>
  <c r="X184" i="17"/>
  <c r="X185" i="17"/>
  <c r="X186" i="17"/>
  <c r="X187" i="17"/>
  <c r="X188" i="17"/>
  <c r="X189" i="17"/>
  <c r="X190" i="17"/>
  <c r="X191" i="17"/>
  <c r="X192" i="17"/>
  <c r="X193" i="17"/>
  <c r="X194" i="17"/>
  <c r="X195" i="17"/>
  <c r="X196" i="17"/>
  <c r="X197" i="17"/>
  <c r="X198" i="17"/>
  <c r="X199" i="17"/>
  <c r="X200" i="17"/>
  <c r="X201" i="17"/>
  <c r="X202" i="17"/>
  <c r="X203" i="17"/>
  <c r="X204" i="17"/>
  <c r="X205" i="17"/>
  <c r="X206" i="17"/>
  <c r="X207" i="17"/>
  <c r="X208" i="17"/>
  <c r="X209" i="17"/>
  <c r="X210" i="17"/>
  <c r="X211" i="17"/>
  <c r="X212" i="17"/>
  <c r="X213" i="17"/>
  <c r="X214" i="17"/>
  <c r="X215" i="17"/>
  <c r="X216" i="17"/>
  <c r="X217" i="17"/>
  <c r="X218" i="17"/>
  <c r="X219" i="17"/>
  <c r="X220" i="17"/>
  <c r="X221" i="17"/>
  <c r="X222" i="17"/>
  <c r="X223" i="17"/>
  <c r="X224" i="17"/>
  <c r="X225" i="17"/>
  <c r="X226" i="17"/>
  <c r="X227" i="17"/>
  <c r="X228" i="17"/>
  <c r="X229" i="17"/>
  <c r="X230" i="17"/>
  <c r="X231" i="17"/>
  <c r="X232" i="17"/>
  <c r="X233" i="17"/>
  <c r="X234" i="17"/>
  <c r="X235" i="17"/>
  <c r="X236" i="17"/>
  <c r="X237" i="17"/>
  <c r="X238" i="17"/>
  <c r="X239" i="17"/>
  <c r="X240" i="17"/>
  <c r="X241" i="17"/>
  <c r="X242" i="17"/>
  <c r="X243" i="17"/>
  <c r="X244" i="17"/>
  <c r="X245" i="17"/>
  <c r="X246" i="17"/>
  <c r="X247" i="17"/>
  <c r="X248" i="17"/>
  <c r="X249" i="17"/>
  <c r="X250" i="17"/>
  <c r="X251" i="17"/>
  <c r="X252" i="17"/>
  <c r="X253" i="17"/>
  <c r="X254" i="17"/>
  <c r="X255" i="17"/>
  <c r="X256" i="17"/>
  <c r="X257" i="17"/>
  <c r="X258" i="17"/>
  <c r="X259" i="17"/>
  <c r="X260" i="17"/>
  <c r="X261" i="17"/>
  <c r="X262" i="17"/>
  <c r="X263" i="17"/>
  <c r="X264" i="17"/>
  <c r="X265" i="17"/>
  <c r="X266" i="17"/>
  <c r="X267" i="17"/>
  <c r="X268" i="17"/>
  <c r="X269" i="17"/>
  <c r="X270" i="17"/>
  <c r="X271" i="17"/>
  <c r="X272" i="17"/>
  <c r="X273" i="17"/>
  <c r="X274" i="17"/>
  <c r="X275" i="17"/>
  <c r="X276" i="17"/>
  <c r="X277" i="17"/>
  <c r="X278" i="17"/>
  <c r="X279" i="17"/>
  <c r="X280" i="17"/>
  <c r="X281" i="17"/>
  <c r="X282" i="17"/>
  <c r="X283" i="17"/>
  <c r="X284" i="17"/>
  <c r="X285" i="17"/>
  <c r="X286" i="17"/>
  <c r="X287" i="17"/>
  <c r="X288" i="17"/>
  <c r="X289" i="17"/>
  <c r="X290" i="17"/>
  <c r="X291" i="17"/>
  <c r="X292" i="17"/>
  <c r="X293" i="17"/>
  <c r="X294" i="17"/>
  <c r="X295" i="17"/>
  <c r="X296" i="17"/>
  <c r="X297" i="17"/>
  <c r="X298" i="17"/>
  <c r="X299" i="17"/>
  <c r="X300" i="17"/>
  <c r="X301" i="17"/>
  <c r="X302" i="17"/>
  <c r="X303" i="17"/>
  <c r="X304" i="17"/>
  <c r="X305" i="17"/>
  <c r="X306" i="17"/>
  <c r="X307" i="17"/>
  <c r="X308" i="17"/>
  <c r="X309" i="17"/>
  <c r="X310" i="17"/>
  <c r="X311" i="17"/>
  <c r="X312" i="17"/>
  <c r="X313" i="17"/>
  <c r="X314" i="17"/>
  <c r="X315" i="17"/>
  <c r="X316" i="17"/>
  <c r="X317" i="17"/>
  <c r="X318" i="17"/>
  <c r="X319" i="17"/>
  <c r="X320" i="17"/>
  <c r="X321" i="17"/>
  <c r="X322" i="17"/>
  <c r="X323" i="17"/>
  <c r="X324" i="17"/>
  <c r="X325" i="17"/>
  <c r="X326" i="17"/>
  <c r="X327" i="17"/>
  <c r="X328" i="17"/>
  <c r="X329" i="17"/>
  <c r="X330" i="17"/>
  <c r="X331" i="17"/>
  <c r="X332" i="17"/>
  <c r="X333" i="17"/>
  <c r="X334" i="17"/>
  <c r="X335" i="17"/>
  <c r="X336" i="17"/>
  <c r="X337" i="17"/>
  <c r="X338" i="17"/>
  <c r="X339" i="17"/>
  <c r="X340" i="17"/>
  <c r="X341" i="17"/>
  <c r="X342" i="17"/>
  <c r="X343" i="17"/>
  <c r="X344" i="17"/>
  <c r="X345" i="17"/>
  <c r="X346" i="17"/>
  <c r="X347" i="17"/>
  <c r="X348" i="17"/>
  <c r="X349" i="17"/>
  <c r="X350" i="17"/>
  <c r="X351" i="17"/>
  <c r="X352" i="17"/>
  <c r="X353" i="17"/>
  <c r="X2" i="17"/>
  <c r="O82" i="17"/>
  <c r="N82" i="17"/>
  <c r="M82" i="17"/>
  <c r="L82" i="17"/>
  <c r="O81" i="17"/>
  <c r="N81" i="17"/>
  <c r="M81" i="17"/>
  <c r="L81" i="17"/>
  <c r="O80" i="17"/>
  <c r="N80" i="17"/>
  <c r="M80" i="17"/>
  <c r="L80" i="17"/>
  <c r="O79" i="17"/>
  <c r="N79" i="17"/>
  <c r="M79" i="17"/>
  <c r="L79" i="17"/>
  <c r="O78" i="17"/>
  <c r="N78" i="17"/>
  <c r="M78" i="17"/>
  <c r="L78" i="17"/>
  <c r="O77" i="17"/>
  <c r="N77" i="17"/>
  <c r="M77" i="17"/>
  <c r="L77" i="17"/>
  <c r="O76" i="17"/>
  <c r="N76" i="17"/>
  <c r="M76" i="17"/>
  <c r="L76" i="17"/>
  <c r="O75" i="17"/>
  <c r="N75" i="17"/>
  <c r="M75" i="17"/>
  <c r="L75" i="17"/>
  <c r="O74" i="17"/>
  <c r="N74" i="17"/>
  <c r="M74" i="17"/>
  <c r="L74" i="17"/>
  <c r="O73" i="17"/>
  <c r="N73" i="17"/>
  <c r="M73" i="17"/>
  <c r="L73" i="17"/>
  <c r="O72" i="17"/>
  <c r="N72" i="17"/>
  <c r="M72" i="17"/>
  <c r="L72" i="17"/>
  <c r="O71" i="17"/>
  <c r="N71" i="17"/>
  <c r="M71" i="17"/>
  <c r="L71" i="17"/>
  <c r="O70" i="17"/>
  <c r="N70" i="17"/>
  <c r="M70" i="17"/>
  <c r="L70" i="17"/>
  <c r="O69" i="17"/>
  <c r="N69" i="17"/>
  <c r="M69" i="17"/>
  <c r="L69" i="17"/>
  <c r="O68" i="17"/>
  <c r="N68" i="17"/>
  <c r="M68" i="17"/>
  <c r="L68" i="17"/>
  <c r="O67" i="17"/>
  <c r="N67" i="17"/>
  <c r="M67" i="17"/>
  <c r="L67" i="17"/>
  <c r="O66" i="17"/>
  <c r="N66" i="17"/>
  <c r="M66" i="17"/>
  <c r="L66" i="17"/>
  <c r="O65" i="17"/>
  <c r="N65" i="17"/>
  <c r="M65" i="17"/>
  <c r="L65" i="17"/>
  <c r="O64" i="17"/>
  <c r="N64" i="17"/>
  <c r="M64" i="17"/>
  <c r="L64" i="17"/>
  <c r="O63" i="17"/>
  <c r="N63" i="17"/>
  <c r="M63" i="17"/>
  <c r="L63" i="17"/>
  <c r="O62" i="17"/>
  <c r="N62" i="17"/>
  <c r="M62" i="17"/>
  <c r="L62" i="17"/>
  <c r="O61" i="17"/>
  <c r="N61" i="17"/>
  <c r="M61" i="17"/>
  <c r="L61" i="17"/>
  <c r="O60" i="17"/>
  <c r="N60" i="17"/>
  <c r="M60" i="17"/>
  <c r="L60" i="17"/>
  <c r="O59" i="17"/>
  <c r="N59" i="17"/>
  <c r="M59" i="17"/>
  <c r="L59" i="17"/>
  <c r="O58" i="17"/>
  <c r="N58" i="17"/>
  <c r="M58" i="17"/>
  <c r="L58" i="17"/>
  <c r="O57" i="17"/>
  <c r="N57" i="17"/>
  <c r="M57" i="17"/>
  <c r="L57" i="17"/>
  <c r="O56" i="17"/>
  <c r="N56" i="17"/>
  <c r="M56" i="17"/>
  <c r="L56" i="17"/>
  <c r="O55" i="17"/>
  <c r="N55" i="17"/>
  <c r="M55" i="17"/>
  <c r="L55" i="17"/>
  <c r="O54" i="17"/>
  <c r="N54" i="17"/>
  <c r="M54" i="17"/>
  <c r="L54" i="17"/>
  <c r="O53" i="17"/>
  <c r="N53" i="17"/>
  <c r="M53" i="17"/>
  <c r="L53" i="17"/>
  <c r="O52" i="17"/>
  <c r="N52" i="17"/>
  <c r="M52" i="17"/>
  <c r="L52" i="17"/>
  <c r="O51" i="17"/>
  <c r="N51" i="17"/>
  <c r="M51" i="17"/>
  <c r="L51" i="17"/>
  <c r="O50" i="17"/>
  <c r="N50" i="17"/>
  <c r="M50" i="17"/>
  <c r="L50" i="17"/>
  <c r="O49" i="17"/>
  <c r="N49" i="17"/>
  <c r="M49" i="17"/>
  <c r="L49" i="17"/>
  <c r="O48" i="17"/>
  <c r="N48" i="17"/>
  <c r="M48" i="17"/>
  <c r="L48" i="17"/>
  <c r="O47" i="17"/>
  <c r="N47" i="17"/>
  <c r="M47" i="17"/>
  <c r="L47" i="17"/>
  <c r="O46" i="17"/>
  <c r="N46" i="17"/>
  <c r="M46" i="17"/>
  <c r="L46" i="17"/>
  <c r="O45" i="17"/>
  <c r="N45" i="17"/>
  <c r="M45" i="17"/>
  <c r="L45" i="17"/>
  <c r="O44" i="17"/>
  <c r="N44" i="17"/>
  <c r="M44" i="17"/>
  <c r="L44" i="17"/>
  <c r="O43" i="17"/>
  <c r="N43" i="17"/>
  <c r="M43" i="17"/>
  <c r="L43" i="17"/>
  <c r="O42" i="17"/>
  <c r="N42" i="17"/>
  <c r="M42" i="17"/>
  <c r="L42" i="17"/>
  <c r="O41" i="17"/>
  <c r="N41" i="17"/>
  <c r="M41" i="17"/>
  <c r="L41" i="17"/>
  <c r="O40" i="17"/>
  <c r="N40" i="17"/>
  <c r="M40" i="17"/>
  <c r="L40" i="17"/>
  <c r="O39" i="17"/>
  <c r="N39" i="17"/>
  <c r="M39" i="17"/>
  <c r="L39" i="17"/>
  <c r="O38" i="17"/>
  <c r="N38" i="17"/>
  <c r="M38" i="17"/>
  <c r="L38" i="17"/>
  <c r="O37" i="17"/>
  <c r="N37" i="17"/>
  <c r="M37" i="17"/>
  <c r="L37" i="17"/>
  <c r="O36" i="17"/>
  <c r="N36" i="17"/>
  <c r="M36" i="17"/>
  <c r="L36" i="17"/>
  <c r="O35" i="17"/>
  <c r="N35" i="17"/>
  <c r="M35" i="17"/>
  <c r="L35" i="17"/>
  <c r="O34" i="17"/>
  <c r="N34" i="17"/>
  <c r="M34" i="17"/>
  <c r="L34" i="17"/>
  <c r="O33" i="17"/>
  <c r="N33" i="17"/>
  <c r="M33" i="17"/>
  <c r="L33" i="17"/>
  <c r="O32" i="17"/>
  <c r="N32" i="17"/>
  <c r="M32" i="17"/>
  <c r="L32" i="17"/>
  <c r="O31" i="17"/>
  <c r="N31" i="17"/>
  <c r="M31" i="17"/>
  <c r="L31" i="17"/>
  <c r="O30" i="17"/>
  <c r="N30" i="17"/>
  <c r="M30" i="17"/>
  <c r="L30" i="17"/>
  <c r="O29" i="17"/>
  <c r="N29" i="17"/>
  <c r="M29" i="17"/>
  <c r="L29" i="17"/>
  <c r="O28" i="17"/>
  <c r="N28" i="17"/>
  <c r="M28" i="17"/>
  <c r="L28" i="17"/>
  <c r="O27" i="17"/>
  <c r="N27" i="17"/>
  <c r="M27" i="17"/>
  <c r="L27" i="17"/>
  <c r="O26" i="17"/>
  <c r="N26" i="17"/>
  <c r="M26" i="17"/>
  <c r="L26" i="17"/>
  <c r="O25" i="17"/>
  <c r="N25" i="17"/>
  <c r="M25" i="17"/>
  <c r="L25" i="17"/>
  <c r="O24" i="17"/>
  <c r="N24" i="17"/>
  <c r="M24" i="17"/>
  <c r="L24" i="17"/>
  <c r="O23" i="17"/>
  <c r="N23" i="17"/>
  <c r="M23" i="17"/>
  <c r="L23" i="17"/>
  <c r="O22" i="17"/>
  <c r="N22" i="17"/>
  <c r="M22" i="17"/>
  <c r="L22" i="17"/>
  <c r="O21" i="17"/>
  <c r="N21" i="17"/>
  <c r="M21" i="17"/>
  <c r="L21" i="17"/>
  <c r="O20" i="17"/>
  <c r="N20" i="17"/>
  <c r="M20" i="17"/>
  <c r="L20" i="17"/>
  <c r="O19" i="17"/>
  <c r="N19" i="17"/>
  <c r="M19" i="17"/>
  <c r="L19" i="17"/>
  <c r="O18" i="17"/>
  <c r="N18" i="17"/>
  <c r="M18" i="17"/>
  <c r="L18" i="17"/>
  <c r="O17" i="17"/>
  <c r="N17" i="17"/>
  <c r="M17" i="17"/>
  <c r="L17" i="17"/>
  <c r="O16" i="17"/>
  <c r="N16" i="17"/>
  <c r="M16" i="17"/>
  <c r="L16" i="17"/>
  <c r="O15" i="17"/>
  <c r="N15" i="17"/>
  <c r="M15" i="17"/>
  <c r="L15" i="17"/>
  <c r="O14" i="17"/>
  <c r="N14" i="17"/>
  <c r="M14" i="17"/>
  <c r="L14" i="17"/>
  <c r="O13" i="17"/>
  <c r="N13" i="17"/>
  <c r="M13" i="17"/>
  <c r="L13" i="17"/>
  <c r="O12" i="17"/>
  <c r="N12" i="17"/>
  <c r="M12" i="17"/>
  <c r="L12" i="17"/>
  <c r="O11" i="17"/>
  <c r="N11" i="17"/>
  <c r="M11" i="17"/>
  <c r="L11" i="17"/>
  <c r="O10" i="17"/>
  <c r="N10" i="17"/>
  <c r="M10" i="17"/>
  <c r="L10" i="17"/>
  <c r="O9" i="17"/>
  <c r="N9" i="17"/>
  <c r="M9" i="17"/>
  <c r="L9" i="17"/>
  <c r="O8" i="17"/>
  <c r="N8" i="17"/>
  <c r="M8" i="17"/>
  <c r="L8" i="17"/>
  <c r="O7" i="17"/>
  <c r="N7" i="17"/>
  <c r="M7" i="17"/>
  <c r="L7" i="17"/>
  <c r="O6" i="17"/>
  <c r="N6" i="17"/>
  <c r="M6" i="17"/>
  <c r="L6" i="17"/>
  <c r="O5" i="17"/>
  <c r="N5" i="17"/>
  <c r="M5" i="17"/>
  <c r="L5" i="17"/>
  <c r="O4" i="17"/>
  <c r="N4" i="17"/>
  <c r="M4" i="17"/>
  <c r="L4" i="17"/>
  <c r="O3" i="17"/>
  <c r="N3" i="17"/>
  <c r="M3" i="17"/>
  <c r="L3" i="17"/>
  <c r="V2" i="17"/>
  <c r="U2" i="17"/>
  <c r="T2" i="17"/>
  <c r="O2" i="17"/>
  <c r="N2" i="17"/>
  <c r="M2" i="17"/>
  <c r="L2" i="17"/>
  <c r="R50" i="17"/>
  <c r="R45" i="17"/>
  <c r="B18" i="13" l="1"/>
  <c r="B25" i="13"/>
  <c r="B26" i="13"/>
  <c r="O83" i="17" l="1"/>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AF34" i="25"/>
  <c r="AF33" i="25"/>
  <c r="AF32" i="25"/>
  <c r="AF31" i="25"/>
  <c r="AF30" i="25"/>
  <c r="B20" i="13" l="1"/>
  <c r="Q340" i="17"/>
  <c r="R345" i="17"/>
  <c r="Q346" i="17"/>
  <c r="Q344" i="17"/>
  <c r="R348" i="17"/>
  <c r="Q347" i="17"/>
  <c r="Q348" i="17"/>
  <c r="R341" i="17"/>
  <c r="Q342" i="17"/>
  <c r="R343" i="17"/>
  <c r="Q341" i="17"/>
  <c r="Q345" i="17"/>
  <c r="R347" i="17"/>
  <c r="Q343" i="17"/>
  <c r="R346" i="17"/>
  <c r="R342" i="17"/>
  <c r="R340" i="17"/>
  <c r="R344" i="17"/>
  <c r="B6" i="13" l="1"/>
  <c r="B5" i="13"/>
  <c r="B21" i="13"/>
</calcChain>
</file>

<file path=xl/sharedStrings.xml><?xml version="1.0" encoding="utf-8"?>
<sst xmlns="http://schemas.openxmlformats.org/spreadsheetml/2006/main" count="8655" uniqueCount="1919">
  <si>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</si>
  <si>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</si>
  <si>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</si>
  <si>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</si>
  <si>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</si>
  <si>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</si>
  <si>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</si>
  <si>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</si>
  <si>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</si>
  <si>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</si>
  <si>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</si>
  <si>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</si>
  <si>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</si>
  <si>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</si>
  <si>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</si>
  <si>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</si>
  <si>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</si>
  <si>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</si>
  <si>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</si>
  <si>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</si>
  <si>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</si>
  <si>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</si>
  <si>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</si>
  <si>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</si>
  <si>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</si>
  <si>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</si>
  <si>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</si>
  <si>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</si>
  <si>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</si>
  <si>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</si>
  <si>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</si>
  <si>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</si>
  <si>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</si>
  <si>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</si>
  <si>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</si>
  <si>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</si>
  <si>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</si>
  <si>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</si>
  <si>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</si>
  <si>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</si>
  <si>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</si>
  <si>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</si>
  <si>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</si>
  <si>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</si>
  <si>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</si>
  <si>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</si>
  <si>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</si>
  <si>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</si>
  <si>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</si>
  <si>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</si>
  <si>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</si>
  <si>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</si>
  <si>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</si>
  <si>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</si>
  <si>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</si>
  <si>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</si>
  <si>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t>
  </si>
  <si>
    <t>Observações</t>
  </si>
  <si>
    <t>DataHora</t>
  </si>
  <si>
    <t>Algumas traduções podem precisar de revisão - Traducción al español incorporada</t>
  </si>
  <si>
    <t>Prédio</t>
  </si>
  <si>
    <t>Cidade</t>
  </si>
  <si>
    <t>Explicação</t>
  </si>
  <si>
    <t>Explicación</t>
  </si>
  <si>
    <t>Indivíduo</t>
  </si>
  <si>
    <t>Classe</t>
  </si>
  <si>
    <t>Fato</t>
  </si>
  <si>
    <t>Fato
(14)</t>
  </si>
  <si>
    <t>descrição</t>
  </si>
  <si>
    <t>Val</t>
  </si>
  <si>
    <t>0-Classe Ifc</t>
  </si>
  <si>
    <t>0-Categoria Equivalente</t>
  </si>
  <si>
    <t>0-CategoriaEquivalente</t>
  </si>
  <si>
    <t>é.dentro.de</t>
  </si>
  <si>
    <t>ABNT</t>
  </si>
  <si>
    <t>000 Translate Classe 5</t>
  </si>
  <si>
    <t>Prof. José Luis Menegotto DEG/POLI/UFRJ</t>
  </si>
  <si>
    <t>Explanation</t>
  </si>
  <si>
    <t>Idioma</t>
  </si>
  <si>
    <t>pt</t>
  </si>
  <si>
    <t>es</t>
  </si>
  <si>
    <t>en</t>
  </si>
  <si>
    <t>0</t>
  </si>
  <si>
    <t>Anotações 
de ajuda
Classe 1</t>
  </si>
  <si>
    <t>Interop</t>
  </si>
  <si>
    <t>código.abnt</t>
  </si>
  <si>
    <t>classe.ifc</t>
  </si>
  <si>
    <t>categoria.revit</t>
  </si>
  <si>
    <t>Sistema Elétrico de Força</t>
  </si>
  <si>
    <t xml:space="preserve">Sistema Elétrico </t>
  </si>
  <si>
    <t xml:space="preserve">Sistema Eléctrico </t>
  </si>
  <si>
    <t>Sistema Eléctrico de Fuerza</t>
  </si>
  <si>
    <t>Sistema Eléctrico de Iluminación</t>
  </si>
  <si>
    <t>Sistema Elétrico de Iluminação</t>
  </si>
  <si>
    <t>[ OST_SwitchSystem ]</t>
  </si>
  <si>
    <t>[ IfcDistributionSystemLIGHTING ]</t>
  </si>
  <si>
    <t>[ IfcDistributionSystemELECTRICAL ]</t>
  </si>
  <si>
    <t>modelo</t>
  </si>
  <si>
    <t>[ IfcDiscreteAccessory ]</t>
  </si>
  <si>
    <t>Instalações</t>
  </si>
  <si>
    <t>Sistema Elétrico de Geração Solar</t>
  </si>
  <si>
    <t>Sistema Eléctrico de Generación Solar</t>
  </si>
  <si>
    <t>Quadro.de.Circuitos</t>
  </si>
  <si>
    <t>Quadro.Geral.BT</t>
  </si>
  <si>
    <t>Quadro.de.Comando</t>
  </si>
  <si>
    <t>Quadro.de.Transferência</t>
  </si>
  <si>
    <t>Quadro.de.Força</t>
  </si>
  <si>
    <t>Quadro.de.Serviços</t>
  </si>
  <si>
    <t>Quadro.Photovoltáico</t>
  </si>
  <si>
    <t>Quadro.de.Iluminação</t>
  </si>
  <si>
    <t>Localizaçção dos medidores de energia elétrica</t>
  </si>
  <si>
    <t>QDC - Distribui energia para circuitos finais de iluminação, tomadas, ar-condicionado</t>
  </si>
  <si>
    <t>QGBT - Recebe a alimentação da rede e distribui para quadros menores.</t>
  </si>
  <si>
    <t>QDF - Alimenta cargas de potência de motores, compressores, bombas</t>
  </si>
  <si>
    <t>QTA - Faz a transferência automática de comutação entre a rede urbana e o gerador predial para garantir serviços críticos</t>
  </si>
  <si>
    <t>QDCC - Quadro de Comando e Controle com dispositivos de automação, relés, CLPs, contatoras e temporizadores</t>
  </si>
  <si>
    <t>QSOL - Quadro com elementos de sistemas photovoltáicos</t>
  </si>
  <si>
    <t>QSP - Quadro de serviços prediais como comandos de bombas, iluminação de áreas comuns, portões, etc.</t>
  </si>
  <si>
    <t>QL - Quadro de Iluminação geral ou de emergência</t>
  </si>
  <si>
    <t>Caixa.de.Passagem</t>
  </si>
  <si>
    <t>Caixa.de.Derivação</t>
  </si>
  <si>
    <t>Caixa.de.Interruptor</t>
  </si>
  <si>
    <t>Caixa.de.Tomada</t>
  </si>
  <si>
    <t>Caixa de Passagem</t>
  </si>
  <si>
    <t>Caixa de Derivação</t>
  </si>
  <si>
    <t>Caixa de Interruptor</t>
  </si>
  <si>
    <t>Caixa de Tomada</t>
  </si>
  <si>
    <t>Recarregador ou carregador de bateria é um dispositivo usado para colocar energia numa célula secundária ou recarregável.</t>
  </si>
  <si>
    <t>Dispositivo de proteção interrompe um circuito elétrico quando uma corrente elétrica declarada.</t>
  </si>
  <si>
    <t>El dispositivo de protección interrumpe un circuito eléctrico cuando se declara una corriente eléctrica.</t>
  </si>
  <si>
    <t>Dispositivo anti-arco é um equipamento que impede o arco elétrico.</t>
  </si>
  <si>
    <t>El dispositivo antiarco es un equipo que evita el arco eléctrico.</t>
  </si>
  <si>
    <t>Dispositivo de comutação mecânica capaz de fazer, transportar e interromper correntes sob circui normal.</t>
  </si>
  <si>
    <t>Dispositivo mecánico de conmutación capaz de producir, transportar e interrumpir corrientes en circulación normal.</t>
  </si>
  <si>
    <t>Dispositivo de segurança usado para abrir ou fechar um circuito quando não há corrente.</t>
  </si>
  <si>
    <t>Un dispositivo de seguridad utilizado para abrir o cerrar un circuito cuando no hay corriente.</t>
  </si>
  <si>
    <t>Dispositivo que abre, fecha ou isola um circuito e tem proteção contra curto-circuito.</t>
  </si>
  <si>
    <t>Un dispositivo que abre, cierra o aísla un circuito y tiene protección contra cortocircuitos.</t>
  </si>
  <si>
    <t>Dispositivo que abrirá eletricamente o circuito após um período de fluxo de corrente anormal e prolongado.</t>
  </si>
  <si>
    <t>Un dispositivo que abrirá eléctricamente el circuito después de un período de flujo de corriente anormal y prolongado.</t>
  </si>
  <si>
    <t>Dispositivo que abre, fecha ou isola um circuito e tem proteção contra curto-circuito e sobrecarga.</t>
  </si>
  <si>
    <t>Un dispositivo que abre, cierra o aísla un circuito y tiene protección contra cortocircuitos y sobrecargas.</t>
  </si>
  <si>
    <t>Dispositivo que abre, fecha ou isola um circuito e não tem proteção contra curto-circuito ou sobrecarga.</t>
  </si>
  <si>
    <t>Un dispositivo que abre, cierra o aísla un circuito y no tiene protección contra cortocircuitos o sobrecargas.</t>
  </si>
  <si>
    <t>Centelhador é um dispositivo usado para conectar um circuito à terra em caso de falha em circuitos energizados.</t>
  </si>
  <si>
    <t>Un espacio de chispa es un dispositivo utilizado para conectar un circuito a tierra en caso de una falla en circuitos activos.</t>
  </si>
  <si>
    <t>Unidade de disparo de dispositivo de proteção interrompe um circuito elétrico numa unidade de interrupção separada.</t>
  </si>
  <si>
    <t>La unidad de disparo del dispositivo de protección interrumpe un circuito eléctrico en una unidad de interrupción separada.</t>
  </si>
  <si>
    <t>Unidade de disparo ativada por ação eletromagnética.</t>
  </si>
  <si>
    <t>Unidad de disparo activada por acción electromagnética.</t>
  </si>
  <si>
    <t>Unidade de disparo ativada por ação eletrônica.</t>
  </si>
  <si>
    <t>Unidad de disparo activada por acción electrónica.</t>
  </si>
  <si>
    <t>Unidade de disparo ativada pela detecção de corrente residual.</t>
  </si>
  <si>
    <t>Unidad de disparo activada por detección de corriente residual.</t>
  </si>
  <si>
    <t>Unidade de disparo ativada por ação térmica.</t>
  </si>
  <si>
    <t>Unidad de disparo activado térmicamente.</t>
  </si>
  <si>
    <t>Dispositivo de proteção contra surtos de alta tensão.</t>
  </si>
  <si>
    <t>Dispositivo de protección contra sobretensiones de alto voltaje.</t>
  </si>
  <si>
    <t>Limitador de voltagem é um equipamento que impede a sobrecarga de tensão.</t>
  </si>
  <si>
    <t>El limitador de voltaje es un equipo que evita la sobrecarga de voltaje.</t>
  </si>
  <si>
    <t>Gerador elétrico é um motor que é uma máquina para converter energia mecânica em elétrica.</t>
  </si>
  <si>
    <t>Un generador eléctrico es un motor que es una máquina para convertir la energía mecánica en energía eléctrica.</t>
  </si>
  <si>
    <t>Fornecimento combinado de calor e energia, utilizado não só como fonte de energia elétrica, mas também como fonte de aquecimento.</t>
  </si>
  <si>
    <t>Suministro combinado de calor y electricidad, utilizado no solo como fuente de energía eléctrica, sino también como fuente de calefacción.</t>
  </si>
  <si>
    <t>Gerador elétrico com motor movido a combustível, por exemplo, uma fonte de alimentação de emergência a diesel.</t>
  </si>
  <si>
    <t>Generador eléctrico con un motor de combustible, por ejemplo, una fuente de alimentación de emergencia diésel.</t>
  </si>
  <si>
    <t>Gerador elétrico que não inclui sua fonte de energia cinética, ou seja, um motor.</t>
  </si>
  <si>
    <t>Un generador eléctrico que no incluye su fuente de energía cinética, es decir, un motor.</t>
  </si>
  <si>
    <t>Dispositivo elétrico de tratamento de fluxo é usado para remover matéria indesejada de sistema elétrico ou eletrônico.</t>
  </si>
  <si>
    <t>El dispositivo de tratamiento de flujo eléctrico se utiliza para eliminar la materia no deseada del sistema eléctrico o electrónico.</t>
  </si>
  <si>
    <t>Dispositivo linear de duas portas projetado para transmitir componentes espectrais da grandeza de entrada.</t>
  </si>
  <si>
    <t>Dispositivo lineal de dos puertos diseñado para transmitir componentes espectrales de la cantidad de entrada.</t>
  </si>
  <si>
    <t>Tomada é um dispositivo instalado num ponto para receber um ou mais plugues inseridos.</t>
  </si>
  <si>
    <t>El enchufe es un dispositivo instalado en un punto para recibir uno o más enchufes insertados.</t>
  </si>
  <si>
    <t>Tomada ou conector usada para um áudio ou dispositivo visual.</t>
  </si>
  <si>
    <t>Un conector o toma que se utiliza para un dispositivo de audio o visual.</t>
  </si>
  <si>
    <t>Tomada ou conector usada para equipamentos de comunicação de conexão.</t>
  </si>
  <si>
    <t>Zócalo o conector utilizado para conectar equipos de comunicación.</t>
  </si>
  <si>
    <t>Tomada ou conector para dados usada para conectar equipamentos de comunicações de dados.</t>
  </si>
  <si>
    <t>Un conector o toma de datos que se utiliza para conectar equipos de comunicaciones de datos.</t>
  </si>
  <si>
    <t>Tomada ou conector usada para dispositivos elétricos que requerem energia.</t>
  </si>
  <si>
    <t>Toma de corriente o conector utilizado para dispositivos eléctricos que requieren energía.</t>
  </si>
  <si>
    <t>Tomada usada para conectar equipamentos de comunicações telefônicas.</t>
  </si>
  <si>
    <t>Enchufe utilizado para conectar equipos de comunicaciones telefónicas.</t>
  </si>
  <si>
    <t>Porta fornece os meios para um elemento se conectar a outros elementos.</t>
  </si>
  <si>
    <t>Proporciona los medios para que un elemento se conecte con otros elementos.</t>
  </si>
  <si>
    <t>Transformador é um dispositivo estacionário indutivo que transfere energia elétrica de um circuito.</t>
  </si>
  <si>
    <t>Un transformador es un dispositivo inductivo estacionario que transfiere energía eléctrica desde un circuito.</t>
  </si>
  <si>
    <t>Converte corrente contínua (CC) que não utiliza um link intermediário de corrente alternada (CA), proporciona tensão de saída variável.</t>
  </si>
  <si>
    <t>Convierte la corriente continua (CC) que no utiliza un enlace intermedio de corriente alterna (CA), proporciona voltaje de salida variable.</t>
  </si>
  <si>
    <t>Transformador que muda diferentes quantidades entre os circuitos.</t>
  </si>
  <si>
    <t>Transformador que cambia diferentes cantidades entre circuitos.</t>
  </si>
  <si>
    <t>Transformador que muda a corrente entre circuitos.</t>
  </si>
  <si>
    <t>Transformador que cambia la corriente entre circuitos.</t>
  </si>
  <si>
    <t>Transformador que muda a frequência entre circuitos.</t>
  </si>
  <si>
    <t>Transformador que cambia de frecuencia entre circuitos.</t>
  </si>
  <si>
    <t>Transformador que converte de corrente contínua (CC) em corrente alternada (CA).</t>
  </si>
  <si>
    <t>Un transformador que convierte de corriente continua (CC) a corriente alterna (CA).</t>
  </si>
  <si>
    <t>Transformador que converte de corrente alternada (CA) em corrente contínua (CC).</t>
  </si>
  <si>
    <t>Un transformador que convierte de corriente alterna (CA) a corriente continua (CC).</t>
  </si>
  <si>
    <t>Transformador que altera a tensão entre os circuitos.</t>
  </si>
  <si>
    <t>Transformador que cambia el voltaje entre circuitos.</t>
  </si>
  <si>
    <t>Feeder elétrico.</t>
  </si>
  <si>
    <t>Feeder eléctrico.</t>
  </si>
  <si>
    <t>[ IfcElectricDistributionBoard ]</t>
  </si>
  <si>
    <t>QDC - Distribuye la energía a los circuitos finales de iluminación, enchufes y aire acondicionado</t>
  </si>
  <si>
    <t>QTA - Cambia automáticamente entre la red urbana y el generador del edificio para garantizar servicios críticos</t>
  </si>
  <si>
    <t>QDF - Alimenta cargas de potencia de motores, compresores, bombas</t>
  </si>
  <si>
    <t>Caja de interruptores</t>
  </si>
  <si>
    <t>Caja de pasaje</t>
  </si>
  <si>
    <t>Caja de derivación</t>
  </si>
  <si>
    <t>Caja de Tomacorriente</t>
  </si>
  <si>
    <t>Local de los medidores de energía eléctrica</t>
  </si>
  <si>
    <t>QGBT - Recibe energía de la red y la distribuye a cuadros menores</t>
  </si>
  <si>
    <t>QSP - Cuadro de servicios del edificio como controles de bombas, iluminación de áreas comunes, puertas, etc.</t>
  </si>
  <si>
    <t>QSOL - Cuadro de sistemas fotovoltaicos</t>
  </si>
  <si>
    <t>QL - Cuadro de iluminación general o de emergencia</t>
  </si>
  <si>
    <t>QDCC - Cuadro de mando y control con dispositivos de automatización, relés, PLCs, contactores y temporizadores</t>
  </si>
  <si>
    <t>[ OST_ElectricalFixtures ]</t>
  </si>
  <si>
    <t>[ IfcOutlet ]</t>
  </si>
  <si>
    <t>Acessório.Elétrico</t>
  </si>
  <si>
    <t>Acessório de Elétrica</t>
  </si>
  <si>
    <t>Accesorio de eléctrica</t>
  </si>
  <si>
    <t>Aparelho.Elétrico</t>
  </si>
  <si>
    <t>[ IfcElectricAppliance ]</t>
  </si>
  <si>
    <t>[ IfcElectricApplianceDISHWASHER ]</t>
  </si>
  <si>
    <t>[ IfcElectricApplianceELECTRICCOOKER ]</t>
  </si>
  <si>
    <t>[ IfcElectricApplianceFREESTANDINGELECTRICHEATER ]</t>
  </si>
  <si>
    <t>[ IfcElectricApplianceFREESTANDINGFAN ]</t>
  </si>
  <si>
    <t>[ IfcElectricApplianceFREESTANDINGWATERCOOLER ]</t>
  </si>
  <si>
    <t>[ IfcElectricApplianceFREESTANDINGWATERHEATER ]</t>
  </si>
  <si>
    <t>[ IfcElectricApplianceFREEZER ]</t>
  </si>
  <si>
    <t>[ IfcElectricApplianceFRIDGE_FREEZER ]</t>
  </si>
  <si>
    <t>[ IfcElectricApplianceHANDDRYER ]</t>
  </si>
  <si>
    <t>[ IfcElectricApplianceKITCHENMACHINE ]</t>
  </si>
  <si>
    <t>[ IfcElectricApplianceMICROWAVE ]</t>
  </si>
  <si>
    <t>[ IfcElectricAppliancePHOTOCOPIER ]</t>
  </si>
  <si>
    <t>[ IfcElectricApplianceREFRIGERATOR ]</t>
  </si>
  <si>
    <t>[ IfcElectricApplianceTUMBLEDRYER ]</t>
  </si>
  <si>
    <t>[ IfcElectricApplianceVENDINGMACHINE ]</t>
  </si>
  <si>
    <t>[ IfcElectricApplianceWASHINGMACHINE ]</t>
  </si>
  <si>
    <t>Fotocopiadora</t>
  </si>
  <si>
    <t>Geladeira</t>
  </si>
  <si>
    <t>Aquecedor.Elétrico</t>
  </si>
  <si>
    <t>Bebedouro</t>
  </si>
  <si>
    <t>Aquecedor.de.Água</t>
  </si>
  <si>
    <t>Processador.Alimento</t>
  </si>
  <si>
    <t>Máquina.Expendedora</t>
  </si>
  <si>
    <t>Máquina.Lava.Louça</t>
  </si>
  <si>
    <t>Máquina.Lava.Roupa</t>
  </si>
  <si>
    <t>Máquina.Seca.Roupa</t>
  </si>
  <si>
    <t>[ IfcElectricFlowStorageDeviceBATTERY ]</t>
  </si>
  <si>
    <t>[ IfcElectricFlowStorageDeviceCAPACITOR ]</t>
  </si>
  <si>
    <t>[ IfcElectricFlowStorageDeviceCAPACITORBANK ]</t>
  </si>
  <si>
    <t>[ IfcElectricFlowStorageDeviceCOMPENSATOR ]</t>
  </si>
  <si>
    <t>[ IfcElectricFlowStorageDeviceHARMONICFILTER ]</t>
  </si>
  <si>
    <t>[ IfcElectricFlowStorageDeviceINDUCTOR ]</t>
  </si>
  <si>
    <t>[ IfcElectricFlowStorageDeviceINDUCTORBANK ]</t>
  </si>
  <si>
    <t>[ IfcElectricFlowStorageDeviceRECHARGER ]</t>
  </si>
  <si>
    <t>[ IfcElectricFlowStorageDeviceUPS ]</t>
  </si>
  <si>
    <t>Bateria</t>
  </si>
  <si>
    <t>Capacitor</t>
  </si>
  <si>
    <t>Banco.de.Capacitores</t>
  </si>
  <si>
    <t>Compensador</t>
  </si>
  <si>
    <t>Filtro.Harmônico</t>
  </si>
  <si>
    <t>Indutor</t>
  </si>
  <si>
    <t>Banco.de.Indutores</t>
  </si>
  <si>
    <t>Recarga</t>
  </si>
  <si>
    <t>UPS</t>
  </si>
  <si>
    <t>Armazena energia na forma química para que possa ser liberada como energia elétrica.</t>
  </si>
  <si>
    <t>Armazena carga elétrica quando uma fonte de alimentação externa está presente.</t>
  </si>
  <si>
    <t>Armazena energia elétrica quando uma fonte de alimentação externa.</t>
  </si>
  <si>
    <t>Fixar ou ajustar o parâmetro de energia elétrica, como perda de tensão ou potência.</t>
  </si>
  <si>
    <t>Injeta constantemente correntes que correspondem precisamente aos componentes harmônicos desenhados.</t>
  </si>
  <si>
    <t>Usado em circuitos ou sistemas de potência devido à sua indutância, atuando como um componente de elétrica.</t>
  </si>
  <si>
    <t>Armazena energia elétrica num campo magnético usando a propriedade elétrica de indutância.</t>
  </si>
  <si>
    <t>Fornece uma fonte alternativa de fonte de alimentação por tempo limitado em caso de falha.</t>
  </si>
  <si>
    <t>Almacena energía en forma química para que pueda liberarse como energía eléctrica.</t>
  </si>
  <si>
    <t>Almacena carga eléctrica cuando hay una fuente de alimentación externa.</t>
  </si>
  <si>
    <t>Almacena energía eléctrica cuando es una fuente externa de alimentación.</t>
  </si>
  <si>
    <t>Corrija o ajusta el parámetro de potencia eléctrica, como el voltaje o la pérdida de energía.</t>
  </si>
  <si>
    <t>Inyecta constantemente corrientes que corresponden exactamente a los componentes armónicos diseñados.</t>
  </si>
  <si>
    <t>Utilizado en circuitos o sistemas eléctricos debido a su inductancia, actuando como componente eléctrico.</t>
  </si>
  <si>
    <t>Almacena energía eléctrica en un campo magnético utilizando la propiedad eléctrica de inductancia.</t>
  </si>
  <si>
    <t>Un cargador de baterías es un dispositivo utilizado para suministrar energía a una celda secundaria o recargable.</t>
  </si>
  <si>
    <t>Proporciona una fuente de alimentación alternativa por un tiempo limitado en caso de fallo.</t>
  </si>
  <si>
    <t>Filtro.Eletrônico</t>
  </si>
  <si>
    <t>Filtro.Elétrico</t>
  </si>
  <si>
    <t>Tomada.de.Telefone</t>
  </si>
  <si>
    <t>Tomada.de.Potência</t>
  </si>
  <si>
    <t>Tomada.de.Dados</t>
  </si>
  <si>
    <t>Transformador.Elétrico</t>
  </si>
  <si>
    <t>Transformador.de.Corrente</t>
  </si>
  <si>
    <t>Transformador.de.Inversão</t>
  </si>
  <si>
    <t>Transformador.de.Retificação</t>
  </si>
  <si>
    <t>Transformador.de.Voltagem</t>
  </si>
  <si>
    <t>Transformador.Analítico</t>
  </si>
  <si>
    <t xml:space="preserve">[ IfcTransformerVOLTAGE ] </t>
  </si>
  <si>
    <t xml:space="preserve">[ IfcTransformerRECTIFIER ] </t>
  </si>
  <si>
    <t xml:space="preserve">[ IfcTransformerINVERTER ] </t>
  </si>
  <si>
    <t xml:space="preserve">[ IfcTransformerFREQUENCY ] </t>
  </si>
  <si>
    <t xml:space="preserve">[ IfcTransformerCURRENT ] </t>
  </si>
  <si>
    <t xml:space="preserve">[ IfcTransformerCOMBINED ] </t>
  </si>
  <si>
    <t xml:space="preserve">[ IfcTransformerCHOPPER ] </t>
  </si>
  <si>
    <t xml:space="preserve">[ IfcTransformer ] </t>
  </si>
  <si>
    <t xml:space="preserve">[ IfcPort ] </t>
  </si>
  <si>
    <t xml:space="preserve">[ IfcOutletTELEPHONEOUTLET ] </t>
  </si>
  <si>
    <t xml:space="preserve">[ IfcOutletPOWEROUTLET ] </t>
  </si>
  <si>
    <t xml:space="preserve">[ IfcOutletDATAOUTLET ] </t>
  </si>
  <si>
    <t xml:space="preserve">[ IfcOutletCOMMUNICATIONSOUTLET ] </t>
  </si>
  <si>
    <t xml:space="preserve">[ IfcOutletAUDIOVISUALOUTLET ] </t>
  </si>
  <si>
    <t xml:space="preserve">[ IfcOutlet ] </t>
  </si>
  <si>
    <t xml:space="preserve">[ IfcElectricFlowTreatmentDeviceELECTRONICFILTER ] </t>
  </si>
  <si>
    <t xml:space="preserve">[ IfcElectricFlowTreatmentDevice ] </t>
  </si>
  <si>
    <t xml:space="preserve">[ IfcElectricGeneratorSTANDALONE ] </t>
  </si>
  <si>
    <t xml:space="preserve">[ IfcElectricGeneratorENGINEGENERATOR ] </t>
  </si>
  <si>
    <t xml:space="preserve">[ IfcElectricGeneratorCHP ] </t>
  </si>
  <si>
    <t xml:space="preserve">[ IfcElectricGenerator ] </t>
  </si>
  <si>
    <t xml:space="preserve">[ IfcProtectiveDeviceVOLTAGELIMITER ] </t>
  </si>
  <si>
    <t xml:space="preserve">[ IfcProtectiveDeviceVARISTOR ] </t>
  </si>
  <si>
    <t xml:space="preserve">[ IfcProtectiveDeviceTrippingUnitTHERMAL ] </t>
  </si>
  <si>
    <t xml:space="preserve">[ IfcProtectiveDeviceTrippingUnitRESIDUALCURRENT ] </t>
  </si>
  <si>
    <t xml:space="preserve">[ IfcProtectiveDeviceTrippingUnitELECTRONIC ] </t>
  </si>
  <si>
    <t xml:space="preserve">[ IfcProtectiveDeviceTrippingUnitELECTROMAGNETIC ] </t>
  </si>
  <si>
    <t xml:space="preserve">[ IfcProtectiveDevice ] </t>
  </si>
  <si>
    <t xml:space="preserve">[ IfcProtectiveDeviceCIRCUITBREAKER ] </t>
  </si>
  <si>
    <t xml:space="preserve">[ IfcProtectiveDeviceANTI_ARCING_DEVICE ] </t>
  </si>
  <si>
    <t xml:space="preserve">[ IfcProtectiveDeviceEARTHINGSWITCH ] </t>
  </si>
  <si>
    <t xml:space="preserve">[ IfcProtectiveDeviceEARTHLEAKAGECIRCUITBREAKER ] </t>
  </si>
  <si>
    <t xml:space="preserve">[ IfcProtectiveDeviceFUSEDISCONNECTOR ] </t>
  </si>
  <si>
    <t xml:space="preserve">[ IfcProtectiveDeviceRESIDUALCURRENTCIRCUITBREAKER ] </t>
  </si>
  <si>
    <t xml:space="preserve">[ IfcProtectiveDeviceRESIDUALCURRENTSWITCH ] </t>
  </si>
  <si>
    <t xml:space="preserve">[ IfcProtectiveDeviceSPARKGAP ] </t>
  </si>
  <si>
    <t xml:space="preserve">[ IfcProtectiveDeviceTrippingUnit ] </t>
  </si>
  <si>
    <t>[ IfcTransformer ]</t>
  </si>
  <si>
    <t>Anti-arc device is a piece of equipment that prevents electric arcing.</t>
  </si>
  <si>
    <t>A mechanical switching device capable of making, transporting and interrupting currents under normal circulation.</t>
  </si>
  <si>
    <t>A safety device used to open or close a circuit when there is no current.</t>
  </si>
  <si>
    <t>A device that opens, closes, or isolates a circuit and has short-circuit protection.</t>
  </si>
  <si>
    <t>A device that will electrically open the circuit after a period of abnormal and prolonged current flow.</t>
  </si>
  <si>
    <t>A device that opens, closes, or isolates a circuit and has short-circuit and overload protection.</t>
  </si>
  <si>
    <t>A device that opens, closes, or isolates a circuit and has no protection against short circuit or overload.</t>
  </si>
  <si>
    <t>A spark gap is a device used to connect a circuit to earth in the event of a fault in live circuits.</t>
  </si>
  <si>
    <t>Protective device tripping unit interrupts an electrical circuit in a separate interrupting unit.</t>
  </si>
  <si>
    <t>Trigger unit activated by electromagnetic action.</t>
  </si>
  <si>
    <t>Trigger unit activated by electronic action.</t>
  </si>
  <si>
    <t>Trigger unit activated by residual current detection.</t>
  </si>
  <si>
    <t>Thermal-activated trigger unit.</t>
  </si>
  <si>
    <t>High voltage surge protection device.</t>
  </si>
  <si>
    <t>Voltage limiter is a piece of equipment that prevents voltage overload.</t>
  </si>
  <si>
    <t>An electric generator is an engine that is a machine for converting mechanical energy into electrical energy.</t>
  </si>
  <si>
    <t>Combined supply of heat and power, used not only as a source of electrical energy, but also as a source of heating.</t>
  </si>
  <si>
    <t>Electric generator with a fuel-powered engine, e.g. a diesel emergency power supply.</t>
  </si>
  <si>
    <t>An electric generator that does not include its kinetic energy source, i.e., an engine.</t>
  </si>
  <si>
    <t>Electrical flow treatment device is used to remove unwanted matter from electrical or electronic system.</t>
  </si>
  <si>
    <t>Two-port linear device designed to transmit spectral components of the input quantity.</t>
  </si>
  <si>
    <t>Socket is a device installed at a point to receive one or more inserted plugs.</t>
  </si>
  <si>
    <t>A jack or connector used for an audio or visual device.</t>
  </si>
  <si>
    <t>Socket or connector used for connecting communication equipment.</t>
  </si>
  <si>
    <t>A data jack or connector used to connect data communications equipment.</t>
  </si>
  <si>
    <t>Outlet or connector used for electrical devices that require power.</t>
  </si>
  <si>
    <t>Socket used to connect telephone communications equipment.</t>
  </si>
  <si>
    <t>Port provides the means for an element to connect to other elements.</t>
  </si>
  <si>
    <t>A transformer is a stationary inductive device that transfers electrical energy from a circuit.</t>
  </si>
  <si>
    <t>Converts direct current (DC) that does not use an alternating current (AC) intermediate link, provides variable output voltage.</t>
  </si>
  <si>
    <t>Transformer that changes different amounts between circuits.</t>
  </si>
  <si>
    <t>Transformer that changes current between circuits.</t>
  </si>
  <si>
    <t>Transformer that changes frequency between circuits.</t>
  </si>
  <si>
    <t>A transformer that converts from direct current (DC) to alternating current (AC).</t>
  </si>
  <si>
    <t>A transformer that converts from alternating current (AC) to direct current (DC).</t>
  </si>
  <si>
    <t>Transformer that changes the voltage between circuits.</t>
  </si>
  <si>
    <t>Electric feeder.</t>
  </si>
  <si>
    <t xml:space="preserve">An electrical protection device </t>
  </si>
  <si>
    <t>Freezer.Laboratorial</t>
  </si>
  <si>
    <t>Freezer</t>
  </si>
  <si>
    <t>Transformador.de.Chave</t>
  </si>
  <si>
    <t>Transformador.de.Combinação</t>
  </si>
  <si>
    <t>Transformador.de.Frequência</t>
  </si>
  <si>
    <t>Gerador.Elétrico</t>
  </si>
  <si>
    <t>Gerador.Elétrico.de.Cogeração</t>
  </si>
  <si>
    <t>Gerador.Elétrico.de.Combustível</t>
  </si>
  <si>
    <t>Gerador.Elétrico.Independente</t>
  </si>
  <si>
    <t>[ IfcSolarDevice ]</t>
  </si>
  <si>
    <t>[ IfcSolarDeviceSOLARPANEL ]</t>
  </si>
  <si>
    <t>[ IfcSolarDeviceSOLARCOLLECTOR ]</t>
  </si>
  <si>
    <t>A solar device that converts solar radiation into thermal energy (water heating, etc.).</t>
  </si>
  <si>
    <t>A solar device that converts solar radiation into electric current.</t>
  </si>
  <si>
    <t>A solar device converts solar radiation into other energy, such as electric current or thermal energy.</t>
  </si>
  <si>
    <t>Coletor.Solar</t>
  </si>
  <si>
    <t>Painel.Solar</t>
  </si>
  <si>
    <t>Dispositivo.Solar</t>
  </si>
  <si>
    <t>Disjuntor</t>
  </si>
  <si>
    <t>Centelhador</t>
  </si>
  <si>
    <t>Limitador.de.Tensão</t>
  </si>
  <si>
    <t>Disjuntor.Diferencial.Residual</t>
  </si>
  <si>
    <t>Fusível</t>
  </si>
  <si>
    <t>Interruptor.Diferencial.Residual</t>
  </si>
  <si>
    <t>Disparador.de.Corrente.Residual</t>
  </si>
  <si>
    <t>Disparador.Térmico</t>
  </si>
  <si>
    <t>Varistor</t>
  </si>
  <si>
    <t>Disparador.Eletromagnético</t>
  </si>
  <si>
    <t>Disparador.Eletrônico</t>
  </si>
  <si>
    <t>Disparador.Elétrico</t>
  </si>
  <si>
    <t>Disjuntor.de.Circuito</t>
  </si>
  <si>
    <t>Disjuntor.de.Fuga.Terra</t>
  </si>
  <si>
    <t>Interruptor.de.Aterramento</t>
  </si>
  <si>
    <t>"Nome do fabricante"</t>
  </si>
  <si>
    <t>"Modelo de tomada"</t>
  </si>
  <si>
    <t>Elementos.Elétricos</t>
  </si>
  <si>
    <t>Sistemas.Elétricos</t>
  </si>
  <si>
    <t>Bomba.Circuladora</t>
  </si>
  <si>
    <t>Bomba.de.Sucção</t>
  </si>
  <si>
    <t>Bomba.Submersível</t>
  </si>
  <si>
    <t>Bomba.de.Drenagem</t>
  </si>
  <si>
    <t>Bomba.Elétrica</t>
  </si>
  <si>
    <t>Bomba.de.Turbina.Vertical</t>
  </si>
  <si>
    <t>Bomba.Vertical.Alinhada</t>
  </si>
  <si>
    <t>Bomba Elétrica</t>
  </si>
  <si>
    <t>Bomba Circuladora</t>
  </si>
  <si>
    <t>Bomba de Sucção</t>
  </si>
  <si>
    <t>Bomba Submersível</t>
  </si>
  <si>
    <t>Bomba de Drenagem</t>
  </si>
  <si>
    <t>Bomba Vertical Alinhada</t>
  </si>
  <si>
    <t>Bomba de Turbina Vertical</t>
  </si>
  <si>
    <t>Bomba de Carcaça Bipartida</t>
  </si>
  <si>
    <t>Bomba Eléctrica</t>
  </si>
  <si>
    <t>Bomba de Succión</t>
  </si>
  <si>
    <t>Bomba de Casco Bipartida</t>
  </si>
  <si>
    <t>Bomba Sumergible</t>
  </si>
  <si>
    <t>Bomba de Drenaje</t>
  </si>
  <si>
    <t>Bomba Vertical Aliñada</t>
  </si>
  <si>
    <t>[ IfcPumpCIRCULATOR ]</t>
  </si>
  <si>
    <t>[ IfcPumpENDSUCTION ]</t>
  </si>
  <si>
    <t>[ IfcPump ]</t>
  </si>
  <si>
    <t>[ IfcPumpSPLITCASE ]</t>
  </si>
  <si>
    <t>[ IfcPumpSUMPPUMP ]</t>
  </si>
  <si>
    <t>[ IfcPumpSUBMERSIBLEPUMP ]</t>
  </si>
  <si>
    <t>[ IfcPumpVERTICALINLINE ]</t>
  </si>
  <si>
    <t>[ IfcPumpVERTICALTURBINE ]</t>
  </si>
  <si>
    <t>Electrical Pump</t>
  </si>
  <si>
    <t>Electrical Pump of Circulator</t>
  </si>
  <si>
    <t>Electrical Pump of endsuction</t>
  </si>
  <si>
    <t>Electrical Pump of splitcase</t>
  </si>
  <si>
    <t>Electrical Pump submersible</t>
  </si>
  <si>
    <t>Electrical Pump of sump</t>
  </si>
  <si>
    <t>Electrical Pump of vertical in line</t>
  </si>
  <si>
    <t>Electrical Pump vertical turbine</t>
  </si>
  <si>
    <t>Motor elétrico é um motor que é uma máquina para converter energia elétrica em energia mecânica.</t>
  </si>
  <si>
    <t>El motor eléctrico es un motor que es una máquina para convertir la energía eléctrica en energía mecánica.</t>
  </si>
  <si>
    <t>Motor que usa energia de corrente contínua (CC) gerada ou retificada.</t>
  </si>
  <si>
    <t>Motor que utiliza energía de corriente continua (CC) generada o rectificada.</t>
  </si>
  <si>
    <t>Motor de corrente alternada no qual o enrolamento primário num membro (geralmente o estator).</t>
  </si>
  <si>
    <t>Motor de corriente alterna en el que el devanado primario en un miembro (generalmente el estator).</t>
  </si>
  <si>
    <t>Motor de indução bifásico ou trifásico no qual os enrolamentos, um para cada fase, são divididos uniformemente.</t>
  </si>
  <si>
    <t>Motor de inducción bifásico o trifásico en el que los devanados, uno para cada fase, se dividen uniformemente.</t>
  </si>
  <si>
    <t>Motor síncrono com um design especial de rotor que alinha diretamente o rotor com o rotor rotativo.</t>
  </si>
  <si>
    <t>Motor síncrono con un diseño de rotor especial que alinea directamente el rotor con el rotor giratorio.</t>
  </si>
  <si>
    <t>Motor que opera a uma velocidade constante até a carga total.</t>
  </si>
  <si>
    <t>Motor que funciona a una velocidad constante hasta plena carga.</t>
  </si>
  <si>
    <t>[ IfcElectricMotor ]</t>
  </si>
  <si>
    <t>[ IfcElectricMotorDC ]</t>
  </si>
  <si>
    <t>[ IfcElectricMotorPOLYPHASE ]</t>
  </si>
  <si>
    <t>[ IfcElectricMotorSYNCHRONOUS ]</t>
  </si>
  <si>
    <t>[ IfcElectricMotorRELUCTANCESYNCHRONOUS ]</t>
  </si>
  <si>
    <t>[ IfcElectricMotorINDUCTION ]</t>
  </si>
  <si>
    <t>Motor.Eléctrico</t>
  </si>
  <si>
    <t>Motor.Eléctrico.DC</t>
  </si>
  <si>
    <t>Motor.Eléctrico.Síncrono</t>
  </si>
  <si>
    <t>Motor.Eléctrico.Trifásico</t>
  </si>
  <si>
    <t>Motor.Eléctrico.Assíncrono</t>
  </si>
  <si>
    <t>Motor.Eléctrico.Síncrono.de.Relutância</t>
  </si>
  <si>
    <t xml:space="preserve">Conexão de suporte de cabo é conexão que é colocado na junção ou transição no sistema de suporte de cabo. </t>
  </si>
  <si>
    <t>La conexión de soporte de cable es la conexión que se coloca en la unión o transición en el sistema de soporte de cable.</t>
  </si>
  <si>
    <t>Acessório que altera a rota do transportador de cabos.</t>
  </si>
  <si>
    <t>Accesorio que cambia la ruta del portador de cable.</t>
  </si>
  <si>
    <t>Conector, normalmente usado para unir duas portas dentro de sistema de distribuição de fluxo.</t>
  </si>
  <si>
    <t>Conector, generalmente utilizado para unir dos puertos dentro del sistema de distribución de flujo.</t>
  </si>
  <si>
    <t>Conexão no qual dois ramais são retirados da rota principal do transportador de cabos simultaneamente.</t>
  </si>
  <si>
    <t>Conexión en la que se retiran simultáneamente dos ramales de la ruta principal del transportador de cable.</t>
  </si>
  <si>
    <t>Conexão com normalmente mais de duas portas usado para redistribuir o fluxo entre as portas.</t>
  </si>
  <si>
    <t>Conexión a normalmente más de dos puertos utilizados para redistribuir el flujo entre puertos.</t>
  </si>
  <si>
    <t xml:space="preserve">Conexão que altera o tamanho físico da rota principal do transportador de cabo. </t>
  </si>
  <si>
    <t>Conexión que cambia el tamaño físico de la ruta principal del portador de cable.</t>
  </si>
  <si>
    <t xml:space="preserve">Conexão no qual um ramal é retirado da rota principal do transportador de cabo. </t>
  </si>
  <si>
    <t>Conexión en la que se retira un ramal de la ruta principal del portador de cable.</t>
  </si>
  <si>
    <t>Conexão com normalmente duas portas com formas ou tamanhos diferentes.</t>
  </si>
  <si>
    <t>Conexión normalmente con dos puertos con diferentes formas o tamaños.</t>
  </si>
  <si>
    <t>Segmentos de portador de cabo é um segmentos de fluxo usado especificamente para transportar e suportar cabeamento.</t>
  </si>
  <si>
    <t>Los segmentos de portadores de cable son un segmento de flujo que se utiliza específicamente para transportar y soportar el cableado.</t>
  </si>
  <si>
    <t>Suporte de cabo é um suporte de cabo horizontal fixado em apenas uma extremidade, espaçado em intervalos.</t>
  </si>
  <si>
    <t>El soporte de cable es un soporte de cable horizontal fijado en un solo extremo, espaciado a intervalos.</t>
  </si>
  <si>
    <t>Segmentos de portador aberto no qual os cabos são transportados numa estrutura de escada.</t>
  </si>
  <si>
    <t>Segmentos de soporte abiertos en los que los cables se transportan en una estructura de escalera.</t>
  </si>
  <si>
    <t>Segmentos de portadora (normalmente) aberto no qual os cabos são colocados.</t>
  </si>
  <si>
    <t>Segmentos portadores (generalmente) abiertos en los que se colocan los cables.</t>
  </si>
  <si>
    <t>Segmentos portador fechado com um ou mais compartimentos nos quais os cabos são colocados.</t>
  </si>
  <si>
    <t>Segmentos de portadora cerrados con uno o más compartimentos en los que se colocan los cables.</t>
  </si>
  <si>
    <t>Fio de catenária é um fio longitudinal que suporta os fios de contato ranhurados diretamente ou individualmente.</t>
  </si>
  <si>
    <t>El alambre de catenaria es un alambre longitudinal que soporta los alambres de contacto ranurados directa o individualmente.</t>
  </si>
  <si>
    <t>Segmentos tubular fechado através do qual os cabos são puxados.</t>
  </si>
  <si>
    <t>Segmentos tubulares cerrados a través de los cuales se tiran los cables.</t>
  </si>
  <si>
    <t xml:space="preserve">Conta-gotas é um transportador de cabo usado para suspender o cabo de outro cabo. </t>
  </si>
  <si>
    <t>El cuentagotas es un portador de cable que se utiliza para suspender el cable de otro cable.</t>
  </si>
  <si>
    <t>Acessório de cabo é uma peça colocada numa junção, transição ou terminação num sistema.</t>
  </si>
  <si>
    <t>Un accesorio de cable es una pieza colocada en una unión, transición o terminación en un sistema.</t>
  </si>
  <si>
    <t>Acessório que une dois segmentoss de cabo do mesmo tipo de conector (embora potencialmente diferentes.</t>
  </si>
  <si>
    <t>Accesorio que une dos segmentos de cable del mismo tipo de conector (aunque potencialmente diferentes.</t>
  </si>
  <si>
    <t>Conexão que inicia um segmentos de cabo num elemento não elétrico, como uma braçadeira de aterramento conectada.</t>
  </si>
  <si>
    <t>Una conexión que inicia un segmento de cable en un elemento no eléctrico, como una abrazadera de tierra conectada.</t>
  </si>
  <si>
    <t>Conexão que termina um segmentos de cabo num elemento não elétrico, como uma braçadeira de aterramento conectada.</t>
  </si>
  <si>
    <t>Una conexión que termina un segmento de cable en un elemento no eléctrico, como una abrazadera de tierra conectada.</t>
  </si>
  <si>
    <t>Fan out é uma conexão de cabo especial que fornece uma transição segura de unidades de cabo multifibra.</t>
  </si>
  <si>
    <t>La salida en abanico es una conexión de cable especial que proporciona una transición segura desde unidades de cable multifibra.</t>
  </si>
  <si>
    <t>Acessório que une três ou mais segmentoss de tipos de conectores arbitrários para divisão de sinal.</t>
  </si>
  <si>
    <t>Accesorio que une tres o más segmentos de tipos de conectores arbitrarios para la división de señales.</t>
  </si>
  <si>
    <t>Acessório que une dois segmentoss de cabo de diferentes tipos de conectores.</t>
  </si>
  <si>
    <t>Accesorio que une dos segmentos de cable de diferentes tipos de conectores.</t>
  </si>
  <si>
    <t>[ IfcCableCarrierFitting ]</t>
  </si>
  <si>
    <t>[ IfcCableCarrierFittingBEND ]</t>
  </si>
  <si>
    <t>[ IfcCableCarrierFittingCONNECTOR ]</t>
  </si>
  <si>
    <t>[ IfcCableCarrierFittingJUNCTION ]</t>
  </si>
  <si>
    <t>[ IfcCableCarrierFittingCROSS ]</t>
  </si>
  <si>
    <t>[ IfcCableCarrierFittingREDUCER ]</t>
  </si>
  <si>
    <t>[ IfcCableCarrierFittingTRANSITION ]</t>
  </si>
  <si>
    <t>[ IfcCableCarrierFittingTEE ]</t>
  </si>
  <si>
    <t>[ IfcCableCarrierSegment ]</t>
  </si>
  <si>
    <t>[ IfcCableCarrierSegmentCABLEBRACKET ]</t>
  </si>
  <si>
    <t>[ IfcCableCarrierSegmentCABLELADDERSEGMENT ]</t>
  </si>
  <si>
    <t>[ IfcCableSegmentWIREPAIRSEGMENT ]</t>
  </si>
  <si>
    <t>[ IfcCableSegmentosPTICALCABLESEGMENT ]</t>
  </si>
  <si>
    <t>[ IfcCableSegmentFIBERSEGMENT ]</t>
  </si>
  <si>
    <t>[ IfcCableSegmentCONDUCTORSEGMENT ]</t>
  </si>
  <si>
    <t>[ IfcCableSegment ]</t>
  </si>
  <si>
    <t>[ IfcCableFittingTRANSITION ]</t>
  </si>
  <si>
    <t>[ IfcCableFittingJUNCTION ]</t>
  </si>
  <si>
    <t>[ IfcCableFittingFANOUT ]</t>
  </si>
  <si>
    <t>[ IfcCableFittingEXIT ]</t>
  </si>
  <si>
    <t>[ IfcCableFittingENTRY ]</t>
  </si>
  <si>
    <t>[ IfcCableFittingCONNECTOR ]</t>
  </si>
  <si>
    <t>[ IfcCableFitting ]</t>
  </si>
  <si>
    <t>[ IfcCableCarrierSegmentDROPPER ]</t>
  </si>
  <si>
    <t>[ IfcCableCarrierSegmentCONDUITSEGMENT ]</t>
  </si>
  <si>
    <t>[ IfcCableCarrierSegmentCATENARYWIRE ]</t>
  </si>
  <si>
    <t>[ IfcCableCarrierSegmentCABLETRUNKINGSEGMENT ]</t>
  </si>
  <si>
    <t>[ IfcCableCarrierSegmentCABLETRAYSEGMENT ]</t>
  </si>
  <si>
    <t>Segmento.de.Calha</t>
  </si>
  <si>
    <t>Segmento.de.Cabo.Óptico</t>
  </si>
  <si>
    <t>Segmento.de.Condutor</t>
  </si>
  <si>
    <t>Segmento.de.Cabo</t>
  </si>
  <si>
    <t>Segmento.de.Cabo.Fibra</t>
  </si>
  <si>
    <t>Conexão.de.Cabo</t>
  </si>
  <si>
    <t>Conexão.de.Cabo.Entrada</t>
  </si>
  <si>
    <t>Conexão.de.Cabo.Saída</t>
  </si>
  <si>
    <t>Conexão.de.Cabo.Divisor</t>
  </si>
  <si>
    <t>Conexão.de.Cabo.Junção</t>
  </si>
  <si>
    <t>Conexão.de.Cabo.Transição</t>
  </si>
  <si>
    <t>Conexão.de.Cabo.Conetor</t>
  </si>
  <si>
    <t>Interruptor.Simples</t>
  </si>
  <si>
    <t>Interruptor.Duplo</t>
  </si>
  <si>
    <t>Interruptor.Tripo</t>
  </si>
  <si>
    <t>Interruptor.Dimmer</t>
  </si>
  <si>
    <t>Interruptor.Botão</t>
  </si>
  <si>
    <t>Tomada.de.Rede</t>
  </si>
  <si>
    <t>Interruptor Duplo</t>
  </si>
  <si>
    <t>Interruptor Tripo</t>
  </si>
  <si>
    <t>Interruptor Dimmer</t>
  </si>
  <si>
    <t>Interruptor Botão</t>
  </si>
  <si>
    <t>Interruptor Simples de uma tecla</t>
  </si>
  <si>
    <t>Interruptor Paralelo three‑way</t>
  </si>
  <si>
    <t>Interruptor Paralelo four‑way</t>
  </si>
  <si>
    <t>Interruptor.Paralelo.3W</t>
  </si>
  <si>
    <t>Interruptor.Paralelo.4W</t>
  </si>
  <si>
    <t>[ 3E.26 ]</t>
  </si>
  <si>
    <t>[ 3E.56.06 ]</t>
  </si>
  <si>
    <t>[ 3E.26.16.02 ]</t>
  </si>
  <si>
    <t xml:space="preserve">[ IfcSwitchingDevice ] </t>
  </si>
  <si>
    <t>[ IfcElectricDistributionBoardDISTRIBUTIONBOARD ]</t>
  </si>
  <si>
    <t>[ IfcElectricDistributionBoardMOTORCONTROLCENTRE ]</t>
  </si>
  <si>
    <t>Circuito.Luz.Geral</t>
  </si>
  <si>
    <t>Circuito.Luz.Emergência</t>
  </si>
  <si>
    <t>Circuito.Elétrico.Geral</t>
  </si>
  <si>
    <t>Circuito.Elétrico.Força</t>
  </si>
  <si>
    <t>Circuito.Elétrico.Solar</t>
  </si>
  <si>
    <t>Quadro.de.Medidores</t>
  </si>
  <si>
    <t>Segmento.de.Conduíte</t>
  </si>
  <si>
    <t>Segmento.de.Suporte</t>
  </si>
  <si>
    <t>Segmento.de.Leito.de.Cabos</t>
  </si>
  <si>
    <t>Segmento.de.EletroCalha</t>
  </si>
  <si>
    <t>Segmento.de.Catenária</t>
  </si>
  <si>
    <t>Segmento.de.Descida</t>
  </si>
  <si>
    <t>Segmento.de.Bandeja.de.Cabos</t>
  </si>
  <si>
    <t>00Super
Class
5</t>
  </si>
  <si>
    <t>Disjuntor.de.Falha.AntiArco</t>
  </si>
  <si>
    <t>quem.fabricou</t>
  </si>
  <si>
    <t>Conceitos</t>
  </si>
  <si>
    <t>[ OST_ElectricalConnector : OST_ElectricalFixtures ]</t>
  </si>
  <si>
    <t>[ OST_CableTray : OST_CableTrayCenterLine : OST_CableTrayDrop : OST_CableTrayRiseDrop : OST_CableTrayRun ]</t>
  </si>
  <si>
    <t>[ OST_CableTrayFitting  : OST_CableTrayFittingCenterLine ]</t>
  </si>
  <si>
    <t>[ OST_Cable : OST_Conduit  : OST_ConduitCenterLine  : OST_ConduitDrop : OST_ConduitRiseDrop : OST_ConduitRun ]</t>
  </si>
  <si>
    <t>[ OST_ConduitFitting  : OST_ConduitFittingCenterLine ]</t>
  </si>
  <si>
    <t>[ OST_ElectricalConnector : OST_ElectricalEquipment ]</t>
  </si>
  <si>
    <t>[ OST_ElectricalConnector : OST_SecurityDevices ]</t>
  </si>
  <si>
    <t>[ OST_ElectricalConnector : OST_ElectricalAnalyticalFeeder ]</t>
  </si>
  <si>
    <t>"[ OST_ElectricalConnector : OST_ElectricalFixtures ]"</t>
  </si>
  <si>
    <t>"[ IfcOutlet ]"</t>
  </si>
  <si>
    <t>"[ 3E.26 ]"</t>
  </si>
  <si>
    <t>Electrical Lighting System</t>
  </si>
  <si>
    <t>Electrical System</t>
  </si>
  <si>
    <t>Electric Power System</t>
  </si>
  <si>
    <t>Solar Generation Electric System</t>
  </si>
  <si>
    <t>Location of electricity meters</t>
  </si>
  <si>
    <t>QGBT - Receives power from the grid and distributes it to smaller boards.</t>
  </si>
  <si>
    <t>QDC - Distributes power to final lighting circuits, outlets, air conditioning</t>
  </si>
  <si>
    <t>QTA - Automatically switches between the urban grid and the building generator to ensure critical services</t>
  </si>
  <si>
    <t>QDCC - Command and Control Panel with automation devices, relays, PLCs, contactors and timers</t>
  </si>
  <si>
    <t>QDF - Powers power loads of motors, compressors, pumps</t>
  </si>
  <si>
    <t>QSP - Building services such as pump controls, lighting of common areas, gates, etc.</t>
  </si>
  <si>
    <t>QSOL - Photovoltaic system panel</t>
  </si>
  <si>
    <t>QL - General or Emergency Lighting Panel</t>
  </si>
  <si>
    <t>Junction Box</t>
  </si>
  <si>
    <t>Switch Box</t>
  </si>
  <si>
    <t>Socket Box</t>
  </si>
  <si>
    <t>Cable carrier segments is a flow segment used specifically to carry and support cabling.</t>
  </si>
  <si>
    <t>Cable holder is a horizontal cable holder fixed at only one end, spaced at intervals.</t>
  </si>
  <si>
    <t>Open carrier segments in which cables are transported on a ladder structure.</t>
  </si>
  <si>
    <t>Carrier segments (usually) open in which cables are placed.</t>
  </si>
  <si>
    <t>Closed carrier segments with one or more compartments in which the cables are placed.</t>
  </si>
  <si>
    <t>Catenary wire is a longitudinal wire that supports the grooved contact wires directly or individually.</t>
  </si>
  <si>
    <t>Enclosed tubular segments through which the cables are pulled.</t>
  </si>
  <si>
    <t>Dropper is a cable carrier used to suspend the cable from another cable.</t>
  </si>
  <si>
    <t>Cable holder connection is connection that is placed at the junction or transition in the cable support system.</t>
  </si>
  <si>
    <t>Accessory that changes the route of the cable carrier.</t>
  </si>
  <si>
    <t>Connector, usually used to join two ports within flow distribution system.</t>
  </si>
  <si>
    <t>Connection in which two branches are removed from the main route of the cable conveyor simultaneously.</t>
  </si>
  <si>
    <t>Connection to normally more than two ports used to redistribute flow between ports.</t>
  </si>
  <si>
    <t>Connection that changes the physical size of the cable carrier's main route.</t>
  </si>
  <si>
    <t>Connection in which a branch is removed from the main route of the cable carrier.</t>
  </si>
  <si>
    <t>Connection with normally two ports with different shapes or sizes.</t>
  </si>
  <si>
    <t>A cable accessory is a part placed at a junction, transition, or termination in a system.</t>
  </si>
  <si>
    <t>Accessory that joins two cable segments of the same connector type (although potentially different.</t>
  </si>
  <si>
    <t>A connection that initiates a cable segment on a non-electrical element, such as a connected ground clamp.</t>
  </si>
  <si>
    <t>A connection that terminates a cable segment in a non-electrical element, such as a connected ground clamp.</t>
  </si>
  <si>
    <t>Fan out is a special cable connection that provides a safe transition from multi-fiber cable units.</t>
  </si>
  <si>
    <t>Accessory that joins three or more segments of arbitrary connector types for signal splitting.</t>
  </si>
  <si>
    <t>Accessory that joins two cable segments of different types of connectors.</t>
  </si>
  <si>
    <t>Electric motor is a motor that is a machine for converting electrical energy into mechanical energy.</t>
  </si>
  <si>
    <t>Motor that uses direct current (DC) power generated or rectified.</t>
  </si>
  <si>
    <t>Alternating current motor in which the primary winding on a member (usually the stator).</t>
  </si>
  <si>
    <t>Two-phase or three-phase induction motor in which the windings, one for each phase, are evenly divided.</t>
  </si>
  <si>
    <t>Synchronous motor with a special rotor design that directly aligns the rotor with the rotating rotor.</t>
  </si>
  <si>
    <t>Motor that operates at a constant speed until full load.</t>
  </si>
  <si>
    <t>It stores energy in chemical form so that it can be released as electrical energy.</t>
  </si>
  <si>
    <t>It stores electrical charge when an external power supply is present.</t>
  </si>
  <si>
    <t>It stores electrical energy when an external power supply.</t>
  </si>
  <si>
    <t>Fix or adjust the electrical power parameter, such as voltage or power loss.</t>
  </si>
  <si>
    <t>It constantly injects currents that precisely correspond to the designed harmonic components.</t>
  </si>
  <si>
    <t>Used in circuits or power systems due to its inductance, acting as a component of electrical.</t>
  </si>
  <si>
    <t>It stores electrical energy in a magnetic field using the electrical property of inductance.</t>
  </si>
  <si>
    <t>A battery charger is a device used to put power into a secondary or rechargeable cell.</t>
  </si>
  <si>
    <t>Provides an alternative power supply for a limited time in the event of a failure.</t>
  </si>
  <si>
    <t>Electrical Accessory</t>
  </si>
  <si>
    <t>Classe IFC</t>
  </si>
  <si>
    <t>Atributo IFC</t>
  </si>
  <si>
    <t>Parâmetro Rvt</t>
  </si>
  <si>
    <t>Categoria Rvt</t>
  </si>
  <si>
    <t>Projeto</t>
  </si>
  <si>
    <t>De.Elétrica</t>
  </si>
  <si>
    <t>Elétrica.AT</t>
  </si>
  <si>
    <t>Elétrica.BT</t>
  </si>
  <si>
    <t>Elétrica.MT</t>
  </si>
  <si>
    <t>API_Ambiente</t>
  </si>
  <si>
    <t>"Individuo indicador de método API para selecionar ambientes do projeto"</t>
  </si>
  <si>
    <t>tema</t>
  </si>
  <si>
    <t>"API"</t>
  </si>
  <si>
    <t>subtema</t>
  </si>
  <si>
    <t>"Elementos Ambientes"</t>
  </si>
  <si>
    <t>"[ Ambientes ]"</t>
  </si>
  <si>
    <t>API_Andar</t>
  </si>
  <si>
    <t>"Individuo indicador de método API para selecionar andares do projeto"</t>
  </si>
  <si>
    <t>"Elementos Andares"</t>
  </si>
  <si>
    <t>"[ Pavimentos ]"</t>
  </si>
  <si>
    <t>API_Instância</t>
  </si>
  <si>
    <t>"Individuo indicador de método API para selecionar instâncias do projeto"</t>
  </si>
  <si>
    <t>"Elementos Instanciados"</t>
  </si>
  <si>
    <t>"[ Elementos ]"</t>
  </si>
  <si>
    <t>API_Simbolo</t>
  </si>
  <si>
    <t>"Individuo indicador de método API para selecionar elementos tipificados do projeto"</t>
  </si>
  <si>
    <t>"Elementos Tipificados"</t>
  </si>
  <si>
    <t>"[ Tipos ]"</t>
  </si>
  <si>
    <t>API_Material</t>
  </si>
  <si>
    <t>"Individuo indicador de método API para selecionar materiais do projeto"</t>
  </si>
  <si>
    <t>"Elementos Materiais"</t>
  </si>
  <si>
    <t>"[ Materiais ]"</t>
  </si>
  <si>
    <t>"Tomadas"</t>
  </si>
  <si>
    <t>código</t>
  </si>
  <si>
    <t>"QDG-01"</t>
  </si>
  <si>
    <t>é.conectado.a</t>
  </si>
  <si>
    <t>"QTG-01"</t>
  </si>
  <si>
    <t>"Projeto de instalação de elétrica"</t>
  </si>
  <si>
    <t>"Circuitos elétricos"</t>
  </si>
  <si>
    <t>é.conectada.a</t>
  </si>
  <si>
    <t>Instalação elétrica de média tensão (MT), com tensão nominal geralmente entre 13,8 kV e 34,5 kV. Presente em indústria ou em subestações.</t>
  </si>
  <si>
    <t>Instalação elétrica de baixa tensão (BT), com tensão nominal igual ou inferior a 1 kV.</t>
  </si>
  <si>
    <t>Instalação elétrica de alta tensão (AT), com tensão acima de 50 kV.</t>
  </si>
  <si>
    <t>Tomada.TUE</t>
  </si>
  <si>
    <t>Tomada.TUG</t>
  </si>
  <si>
    <t>Circuito.Condomínio</t>
  </si>
  <si>
    <t>Circuito de Entrada de ligação à rede urbana de energia.</t>
  </si>
  <si>
    <t>Circuito distribuidor do condomínio.</t>
  </si>
  <si>
    <t>Circuito de iluminação de uma unidade residencial ou comercial.</t>
  </si>
  <si>
    <t>Circuito de tomadas de uso específico (Chuveiros, Ar condicionado, etc) de uma unidade residencial ou comercial.</t>
  </si>
  <si>
    <t>Circuito de tomadas de uso geral (aparelhos domésticos) de uma unidade residencial ou comercial.</t>
  </si>
  <si>
    <t>Circuito.Unidade</t>
  </si>
  <si>
    <t>Circuito_CC</t>
  </si>
  <si>
    <t>"RED-01"</t>
  </si>
  <si>
    <t>"Indivíduo de circuito de condomínio"</t>
  </si>
  <si>
    <t>"Indivíduo de circuito de unidade residencial"</t>
  </si>
  <si>
    <t>Circuito_U01</t>
  </si>
  <si>
    <t>Ponto.de.Luz</t>
  </si>
  <si>
    <t>Tensões.Elétricas</t>
  </si>
  <si>
    <t>Pontos.de.Elétrica</t>
  </si>
  <si>
    <t>Circuitos.de.Elétrica</t>
  </si>
  <si>
    <t>Tensão.Alta</t>
  </si>
  <si>
    <t>Tensão.Média</t>
  </si>
  <si>
    <t>Tensão.Baixa</t>
  </si>
  <si>
    <t>Conexão.de.Entrada</t>
  </si>
  <si>
    <t>Conexão_Rede</t>
  </si>
  <si>
    <t>Tug_111234</t>
  </si>
  <si>
    <t>Tug_111235</t>
  </si>
  <si>
    <t>Tug_111236</t>
  </si>
  <si>
    <t>Tug_111237</t>
  </si>
  <si>
    <t>Tug_111238</t>
  </si>
  <si>
    <t>Tug_111239</t>
  </si>
  <si>
    <t>Tug_111240</t>
  </si>
  <si>
    <t>Tug_111233</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</si>
  <si>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</si>
  <si>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</si>
  <si>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</si>
  <si>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</si>
  <si>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</si>
  <si>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</si>
  <si>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</si>
  <si>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</si>
  <si>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</si>
  <si>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</si>
  <si>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</si>
  <si>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</si>
  <si>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</si>
  <si>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</si>
  <si>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</si>
  <si>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</si>
  <si>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</si>
  <si>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</si>
  <si>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</si>
  <si>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</si>
  <si>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Circuito distribuidor de unidade residencial.</t>
  </si>
  <si>
    <t>KML</t>
  </si>
  <si>
    <t>[ IfcMaterial ]</t>
  </si>
  <si>
    <t>[ 0M.20.20 ]</t>
  </si>
  <si>
    <t>[ OST_Materials : OST_WireMaterials ]</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</si>
  <si>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</si>
  <si>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</si>
  <si>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</si>
  <si>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</si>
  <si>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 OST_Materials : OST_Parts : OST_WallsSubstrate : OST_FloorsSubstrate : OST_WallsInsulation : OST_FloorsInsulation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</si>
  <si>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</si>
  <si>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</si>
  <si>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</si>
  <si>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</si>
  <si>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</si>
  <si>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</si>
  <si>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</si>
  <si>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</si>
  <si>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</si>
  <si>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</si>
  <si>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</si>
  <si>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</si>
  <si>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</si>
  <si>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</si>
  <si>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</si>
  <si>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Caixa.Metálica.de.Elétrica</t>
  </si>
  <si>
    <t>Material construtivo usado para terminais metálicos ou caixas metálicas de distribuição de elétrica.</t>
  </si>
  <si>
    <t>Material de construcción utilizado para terminales metálicos o cajas metálicas de distribución eléctrica.</t>
  </si>
  <si>
    <t>Construction material used for metal terminals or metal electrical distribution boxes.</t>
  </si>
  <si>
    <t>Caixa.Metálica.de.Telecom</t>
  </si>
  <si>
    <t>Material construtivo usado para terminais metálicos ou caixas metálicas de distribuição de redes de dados e telecomunicações.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</si>
  <si>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</si>
  <si>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</si>
  <si>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Caixa.PVC.de.Elétrica</t>
  </si>
  <si>
    <t>Material construtivo usado para terminais plásticos ou caixas de plásticos de distribuição de elétrica.</t>
  </si>
  <si>
    <t>Material de construcción utilizado para terminales de plástico o cajas de distribución eléctrica de plástico.</t>
  </si>
  <si>
    <t>Construction material used for plastic terminals or plastic electrical distribution boxes.</t>
  </si>
  <si>
    <t>Caixa.PVC.de.Telecom</t>
  </si>
  <si>
    <t>Material construtivo usado para terminais plásticos ou caixas de plásticos de distribuição de redes de dados e telecomunicações.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</si>
  <si>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</si>
  <si>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</si>
  <si>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Calha.de.Elétrica</t>
  </si>
  <si>
    <t>Material construtivo usado para conduzir a fiação dentro de calhas de calhas de elétrica.</t>
  </si>
  <si>
    <t>Material de construcción utilizado para conducir el cableado dentro de canalones eléctricos.</t>
  </si>
  <si>
    <t>Construction material used to conduct wiring inside electrical gutters.</t>
  </si>
  <si>
    <t>Calha.de.Telecom</t>
  </si>
  <si>
    <t>Material construtivo usado para conduzir a fiação dentro de calhas de rede de dados e telecomunicações.</t>
  </si>
  <si>
    <t>Material de construcción utilizado para realizar cableado dentro de las vías de la red de datos y telecomunicaciones.</t>
  </si>
  <si>
    <t>Construction material used to conduct wiring within data and telecommunications network rails.</t>
  </si>
  <si>
    <t>Calha.Leito.de.Elétrica</t>
  </si>
  <si>
    <t>Material construtivo usado para conduzir a fiação de elétrica.</t>
  </si>
  <si>
    <t>Material de construcción utilizado para conducir el cableado eléctrico.</t>
  </si>
  <si>
    <t>Construction material used to conduct electrical wiring.</t>
  </si>
  <si>
    <t>Calha.Leito.de.Telecom</t>
  </si>
  <si>
    <t>Material construtivo usado para conduzir a fiação das redes de dados e telecomunicações.</t>
  </si>
  <si>
    <t>Material de construcción utilizado para realizar el cableado de redes de datos y telecomunicaciones.</t>
  </si>
  <si>
    <t>Construction material used to conduct the wiring of data and telecommunications networks.</t>
  </si>
  <si>
    <t>Canaleta.de.Elétrica</t>
  </si>
  <si>
    <t>Material construtivo usado para conduzir canaletas de elétrica.</t>
  </si>
  <si>
    <t>Material de construcción utilizado para accionar canales eléctricos.</t>
  </si>
  <si>
    <t>Construction material used to drive electric channels.</t>
  </si>
  <si>
    <t>Canaleta.de.Telecom</t>
  </si>
  <si>
    <t>Material construtivo usado para conduzir canaletas de rede de dados e telecomunicações.</t>
  </si>
  <si>
    <t>Material de construcción utilizado para realizar canales de datos y redes de telecomunicaciones.</t>
  </si>
  <si>
    <t>Construction material used to conduct data and telecommunications network channels.</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</si>
  <si>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</si>
  <si>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</si>
  <si>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</si>
  <si>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</si>
  <si>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</si>
  <si>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</si>
  <si>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Conduíte.Rígido.de.Elétrica</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</si>
  <si>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</si>
  <si>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</si>
  <si>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</si>
  <si>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Conduíte.Rígido.de.Telecom</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</si>
  <si>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</si>
  <si>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</si>
  <si>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</si>
  <si>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Fiação.de.Elétrica</t>
  </si>
  <si>
    <t>Material construtivo usado para a fiação nos cabos de elétrica.</t>
  </si>
  <si>
    <t>Material de construcción utilizado para cablear cables eléctricos.</t>
  </si>
  <si>
    <t>Construction material used for wiring in electrical cables.</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</si>
  <si>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</si>
  <si>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</si>
  <si>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</si>
  <si>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</si>
  <si>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Aço.Estrutural</t>
  </si>
  <si>
    <t>Material construtivo usado para a estrutura são ligas de aços estruturais.</t>
  </si>
  <si>
    <t>Material de construcción utilizado para la estructura. Son aleaciones de aceros estructurales.</t>
  </si>
  <si>
    <t>Construction material used for the structure are structural steel alloys.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</si>
  <si>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</si>
  <si>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</si>
  <si>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Alumínio.Estrutural</t>
  </si>
  <si>
    <t>Material construtivo usado para a estrutura são ligas de alumínios estruturais.</t>
  </si>
  <si>
    <t>Material de construcción utilizado para la estructura. Son aleaciones de aluminios estructurales.</t>
  </si>
  <si>
    <t>Construction material used for the structure are structural aluminum alloys.</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</si>
  <si>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</si>
  <si>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</si>
  <si>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</si>
  <si>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</si>
  <si>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</si>
  <si>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</si>
  <si>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</si>
  <si>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</si>
  <si>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</si>
  <si>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</si>
  <si>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</si>
  <si>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</si>
  <si>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</si>
  <si>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</si>
  <si>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</si>
  <si>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</si>
  <si>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</si>
  <si>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</si>
  <si>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</si>
  <si>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</si>
  <si>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</si>
  <si>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</si>
  <si>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</si>
  <si>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</si>
  <si>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</si>
  <si>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 OST_Materials : OST_PipeMaterials : OST_DuctInsulations : OST_DuctLinings : OST_FabricationDuctwork ]</t>
  </si>
  <si>
    <t>[ 0M.20.60.07.09 ]</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</si>
  <si>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</si>
  <si>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</si>
  <si>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</si>
  <si>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</si>
  <si>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</si>
  <si>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</si>
  <si>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</si>
  <si>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</si>
  <si>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</si>
  <si>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</si>
  <si>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</si>
  <si>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</si>
  <si>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</si>
  <si>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</si>
  <si>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</si>
  <si>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</si>
  <si>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</si>
  <si>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</si>
  <si>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</si>
  <si>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</si>
  <si>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</si>
  <si>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</si>
  <si>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</si>
  <si>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</si>
  <si>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</si>
  <si>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</si>
  <si>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</si>
  <si>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</si>
  <si>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Vedante.Mastique</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</si>
  <si>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</si>
  <si>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</si>
  <si>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</si>
  <si>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Vedante.Plástico.ABS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</si>
  <si>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</si>
  <si>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</si>
  <si>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</si>
  <si>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Vedante.de.Silicone</t>
  </si>
  <si>
    <t>Quadro.Metálico.Elétrica</t>
  </si>
  <si>
    <t>Material construtivo usado para quadros de passagem ou distribuição metálicos para elétrica.</t>
  </si>
  <si>
    <t>Material de construcción utilizado para pasadizos metálicos a eléctricos o tableros de distribución.</t>
  </si>
  <si>
    <t>Construction material used for metallic to electrical passage or distribution boards.</t>
  </si>
  <si>
    <t>Quadro.Metálico.Telecom</t>
  </si>
  <si>
    <t>Material construtivo usado para quadros de passagem ou distribuição metálicos para rede de dados e telecomunicações.</t>
  </si>
  <si>
    <t>Material de construcción utilizado para pasos metálicos o paneles de distribución para redes de datos y telecomunicaciones.</t>
  </si>
  <si>
    <t>Construction material used for metal passage or distribution boards for data and telecommunications network.</t>
  </si>
  <si>
    <t>Quadro.PVC.Elétrica</t>
  </si>
  <si>
    <t>Material construtivo usado para quadros de passagem ou distribuição em PVC para elétrica.</t>
  </si>
  <si>
    <t>Material de construcción utilizado para pasajes de PVC o paneles de distribución para electricidad.</t>
  </si>
  <si>
    <t>Construction material used for PVC passage or distribution boards for electrical.</t>
  </si>
  <si>
    <t>Quadro.PVC.Telecom</t>
  </si>
  <si>
    <t>Material construtivo usado para quadros de passagem ou distribuição em PVC para rede de dados e telecomunicações.</t>
  </si>
  <si>
    <t>Material de construcción utilizado para pasaportes de PVC o placas de distribución para redes de datos y telecomunicaciones.</t>
  </si>
  <si>
    <t>Construction material used for PVC passage or distribution boards for data and telecommunications network.</t>
  </si>
  <si>
    <t>Tubo.de.Multicamada</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</si>
  <si>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</si>
  <si>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</si>
  <si>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</si>
  <si>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</si>
  <si>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</si>
  <si>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</si>
  <si>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</si>
  <si>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Tubo.de.Aço.Costura</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</si>
  <si>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</si>
  <si>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</si>
  <si>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</si>
  <si>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[ 0M.20.20.01.01 ]</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</si>
  <si>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</si>
  <si>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</si>
  <si>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</si>
  <si>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</si>
  <si>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</si>
  <si>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</si>
  <si>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</si>
  <si>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</si>
  <si>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</si>
  <si>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</si>
  <si>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</si>
  <si>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</si>
  <si>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Tubo.de.Cobre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</si>
  <si>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</si>
  <si>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</si>
  <si>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</si>
  <si>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[ 0M.20.20.05 ]</t>
  </si>
  <si>
    <t>Tubo.de.FoFo</t>
  </si>
  <si>
    <t>Material construtivo usado para canalizações de saneamento básico de ferro fundido.</t>
  </si>
  <si>
    <t>Material de construcción utilizado para tuberías básicas de hierro fundido.</t>
  </si>
  <si>
    <t>Construction material used for cast iron basic sanitation pipes.</t>
  </si>
  <si>
    <t>[ 0M.20.20.01.07.03 ]</t>
  </si>
  <si>
    <t>Tubo.de.Latão</t>
  </si>
  <si>
    <t>Material construtivo usado para as redes de água o latão.</t>
  </si>
  <si>
    <t>Material de construcción utilizado en redes de agua: latón.</t>
  </si>
  <si>
    <t>Construction material used for water networks: brass.</t>
  </si>
  <si>
    <t>[ 0M.20.20.05.01 ]</t>
  </si>
  <si>
    <t>Tubo.de.PVC</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</si>
  <si>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</si>
  <si>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</si>
  <si>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</si>
  <si>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[ 0M.20.60.07.16 ]</t>
  </si>
  <si>
    <t>Tubo.de.PVCO</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</si>
  <si>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</si>
  <si>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</si>
  <si>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</si>
  <si>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Tubo.de.PEAD</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</si>
  <si>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</si>
  <si>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</si>
  <si>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</si>
  <si>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</si>
  <si>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</si>
  <si>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</si>
  <si>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</si>
  <si>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</si>
  <si>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</si>
  <si>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</si>
  <si>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</si>
  <si>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</si>
  <si>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</si>
  <si>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</si>
  <si>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</si>
  <si>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</si>
  <si>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</si>
  <si>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</si>
  <si>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</si>
  <si>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</si>
  <si>
    <t>Elementos.de.AudioVideo</t>
  </si>
  <si>
    <t>Aparelho.Avi</t>
  </si>
  <si>
    <t>Aparelho audiovisual é um dispositivo que exibe, captura, transmite ou recebe áudio ou vídeo.</t>
  </si>
  <si>
    <t>Un dispositivo audiovisual es un dispositivo que muestra, captura, transmite o recibe audio o vídeo.</t>
  </si>
  <si>
    <t>An audio-visual device is a device that displays, captures, transmits, or receives audio or video.</t>
  </si>
  <si>
    <t>[ OST_AudioVisualDevices ]</t>
  </si>
  <si>
    <t>[ IfcAudioVisualAppliance ]</t>
  </si>
  <si>
    <t>[ 3E.34 ]</t>
  </si>
  <si>
    <t>Amplificador</t>
  </si>
  <si>
    <t>Dispositivo que recebe um sinal de áudio e o amplifica para ser reproduzido por meio de alto-falantes.</t>
  </si>
  <si>
    <t>Un dispositivo que recibe una señal de audio y la amplifica para ser reproducida a través de altavoces.</t>
  </si>
  <si>
    <t>A device that receives an audio signal and amplifies it to be played through speakers.</t>
  </si>
  <si>
    <t>[ IfcAudioVisualApplianceAMPLIFIER ]</t>
  </si>
  <si>
    <t>Câmera</t>
  </si>
  <si>
    <t>Dispositivo que grava imagens, seja como uma fotografia estática ou como imagens em movimento.</t>
  </si>
  <si>
    <t>Un dispositivo que graba imágenes, ya sea como una fotografía fija o como imágenes en movimiento.</t>
  </si>
  <si>
    <t>A device that records images, either as a still photograph or as moving images.</t>
  </si>
  <si>
    <t>[ IfcAudioVisualApplianceCAMERA ]</t>
  </si>
  <si>
    <t>Comunicador</t>
  </si>
  <si>
    <t>Terminal de comunicação é um dispositivo de comunicação de áudio que geralmente é instalado ao longo do transporte.</t>
  </si>
  <si>
    <t>El terminal de comunicación es un dispositivo de comunicación de audio que generalmente se instala a lo largo del transporte.</t>
  </si>
  <si>
    <t>Communication terminal is an audio communication device that is usually installed along transportation.</t>
  </si>
  <si>
    <t>[ OST_AudioVisualDevices : OST_CommunicationDevices ]</t>
  </si>
  <si>
    <t>[ IfcAudioVisualApplianceCOMMUNICATIONTERMINAL ]</t>
  </si>
  <si>
    <t>Monitor</t>
  </si>
  <si>
    <t>Dispositivo eletrônico que representa informações em forma visual, como uma tela plana.</t>
  </si>
  <si>
    <t>Un dispositivo electrónico que representa información en forma visual, como una pantalla plana.</t>
  </si>
  <si>
    <t>An electronic device that represents information in visual form, such as a flat screen.</t>
  </si>
  <si>
    <t>[ IfcAudioVisualApplianceDISPLAY ]</t>
  </si>
  <si>
    <t>Microfone</t>
  </si>
  <si>
    <t>Transdutor ou sensor acústico para elétrico que converte o som num sinal elétrico.</t>
  </si>
  <si>
    <t>Transductor o sensor acústico a eléctrico que convierte el sonido en una señal eléctrica.</t>
  </si>
  <si>
    <t>An acoustic-to-electrical transducer or sensor that converts sound into an electrical signal.</t>
  </si>
  <si>
    <t>[ IfcAudioVisualApplianceMICROPHONE ]</t>
  </si>
  <si>
    <t>Reprodutor</t>
  </si>
  <si>
    <t>Dispositivo que reproduz conteúdo de áudio e/ou vídeo diretamente ou para outro dispositivo, possuindo mídia de armazenamento.</t>
  </si>
  <si>
    <t>Un dispositivo que reproduce contenido de audio y/o video directamente o en otro dispositivo, con medios de almacenamiento.</t>
  </si>
  <si>
    <t>A device that plays audio and/or video content directly or on another device, with storage media.</t>
  </si>
  <si>
    <t>[ IfcAudioVisualAppliancePLAYER ]</t>
  </si>
  <si>
    <t>Projetor</t>
  </si>
  <si>
    <t>Aparelho para projetar uma imagem numa tela.</t>
  </si>
  <si>
    <t>Dispositivo para proyectar una imagen en una pantalla.</t>
  </si>
  <si>
    <t>Device for projecting an image onto a screen.</t>
  </si>
  <si>
    <t>[ IfcAudioVisualAppliancePROJECTOR ]</t>
  </si>
  <si>
    <t>Receptor</t>
  </si>
  <si>
    <t>Dispositivo que recebe sinais de áudio e/ou vídeo, comuta fontes e amplifica sinais para reprodução.</t>
  </si>
  <si>
    <t>Dispositivo que recibe señales de audio y/o vídeo, cambia de fuente y amplifica las señales para su reproducción.</t>
  </si>
  <si>
    <t>A device that receives audio and/or video signals, switches sources, and amplifies signals for playback.</t>
  </si>
  <si>
    <t>[ IfcAudioVisualApplianceRECEIVER ]</t>
  </si>
  <si>
    <t>Gravador</t>
  </si>
  <si>
    <t>Equipamento de gravação é um dispositivo que grava chamadas telefônicas ou outros tipos de dados de áudio.</t>
  </si>
  <si>
    <t>El equipo de grabación es un dispositivo que graba llamadas telefónicas u otros tipos de datos de audio.</t>
  </si>
  <si>
    <t>Recording equipment is a device that records phone calls or other types of audio data.</t>
  </si>
  <si>
    <t>[ IfcAudioVisualApplianceRECORDINGEQUIPMENT ]</t>
  </si>
  <si>
    <t>AltoFalante</t>
  </si>
  <si>
    <t>Alto-falante ou sistema de alto-falantes.</t>
  </si>
  <si>
    <t>Altavoz o sistema de altavoces.</t>
  </si>
  <si>
    <t>Speaker, speaker, or speaker system.</t>
  </si>
  <si>
    <t>[ IfcAudioVisualApplianceSPEAKER ]</t>
  </si>
  <si>
    <t>Equalizador</t>
  </si>
  <si>
    <t>Dispositivo que recebe sinais de áudio e/ou vídeo, alterna fontes e transmite sinais.</t>
  </si>
  <si>
    <t>Un dispositivo que recibe señales de audio y/o video, cambia de fuente y transmite señales.</t>
  </si>
  <si>
    <t>A device that receives audio and/or video signals, switches sources, and transmits signals.</t>
  </si>
  <si>
    <t>[ IfcAudioVisualApplianceSWITCHER ]</t>
  </si>
  <si>
    <t>Telefone</t>
  </si>
  <si>
    <t>Dispositivo de telecomunicações usado para transmitir e receber som e, opcionalmente, vídeo.</t>
  </si>
  <si>
    <t>Dispositivo de telecomunicaciones utilizado para transmitir y recibir sonido y, opcionalmente, vídeo.</t>
  </si>
  <si>
    <t>A telecommunications device used to transmit and receive sound and, optionally, video.</t>
  </si>
  <si>
    <t>[ IfcAudioVisualApplianceTELEPHONE ]</t>
  </si>
  <si>
    <t>Sintonizador</t>
  </si>
  <si>
    <t>Receptor eletrônico que detecta, demodula e amplifica sinais transmitidos.</t>
  </si>
  <si>
    <t>Receptor electrónico que detecta, demodula y amplifica las señales transmitidas.</t>
  </si>
  <si>
    <t>Electronic receiver that detects, demodulates, and amplifies transmitted signals.</t>
  </si>
  <si>
    <t>[ IfcAudioVisualApplianceTUNER ]</t>
  </si>
  <si>
    <t>Elementos.de.Comunicação</t>
  </si>
  <si>
    <t>Chamada.Enfermagem</t>
  </si>
  <si>
    <t xml:space="preserve">Dispositivo de comunicação hospitalar para enfermagem </t>
  </si>
  <si>
    <t>Dispositivo de comunicación de llamada hospitalar para enfermerías</t>
  </si>
  <si>
    <t>Hospital Communication Device for Nursing</t>
  </si>
  <si>
    <t>[ OST_NurseCallDevices ]</t>
  </si>
  <si>
    <t>[ IfcMedicalDevice ]</t>
  </si>
  <si>
    <t>Interfone</t>
  </si>
  <si>
    <t>Interfone de comunicação de auxílio ou apoio</t>
  </si>
  <si>
    <t>Intercomunicador de apoyo o asistencia</t>
  </si>
  <si>
    <t>Assistive or supportive communication intercom</t>
  </si>
  <si>
    <t>[ OST_CommunicationDevices ]</t>
  </si>
  <si>
    <t>[ IfcCommunicationsAppliance ]</t>
  </si>
  <si>
    <t>[ 3E.64.08 ]</t>
  </si>
  <si>
    <t>Interfone.Elevador</t>
  </si>
  <si>
    <t>Interfone de comunicação de auxílio ou apoio em elevadores</t>
  </si>
  <si>
    <t>Intercomunicador de apoyo o asistencia de ascensores</t>
  </si>
  <si>
    <t>Elevator support or assistance communication intercom</t>
  </si>
  <si>
    <t>Caixa.Eletrônico</t>
  </si>
  <si>
    <t>Terminal eletrônico para transações bancárias</t>
  </si>
  <si>
    <t>Terminal electrónico para transacciones bancarias</t>
  </si>
  <si>
    <t>Electronic terminal for banking transactions</t>
  </si>
  <si>
    <t>[ OST_DataDevices : OST_ElectricalConnector : OST_ElectricalFixtures ]</t>
  </si>
  <si>
    <t>Totem.Info</t>
  </si>
  <si>
    <t>Totem ou sinalizador genérico dinâmico.</t>
  </si>
  <si>
    <t>Tótem o bandera genérica dinámica.</t>
  </si>
  <si>
    <t>Totem or dynamic generic flag.</t>
  </si>
  <si>
    <t>[ IfcSignal ]</t>
  </si>
  <si>
    <t>[ 3E.56.02 ]</t>
  </si>
  <si>
    <t>Totem.Audio</t>
  </si>
  <si>
    <t>Totem ou sinalizador que transmite informação por som</t>
  </si>
  <si>
    <t>Tótem o baliza que transmite información por sonido</t>
  </si>
  <si>
    <t>Totem or beacon that transmits information by sound</t>
  </si>
  <si>
    <t>[ IfcSignalAUDIO ]</t>
  </si>
  <si>
    <t>Totem.Video</t>
  </si>
  <si>
    <t>Totem ou sinalizador que transmite informação por videos, imagens ou elementos lumínicos</t>
  </si>
  <si>
    <t>Tótem o baliza que transmite información a través de vídeos, imágenes o elementos de iluminación</t>
  </si>
  <si>
    <t>Totem or beacon that transmits information through videos, images or lighting elements</t>
  </si>
  <si>
    <t>[ IfcSignalVISUAL ]</t>
  </si>
  <si>
    <t>Totem.Mixto</t>
  </si>
  <si>
    <t>Totem ou sinalizador que transmite informação combinando imagem e som</t>
  </si>
  <si>
    <t>Tótem o baliza que transmite información combinando imagen y sonido</t>
  </si>
  <si>
    <t>Totem or beacon that transmits information by combining image and sound</t>
  </si>
  <si>
    <t>[ IfcSignalMIXED ]</t>
  </si>
  <si>
    <t>Placa.Info</t>
  </si>
  <si>
    <t>Um painel ou placa com informação textual de referência</t>
  </si>
  <si>
    <t>Un panel o placa con información de referencia textual</t>
  </si>
  <si>
    <t>A panel or plaque with textual reference information</t>
  </si>
  <si>
    <t>[ OST_Signage ]</t>
  </si>
  <si>
    <t>[ IfcSign ]</t>
  </si>
  <si>
    <t>Placa.Textual</t>
  </si>
  <si>
    <t>[ IfcSignMARKER ]</t>
  </si>
  <si>
    <t>Placa.Reflexiva</t>
  </si>
  <si>
    <t>Um painel ou placa de superfície reflexiva ou retrorrefletivas. Placas de trânsito, segurança em estradas ou obras com visibilidade aumentada em baixa luz</t>
  </si>
  <si>
    <t>Un panel o placa de superficie reflectante o retroreflectante. Señales de tráfico, seguridad vial o de obras con mayor visibilidad en condiciones de poca luz</t>
  </si>
  <si>
    <t>A reflective or retroreflective surface panel or plate. Traffic, road safety, or construction signs with increased visibility in low light</t>
  </si>
  <si>
    <t>[ IfcSignMIRROR ]</t>
  </si>
  <si>
    <t>Placa.Íconica</t>
  </si>
  <si>
    <t>Um painel ou placa pictórica ou símbólica de comunicação mais universal. Sinalização de segurança com pictogramas ou acessíveis para PNE</t>
  </si>
  <si>
    <t>Un panel o placa pictórica o simbólica de comunicación más universal. Señalización de seguridad con pictogramas o accesible para PNE</t>
  </si>
  <si>
    <t>A more universal communication pictorial or symbolic panel or sign. Safety signage with pictograms or accessible for PNE</t>
  </si>
  <si>
    <t>[ IfcSignPICTORAL ]</t>
  </si>
  <si>
    <t>Poste.Reflexivo</t>
  </si>
  <si>
    <t>Um poste urbano com informação em superfície reflexiva ou retrorrefletiva. Placas de ruas, por exemplo.</t>
  </si>
  <si>
    <t>Un poste urbano con información sobre una superficie reflectante o retroreflectante. Por ejemplo, las señales de tráfico.</t>
  </si>
  <si>
    <t>An urban pole with information on a reflective or retroreflective surface. Street signs, for example.</t>
  </si>
  <si>
    <t>[ 3E.56 ]</t>
  </si>
  <si>
    <t>Poste.Luminoso</t>
  </si>
  <si>
    <t>Um poste urbano luminoso com informação. Placas de ruas com iluminação, por exemplo.</t>
  </si>
  <si>
    <t>Una farola urbana luminosa con información. Por ejemplo, señales de tráfico con iluminación.</t>
  </si>
  <si>
    <t>A luminous urban pole with information. Street signs with lighting, for example.</t>
  </si>
  <si>
    <t>Poste.Vigilância</t>
  </si>
  <si>
    <t xml:space="preserve">Um poste urbano para monitoração com câmera ou dispositivo sonoro de vigilância. </t>
  </si>
  <si>
    <t>Un poste urbano para monitorizar con una cámara o un dispositivo de sonido de vigilancia.</t>
  </si>
  <si>
    <t>An urban surveillance pole.</t>
  </si>
  <si>
    <t>Conectores.InOut</t>
  </si>
  <si>
    <t>Conector.Genérico</t>
  </si>
  <si>
    <t>[ 3E.34.02 ]</t>
  </si>
  <si>
    <t>Conector.de.Audio</t>
  </si>
  <si>
    <t>[ IfcOutletAUDIOVISUALOUTLET ]</t>
  </si>
  <si>
    <t>Conector.de.Comunicação</t>
  </si>
  <si>
    <t>[ IfcOutletCOMMUNICATIONSOUTLET ]</t>
  </si>
  <si>
    <t>Conector.de.Dados</t>
  </si>
  <si>
    <t>[ IfcOutletDATAOUTLET ]</t>
  </si>
  <si>
    <t>Conector.de.Energia</t>
  </si>
  <si>
    <t>[ IfcOutletPOWEROUTLET ]</t>
  </si>
  <si>
    <t>Conector.de.Telefonia</t>
  </si>
  <si>
    <t>[ IfcOutletTELEPHONEOUTLET ]</t>
  </si>
  <si>
    <t>Elementos.de.Telecom</t>
  </si>
  <si>
    <t>Aparelho.Telecom</t>
  </si>
  <si>
    <t>Aparelho de comunicações transmite e recebe informações eletrônicas ou digitais como dados ou som.</t>
  </si>
  <si>
    <t>El dispositivo de comunicación transmite y recibe información electrónica o digital, como datos o sonido.</t>
  </si>
  <si>
    <t>Communications device transmits and receives electronic or digital information such as data or sound.</t>
  </si>
  <si>
    <t>Antena</t>
  </si>
  <si>
    <t>Transdutor projetado para transmitir ou receber ondas eletromagnéticas.</t>
  </si>
  <si>
    <t>Transductor diseñado para transmitir o recibir ondas electromagnéticas.</t>
  </si>
  <si>
    <t>Transducer designed to transmit or receive electromagnetic waves.</t>
  </si>
  <si>
    <t>[ IfcCommunicationsApplianceANTENNA ]</t>
  </si>
  <si>
    <t>Autômato</t>
  </si>
  <si>
    <t>Dispositivo artificial de ação automática, cujo comportamento é governado de maneira gradual.</t>
  </si>
  <si>
    <t>Dispositivo artificial de acción automática, cuyo comportamiento se rige gradualmente.</t>
  </si>
  <si>
    <t>Artificial device of automatic action, whose behavior is governed gradually.</t>
  </si>
  <si>
    <t>[ IfcCommunicationsApplianceAUTOMATON ]</t>
  </si>
  <si>
    <t>Computador</t>
  </si>
  <si>
    <t>Computador de mesa, portátil, 'tablet' ou outro tipo de computador que pode ser movido de um lugar.</t>
  </si>
  <si>
    <t>Computadora de escritorio, portátil, tableta u otro tipo de computadora que se pueda mover de un solo lugar.</t>
  </si>
  <si>
    <t>Desktop computer, laptop, tablet or other type of computer that can be moved from one place.</t>
  </si>
  <si>
    <t>[ IfcCommunicationsApplianceCOMPUTER ]</t>
  </si>
  <si>
    <t>Fax</t>
  </si>
  <si>
    <t>Máquina que tem a função principal de transmitir uma cópia fac-símile de material impresso.</t>
  </si>
  <si>
    <t>Máquina que tiene como función principal transmitir una copia facsímil de material impreso.</t>
  </si>
  <si>
    <t>Machine that has the main function of transmitting a facsimile copy of printed material.</t>
  </si>
  <si>
    <t>[ IfcCommunicationsApplianceFAX ]</t>
  </si>
  <si>
    <t>Modem</t>
  </si>
  <si>
    <t>Modem (de modulador-demodulador) é um dispositivo que modula um sinal de portadora analógica para codificar.</t>
  </si>
  <si>
    <t>Un módem (modulador-demodulador) es un dispositivo que modula una señal portadora analógica para codificar.</t>
  </si>
  <si>
    <t>A modem (modulator-demodulator) is a device that modulates an analog carrier signal to encode.</t>
  </si>
  <si>
    <t>[ IfcCommunicationsApplianceMODEM ]</t>
  </si>
  <si>
    <t>Gateway</t>
  </si>
  <si>
    <t>Gateway conecta vários segmentoss de rede com diferentes protocolos em todas as camadas (camadas 1-7).</t>
  </si>
  <si>
    <t>La puerta de enlace conecta múltiples segmentos de red con diferentes protocolos en todas las capas (capas 1-7).</t>
  </si>
  <si>
    <t>Gateway connects multiple network segments with different protocols at all layers (layers 1-7).</t>
  </si>
  <si>
    <t>[ IfcCommunicationsApplianceGATEWAY ]</t>
  </si>
  <si>
    <t>Periférico.Inteligente</t>
  </si>
  <si>
    <t>Periférico inteligente é um dispositivo que oferece uma variedade de recursos especializados.</t>
  </si>
  <si>
    <t>El periférico inteligente es un dispositivo que ofrece una variedad de funciones especializadas.</t>
  </si>
  <si>
    <t>Smart peripheral is a device that offers a variety of specialized features.</t>
  </si>
  <si>
    <t>[ IfcCommunicationsApplianceINTELLIGENTPERIPHERAL ]</t>
  </si>
  <si>
    <t>Aparelho.Linha.Linha</t>
  </si>
  <si>
    <t>A unidade eletrônica de linha (leu) é a interface entre a baliza e o intertravamento na ferrovia.</t>
  </si>
  <si>
    <t>La unidad de línea electrónica (leu) es la interfaz entre la baliza y el enclavamiento en el ferrocarril.</t>
  </si>
  <si>
    <t>The electronic line unit (leu) is the interface between the beacon and the interlock on the railroad.</t>
  </si>
  <si>
    <t>[ IfcCommunicationsApplianceLINESIDEELECTRONICUNIT ]</t>
  </si>
  <si>
    <t>Aparelho.Network.IP</t>
  </si>
  <si>
    <t>Equipamento de rede ip é um dispositivo que fornece canal de transmissão de dados ip para subsistemas de telecomunicações.</t>
  </si>
  <si>
    <t>El equipo de red IP es un dispositivo que proporciona un canal de transmisión de datos IP para subsistemas de telecomunicaciones.</t>
  </si>
  <si>
    <t>IP network equipment is a device that provides IP data transmission channel for telecommunications subsystems.</t>
  </si>
  <si>
    <t>[ IfcCommunicationsApplianceIPNETWORKEQUIPMENT ]</t>
  </si>
  <si>
    <t>Aparelho.Network.App</t>
  </si>
  <si>
    <t>Dispositivo de rede executa uma função dedicada, como proteção de firewall, filtragem de conteúdo.</t>
  </si>
  <si>
    <t>El dispositivo de red realiza una función dedicada, como protección de firewall, filtrado de contenido.</t>
  </si>
  <si>
    <t>Network device performs a dedicated function, such as firewall protection, content filtering.</t>
  </si>
  <si>
    <t>[ IfcCommunicationsApplianceNETWORKAPPLIANCE ]</t>
  </si>
  <si>
    <t>Aparelho.Network.Bridge</t>
  </si>
  <si>
    <t>Ponte de rede conecta vários segmentoss de rede na camada de enlace de dados (camada 2) do modo osi.</t>
  </si>
  <si>
    <t>El puente de red conecta múltiples segmentos de red en la capa de enlace de datos (capa 2) del modo OSI.</t>
  </si>
  <si>
    <t>Network bridging connects multiple network segments at the data link layer (layer 2) of OSI mode.</t>
  </si>
  <si>
    <t>[ IfcCommunicationsApplianceNETWORKBRIDGE ]</t>
  </si>
  <si>
    <t>Aparelho.Network.Hub</t>
  </si>
  <si>
    <t>Hub de rede conecta vários segmentoss de rede na camada física (camada 1) do modelo osi.</t>
  </si>
  <si>
    <t>Network Hub conecta varios segmentos de red en la capa física (capa 1) del modelo OSI.</t>
  </si>
  <si>
    <t>Network Hub connects multiple network segments at the physical layer (layer 1) of the OSI model.</t>
  </si>
  <si>
    <t>[ IfcCommunicationsApplianceNETWORKHUB ]</t>
  </si>
  <si>
    <t>Aparelho.Rede.Óptica</t>
  </si>
  <si>
    <t>Unidade de rede óptica é um tipo de equipamento de conexão de rede de transmissão óptica.</t>
  </si>
  <si>
    <t>La unidad de red óptica es un tipo de equipo de conexión de red de transmisión óptica.</t>
  </si>
  <si>
    <t>Optical network unit is a kind of optical transmission network connection equipment.</t>
  </si>
  <si>
    <t>[ IfcCommunicationsApplianceOPTICALNETWORKUNIT ]</t>
  </si>
  <si>
    <t>Aparelho.RBC</t>
  </si>
  <si>
    <t>Centro de Blocos de Rádio é um dispositivo de computação especializado em sistemas de ferrovias.</t>
  </si>
  <si>
    <t>El centro de bloques de radio es un dispositivo informático especializado en ferrocarriles.</t>
  </si>
  <si>
    <t>Radio Block Center is a computing device specialized in railway systems.</t>
  </si>
  <si>
    <t>[ IfcCommunicationsApplianceRADIOBLOCKCENTER ]</t>
  </si>
  <si>
    <t>Terminal.Óptico</t>
  </si>
  <si>
    <t>Terminal de linha óptica é um ponto final do provedor de serviços de uma rede óptica passiva ou ativa.</t>
  </si>
  <si>
    <t>El terminal de línea óptica es un punto final del proveedor de servicios de una red óptica pasiva o activa.</t>
  </si>
  <si>
    <t>Optical line terminal is a service provider endpoint of a passive or active optical network.</t>
  </si>
  <si>
    <t>[ IfcCommunicationsApplianceOPTICALLINETERMINAL ]</t>
  </si>
  <si>
    <t>Scanner</t>
  </si>
  <si>
    <t>Máquina que tem a função principal de digitalizar o conteúdo do material impresso e convertê-lo.</t>
  </si>
  <si>
    <t>Máquina que tiene como función principal digitalizar el contenido del material impreso y convertirlo.</t>
  </si>
  <si>
    <t>Machine that has the main function of digitizing the content of the printed material and converting it.</t>
  </si>
  <si>
    <t>[ IfcCommunicationsApplianceSCANNER ]</t>
  </si>
  <si>
    <t>Impressora</t>
  </si>
  <si>
    <t>Máquina que tem a função principal de imprimir texto e/ou gráficos em papel ou outra mídia.</t>
  </si>
  <si>
    <t>Máquina que tiene como función principal imprimir texto y/o gráficos en papel u otros soportes.</t>
  </si>
  <si>
    <t>Machine that has the main function of printing text and/or graphics on paper or other media.</t>
  </si>
  <si>
    <t>[ IfcCommunicationsAppliancePRINTER ]</t>
  </si>
  <si>
    <t>Repetidor</t>
  </si>
  <si>
    <t>Repetidor é um dispositivo eletrônico que recebe um sinal e o retransmite num nível mais alto.</t>
  </si>
  <si>
    <t>Un repetidor es un dispositivo electrónico que recibe una señal y la transmite a un nivel superior.</t>
  </si>
  <si>
    <t>A repeater is an electronic device that receives a signal and relays it at a higher level.</t>
  </si>
  <si>
    <t>[ IfcCommunicationsApplianceREPEATER ]</t>
  </si>
  <si>
    <t>Roteador</t>
  </si>
  <si>
    <t>Roteador é um dispositivo de rede cujo software e hardware são geralmente adaptados às tarefas de roteamento.</t>
  </si>
  <si>
    <t>Un router es un dispositivo de red cuyo software y hardware suelen estar adaptados a las tareas de enrutamiento.</t>
  </si>
  <si>
    <t>A router is a network device whose software and hardware are usually adapted to routing tasks.</t>
  </si>
  <si>
    <t>[ IfcCommunicationsApplianceROUTER ]</t>
  </si>
  <si>
    <t>Telecomando</t>
  </si>
  <si>
    <t>Sistema de envio de comando para controlar e monitorar os interruptores e disjuntores ou sistemas diretamente.</t>
  </si>
  <si>
    <t>Sistema de despacho de comandos para controlar y monitorear los interruptores y disyuntores o sistemas directamente.</t>
  </si>
  <si>
    <t>Command dispatch system to control and monitor the switches and circuit breakers or systems directly.</t>
  </si>
  <si>
    <t>[ IfcCommunicationsApplianceTELECOMMAND ]</t>
  </si>
  <si>
    <t>Central.Telefônica</t>
  </si>
  <si>
    <t>Central telefônica é um dispositivo que garante o roteamento de chamadas telefônicas e comunicações.</t>
  </si>
  <si>
    <t>La centralita es un dispositivo que garantiza el enrutamiento de las llamadas telefónicas y las comunicaciones.</t>
  </si>
  <si>
    <t>Switchboard is a device that ensures the routing of phone calls and communications.</t>
  </si>
  <si>
    <t>[ IfcCommunicationsApplianceTELEPHONYEXCHANGE ]</t>
  </si>
  <si>
    <t>Componente.Transição</t>
  </si>
  <si>
    <t>Componente de transição é um dispositivo ativo menor que converte sinais elétricos em sinais ópticos.</t>
  </si>
  <si>
    <t>El componente de transición es un dispositivo activo más pequeño que convierte las señales eléctricas en señales ópticas.</t>
  </si>
  <si>
    <t>Transition component is a smaller active device that converts electrical signals into optical signals.</t>
  </si>
  <si>
    <t>[ IfcCommunicationsApplianceTRANSITIONCOMPONENT ]</t>
  </si>
  <si>
    <t>Transponder</t>
  </si>
  <si>
    <t>Dispositivo de comunicação, monitoramento ou controle de recepção de sinal.</t>
  </si>
  <si>
    <t>Un dispositivo para la comunicación, monitoreo o control de la recepción de señales.</t>
  </si>
  <si>
    <t>A device for communication, monitoring or control of signal reception.</t>
  </si>
  <si>
    <t>[ IfcCommunicationsApplianceTRANSPONDER ]</t>
  </si>
  <si>
    <t>Aparelho.De.Transporte</t>
  </si>
  <si>
    <t>Equipamento de transporte é um elemento de rede responsável por fornecer funcionalidade de transporte.</t>
  </si>
  <si>
    <t>El equipo de transporte es un elemento de la red responsable de proporcionar la funcionalidad del transporte.</t>
  </si>
  <si>
    <t>Transportation equipment is a network element responsible for providing transportation functionality.</t>
  </si>
  <si>
    <t>[ IfcCommunicationsApplianceTRANSPORTEQUIPMENT ]</t>
  </si>
  <si>
    <t>Aparelho.Móvil</t>
  </si>
  <si>
    <t>Aparelho de telecomunicações móveis é um dispositivo que transmite, converte, amplifica ou recebe sinais.</t>
  </si>
  <si>
    <t>Un dispositivo de telecomunicaciones móviles es un dispositivo que transmite, convierte, amplifica o recibe señales.</t>
  </si>
  <si>
    <t>A mobile telecommunications device is a device that transmits, converts, amplifies, or receives signals.</t>
  </si>
  <si>
    <t>[ IfcMobileTelecommunicationsAppliance ]</t>
  </si>
  <si>
    <t>Ponto.de.Acesso</t>
  </si>
  <si>
    <t>Ponto de acesso é um dispositivo que permite que dispositivos sem fio se conectem a uma rede com fio.</t>
  </si>
  <si>
    <t>Un punto de acceso es un dispositivo que permite que los dispositivos inalámbricos se conecten a una red cableada.</t>
  </si>
  <si>
    <t>An access point is a device that allows wireless devices to connect to a wired network.</t>
  </si>
  <si>
    <t>[ IfcMobileTelecommunicationsApplianceACCESSPOINT ]</t>
  </si>
  <si>
    <t>Unidade.Banda.Base</t>
  </si>
  <si>
    <t>Unidade de banda base é um componente de uma estação transceptora de base distribuída.</t>
  </si>
  <si>
    <t>Una unidad de banda base es un componente de una estación transceptora base distribuida.</t>
  </si>
  <si>
    <t>A baseband unit is a component of a distributed base transceiver station.</t>
  </si>
  <si>
    <t>[ IfcMobileTelecommunicationsApplianceBASEBANDUNIT ]</t>
  </si>
  <si>
    <t>Base.Transceive</t>
  </si>
  <si>
    <t>Estação transceptora base (bts) é um componente de rede que atende a uma célula.</t>
  </si>
  <si>
    <t>La estación transceptora base (BTS) es un componente de red que sirve a una celda.</t>
  </si>
  <si>
    <t>Base transceiver station (bts) is a network component that serves a cell.</t>
  </si>
  <si>
    <t>[ IfcMobileTelecommunicationsApplianceBASETRANSCEIVE ]</t>
  </si>
  <si>
    <t>E.Utran.Node.B</t>
  </si>
  <si>
    <t>Nó e-utran b é um componente de rede lógica que serve a uma ou mais células e-utran.</t>
  </si>
  <si>
    <t>El nodo E-utran b es un componente de red lógica que sirve a una o más células e-utran.</t>
  </si>
  <si>
    <t>E-utran node b is a logical network component that serves one or more e-utran cells.</t>
  </si>
  <si>
    <t>[ IfcMobileTelecommunicationsApplianceE_UTRAN_NODE_B ]</t>
  </si>
  <si>
    <t>Gateway.GPRS</t>
  </si>
  <si>
    <t>O nó de suporte gprs do gateway é um componente da rede principal gprs que estende o gsm.</t>
  </si>
  <si>
    <t>El nodo de soporte gprs de puerta de enlace es un componente de la red central gprs que extiende gsm.</t>
  </si>
  <si>
    <t>The gateway gprs support node is a component of the gprs core network that extends gsm.</t>
  </si>
  <si>
    <t>[ IfcMobileTelecommunicationsApplianceGATEWAY_GPRS_S ]</t>
  </si>
  <si>
    <t>Unidade.Master</t>
  </si>
  <si>
    <t>Unidade mestre é um componente de um repetidor para acoplar sinais de estação base.</t>
  </si>
  <si>
    <t>Una unidad maestra es un componente de un repetidor para acoplar señales de estación base.</t>
  </si>
  <si>
    <t>A master unit is a component of a repeater for coupling base station signals.</t>
  </si>
  <si>
    <t>[ IfcMobileTelecommunicationsApplianceMASTERUNIT ]</t>
  </si>
  <si>
    <t>Mobile.Switch.In</t>
  </si>
  <si>
    <t>O centro de comutação móvel (msc) constitui a interface entre o sistema de rádio e o sistema de comutação fixa.</t>
  </si>
  <si>
    <t>El centro móvil de conmutación (MSC) es la interfaz entre el sistema radioeléctrico y el sistema de conmutación fijo.</t>
  </si>
  <si>
    <t>The mobile switching centre (MSC) is the interface between the radio system and the fixed switching system.</t>
  </si>
  <si>
    <t>[ IfcMobileTelecommunicationsApplianceMOBILESWITCHIN ]</t>
  </si>
  <si>
    <t>Servidor.MSC</t>
  </si>
  <si>
    <t>O servidor msc compreende principalmente as partes de controle de chamadas (CC) e controle de mobilidade de um comutador móvel.</t>
  </si>
  <si>
    <t>El servidor msc comprende principalmente las partes de control de llamadas (CC) y control de movilidad de un conmutador móvil.</t>
  </si>
  <si>
    <t>The msc server primarily comprises the call control (CC) and mobility control portions of a mobile switch.</t>
  </si>
  <si>
    <t>[ IfcMobileTelecommunicationsApplianceMSCSERVER ]</t>
  </si>
  <si>
    <t>Controlador.PCU</t>
  </si>
  <si>
    <t>Unidade de controle de pacotes executa algumas das tarefas de processamento do controlador da estação base para pacotes.</t>
  </si>
  <si>
    <t>La unidad de control de paquetes realiza algunas de las tareas de procesamiento del controlador de la estación base para paquetes.</t>
  </si>
  <si>
    <t>Packet Control Unit performs some of the processing tasks of the base station controller for packets.</t>
  </si>
  <si>
    <t>[ IfcMobileTelecommunicationsAppliancePACKETCONTROLU ]</t>
  </si>
  <si>
    <t>Remote.Radio.Uni</t>
  </si>
  <si>
    <t>Unidade de rádio remota é um componente de uma estação transceptora de base distribuída.</t>
  </si>
  <si>
    <t>Una unidad de radio remota es un componente de una estación transceptora base distribuida.</t>
  </si>
  <si>
    <t>A remote radio unit is a component of a distributed base transceiver station.</t>
  </si>
  <si>
    <t>[ IfcMobileTelecommunicationsApplianceREMOTERADIOUNI ]</t>
  </si>
  <si>
    <t>UnidadeRemota</t>
  </si>
  <si>
    <t>Unidade remota é um dispositivo usado para amplificar o sinal de uma estação base.</t>
  </si>
  <si>
    <t>La unidad remota es un dispositivo utilizado para amplificar la señal de una estación base.</t>
  </si>
  <si>
    <t>Remote unit is a device used to amplify the signal of a base station.</t>
  </si>
  <si>
    <t>[ IfcMobileTelecommunicationsApplianceREMOTEUNIT ]</t>
  </si>
  <si>
    <t>Servidor.GPRS</t>
  </si>
  <si>
    <t>O nó de suporte gprs de serviço (sgsn) é um componente da rede principal gprs.</t>
  </si>
  <si>
    <t>El nodo de soporte gprs de servicio (sgsn) es un componente de la red central gprs.</t>
  </si>
  <si>
    <t>The service gprs support node (sgsn) is a component of the gprs core network.</t>
  </si>
  <si>
    <t>[ IfcMobileTelecommunicationsApplianceSERVICE_GPRS_S ]</t>
  </si>
  <si>
    <t>Servidor.Assinante</t>
  </si>
  <si>
    <t>É um banco de dados responsável pelo gerenciamento de assinantes móveis.</t>
  </si>
  <si>
    <t>Es una base de datos encargada de gestionar los suscriptores móviles.</t>
  </si>
  <si>
    <t>It is a database responsible for managing mobile subscribers.</t>
  </si>
  <si>
    <t>[ IfcMobileTelecommunicationsApplianceSUBSCRIBERSERV ]</t>
  </si>
  <si>
    <t>"Projeto de instalação de telecomunicação"</t>
  </si>
  <si>
    <t>ABNT NBR 5410 - Instalações elétricas de baixa tensão</t>
  </si>
  <si>
    <t>ABNT NBR 16415 - Infraestrutura de telecomunicações para edificações</t>
  </si>
  <si>
    <t>ABNT NBR 14565 - Cabeamento estruturado</t>
  </si>
  <si>
    <t>ABNT NBR 15247 / 15288 - Sistemas de segurança (opcional)</t>
  </si>
  <si>
    <t>Formalizar elementos do projeto BIM. Objetos específicos de Sistemas de Elétrica e de Telecomunicações</t>
  </si>
  <si>
    <t>De.Energia</t>
  </si>
  <si>
    <t>De.Telecom</t>
  </si>
  <si>
    <t>Motor.de.Combustão</t>
  </si>
  <si>
    <t>Motor de combustão</t>
  </si>
  <si>
    <t>Motor de combustión</t>
  </si>
  <si>
    <t>Combustion engine</t>
  </si>
  <si>
    <t>[ MechanicalEquipment ]</t>
  </si>
  <si>
    <t>[ IfcMotorConnection ]</t>
  </si>
  <si>
    <t>Motor.de.Acoplamento</t>
  </si>
  <si>
    <t>Motor de acoplamento</t>
  </si>
  <si>
    <t>Motor de acoplamiento</t>
  </si>
  <si>
    <t>Coupling motor</t>
  </si>
  <si>
    <t>[ IfcMotorConnectionCOUPLING ]</t>
  </si>
  <si>
    <t>Motor.de.Acionamento.Correia</t>
  </si>
  <si>
    <t>Motor de acionamento por correia</t>
  </si>
  <si>
    <t>Motor de transmisión por correa</t>
  </si>
  <si>
    <t>Belt drive motor</t>
  </si>
  <si>
    <t>[ IfcMotorConnectionBELTDRIVE ]</t>
  </si>
  <si>
    <t>Motor.de.Acionamento.Direto</t>
  </si>
  <si>
    <t>Motor de acionamento direto</t>
  </si>
  <si>
    <t>Motor de accionamiento directo</t>
  </si>
  <si>
    <t>Direct drive motor</t>
  </si>
  <si>
    <t>[ IfcMotorConnectionDIRECTDRIVE ]</t>
  </si>
  <si>
    <t>Motor que converte combustível em energia mecânica por meio da combustão</t>
  </si>
  <si>
    <t>Motor que convierte combustible en energía mecánica mediante combustión</t>
  </si>
  <si>
    <t>Engine that converts fuel into mechanical energy through combustion</t>
  </si>
  <si>
    <t>[ IfcEngine ]</t>
  </si>
  <si>
    <t>Máquina.de.Combustão.Externa</t>
  </si>
  <si>
    <t>Motor que converte combustível em energia mecânica por meio da combustão externa</t>
  </si>
  <si>
    <t>Motor que convierte combustible en energía mecánica mediante combustión externa</t>
  </si>
  <si>
    <t>Engine that converts fuel into mechanical energy through external combustion</t>
  </si>
  <si>
    <t>[ IfcEngineEXTERNALCOMBUSTION ]</t>
  </si>
  <si>
    <t>Máquina.de.Combustão.Interna</t>
  </si>
  <si>
    <t>Motor que converte combustível em energia mecânica por meio da combustão interna</t>
  </si>
  <si>
    <t>Motor que convierte combustible en energía mecánica mediante combustión interna</t>
  </si>
  <si>
    <t>Engine that converts fuel into mechanical energy through internal combustion</t>
  </si>
  <si>
    <t>[ IfcEngineINTERNALCOMBUSTION ]</t>
  </si>
  <si>
    <t>Elevador.Hidráulico</t>
  </si>
  <si>
    <t>Elevador para poucos andares sem transporte de cargas pesadas</t>
  </si>
  <si>
    <t>Ascensor para pocos pisos sin transporte de cargas pesadas</t>
  </si>
  <si>
    <t>Elevator to a few floors without carrying heavy loads</t>
  </si>
  <si>
    <t>[ IfcTransportElementELEVATOR ]</t>
  </si>
  <si>
    <t>[ 3E.08.06.06 ]</t>
  </si>
  <si>
    <t>Elevador.MR</t>
  </si>
  <si>
    <t>Elevador de tração com casa de máquinas</t>
  </si>
  <si>
    <t>Ascensor de tracción con sala de máquinas</t>
  </si>
  <si>
    <t>Traction Elevator with Machine Room</t>
  </si>
  <si>
    <t>Elevador.MRL</t>
  </si>
  <si>
    <t>Elevador com roldana de içamento sem casa de máquinas</t>
  </si>
  <si>
    <t>Ascensor con sistema de izamiento mediante roldana y sin sala de máquinas</t>
  </si>
  <si>
    <t>Elevator with hoisting pulley without machine room</t>
  </si>
  <si>
    <t>Plataforma</t>
  </si>
  <si>
    <t>Plataforma de elevação</t>
  </si>
  <si>
    <t>Lifting Platform</t>
  </si>
  <si>
    <t>[ 3E.08.06.10.02 ]</t>
  </si>
  <si>
    <t>Plataforma.Articulada</t>
  </si>
  <si>
    <t>Plataforma de elevação articulada</t>
  </si>
  <si>
    <t>Plataforma de elevación articulada</t>
  </si>
  <si>
    <t>Articulated lifting platform</t>
  </si>
  <si>
    <t>Plataforma.Cesto</t>
  </si>
  <si>
    <t>Plataforma de elevação com cesto</t>
  </si>
  <si>
    <t>Plataforma de elevación con cesto</t>
  </si>
  <si>
    <t>Basket lifting platform</t>
  </si>
  <si>
    <t>Acessório.Motriz</t>
  </si>
  <si>
    <t>Acessório Mecânico</t>
  </si>
  <si>
    <t>Accesorio mecánico</t>
  </si>
  <si>
    <t>Mechanical Accessory</t>
  </si>
  <si>
    <t>Sistemas.Telecom</t>
  </si>
  <si>
    <t>BackBone</t>
  </si>
  <si>
    <t>Rede.Dados</t>
  </si>
  <si>
    <t>Rede.Dados.Alta.Velocidade</t>
  </si>
  <si>
    <t>Rede.Fibra.Ótica</t>
  </si>
  <si>
    <t>Rede.Segurança</t>
  </si>
  <si>
    <t>Rede de dados interna para intranet.</t>
  </si>
  <si>
    <t>Rede de dados interna para intranet de alta velocidade.</t>
  </si>
  <si>
    <t>Rede de dados interna de fibra ótica</t>
  </si>
  <si>
    <t>Rede de dados interna de segurança.</t>
  </si>
  <si>
    <t>BackBone de alimentação da rede de dados interna.</t>
  </si>
  <si>
    <t>Tomada.de.Telecom</t>
  </si>
  <si>
    <t>Tomada.de.Elétrica</t>
  </si>
  <si>
    <t>Tomada.de.AudioVídeo</t>
  </si>
  <si>
    <t>Forno.Microondas</t>
  </si>
  <si>
    <t>Secador.de.Mão</t>
  </si>
  <si>
    <t>Ventilador</t>
  </si>
  <si>
    <t>Forno.Elétrico</t>
  </si>
  <si>
    <t>Geladeira.Freezer</t>
  </si>
  <si>
    <t>Aparelho inespecífico alimentado com energia elétrica.</t>
  </si>
  <si>
    <t>Aquecedor de água independente.</t>
  </si>
  <si>
    <t>Aquecedor elétrico independente.</t>
  </si>
  <si>
    <t>Bebedouro independente.</t>
  </si>
  <si>
    <t>Fogão elétrico.</t>
  </si>
  <si>
    <t>Micro‑ondas.</t>
  </si>
  <si>
    <t>Freezer doméstico.</t>
  </si>
  <si>
    <t>Fotocopiadora.</t>
  </si>
  <si>
    <t>Freezer especial para pesquisas biológicas usado em salas frias.</t>
  </si>
  <si>
    <t>Geladeira.</t>
  </si>
  <si>
    <t>Máquina de venda automática.</t>
  </si>
  <si>
    <t>Máquina de Lavar Roupas.</t>
  </si>
  <si>
    <t>Máquina de Secar Roupas.</t>
  </si>
  <si>
    <t>Máquina de Lavar Louças.</t>
  </si>
  <si>
    <t>Processador de alimentos / máquina de cozinha.</t>
  </si>
  <si>
    <t>Secador de mãos.</t>
  </si>
  <si>
    <t>Geladeira com freezer.</t>
  </si>
  <si>
    <t>Dispositivo no específico alimentado por electricidad.</t>
  </si>
  <si>
    <t>Calentador de agua independiente.</t>
  </si>
  <si>
    <t>Calefactor eléctrico independiente.</t>
  </si>
  <si>
    <t>Congelador doméstico.</t>
  </si>
  <si>
    <t>Congelador especial para investigación biológica utilizado en cámaras frías.</t>
  </si>
  <si>
    <t>Máquina expendedora.</t>
  </si>
  <si>
    <t>Secador de manos.</t>
  </si>
  <si>
    <t>Ventilador de techo.</t>
  </si>
  <si>
    <t>Ventilador de teto.</t>
  </si>
  <si>
    <t>Horno eléctrico.</t>
  </si>
  <si>
    <t>Bebedor independiente.</t>
  </si>
  <si>
    <t>Horno microondas.</t>
  </si>
  <si>
    <t>Heladera con congelador.</t>
  </si>
  <si>
    <t>Heladera.</t>
  </si>
  <si>
    <t>Máquina lavavajillas.</t>
  </si>
  <si>
    <t>Máquina lavaropa.</t>
  </si>
  <si>
    <t>Máquina secaropa.</t>
  </si>
  <si>
    <t>Procesador de alimentos de cocina.</t>
  </si>
  <si>
    <t>Electrical general appliance.</t>
  </si>
  <si>
    <t>Electrical freestanding water. heater</t>
  </si>
  <si>
    <t>Electrical freestanding heater.</t>
  </si>
  <si>
    <t>Electrical freestanding water. cooler</t>
  </si>
  <si>
    <t>Electrical cooker.</t>
  </si>
  <si>
    <t>Electrical microwave.</t>
  </si>
  <si>
    <t>Electrical photocopier.</t>
  </si>
  <si>
    <t>Electrical freezer.</t>
  </si>
  <si>
    <t>Electrical refrigerator.</t>
  </si>
  <si>
    <t>Electrical fridge_freezer.</t>
  </si>
  <si>
    <t>Electrical vending machine.</t>
  </si>
  <si>
    <t>Electrical dish washer.</t>
  </si>
  <si>
    <t>Electrical washing machine.</t>
  </si>
  <si>
    <t>Electrical tumble dryer.</t>
  </si>
  <si>
    <t>Electrical kitchen machine.</t>
  </si>
  <si>
    <t>Electrical handdryer.</t>
  </si>
  <si>
    <t>Electrical freestanding fan.</t>
  </si>
  <si>
    <t>Televisor</t>
  </si>
  <si>
    <t>Televisor.</t>
  </si>
  <si>
    <t>Electrical TV..</t>
  </si>
  <si>
    <t>Segmento.de.Pares.Trançados</t>
  </si>
  <si>
    <t>Segmento único dentro de um cabo ou um fio exposto (como para aterramento).</t>
  </si>
  <si>
    <t>Segmento de cabo óptico é um segmentos de cabo que contém um número variável de segmentos de fibra.</t>
  </si>
  <si>
    <t>Segmento de fibra é uma fibra óptica individual usada em sistemas de telecomunicações para transmitir dados.</t>
  </si>
  <si>
    <t>Segmento de fiação para transportar energia elétrica.</t>
  </si>
  <si>
    <t>Segmento de cabo de pares trançados para transportar sinais digitais de dados.</t>
  </si>
  <si>
    <t>Segmento de cableado para transportar energía eléctrica.</t>
  </si>
  <si>
    <t>Segmento de cable de par trenzado para transportar señales de datos digitales.</t>
  </si>
  <si>
    <t>Segmento de fibra es una fibra óptica individual utilizada en sistemas de telecomunicaciones para transmitir datos.</t>
  </si>
  <si>
    <t>Segmento de cable óptico es un segmento de cable que contiene un número variable de segmentos de fibra.</t>
  </si>
  <si>
    <t>Segmento dentro de un cable o un cable expuesto (como para la puesta a tierra).</t>
  </si>
  <si>
    <t>Segment to carry electrical energy.</t>
  </si>
  <si>
    <t>Segment of fiber is an individual optical fiber used in telecommunications systems to transmit data.</t>
  </si>
  <si>
    <t>Segment of optical cable segment is a cable segment that contains a variable number of fiber segments.</t>
  </si>
  <si>
    <t>Segment of one cable or an exposed wire (such as for grounding).</t>
  </si>
  <si>
    <t>Segment of twisted-pair cable for carrying digital data signals.</t>
  </si>
  <si>
    <t>Elementos.FM.Elétricos</t>
  </si>
  <si>
    <t>Elementos.FM.Combustão</t>
  </si>
  <si>
    <t>Máquina.de.Combustão</t>
  </si>
  <si>
    <t>Luz.Aletas</t>
  </si>
  <si>
    <t>Luminária de Aletas</t>
  </si>
  <si>
    <t>Luminaria de Aletas</t>
  </si>
  <si>
    <t>Fin Luminaire</t>
  </si>
  <si>
    <t>[ OST_LightingFixtures ]</t>
  </si>
  <si>
    <t>[ IfcLamp : IfcLightFixture ]</t>
  </si>
  <si>
    <t>[ 3E.28.02 ]</t>
  </si>
  <si>
    <t xml:space="preserve">Luz.Antiofuscamento </t>
  </si>
  <si>
    <t xml:space="preserve">Luminária de Antiofuscamento </t>
  </si>
  <si>
    <t>Luminaria Antirreflejo</t>
  </si>
  <si>
    <t>Anti-glare luminaire</t>
  </si>
  <si>
    <t>Luz.Arandela</t>
  </si>
  <si>
    <t>Luminária Arandela</t>
  </si>
  <si>
    <t>Luminaria de Pared</t>
  </si>
  <si>
    <t>Wall Luminaire</t>
  </si>
  <si>
    <t>Luz.Baliza</t>
  </si>
  <si>
    <t>Luminária Balizadora</t>
  </si>
  <si>
    <t>Luminaria de Baliza</t>
  </si>
  <si>
    <t>Beacon Luminaire</t>
  </si>
  <si>
    <t>Luz.Difusa</t>
  </si>
  <si>
    <t>Luminária de Luz Difusa</t>
  </si>
  <si>
    <t>Luminaria de Luz Difusa</t>
  </si>
  <si>
    <t>Diffused Light Luminaire</t>
  </si>
  <si>
    <t>Luz.Embutida.Fixa</t>
  </si>
  <si>
    <t>Luminária Embutida Fixa</t>
  </si>
  <si>
    <t>Luminaria Empotrada Fija</t>
  </si>
  <si>
    <t>Fixed recessed luminaire</t>
  </si>
  <si>
    <t>Luz.Embutida.Orientável</t>
  </si>
  <si>
    <t>Luminária Embutida Orientável</t>
  </si>
  <si>
    <t>Luminaria Empotrada Ajustable</t>
  </si>
  <si>
    <t>Adjustable recessed luminaire</t>
  </si>
  <si>
    <t>Luz.Externa</t>
  </si>
  <si>
    <t>Luminária de Exteriores Domésticos como pátios e jardins</t>
  </si>
  <si>
    <t>Luminaria de Exteriores Domésticos como patios y jardines</t>
  </si>
  <si>
    <t>Outdoor Garden Luminaire</t>
  </si>
  <si>
    <t>Luz.Externa.Urbana</t>
  </si>
  <si>
    <t>Luminária de Exteriores Urbanos como postes de luz em ruas e avenidas</t>
  </si>
  <si>
    <t>Luminaria de Exteriores Urbanos como postes de luz en calles y avenidas</t>
  </si>
  <si>
    <t>Outdoor Urban Luminaire</t>
  </si>
  <si>
    <t>Luz.Feixe.Amplo</t>
  </si>
  <si>
    <t>Luminária de Paredes de Feixe Amplo tipo Wall Washer</t>
  </si>
  <si>
    <t>Luminaria de Pared de Haz Ancho tipo Wall Washer</t>
  </si>
  <si>
    <t>Wide Beam Wall Washer Luminaire</t>
  </si>
  <si>
    <t>Luz.Gôndola</t>
  </si>
  <si>
    <t>Luminária de Gôndolas</t>
  </si>
  <si>
    <t>Luminaria de Góndola</t>
  </si>
  <si>
    <t>Gondola Luminaire</t>
  </si>
  <si>
    <t>Luz.Grande.Altura</t>
  </si>
  <si>
    <t>Luminária de Grandes Alturas tipo High Bay</t>
  </si>
  <si>
    <t>Luminaria de Altura tipo High Bay</t>
  </si>
  <si>
    <t>High Bay Type Luminaire</t>
  </si>
  <si>
    <t>Luz.Hermética</t>
  </si>
  <si>
    <t>Luminária Hermética</t>
  </si>
  <si>
    <t>Luminaria Hermética</t>
  </si>
  <si>
    <t>Hermetic Luminaire</t>
  </si>
  <si>
    <t>Luz.LEDFita</t>
  </si>
  <si>
    <t>Luminária de LEDFita</t>
  </si>
  <si>
    <t>Luminaria de LED Cinta</t>
  </si>
  <si>
    <t>LED Lamp Tape</t>
  </si>
  <si>
    <t>[ IfcLamp : IfcLampLED ]</t>
  </si>
  <si>
    <t>Luz.LEDTubular</t>
  </si>
  <si>
    <t>Luminária de LEDTubular</t>
  </si>
  <si>
    <t>Luminaria de LED Tubular</t>
  </si>
  <si>
    <t>Tubular LED Luminaire</t>
  </si>
  <si>
    <t>Luz.TuboFluorescente</t>
  </si>
  <si>
    <t>Luminária de Tubular Fluorescente</t>
  </si>
  <si>
    <t>Luminaria Tubular Fluorescente</t>
  </si>
  <si>
    <t>Tubular Fluorescent Light</t>
  </si>
  <si>
    <t>Luz.Linear</t>
  </si>
  <si>
    <t>Luminária de Linear</t>
  </si>
  <si>
    <t>Luminaria Lineal</t>
  </si>
  <si>
    <t>Linear Luminaire</t>
  </si>
  <si>
    <t>Luz.Painel</t>
  </si>
  <si>
    <t>Luminária de Painel</t>
  </si>
  <si>
    <t>Luminaria Panel</t>
  </si>
  <si>
    <t>Panel Luminaire</t>
  </si>
  <si>
    <t>Luz.Pendente</t>
  </si>
  <si>
    <t>Luminária Pendente</t>
  </si>
  <si>
    <t>Luminaria colgante</t>
  </si>
  <si>
    <t>Pendant Luminaire</t>
  </si>
  <si>
    <t>Luz.Plafon</t>
  </si>
  <si>
    <t>Luminária de Plafon</t>
  </si>
  <si>
    <t>Luminaria Plafón</t>
  </si>
  <si>
    <t>Ceiling Light Fixture</t>
  </si>
  <si>
    <t>Luz.Sensorizada</t>
  </si>
  <si>
    <t>Luminária de Automação com Sensor</t>
  </si>
  <si>
    <t>Luminaria de automatización con Sensor</t>
  </si>
  <si>
    <t>Automation luminaire with sensor</t>
  </si>
  <si>
    <t>Luz.Spot</t>
  </si>
  <si>
    <t>Luminária de Spot</t>
  </si>
  <si>
    <t>Luminaria de Foco</t>
  </si>
  <si>
    <t>Spotlight Luminaire</t>
  </si>
  <si>
    <t>[ IfcLamp : IfcLightFixturePOINTSOURCE ]</t>
  </si>
  <si>
    <t>Luz.Trilho</t>
  </si>
  <si>
    <t>Luminária de Trilho</t>
  </si>
  <si>
    <t>Luminaire de Pista</t>
  </si>
  <si>
    <t>Track Luminaire</t>
  </si>
  <si>
    <t>Acessório.Luz</t>
  </si>
  <si>
    <t>Acessórios de Luminitécnica</t>
  </si>
  <si>
    <t>Accesorio de Luminitécnica</t>
  </si>
  <si>
    <t>Luminaire Accessory Fixture</t>
  </si>
  <si>
    <t>Ponto.Iluminado</t>
  </si>
  <si>
    <t>Ponto de iluminação analizado</t>
  </si>
  <si>
    <t>Punto de iluminación analizado</t>
  </si>
  <si>
    <t>Analitical Point of Light</t>
  </si>
  <si>
    <t>Linha.Iluminada</t>
  </si>
  <si>
    <t>Faixa de iluminação analizada</t>
  </si>
  <si>
    <t>Faja de iluminación analizada</t>
  </si>
  <si>
    <t>Analitical Track of Light</t>
  </si>
  <si>
    <t>Area.Iluminada</t>
  </si>
  <si>
    <t>Área de iluminação analizada</t>
  </si>
  <si>
    <t>Área de iluminación analizada</t>
  </si>
  <si>
    <t>Analitical Area of Light</t>
  </si>
  <si>
    <t>De.Luminotécnica</t>
  </si>
  <si>
    <t>Elementos.de.Iluminação</t>
  </si>
  <si>
    <t>Sis_Luz_01</t>
  </si>
  <si>
    <t>"Circuito de iluminação 1"</t>
  </si>
  <si>
    <t>"[ OST_SwitchSystem ]"</t>
  </si>
  <si>
    <t>"[ IfcDistributionSystemLIGHTING ]"</t>
  </si>
  <si>
    <t>Sis_Luz_02</t>
  </si>
  <si>
    <t>"Circuito de iluminação 2"</t>
  </si>
  <si>
    <t>Lumi_Escada</t>
  </si>
  <si>
    <t>é.pertencente.a</t>
  </si>
  <si>
    <t>Lumi_Sala_A</t>
  </si>
  <si>
    <t>Lum_111233</t>
  </si>
  <si>
    <t>"Indivíduo Luminária arandela, ideal para criar efeitos de luz decorativos em ambientes residenciais, hotéis, bares e restaurantes."</t>
  </si>
  <si>
    <t>"Lumicenter Lighting"</t>
  </si>
  <si>
    <t>"AR93-S"</t>
  </si>
  <si>
    <t>quem.forneceu</t>
  </si>
  <si>
    <t>"Nome da empresa vendedora do produto."</t>
  </si>
  <si>
    <t>"[ OST_LightingDevices ]"</t>
  </si>
  <si>
    <t>"[ IfcLamp ]"</t>
  </si>
  <si>
    <t>"[ 3E.28.02 ]"</t>
  </si>
  <si>
    <t>Lum_111234</t>
  </si>
  <si>
    <t>Lum_111235</t>
  </si>
  <si>
    <t>Lum_111236</t>
  </si>
  <si>
    <t>Lum_333324</t>
  </si>
  <si>
    <t>"Indivíduo Luminária Balizadora LED de embutir com IP65. Ideal para criar efeitos de luz e demarcar caminhos, escadas, corredores, muros e fachadas."</t>
  </si>
  <si>
    <t>"BZ48-E"</t>
  </si>
  <si>
    <t>Lum_333325</t>
  </si>
  <si>
    <t>Lum_333326</t>
  </si>
  <si>
    <t>Lum_333327</t>
  </si>
  <si>
    <t>Projeto_LUZ</t>
  </si>
  <si>
    <t>"Iluminação da Escada de acesso"</t>
  </si>
  <si>
    <t>"Iluminação da Sala de recepção"</t>
  </si>
  <si>
    <t>"Iluminação artificial"</t>
  </si>
  <si>
    <t>"Luminárias"</t>
  </si>
  <si>
    <t>Objetos_de_Sistemas_Energia_Força_Telecom_Iluminação</t>
  </si>
  <si>
    <t>Projeto_TEL</t>
  </si>
  <si>
    <t>Projeto_ENE</t>
  </si>
  <si>
    <t>Projeto_MOT</t>
  </si>
  <si>
    <t>Sistema.de.Força</t>
  </si>
  <si>
    <t>Sistema.de.Iluminação</t>
  </si>
  <si>
    <t>Elemento.Acessório.Elétrico</t>
  </si>
  <si>
    <t>Elemento.Aparelho.Elétrico</t>
  </si>
  <si>
    <t>Elemento.Bateria.Elétrica</t>
  </si>
  <si>
    <t>Cabeamento.Conexão</t>
  </si>
  <si>
    <t>Cabeamento.Segmento</t>
  </si>
  <si>
    <t>Caixa.Elétrica</t>
  </si>
  <si>
    <t>Conduto.Conexão</t>
  </si>
  <si>
    <t>Conexão.de.Conduto</t>
  </si>
  <si>
    <t>Conexão.de.Conduto.Curva</t>
  </si>
  <si>
    <t>Conexão.de.Conduto.Conector</t>
  </si>
  <si>
    <t>Conexão.de.Conduto.Cruzeta</t>
  </si>
  <si>
    <t>Conexão.de.Conduto.Junção</t>
  </si>
  <si>
    <t>Conexão.de.Conduto.Redução</t>
  </si>
  <si>
    <t>Conexão.de.Conduto.Te</t>
  </si>
  <si>
    <t>Conexão.de.Conduto.Transição</t>
  </si>
  <si>
    <t>Conduto.Segmento</t>
  </si>
  <si>
    <t>Elemento.Filtro.Elétrico</t>
  </si>
  <si>
    <t>Elemento.Gerador.Elétrica</t>
  </si>
  <si>
    <t>Elemento.Gerador.Solar</t>
  </si>
  <si>
    <t>Sistema.de.Rede</t>
  </si>
  <si>
    <t>Elemento.Interruptor.Elétrico</t>
  </si>
  <si>
    <t>Elemento.Protetor.Elétrico</t>
  </si>
  <si>
    <t>Elemento.Distribuidor.Elétrica</t>
  </si>
  <si>
    <t>Elemento.Tomada.Elétrica</t>
  </si>
  <si>
    <t>Elemento.Transformador.Elétrica</t>
  </si>
  <si>
    <t>Elemento.Bomba.Elétrica</t>
  </si>
  <si>
    <t>Elemento.Motor.Elétrico</t>
  </si>
  <si>
    <t>Elemento.Elevador</t>
  </si>
  <si>
    <t>Elemento.Máquina.Combustão</t>
  </si>
  <si>
    <t>Elemento.Motor.Combustão</t>
  </si>
  <si>
    <t>Bomba.de.Carcaça.Bipartida</t>
  </si>
  <si>
    <t>Elemento.Aparelho.Avi</t>
  </si>
  <si>
    <t>Elemento.Comunicador.Hospitalar</t>
  </si>
  <si>
    <t>Elemento.Interfonia</t>
  </si>
  <si>
    <t>Elemento.Banco.Eletrônico</t>
  </si>
  <si>
    <t>Elemento.Totem.Dinâmico</t>
  </si>
  <si>
    <t>Elemento.Placa.Estática</t>
  </si>
  <si>
    <t>Elemento.Poste.Urbano</t>
  </si>
  <si>
    <t>Elemento.Conector.InOut</t>
  </si>
  <si>
    <t>Elemento.Telecom.Fixo</t>
  </si>
  <si>
    <t>Elemento.Telecom.Móvil</t>
  </si>
  <si>
    <t>Elemento.Luminária</t>
  </si>
  <si>
    <t>Elemento.Acessório.Iluminação</t>
  </si>
  <si>
    <t>Elemento.Analítico.de.Luz</t>
  </si>
  <si>
    <t>[ IfcMaterial : IfcCoveringINSULATION ]</t>
  </si>
  <si>
    <t>[ IfcMaterial : IfcCoveringMEMBRANE ]</t>
  </si>
  <si>
    <t>[ IfcMaterial : IfcFastener ]</t>
  </si>
  <si>
    <t>Projeto_A</t>
  </si>
  <si>
    <t>"Informações gerais do Projeto A"</t>
  </si>
  <si>
    <t>"Informações contidas no Projeto de Telecom do Projeto A"</t>
  </si>
  <si>
    <t>"Informações contidas no Projeto de Energia Elétrica do Projeto A"</t>
  </si>
  <si>
    <t>"Informações contidas no Projeto de Luminotécnica do Projeto A"</t>
  </si>
  <si>
    <t>"Informações contidas no Projeto de Força Motriz do Projeto A"</t>
  </si>
  <si>
    <t>"Indivíduo de circuito de entrada da rede urbana do Projeto A"</t>
  </si>
  <si>
    <t>Argamassa.Reguladora</t>
  </si>
  <si>
    <t>[ IfcMaterial : IfcPipeSegmentRIGIDSEGMENT : IfcPipeFitting ]</t>
  </si>
  <si>
    <t>Tubo.de.Concreto.Armado</t>
  </si>
  <si>
    <t>Material construtivo usado para conduzir água de drenagem pluvial, sob vias públicas e grandes aterros</t>
  </si>
  <si>
    <t>Material de construcción utilizado para conducir el drenaje de aguas pluviales bajo carreteras públicas y grandes terraplenes</t>
  </si>
  <si>
    <t>Construction material used to conduct rainwater drainage, under public roads and large embankments</t>
  </si>
  <si>
    <t>[ IfcMaterial : IfcPipeSegmentCULVERT : IfcPipeFitting ]</t>
  </si>
  <si>
    <t>Tubo.de.Concreto.Simples</t>
  </si>
  <si>
    <t>Material construtivo usado para conduzir água de drenagem pluvial superficial e galerias leves.</t>
  </si>
  <si>
    <t>Material de construcción utilizado para realizar el drenaje superficial de aguas pluviales y las galerías de iluminación.</t>
  </si>
  <si>
    <t>Construction material used to conduct surface rainwater drainage and light galleries.</t>
  </si>
  <si>
    <t>Tubo.de.Concreto.Perfurado</t>
  </si>
  <si>
    <t>Material construtivo usado para conduzir água de drenagem, com aberturas ao longo da peça.</t>
  </si>
  <si>
    <t>Material de construcción utilizado para conducir el agua de drenaje, con aberturas a lo largo de la pieza.</t>
  </si>
  <si>
    <t>Construction material used to conduct drainage water, with openings along the piece.</t>
  </si>
  <si>
    <t>Tubo.de.Concreto.Cravação</t>
  </si>
  <si>
    <t>Material construtivo usado para instalação subterrânea por método não destrutivo.</t>
  </si>
  <si>
    <t>Material de construcción utilizado para la instalación subterránea mediante métodos no destructivos.</t>
  </si>
  <si>
    <t>Construction material used for underground installation by non-destructive method.</t>
  </si>
  <si>
    <t>Conduíte.Flex.de.Elétrica</t>
  </si>
  <si>
    <t>[ IfcMaterial : IfcPipeSegmentFLEXIBLESEGMENT : IfcPipeFitting ]</t>
  </si>
  <si>
    <t>Conduíte.Flex.de.Telecom</t>
  </si>
  <si>
    <t>[ 0M ]</t>
  </si>
  <si>
    <t>Grelha.Alumínio</t>
  </si>
  <si>
    <t>Material construtivo usado para fazer grelhas.</t>
  </si>
  <si>
    <t>Material de construcción utilizado para fabricar rejillas.</t>
  </si>
  <si>
    <t>Construction material used to make grilles.</t>
  </si>
  <si>
    <t>Difusor.Alumínio</t>
  </si>
  <si>
    <t>Material construtivo usado para fazer difusores de ar.</t>
  </si>
  <si>
    <t>Material de construcción utilizado para fabricar difusores de aire.</t>
  </si>
  <si>
    <t>Construction material used to make ar diffusers.</t>
  </si>
  <si>
    <t>Concreto.C10</t>
  </si>
  <si>
    <t>Concreto.C15</t>
  </si>
  <si>
    <t>Concreto.C20</t>
  </si>
  <si>
    <t>Concreto.C25</t>
  </si>
  <si>
    <t>Concreto.C30</t>
  </si>
  <si>
    <t>Concreto.C35</t>
  </si>
  <si>
    <t>Concreto.C40</t>
  </si>
  <si>
    <t>Concreto.C45</t>
  </si>
  <si>
    <t>Concreto.C50</t>
  </si>
  <si>
    <t>Concreto.C55</t>
  </si>
  <si>
    <t>Concreto.C100</t>
  </si>
  <si>
    <t>Material construtivo usado como concreto estrutural em obras correntes: sapatas, vigas, pilares, lajes</t>
  </si>
  <si>
    <t>Material construtivo usado como concreto magro para lastro de regularização não estrutural.</t>
  </si>
  <si>
    <t>Material construtivo usado como concreto de contrapiso, enchimento, calçadas não permitido em armado estrutural.</t>
  </si>
  <si>
    <t>Material construtivo usado como concreto mínimo para concreto armado em ambientes pouco agressivos.</t>
  </si>
  <si>
    <t>Material construtivo usado como concreto de ambientes urbanos agressivos, pisos industriais, cargas elevadas.</t>
  </si>
  <si>
    <t>Material construtivo usado como concreto de estruturas solicitadas, pré-moldados, elementos esbeltos.</t>
  </si>
  <si>
    <t>Material construtivo usado como concreto de ambientes marinhos/industriais agressivos, edifícios altos.</t>
  </si>
  <si>
    <t>Material construtivo usado como concreto de protendidos e pré-moldados de maior desempenho.</t>
  </si>
  <si>
    <t>Material construtivo usado como concreto de protendidos e obras especiais.</t>
  </si>
  <si>
    <t>Material construtivo usado como concreto de concretos de alto desempenho (pontes, túneis e Obras de Arte Especial OAE).</t>
  </si>
  <si>
    <t>Construction material used as lean concrete for non-structural regularization ballast.</t>
  </si>
  <si>
    <t>Construction material used as subfloor concrete, filling, sidewalks not allowed in structural reinforcement.</t>
  </si>
  <si>
    <t>Construction material used as minimum concrete for reinforced concrete in low aggressive environments.</t>
  </si>
  <si>
    <t>Construction material used as structural concrete in current works: footings, beams, columns, slabs</t>
  </si>
  <si>
    <t>Construction material used as concrete for aggressive urban environments, industrial floors, high loads.</t>
  </si>
  <si>
    <t>Construction material used as concrete for requested structures, precast, slender elements.</t>
  </si>
  <si>
    <t>Construction material used as concrete for harsh marine/industrial environments, tall buildings.</t>
  </si>
  <si>
    <t>Construction material used as prestressed and precast concrete with higher performance.</t>
  </si>
  <si>
    <t>Construction material used as prestressed concrete and special works.</t>
  </si>
  <si>
    <t>Construction material used as concrete for high-performance concretes (bridges, tunnels and OAE Special Works of Art).</t>
  </si>
  <si>
    <t>Material de construcción utilizado como hormigón pobre para lastre de regularización no estructural.</t>
  </si>
  <si>
    <t>Material de construcción utilizado como hormigón para entornos urbanos agresivos, suelos industriales, cargas elevadas.</t>
  </si>
  <si>
    <t>Material de construcción utilizado como hormigón para estructuras solicitadas, elementos prefabricados, delgados.</t>
  </si>
  <si>
    <t>Material de construcción utilizado como hormigón para entornos marinos/industriales hostiles, edificios altos.</t>
  </si>
  <si>
    <t>Material de construcción utilizado como hormigón pretenado y prefabricado con mayor rendimiento.</t>
  </si>
  <si>
    <t>Material de construcción utilizado como hormigón para hormigones de alto rendimiento (puentes, túneles y obras especiales de arte de la OAE).</t>
  </si>
  <si>
    <t>Material de construcción utilizado como hormigón de contrapiso, relleno y aceras sin resistencia para refuerzo estructural.</t>
  </si>
  <si>
    <t>Material de construcción utilizado como hormigón armado mínimo en entornos de baja agresividad.</t>
  </si>
  <si>
    <t>Material de construcción utilizado como hormigón estructural en obras de: zapatas, vigas, columnas, losas.</t>
  </si>
  <si>
    <t>Material de construcción utilizado como hormigón pretensado y obras especiales.</t>
  </si>
  <si>
    <t>[ OST_MechanicalEquipment : OST_VerticalCirculation ]</t>
  </si>
  <si>
    <t>[ OST_MechanicalEquipment ]</t>
  </si>
  <si>
    <t>[ IfcMaterial : IfcReinforcingBar : IfcStructuralSurfaceMember : IfcFooting : IfcColumn : IfcBeam : IfcMember ]</t>
  </si>
  <si>
    <t>[ 5I ]</t>
  </si>
  <si>
    <t>[ IfcMaterial : IfcPipeSegment : IfcPipeFitting ]</t>
  </si>
  <si>
    <t>API</t>
  </si>
  <si>
    <t>API.Plataforma</t>
  </si>
  <si>
    <t>API.Macros</t>
  </si>
  <si>
    <t>API.Método</t>
  </si>
  <si>
    <t>API.Método.Visual</t>
  </si>
  <si>
    <t>API.Macros.Visuais</t>
  </si>
  <si>
    <t>Norma-Número</t>
  </si>
  <si>
    <t>Norma-Edição</t>
  </si>
  <si>
    <t>Norma-ISBN</t>
  </si>
  <si>
    <t>Norma-Escopo</t>
  </si>
  <si>
    <t>Norma-Referência-01</t>
  </si>
  <si>
    <t>Norma-Referência-02</t>
  </si>
  <si>
    <t>Norma-Referência-03</t>
  </si>
  <si>
    <t>Advertência</t>
  </si>
  <si>
    <t>Aviso</t>
  </si>
  <si>
    <t>Alert</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</si>
  <si>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</si>
  <si>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</si>
  <si>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</si>
  <si>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</si>
  <si>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</si>
  <si>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</si>
  <si>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</si>
  <si>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</si>
  <si>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</si>
  <si>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</si>
  <si>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</si>
  <si>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</si>
  <si>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</si>
  <si>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</si>
  <si>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</si>
  <si>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</si>
  <si>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</si>
  <si>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</si>
  <si>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</si>
  <si>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</si>
  <si>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</si>
  <si>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</si>
  <si>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</si>
  <si>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</si>
  <si>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</si>
  <si>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</si>
  <si>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</si>
  <si>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</si>
  <si>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</si>
  <si>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</si>
  <si>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</si>
  <si>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</si>
  <si>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</si>
  <si>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</si>
  <si>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</si>
  <si>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</si>
  <si>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</si>
  <si>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</si>
  <si>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</si>
  <si>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</si>
  <si>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</si>
  <si>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</si>
  <si>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</si>
  <si>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</si>
  <si>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</si>
  <si>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</si>
  <si>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corrente.de.operação</t>
  </si>
  <si>
    <t>potência.de.operação</t>
  </si>
  <si>
    <t>tensão.de.operação</t>
  </si>
  <si>
    <t>"Tomada elétrica do circuito U01: 10 Amperes, 127 Volts ,100 Watts"</t>
  </si>
  <si>
    <t>Argamassas</t>
  </si>
  <si>
    <t>Concretos.Reguladores</t>
  </si>
  <si>
    <t>Concretos.Estruturais</t>
  </si>
  <si>
    <t>Isolantes</t>
  </si>
  <si>
    <t>Espumados</t>
  </si>
  <si>
    <t>Adesivos</t>
  </si>
  <si>
    <t>Concretos.Formados</t>
  </si>
  <si>
    <t>Caixas.Metálicas</t>
  </si>
  <si>
    <t>Caixas.Plásticas</t>
  </si>
  <si>
    <t>Calhas.Metálicas</t>
  </si>
  <si>
    <t>Calhas.Plásticas</t>
  </si>
  <si>
    <t>Conduítes.Rígidos</t>
  </si>
  <si>
    <t>Fiações.Metálicas</t>
  </si>
  <si>
    <t>Peças.Metálicas</t>
  </si>
  <si>
    <t>Quadros.Metálicos</t>
  </si>
  <si>
    <t>Quadros.Plásticos</t>
  </si>
  <si>
    <t>Tubos.Metálicos</t>
  </si>
  <si>
    <t>Tubos.Multicamadas</t>
  </si>
  <si>
    <t>Tubos.Plásticos</t>
  </si>
  <si>
    <t>Tubos.Termoplásticos</t>
  </si>
  <si>
    <t>Aditivos</t>
  </si>
  <si>
    <t>Defloculante</t>
  </si>
  <si>
    <t>Usado para melhorar a trabalhabilidade do material.</t>
  </si>
  <si>
    <t>Se usa para mejorar la manifiabilidad del material.</t>
  </si>
  <si>
    <t>Used to improve the workability of the material.</t>
  </si>
  <si>
    <t>[ OST_Materials : OST_MaterialTags ]</t>
  </si>
  <si>
    <t>[ IfcMaterial : IfcText : IfcLabel : IfcMaterialRelationship ]</t>
  </si>
  <si>
    <t>Pigmento</t>
  </si>
  <si>
    <t>Usado para alterar as propriedades cromáticas.</t>
  </si>
  <si>
    <t>Se usaba para cambiar propiedades cromáticas.</t>
  </si>
  <si>
    <t>Used to change chromatic properties.</t>
  </si>
  <si>
    <t>Conduítes.Flex</t>
  </si>
  <si>
    <t>De.Construção</t>
  </si>
  <si>
    <t>Produtos.Construtivos</t>
  </si>
  <si>
    <t>Ligas.Estruturais</t>
  </si>
  <si>
    <t>Calha.de.Pluvial</t>
  </si>
  <si>
    <t>Material construtivo usado para coletar de água de telhados.</t>
  </si>
  <si>
    <t>Material de construcción para colectar agua pluvial en tejados.</t>
  </si>
  <si>
    <t>[ OST_Materials : OST_PipeMaterials : OST_DuctInsulations : OST_DuctLinings : OST_FabricationDuctwork : OST_Roofs ]</t>
  </si>
  <si>
    <t>[ IfcMaterial : IfcPipeSegmentRIGIDSEGMENT : IfcPipeFitting : IfcRoof]</t>
  </si>
  <si>
    <t>Canaleta.de.Pluvial</t>
  </si>
  <si>
    <t>Vedantes</t>
  </si>
  <si>
    <t>Produtos.Catalogados</t>
  </si>
  <si>
    <t>Catálogos.de.Produtos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</si>
</sst>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6"/>
      <color theme="1"/>
      <name val="Arial Nova Cond Light"/>
      <family val="2"/>
    </font>
    <font>
      <b/>
      <sz val="5"/>
      <color rgb="FF000000"/>
      <name val="Arial Nova Cond Light"/>
      <family val="2"/>
    </font>
    <font>
      <sz val="8"/>
      <color theme="1"/>
      <name val="Arial Nova Cond"/>
      <family val="2"/>
    </font>
    <font>
      <sz val="8"/>
      <color theme="1"/>
      <name val="Arial Nova Cond Light"/>
      <family val="2"/>
    </font>
    <font>
      <sz val="6"/>
      <color rgb="FF000000"/>
      <name val="Aptos Narrow"/>
      <family val="2"/>
      <charset val="1"/>
    </font>
    <font>
      <u/>
      <sz val="11"/>
      <color theme="10"/>
      <name val="Aptos Narrow"/>
      <family val="2"/>
      <charset val="1"/>
    </font>
  </fonts>
  <fills count="28">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8" tint="0.79998168889431442"/>
        <bgColor rgb="FFFFFFCC"/>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theme="0"/>
        <bgColor indexed="64"/>
      </patternFill>
    </fill>
  </fills>
  <borders count="10">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hair">
        <color auto="1"/>
      </left>
      <right style="hair">
        <color auto="1"/>
      </right>
      <top style="hair">
        <color auto="1"/>
      </top>
      <bottom style="hair">
        <color auto="1"/>
      </bottom>
      <diagonal/>
    </border>
  </borders>
  <cellStyleXfs count="2">
    <xf numFmtId="0" fontId="0" fillId="0" borderId="0"/>
    <xf numFmtId="0" fontId="13" fillId="0" borderId="0" applyNumberFormat="0" applyFill="0" applyBorder="0" applyAlignment="0" applyProtection="0"/>
  </cellStyleXfs>
  <cellXfs count="103">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22" fontId="6" fillId="0" borderId="4" xfId="0" applyNumberFormat="1" applyFont="1" applyBorder="1" applyAlignment="1">
      <alignment horizontal="left" vertical="center"/>
    </xf>
    <xf numFmtId="0" fontId="6" fillId="0" borderId="4"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3" fillId="14" borderId="4" xfId="0" applyFont="1" applyFill="1" applyBorder="1" applyAlignment="1">
      <alignment horizontal="left" vertical="center" wrapText="1"/>
    </xf>
    <xf numFmtId="0" fontId="3" fillId="15" borderId="4" xfId="0" applyFont="1" applyFill="1" applyBorder="1" applyAlignment="1">
      <alignment horizontal="left" vertical="center" wrapText="1"/>
    </xf>
    <xf numFmtId="0" fontId="2" fillId="16"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3" fillId="14" borderId="4" xfId="0" applyFont="1" applyFill="1" applyBorder="1" applyAlignment="1">
      <alignment horizontal="center" vertical="center" wrapText="1"/>
    </xf>
    <xf numFmtId="0" fontId="2" fillId="17" borderId="4" xfId="0" applyFont="1" applyFill="1" applyBorder="1" applyAlignment="1">
      <alignment horizontal="center" vertical="center"/>
    </xf>
    <xf numFmtId="0" fontId="2" fillId="5" borderId="1" xfId="0" applyFont="1" applyFill="1" applyBorder="1" applyAlignment="1">
      <alignment horizontal="left" vertical="center"/>
    </xf>
    <xf numFmtId="0" fontId="2" fillId="18" borderId="4" xfId="0" applyFont="1" applyFill="1" applyBorder="1" applyAlignment="1">
      <alignment horizontal="left" vertical="center"/>
    </xf>
    <xf numFmtId="0" fontId="3"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0" borderId="4" xfId="0" applyFont="1" applyBorder="1" applyAlignment="1">
      <alignment horizontal="left" vertical="center"/>
    </xf>
    <xf numFmtId="0" fontId="10" fillId="0" borderId="0" xfId="0" applyFont="1" applyAlignment="1">
      <alignment vertical="center"/>
    </xf>
    <xf numFmtId="0" fontId="8" fillId="22" borderId="4" xfId="0" applyFont="1" applyFill="1" applyBorder="1" applyAlignment="1">
      <alignment horizontal="center" vertical="center"/>
    </xf>
    <xf numFmtId="0" fontId="6" fillId="0" borderId="4" xfId="0" applyFont="1" applyBorder="1" applyAlignment="1">
      <alignment horizontal="center" vertical="center"/>
    </xf>
    <xf numFmtId="0" fontId="11" fillId="0" borderId="0" xfId="0" applyFont="1" applyAlignment="1">
      <alignment vertical="center"/>
    </xf>
    <xf numFmtId="0" fontId="2" fillId="5" borderId="5" xfId="0" applyFont="1" applyFill="1" applyBorder="1" applyAlignment="1">
      <alignment horizontal="left" vertical="center"/>
    </xf>
    <xf numFmtId="0" fontId="3"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5" fillId="2"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2" fillId="16" borderId="5" xfId="0" applyFont="1" applyFill="1" applyBorder="1" applyAlignment="1">
      <alignment horizontal="left" vertical="center"/>
    </xf>
    <xf numFmtId="0" fontId="2" fillId="5" borderId="4"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17" borderId="4" xfId="0" applyFont="1" applyFill="1" applyBorder="1" applyAlignment="1">
      <alignment horizontal="right" vertical="center"/>
    </xf>
    <xf numFmtId="0" fontId="2" fillId="23" borderId="4" xfId="0" applyFont="1" applyFill="1" applyBorder="1" applyAlignment="1">
      <alignment horizontal="left" vertical="center"/>
    </xf>
    <xf numFmtId="0" fontId="0" fillId="0" borderId="0" xfId="0" applyAlignment="1">
      <alignment horizontal="left"/>
    </xf>
    <xf numFmtId="0" fontId="3" fillId="2" borderId="8" xfId="0" applyFont="1" applyFill="1" applyBorder="1" applyAlignment="1">
      <alignment horizontal="left" vertical="center" wrapText="1"/>
    </xf>
    <xf numFmtId="0" fontId="4" fillId="2" borderId="4" xfId="0" applyFont="1" applyFill="1" applyBorder="1" applyAlignment="1">
      <alignment horizontal="left" vertical="center"/>
    </xf>
    <xf numFmtId="0" fontId="6" fillId="5" borderId="4" xfId="0" applyFont="1" applyFill="1" applyBorder="1" applyAlignment="1">
      <alignment horizontal="left" vertical="center"/>
    </xf>
    <xf numFmtId="0" fontId="4" fillId="2" borderId="1" xfId="0" applyFont="1" applyFill="1" applyBorder="1" applyAlignment="1">
      <alignment horizontal="left" vertical="center"/>
    </xf>
    <xf numFmtId="0" fontId="12" fillId="0" borderId="0" xfId="0" applyFont="1" applyAlignment="1">
      <alignment horizontal="left" vertical="center"/>
    </xf>
    <xf numFmtId="0" fontId="0" fillId="0" borderId="0" xfId="0" applyAlignment="1">
      <alignment horizontal="left" vertical="center"/>
    </xf>
    <xf numFmtId="0" fontId="2" fillId="16" borderId="4" xfId="0" applyFont="1" applyFill="1" applyBorder="1" applyAlignment="1">
      <alignment vertical="center" wrapText="1"/>
    </xf>
    <xf numFmtId="0" fontId="2" fillId="16" borderId="4" xfId="0" applyFont="1" applyFill="1" applyBorder="1" applyAlignment="1">
      <alignment vertical="center"/>
    </xf>
    <xf numFmtId="0" fontId="4" fillId="24" borderId="4" xfId="0" applyFont="1" applyFill="1" applyBorder="1" applyAlignment="1">
      <alignment horizontal="left" vertical="center"/>
    </xf>
    <xf numFmtId="0" fontId="6" fillId="16" borderId="4" xfId="0" applyFont="1" applyFill="1" applyBorder="1" applyAlignment="1">
      <alignment horizontal="left" vertical="center"/>
    </xf>
    <xf numFmtId="0" fontId="2" fillId="5" borderId="4" xfId="0" applyFont="1" applyFill="1" applyBorder="1" applyAlignment="1">
      <alignment vertical="center"/>
    </xf>
    <xf numFmtId="0" fontId="2" fillId="16" borderId="4" xfId="0" applyFont="1" applyFill="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3" borderId="7" xfId="0" applyFont="1" applyFill="1" applyBorder="1" applyAlignment="1">
      <alignment horizontal="center" vertical="center" wrapText="1"/>
    </xf>
    <xf numFmtId="0" fontId="0" fillId="0" borderId="0" xfId="0" applyAlignment="1">
      <alignment horizontal="center" vertical="center"/>
    </xf>
    <xf numFmtId="0" fontId="4" fillId="16" borderId="4" xfId="0" applyFont="1" applyFill="1" applyBorder="1" applyAlignment="1">
      <alignment horizontal="left" vertical="center" wrapText="1"/>
    </xf>
    <xf numFmtId="0" fontId="2" fillId="0" borderId="4" xfId="0" applyFont="1" applyBorder="1" applyAlignment="1">
      <alignment vertical="center"/>
    </xf>
    <xf numFmtId="0" fontId="2" fillId="5" borderId="0" xfId="0" applyFont="1" applyFill="1" applyAlignment="1">
      <alignment horizontal="left" vertical="center" wrapText="1"/>
    </xf>
    <xf numFmtId="0" fontId="2" fillId="16" borderId="0" xfId="0" applyFont="1" applyFill="1" applyAlignment="1">
      <alignment horizontal="left" vertical="center" wrapText="1"/>
    </xf>
    <xf numFmtId="0" fontId="8" fillId="8" borderId="9" xfId="0" applyFont="1" applyFill="1" applyBorder="1" applyAlignment="1">
      <alignment horizontal="center" vertical="center"/>
    </xf>
    <xf numFmtId="0" fontId="8" fillId="8" borderId="9" xfId="0" applyFont="1" applyFill="1" applyBorder="1" applyAlignment="1">
      <alignment horizontal="left" vertical="center"/>
    </xf>
    <xf numFmtId="0" fontId="8" fillId="8" borderId="9" xfId="0" applyFont="1" applyFill="1" applyBorder="1" applyAlignment="1">
      <alignment vertical="center"/>
    </xf>
    <xf numFmtId="0" fontId="8" fillId="8" borderId="9" xfId="0" applyFont="1" applyFill="1" applyBorder="1" applyAlignment="1">
      <alignment vertical="center" wrapText="1"/>
    </xf>
    <xf numFmtId="0" fontId="4" fillId="9" borderId="9" xfId="0" applyFont="1" applyFill="1" applyBorder="1" applyAlignment="1">
      <alignment horizontal="center" vertical="center"/>
    </xf>
    <xf numFmtId="0" fontId="2" fillId="10" borderId="9" xfId="0" applyFont="1" applyFill="1" applyBorder="1" applyAlignment="1">
      <alignment vertical="center"/>
    </xf>
    <xf numFmtId="0" fontId="2" fillId="5" borderId="9" xfId="0" applyFont="1" applyFill="1" applyBorder="1" applyAlignment="1">
      <alignment horizontal="left" vertical="center"/>
    </xf>
    <xf numFmtId="0" fontId="4" fillId="21" borderId="9" xfId="0" applyFont="1" applyFill="1" applyBorder="1" applyAlignment="1">
      <alignment horizontal="left" vertical="center"/>
    </xf>
    <xf numFmtId="0" fontId="4" fillId="20" borderId="9" xfId="0" applyFont="1" applyFill="1" applyBorder="1" applyAlignment="1">
      <alignment horizontal="left" vertical="center"/>
    </xf>
    <xf numFmtId="0" fontId="4" fillId="11" borderId="9" xfId="0" applyFont="1" applyFill="1" applyBorder="1" applyAlignment="1">
      <alignment vertical="center"/>
    </xf>
    <xf numFmtId="0" fontId="6" fillId="12" borderId="9" xfId="0" applyFont="1" applyFill="1" applyBorder="1" applyAlignment="1">
      <alignment horizontal="left" vertical="center"/>
    </xf>
    <xf numFmtId="0" fontId="6" fillId="13" borderId="9" xfId="0" applyFont="1" applyFill="1" applyBorder="1" applyAlignment="1">
      <alignment vertical="center"/>
    </xf>
    <xf numFmtId="0" fontId="4" fillId="12" borderId="9" xfId="0" applyFont="1" applyFill="1" applyBorder="1" applyAlignment="1">
      <alignment vertical="center"/>
    </xf>
    <xf numFmtId="0" fontId="4" fillId="21" borderId="9" xfId="0" applyFont="1" applyFill="1" applyBorder="1" applyAlignment="1">
      <alignment vertical="center"/>
    </xf>
    <xf numFmtId="0" fontId="4" fillId="12" borderId="9" xfId="0" applyFont="1" applyFill="1" applyBorder="1" applyAlignment="1">
      <alignment horizontal="left" vertical="center"/>
    </xf>
    <xf numFmtId="0" fontId="6" fillId="13" borderId="9" xfId="0" applyFont="1" applyFill="1" applyBorder="1" applyAlignment="1">
      <alignment horizontal="left" vertical="center"/>
    </xf>
    <xf numFmtId="0" fontId="4" fillId="19" borderId="9" xfId="0" applyFont="1" applyFill="1" applyBorder="1" applyAlignment="1">
      <alignment vertical="center"/>
    </xf>
    <xf numFmtId="0" fontId="2" fillId="19" borderId="9" xfId="0" applyFont="1" applyFill="1" applyBorder="1" applyAlignment="1">
      <alignment vertical="center"/>
    </xf>
    <xf numFmtId="0" fontId="2" fillId="10" borderId="9" xfId="0" applyFont="1" applyFill="1" applyBorder="1" applyAlignment="1">
      <alignment vertical="center" wrapText="1"/>
    </xf>
    <xf numFmtId="0" fontId="2" fillId="5" borderId="9" xfId="0" applyFont="1" applyFill="1" applyBorder="1" applyAlignment="1">
      <alignment horizontal="left" vertical="center" wrapText="1"/>
    </xf>
    <xf numFmtId="0" fontId="6" fillId="5" borderId="9" xfId="0" applyFont="1" applyFill="1" applyBorder="1" applyAlignment="1">
      <alignment horizontal="left" vertical="center" wrapText="1"/>
    </xf>
    <xf numFmtId="0" fontId="6" fillId="5" borderId="9" xfId="0" applyFont="1" applyFill="1" applyBorder="1" applyAlignment="1">
      <alignment horizontal="left" vertical="center"/>
    </xf>
    <xf numFmtId="0" fontId="4" fillId="11" borderId="9" xfId="0" applyFont="1" applyFill="1" applyBorder="1" applyAlignment="1">
      <alignment horizontal="left" vertical="center"/>
    </xf>
    <xf numFmtId="0" fontId="4" fillId="25" borderId="9" xfId="0" applyFont="1" applyFill="1" applyBorder="1" applyAlignment="1">
      <alignment horizontal="left" vertical="center"/>
    </xf>
    <xf numFmtId="0" fontId="4" fillId="26" borderId="9" xfId="0" applyFont="1" applyFill="1" applyBorder="1" applyAlignment="1">
      <alignment horizontal="left" vertical="center"/>
    </xf>
    <xf numFmtId="0" fontId="2" fillId="5" borderId="4" xfId="0" applyFont="1" applyFill="1" applyBorder="1" applyAlignment="1">
      <alignment vertical="center" wrapText="1"/>
    </xf>
    <xf numFmtId="0" fontId="2" fillId="18" borderId="5" xfId="0" applyFont="1" applyFill="1" applyBorder="1" applyAlignment="1">
      <alignment horizontal="left" vertical="center"/>
    </xf>
    <xf numFmtId="0" fontId="11" fillId="0" borderId="0" xfId="0" applyFont="1" applyAlignment="1">
      <alignment horizontal="left" vertical="center"/>
    </xf>
    <xf numFmtId="0" fontId="4" fillId="0" borderId="4" xfId="1" applyFont="1" applyBorder="1" applyAlignment="1">
      <alignment horizontal="left" vertical="center"/>
    </xf>
    <xf numFmtId="0" fontId="4" fillId="0" borderId="4" xfId="1" applyFont="1" applyFill="1" applyBorder="1" applyAlignment="1">
      <alignment vertical="center"/>
    </xf>
    <xf numFmtId="0" fontId="4" fillId="0" borderId="4" xfId="1" applyFont="1" applyBorder="1" applyAlignment="1">
      <alignment vertical="center" wrapText="1"/>
    </xf>
    <xf numFmtId="0" fontId="4" fillId="0" borderId="4" xfId="0" applyFont="1" applyBorder="1" applyAlignment="1">
      <alignment vertical="center"/>
    </xf>
    <xf numFmtId="0" fontId="4" fillId="27" borderId="4" xfId="0" applyFont="1" applyFill="1" applyBorder="1" applyAlignment="1">
      <alignment vertical="center"/>
    </xf>
    <xf numFmtId="22" fontId="4" fillId="0" borderId="4" xfId="1" applyNumberFormat="1" applyFont="1" applyBorder="1" applyAlignment="1">
      <alignment horizontal="left" vertical="center"/>
    </xf>
    <xf numFmtId="0" fontId="4" fillId="0" borderId="4" xfId="1" applyFont="1" applyBorder="1" applyAlignment="1">
      <alignment vertical="center"/>
    </xf>
    <xf numFmtId="0" fontId="6" fillId="27" borderId="4" xfId="0" applyFont="1" applyFill="1" applyBorder="1" applyAlignment="1">
      <alignment vertical="center" wrapText="1"/>
    </xf>
    <xf numFmtId="0" fontId="4" fillId="13" borderId="9" xfId="0" applyFont="1" applyFill="1" applyBorder="1" applyAlignment="1">
      <alignment horizontal="left" vertical="center"/>
    </xf>
    <xf numFmtId="0" fontId="6" fillId="5" borderId="4" xfId="0" applyFont="1" applyFill="1" applyBorder="1" applyAlignment="1">
      <alignment horizontal="left" vertical="center" wrapText="1"/>
    </xf>
    <xf numFmtId="0" fontId="6" fillId="0" borderId="0" xfId="0" applyFont="1" applyAlignment="1">
      <alignment horizontal="left" vertical="center"/>
    </xf>
  </cellXfs>
  <cellStyles count="2">
    <cellStyle name="Hiperlink" xfId="1" builtinId="8"/>
    <cellStyle name="Normal" xfId="0" builtinId="0"/>
  </cellStyles>
  <dxfs count="26">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2"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49"/>
  <sheetViews>
    <sheetView zoomScale="235" zoomScaleNormal="235" workbookViewId="0">
      <pane ySplit="1" topLeftCell="A2" activePane="bottomLeft" state="frozen"/>
      <selection pane="bottomLeft"/>
    </sheetView>
  </sheetViews>
  <sheetFormatPr defaultColWidth="9.140625" defaultRowHeight="9.75" customHeight="1" x14ac:dyDescent="0.25"/>
  <cols>
    <col min="1" max="1" width="12.85546875" bestFit="1" customWidth="1"/>
    <col min="2" max="2" width="68.85546875" style="57" bestFit="1" customWidth="1"/>
    <col min="3" max="3" width="3.42578125" style="32" bestFit="1" customWidth="1"/>
    <col min="4" max="16384" width="9.140625" style="57"/>
  </cols>
  <sheetData>
    <row r="1" spans="1:3" ht="20.25" customHeight="1" x14ac:dyDescent="0.25">
      <c r="A1" s="11" t="s">
        <v>43</v>
      </c>
      <c r="B1" s="11" t="s">
        <v>44</v>
      </c>
      <c r="C1" s="30" t="s">
        <v>78</v>
      </c>
    </row>
    <row r="2" spans="1:3" ht="9" customHeight="1" x14ac:dyDescent="0.25">
      <c r="A2" s="12" t="s">
        <v>45</v>
      </c>
      <c r="B2" s="12" t="s">
        <v>46</v>
      </c>
      <c r="C2" s="31" t="s">
        <v>79</v>
      </c>
    </row>
    <row r="3" spans="1:3" ht="9" customHeight="1" x14ac:dyDescent="0.25">
      <c r="A3" s="12" t="s">
        <v>47</v>
      </c>
      <c r="B3" s="12" t="s">
        <v>1672</v>
      </c>
      <c r="C3" s="31" t="s">
        <v>79</v>
      </c>
    </row>
    <row r="4" spans="1:3" ht="9" customHeight="1" x14ac:dyDescent="0.25">
      <c r="A4" s="13" t="s">
        <v>48</v>
      </c>
      <c r="B4" s="13" t="s">
        <v>32</v>
      </c>
      <c r="C4" s="31" t="s">
        <v>79</v>
      </c>
    </row>
    <row r="5" spans="1:3" ht="9" customHeight="1" x14ac:dyDescent="0.25">
      <c r="A5" s="13" t="s">
        <v>49</v>
      </c>
      <c r="B5" s="13" t="str">
        <f>_xlfn.CONCAT(B4,"Prop")</f>
        <v>BIMProp</v>
      </c>
      <c r="C5" s="31" t="s">
        <v>79</v>
      </c>
    </row>
    <row r="6" spans="1:3" ht="9" customHeight="1" x14ac:dyDescent="0.25">
      <c r="A6" s="13" t="s">
        <v>50</v>
      </c>
      <c r="B6" s="13" t="str">
        <f>_xlfn.CONCAT(B4,"Data")</f>
        <v>BIMData</v>
      </c>
      <c r="C6" s="31" t="s">
        <v>79</v>
      </c>
    </row>
    <row r="7" spans="1:3" ht="9" customHeight="1" x14ac:dyDescent="0.25">
      <c r="A7" s="13" t="s">
        <v>51</v>
      </c>
      <c r="B7" s="13" t="s">
        <v>52</v>
      </c>
      <c r="C7" s="31" t="s">
        <v>79</v>
      </c>
    </row>
    <row r="8" spans="1:3" s="29" customFormat="1" ht="9" customHeight="1" x14ac:dyDescent="0.25">
      <c r="A8" s="28" t="s">
        <v>53</v>
      </c>
      <c r="B8" s="28" t="s">
        <v>76</v>
      </c>
      <c r="C8" s="31" t="s">
        <v>79</v>
      </c>
    </row>
    <row r="9" spans="1:3" ht="9" customHeight="1" x14ac:dyDescent="0.25">
      <c r="A9" s="13" t="s">
        <v>54</v>
      </c>
      <c r="B9" s="13" t="s">
        <v>55</v>
      </c>
      <c r="C9" s="31" t="s">
        <v>79</v>
      </c>
    </row>
    <row r="10" spans="1:3" ht="9" customHeight="1" x14ac:dyDescent="0.25">
      <c r="A10" s="13" t="s">
        <v>1815</v>
      </c>
      <c r="B10" s="61" t="s">
        <v>1360</v>
      </c>
      <c r="C10" s="31" t="s">
        <v>79</v>
      </c>
    </row>
    <row r="11" spans="1:3" ht="9" customHeight="1" x14ac:dyDescent="0.25">
      <c r="A11" s="13" t="s">
        <v>1816</v>
      </c>
      <c r="B11" s="61" t="s">
        <v>56</v>
      </c>
      <c r="C11" s="31" t="s">
        <v>79</v>
      </c>
    </row>
    <row r="12" spans="1:3" ht="9" customHeight="1" x14ac:dyDescent="0.25">
      <c r="A12" s="13" t="s">
        <v>1817</v>
      </c>
      <c r="B12" s="61" t="s">
        <v>56</v>
      </c>
      <c r="C12" s="31" t="s">
        <v>79</v>
      </c>
    </row>
    <row r="13" spans="1:3" ht="9" customHeight="1" x14ac:dyDescent="0.25">
      <c r="A13" s="13" t="s">
        <v>1818</v>
      </c>
      <c r="B13" s="61" t="s">
        <v>56</v>
      </c>
      <c r="C13" s="31" t="s">
        <v>79</v>
      </c>
    </row>
    <row r="14" spans="1:3" ht="9" customHeight="1" x14ac:dyDescent="0.25">
      <c r="A14" s="13" t="s">
        <v>1819</v>
      </c>
      <c r="B14" s="61" t="s">
        <v>1362</v>
      </c>
      <c r="C14" s="31" t="s">
        <v>79</v>
      </c>
    </row>
    <row r="15" spans="1:3" ht="9" customHeight="1" x14ac:dyDescent="0.25">
      <c r="A15" s="13" t="s">
        <v>1820</v>
      </c>
      <c r="B15" s="61" t="s">
        <v>1361</v>
      </c>
      <c r="C15" s="31" t="s">
        <v>79</v>
      </c>
    </row>
    <row r="16" spans="1:3" ht="9" customHeight="1" x14ac:dyDescent="0.25">
      <c r="A16" s="13" t="s">
        <v>1821</v>
      </c>
      <c r="B16" s="61" t="s">
        <v>1363</v>
      </c>
      <c r="C16" s="31" t="s">
        <v>79</v>
      </c>
    </row>
    <row r="17" spans="1:3" ht="9" customHeight="1" x14ac:dyDescent="0.25">
      <c r="A17" s="13" t="s">
        <v>57</v>
      </c>
      <c r="B17" s="14" t="s">
        <v>59</v>
      </c>
      <c r="C17" s="31" t="s">
        <v>79</v>
      </c>
    </row>
    <row r="18" spans="1:3" ht="9" customHeight="1" x14ac:dyDescent="0.25">
      <c r="A18" s="13" t="s">
        <v>58</v>
      </c>
      <c r="B18" s="14">
        <f ca="1">NOW()</f>
        <v>46283.663670023147</v>
      </c>
      <c r="C18" s="31" t="s">
        <v>79</v>
      </c>
    </row>
    <row r="19" spans="1:3" ht="9" customHeight="1" x14ac:dyDescent="0.25">
      <c r="A19" s="13" t="s">
        <v>1822</v>
      </c>
      <c r="B19" s="15" t="s">
        <v>1364</v>
      </c>
      <c r="C19" s="31" t="s">
        <v>79</v>
      </c>
    </row>
    <row r="20" spans="1:3" ht="9" customHeight="1" x14ac:dyDescent="0.25">
      <c r="A20" s="28" t="s">
        <v>1823</v>
      </c>
      <c r="B20" s="15" t="str">
        <f>_xlfn.TRANSLATE(B19,"pt","es")</f>
        <v>Formalizar elementos del proyecto BIM. Objetos específicos de los Sistemas Eléctricos y de Telecomunicaciones</v>
      </c>
      <c r="C20" s="31" t="s">
        <v>80</v>
      </c>
    </row>
    <row r="21" spans="1:3" s="29" customFormat="1" ht="9" customHeight="1" x14ac:dyDescent="0.25">
      <c r="A21" s="28" t="s">
        <v>1824</v>
      </c>
      <c r="B21" s="15" t="str">
        <f>_xlfn.TRANSLATE(B19,"pt","en")</f>
        <v>Formalize elements of the BIM project. Specific objects of Electrical and Telecommunications Systems</v>
      </c>
      <c r="C21" s="31" t="s">
        <v>81</v>
      </c>
    </row>
    <row r="22" spans="1:3" ht="9.75" customHeight="1" x14ac:dyDescent="0.25">
      <c r="A22" s="13" t="s">
        <v>60</v>
      </c>
      <c r="B22" s="61" t="s">
        <v>56</v>
      </c>
      <c r="C22" s="31" t="s">
        <v>79</v>
      </c>
    </row>
    <row r="23" spans="1:3" ht="9.75" customHeight="1" x14ac:dyDescent="0.25">
      <c r="A23" s="13" t="s">
        <v>61</v>
      </c>
      <c r="B23" s="61" t="s">
        <v>56</v>
      </c>
      <c r="C23" s="31" t="s">
        <v>79</v>
      </c>
    </row>
    <row r="24" spans="1:3" ht="9.75" customHeight="1" x14ac:dyDescent="0.25">
      <c r="A24" s="13" t="s">
        <v>62</v>
      </c>
      <c r="B24" s="15" t="s">
        <v>1364</v>
      </c>
      <c r="C24" s="31" t="s">
        <v>79</v>
      </c>
    </row>
    <row r="25" spans="1:3" ht="9.75" customHeight="1" x14ac:dyDescent="0.25">
      <c r="A25" s="13" t="s">
        <v>63</v>
      </c>
      <c r="B25" s="15" t="str">
        <f>_xlfn.TRANSLATE(B24,"pt","es")</f>
        <v>Formalizar elementos del proyecto BIM. Objetos específicos de los Sistemas Eléctricos y de Telecomunicaciones</v>
      </c>
      <c r="C25" s="31" t="s">
        <v>80</v>
      </c>
    </row>
    <row r="26" spans="1:3" ht="9.75" customHeight="1" x14ac:dyDescent="0.25">
      <c r="A26" s="28" t="s">
        <v>77</v>
      </c>
      <c r="B26" s="15" t="str">
        <f>_xlfn.TRANSLATE(B24,"pt","en")</f>
        <v>Formalize elements of the BIM project. Specific objects of Electrical and Telecommunications Systems</v>
      </c>
      <c r="C26" s="31" t="s">
        <v>81</v>
      </c>
    </row>
    <row r="27" spans="1:3" ht="9.75" customHeight="1" x14ac:dyDescent="0.25">
      <c r="A27" s="28" t="s">
        <v>1825</v>
      </c>
      <c r="B27" s="92" t="s">
        <v>1848</v>
      </c>
      <c r="C27" s="31" t="s">
        <v>79</v>
      </c>
    </row>
    <row r="28" spans="1:3" ht="9.75" customHeight="1" x14ac:dyDescent="0.25">
      <c r="A28" s="28" t="s">
        <v>1826</v>
      </c>
      <c r="B28" s="93" t="s">
        <v>1849</v>
      </c>
      <c r="C28" s="31" t="s">
        <v>79</v>
      </c>
    </row>
    <row r="29" spans="1:3" ht="9.75" customHeight="1" x14ac:dyDescent="0.25">
      <c r="A29" s="28" t="s">
        <v>1827</v>
      </c>
      <c r="B29" s="93" t="s">
        <v>1850</v>
      </c>
      <c r="C29" s="31" t="s">
        <v>79</v>
      </c>
    </row>
    <row r="30" spans="1:3" ht="9.75" customHeight="1" x14ac:dyDescent="0.25">
      <c r="A30" s="28" t="s">
        <v>1828</v>
      </c>
      <c r="B30" s="94" t="s">
        <v>1851</v>
      </c>
      <c r="C30" s="31" t="s">
        <v>79</v>
      </c>
    </row>
    <row r="31" spans="1:3" ht="9.75" customHeight="1" x14ac:dyDescent="0.25">
      <c r="A31" s="28" t="s">
        <v>1829</v>
      </c>
      <c r="B31" s="95" t="s">
        <v>1852</v>
      </c>
      <c r="C31" s="31" t="s">
        <v>79</v>
      </c>
    </row>
    <row r="32" spans="1:3" ht="9.75" customHeight="1" x14ac:dyDescent="0.25">
      <c r="A32" s="28" t="s">
        <v>1830</v>
      </c>
      <c r="B32" s="95" t="s">
        <v>1853</v>
      </c>
      <c r="C32" s="31" t="s">
        <v>79</v>
      </c>
    </row>
    <row r="33" spans="1:3" ht="9.75" customHeight="1" x14ac:dyDescent="0.25">
      <c r="A33" s="28" t="s">
        <v>1831</v>
      </c>
      <c r="B33" s="95" t="s">
        <v>1854</v>
      </c>
      <c r="C33" s="31" t="s">
        <v>79</v>
      </c>
    </row>
    <row r="34" spans="1:3" ht="9.75" customHeight="1" x14ac:dyDescent="0.25">
      <c r="A34" s="28" t="s">
        <v>1832</v>
      </c>
      <c r="B34" s="96" t="s">
        <v>1855</v>
      </c>
      <c r="C34" s="31" t="s">
        <v>79</v>
      </c>
    </row>
    <row r="35" spans="1:3" ht="9.75" customHeight="1" x14ac:dyDescent="0.25">
      <c r="A35" s="28" t="s">
        <v>1833</v>
      </c>
      <c r="B35" s="96" t="s">
        <v>1856</v>
      </c>
      <c r="C35" s="31" t="s">
        <v>79</v>
      </c>
    </row>
    <row r="36" spans="1:3" ht="9.75" customHeight="1" x14ac:dyDescent="0.25">
      <c r="A36" s="28" t="s">
        <v>1834</v>
      </c>
      <c r="B36" s="95" t="s">
        <v>1857</v>
      </c>
      <c r="C36" s="31" t="s">
        <v>79</v>
      </c>
    </row>
    <row r="37" spans="1:3" ht="9.75" customHeight="1" x14ac:dyDescent="0.25">
      <c r="A37" s="28" t="s">
        <v>1835</v>
      </c>
      <c r="B37" s="96" t="s">
        <v>1858</v>
      </c>
      <c r="C37" s="31" t="s">
        <v>79</v>
      </c>
    </row>
    <row r="38" spans="1:3" ht="9.75" customHeight="1" x14ac:dyDescent="0.25">
      <c r="A38" s="28" t="s">
        <v>1836</v>
      </c>
      <c r="B38" s="95" t="s">
        <v>1859</v>
      </c>
      <c r="C38" s="31" t="s">
        <v>79</v>
      </c>
    </row>
    <row r="39" spans="1:3" ht="9.75" customHeight="1" x14ac:dyDescent="0.25">
      <c r="A39" s="28" t="s">
        <v>1837</v>
      </c>
      <c r="B39" s="97" t="s">
        <v>1860</v>
      </c>
      <c r="C39" s="31" t="s">
        <v>79</v>
      </c>
    </row>
    <row r="40" spans="1:3" ht="9.75" customHeight="1" x14ac:dyDescent="0.25">
      <c r="A40" s="28" t="s">
        <v>1838</v>
      </c>
      <c r="B40" s="97" t="s">
        <v>1861</v>
      </c>
      <c r="C40" s="31" t="s">
        <v>79</v>
      </c>
    </row>
    <row r="41" spans="1:3" ht="9.75" customHeight="1" x14ac:dyDescent="0.25">
      <c r="A41" s="28" t="s">
        <v>1839</v>
      </c>
      <c r="B41" s="98" t="s">
        <v>1862</v>
      </c>
      <c r="C41" s="31" t="s">
        <v>79</v>
      </c>
    </row>
    <row r="42" spans="1:3" ht="9.75" customHeight="1" x14ac:dyDescent="0.25">
      <c r="A42" s="28" t="s">
        <v>1840</v>
      </c>
      <c r="B42" s="99" t="s">
        <v>1863</v>
      </c>
      <c r="C42" s="31" t="s">
        <v>79</v>
      </c>
    </row>
    <row r="43" spans="1:3" ht="9.75" customHeight="1" x14ac:dyDescent="0.25">
      <c r="A43" s="28" t="s">
        <v>1841</v>
      </c>
      <c r="B43" s="99" t="s">
        <v>1864</v>
      </c>
      <c r="C43" s="31" t="s">
        <v>79</v>
      </c>
    </row>
    <row r="44" spans="1:3" ht="9.75" customHeight="1" x14ac:dyDescent="0.25">
      <c r="A44" s="28" t="s">
        <v>1842</v>
      </c>
      <c r="B44" s="99" t="s">
        <v>1865</v>
      </c>
      <c r="C44" s="31" t="s">
        <v>79</v>
      </c>
    </row>
    <row r="45" spans="1:3" ht="9.75" customHeight="1" x14ac:dyDescent="0.25">
      <c r="A45" s="28" t="s">
        <v>1843</v>
      </c>
      <c r="B45" s="99" t="s">
        <v>1866</v>
      </c>
      <c r="C45" s="31" t="s">
        <v>79</v>
      </c>
    </row>
    <row r="46" spans="1:3" ht="9.75" customHeight="1" x14ac:dyDescent="0.25">
      <c r="A46" s="28" t="s">
        <v>1844</v>
      </c>
      <c r="B46" s="99" t="s">
        <v>1867</v>
      </c>
      <c r="C46" s="31" t="s">
        <v>79</v>
      </c>
    </row>
    <row r="47" spans="1:3" ht="9.75" customHeight="1" x14ac:dyDescent="0.25">
      <c r="A47" s="28" t="s">
        <v>1845</v>
      </c>
      <c r="B47" s="99" t="s">
        <v>1868</v>
      </c>
      <c r="C47" s="31" t="s">
        <v>79</v>
      </c>
    </row>
    <row r="48" spans="1:3" ht="9.75" customHeight="1" x14ac:dyDescent="0.25">
      <c r="A48" s="28" t="s">
        <v>1846</v>
      </c>
      <c r="B48" s="99" t="s">
        <v>1869</v>
      </c>
      <c r="C48" s="31" t="s">
        <v>79</v>
      </c>
    </row>
    <row r="49" spans="1:3" ht="9.75" customHeight="1" x14ac:dyDescent="0.25">
      <c r="A49" s="28" t="s">
        <v>1847</v>
      </c>
      <c r="B49" s="99" t="s">
        <v>1870</v>
      </c>
      <c r="C49" s="31" t="s">
        <v>79</v>
      </c>
    </row>
  </sheetData>
  <phoneticPr fontId="1" type="noConversion"/>
  <hyperlinks>
    <hyperlink ref="B27" r:id="rId1" xr:uid="{606A7C47-8F90-4840-A846-485DBF6E575F}"/>
    <hyperlink ref="B29" r:id="rId2" xr:uid="{AA94D9DD-735F-4C3A-B9AF-A30FAB132641}"/>
    <hyperlink ref="B28" r:id="rId3" xr:uid="{8F49C5A1-3CF8-41CF-B36C-81933BF02217}"/>
    <hyperlink ref="B39" r:id="rId4" location="categoria_888" xr:uid="{DBD04BF2-1E6D-4723-BFBA-1B79DAF05542}"/>
    <hyperlink ref="B40" r:id="rId5" xr:uid="{8C3E3555-3E30-4F57-9513-1903F3075F9F}"/>
    <hyperlink ref="B41" r:id="rId6" xr:uid="{BB957E78-F45C-4135-A849-1F5A90102D34}"/>
    <hyperlink ref="B30" r:id="rId7" xr:uid="{F5A5CF24-8B9C-402C-BA02-A341EDCD4FD3}"/>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2D63-9637-42D9-866B-0BB924A50D8C}">
  <sheetPr codeName="Planilha2"/>
  <dimension ref="A1:AD353"/>
  <sheetViews>
    <sheetView zoomScale="220" zoomScaleNormal="220" workbookViewId="0">
      <pane ySplit="1" topLeftCell="A2" activePane="bottomLeft" state="frozen"/>
      <selection activeCell="A179" sqref="A179:XFD190"/>
      <selection pane="bottomLeft" activeCell="V2" sqref="V2:V353"/>
    </sheetView>
  </sheetViews>
  <sheetFormatPr defaultColWidth="9.140625" defaultRowHeight="6.75" customHeight="1" x14ac:dyDescent="0.25"/>
  <cols>
    <col min="1" max="1" width="3.140625" style="57" bestFit="1" customWidth="1"/>
    <col min="2" max="2" width="6.28515625" style="49" bestFit="1" customWidth="1"/>
    <col min="3" max="3" width="8.85546875" style="49" customWidth="1"/>
    <col min="4" max="4" width="13.42578125" style="49" customWidth="1"/>
    <col min="5" max="5" width="14.140625" style="49" customWidth="1"/>
    <col min="6" max="6" width="16.85546875" style="48" customWidth="1"/>
    <col min="7" max="11" width="7.28515625" style="49" customWidth="1"/>
    <col min="12" max="12" width="8.7109375" style="49" bestFit="1" customWidth="1"/>
    <col min="13" max="13" width="11.140625" style="49" bestFit="1" customWidth="1"/>
    <col min="14" max="14" width="13.5703125" style="49" bestFit="1" customWidth="1"/>
    <col min="15" max="15" width="21.85546875" style="49" bestFit="1" customWidth="1"/>
    <col min="16" max="16" width="72.140625" style="49" bestFit="1" customWidth="1"/>
    <col min="17" max="17" width="73.5703125" style="49" bestFit="1" customWidth="1"/>
    <col min="18" max="18" width="66.7109375" style="49" bestFit="1" customWidth="1"/>
    <col min="19" max="19" width="3.7109375" style="59" bestFit="1" customWidth="1"/>
    <col min="20" max="20" width="8.7109375" style="49" bestFit="1" customWidth="1"/>
    <col min="21" max="21" width="11.140625" style="49" bestFit="1" customWidth="1"/>
    <col min="22" max="22" width="14.7109375" style="49" customWidth="1"/>
    <col min="23" max="23" width="6.7109375" style="49" bestFit="1" customWidth="1"/>
    <col min="24" max="24" width="8.28515625" style="49" bestFit="1" customWidth="1"/>
    <col min="25" max="25" width="215.7109375" style="49" bestFit="1" customWidth="1"/>
    <col min="26" max="26" width="7.7109375" style="49" bestFit="1" customWidth="1"/>
    <col min="27" max="27" width="83.140625" style="49" bestFit="1" customWidth="1"/>
    <col min="28" max="28" width="6.85546875" style="49" bestFit="1" customWidth="1"/>
    <col min="29" max="29" width="8.7109375" style="49" bestFit="1" customWidth="1"/>
    <col min="30" max="30" width="3.7109375" style="49" customWidth="1"/>
    <col min="31" max="98" width="2.5703125" style="49" customWidth="1"/>
    <col min="99" max="16384" width="9.140625" style="49"/>
  </cols>
  <sheetData>
    <row r="1" spans="1:30" s="43" customFormat="1" ht="43.35" customHeight="1" x14ac:dyDescent="0.25">
      <c r="A1" s="34" t="s">
        <v>82</v>
      </c>
      <c r="B1" s="35" t="s">
        <v>41</v>
      </c>
      <c r="C1" s="35" t="s">
        <v>39</v>
      </c>
      <c r="D1" s="35" t="s">
        <v>40</v>
      </c>
      <c r="E1" s="35" t="s">
        <v>38</v>
      </c>
      <c r="F1" s="40" t="s">
        <v>591</v>
      </c>
      <c r="G1" s="36" t="s">
        <v>0</v>
      </c>
      <c r="H1" s="36" t="s">
        <v>1</v>
      </c>
      <c r="I1" s="36" t="s">
        <v>2</v>
      </c>
      <c r="J1" s="36" t="s">
        <v>3</v>
      </c>
      <c r="K1" s="36" t="s">
        <v>4</v>
      </c>
      <c r="L1" s="26" t="s">
        <v>83</v>
      </c>
      <c r="M1" s="26" t="s">
        <v>5</v>
      </c>
      <c r="N1" s="26" t="s">
        <v>6</v>
      </c>
      <c r="O1" s="26" t="s">
        <v>7</v>
      </c>
      <c r="P1" s="26" t="s">
        <v>36</v>
      </c>
      <c r="Q1" s="26" t="s">
        <v>42</v>
      </c>
      <c r="R1" s="27" t="s">
        <v>75</v>
      </c>
      <c r="S1" s="58" t="s">
        <v>84</v>
      </c>
      <c r="T1" s="26" t="s">
        <v>33</v>
      </c>
      <c r="U1" s="26" t="s">
        <v>37</v>
      </c>
      <c r="V1" s="37" t="s">
        <v>35</v>
      </c>
      <c r="W1" s="26" t="s">
        <v>34</v>
      </c>
      <c r="X1" s="44" t="s">
        <v>8</v>
      </c>
      <c r="Y1" s="26" t="s">
        <v>664</v>
      </c>
      <c r="Z1" s="26" t="s">
        <v>663</v>
      </c>
      <c r="AA1" s="26" t="s">
        <v>661</v>
      </c>
      <c r="AB1" s="26" t="s">
        <v>662</v>
      </c>
      <c r="AC1" s="26" t="s">
        <v>74</v>
      </c>
      <c r="AD1" s="26" t="s">
        <v>756</v>
      </c>
    </row>
    <row r="2" spans="1:30" ht="6.75" customHeight="1" x14ac:dyDescent="0.25">
      <c r="A2" s="41">
        <v>2</v>
      </c>
      <c r="B2" s="1" t="s">
        <v>594</v>
      </c>
      <c r="C2" s="1" t="s">
        <v>1907</v>
      </c>
      <c r="D2" s="1" t="s">
        <v>1908</v>
      </c>
      <c r="E2" s="1" t="s">
        <v>1880</v>
      </c>
      <c r="F2" s="39" t="s">
        <v>852</v>
      </c>
      <c r="G2" s="7" t="s">
        <v>9</v>
      </c>
      <c r="H2" s="7" t="s">
        <v>9</v>
      </c>
      <c r="I2" s="7" t="s">
        <v>9</v>
      </c>
      <c r="J2" s="7" t="s">
        <v>9</v>
      </c>
      <c r="K2" s="7" t="s">
        <v>9</v>
      </c>
      <c r="L2" s="25" t="str">
        <f>CONCATENATE("", C2)</f>
        <v>De.Construção</v>
      </c>
      <c r="M2" s="25" t="str">
        <f>CONCATENATE("", D2)</f>
        <v>Produtos.Construtivos</v>
      </c>
      <c r="N2" s="25" t="str">
        <f t="shared" ref="N2:O38" si="0">(SUBSTITUTE(SUBSTITUTE(CONCATENATE("",E2),"."," ")," De "," de "))</f>
        <v>Adesivos</v>
      </c>
      <c r="O2" s="25" t="str">
        <f>(SUBSTITUTE(SUBSTITUTE(CONCATENATE("",F2),"."," ")," De "," de "))</f>
        <v>Cola Espuma</v>
      </c>
      <c r="P2" s="20" t="s">
        <v>853</v>
      </c>
      <c r="Q2" s="53" t="s">
        <v>854</v>
      </c>
      <c r="R2" s="53" t="s">
        <v>855</v>
      </c>
      <c r="S2" s="55" t="s">
        <v>9</v>
      </c>
      <c r="T2" s="51" t="str">
        <f t="shared" ref="T2:V14" si="1">SUBSTITUTE(C2, ".", " ")</f>
        <v>De Construção</v>
      </c>
      <c r="U2" s="51" t="str">
        <f t="shared" si="1"/>
        <v>Produtos Construtivos</v>
      </c>
      <c r="V2" s="51" t="str">
        <f t="shared" si="1"/>
        <v>Adesivos</v>
      </c>
      <c r="W2" s="21" t="s">
        <v>99</v>
      </c>
      <c r="X2" s="42" t="str">
        <f t="shared" ref="X2:X66" si="2">CONCATENATE("Key-INTEL-",A2)</f>
        <v>Key-INTEL-2</v>
      </c>
      <c r="Y2" s="21" t="s">
        <v>856</v>
      </c>
      <c r="Z2" s="51" t="s">
        <v>9</v>
      </c>
      <c r="AA2" s="51" t="s">
        <v>1724</v>
      </c>
      <c r="AB2" s="51" t="s">
        <v>9</v>
      </c>
      <c r="AC2" s="51" t="s">
        <v>1754</v>
      </c>
      <c r="AD2" s="51" t="s">
        <v>9</v>
      </c>
    </row>
    <row r="3" spans="1:30" ht="6.75" customHeight="1" x14ac:dyDescent="0.25">
      <c r="A3" s="41">
        <v>3</v>
      </c>
      <c r="B3" s="1" t="s">
        <v>594</v>
      </c>
      <c r="C3" s="1" t="s">
        <v>1907</v>
      </c>
      <c r="D3" s="1" t="s">
        <v>1908</v>
      </c>
      <c r="E3" s="1" t="s">
        <v>1880</v>
      </c>
      <c r="F3" s="39" t="s">
        <v>857</v>
      </c>
      <c r="G3" s="7" t="s">
        <v>9</v>
      </c>
      <c r="H3" s="7" t="s">
        <v>9</v>
      </c>
      <c r="I3" s="7" t="s">
        <v>9</v>
      </c>
      <c r="J3" s="7" t="s">
        <v>9</v>
      </c>
      <c r="K3" s="7" t="s">
        <v>9</v>
      </c>
      <c r="L3" s="25" t="str">
        <f t="shared" ref="L3:M38" si="3">CONCATENATE("", C3)</f>
        <v>De.Construção</v>
      </c>
      <c r="M3" s="25" t="str">
        <f t="shared" si="3"/>
        <v>Produtos.Construtivos</v>
      </c>
      <c r="N3" s="25" t="str">
        <f t="shared" si="0"/>
        <v>Adesivos</v>
      </c>
      <c r="O3" s="25" t="str">
        <f t="shared" si="0"/>
        <v>Cola Louça</v>
      </c>
      <c r="P3" s="20" t="s">
        <v>858</v>
      </c>
      <c r="Q3" s="53" t="s">
        <v>859</v>
      </c>
      <c r="R3" s="53" t="s">
        <v>860</v>
      </c>
      <c r="S3" s="55" t="s">
        <v>9</v>
      </c>
      <c r="T3" s="51" t="str">
        <f t="shared" si="1"/>
        <v>De Construção</v>
      </c>
      <c r="U3" s="51" t="str">
        <f t="shared" ref="U3:V66" si="4">SUBSTITUTE(D3, ".", " ")</f>
        <v>Produtos Construtivos</v>
      </c>
      <c r="V3" s="51" t="str">
        <f t="shared" si="4"/>
        <v>Adesivos</v>
      </c>
      <c r="W3" s="21" t="s">
        <v>99</v>
      </c>
      <c r="X3" s="42" t="str">
        <f t="shared" si="2"/>
        <v>Key-INTEL-3</v>
      </c>
      <c r="Y3" s="21" t="s">
        <v>856</v>
      </c>
      <c r="Z3" s="51" t="s">
        <v>9</v>
      </c>
      <c r="AA3" s="51" t="s">
        <v>1724</v>
      </c>
      <c r="AB3" s="51" t="s">
        <v>9</v>
      </c>
      <c r="AC3" s="51" t="s">
        <v>1754</v>
      </c>
      <c r="AD3" s="51" t="s">
        <v>9</v>
      </c>
    </row>
    <row r="4" spans="1:30" ht="6.75" customHeight="1" x14ac:dyDescent="0.25">
      <c r="A4" s="41">
        <v>4</v>
      </c>
      <c r="B4" s="1" t="s">
        <v>594</v>
      </c>
      <c r="C4" s="1" t="s">
        <v>1907</v>
      </c>
      <c r="D4" s="1" t="s">
        <v>1908</v>
      </c>
      <c r="E4" s="1" t="s">
        <v>1880</v>
      </c>
      <c r="F4" s="39" t="s">
        <v>861</v>
      </c>
      <c r="G4" s="7" t="s">
        <v>9</v>
      </c>
      <c r="H4" s="7" t="s">
        <v>9</v>
      </c>
      <c r="I4" s="7" t="s">
        <v>9</v>
      </c>
      <c r="J4" s="7" t="s">
        <v>9</v>
      </c>
      <c r="K4" s="7" t="s">
        <v>9</v>
      </c>
      <c r="L4" s="25" t="str">
        <f t="shared" si="3"/>
        <v>De.Construção</v>
      </c>
      <c r="M4" s="25" t="str">
        <f t="shared" si="3"/>
        <v>Produtos.Construtivos</v>
      </c>
      <c r="N4" s="25" t="str">
        <f t="shared" si="0"/>
        <v>Adesivos</v>
      </c>
      <c r="O4" s="25" t="str">
        <f t="shared" si="0"/>
        <v>Cola Madeira</v>
      </c>
      <c r="P4" s="20" t="s">
        <v>862</v>
      </c>
      <c r="Q4" s="53" t="s">
        <v>863</v>
      </c>
      <c r="R4" s="53" t="s">
        <v>864</v>
      </c>
      <c r="S4" s="55" t="s">
        <v>9</v>
      </c>
      <c r="T4" s="51" t="str">
        <f t="shared" si="1"/>
        <v>De Construção</v>
      </c>
      <c r="U4" s="51" t="str">
        <f t="shared" si="4"/>
        <v>Produtos Construtivos</v>
      </c>
      <c r="V4" s="51" t="str">
        <f t="shared" si="4"/>
        <v>Adesivos</v>
      </c>
      <c r="W4" s="21" t="s">
        <v>99</v>
      </c>
      <c r="X4" s="42" t="str">
        <f t="shared" si="2"/>
        <v>Key-INTEL-4</v>
      </c>
      <c r="Y4" s="21" t="s">
        <v>856</v>
      </c>
      <c r="Z4" s="51" t="s">
        <v>9</v>
      </c>
      <c r="AA4" s="51" t="s">
        <v>1724</v>
      </c>
      <c r="AB4" s="51" t="s">
        <v>9</v>
      </c>
      <c r="AC4" s="51" t="s">
        <v>1754</v>
      </c>
      <c r="AD4" s="51" t="s">
        <v>9</v>
      </c>
    </row>
    <row r="5" spans="1:30" ht="6.75" customHeight="1" x14ac:dyDescent="0.25">
      <c r="A5" s="41">
        <v>5</v>
      </c>
      <c r="B5" s="1" t="s">
        <v>594</v>
      </c>
      <c r="C5" s="1" t="s">
        <v>1907</v>
      </c>
      <c r="D5" s="1" t="s">
        <v>1908</v>
      </c>
      <c r="E5" s="1" t="s">
        <v>1880</v>
      </c>
      <c r="F5" s="39" t="s">
        <v>865</v>
      </c>
      <c r="G5" s="7" t="s">
        <v>9</v>
      </c>
      <c r="H5" s="7" t="s">
        <v>9</v>
      </c>
      <c r="I5" s="7" t="s">
        <v>9</v>
      </c>
      <c r="J5" s="7" t="s">
        <v>9</v>
      </c>
      <c r="K5" s="7" t="s">
        <v>9</v>
      </c>
      <c r="L5" s="25" t="str">
        <f t="shared" si="3"/>
        <v>De.Construção</v>
      </c>
      <c r="M5" s="25" t="str">
        <f t="shared" si="3"/>
        <v>Produtos.Construtivos</v>
      </c>
      <c r="N5" s="25" t="str">
        <f t="shared" si="0"/>
        <v>Adesivos</v>
      </c>
      <c r="O5" s="25" t="str">
        <f t="shared" si="0"/>
        <v>Cola Metal</v>
      </c>
      <c r="P5" s="20" t="s">
        <v>866</v>
      </c>
      <c r="Q5" s="53" t="s">
        <v>867</v>
      </c>
      <c r="R5" s="53" t="s">
        <v>868</v>
      </c>
      <c r="S5" s="55" t="s">
        <v>9</v>
      </c>
      <c r="T5" s="51" t="str">
        <f t="shared" si="1"/>
        <v>De Construção</v>
      </c>
      <c r="U5" s="51" t="str">
        <f t="shared" si="4"/>
        <v>Produtos Construtivos</v>
      </c>
      <c r="V5" s="51" t="str">
        <f t="shared" si="4"/>
        <v>Adesivos</v>
      </c>
      <c r="W5" s="21" t="s">
        <v>99</v>
      </c>
      <c r="X5" s="42" t="str">
        <f t="shared" si="2"/>
        <v>Key-INTEL-5</v>
      </c>
      <c r="Y5" s="21" t="s">
        <v>856</v>
      </c>
      <c r="Z5" s="51" t="s">
        <v>9</v>
      </c>
      <c r="AA5" s="51" t="s">
        <v>1724</v>
      </c>
      <c r="AB5" s="51" t="s">
        <v>9</v>
      </c>
      <c r="AC5" s="51" t="s">
        <v>1754</v>
      </c>
      <c r="AD5" s="51" t="s">
        <v>9</v>
      </c>
    </row>
    <row r="6" spans="1:30" ht="6.75" customHeight="1" x14ac:dyDescent="0.25">
      <c r="A6" s="41">
        <v>6</v>
      </c>
      <c r="B6" s="1" t="s">
        <v>594</v>
      </c>
      <c r="C6" s="1" t="s">
        <v>1907</v>
      </c>
      <c r="D6" s="1" t="s">
        <v>1908</v>
      </c>
      <c r="E6" s="1" t="s">
        <v>1880</v>
      </c>
      <c r="F6" s="39" t="s">
        <v>869</v>
      </c>
      <c r="G6" s="7" t="s">
        <v>9</v>
      </c>
      <c r="H6" s="7" t="s">
        <v>9</v>
      </c>
      <c r="I6" s="7" t="s">
        <v>9</v>
      </c>
      <c r="J6" s="7" t="s">
        <v>9</v>
      </c>
      <c r="K6" s="7" t="s">
        <v>9</v>
      </c>
      <c r="L6" s="25" t="str">
        <f t="shared" si="3"/>
        <v>De.Construção</v>
      </c>
      <c r="M6" s="25" t="str">
        <f t="shared" si="3"/>
        <v>Produtos.Construtivos</v>
      </c>
      <c r="N6" s="25" t="str">
        <f t="shared" si="0"/>
        <v>Adesivos</v>
      </c>
      <c r="O6" s="25" t="str">
        <f t="shared" si="0"/>
        <v>Cola Textil</v>
      </c>
      <c r="P6" s="20" t="s">
        <v>870</v>
      </c>
      <c r="Q6" s="53" t="s">
        <v>871</v>
      </c>
      <c r="R6" s="53" t="s">
        <v>872</v>
      </c>
      <c r="S6" s="55" t="s">
        <v>9</v>
      </c>
      <c r="T6" s="51" t="str">
        <f t="shared" si="1"/>
        <v>De Construção</v>
      </c>
      <c r="U6" s="51" t="str">
        <f t="shared" si="4"/>
        <v>Produtos Construtivos</v>
      </c>
      <c r="V6" s="51" t="str">
        <f t="shared" si="4"/>
        <v>Adesivos</v>
      </c>
      <c r="W6" s="21" t="s">
        <v>99</v>
      </c>
      <c r="X6" s="42" t="str">
        <f t="shared" si="2"/>
        <v>Key-INTEL-6</v>
      </c>
      <c r="Y6" s="21" t="s">
        <v>856</v>
      </c>
      <c r="Z6" s="51" t="s">
        <v>9</v>
      </c>
      <c r="AA6" s="51" t="s">
        <v>1724</v>
      </c>
      <c r="AB6" s="51" t="s">
        <v>9</v>
      </c>
      <c r="AC6" s="51" t="s">
        <v>1754</v>
      </c>
      <c r="AD6" s="51" t="s">
        <v>9</v>
      </c>
    </row>
    <row r="7" spans="1:30" s="102" customFormat="1" ht="6.75" customHeight="1" x14ac:dyDescent="0.25">
      <c r="A7" s="41">
        <v>7</v>
      </c>
      <c r="B7" s="1" t="s">
        <v>594</v>
      </c>
      <c r="C7" s="1" t="s">
        <v>1907</v>
      </c>
      <c r="D7" s="1" t="s">
        <v>1908</v>
      </c>
      <c r="E7" s="101" t="s">
        <v>1895</v>
      </c>
      <c r="F7" s="46" t="s">
        <v>1896</v>
      </c>
      <c r="G7" s="45" t="s">
        <v>9</v>
      </c>
      <c r="H7" s="45" t="s">
        <v>9</v>
      </c>
      <c r="I7" s="45" t="s">
        <v>9</v>
      </c>
      <c r="J7" s="45" t="s">
        <v>9</v>
      </c>
      <c r="K7" s="45" t="s">
        <v>9</v>
      </c>
      <c r="L7" s="25" t="str">
        <f t="shared" ref="L7:O8" si="5">SUBSTITUTE(CONCATENATE("", C7), ".", " ")</f>
        <v>De Construção</v>
      </c>
      <c r="M7" s="25" t="str">
        <f t="shared" si="5"/>
        <v>Produtos Construtivos</v>
      </c>
      <c r="N7" s="25" t="str">
        <f t="shared" si="5"/>
        <v>Aditivos</v>
      </c>
      <c r="O7" s="25" t="str">
        <f t="shared" si="5"/>
        <v>Defloculante</v>
      </c>
      <c r="P7" s="21" t="s">
        <v>1897</v>
      </c>
      <c r="Q7" s="53" t="s">
        <v>1898</v>
      </c>
      <c r="R7" s="21" t="s">
        <v>1899</v>
      </c>
      <c r="S7" s="21" t="s">
        <v>9</v>
      </c>
      <c r="T7" s="51" t="str">
        <f t="shared" si="1"/>
        <v>De Construção</v>
      </c>
      <c r="U7" s="51" t="str">
        <f t="shared" si="4"/>
        <v>Produtos Construtivos</v>
      </c>
      <c r="V7" s="51" t="str">
        <f t="shared" si="4"/>
        <v>Aditivos</v>
      </c>
      <c r="W7" s="21" t="s">
        <v>99</v>
      </c>
      <c r="X7" s="42" t="str">
        <f t="shared" si="2"/>
        <v>Key-INTEL-7</v>
      </c>
      <c r="Y7" s="21" t="s">
        <v>1900</v>
      </c>
      <c r="Z7" s="52" t="s">
        <v>9</v>
      </c>
      <c r="AA7" s="21" t="s">
        <v>1901</v>
      </c>
      <c r="AB7" s="52" t="s">
        <v>9</v>
      </c>
      <c r="AC7" s="21" t="s">
        <v>1754</v>
      </c>
      <c r="AD7" s="21" t="s">
        <v>9</v>
      </c>
    </row>
    <row r="8" spans="1:30" s="102" customFormat="1" ht="6.75" customHeight="1" x14ac:dyDescent="0.25">
      <c r="A8" s="41">
        <v>8</v>
      </c>
      <c r="B8" s="1" t="s">
        <v>594</v>
      </c>
      <c r="C8" s="1" t="s">
        <v>1907</v>
      </c>
      <c r="D8" s="1" t="s">
        <v>1908</v>
      </c>
      <c r="E8" s="101" t="s">
        <v>1895</v>
      </c>
      <c r="F8" s="46" t="s">
        <v>1902</v>
      </c>
      <c r="G8" s="45" t="s">
        <v>9</v>
      </c>
      <c r="H8" s="45" t="s">
        <v>9</v>
      </c>
      <c r="I8" s="45" t="s">
        <v>9</v>
      </c>
      <c r="J8" s="45" t="s">
        <v>9</v>
      </c>
      <c r="K8" s="45" t="s">
        <v>9</v>
      </c>
      <c r="L8" s="25" t="str">
        <f t="shared" si="5"/>
        <v>De Construção</v>
      </c>
      <c r="M8" s="25" t="str">
        <f t="shared" si="5"/>
        <v>Produtos Construtivos</v>
      </c>
      <c r="N8" s="25" t="str">
        <f t="shared" si="5"/>
        <v>Aditivos</v>
      </c>
      <c r="O8" s="25" t="str">
        <f t="shared" si="5"/>
        <v>Pigmento</v>
      </c>
      <c r="P8" s="21" t="s">
        <v>1903</v>
      </c>
      <c r="Q8" s="53" t="s">
        <v>1904</v>
      </c>
      <c r="R8" s="21" t="s">
        <v>1905</v>
      </c>
      <c r="S8" s="21" t="s">
        <v>9</v>
      </c>
      <c r="T8" s="51" t="str">
        <f t="shared" si="1"/>
        <v>De Construção</v>
      </c>
      <c r="U8" s="51" t="str">
        <f t="shared" si="4"/>
        <v>Produtos Construtivos</v>
      </c>
      <c r="V8" s="51" t="str">
        <f t="shared" si="4"/>
        <v>Aditivos</v>
      </c>
      <c r="W8" s="21" t="s">
        <v>99</v>
      </c>
      <c r="X8" s="42" t="str">
        <f t="shared" si="2"/>
        <v>Key-INTEL-8</v>
      </c>
      <c r="Y8" s="21" t="s">
        <v>1900</v>
      </c>
      <c r="Z8" s="52" t="s">
        <v>9</v>
      </c>
      <c r="AA8" s="21" t="s">
        <v>1901</v>
      </c>
      <c r="AB8" s="52" t="s">
        <v>9</v>
      </c>
      <c r="AC8" s="21" t="s">
        <v>1754</v>
      </c>
      <c r="AD8" s="21" t="s">
        <v>9</v>
      </c>
    </row>
    <row r="9" spans="1:30" ht="6.75" customHeight="1" x14ac:dyDescent="0.25">
      <c r="A9" s="41">
        <v>9</v>
      </c>
      <c r="B9" s="1" t="s">
        <v>594</v>
      </c>
      <c r="C9" s="1" t="s">
        <v>1907</v>
      </c>
      <c r="D9" s="1" t="s">
        <v>1908</v>
      </c>
      <c r="E9" s="1" t="s">
        <v>1875</v>
      </c>
      <c r="F9" s="54" t="s">
        <v>760</v>
      </c>
      <c r="G9" s="7" t="s">
        <v>9</v>
      </c>
      <c r="H9" s="7" t="s">
        <v>9</v>
      </c>
      <c r="I9" s="7" t="s">
        <v>9</v>
      </c>
      <c r="J9" s="7" t="s">
        <v>9</v>
      </c>
      <c r="K9" s="7" t="s">
        <v>9</v>
      </c>
      <c r="L9" s="25" t="str">
        <f t="shared" si="3"/>
        <v>De.Construção</v>
      </c>
      <c r="M9" s="25" t="str">
        <f t="shared" si="3"/>
        <v>Produtos.Construtivos</v>
      </c>
      <c r="N9" s="25" t="str">
        <f t="shared" si="0"/>
        <v>Argamassas</v>
      </c>
      <c r="O9" s="25" t="str">
        <f t="shared" si="0"/>
        <v>Argamassa Baritada</v>
      </c>
      <c r="P9" s="51" t="s">
        <v>761</v>
      </c>
      <c r="Q9" s="53" t="s">
        <v>762</v>
      </c>
      <c r="R9" s="53" t="s">
        <v>763</v>
      </c>
      <c r="S9" s="55" t="s">
        <v>9</v>
      </c>
      <c r="T9" s="51" t="str">
        <f t="shared" si="1"/>
        <v>De Construção</v>
      </c>
      <c r="U9" s="51" t="str">
        <f t="shared" si="4"/>
        <v>Produtos Construtivos</v>
      </c>
      <c r="V9" s="51" t="str">
        <f t="shared" si="4"/>
        <v>Argamassas</v>
      </c>
      <c r="W9" s="21" t="s">
        <v>99</v>
      </c>
      <c r="X9" s="42" t="str">
        <f t="shared" si="2"/>
        <v>Key-INTEL-9</v>
      </c>
      <c r="Y9" s="21" t="s">
        <v>764</v>
      </c>
      <c r="Z9" s="51" t="s">
        <v>9</v>
      </c>
      <c r="AA9" s="51" t="s">
        <v>1722</v>
      </c>
      <c r="AB9" s="51" t="s">
        <v>9</v>
      </c>
      <c r="AC9" s="51" t="s">
        <v>1754</v>
      </c>
      <c r="AD9" s="51" t="s">
        <v>9</v>
      </c>
    </row>
    <row r="10" spans="1:30" ht="6.75" customHeight="1" x14ac:dyDescent="0.25">
      <c r="A10" s="41">
        <v>10</v>
      </c>
      <c r="B10" s="1" t="s">
        <v>594</v>
      </c>
      <c r="C10" s="1" t="s">
        <v>1907</v>
      </c>
      <c r="D10" s="1" t="s">
        <v>1908</v>
      </c>
      <c r="E10" s="1" t="s">
        <v>1875</v>
      </c>
      <c r="F10" s="39" t="s">
        <v>765</v>
      </c>
      <c r="G10" s="7" t="s">
        <v>9</v>
      </c>
      <c r="H10" s="7" t="s">
        <v>9</v>
      </c>
      <c r="I10" s="7" t="s">
        <v>9</v>
      </c>
      <c r="J10" s="7" t="s">
        <v>9</v>
      </c>
      <c r="K10" s="7" t="s">
        <v>9</v>
      </c>
      <c r="L10" s="25" t="str">
        <f t="shared" si="3"/>
        <v>De.Construção</v>
      </c>
      <c r="M10" s="25" t="str">
        <f t="shared" si="3"/>
        <v>Produtos.Construtivos</v>
      </c>
      <c r="N10" s="25" t="str">
        <f t="shared" si="0"/>
        <v>Argamassas</v>
      </c>
      <c r="O10" s="25" t="str">
        <f t="shared" si="0"/>
        <v>Argamassa Colante</v>
      </c>
      <c r="P10" s="20" t="s">
        <v>766</v>
      </c>
      <c r="Q10" s="53" t="s">
        <v>767</v>
      </c>
      <c r="R10" s="53" t="s">
        <v>768</v>
      </c>
      <c r="S10" s="55" t="s">
        <v>9</v>
      </c>
      <c r="T10" s="51" t="str">
        <f t="shared" si="1"/>
        <v>De Construção</v>
      </c>
      <c r="U10" s="51" t="str">
        <f t="shared" si="4"/>
        <v>Produtos Construtivos</v>
      </c>
      <c r="V10" s="51" t="str">
        <f t="shared" si="4"/>
        <v>Argamassas</v>
      </c>
      <c r="W10" s="21" t="s">
        <v>99</v>
      </c>
      <c r="X10" s="42" t="str">
        <f t="shared" si="2"/>
        <v>Key-INTEL-10</v>
      </c>
      <c r="Y10" s="21" t="s">
        <v>764</v>
      </c>
      <c r="Z10" s="51" t="s">
        <v>9</v>
      </c>
      <c r="AA10" s="51" t="s">
        <v>1723</v>
      </c>
      <c r="AB10" s="51" t="s">
        <v>9</v>
      </c>
      <c r="AC10" s="51" t="s">
        <v>1754</v>
      </c>
      <c r="AD10" s="51" t="s">
        <v>9</v>
      </c>
    </row>
    <row r="11" spans="1:30" ht="6.75" customHeight="1" x14ac:dyDescent="0.25">
      <c r="A11" s="41">
        <v>11</v>
      </c>
      <c r="B11" s="1" t="s">
        <v>594</v>
      </c>
      <c r="C11" s="1" t="s">
        <v>1907</v>
      </c>
      <c r="D11" s="1" t="s">
        <v>1908</v>
      </c>
      <c r="E11" s="1" t="s">
        <v>1875</v>
      </c>
      <c r="F11" s="54" t="s">
        <v>769</v>
      </c>
      <c r="G11" s="7" t="s">
        <v>9</v>
      </c>
      <c r="H11" s="7" t="s">
        <v>9</v>
      </c>
      <c r="I11" s="7" t="s">
        <v>9</v>
      </c>
      <c r="J11" s="7" t="s">
        <v>9</v>
      </c>
      <c r="K11" s="7" t="s">
        <v>9</v>
      </c>
      <c r="L11" s="25" t="str">
        <f t="shared" si="3"/>
        <v>De.Construção</v>
      </c>
      <c r="M11" s="25" t="str">
        <f t="shared" si="3"/>
        <v>Produtos.Construtivos</v>
      </c>
      <c r="N11" s="25" t="str">
        <f t="shared" si="0"/>
        <v>Argamassas</v>
      </c>
      <c r="O11" s="25" t="str">
        <f t="shared" si="0"/>
        <v>Argamassa Isolante</v>
      </c>
      <c r="P11" s="51" t="s">
        <v>770</v>
      </c>
      <c r="Q11" s="53" t="s">
        <v>771</v>
      </c>
      <c r="R11" s="53" t="s">
        <v>772</v>
      </c>
      <c r="S11" s="55" t="s">
        <v>9</v>
      </c>
      <c r="T11" s="51" t="str">
        <f t="shared" si="1"/>
        <v>De Construção</v>
      </c>
      <c r="U11" s="51" t="str">
        <f t="shared" si="4"/>
        <v>Produtos Construtivos</v>
      </c>
      <c r="V11" s="51" t="str">
        <f t="shared" si="4"/>
        <v>Argamassas</v>
      </c>
      <c r="W11" s="21" t="s">
        <v>99</v>
      </c>
      <c r="X11" s="42" t="str">
        <f t="shared" si="2"/>
        <v>Key-INTEL-11</v>
      </c>
      <c r="Y11" s="21" t="s">
        <v>764</v>
      </c>
      <c r="Z11" s="51" t="s">
        <v>9</v>
      </c>
      <c r="AA11" s="51" t="s">
        <v>1722</v>
      </c>
      <c r="AB11" s="51" t="s">
        <v>9</v>
      </c>
      <c r="AC11" s="51" t="s">
        <v>1754</v>
      </c>
      <c r="AD11" s="51" t="s">
        <v>9</v>
      </c>
    </row>
    <row r="12" spans="1:30" ht="6.75" customHeight="1" x14ac:dyDescent="0.25">
      <c r="A12" s="41">
        <v>12</v>
      </c>
      <c r="B12" s="1" t="s">
        <v>594</v>
      </c>
      <c r="C12" s="1" t="s">
        <v>1907</v>
      </c>
      <c r="D12" s="1" t="s">
        <v>1908</v>
      </c>
      <c r="E12" s="1" t="s">
        <v>1875</v>
      </c>
      <c r="F12" s="1" t="s">
        <v>773</v>
      </c>
      <c r="G12" s="7" t="s">
        <v>9</v>
      </c>
      <c r="H12" s="7" t="s">
        <v>9</v>
      </c>
      <c r="I12" s="7" t="s">
        <v>9</v>
      </c>
      <c r="J12" s="7" t="s">
        <v>9</v>
      </c>
      <c r="K12" s="7" t="s">
        <v>9</v>
      </c>
      <c r="L12" s="25" t="str">
        <f t="shared" si="3"/>
        <v>De.Construção</v>
      </c>
      <c r="M12" s="25" t="str">
        <f t="shared" si="3"/>
        <v>Produtos.Construtivos</v>
      </c>
      <c r="N12" s="25" t="str">
        <f t="shared" si="0"/>
        <v>Argamassas</v>
      </c>
      <c r="O12" s="25" t="str">
        <f t="shared" si="0"/>
        <v>Argamassa Lastro</v>
      </c>
      <c r="P12" s="21" t="s">
        <v>774</v>
      </c>
      <c r="Q12" s="53" t="s">
        <v>775</v>
      </c>
      <c r="R12" s="53" t="s">
        <v>776</v>
      </c>
      <c r="S12" s="55" t="s">
        <v>9</v>
      </c>
      <c r="T12" s="51" t="str">
        <f t="shared" si="1"/>
        <v>De Construção</v>
      </c>
      <c r="U12" s="51" t="str">
        <f t="shared" si="4"/>
        <v>Produtos Construtivos</v>
      </c>
      <c r="V12" s="51" t="str">
        <f t="shared" si="4"/>
        <v>Argamassas</v>
      </c>
      <c r="W12" s="21" t="s">
        <v>99</v>
      </c>
      <c r="X12" s="42" t="str">
        <f t="shared" si="2"/>
        <v>Key-INTEL-12</v>
      </c>
      <c r="Y12" s="21" t="s">
        <v>764</v>
      </c>
      <c r="Z12" s="51" t="s">
        <v>9</v>
      </c>
      <c r="AA12" s="51" t="s">
        <v>1723</v>
      </c>
      <c r="AB12" s="51" t="s">
        <v>9</v>
      </c>
      <c r="AC12" s="51" t="s">
        <v>1754</v>
      </c>
      <c r="AD12" s="51" t="s">
        <v>9</v>
      </c>
    </row>
    <row r="13" spans="1:30" ht="6.75" customHeight="1" x14ac:dyDescent="0.25">
      <c r="A13" s="41">
        <v>13</v>
      </c>
      <c r="B13" s="1" t="s">
        <v>594</v>
      </c>
      <c r="C13" s="1" t="s">
        <v>1907</v>
      </c>
      <c r="D13" s="1" t="s">
        <v>1908</v>
      </c>
      <c r="E13" s="1" t="s">
        <v>1875</v>
      </c>
      <c r="F13" s="54" t="s">
        <v>1732</v>
      </c>
      <c r="G13" s="7" t="s">
        <v>9</v>
      </c>
      <c r="H13" s="7" t="s">
        <v>9</v>
      </c>
      <c r="I13" s="7" t="s">
        <v>9</v>
      </c>
      <c r="J13" s="7" t="s">
        <v>9</v>
      </c>
      <c r="K13" s="7" t="s">
        <v>9</v>
      </c>
      <c r="L13" s="25" t="str">
        <f t="shared" si="3"/>
        <v>De.Construção</v>
      </c>
      <c r="M13" s="25" t="str">
        <f t="shared" si="3"/>
        <v>Produtos.Construtivos</v>
      </c>
      <c r="N13" s="25" t="str">
        <f t="shared" si="0"/>
        <v>Argamassas</v>
      </c>
      <c r="O13" s="25" t="str">
        <f t="shared" si="0"/>
        <v>Argamassa Reguladora</v>
      </c>
      <c r="P13" s="51" t="s">
        <v>777</v>
      </c>
      <c r="Q13" s="53" t="s">
        <v>778</v>
      </c>
      <c r="R13" s="53" t="s">
        <v>779</v>
      </c>
      <c r="S13" s="55" t="s">
        <v>9</v>
      </c>
      <c r="T13" s="51" t="str">
        <f t="shared" si="1"/>
        <v>De Construção</v>
      </c>
      <c r="U13" s="51" t="str">
        <f t="shared" si="4"/>
        <v>Produtos Construtivos</v>
      </c>
      <c r="V13" s="51" t="str">
        <f t="shared" si="4"/>
        <v>Argamassas</v>
      </c>
      <c r="W13" s="21" t="s">
        <v>99</v>
      </c>
      <c r="X13" s="42" t="str">
        <f t="shared" si="2"/>
        <v>Key-INTEL-13</v>
      </c>
      <c r="Y13" s="21" t="s">
        <v>764</v>
      </c>
      <c r="Z13" s="51" t="s">
        <v>9</v>
      </c>
      <c r="AA13" s="51" t="s">
        <v>1722</v>
      </c>
      <c r="AB13" s="51" t="s">
        <v>9</v>
      </c>
      <c r="AC13" s="51" t="s">
        <v>1754</v>
      </c>
      <c r="AD13" s="51" t="s">
        <v>9</v>
      </c>
    </row>
    <row r="14" spans="1:30" s="56" customFormat="1" ht="6.75" customHeight="1" x14ac:dyDescent="0.25">
      <c r="A14" s="41">
        <v>14</v>
      </c>
      <c r="B14" s="1" t="s">
        <v>594</v>
      </c>
      <c r="C14" s="1" t="s">
        <v>1907</v>
      </c>
      <c r="D14" s="1" t="s">
        <v>1908</v>
      </c>
      <c r="E14" s="1" t="s">
        <v>1876</v>
      </c>
      <c r="F14" s="89" t="s">
        <v>1763</v>
      </c>
      <c r="G14" s="45" t="s">
        <v>9</v>
      </c>
      <c r="H14" s="45" t="s">
        <v>9</v>
      </c>
      <c r="I14" s="45" t="s">
        <v>9</v>
      </c>
      <c r="J14" s="45" t="s">
        <v>9</v>
      </c>
      <c r="K14" s="45" t="s">
        <v>9</v>
      </c>
      <c r="L14" s="25" t="str">
        <f t="shared" si="3"/>
        <v>De.Construção</v>
      </c>
      <c r="M14" s="25" t="str">
        <f t="shared" si="3"/>
        <v>Produtos.Construtivos</v>
      </c>
      <c r="N14" s="25" t="str">
        <f t="shared" si="0"/>
        <v>Concretos Reguladores</v>
      </c>
      <c r="O14" s="90" t="str">
        <f t="shared" si="0"/>
        <v>Concreto C10</v>
      </c>
      <c r="P14" s="50" t="s">
        <v>1775</v>
      </c>
      <c r="Q14" s="51" t="s">
        <v>1794</v>
      </c>
      <c r="R14" s="51" t="s">
        <v>1784</v>
      </c>
      <c r="S14" s="55" t="s">
        <v>9</v>
      </c>
      <c r="T14" s="51" t="str">
        <f t="shared" si="1"/>
        <v>De Construção</v>
      </c>
      <c r="U14" s="51" t="str">
        <f t="shared" si="4"/>
        <v>Produtos Construtivos</v>
      </c>
      <c r="V14" s="51" t="str">
        <f t="shared" si="4"/>
        <v>Concretos Reguladores</v>
      </c>
      <c r="W14" s="21" t="s">
        <v>99</v>
      </c>
      <c r="X14" s="42" t="str">
        <f t="shared" si="2"/>
        <v>Key-INTEL-14</v>
      </c>
      <c r="Y14" s="21" t="s">
        <v>764</v>
      </c>
      <c r="Z14" s="51" t="s">
        <v>9</v>
      </c>
      <c r="AA14" s="51" t="s">
        <v>1723</v>
      </c>
      <c r="AB14" s="51" t="s">
        <v>9</v>
      </c>
      <c r="AC14" s="51" t="s">
        <v>1754</v>
      </c>
      <c r="AD14" s="51" t="s">
        <v>9</v>
      </c>
    </row>
    <row r="15" spans="1:30" s="56" customFormat="1" ht="6.75" customHeight="1" x14ac:dyDescent="0.25">
      <c r="A15" s="41">
        <v>15</v>
      </c>
      <c r="B15" s="1" t="s">
        <v>594</v>
      </c>
      <c r="C15" s="1" t="s">
        <v>1907</v>
      </c>
      <c r="D15" s="1" t="s">
        <v>1908</v>
      </c>
      <c r="E15" s="1" t="s">
        <v>1876</v>
      </c>
      <c r="F15" s="89" t="s">
        <v>1764</v>
      </c>
      <c r="G15" s="45" t="s">
        <v>9</v>
      </c>
      <c r="H15" s="45" t="s">
        <v>9</v>
      </c>
      <c r="I15" s="45" t="s">
        <v>9</v>
      </c>
      <c r="J15" s="45" t="s">
        <v>9</v>
      </c>
      <c r="K15" s="45" t="s">
        <v>9</v>
      </c>
      <c r="L15" s="25" t="str">
        <f t="shared" si="3"/>
        <v>De.Construção</v>
      </c>
      <c r="M15" s="25" t="str">
        <f t="shared" si="3"/>
        <v>Produtos.Construtivos</v>
      </c>
      <c r="N15" s="25" t="str">
        <f t="shared" si="0"/>
        <v>Concretos Reguladores</v>
      </c>
      <c r="O15" s="90" t="str">
        <f t="shared" si="0"/>
        <v>Concreto C15</v>
      </c>
      <c r="P15" s="50" t="s">
        <v>1776</v>
      </c>
      <c r="Q15" s="51" t="s">
        <v>1800</v>
      </c>
      <c r="R15" s="51" t="s">
        <v>1785</v>
      </c>
      <c r="S15" s="55" t="s">
        <v>9</v>
      </c>
      <c r="T15" s="51" t="str">
        <f t="shared" ref="T15:V78" si="6">SUBSTITUTE(C15, ".", " ")</f>
        <v>De Construção</v>
      </c>
      <c r="U15" s="51" t="str">
        <f t="shared" si="4"/>
        <v>Produtos Construtivos</v>
      </c>
      <c r="V15" s="51" t="str">
        <f t="shared" si="4"/>
        <v>Concretos Reguladores</v>
      </c>
      <c r="W15" s="21" t="s">
        <v>99</v>
      </c>
      <c r="X15" s="42" t="str">
        <f t="shared" si="2"/>
        <v>Key-INTEL-15</v>
      </c>
      <c r="Y15" s="21" t="s">
        <v>764</v>
      </c>
      <c r="Z15" s="51" t="s">
        <v>9</v>
      </c>
      <c r="AA15" s="51" t="s">
        <v>1723</v>
      </c>
      <c r="AB15" s="51" t="s">
        <v>9</v>
      </c>
      <c r="AC15" s="51" t="s">
        <v>1754</v>
      </c>
      <c r="AD15" s="51" t="s">
        <v>9</v>
      </c>
    </row>
    <row r="16" spans="1:30" s="56" customFormat="1" ht="6.75" customHeight="1" x14ac:dyDescent="0.25">
      <c r="A16" s="41">
        <v>16</v>
      </c>
      <c r="B16" s="1" t="s">
        <v>594</v>
      </c>
      <c r="C16" s="1" t="s">
        <v>1907</v>
      </c>
      <c r="D16" s="1" t="s">
        <v>1908</v>
      </c>
      <c r="E16" s="1" t="s">
        <v>1877</v>
      </c>
      <c r="F16" s="89" t="s">
        <v>1765</v>
      </c>
      <c r="G16" s="45" t="s">
        <v>9</v>
      </c>
      <c r="H16" s="45" t="s">
        <v>9</v>
      </c>
      <c r="I16" s="45" t="s">
        <v>9</v>
      </c>
      <c r="J16" s="45" t="s">
        <v>9</v>
      </c>
      <c r="K16" s="45" t="s">
        <v>9</v>
      </c>
      <c r="L16" s="25" t="str">
        <f t="shared" si="3"/>
        <v>De.Construção</v>
      </c>
      <c r="M16" s="25" t="str">
        <f t="shared" si="3"/>
        <v>Produtos.Construtivos</v>
      </c>
      <c r="N16" s="25" t="str">
        <f t="shared" si="0"/>
        <v>Concretos Estruturais</v>
      </c>
      <c r="O16" s="90" t="str">
        <f t="shared" si="0"/>
        <v>Concreto C20</v>
      </c>
      <c r="P16" s="50" t="s">
        <v>1777</v>
      </c>
      <c r="Q16" s="51" t="s">
        <v>1801</v>
      </c>
      <c r="R16" s="51" t="s">
        <v>1786</v>
      </c>
      <c r="S16" s="55" t="s">
        <v>9</v>
      </c>
      <c r="T16" s="51" t="str">
        <f t="shared" si="6"/>
        <v>De Construção</v>
      </c>
      <c r="U16" s="51" t="str">
        <f t="shared" si="4"/>
        <v>Produtos Construtivos</v>
      </c>
      <c r="V16" s="51" t="str">
        <f t="shared" si="4"/>
        <v>Concretos Estruturais</v>
      </c>
      <c r="W16" s="21" t="s">
        <v>99</v>
      </c>
      <c r="X16" s="42" t="str">
        <f t="shared" si="2"/>
        <v>Key-INTEL-16</v>
      </c>
      <c r="Y16" s="21" t="s">
        <v>846</v>
      </c>
      <c r="Z16" s="52" t="s">
        <v>9</v>
      </c>
      <c r="AA16" s="21" t="s">
        <v>1806</v>
      </c>
      <c r="AB16" s="51" t="s">
        <v>9</v>
      </c>
      <c r="AC16" s="51" t="s">
        <v>1754</v>
      </c>
      <c r="AD16" s="51" t="s">
        <v>9</v>
      </c>
    </row>
    <row r="17" spans="1:30" s="56" customFormat="1" ht="6.75" customHeight="1" x14ac:dyDescent="0.25">
      <c r="A17" s="41">
        <v>17</v>
      </c>
      <c r="B17" s="1" t="s">
        <v>594</v>
      </c>
      <c r="C17" s="1" t="s">
        <v>1907</v>
      </c>
      <c r="D17" s="1" t="s">
        <v>1908</v>
      </c>
      <c r="E17" s="1" t="s">
        <v>1877</v>
      </c>
      <c r="F17" s="89" t="s">
        <v>1766</v>
      </c>
      <c r="G17" s="45" t="s">
        <v>9</v>
      </c>
      <c r="H17" s="45" t="s">
        <v>9</v>
      </c>
      <c r="I17" s="45" t="s">
        <v>9</v>
      </c>
      <c r="J17" s="45" t="s">
        <v>9</v>
      </c>
      <c r="K17" s="45" t="s">
        <v>9</v>
      </c>
      <c r="L17" s="25" t="str">
        <f t="shared" si="3"/>
        <v>De.Construção</v>
      </c>
      <c r="M17" s="25" t="str">
        <f t="shared" si="3"/>
        <v>Produtos.Construtivos</v>
      </c>
      <c r="N17" s="25" t="str">
        <f t="shared" si="0"/>
        <v>Concretos Estruturais</v>
      </c>
      <c r="O17" s="90" t="str">
        <f t="shared" si="0"/>
        <v>Concreto C25</v>
      </c>
      <c r="P17" s="50" t="s">
        <v>1774</v>
      </c>
      <c r="Q17" s="51" t="s">
        <v>1802</v>
      </c>
      <c r="R17" s="51" t="s">
        <v>1787</v>
      </c>
      <c r="S17" s="55" t="s">
        <v>9</v>
      </c>
      <c r="T17" s="51" t="str">
        <f t="shared" si="6"/>
        <v>De Construção</v>
      </c>
      <c r="U17" s="51" t="str">
        <f t="shared" si="4"/>
        <v>Produtos Construtivos</v>
      </c>
      <c r="V17" s="51" t="str">
        <f t="shared" si="4"/>
        <v>Concretos Estruturais</v>
      </c>
      <c r="W17" s="21" t="s">
        <v>99</v>
      </c>
      <c r="X17" s="42" t="str">
        <f t="shared" si="2"/>
        <v>Key-INTEL-17</v>
      </c>
      <c r="Y17" s="21" t="s">
        <v>846</v>
      </c>
      <c r="Z17" s="52" t="s">
        <v>9</v>
      </c>
      <c r="AA17" s="21" t="s">
        <v>1806</v>
      </c>
      <c r="AB17" s="51" t="s">
        <v>9</v>
      </c>
      <c r="AC17" s="51" t="s">
        <v>1754</v>
      </c>
      <c r="AD17" s="51" t="s">
        <v>9</v>
      </c>
    </row>
    <row r="18" spans="1:30" s="56" customFormat="1" ht="6.75" customHeight="1" x14ac:dyDescent="0.25">
      <c r="A18" s="41">
        <v>18</v>
      </c>
      <c r="B18" s="1" t="s">
        <v>594</v>
      </c>
      <c r="C18" s="1" t="s">
        <v>1907</v>
      </c>
      <c r="D18" s="1" t="s">
        <v>1908</v>
      </c>
      <c r="E18" s="1" t="s">
        <v>1877</v>
      </c>
      <c r="F18" s="89" t="s">
        <v>1767</v>
      </c>
      <c r="G18" s="45" t="s">
        <v>9</v>
      </c>
      <c r="H18" s="45" t="s">
        <v>9</v>
      </c>
      <c r="I18" s="45" t="s">
        <v>9</v>
      </c>
      <c r="J18" s="45" t="s">
        <v>9</v>
      </c>
      <c r="K18" s="45" t="s">
        <v>9</v>
      </c>
      <c r="L18" s="25" t="str">
        <f t="shared" si="3"/>
        <v>De.Construção</v>
      </c>
      <c r="M18" s="25" t="str">
        <f t="shared" si="3"/>
        <v>Produtos.Construtivos</v>
      </c>
      <c r="N18" s="25" t="str">
        <f t="shared" si="0"/>
        <v>Concretos Estruturais</v>
      </c>
      <c r="O18" s="90" t="str">
        <f t="shared" si="0"/>
        <v>Concreto C30</v>
      </c>
      <c r="P18" s="50" t="s">
        <v>1778</v>
      </c>
      <c r="Q18" s="51" t="s">
        <v>1795</v>
      </c>
      <c r="R18" s="51" t="s">
        <v>1788</v>
      </c>
      <c r="S18" s="55" t="s">
        <v>9</v>
      </c>
      <c r="T18" s="51" t="str">
        <f t="shared" si="6"/>
        <v>De Construção</v>
      </c>
      <c r="U18" s="51" t="str">
        <f t="shared" si="4"/>
        <v>Produtos Construtivos</v>
      </c>
      <c r="V18" s="51" t="str">
        <f t="shared" si="4"/>
        <v>Concretos Estruturais</v>
      </c>
      <c r="W18" s="21" t="s">
        <v>99</v>
      </c>
      <c r="X18" s="42" t="str">
        <f t="shared" si="2"/>
        <v>Key-INTEL-18</v>
      </c>
      <c r="Y18" s="21" t="s">
        <v>846</v>
      </c>
      <c r="Z18" s="52" t="s">
        <v>9</v>
      </c>
      <c r="AA18" s="21" t="s">
        <v>1806</v>
      </c>
      <c r="AB18" s="51" t="s">
        <v>9</v>
      </c>
      <c r="AC18" s="51" t="s">
        <v>1754</v>
      </c>
      <c r="AD18" s="51" t="s">
        <v>9</v>
      </c>
    </row>
    <row r="19" spans="1:30" s="56" customFormat="1" ht="6.75" customHeight="1" x14ac:dyDescent="0.25">
      <c r="A19" s="41">
        <v>19</v>
      </c>
      <c r="B19" s="1" t="s">
        <v>594</v>
      </c>
      <c r="C19" s="1" t="s">
        <v>1907</v>
      </c>
      <c r="D19" s="1" t="s">
        <v>1908</v>
      </c>
      <c r="E19" s="1" t="s">
        <v>1877</v>
      </c>
      <c r="F19" s="89" t="s">
        <v>1768</v>
      </c>
      <c r="G19" s="45" t="s">
        <v>9</v>
      </c>
      <c r="H19" s="45" t="s">
        <v>9</v>
      </c>
      <c r="I19" s="45" t="s">
        <v>9</v>
      </c>
      <c r="J19" s="45" t="s">
        <v>9</v>
      </c>
      <c r="K19" s="45" t="s">
        <v>9</v>
      </c>
      <c r="L19" s="25" t="str">
        <f t="shared" si="3"/>
        <v>De.Construção</v>
      </c>
      <c r="M19" s="25" t="str">
        <f t="shared" si="3"/>
        <v>Produtos.Construtivos</v>
      </c>
      <c r="N19" s="25" t="str">
        <f t="shared" si="0"/>
        <v>Concretos Estruturais</v>
      </c>
      <c r="O19" s="90" t="str">
        <f t="shared" si="0"/>
        <v>Concreto C35</v>
      </c>
      <c r="P19" s="50" t="s">
        <v>1779</v>
      </c>
      <c r="Q19" s="51" t="s">
        <v>1796</v>
      </c>
      <c r="R19" s="51" t="s">
        <v>1789</v>
      </c>
      <c r="S19" s="55" t="s">
        <v>9</v>
      </c>
      <c r="T19" s="51" t="str">
        <f t="shared" si="6"/>
        <v>De Construção</v>
      </c>
      <c r="U19" s="51" t="str">
        <f t="shared" si="4"/>
        <v>Produtos Construtivos</v>
      </c>
      <c r="V19" s="51" t="str">
        <f t="shared" si="4"/>
        <v>Concretos Estruturais</v>
      </c>
      <c r="W19" s="21" t="s">
        <v>99</v>
      </c>
      <c r="X19" s="42" t="str">
        <f t="shared" si="2"/>
        <v>Key-INTEL-19</v>
      </c>
      <c r="Y19" s="21" t="s">
        <v>846</v>
      </c>
      <c r="Z19" s="52" t="s">
        <v>9</v>
      </c>
      <c r="AA19" s="21" t="s">
        <v>1806</v>
      </c>
      <c r="AB19" s="51" t="s">
        <v>9</v>
      </c>
      <c r="AC19" s="51" t="s">
        <v>1754</v>
      </c>
      <c r="AD19" s="51" t="s">
        <v>9</v>
      </c>
    </row>
    <row r="20" spans="1:30" s="56" customFormat="1" ht="6.75" customHeight="1" x14ac:dyDescent="0.25">
      <c r="A20" s="41">
        <v>20</v>
      </c>
      <c r="B20" s="1" t="s">
        <v>594</v>
      </c>
      <c r="C20" s="1" t="s">
        <v>1907</v>
      </c>
      <c r="D20" s="1" t="s">
        <v>1908</v>
      </c>
      <c r="E20" s="1" t="s">
        <v>1877</v>
      </c>
      <c r="F20" s="89" t="s">
        <v>1769</v>
      </c>
      <c r="G20" s="45" t="s">
        <v>9</v>
      </c>
      <c r="H20" s="45" t="s">
        <v>9</v>
      </c>
      <c r="I20" s="45" t="s">
        <v>9</v>
      </c>
      <c r="J20" s="45" t="s">
        <v>9</v>
      </c>
      <c r="K20" s="45" t="s">
        <v>9</v>
      </c>
      <c r="L20" s="25" t="str">
        <f t="shared" si="3"/>
        <v>De.Construção</v>
      </c>
      <c r="M20" s="25" t="str">
        <f t="shared" si="3"/>
        <v>Produtos.Construtivos</v>
      </c>
      <c r="N20" s="25" t="str">
        <f t="shared" si="0"/>
        <v>Concretos Estruturais</v>
      </c>
      <c r="O20" s="90" t="str">
        <f t="shared" si="0"/>
        <v>Concreto C40</v>
      </c>
      <c r="P20" s="50" t="s">
        <v>1780</v>
      </c>
      <c r="Q20" s="51" t="s">
        <v>1797</v>
      </c>
      <c r="R20" s="51" t="s">
        <v>1790</v>
      </c>
      <c r="S20" s="55" t="s">
        <v>9</v>
      </c>
      <c r="T20" s="51" t="str">
        <f t="shared" si="6"/>
        <v>De Construção</v>
      </c>
      <c r="U20" s="51" t="str">
        <f t="shared" si="4"/>
        <v>Produtos Construtivos</v>
      </c>
      <c r="V20" s="51" t="str">
        <f t="shared" si="4"/>
        <v>Concretos Estruturais</v>
      </c>
      <c r="W20" s="21" t="s">
        <v>99</v>
      </c>
      <c r="X20" s="42" t="str">
        <f t="shared" si="2"/>
        <v>Key-INTEL-20</v>
      </c>
      <c r="Y20" s="21" t="s">
        <v>846</v>
      </c>
      <c r="Z20" s="52" t="s">
        <v>9</v>
      </c>
      <c r="AA20" s="21" t="s">
        <v>1806</v>
      </c>
      <c r="AB20" s="51" t="s">
        <v>9</v>
      </c>
      <c r="AC20" s="51" t="s">
        <v>1754</v>
      </c>
      <c r="AD20" s="51" t="s">
        <v>9</v>
      </c>
    </row>
    <row r="21" spans="1:30" s="56" customFormat="1" ht="6.75" customHeight="1" x14ac:dyDescent="0.25">
      <c r="A21" s="41">
        <v>21</v>
      </c>
      <c r="B21" s="1" t="s">
        <v>594</v>
      </c>
      <c r="C21" s="1" t="s">
        <v>1907</v>
      </c>
      <c r="D21" s="1" t="s">
        <v>1908</v>
      </c>
      <c r="E21" s="1" t="s">
        <v>1877</v>
      </c>
      <c r="F21" s="89" t="s">
        <v>1770</v>
      </c>
      <c r="G21" s="45" t="s">
        <v>9</v>
      </c>
      <c r="H21" s="45" t="s">
        <v>9</v>
      </c>
      <c r="I21" s="45" t="s">
        <v>9</v>
      </c>
      <c r="J21" s="45" t="s">
        <v>9</v>
      </c>
      <c r="K21" s="45" t="s">
        <v>9</v>
      </c>
      <c r="L21" s="25" t="str">
        <f t="shared" si="3"/>
        <v>De.Construção</v>
      </c>
      <c r="M21" s="25" t="str">
        <f t="shared" si="3"/>
        <v>Produtos.Construtivos</v>
      </c>
      <c r="N21" s="25" t="str">
        <f t="shared" si="0"/>
        <v>Concretos Estruturais</v>
      </c>
      <c r="O21" s="90" t="str">
        <f t="shared" si="0"/>
        <v>Concreto C45</v>
      </c>
      <c r="P21" s="50" t="s">
        <v>1781</v>
      </c>
      <c r="Q21" s="51" t="s">
        <v>1798</v>
      </c>
      <c r="R21" s="51" t="s">
        <v>1791</v>
      </c>
      <c r="S21" s="55" t="s">
        <v>9</v>
      </c>
      <c r="T21" s="51" t="str">
        <f t="shared" si="6"/>
        <v>De Construção</v>
      </c>
      <c r="U21" s="51" t="str">
        <f t="shared" si="4"/>
        <v>Produtos Construtivos</v>
      </c>
      <c r="V21" s="51" t="str">
        <f t="shared" si="4"/>
        <v>Concretos Estruturais</v>
      </c>
      <c r="W21" s="21" t="s">
        <v>99</v>
      </c>
      <c r="X21" s="42" t="str">
        <f t="shared" si="2"/>
        <v>Key-INTEL-21</v>
      </c>
      <c r="Y21" s="21" t="s">
        <v>846</v>
      </c>
      <c r="Z21" s="52" t="s">
        <v>9</v>
      </c>
      <c r="AA21" s="21" t="s">
        <v>1806</v>
      </c>
      <c r="AB21" s="51" t="s">
        <v>9</v>
      </c>
      <c r="AC21" s="51" t="s">
        <v>1754</v>
      </c>
      <c r="AD21" s="51" t="s">
        <v>9</v>
      </c>
    </row>
    <row r="22" spans="1:30" s="56" customFormat="1" ht="6.75" customHeight="1" x14ac:dyDescent="0.25">
      <c r="A22" s="41">
        <v>22</v>
      </c>
      <c r="B22" s="1" t="s">
        <v>594</v>
      </c>
      <c r="C22" s="1" t="s">
        <v>1907</v>
      </c>
      <c r="D22" s="1" t="s">
        <v>1908</v>
      </c>
      <c r="E22" s="1" t="s">
        <v>1877</v>
      </c>
      <c r="F22" s="89" t="s">
        <v>1771</v>
      </c>
      <c r="G22" s="45" t="s">
        <v>9</v>
      </c>
      <c r="H22" s="45" t="s">
        <v>9</v>
      </c>
      <c r="I22" s="45" t="s">
        <v>9</v>
      </c>
      <c r="J22" s="45" t="s">
        <v>9</v>
      </c>
      <c r="K22" s="45" t="s">
        <v>9</v>
      </c>
      <c r="L22" s="25" t="str">
        <f t="shared" si="3"/>
        <v>De.Construção</v>
      </c>
      <c r="M22" s="25" t="str">
        <f t="shared" si="3"/>
        <v>Produtos.Construtivos</v>
      </c>
      <c r="N22" s="25" t="str">
        <f t="shared" si="0"/>
        <v>Concretos Estruturais</v>
      </c>
      <c r="O22" s="90" t="str">
        <f t="shared" si="0"/>
        <v>Concreto C50</v>
      </c>
      <c r="P22" s="50" t="s">
        <v>1782</v>
      </c>
      <c r="Q22" s="51" t="s">
        <v>1803</v>
      </c>
      <c r="R22" s="51" t="s">
        <v>1792</v>
      </c>
      <c r="S22" s="55" t="s">
        <v>9</v>
      </c>
      <c r="T22" s="51" t="str">
        <f t="shared" si="6"/>
        <v>De Construção</v>
      </c>
      <c r="U22" s="51" t="str">
        <f t="shared" si="4"/>
        <v>Produtos Construtivos</v>
      </c>
      <c r="V22" s="51" t="str">
        <f t="shared" si="4"/>
        <v>Concretos Estruturais</v>
      </c>
      <c r="W22" s="21" t="s">
        <v>99</v>
      </c>
      <c r="X22" s="42" t="str">
        <f t="shared" si="2"/>
        <v>Key-INTEL-22</v>
      </c>
      <c r="Y22" s="21" t="s">
        <v>846</v>
      </c>
      <c r="Z22" s="52" t="s">
        <v>9</v>
      </c>
      <c r="AA22" s="21" t="s">
        <v>1806</v>
      </c>
      <c r="AB22" s="51" t="s">
        <v>9</v>
      </c>
      <c r="AC22" s="51" t="s">
        <v>1754</v>
      </c>
      <c r="AD22" s="51" t="s">
        <v>9</v>
      </c>
    </row>
    <row r="23" spans="1:30" s="56" customFormat="1" ht="6.75" customHeight="1" x14ac:dyDescent="0.25">
      <c r="A23" s="41">
        <v>23</v>
      </c>
      <c r="B23" s="1" t="s">
        <v>594</v>
      </c>
      <c r="C23" s="1" t="s">
        <v>1907</v>
      </c>
      <c r="D23" s="1" t="s">
        <v>1908</v>
      </c>
      <c r="E23" s="1" t="s">
        <v>1877</v>
      </c>
      <c r="F23" s="89" t="s">
        <v>1772</v>
      </c>
      <c r="G23" s="45" t="s">
        <v>9</v>
      </c>
      <c r="H23" s="45" t="s">
        <v>9</v>
      </c>
      <c r="I23" s="45" t="s">
        <v>9</v>
      </c>
      <c r="J23" s="45" t="s">
        <v>9</v>
      </c>
      <c r="K23" s="45" t="s">
        <v>9</v>
      </c>
      <c r="L23" s="25" t="str">
        <f t="shared" si="3"/>
        <v>De.Construção</v>
      </c>
      <c r="M23" s="25" t="str">
        <f t="shared" si="3"/>
        <v>Produtos.Construtivos</v>
      </c>
      <c r="N23" s="25" t="str">
        <f t="shared" si="0"/>
        <v>Concretos Estruturais</v>
      </c>
      <c r="O23" s="90" t="str">
        <f t="shared" si="0"/>
        <v>Concreto C55</v>
      </c>
      <c r="P23" s="50" t="s">
        <v>1783</v>
      </c>
      <c r="Q23" s="51" t="s">
        <v>1799</v>
      </c>
      <c r="R23" s="51" t="s">
        <v>1793</v>
      </c>
      <c r="S23" s="55" t="s">
        <v>9</v>
      </c>
      <c r="T23" s="51" t="str">
        <f t="shared" si="6"/>
        <v>De Construção</v>
      </c>
      <c r="U23" s="51" t="str">
        <f t="shared" si="4"/>
        <v>Produtos Construtivos</v>
      </c>
      <c r="V23" s="51" t="str">
        <f t="shared" si="4"/>
        <v>Concretos Estruturais</v>
      </c>
      <c r="W23" s="21" t="s">
        <v>99</v>
      </c>
      <c r="X23" s="42" t="str">
        <f t="shared" si="2"/>
        <v>Key-INTEL-23</v>
      </c>
      <c r="Y23" s="21" t="s">
        <v>846</v>
      </c>
      <c r="Z23" s="52" t="s">
        <v>9</v>
      </c>
      <c r="AA23" s="21" t="s">
        <v>1806</v>
      </c>
      <c r="AB23" s="51" t="s">
        <v>9</v>
      </c>
      <c r="AC23" s="51" t="s">
        <v>1754</v>
      </c>
      <c r="AD23" s="51" t="s">
        <v>9</v>
      </c>
    </row>
    <row r="24" spans="1:30" s="56" customFormat="1" ht="6.75" customHeight="1" x14ac:dyDescent="0.25">
      <c r="A24" s="41">
        <v>24</v>
      </c>
      <c r="B24" s="1" t="s">
        <v>594</v>
      </c>
      <c r="C24" s="1" t="s">
        <v>1907</v>
      </c>
      <c r="D24" s="1" t="s">
        <v>1908</v>
      </c>
      <c r="E24" s="1" t="s">
        <v>1877</v>
      </c>
      <c r="F24" s="89" t="s">
        <v>1773</v>
      </c>
      <c r="G24" s="45" t="s">
        <v>9</v>
      </c>
      <c r="H24" s="45" t="s">
        <v>9</v>
      </c>
      <c r="I24" s="45" t="s">
        <v>9</v>
      </c>
      <c r="J24" s="45" t="s">
        <v>9</v>
      </c>
      <c r="K24" s="45" t="s">
        <v>9</v>
      </c>
      <c r="L24" s="25" t="str">
        <f t="shared" si="3"/>
        <v>De.Construção</v>
      </c>
      <c r="M24" s="25" t="str">
        <f t="shared" si="3"/>
        <v>Produtos.Construtivos</v>
      </c>
      <c r="N24" s="25" t="str">
        <f t="shared" si="0"/>
        <v>Concretos Estruturais</v>
      </c>
      <c r="O24" s="90" t="str">
        <f t="shared" si="0"/>
        <v>Concreto C100</v>
      </c>
      <c r="P24" s="50" t="s">
        <v>1783</v>
      </c>
      <c r="Q24" s="51" t="s">
        <v>1799</v>
      </c>
      <c r="R24" s="51" t="s">
        <v>1793</v>
      </c>
      <c r="S24" s="55" t="s">
        <v>9</v>
      </c>
      <c r="T24" s="51" t="str">
        <f t="shared" si="6"/>
        <v>De Construção</v>
      </c>
      <c r="U24" s="51" t="str">
        <f t="shared" si="4"/>
        <v>Produtos Construtivos</v>
      </c>
      <c r="V24" s="51" t="str">
        <f t="shared" si="4"/>
        <v>Concretos Estruturais</v>
      </c>
      <c r="W24" s="21" t="s">
        <v>99</v>
      </c>
      <c r="X24" s="42" t="str">
        <f t="shared" si="2"/>
        <v>Key-INTEL-24</v>
      </c>
      <c r="Y24" s="21" t="s">
        <v>846</v>
      </c>
      <c r="Z24" s="52" t="s">
        <v>9</v>
      </c>
      <c r="AA24" s="21" t="s">
        <v>1806</v>
      </c>
      <c r="AB24" s="51" t="s">
        <v>9</v>
      </c>
      <c r="AC24" s="51" t="s">
        <v>1754</v>
      </c>
      <c r="AD24" s="51" t="s">
        <v>9</v>
      </c>
    </row>
    <row r="25" spans="1:30" ht="6.75" customHeight="1" x14ac:dyDescent="0.25">
      <c r="A25" s="41">
        <v>25</v>
      </c>
      <c r="B25" s="1" t="s">
        <v>594</v>
      </c>
      <c r="C25" s="1" t="s">
        <v>1907</v>
      </c>
      <c r="D25" s="1" t="s">
        <v>1908</v>
      </c>
      <c r="E25" s="1" t="s">
        <v>1881</v>
      </c>
      <c r="F25" s="54" t="s">
        <v>1734</v>
      </c>
      <c r="G25" s="45" t="s">
        <v>9</v>
      </c>
      <c r="H25" s="45" t="s">
        <v>9</v>
      </c>
      <c r="I25" s="45" t="s">
        <v>9</v>
      </c>
      <c r="J25" s="45" t="s">
        <v>9</v>
      </c>
      <c r="K25" s="45" t="s">
        <v>9</v>
      </c>
      <c r="L25" s="25" t="str">
        <f t="shared" si="3"/>
        <v>De.Construção</v>
      </c>
      <c r="M25" s="25" t="str">
        <f t="shared" si="3"/>
        <v>Produtos.Construtivos</v>
      </c>
      <c r="N25" s="25" t="str">
        <f t="shared" si="0"/>
        <v>Concretos Formados</v>
      </c>
      <c r="O25" s="25" t="str">
        <f t="shared" si="0"/>
        <v>Tubo de Concreto Armado</v>
      </c>
      <c r="P25" s="51" t="s">
        <v>1735</v>
      </c>
      <c r="Q25" s="53" t="s">
        <v>1736</v>
      </c>
      <c r="R25" s="53" t="s">
        <v>1737</v>
      </c>
      <c r="S25" s="55" t="s">
        <v>9</v>
      </c>
      <c r="T25" s="51" t="str">
        <f t="shared" si="6"/>
        <v>De Construção</v>
      </c>
      <c r="U25" s="51" t="str">
        <f t="shared" si="4"/>
        <v>Produtos Construtivos</v>
      </c>
      <c r="V25" s="51" t="str">
        <f t="shared" si="4"/>
        <v>Concretos Formados</v>
      </c>
      <c r="W25" s="21" t="s">
        <v>99</v>
      </c>
      <c r="X25" s="42" t="str">
        <f t="shared" si="2"/>
        <v>Key-INTEL-25</v>
      </c>
      <c r="Y25" s="21" t="s">
        <v>877</v>
      </c>
      <c r="Z25" s="52" t="s">
        <v>9</v>
      </c>
      <c r="AA25" s="21" t="s">
        <v>1738</v>
      </c>
      <c r="AB25" s="52" t="s">
        <v>9</v>
      </c>
      <c r="AC25" s="21" t="s">
        <v>878</v>
      </c>
      <c r="AD25" s="52" t="s">
        <v>9</v>
      </c>
    </row>
    <row r="26" spans="1:30" ht="6.75" customHeight="1" x14ac:dyDescent="0.25">
      <c r="A26" s="41">
        <v>26</v>
      </c>
      <c r="B26" s="1" t="s">
        <v>594</v>
      </c>
      <c r="C26" s="1" t="s">
        <v>1907</v>
      </c>
      <c r="D26" s="1" t="s">
        <v>1908</v>
      </c>
      <c r="E26" s="1" t="s">
        <v>1881</v>
      </c>
      <c r="F26" s="54" t="s">
        <v>1739</v>
      </c>
      <c r="G26" s="45" t="s">
        <v>9</v>
      </c>
      <c r="H26" s="45" t="s">
        <v>9</v>
      </c>
      <c r="I26" s="45" t="s">
        <v>9</v>
      </c>
      <c r="J26" s="45" t="s">
        <v>9</v>
      </c>
      <c r="K26" s="45" t="s">
        <v>9</v>
      </c>
      <c r="L26" s="25" t="str">
        <f t="shared" si="3"/>
        <v>De.Construção</v>
      </c>
      <c r="M26" s="25" t="str">
        <f t="shared" si="3"/>
        <v>Produtos.Construtivos</v>
      </c>
      <c r="N26" s="25" t="str">
        <f t="shared" si="0"/>
        <v>Concretos Formados</v>
      </c>
      <c r="O26" s="25" t="str">
        <f t="shared" si="0"/>
        <v>Tubo de Concreto Simples</v>
      </c>
      <c r="P26" s="51" t="s">
        <v>1740</v>
      </c>
      <c r="Q26" s="53" t="s">
        <v>1741</v>
      </c>
      <c r="R26" s="53" t="s">
        <v>1742</v>
      </c>
      <c r="S26" s="55" t="s">
        <v>9</v>
      </c>
      <c r="T26" s="51" t="str">
        <f t="shared" si="6"/>
        <v>De Construção</v>
      </c>
      <c r="U26" s="51" t="str">
        <f t="shared" si="4"/>
        <v>Produtos Construtivos</v>
      </c>
      <c r="V26" s="51" t="str">
        <f t="shared" si="4"/>
        <v>Concretos Formados</v>
      </c>
      <c r="W26" s="21" t="s">
        <v>99</v>
      </c>
      <c r="X26" s="42" t="str">
        <f t="shared" si="2"/>
        <v>Key-INTEL-26</v>
      </c>
      <c r="Y26" s="21" t="s">
        <v>877</v>
      </c>
      <c r="Z26" s="52" t="s">
        <v>9</v>
      </c>
      <c r="AA26" s="21" t="s">
        <v>1738</v>
      </c>
      <c r="AB26" s="52" t="s">
        <v>9</v>
      </c>
      <c r="AC26" s="21" t="s">
        <v>878</v>
      </c>
      <c r="AD26" s="52" t="s">
        <v>9</v>
      </c>
    </row>
    <row r="27" spans="1:30" ht="6.75" customHeight="1" x14ac:dyDescent="0.25">
      <c r="A27" s="41">
        <v>27</v>
      </c>
      <c r="B27" s="1" t="s">
        <v>594</v>
      </c>
      <c r="C27" s="1" t="s">
        <v>1907</v>
      </c>
      <c r="D27" s="1" t="s">
        <v>1908</v>
      </c>
      <c r="E27" s="1" t="s">
        <v>1881</v>
      </c>
      <c r="F27" s="54" t="s">
        <v>1743</v>
      </c>
      <c r="G27" s="45" t="s">
        <v>9</v>
      </c>
      <c r="H27" s="45" t="s">
        <v>9</v>
      </c>
      <c r="I27" s="45" t="s">
        <v>9</v>
      </c>
      <c r="J27" s="45" t="s">
        <v>9</v>
      </c>
      <c r="K27" s="45" t="s">
        <v>9</v>
      </c>
      <c r="L27" s="25" t="str">
        <f t="shared" si="3"/>
        <v>De.Construção</v>
      </c>
      <c r="M27" s="25" t="str">
        <f t="shared" si="3"/>
        <v>Produtos.Construtivos</v>
      </c>
      <c r="N27" s="25" t="str">
        <f t="shared" si="0"/>
        <v>Concretos Formados</v>
      </c>
      <c r="O27" s="25" t="str">
        <f t="shared" si="0"/>
        <v>Tubo de Concreto Perfurado</v>
      </c>
      <c r="P27" s="51" t="s">
        <v>1744</v>
      </c>
      <c r="Q27" s="53" t="s">
        <v>1745</v>
      </c>
      <c r="R27" s="53" t="s">
        <v>1746</v>
      </c>
      <c r="S27" s="55" t="s">
        <v>9</v>
      </c>
      <c r="T27" s="51" t="str">
        <f t="shared" si="6"/>
        <v>De Construção</v>
      </c>
      <c r="U27" s="51" t="str">
        <f t="shared" si="4"/>
        <v>Produtos Construtivos</v>
      </c>
      <c r="V27" s="51" t="str">
        <f t="shared" si="4"/>
        <v>Concretos Formados</v>
      </c>
      <c r="W27" s="21" t="s">
        <v>99</v>
      </c>
      <c r="X27" s="42" t="str">
        <f t="shared" si="2"/>
        <v>Key-INTEL-27</v>
      </c>
      <c r="Y27" s="21" t="s">
        <v>877</v>
      </c>
      <c r="Z27" s="52" t="s">
        <v>9</v>
      </c>
      <c r="AA27" s="21" t="s">
        <v>1738</v>
      </c>
      <c r="AB27" s="52" t="s">
        <v>9</v>
      </c>
      <c r="AC27" s="21" t="s">
        <v>878</v>
      </c>
      <c r="AD27" s="52" t="s">
        <v>9</v>
      </c>
    </row>
    <row r="28" spans="1:30" ht="6.75" customHeight="1" x14ac:dyDescent="0.25">
      <c r="A28" s="41">
        <v>28</v>
      </c>
      <c r="B28" s="1" t="s">
        <v>594</v>
      </c>
      <c r="C28" s="1" t="s">
        <v>1907</v>
      </c>
      <c r="D28" s="1" t="s">
        <v>1908</v>
      </c>
      <c r="E28" s="1" t="s">
        <v>1881</v>
      </c>
      <c r="F28" s="54" t="s">
        <v>1747</v>
      </c>
      <c r="G28" s="45" t="s">
        <v>9</v>
      </c>
      <c r="H28" s="45" t="s">
        <v>9</v>
      </c>
      <c r="I28" s="45" t="s">
        <v>9</v>
      </c>
      <c r="J28" s="45" t="s">
        <v>9</v>
      </c>
      <c r="K28" s="45" t="s">
        <v>9</v>
      </c>
      <c r="L28" s="25" t="str">
        <f t="shared" si="3"/>
        <v>De.Construção</v>
      </c>
      <c r="M28" s="25" t="str">
        <f t="shared" si="3"/>
        <v>Produtos.Construtivos</v>
      </c>
      <c r="N28" s="25" t="str">
        <f t="shared" si="0"/>
        <v>Concretos Formados</v>
      </c>
      <c r="O28" s="25" t="str">
        <f t="shared" si="0"/>
        <v>Tubo de Concreto Cravação</v>
      </c>
      <c r="P28" s="51" t="s">
        <v>1748</v>
      </c>
      <c r="Q28" s="53" t="s">
        <v>1749</v>
      </c>
      <c r="R28" s="53" t="s">
        <v>1750</v>
      </c>
      <c r="S28" s="55" t="s">
        <v>9</v>
      </c>
      <c r="T28" s="51" t="str">
        <f t="shared" si="6"/>
        <v>De Construção</v>
      </c>
      <c r="U28" s="51" t="str">
        <f t="shared" si="4"/>
        <v>Produtos Construtivos</v>
      </c>
      <c r="V28" s="51" t="str">
        <f t="shared" si="4"/>
        <v>Concretos Formados</v>
      </c>
      <c r="W28" s="21" t="s">
        <v>99</v>
      </c>
      <c r="X28" s="42" t="str">
        <f t="shared" si="2"/>
        <v>Key-INTEL-28</v>
      </c>
      <c r="Y28" s="21" t="s">
        <v>877</v>
      </c>
      <c r="Z28" s="52" t="s">
        <v>9</v>
      </c>
      <c r="AA28" s="21" t="s">
        <v>1738</v>
      </c>
      <c r="AB28" s="52" t="s">
        <v>9</v>
      </c>
      <c r="AC28" s="21" t="s">
        <v>878</v>
      </c>
      <c r="AD28" s="52" t="s">
        <v>9</v>
      </c>
    </row>
    <row r="29" spans="1:30" ht="6.75" customHeight="1" x14ac:dyDescent="0.25">
      <c r="A29" s="41">
        <v>29</v>
      </c>
      <c r="B29" s="1" t="s">
        <v>594</v>
      </c>
      <c r="C29" s="1" t="s">
        <v>1907</v>
      </c>
      <c r="D29" s="1" t="s">
        <v>1908</v>
      </c>
      <c r="E29" s="1" t="s">
        <v>1879</v>
      </c>
      <c r="F29" s="54" t="s">
        <v>873</v>
      </c>
      <c r="G29" s="45" t="s">
        <v>9</v>
      </c>
      <c r="H29" s="45" t="s">
        <v>9</v>
      </c>
      <c r="I29" s="45" t="s">
        <v>9</v>
      </c>
      <c r="J29" s="45" t="s">
        <v>9</v>
      </c>
      <c r="K29" s="45" t="s">
        <v>9</v>
      </c>
      <c r="L29" s="25" t="str">
        <f t="shared" si="3"/>
        <v>De.Construção</v>
      </c>
      <c r="M29" s="25" t="str">
        <f t="shared" si="3"/>
        <v>Produtos.Construtivos</v>
      </c>
      <c r="N29" s="25" t="str">
        <f t="shared" si="0"/>
        <v>Espumados</v>
      </c>
      <c r="O29" s="25" t="str">
        <f t="shared" si="0"/>
        <v>Espuma Expandida</v>
      </c>
      <c r="P29" s="51" t="s">
        <v>874</v>
      </c>
      <c r="Q29" s="53" t="s">
        <v>875</v>
      </c>
      <c r="R29" s="53" t="s">
        <v>876</v>
      </c>
      <c r="S29" s="55" t="s">
        <v>9</v>
      </c>
      <c r="T29" s="51" t="str">
        <f t="shared" si="6"/>
        <v>De Construção</v>
      </c>
      <c r="U29" s="51" t="str">
        <f t="shared" si="4"/>
        <v>Produtos Construtivos</v>
      </c>
      <c r="V29" s="51" t="str">
        <f t="shared" si="4"/>
        <v>Espumados</v>
      </c>
      <c r="W29" s="21" t="s">
        <v>99</v>
      </c>
      <c r="X29" s="42" t="str">
        <f t="shared" si="2"/>
        <v>Key-INTEL-29</v>
      </c>
      <c r="Y29" s="21" t="s">
        <v>877</v>
      </c>
      <c r="Z29" s="52" t="s">
        <v>9</v>
      </c>
      <c r="AA29" s="21" t="s">
        <v>1733</v>
      </c>
      <c r="AB29" s="52" t="s">
        <v>9</v>
      </c>
      <c r="AC29" s="21" t="s">
        <v>878</v>
      </c>
      <c r="AD29" s="52" t="s">
        <v>9</v>
      </c>
    </row>
    <row r="30" spans="1:30" ht="6.75" customHeight="1" x14ac:dyDescent="0.25">
      <c r="A30" s="41">
        <v>30</v>
      </c>
      <c r="B30" s="1" t="s">
        <v>594</v>
      </c>
      <c r="C30" s="1" t="s">
        <v>1907</v>
      </c>
      <c r="D30" s="1" t="s">
        <v>1908</v>
      </c>
      <c r="E30" s="1" t="s">
        <v>1879</v>
      </c>
      <c r="F30" s="54" t="s">
        <v>879</v>
      </c>
      <c r="G30" s="45" t="s">
        <v>9</v>
      </c>
      <c r="H30" s="45" t="s">
        <v>9</v>
      </c>
      <c r="I30" s="45" t="s">
        <v>9</v>
      </c>
      <c r="J30" s="45" t="s">
        <v>9</v>
      </c>
      <c r="K30" s="45" t="s">
        <v>9</v>
      </c>
      <c r="L30" s="25" t="str">
        <f t="shared" si="3"/>
        <v>De.Construção</v>
      </c>
      <c r="M30" s="25" t="str">
        <f t="shared" si="3"/>
        <v>Produtos.Construtivos</v>
      </c>
      <c r="N30" s="25" t="str">
        <f t="shared" si="0"/>
        <v>Espumados</v>
      </c>
      <c r="O30" s="25" t="str">
        <f t="shared" si="0"/>
        <v>Espuma MPU</v>
      </c>
      <c r="P30" s="51" t="s">
        <v>880</v>
      </c>
      <c r="Q30" s="53" t="s">
        <v>881</v>
      </c>
      <c r="R30" s="53" t="s">
        <v>882</v>
      </c>
      <c r="S30" s="55" t="s">
        <v>9</v>
      </c>
      <c r="T30" s="51" t="str">
        <f t="shared" si="6"/>
        <v>De Construção</v>
      </c>
      <c r="U30" s="51" t="str">
        <f t="shared" si="4"/>
        <v>Produtos Construtivos</v>
      </c>
      <c r="V30" s="51" t="str">
        <f t="shared" si="4"/>
        <v>Espumados</v>
      </c>
      <c r="W30" s="21" t="s">
        <v>99</v>
      </c>
      <c r="X30" s="42" t="str">
        <f t="shared" si="2"/>
        <v>Key-INTEL-30</v>
      </c>
      <c r="Y30" s="21" t="s">
        <v>877</v>
      </c>
      <c r="Z30" s="52" t="s">
        <v>9</v>
      </c>
      <c r="AA30" s="21" t="s">
        <v>1733</v>
      </c>
      <c r="AB30" s="52" t="s">
        <v>9</v>
      </c>
      <c r="AC30" s="21" t="s">
        <v>878</v>
      </c>
      <c r="AD30" s="52" t="s">
        <v>9</v>
      </c>
    </row>
    <row r="31" spans="1:30" ht="6.75" customHeight="1" x14ac:dyDescent="0.25">
      <c r="A31" s="41">
        <v>31</v>
      </c>
      <c r="B31" s="1" t="s">
        <v>594</v>
      </c>
      <c r="C31" s="1" t="s">
        <v>1907</v>
      </c>
      <c r="D31" s="1" t="s">
        <v>1908</v>
      </c>
      <c r="E31" s="1" t="s">
        <v>1879</v>
      </c>
      <c r="F31" s="54" t="s">
        <v>883</v>
      </c>
      <c r="G31" s="45" t="s">
        <v>9</v>
      </c>
      <c r="H31" s="45" t="s">
        <v>9</v>
      </c>
      <c r="I31" s="45" t="s">
        <v>9</v>
      </c>
      <c r="J31" s="45" t="s">
        <v>9</v>
      </c>
      <c r="K31" s="45" t="s">
        <v>9</v>
      </c>
      <c r="L31" s="25" t="str">
        <f t="shared" si="3"/>
        <v>De.Construção</v>
      </c>
      <c r="M31" s="25" t="str">
        <f t="shared" si="3"/>
        <v>Produtos.Construtivos</v>
      </c>
      <c r="N31" s="25" t="str">
        <f t="shared" si="0"/>
        <v>Espumados</v>
      </c>
      <c r="O31" s="25" t="str">
        <f t="shared" si="0"/>
        <v>Espuma PIR</v>
      </c>
      <c r="P31" s="51" t="s">
        <v>884</v>
      </c>
      <c r="Q31" s="53" t="s">
        <v>885</v>
      </c>
      <c r="R31" s="53" t="s">
        <v>886</v>
      </c>
      <c r="S31" s="55" t="s">
        <v>9</v>
      </c>
      <c r="T31" s="51" t="str">
        <f t="shared" si="6"/>
        <v>De Construção</v>
      </c>
      <c r="U31" s="51" t="str">
        <f t="shared" si="4"/>
        <v>Produtos Construtivos</v>
      </c>
      <c r="V31" s="51" t="str">
        <f t="shared" si="4"/>
        <v>Espumados</v>
      </c>
      <c r="W31" s="21" t="s">
        <v>99</v>
      </c>
      <c r="X31" s="42" t="str">
        <f t="shared" si="2"/>
        <v>Key-INTEL-31</v>
      </c>
      <c r="Y31" s="21" t="s">
        <v>877</v>
      </c>
      <c r="Z31" s="52" t="s">
        <v>9</v>
      </c>
      <c r="AA31" s="21" t="s">
        <v>1733</v>
      </c>
      <c r="AB31" s="52" t="s">
        <v>9</v>
      </c>
      <c r="AC31" s="21" t="s">
        <v>878</v>
      </c>
      <c r="AD31" s="52" t="s">
        <v>9</v>
      </c>
    </row>
    <row r="32" spans="1:30" ht="6.75" customHeight="1" x14ac:dyDescent="0.25">
      <c r="A32" s="41">
        <v>32</v>
      </c>
      <c r="B32" s="1" t="s">
        <v>594</v>
      </c>
      <c r="C32" s="1" t="s">
        <v>1907</v>
      </c>
      <c r="D32" s="1" t="s">
        <v>1908</v>
      </c>
      <c r="E32" s="1" t="s">
        <v>1879</v>
      </c>
      <c r="F32" s="54" t="s">
        <v>887</v>
      </c>
      <c r="G32" s="45" t="s">
        <v>9</v>
      </c>
      <c r="H32" s="45" t="s">
        <v>9</v>
      </c>
      <c r="I32" s="45" t="s">
        <v>9</v>
      </c>
      <c r="J32" s="45" t="s">
        <v>9</v>
      </c>
      <c r="K32" s="45" t="s">
        <v>9</v>
      </c>
      <c r="L32" s="25" t="str">
        <f t="shared" si="3"/>
        <v>De.Construção</v>
      </c>
      <c r="M32" s="25" t="str">
        <f t="shared" si="3"/>
        <v>Produtos.Construtivos</v>
      </c>
      <c r="N32" s="25" t="str">
        <f t="shared" si="0"/>
        <v>Espumados</v>
      </c>
      <c r="O32" s="25" t="str">
        <f t="shared" si="0"/>
        <v>Espuma PUR</v>
      </c>
      <c r="P32" s="51" t="s">
        <v>888</v>
      </c>
      <c r="Q32" s="53" t="s">
        <v>889</v>
      </c>
      <c r="R32" s="53" t="s">
        <v>890</v>
      </c>
      <c r="S32" s="55" t="s">
        <v>9</v>
      </c>
      <c r="T32" s="51" t="str">
        <f t="shared" si="6"/>
        <v>De Construção</v>
      </c>
      <c r="U32" s="51" t="str">
        <f t="shared" si="4"/>
        <v>Produtos Construtivos</v>
      </c>
      <c r="V32" s="51" t="str">
        <f t="shared" si="4"/>
        <v>Espumados</v>
      </c>
      <c r="W32" s="21" t="s">
        <v>99</v>
      </c>
      <c r="X32" s="42" t="str">
        <f t="shared" si="2"/>
        <v>Key-INTEL-32</v>
      </c>
      <c r="Y32" s="21" t="s">
        <v>877</v>
      </c>
      <c r="Z32" s="52" t="s">
        <v>9</v>
      </c>
      <c r="AA32" s="21" t="s">
        <v>1733</v>
      </c>
      <c r="AB32" s="52" t="s">
        <v>9</v>
      </c>
      <c r="AC32" s="21" t="s">
        <v>878</v>
      </c>
      <c r="AD32" s="52" t="s">
        <v>9</v>
      </c>
    </row>
    <row r="33" spans="1:30" ht="6.75" customHeight="1" x14ac:dyDescent="0.25">
      <c r="A33" s="41">
        <v>33</v>
      </c>
      <c r="B33" s="1" t="s">
        <v>594</v>
      </c>
      <c r="C33" s="1" t="s">
        <v>1907</v>
      </c>
      <c r="D33" s="1" t="s">
        <v>1908</v>
      </c>
      <c r="E33" s="1" t="s">
        <v>1878</v>
      </c>
      <c r="F33" s="54" t="s">
        <v>891</v>
      </c>
      <c r="G33" s="45" t="s">
        <v>9</v>
      </c>
      <c r="H33" s="45" t="s">
        <v>9</v>
      </c>
      <c r="I33" s="45" t="s">
        <v>9</v>
      </c>
      <c r="J33" s="45" t="s">
        <v>9</v>
      </c>
      <c r="K33" s="45" t="s">
        <v>9</v>
      </c>
      <c r="L33" s="25" t="str">
        <f t="shared" si="3"/>
        <v>De.Construção</v>
      </c>
      <c r="M33" s="25" t="str">
        <f t="shared" si="3"/>
        <v>Produtos.Construtivos</v>
      </c>
      <c r="N33" s="25" t="str">
        <f t="shared" si="0"/>
        <v>Isolantes</v>
      </c>
      <c r="O33" s="25" t="str">
        <f t="shared" si="0"/>
        <v xml:space="preserve">Lã de Rocha </v>
      </c>
      <c r="P33" s="51" t="s">
        <v>892</v>
      </c>
      <c r="Q33" s="53" t="s">
        <v>893</v>
      </c>
      <c r="R33" s="53" t="s">
        <v>894</v>
      </c>
      <c r="S33" s="55" t="s">
        <v>9</v>
      </c>
      <c r="T33" s="51" t="str">
        <f t="shared" si="6"/>
        <v>De Construção</v>
      </c>
      <c r="U33" s="51" t="str">
        <f t="shared" si="4"/>
        <v>Produtos Construtivos</v>
      </c>
      <c r="V33" s="51" t="str">
        <f t="shared" si="4"/>
        <v>Isolantes</v>
      </c>
      <c r="W33" s="21" t="s">
        <v>99</v>
      </c>
      <c r="X33" s="42" t="str">
        <f t="shared" si="2"/>
        <v>Key-INTEL-33</v>
      </c>
      <c r="Y33" s="21" t="s">
        <v>877</v>
      </c>
      <c r="Z33" s="52" t="s">
        <v>9</v>
      </c>
      <c r="AA33" s="21" t="s">
        <v>1733</v>
      </c>
      <c r="AB33" s="52" t="s">
        <v>9</v>
      </c>
      <c r="AC33" s="21" t="s">
        <v>878</v>
      </c>
      <c r="AD33" s="52" t="s">
        <v>9</v>
      </c>
    </row>
    <row r="34" spans="1:30" ht="6.75" customHeight="1" x14ac:dyDescent="0.25">
      <c r="A34" s="41">
        <v>34</v>
      </c>
      <c r="B34" s="1" t="s">
        <v>594</v>
      </c>
      <c r="C34" s="1" t="s">
        <v>1907</v>
      </c>
      <c r="D34" s="1" t="s">
        <v>1908</v>
      </c>
      <c r="E34" s="1" t="s">
        <v>1878</v>
      </c>
      <c r="F34" s="54" t="s">
        <v>895</v>
      </c>
      <c r="G34" s="45" t="s">
        <v>9</v>
      </c>
      <c r="H34" s="45" t="s">
        <v>9</v>
      </c>
      <c r="I34" s="45" t="s">
        <v>9</v>
      </c>
      <c r="J34" s="45" t="s">
        <v>9</v>
      </c>
      <c r="K34" s="45" t="s">
        <v>9</v>
      </c>
      <c r="L34" s="25" t="str">
        <f t="shared" si="3"/>
        <v>De.Construção</v>
      </c>
      <c r="M34" s="25" t="str">
        <f t="shared" si="3"/>
        <v>Produtos.Construtivos</v>
      </c>
      <c r="N34" s="25" t="str">
        <f t="shared" si="0"/>
        <v>Isolantes</v>
      </c>
      <c r="O34" s="25" t="str">
        <f t="shared" si="0"/>
        <v xml:space="preserve">Lã de Vidro </v>
      </c>
      <c r="P34" s="51" t="s">
        <v>896</v>
      </c>
      <c r="Q34" s="53" t="s">
        <v>897</v>
      </c>
      <c r="R34" s="53" t="s">
        <v>898</v>
      </c>
      <c r="S34" s="55" t="s">
        <v>9</v>
      </c>
      <c r="T34" s="51" t="str">
        <f t="shared" si="6"/>
        <v>De Construção</v>
      </c>
      <c r="U34" s="51" t="str">
        <f t="shared" si="4"/>
        <v>Produtos Construtivos</v>
      </c>
      <c r="V34" s="51" t="str">
        <f t="shared" si="4"/>
        <v>Isolantes</v>
      </c>
      <c r="W34" s="21" t="s">
        <v>99</v>
      </c>
      <c r="X34" s="42" t="str">
        <f t="shared" si="2"/>
        <v>Key-INTEL-34</v>
      </c>
      <c r="Y34" s="21" t="s">
        <v>877</v>
      </c>
      <c r="Z34" s="52" t="s">
        <v>9</v>
      </c>
      <c r="AA34" s="21" t="s">
        <v>1733</v>
      </c>
      <c r="AB34" s="52" t="s">
        <v>9</v>
      </c>
      <c r="AC34" s="21" t="s">
        <v>878</v>
      </c>
      <c r="AD34" s="52" t="s">
        <v>9</v>
      </c>
    </row>
    <row r="35" spans="1:30" ht="6.75" customHeight="1" x14ac:dyDescent="0.25">
      <c r="A35" s="41">
        <v>35</v>
      </c>
      <c r="B35" s="1" t="s">
        <v>594</v>
      </c>
      <c r="C35" s="1" t="s">
        <v>1907</v>
      </c>
      <c r="D35" s="1" t="s">
        <v>1908</v>
      </c>
      <c r="E35" s="1" t="s">
        <v>1878</v>
      </c>
      <c r="F35" s="54" t="s">
        <v>899</v>
      </c>
      <c r="G35" s="45" t="s">
        <v>9</v>
      </c>
      <c r="H35" s="45" t="s">
        <v>9</v>
      </c>
      <c r="I35" s="45" t="s">
        <v>9</v>
      </c>
      <c r="J35" s="45" t="s">
        <v>9</v>
      </c>
      <c r="K35" s="45" t="s">
        <v>9</v>
      </c>
      <c r="L35" s="25" t="str">
        <f t="shared" si="3"/>
        <v>De.Construção</v>
      </c>
      <c r="M35" s="25" t="str">
        <f t="shared" si="3"/>
        <v>Produtos.Construtivos</v>
      </c>
      <c r="N35" s="25" t="str">
        <f t="shared" si="0"/>
        <v>Isolantes</v>
      </c>
      <c r="O35" s="25" t="str">
        <f t="shared" si="0"/>
        <v>Borracha Antivibratória</v>
      </c>
      <c r="P35" s="51" t="s">
        <v>900</v>
      </c>
      <c r="Q35" s="53" t="s">
        <v>901</v>
      </c>
      <c r="R35" s="53" t="s">
        <v>902</v>
      </c>
      <c r="S35" s="55" t="s">
        <v>9</v>
      </c>
      <c r="T35" s="51" t="str">
        <f t="shared" si="6"/>
        <v>De Construção</v>
      </c>
      <c r="U35" s="51" t="str">
        <f t="shared" si="4"/>
        <v>Produtos Construtivos</v>
      </c>
      <c r="V35" s="51" t="str">
        <f t="shared" si="4"/>
        <v>Isolantes</v>
      </c>
      <c r="W35" s="21" t="s">
        <v>99</v>
      </c>
      <c r="X35" s="42" t="str">
        <f t="shared" si="2"/>
        <v>Key-INTEL-35</v>
      </c>
      <c r="Y35" s="21" t="s">
        <v>877</v>
      </c>
      <c r="Z35" s="52" t="s">
        <v>9</v>
      </c>
      <c r="AA35" s="21" t="s">
        <v>1733</v>
      </c>
      <c r="AB35" s="52" t="s">
        <v>9</v>
      </c>
      <c r="AC35" s="21" t="s">
        <v>878</v>
      </c>
      <c r="AD35" s="52" t="s">
        <v>9</v>
      </c>
    </row>
    <row r="36" spans="1:30" ht="6.75" customHeight="1" x14ac:dyDescent="0.25">
      <c r="A36" s="41">
        <v>36</v>
      </c>
      <c r="B36" s="1" t="s">
        <v>594</v>
      </c>
      <c r="C36" s="1" t="s">
        <v>1907</v>
      </c>
      <c r="D36" s="1" t="s">
        <v>1908</v>
      </c>
      <c r="E36" s="1" t="s">
        <v>1878</v>
      </c>
      <c r="F36" s="54" t="s">
        <v>903</v>
      </c>
      <c r="G36" s="45" t="s">
        <v>9</v>
      </c>
      <c r="H36" s="45" t="s">
        <v>9</v>
      </c>
      <c r="I36" s="45" t="s">
        <v>9</v>
      </c>
      <c r="J36" s="45" t="s">
        <v>9</v>
      </c>
      <c r="K36" s="45" t="s">
        <v>9</v>
      </c>
      <c r="L36" s="25" t="str">
        <f t="shared" si="3"/>
        <v>De.Construção</v>
      </c>
      <c r="M36" s="25" t="str">
        <f t="shared" si="3"/>
        <v>Produtos.Construtivos</v>
      </c>
      <c r="N36" s="25" t="str">
        <f t="shared" si="0"/>
        <v>Isolantes</v>
      </c>
      <c r="O36" s="25" t="str">
        <f t="shared" si="0"/>
        <v>Borracha Elastomérica</v>
      </c>
      <c r="P36" s="51" t="s">
        <v>904</v>
      </c>
      <c r="Q36" s="53" t="s">
        <v>905</v>
      </c>
      <c r="R36" s="53" t="s">
        <v>906</v>
      </c>
      <c r="S36" s="55" t="s">
        <v>9</v>
      </c>
      <c r="T36" s="51" t="str">
        <f t="shared" si="6"/>
        <v>De Construção</v>
      </c>
      <c r="U36" s="51" t="str">
        <f t="shared" si="4"/>
        <v>Produtos Construtivos</v>
      </c>
      <c r="V36" s="51" t="str">
        <f t="shared" si="4"/>
        <v>Isolantes</v>
      </c>
      <c r="W36" s="21" t="s">
        <v>99</v>
      </c>
      <c r="X36" s="42" t="str">
        <f t="shared" si="2"/>
        <v>Key-INTEL-36</v>
      </c>
      <c r="Y36" s="21" t="s">
        <v>877</v>
      </c>
      <c r="Z36" s="52" t="s">
        <v>9</v>
      </c>
      <c r="AA36" s="21" t="s">
        <v>1733</v>
      </c>
      <c r="AB36" s="52" t="s">
        <v>9</v>
      </c>
      <c r="AC36" s="21" t="s">
        <v>878</v>
      </c>
      <c r="AD36" s="52" t="s">
        <v>9</v>
      </c>
    </row>
    <row r="37" spans="1:30" ht="6.75" customHeight="1" x14ac:dyDescent="0.25">
      <c r="A37" s="41">
        <v>37</v>
      </c>
      <c r="B37" s="1" t="s">
        <v>594</v>
      </c>
      <c r="C37" s="1" t="s">
        <v>1907</v>
      </c>
      <c r="D37" s="1" t="s">
        <v>1908</v>
      </c>
      <c r="E37" s="1" t="s">
        <v>1909</v>
      </c>
      <c r="F37" s="46" t="s">
        <v>842</v>
      </c>
      <c r="G37" s="45" t="s">
        <v>9</v>
      </c>
      <c r="H37" s="45" t="s">
        <v>9</v>
      </c>
      <c r="I37" s="45" t="s">
        <v>9</v>
      </c>
      <c r="J37" s="45" t="s">
        <v>9</v>
      </c>
      <c r="K37" s="45" t="s">
        <v>9</v>
      </c>
      <c r="L37" s="25" t="str">
        <f t="shared" si="3"/>
        <v>De.Construção</v>
      </c>
      <c r="M37" s="25" t="str">
        <f t="shared" si="3"/>
        <v>Produtos.Construtivos</v>
      </c>
      <c r="N37" s="25" t="str">
        <f t="shared" si="0"/>
        <v>Ligas Estruturais</v>
      </c>
      <c r="O37" s="25" t="str">
        <f t="shared" si="0"/>
        <v>Aço Estrutural</v>
      </c>
      <c r="P37" s="53" t="s">
        <v>843</v>
      </c>
      <c r="Q37" s="53" t="s">
        <v>844</v>
      </c>
      <c r="R37" s="53" t="s">
        <v>845</v>
      </c>
      <c r="S37" s="55" t="s">
        <v>9</v>
      </c>
      <c r="T37" s="51" t="str">
        <f t="shared" si="6"/>
        <v>De Construção</v>
      </c>
      <c r="U37" s="51" t="str">
        <f t="shared" si="4"/>
        <v>Produtos Construtivos</v>
      </c>
      <c r="V37" s="51" t="str">
        <f t="shared" si="4"/>
        <v>Ligas Estruturais</v>
      </c>
      <c r="W37" s="21" t="s">
        <v>99</v>
      </c>
      <c r="X37" s="42" t="str">
        <f t="shared" si="2"/>
        <v>Key-INTEL-37</v>
      </c>
      <c r="Y37" s="21" t="s">
        <v>846</v>
      </c>
      <c r="Z37" s="52" t="s">
        <v>9</v>
      </c>
      <c r="AA37" s="21" t="s">
        <v>847</v>
      </c>
      <c r="AB37" s="52" t="s">
        <v>9</v>
      </c>
      <c r="AC37" s="21" t="s">
        <v>1754</v>
      </c>
      <c r="AD37" s="21" t="s">
        <v>9</v>
      </c>
    </row>
    <row r="38" spans="1:30" ht="6.75" customHeight="1" x14ac:dyDescent="0.25">
      <c r="A38" s="41">
        <v>38</v>
      </c>
      <c r="B38" s="1" t="s">
        <v>594</v>
      </c>
      <c r="C38" s="1" t="s">
        <v>1907</v>
      </c>
      <c r="D38" s="1" t="s">
        <v>1908</v>
      </c>
      <c r="E38" s="1" t="s">
        <v>1909</v>
      </c>
      <c r="F38" s="46" t="s">
        <v>848</v>
      </c>
      <c r="G38" s="45" t="s">
        <v>9</v>
      </c>
      <c r="H38" s="45" t="s">
        <v>9</v>
      </c>
      <c r="I38" s="45" t="s">
        <v>9</v>
      </c>
      <c r="J38" s="45" t="s">
        <v>9</v>
      </c>
      <c r="K38" s="45" t="s">
        <v>9</v>
      </c>
      <c r="L38" s="25" t="str">
        <f t="shared" si="3"/>
        <v>De.Construção</v>
      </c>
      <c r="M38" s="25" t="str">
        <f t="shared" si="3"/>
        <v>Produtos.Construtivos</v>
      </c>
      <c r="N38" s="25" t="str">
        <f t="shared" si="0"/>
        <v>Ligas Estruturais</v>
      </c>
      <c r="O38" s="25" t="str">
        <f t="shared" si="0"/>
        <v>Alumínio Estrutural</v>
      </c>
      <c r="P38" s="53" t="s">
        <v>849</v>
      </c>
      <c r="Q38" s="53" t="s">
        <v>850</v>
      </c>
      <c r="R38" s="53" t="s">
        <v>851</v>
      </c>
      <c r="S38" s="55" t="s">
        <v>9</v>
      </c>
      <c r="T38" s="51" t="str">
        <f t="shared" si="6"/>
        <v>De Construção</v>
      </c>
      <c r="U38" s="51" t="str">
        <f t="shared" si="4"/>
        <v>Produtos Construtivos</v>
      </c>
      <c r="V38" s="51" t="str">
        <f t="shared" si="4"/>
        <v>Ligas Estruturais</v>
      </c>
      <c r="W38" s="21" t="s">
        <v>99</v>
      </c>
      <c r="X38" s="42" t="str">
        <f t="shared" si="2"/>
        <v>Key-INTEL-38</v>
      </c>
      <c r="Y38" s="21" t="s">
        <v>846</v>
      </c>
      <c r="Z38" s="52" t="s">
        <v>9</v>
      </c>
      <c r="AA38" s="21" t="s">
        <v>847</v>
      </c>
      <c r="AB38" s="52" t="s">
        <v>9</v>
      </c>
      <c r="AC38" s="21" t="s">
        <v>1754</v>
      </c>
      <c r="AD38" s="21" t="s">
        <v>9</v>
      </c>
    </row>
    <row r="39" spans="1:30" s="56" customFormat="1" ht="6.75" customHeight="1" x14ac:dyDescent="0.25">
      <c r="A39" s="41">
        <v>39</v>
      </c>
      <c r="B39" s="1" t="s">
        <v>594</v>
      </c>
      <c r="C39" s="1" t="s">
        <v>1907</v>
      </c>
      <c r="D39" s="1" t="s">
        <v>1908</v>
      </c>
      <c r="E39" s="1" t="s">
        <v>1882</v>
      </c>
      <c r="F39" s="39" t="s">
        <v>780</v>
      </c>
      <c r="G39" s="45" t="s">
        <v>9</v>
      </c>
      <c r="H39" s="45" t="s">
        <v>9</v>
      </c>
      <c r="I39" s="45" t="s">
        <v>9</v>
      </c>
      <c r="J39" s="45" t="s">
        <v>9</v>
      </c>
      <c r="K39" s="45" t="s">
        <v>9</v>
      </c>
      <c r="L39" s="25" t="str">
        <f t="shared" ref="L39:M73" si="7">CONCATENATE("", C39)</f>
        <v>De.Construção</v>
      </c>
      <c r="M39" s="25" t="str">
        <f t="shared" si="7"/>
        <v>Produtos.Construtivos</v>
      </c>
      <c r="N39" s="25" t="str">
        <f t="shared" ref="N39:O73" si="8">(SUBSTITUTE(SUBSTITUTE(CONCATENATE("",E39),"."," ")," De "," de "))</f>
        <v>Caixas Metálicas</v>
      </c>
      <c r="O39" s="25" t="str">
        <f t="shared" si="8"/>
        <v>Caixa Metálica de Elétrica</v>
      </c>
      <c r="P39" s="53" t="s">
        <v>781</v>
      </c>
      <c r="Q39" s="53" t="s">
        <v>782</v>
      </c>
      <c r="R39" s="53" t="s">
        <v>783</v>
      </c>
      <c r="S39" s="55" t="s">
        <v>9</v>
      </c>
      <c r="T39" s="51" t="str">
        <f t="shared" si="6"/>
        <v>De Construção</v>
      </c>
      <c r="U39" s="51" t="str">
        <f t="shared" si="4"/>
        <v>Produtos Construtivos</v>
      </c>
      <c r="V39" s="51" t="str">
        <f t="shared" si="4"/>
        <v>Caixas Metálicas</v>
      </c>
      <c r="W39" s="21" t="s">
        <v>99</v>
      </c>
      <c r="X39" s="42" t="str">
        <f t="shared" si="2"/>
        <v>Key-INTEL-39</v>
      </c>
      <c r="Y39" s="21" t="s">
        <v>877</v>
      </c>
      <c r="Z39" s="52" t="s">
        <v>9</v>
      </c>
      <c r="AA39" s="21" t="s">
        <v>1733</v>
      </c>
      <c r="AB39" s="52" t="s">
        <v>9</v>
      </c>
      <c r="AC39" s="21" t="s">
        <v>758</v>
      </c>
      <c r="AD39" s="52" t="s">
        <v>9</v>
      </c>
    </row>
    <row r="40" spans="1:30" s="56" customFormat="1" ht="6.75" customHeight="1" x14ac:dyDescent="0.25">
      <c r="A40" s="41">
        <v>40</v>
      </c>
      <c r="B40" s="1" t="s">
        <v>594</v>
      </c>
      <c r="C40" s="1" t="s">
        <v>1907</v>
      </c>
      <c r="D40" s="1" t="s">
        <v>1908</v>
      </c>
      <c r="E40" s="1" t="s">
        <v>1882</v>
      </c>
      <c r="F40" s="39" t="s">
        <v>784</v>
      </c>
      <c r="G40" s="45" t="s">
        <v>9</v>
      </c>
      <c r="H40" s="45" t="s">
        <v>9</v>
      </c>
      <c r="I40" s="45" t="s">
        <v>9</v>
      </c>
      <c r="J40" s="45" t="s">
        <v>9</v>
      </c>
      <c r="K40" s="45" t="s">
        <v>9</v>
      </c>
      <c r="L40" s="25" t="str">
        <f t="shared" si="7"/>
        <v>De.Construção</v>
      </c>
      <c r="M40" s="25" t="str">
        <f t="shared" si="7"/>
        <v>Produtos.Construtivos</v>
      </c>
      <c r="N40" s="25" t="str">
        <f t="shared" si="8"/>
        <v>Caixas Metálicas</v>
      </c>
      <c r="O40" s="25" t="str">
        <f t="shared" si="8"/>
        <v>Caixa Metálica de Telecom</v>
      </c>
      <c r="P40" s="53" t="s">
        <v>785</v>
      </c>
      <c r="Q40" s="53" t="s">
        <v>786</v>
      </c>
      <c r="R40" s="53" t="s">
        <v>787</v>
      </c>
      <c r="S40" s="55" t="s">
        <v>9</v>
      </c>
      <c r="T40" s="51" t="str">
        <f t="shared" si="6"/>
        <v>De Construção</v>
      </c>
      <c r="U40" s="51" t="str">
        <f t="shared" si="4"/>
        <v>Produtos Construtivos</v>
      </c>
      <c r="V40" s="51" t="str">
        <f t="shared" si="4"/>
        <v>Caixas Metálicas</v>
      </c>
      <c r="W40" s="21" t="s">
        <v>99</v>
      </c>
      <c r="X40" s="42" t="str">
        <f t="shared" si="2"/>
        <v>Key-INTEL-40</v>
      </c>
      <c r="Y40" s="21" t="s">
        <v>877</v>
      </c>
      <c r="Z40" s="52" t="s">
        <v>9</v>
      </c>
      <c r="AA40" s="21" t="s">
        <v>1733</v>
      </c>
      <c r="AB40" s="52" t="s">
        <v>9</v>
      </c>
      <c r="AC40" s="21" t="s">
        <v>758</v>
      </c>
      <c r="AD40" s="52" t="s">
        <v>9</v>
      </c>
    </row>
    <row r="41" spans="1:30" s="56" customFormat="1" ht="6.75" customHeight="1" x14ac:dyDescent="0.25">
      <c r="A41" s="41">
        <v>41</v>
      </c>
      <c r="B41" s="1" t="s">
        <v>594</v>
      </c>
      <c r="C41" s="1" t="s">
        <v>1907</v>
      </c>
      <c r="D41" s="1" t="s">
        <v>1908</v>
      </c>
      <c r="E41" s="1" t="s">
        <v>1883</v>
      </c>
      <c r="F41" s="39" t="s">
        <v>788</v>
      </c>
      <c r="G41" s="45" t="s">
        <v>9</v>
      </c>
      <c r="H41" s="45" t="s">
        <v>9</v>
      </c>
      <c r="I41" s="45" t="s">
        <v>9</v>
      </c>
      <c r="J41" s="45" t="s">
        <v>9</v>
      </c>
      <c r="K41" s="45" t="s">
        <v>9</v>
      </c>
      <c r="L41" s="25" t="str">
        <f t="shared" si="7"/>
        <v>De.Construção</v>
      </c>
      <c r="M41" s="25" t="str">
        <f t="shared" si="7"/>
        <v>Produtos.Construtivos</v>
      </c>
      <c r="N41" s="25" t="str">
        <f t="shared" si="8"/>
        <v>Caixas Plásticas</v>
      </c>
      <c r="O41" s="25" t="str">
        <f t="shared" si="8"/>
        <v>Caixa PVC de Elétrica</v>
      </c>
      <c r="P41" s="53" t="s">
        <v>789</v>
      </c>
      <c r="Q41" s="53" t="s">
        <v>790</v>
      </c>
      <c r="R41" s="53" t="s">
        <v>791</v>
      </c>
      <c r="S41" s="55" t="s">
        <v>9</v>
      </c>
      <c r="T41" s="51" t="str">
        <f t="shared" si="6"/>
        <v>De Construção</v>
      </c>
      <c r="U41" s="51" t="str">
        <f t="shared" si="4"/>
        <v>Produtos Construtivos</v>
      </c>
      <c r="V41" s="51" t="str">
        <f t="shared" si="4"/>
        <v>Caixas Plásticas</v>
      </c>
      <c r="W41" s="21" t="s">
        <v>99</v>
      </c>
      <c r="X41" s="42" t="str">
        <f t="shared" si="2"/>
        <v>Key-INTEL-41</v>
      </c>
      <c r="Y41" s="21" t="s">
        <v>877</v>
      </c>
      <c r="Z41" s="52" t="s">
        <v>9</v>
      </c>
      <c r="AA41" s="21" t="s">
        <v>1733</v>
      </c>
      <c r="AB41" s="52" t="s">
        <v>9</v>
      </c>
      <c r="AC41" s="21" t="s">
        <v>758</v>
      </c>
      <c r="AD41" s="52" t="s">
        <v>9</v>
      </c>
    </row>
    <row r="42" spans="1:30" s="56" customFormat="1" ht="6.75" customHeight="1" x14ac:dyDescent="0.25">
      <c r="A42" s="41">
        <v>42</v>
      </c>
      <c r="B42" s="1" t="s">
        <v>594</v>
      </c>
      <c r="C42" s="1" t="s">
        <v>1907</v>
      </c>
      <c r="D42" s="1" t="s">
        <v>1908</v>
      </c>
      <c r="E42" s="1" t="s">
        <v>1883</v>
      </c>
      <c r="F42" s="39" t="s">
        <v>792</v>
      </c>
      <c r="G42" s="45" t="s">
        <v>9</v>
      </c>
      <c r="H42" s="45" t="s">
        <v>9</v>
      </c>
      <c r="I42" s="45" t="s">
        <v>9</v>
      </c>
      <c r="J42" s="45" t="s">
        <v>9</v>
      </c>
      <c r="K42" s="45" t="s">
        <v>9</v>
      </c>
      <c r="L42" s="25" t="str">
        <f t="shared" si="7"/>
        <v>De.Construção</v>
      </c>
      <c r="M42" s="25" t="str">
        <f t="shared" si="7"/>
        <v>Produtos.Construtivos</v>
      </c>
      <c r="N42" s="25" t="str">
        <f t="shared" si="8"/>
        <v>Caixas Plásticas</v>
      </c>
      <c r="O42" s="25" t="str">
        <f t="shared" si="8"/>
        <v>Caixa PVC de Telecom</v>
      </c>
      <c r="P42" s="53" t="s">
        <v>793</v>
      </c>
      <c r="Q42" s="53" t="s">
        <v>794</v>
      </c>
      <c r="R42" s="53" t="s">
        <v>795</v>
      </c>
      <c r="S42" s="55" t="s">
        <v>9</v>
      </c>
      <c r="T42" s="51" t="str">
        <f t="shared" si="6"/>
        <v>De Construção</v>
      </c>
      <c r="U42" s="51" t="str">
        <f t="shared" si="4"/>
        <v>Produtos Construtivos</v>
      </c>
      <c r="V42" s="51" t="str">
        <f t="shared" si="4"/>
        <v>Caixas Plásticas</v>
      </c>
      <c r="W42" s="21" t="s">
        <v>99</v>
      </c>
      <c r="X42" s="42" t="str">
        <f t="shared" si="2"/>
        <v>Key-INTEL-42</v>
      </c>
      <c r="Y42" s="21" t="s">
        <v>877</v>
      </c>
      <c r="Z42" s="52" t="s">
        <v>9</v>
      </c>
      <c r="AA42" s="21" t="s">
        <v>1733</v>
      </c>
      <c r="AB42" s="52" t="s">
        <v>9</v>
      </c>
      <c r="AC42" s="21" t="s">
        <v>758</v>
      </c>
      <c r="AD42" s="52" t="s">
        <v>9</v>
      </c>
    </row>
    <row r="43" spans="1:30" s="56" customFormat="1" ht="6.75" customHeight="1" x14ac:dyDescent="0.25">
      <c r="A43" s="41">
        <v>43</v>
      </c>
      <c r="B43" s="1" t="s">
        <v>594</v>
      </c>
      <c r="C43" s="1" t="s">
        <v>1907</v>
      </c>
      <c r="D43" s="1" t="s">
        <v>1908</v>
      </c>
      <c r="E43" s="1" t="s">
        <v>1884</v>
      </c>
      <c r="F43" s="39" t="s">
        <v>796</v>
      </c>
      <c r="G43" s="45" t="s">
        <v>9</v>
      </c>
      <c r="H43" s="45" t="s">
        <v>9</v>
      </c>
      <c r="I43" s="45" t="s">
        <v>9</v>
      </c>
      <c r="J43" s="45" t="s">
        <v>9</v>
      </c>
      <c r="K43" s="45" t="s">
        <v>9</v>
      </c>
      <c r="L43" s="25" t="str">
        <f t="shared" si="7"/>
        <v>De.Construção</v>
      </c>
      <c r="M43" s="25" t="str">
        <f t="shared" si="7"/>
        <v>Produtos.Construtivos</v>
      </c>
      <c r="N43" s="25" t="str">
        <f t="shared" si="8"/>
        <v>Calhas Metálicas</v>
      </c>
      <c r="O43" s="25" t="str">
        <f t="shared" si="8"/>
        <v>Calha de Elétrica</v>
      </c>
      <c r="P43" s="53" t="s">
        <v>797</v>
      </c>
      <c r="Q43" s="53" t="s">
        <v>798</v>
      </c>
      <c r="R43" s="53" t="s">
        <v>799</v>
      </c>
      <c r="S43" s="55" t="s">
        <v>9</v>
      </c>
      <c r="T43" s="51" t="str">
        <f t="shared" si="6"/>
        <v>De Construção</v>
      </c>
      <c r="U43" s="51" t="str">
        <f t="shared" si="4"/>
        <v>Produtos Construtivos</v>
      </c>
      <c r="V43" s="51" t="str">
        <f t="shared" si="4"/>
        <v>Calhas Metálicas</v>
      </c>
      <c r="W43" s="21" t="s">
        <v>99</v>
      </c>
      <c r="X43" s="42" t="str">
        <f t="shared" si="2"/>
        <v>Key-INTEL-43</v>
      </c>
      <c r="Y43" s="21" t="s">
        <v>877</v>
      </c>
      <c r="Z43" s="52" t="s">
        <v>9</v>
      </c>
      <c r="AA43" s="21" t="s">
        <v>1733</v>
      </c>
      <c r="AB43" s="52" t="s">
        <v>9</v>
      </c>
      <c r="AC43" s="21" t="s">
        <v>758</v>
      </c>
      <c r="AD43" s="52" t="s">
        <v>9</v>
      </c>
    </row>
    <row r="44" spans="1:30" s="56" customFormat="1" ht="6.75" customHeight="1" x14ac:dyDescent="0.25">
      <c r="A44" s="41">
        <v>44</v>
      </c>
      <c r="B44" s="1" t="s">
        <v>594</v>
      </c>
      <c r="C44" s="1" t="s">
        <v>1907</v>
      </c>
      <c r="D44" s="1" t="s">
        <v>1908</v>
      </c>
      <c r="E44" s="1" t="s">
        <v>1884</v>
      </c>
      <c r="F44" s="39" t="s">
        <v>800</v>
      </c>
      <c r="G44" s="45" t="s">
        <v>9</v>
      </c>
      <c r="H44" s="45" t="s">
        <v>9</v>
      </c>
      <c r="I44" s="45" t="s">
        <v>9</v>
      </c>
      <c r="J44" s="45" t="s">
        <v>9</v>
      </c>
      <c r="K44" s="45" t="s">
        <v>9</v>
      </c>
      <c r="L44" s="25" t="str">
        <f t="shared" si="7"/>
        <v>De.Construção</v>
      </c>
      <c r="M44" s="25" t="str">
        <f t="shared" si="7"/>
        <v>Produtos.Construtivos</v>
      </c>
      <c r="N44" s="25" t="str">
        <f t="shared" si="8"/>
        <v>Calhas Metálicas</v>
      </c>
      <c r="O44" s="25" t="str">
        <f t="shared" si="8"/>
        <v>Calha de Telecom</v>
      </c>
      <c r="P44" s="53" t="s">
        <v>801</v>
      </c>
      <c r="Q44" s="53" t="s">
        <v>802</v>
      </c>
      <c r="R44" s="53" t="s">
        <v>803</v>
      </c>
      <c r="S44" s="55" t="s">
        <v>9</v>
      </c>
      <c r="T44" s="51" t="str">
        <f t="shared" si="6"/>
        <v>De Construção</v>
      </c>
      <c r="U44" s="51" t="str">
        <f t="shared" si="4"/>
        <v>Produtos Construtivos</v>
      </c>
      <c r="V44" s="51" t="str">
        <f t="shared" si="4"/>
        <v>Calhas Metálicas</v>
      </c>
      <c r="W44" s="21" t="s">
        <v>99</v>
      </c>
      <c r="X44" s="42" t="str">
        <f t="shared" si="2"/>
        <v>Key-INTEL-44</v>
      </c>
      <c r="Y44" s="21" t="s">
        <v>877</v>
      </c>
      <c r="Z44" s="52" t="s">
        <v>9</v>
      </c>
      <c r="AA44" s="21" t="s">
        <v>1733</v>
      </c>
      <c r="AB44" s="52" t="s">
        <v>9</v>
      </c>
      <c r="AC44" s="21" t="s">
        <v>758</v>
      </c>
      <c r="AD44" s="52" t="s">
        <v>9</v>
      </c>
    </row>
    <row r="45" spans="1:30" s="56" customFormat="1" ht="6.75" customHeight="1" x14ac:dyDescent="0.25">
      <c r="A45" s="41">
        <v>45</v>
      </c>
      <c r="B45" s="1" t="s">
        <v>594</v>
      </c>
      <c r="C45" s="1" t="s">
        <v>1907</v>
      </c>
      <c r="D45" s="1" t="s">
        <v>1908</v>
      </c>
      <c r="E45" s="1" t="s">
        <v>1884</v>
      </c>
      <c r="F45" s="39" t="s">
        <v>1910</v>
      </c>
      <c r="G45" s="45" t="s">
        <v>9</v>
      </c>
      <c r="H45" s="45" t="s">
        <v>9</v>
      </c>
      <c r="I45" s="45" t="s">
        <v>9</v>
      </c>
      <c r="J45" s="45" t="s">
        <v>9</v>
      </c>
      <c r="K45" s="45" t="s">
        <v>9</v>
      </c>
      <c r="L45" s="25" t="str">
        <f t="shared" si="7"/>
        <v>De.Construção</v>
      </c>
      <c r="M45" s="25" t="str">
        <f t="shared" si="7"/>
        <v>Produtos.Construtivos</v>
      </c>
      <c r="N45" s="25" t="str">
        <f t="shared" si="8"/>
        <v>Calhas Metálicas</v>
      </c>
      <c r="O45" s="25" t="str">
        <f t="shared" si="8"/>
        <v>Calha de Pluvial</v>
      </c>
      <c r="P45" s="53" t="s">
        <v>1911</v>
      </c>
      <c r="Q45" s="53" t="s">
        <v>1912</v>
      </c>
      <c r="R45" s="53" t="str">
        <f>_xlfn.TRANSLATE(Q45,"es","en")</f>
        <v>Construction material to collect rainwater on roofs.</v>
      </c>
      <c r="S45" s="55" t="s">
        <v>9</v>
      </c>
      <c r="T45" s="51" t="str">
        <f t="shared" si="6"/>
        <v>De Construção</v>
      </c>
      <c r="U45" s="51" t="str">
        <f t="shared" si="4"/>
        <v>Produtos Construtivos</v>
      </c>
      <c r="V45" s="51" t="str">
        <f t="shared" si="4"/>
        <v>Calhas Metálicas</v>
      </c>
      <c r="W45" s="21" t="s">
        <v>99</v>
      </c>
      <c r="X45" s="42" t="str">
        <f t="shared" si="2"/>
        <v>Key-INTEL-45</v>
      </c>
      <c r="Y45" s="21" t="s">
        <v>1913</v>
      </c>
      <c r="Z45" s="52" t="s">
        <v>9</v>
      </c>
      <c r="AA45" s="21" t="s">
        <v>1914</v>
      </c>
      <c r="AB45" s="52" t="s">
        <v>9</v>
      </c>
      <c r="AC45" s="21" t="s">
        <v>758</v>
      </c>
      <c r="AD45" s="52" t="s">
        <v>9</v>
      </c>
    </row>
    <row r="46" spans="1:30" s="56" customFormat="1" ht="6.75" customHeight="1" x14ac:dyDescent="0.25">
      <c r="A46" s="41">
        <v>46</v>
      </c>
      <c r="B46" s="1" t="s">
        <v>594</v>
      </c>
      <c r="C46" s="1" t="s">
        <v>1907</v>
      </c>
      <c r="D46" s="1" t="s">
        <v>1908</v>
      </c>
      <c r="E46" s="1" t="s">
        <v>1884</v>
      </c>
      <c r="F46" s="39" t="s">
        <v>804</v>
      </c>
      <c r="G46" s="45" t="s">
        <v>9</v>
      </c>
      <c r="H46" s="45" t="s">
        <v>9</v>
      </c>
      <c r="I46" s="45" t="s">
        <v>9</v>
      </c>
      <c r="J46" s="45" t="s">
        <v>9</v>
      </c>
      <c r="K46" s="45" t="s">
        <v>9</v>
      </c>
      <c r="L46" s="25" t="str">
        <f t="shared" si="7"/>
        <v>De.Construção</v>
      </c>
      <c r="M46" s="25" t="str">
        <f t="shared" si="7"/>
        <v>Produtos.Construtivos</v>
      </c>
      <c r="N46" s="25" t="str">
        <f t="shared" si="8"/>
        <v>Calhas Metálicas</v>
      </c>
      <c r="O46" s="25" t="str">
        <f t="shared" si="8"/>
        <v>Calha Leito de Elétrica</v>
      </c>
      <c r="P46" s="53" t="s">
        <v>805</v>
      </c>
      <c r="Q46" s="53" t="s">
        <v>806</v>
      </c>
      <c r="R46" s="53" t="s">
        <v>807</v>
      </c>
      <c r="S46" s="55" t="s">
        <v>9</v>
      </c>
      <c r="T46" s="51" t="str">
        <f t="shared" si="6"/>
        <v>De Construção</v>
      </c>
      <c r="U46" s="51" t="str">
        <f t="shared" si="4"/>
        <v>Produtos Construtivos</v>
      </c>
      <c r="V46" s="51" t="str">
        <f t="shared" si="4"/>
        <v>Calhas Metálicas</v>
      </c>
      <c r="W46" s="21" t="s">
        <v>99</v>
      </c>
      <c r="X46" s="42" t="str">
        <f t="shared" si="2"/>
        <v>Key-INTEL-46</v>
      </c>
      <c r="Y46" s="21" t="s">
        <v>877</v>
      </c>
      <c r="Z46" s="52" t="s">
        <v>9</v>
      </c>
      <c r="AA46" s="21" t="s">
        <v>1733</v>
      </c>
      <c r="AB46" s="52" t="s">
        <v>9</v>
      </c>
      <c r="AC46" s="21" t="s">
        <v>758</v>
      </c>
      <c r="AD46" s="52" t="s">
        <v>9</v>
      </c>
    </row>
    <row r="47" spans="1:30" s="56" customFormat="1" ht="6.75" customHeight="1" x14ac:dyDescent="0.25">
      <c r="A47" s="41">
        <v>47</v>
      </c>
      <c r="B47" s="1" t="s">
        <v>594</v>
      </c>
      <c r="C47" s="1" t="s">
        <v>1907</v>
      </c>
      <c r="D47" s="1" t="s">
        <v>1908</v>
      </c>
      <c r="E47" s="1" t="s">
        <v>1884</v>
      </c>
      <c r="F47" s="39" t="s">
        <v>808</v>
      </c>
      <c r="G47" s="45" t="s">
        <v>9</v>
      </c>
      <c r="H47" s="45" t="s">
        <v>9</v>
      </c>
      <c r="I47" s="45" t="s">
        <v>9</v>
      </c>
      <c r="J47" s="45" t="s">
        <v>9</v>
      </c>
      <c r="K47" s="45" t="s">
        <v>9</v>
      </c>
      <c r="L47" s="25" t="str">
        <f t="shared" si="7"/>
        <v>De.Construção</v>
      </c>
      <c r="M47" s="25" t="str">
        <f t="shared" si="7"/>
        <v>Produtos.Construtivos</v>
      </c>
      <c r="N47" s="25" t="str">
        <f t="shared" si="8"/>
        <v>Calhas Metálicas</v>
      </c>
      <c r="O47" s="25" t="str">
        <f t="shared" si="8"/>
        <v>Calha Leito de Telecom</v>
      </c>
      <c r="P47" s="53" t="s">
        <v>809</v>
      </c>
      <c r="Q47" s="53" t="s">
        <v>810</v>
      </c>
      <c r="R47" s="53" t="s">
        <v>811</v>
      </c>
      <c r="S47" s="55" t="s">
        <v>9</v>
      </c>
      <c r="T47" s="51" t="str">
        <f t="shared" si="6"/>
        <v>De Construção</v>
      </c>
      <c r="U47" s="51" t="str">
        <f t="shared" si="4"/>
        <v>Produtos Construtivos</v>
      </c>
      <c r="V47" s="51" t="str">
        <f t="shared" si="4"/>
        <v>Calhas Metálicas</v>
      </c>
      <c r="W47" s="21" t="s">
        <v>99</v>
      </c>
      <c r="X47" s="42" t="str">
        <f t="shared" si="2"/>
        <v>Key-INTEL-47</v>
      </c>
      <c r="Y47" s="21" t="s">
        <v>877</v>
      </c>
      <c r="Z47" s="52" t="s">
        <v>9</v>
      </c>
      <c r="AA47" s="21" t="s">
        <v>1733</v>
      </c>
      <c r="AB47" s="52" t="s">
        <v>9</v>
      </c>
      <c r="AC47" s="21" t="s">
        <v>758</v>
      </c>
      <c r="AD47" s="52" t="s">
        <v>9</v>
      </c>
    </row>
    <row r="48" spans="1:30" s="56" customFormat="1" ht="6.75" customHeight="1" x14ac:dyDescent="0.25">
      <c r="A48" s="41">
        <v>48</v>
      </c>
      <c r="B48" s="1" t="s">
        <v>594</v>
      </c>
      <c r="C48" s="1" t="s">
        <v>1907</v>
      </c>
      <c r="D48" s="1" t="s">
        <v>1908</v>
      </c>
      <c r="E48" s="1" t="s">
        <v>1885</v>
      </c>
      <c r="F48" s="39" t="s">
        <v>812</v>
      </c>
      <c r="G48" s="45" t="s">
        <v>9</v>
      </c>
      <c r="H48" s="45" t="s">
        <v>9</v>
      </c>
      <c r="I48" s="45" t="s">
        <v>9</v>
      </c>
      <c r="J48" s="45" t="s">
        <v>9</v>
      </c>
      <c r="K48" s="45" t="s">
        <v>9</v>
      </c>
      <c r="L48" s="25" t="str">
        <f t="shared" si="7"/>
        <v>De.Construção</v>
      </c>
      <c r="M48" s="25" t="str">
        <f t="shared" si="7"/>
        <v>Produtos.Construtivos</v>
      </c>
      <c r="N48" s="25" t="str">
        <f t="shared" si="8"/>
        <v>Calhas Plásticas</v>
      </c>
      <c r="O48" s="25" t="str">
        <f t="shared" si="8"/>
        <v>Canaleta de Elétrica</v>
      </c>
      <c r="P48" s="53" t="s">
        <v>813</v>
      </c>
      <c r="Q48" s="53" t="s">
        <v>814</v>
      </c>
      <c r="R48" s="53" t="s">
        <v>815</v>
      </c>
      <c r="S48" s="55" t="s">
        <v>9</v>
      </c>
      <c r="T48" s="51" t="str">
        <f t="shared" si="6"/>
        <v>De Construção</v>
      </c>
      <c r="U48" s="51" t="str">
        <f t="shared" si="4"/>
        <v>Produtos Construtivos</v>
      </c>
      <c r="V48" s="51" t="str">
        <f t="shared" si="4"/>
        <v>Calhas Plásticas</v>
      </c>
      <c r="W48" s="21" t="s">
        <v>99</v>
      </c>
      <c r="X48" s="42" t="str">
        <f t="shared" si="2"/>
        <v>Key-INTEL-48</v>
      </c>
      <c r="Y48" s="21" t="s">
        <v>877</v>
      </c>
      <c r="Z48" s="52" t="s">
        <v>9</v>
      </c>
      <c r="AA48" s="21" t="s">
        <v>1733</v>
      </c>
      <c r="AB48" s="52" t="s">
        <v>9</v>
      </c>
      <c r="AC48" s="21" t="s">
        <v>758</v>
      </c>
      <c r="AD48" s="52" t="s">
        <v>9</v>
      </c>
    </row>
    <row r="49" spans="1:30" s="56" customFormat="1" ht="6.75" customHeight="1" x14ac:dyDescent="0.25">
      <c r="A49" s="41">
        <v>49</v>
      </c>
      <c r="B49" s="1" t="s">
        <v>594</v>
      </c>
      <c r="C49" s="1" t="s">
        <v>1907</v>
      </c>
      <c r="D49" s="1" t="s">
        <v>1908</v>
      </c>
      <c r="E49" s="1" t="s">
        <v>1885</v>
      </c>
      <c r="F49" s="39" t="s">
        <v>816</v>
      </c>
      <c r="G49" s="45" t="s">
        <v>9</v>
      </c>
      <c r="H49" s="45" t="s">
        <v>9</v>
      </c>
      <c r="I49" s="45" t="s">
        <v>9</v>
      </c>
      <c r="J49" s="45" t="s">
        <v>9</v>
      </c>
      <c r="K49" s="45" t="s">
        <v>9</v>
      </c>
      <c r="L49" s="25" t="str">
        <f t="shared" si="7"/>
        <v>De.Construção</v>
      </c>
      <c r="M49" s="25" t="str">
        <f t="shared" si="7"/>
        <v>Produtos.Construtivos</v>
      </c>
      <c r="N49" s="25" t="str">
        <f t="shared" si="8"/>
        <v>Calhas Plásticas</v>
      </c>
      <c r="O49" s="25" t="str">
        <f t="shared" si="8"/>
        <v>Canaleta de Telecom</v>
      </c>
      <c r="P49" s="53" t="s">
        <v>817</v>
      </c>
      <c r="Q49" s="53" t="s">
        <v>818</v>
      </c>
      <c r="R49" s="53" t="s">
        <v>819</v>
      </c>
      <c r="S49" s="55" t="s">
        <v>9</v>
      </c>
      <c r="T49" s="51" t="str">
        <f t="shared" si="6"/>
        <v>De Construção</v>
      </c>
      <c r="U49" s="51" t="str">
        <f t="shared" si="4"/>
        <v>Produtos Construtivos</v>
      </c>
      <c r="V49" s="51" t="str">
        <f t="shared" si="4"/>
        <v>Calhas Plásticas</v>
      </c>
      <c r="W49" s="21" t="s">
        <v>99</v>
      </c>
      <c r="X49" s="42" t="str">
        <f t="shared" si="2"/>
        <v>Key-INTEL-49</v>
      </c>
      <c r="Y49" s="21" t="s">
        <v>877</v>
      </c>
      <c r="Z49" s="52" t="s">
        <v>9</v>
      </c>
      <c r="AA49" s="21" t="s">
        <v>1733</v>
      </c>
      <c r="AB49" s="52" t="s">
        <v>9</v>
      </c>
      <c r="AC49" s="21" t="s">
        <v>758</v>
      </c>
      <c r="AD49" s="52" t="s">
        <v>9</v>
      </c>
    </row>
    <row r="50" spans="1:30" s="56" customFormat="1" ht="6.75" customHeight="1" x14ac:dyDescent="0.25">
      <c r="A50" s="41">
        <v>50</v>
      </c>
      <c r="B50" s="1" t="s">
        <v>594</v>
      </c>
      <c r="C50" s="1" t="s">
        <v>1907</v>
      </c>
      <c r="D50" s="1" t="s">
        <v>1908</v>
      </c>
      <c r="E50" s="1" t="s">
        <v>1885</v>
      </c>
      <c r="F50" s="39" t="s">
        <v>1915</v>
      </c>
      <c r="G50" s="45" t="s">
        <v>9</v>
      </c>
      <c r="H50" s="45" t="s">
        <v>9</v>
      </c>
      <c r="I50" s="45" t="s">
        <v>9</v>
      </c>
      <c r="J50" s="45" t="s">
        <v>9</v>
      </c>
      <c r="K50" s="45" t="s">
        <v>9</v>
      </c>
      <c r="L50" s="25" t="str">
        <f t="shared" si="7"/>
        <v>De.Construção</v>
      </c>
      <c r="M50" s="25" t="str">
        <f t="shared" si="7"/>
        <v>Produtos.Construtivos</v>
      </c>
      <c r="N50" s="25" t="str">
        <f t="shared" si="8"/>
        <v>Calhas Plásticas</v>
      </c>
      <c r="O50" s="25" t="str">
        <f t="shared" si="8"/>
        <v>Canaleta de Pluvial</v>
      </c>
      <c r="P50" s="53" t="s">
        <v>1911</v>
      </c>
      <c r="Q50" s="53" t="s">
        <v>1912</v>
      </c>
      <c r="R50" s="53" t="str">
        <f>_xlfn.TRANSLATE(Q50,"es","en")</f>
        <v>Construction material to collect rainwater on roofs.</v>
      </c>
      <c r="S50" s="55" t="s">
        <v>9</v>
      </c>
      <c r="T50" s="51" t="str">
        <f t="shared" si="6"/>
        <v>De Construção</v>
      </c>
      <c r="U50" s="51" t="str">
        <f t="shared" si="4"/>
        <v>Produtos Construtivos</v>
      </c>
      <c r="V50" s="51" t="str">
        <f t="shared" si="4"/>
        <v>Calhas Plásticas</v>
      </c>
      <c r="W50" s="21" t="s">
        <v>99</v>
      </c>
      <c r="X50" s="42" t="str">
        <f t="shared" si="2"/>
        <v>Key-INTEL-50</v>
      </c>
      <c r="Y50" s="21" t="s">
        <v>1913</v>
      </c>
      <c r="Z50" s="52" t="s">
        <v>9</v>
      </c>
      <c r="AA50" s="21" t="s">
        <v>1914</v>
      </c>
      <c r="AB50" s="52" t="s">
        <v>9</v>
      </c>
      <c r="AC50" s="21" t="s">
        <v>758</v>
      </c>
      <c r="AD50" s="52" t="s">
        <v>9</v>
      </c>
    </row>
    <row r="51" spans="1:30" s="56" customFormat="1" ht="6.75" customHeight="1" x14ac:dyDescent="0.25">
      <c r="A51" s="41">
        <v>51</v>
      </c>
      <c r="B51" s="1" t="s">
        <v>594</v>
      </c>
      <c r="C51" s="1" t="s">
        <v>1907</v>
      </c>
      <c r="D51" s="1" t="s">
        <v>1908</v>
      </c>
      <c r="E51" s="1" t="s">
        <v>1906</v>
      </c>
      <c r="F51" s="39" t="s">
        <v>1751</v>
      </c>
      <c r="G51" s="45" t="s">
        <v>9</v>
      </c>
      <c r="H51" s="45" t="s">
        <v>9</v>
      </c>
      <c r="I51" s="45" t="s">
        <v>9</v>
      </c>
      <c r="J51" s="45" t="s">
        <v>9</v>
      </c>
      <c r="K51" s="45" t="s">
        <v>9</v>
      </c>
      <c r="L51" s="25" t="str">
        <f t="shared" si="7"/>
        <v>De.Construção</v>
      </c>
      <c r="M51" s="25" t="str">
        <f t="shared" si="7"/>
        <v>Produtos.Construtivos</v>
      </c>
      <c r="N51" s="25" t="str">
        <f t="shared" si="8"/>
        <v>Conduítes Flex</v>
      </c>
      <c r="O51" s="25" t="str">
        <f t="shared" si="8"/>
        <v>Conduíte Flex de Elétrica</v>
      </c>
      <c r="P51" s="53" t="s">
        <v>820</v>
      </c>
      <c r="Q51" s="53" t="s">
        <v>821</v>
      </c>
      <c r="R51" s="53" t="s">
        <v>822</v>
      </c>
      <c r="S51" s="55" t="s">
        <v>9</v>
      </c>
      <c r="T51" s="51" t="str">
        <f t="shared" si="6"/>
        <v>De Construção</v>
      </c>
      <c r="U51" s="51" t="str">
        <f t="shared" si="4"/>
        <v>Produtos Construtivos</v>
      </c>
      <c r="V51" s="51" t="str">
        <f t="shared" si="4"/>
        <v>Conduítes Flex</v>
      </c>
      <c r="W51" s="21" t="s">
        <v>99</v>
      </c>
      <c r="X51" s="42" t="str">
        <f t="shared" si="2"/>
        <v>Key-INTEL-51</v>
      </c>
      <c r="Y51" s="21" t="s">
        <v>877</v>
      </c>
      <c r="Z51" s="52" t="s">
        <v>9</v>
      </c>
      <c r="AA51" s="21" t="s">
        <v>1752</v>
      </c>
      <c r="AB51" s="52" t="s">
        <v>9</v>
      </c>
      <c r="AC51" s="21" t="s">
        <v>758</v>
      </c>
      <c r="AD51" s="52" t="s">
        <v>9</v>
      </c>
    </row>
    <row r="52" spans="1:30" s="56" customFormat="1" ht="6.75" customHeight="1" x14ac:dyDescent="0.25">
      <c r="A52" s="41">
        <v>52</v>
      </c>
      <c r="B52" s="1" t="s">
        <v>594</v>
      </c>
      <c r="C52" s="1" t="s">
        <v>1907</v>
      </c>
      <c r="D52" s="1" t="s">
        <v>1908</v>
      </c>
      <c r="E52" s="1" t="s">
        <v>1906</v>
      </c>
      <c r="F52" s="39" t="s">
        <v>1753</v>
      </c>
      <c r="G52" s="45" t="s">
        <v>9</v>
      </c>
      <c r="H52" s="45" t="s">
        <v>9</v>
      </c>
      <c r="I52" s="45" t="s">
        <v>9</v>
      </c>
      <c r="J52" s="45" t="s">
        <v>9</v>
      </c>
      <c r="K52" s="45" t="s">
        <v>9</v>
      </c>
      <c r="L52" s="25" t="str">
        <f t="shared" si="7"/>
        <v>De.Construção</v>
      </c>
      <c r="M52" s="25" t="str">
        <f t="shared" si="7"/>
        <v>Produtos.Construtivos</v>
      </c>
      <c r="N52" s="25" t="str">
        <f t="shared" si="8"/>
        <v>Conduítes Flex</v>
      </c>
      <c r="O52" s="25" t="str">
        <f t="shared" si="8"/>
        <v>Conduíte Flex de Telecom</v>
      </c>
      <c r="P52" s="53" t="s">
        <v>823</v>
      </c>
      <c r="Q52" s="53" t="s">
        <v>824</v>
      </c>
      <c r="R52" s="53" t="s">
        <v>825</v>
      </c>
      <c r="S52" s="55" t="s">
        <v>9</v>
      </c>
      <c r="T52" s="51" t="str">
        <f t="shared" si="6"/>
        <v>De Construção</v>
      </c>
      <c r="U52" s="51" t="str">
        <f t="shared" si="4"/>
        <v>Produtos Construtivos</v>
      </c>
      <c r="V52" s="51" t="str">
        <f t="shared" si="4"/>
        <v>Conduítes Flex</v>
      </c>
      <c r="W52" s="21" t="s">
        <v>99</v>
      </c>
      <c r="X52" s="42" t="str">
        <f t="shared" si="2"/>
        <v>Key-INTEL-52</v>
      </c>
      <c r="Y52" s="21" t="s">
        <v>877</v>
      </c>
      <c r="Z52" s="52" t="s">
        <v>9</v>
      </c>
      <c r="AA52" s="21" t="s">
        <v>1752</v>
      </c>
      <c r="AB52" s="52" t="s">
        <v>9</v>
      </c>
      <c r="AC52" s="21" t="s">
        <v>758</v>
      </c>
      <c r="AD52" s="52" t="s">
        <v>9</v>
      </c>
    </row>
    <row r="53" spans="1:30" s="56" customFormat="1" ht="6.75" customHeight="1" x14ac:dyDescent="0.25">
      <c r="A53" s="41">
        <v>53</v>
      </c>
      <c r="B53" s="1" t="s">
        <v>594</v>
      </c>
      <c r="C53" s="1" t="s">
        <v>1907</v>
      </c>
      <c r="D53" s="1" t="s">
        <v>1908</v>
      </c>
      <c r="E53" s="1" t="s">
        <v>1886</v>
      </c>
      <c r="F53" s="39" t="s">
        <v>826</v>
      </c>
      <c r="G53" s="45" t="s">
        <v>9</v>
      </c>
      <c r="H53" s="45" t="s">
        <v>9</v>
      </c>
      <c r="I53" s="45" t="s">
        <v>9</v>
      </c>
      <c r="J53" s="45" t="s">
        <v>9</v>
      </c>
      <c r="K53" s="45" t="s">
        <v>9</v>
      </c>
      <c r="L53" s="25" t="str">
        <f t="shared" si="7"/>
        <v>De.Construção</v>
      </c>
      <c r="M53" s="25" t="str">
        <f t="shared" si="7"/>
        <v>Produtos.Construtivos</v>
      </c>
      <c r="N53" s="25" t="str">
        <f t="shared" si="8"/>
        <v>Conduítes Rígidos</v>
      </c>
      <c r="O53" s="25" t="str">
        <f t="shared" si="8"/>
        <v>Conduíte Rígido de Elétrica</v>
      </c>
      <c r="P53" s="53" t="s">
        <v>827</v>
      </c>
      <c r="Q53" s="53" t="s">
        <v>828</v>
      </c>
      <c r="R53" s="53" t="s">
        <v>829</v>
      </c>
      <c r="S53" s="55" t="s">
        <v>9</v>
      </c>
      <c r="T53" s="51" t="str">
        <f t="shared" si="6"/>
        <v>De Construção</v>
      </c>
      <c r="U53" s="51" t="str">
        <f t="shared" si="4"/>
        <v>Produtos Construtivos</v>
      </c>
      <c r="V53" s="51" t="str">
        <f t="shared" si="4"/>
        <v>Conduítes Rígidos</v>
      </c>
      <c r="W53" s="21" t="s">
        <v>99</v>
      </c>
      <c r="X53" s="42" t="str">
        <f t="shared" si="2"/>
        <v>Key-INTEL-53</v>
      </c>
      <c r="Y53" s="21" t="s">
        <v>877</v>
      </c>
      <c r="Z53" s="52" t="s">
        <v>9</v>
      </c>
      <c r="AA53" s="21" t="s">
        <v>1733</v>
      </c>
      <c r="AB53" s="52" t="s">
        <v>9</v>
      </c>
      <c r="AC53" s="21" t="s">
        <v>758</v>
      </c>
      <c r="AD53" s="52" t="s">
        <v>9</v>
      </c>
    </row>
    <row r="54" spans="1:30" s="56" customFormat="1" ht="6.75" customHeight="1" x14ac:dyDescent="0.25">
      <c r="A54" s="41">
        <v>54</v>
      </c>
      <c r="B54" s="1" t="s">
        <v>594</v>
      </c>
      <c r="C54" s="1" t="s">
        <v>1907</v>
      </c>
      <c r="D54" s="1" t="s">
        <v>1908</v>
      </c>
      <c r="E54" s="1" t="s">
        <v>1886</v>
      </c>
      <c r="F54" s="39" t="s">
        <v>830</v>
      </c>
      <c r="G54" s="45" t="s">
        <v>9</v>
      </c>
      <c r="H54" s="45" t="s">
        <v>9</v>
      </c>
      <c r="I54" s="45" t="s">
        <v>9</v>
      </c>
      <c r="J54" s="45" t="s">
        <v>9</v>
      </c>
      <c r="K54" s="45" t="s">
        <v>9</v>
      </c>
      <c r="L54" s="25" t="str">
        <f t="shared" si="7"/>
        <v>De.Construção</v>
      </c>
      <c r="M54" s="25" t="str">
        <f t="shared" si="7"/>
        <v>Produtos.Construtivos</v>
      </c>
      <c r="N54" s="25" t="str">
        <f t="shared" si="8"/>
        <v>Conduítes Rígidos</v>
      </c>
      <c r="O54" s="25" t="str">
        <f t="shared" si="8"/>
        <v>Conduíte Rígido de Telecom</v>
      </c>
      <c r="P54" s="53" t="s">
        <v>831</v>
      </c>
      <c r="Q54" s="53" t="s">
        <v>832</v>
      </c>
      <c r="R54" s="53" t="s">
        <v>833</v>
      </c>
      <c r="S54" s="55" t="s">
        <v>9</v>
      </c>
      <c r="T54" s="51" t="str">
        <f t="shared" si="6"/>
        <v>De Construção</v>
      </c>
      <c r="U54" s="51" t="str">
        <f t="shared" si="4"/>
        <v>Produtos Construtivos</v>
      </c>
      <c r="V54" s="51" t="str">
        <f t="shared" si="4"/>
        <v>Conduítes Rígidos</v>
      </c>
      <c r="W54" s="21" t="s">
        <v>99</v>
      </c>
      <c r="X54" s="42" t="str">
        <f t="shared" si="2"/>
        <v>Key-INTEL-54</v>
      </c>
      <c r="Y54" s="21" t="s">
        <v>877</v>
      </c>
      <c r="Z54" s="52" t="s">
        <v>9</v>
      </c>
      <c r="AA54" s="21" t="s">
        <v>1733</v>
      </c>
      <c r="AB54" s="52" t="s">
        <v>9</v>
      </c>
      <c r="AC54" s="21" t="s">
        <v>758</v>
      </c>
      <c r="AD54" s="52" t="s">
        <v>9</v>
      </c>
    </row>
    <row r="55" spans="1:30" s="56" customFormat="1" ht="6.75" customHeight="1" x14ac:dyDescent="0.25">
      <c r="A55" s="41">
        <v>55</v>
      </c>
      <c r="B55" s="1" t="s">
        <v>594</v>
      </c>
      <c r="C55" s="1" t="s">
        <v>1907</v>
      </c>
      <c r="D55" s="1" t="s">
        <v>1908</v>
      </c>
      <c r="E55" s="1" t="s">
        <v>1887</v>
      </c>
      <c r="F55" s="39" t="s">
        <v>834</v>
      </c>
      <c r="G55" s="45" t="s">
        <v>9</v>
      </c>
      <c r="H55" s="45" t="s">
        <v>9</v>
      </c>
      <c r="I55" s="45" t="s">
        <v>9</v>
      </c>
      <c r="J55" s="45" t="s">
        <v>9</v>
      </c>
      <c r="K55" s="45" t="s">
        <v>9</v>
      </c>
      <c r="L55" s="25" t="str">
        <f t="shared" si="7"/>
        <v>De.Construção</v>
      </c>
      <c r="M55" s="25" t="str">
        <f t="shared" si="7"/>
        <v>Produtos.Construtivos</v>
      </c>
      <c r="N55" s="25" t="str">
        <f t="shared" si="8"/>
        <v>Fiações Metálicas</v>
      </c>
      <c r="O55" s="25" t="str">
        <f t="shared" si="8"/>
        <v>Fiação de Elétrica</v>
      </c>
      <c r="P55" s="53" t="s">
        <v>835</v>
      </c>
      <c r="Q55" s="53" t="s">
        <v>836</v>
      </c>
      <c r="R55" s="53" t="s">
        <v>837</v>
      </c>
      <c r="S55" s="55" t="s">
        <v>9</v>
      </c>
      <c r="T55" s="51" t="str">
        <f t="shared" si="6"/>
        <v>De Construção</v>
      </c>
      <c r="U55" s="51" t="str">
        <f t="shared" si="4"/>
        <v>Produtos Construtivos</v>
      </c>
      <c r="V55" s="51" t="str">
        <f t="shared" si="4"/>
        <v>Fiações Metálicas</v>
      </c>
      <c r="W55" s="21" t="s">
        <v>99</v>
      </c>
      <c r="X55" s="42" t="str">
        <f t="shared" si="2"/>
        <v>Key-INTEL-55</v>
      </c>
      <c r="Y55" s="21" t="s">
        <v>759</v>
      </c>
      <c r="Z55" s="52" t="s">
        <v>9</v>
      </c>
      <c r="AA55" s="21" t="s">
        <v>757</v>
      </c>
      <c r="AB55" s="52" t="s">
        <v>9</v>
      </c>
      <c r="AC55" s="21" t="s">
        <v>758</v>
      </c>
      <c r="AD55" s="52" t="s">
        <v>9</v>
      </c>
    </row>
    <row r="56" spans="1:30" s="56" customFormat="1" ht="6.75" customHeight="1" x14ac:dyDescent="0.25">
      <c r="A56" s="41">
        <v>56</v>
      </c>
      <c r="B56" s="1" t="s">
        <v>594</v>
      </c>
      <c r="C56" s="1" t="s">
        <v>1907</v>
      </c>
      <c r="D56" s="1" t="s">
        <v>1908</v>
      </c>
      <c r="E56" s="1" t="s">
        <v>1887</v>
      </c>
      <c r="F56" s="39" t="s">
        <v>838</v>
      </c>
      <c r="G56" s="45" t="s">
        <v>9</v>
      </c>
      <c r="H56" s="45" t="s">
        <v>9</v>
      </c>
      <c r="I56" s="45" t="s">
        <v>9</v>
      </c>
      <c r="J56" s="45" t="s">
        <v>9</v>
      </c>
      <c r="K56" s="45" t="s">
        <v>9</v>
      </c>
      <c r="L56" s="25" t="str">
        <f t="shared" si="7"/>
        <v>De.Construção</v>
      </c>
      <c r="M56" s="25" t="str">
        <f t="shared" si="7"/>
        <v>Produtos.Construtivos</v>
      </c>
      <c r="N56" s="25" t="str">
        <f t="shared" si="8"/>
        <v>Fiações Metálicas</v>
      </c>
      <c r="O56" s="25" t="str">
        <f t="shared" si="8"/>
        <v>Fiação de Telecom</v>
      </c>
      <c r="P56" s="53" t="s">
        <v>839</v>
      </c>
      <c r="Q56" s="53" t="s">
        <v>840</v>
      </c>
      <c r="R56" s="53" t="s">
        <v>841</v>
      </c>
      <c r="S56" s="55" t="s">
        <v>9</v>
      </c>
      <c r="T56" s="51" t="str">
        <f t="shared" si="6"/>
        <v>De Construção</v>
      </c>
      <c r="U56" s="51" t="str">
        <f t="shared" si="4"/>
        <v>Produtos Construtivos</v>
      </c>
      <c r="V56" s="51" t="str">
        <f t="shared" si="4"/>
        <v>Fiações Metálicas</v>
      </c>
      <c r="W56" s="21" t="s">
        <v>99</v>
      </c>
      <c r="X56" s="42" t="str">
        <f t="shared" si="2"/>
        <v>Key-INTEL-56</v>
      </c>
      <c r="Y56" s="21" t="s">
        <v>759</v>
      </c>
      <c r="Z56" s="52" t="s">
        <v>9</v>
      </c>
      <c r="AA56" s="21" t="s">
        <v>757</v>
      </c>
      <c r="AB56" s="52" t="s">
        <v>9</v>
      </c>
      <c r="AC56" s="21" t="s">
        <v>758</v>
      </c>
      <c r="AD56" s="52" t="s">
        <v>9</v>
      </c>
    </row>
    <row r="57" spans="1:30" ht="6.75" customHeight="1" x14ac:dyDescent="0.25">
      <c r="A57" s="41">
        <v>57</v>
      </c>
      <c r="B57" s="1" t="s">
        <v>594</v>
      </c>
      <c r="C57" s="1" t="s">
        <v>1907</v>
      </c>
      <c r="D57" s="1" t="s">
        <v>1908</v>
      </c>
      <c r="E57" s="1" t="s">
        <v>1888</v>
      </c>
      <c r="F57" s="54" t="s">
        <v>1755</v>
      </c>
      <c r="G57" s="45" t="s">
        <v>9</v>
      </c>
      <c r="H57" s="45" t="s">
        <v>9</v>
      </c>
      <c r="I57" s="45" t="s">
        <v>9</v>
      </c>
      <c r="J57" s="45" t="s">
        <v>9</v>
      </c>
      <c r="K57" s="45" t="s">
        <v>9</v>
      </c>
      <c r="L57" s="25" t="str">
        <f t="shared" si="7"/>
        <v>De.Construção</v>
      </c>
      <c r="M57" s="25" t="str">
        <f t="shared" si="7"/>
        <v>Produtos.Construtivos</v>
      </c>
      <c r="N57" s="25" t="str">
        <f t="shared" si="8"/>
        <v>Peças Metálicas</v>
      </c>
      <c r="O57" s="25" t="str">
        <f t="shared" si="8"/>
        <v>Grelha Alumínio</v>
      </c>
      <c r="P57" s="51" t="s">
        <v>1756</v>
      </c>
      <c r="Q57" s="53" t="s">
        <v>1757</v>
      </c>
      <c r="R57" s="53" t="s">
        <v>1758</v>
      </c>
      <c r="S57" s="55" t="s">
        <v>9</v>
      </c>
      <c r="T57" s="51" t="str">
        <f t="shared" si="6"/>
        <v>De Construção</v>
      </c>
      <c r="U57" s="51" t="str">
        <f t="shared" si="4"/>
        <v>Produtos Construtivos</v>
      </c>
      <c r="V57" s="51" t="str">
        <f t="shared" si="4"/>
        <v>Peças Metálicas</v>
      </c>
      <c r="W57" s="21" t="s">
        <v>99</v>
      </c>
      <c r="X57" s="42" t="str">
        <f t="shared" si="2"/>
        <v>Key-INTEL-57</v>
      </c>
      <c r="Y57" s="21" t="s">
        <v>877</v>
      </c>
      <c r="Z57" s="52" t="s">
        <v>9</v>
      </c>
      <c r="AA57" s="21" t="s">
        <v>1733</v>
      </c>
      <c r="AB57" s="52" t="s">
        <v>9</v>
      </c>
      <c r="AC57" s="21" t="s">
        <v>878</v>
      </c>
      <c r="AD57" s="52" t="s">
        <v>9</v>
      </c>
    </row>
    <row r="58" spans="1:30" ht="6.75" customHeight="1" x14ac:dyDescent="0.25">
      <c r="A58" s="41">
        <v>58</v>
      </c>
      <c r="B58" s="1" t="s">
        <v>594</v>
      </c>
      <c r="C58" s="1" t="s">
        <v>1907</v>
      </c>
      <c r="D58" s="1" t="s">
        <v>1908</v>
      </c>
      <c r="E58" s="1" t="s">
        <v>1888</v>
      </c>
      <c r="F58" s="54" t="s">
        <v>1759</v>
      </c>
      <c r="G58" s="45" t="s">
        <v>9</v>
      </c>
      <c r="H58" s="45" t="s">
        <v>9</v>
      </c>
      <c r="I58" s="45" t="s">
        <v>9</v>
      </c>
      <c r="J58" s="45" t="s">
        <v>9</v>
      </c>
      <c r="K58" s="45" t="s">
        <v>9</v>
      </c>
      <c r="L58" s="25" t="str">
        <f t="shared" si="7"/>
        <v>De.Construção</v>
      </c>
      <c r="M58" s="25" t="str">
        <f t="shared" si="7"/>
        <v>Produtos.Construtivos</v>
      </c>
      <c r="N58" s="25" t="str">
        <f t="shared" si="8"/>
        <v>Peças Metálicas</v>
      </c>
      <c r="O58" s="25" t="str">
        <f t="shared" si="8"/>
        <v>Difusor Alumínio</v>
      </c>
      <c r="P58" s="51" t="s">
        <v>1760</v>
      </c>
      <c r="Q58" s="53" t="s">
        <v>1761</v>
      </c>
      <c r="R58" s="53" t="s">
        <v>1762</v>
      </c>
      <c r="S58" s="55" t="s">
        <v>9</v>
      </c>
      <c r="T58" s="51" t="str">
        <f t="shared" si="6"/>
        <v>De Construção</v>
      </c>
      <c r="U58" s="51" t="str">
        <f t="shared" si="4"/>
        <v>Produtos Construtivos</v>
      </c>
      <c r="V58" s="51" t="str">
        <f t="shared" si="4"/>
        <v>Peças Metálicas</v>
      </c>
      <c r="W58" s="21" t="s">
        <v>99</v>
      </c>
      <c r="X58" s="42" t="str">
        <f t="shared" si="2"/>
        <v>Key-INTEL-58</v>
      </c>
      <c r="Y58" s="21" t="s">
        <v>877</v>
      </c>
      <c r="Z58" s="52" t="s">
        <v>9</v>
      </c>
      <c r="AA58" s="21" t="s">
        <v>1733</v>
      </c>
      <c r="AB58" s="52" t="s">
        <v>9</v>
      </c>
      <c r="AC58" s="21" t="s">
        <v>878</v>
      </c>
      <c r="AD58" s="52" t="s">
        <v>9</v>
      </c>
    </row>
    <row r="59" spans="1:30" ht="6.75" customHeight="1" x14ac:dyDescent="0.25">
      <c r="A59" s="41">
        <v>59</v>
      </c>
      <c r="B59" s="1" t="s">
        <v>594</v>
      </c>
      <c r="C59" s="1" t="s">
        <v>1907</v>
      </c>
      <c r="D59" s="1" t="s">
        <v>1908</v>
      </c>
      <c r="E59" s="1" t="s">
        <v>1889</v>
      </c>
      <c r="F59" s="39" t="s">
        <v>916</v>
      </c>
      <c r="G59" s="45" t="s">
        <v>9</v>
      </c>
      <c r="H59" s="45" t="s">
        <v>9</v>
      </c>
      <c r="I59" s="45" t="s">
        <v>9</v>
      </c>
      <c r="J59" s="45" t="s">
        <v>9</v>
      </c>
      <c r="K59" s="45" t="s">
        <v>9</v>
      </c>
      <c r="L59" s="25" t="str">
        <f t="shared" si="7"/>
        <v>De.Construção</v>
      </c>
      <c r="M59" s="25" t="str">
        <f t="shared" si="7"/>
        <v>Produtos.Construtivos</v>
      </c>
      <c r="N59" s="25" t="str">
        <f t="shared" si="8"/>
        <v>Quadros Metálicos</v>
      </c>
      <c r="O59" s="25" t="str">
        <f t="shared" si="8"/>
        <v>Quadro Metálico Elétrica</v>
      </c>
      <c r="P59" s="53" t="s">
        <v>917</v>
      </c>
      <c r="Q59" s="53" t="s">
        <v>918</v>
      </c>
      <c r="R59" s="53" t="s">
        <v>919</v>
      </c>
      <c r="S59" s="55" t="s">
        <v>9</v>
      </c>
      <c r="T59" s="51" t="str">
        <f t="shared" si="6"/>
        <v>De Construção</v>
      </c>
      <c r="U59" s="51" t="str">
        <f t="shared" si="4"/>
        <v>Produtos Construtivos</v>
      </c>
      <c r="V59" s="51" t="str">
        <f t="shared" si="4"/>
        <v>Quadros Metálicos</v>
      </c>
      <c r="W59" s="21" t="s">
        <v>99</v>
      </c>
      <c r="X59" s="42" t="str">
        <f t="shared" si="2"/>
        <v>Key-INTEL-59</v>
      </c>
      <c r="Y59" s="21" t="s">
        <v>877</v>
      </c>
      <c r="Z59" s="52" t="s">
        <v>9</v>
      </c>
      <c r="AA59" s="21" t="s">
        <v>1733</v>
      </c>
      <c r="AB59" s="52" t="s">
        <v>9</v>
      </c>
      <c r="AC59" s="21" t="s">
        <v>758</v>
      </c>
      <c r="AD59" s="52" t="s">
        <v>9</v>
      </c>
    </row>
    <row r="60" spans="1:30" ht="6.75" customHeight="1" x14ac:dyDescent="0.25">
      <c r="A60" s="41">
        <v>60</v>
      </c>
      <c r="B60" s="1" t="s">
        <v>594</v>
      </c>
      <c r="C60" s="1" t="s">
        <v>1907</v>
      </c>
      <c r="D60" s="1" t="s">
        <v>1908</v>
      </c>
      <c r="E60" s="1" t="s">
        <v>1889</v>
      </c>
      <c r="F60" s="39" t="s">
        <v>920</v>
      </c>
      <c r="G60" s="45" t="s">
        <v>9</v>
      </c>
      <c r="H60" s="45" t="s">
        <v>9</v>
      </c>
      <c r="I60" s="45" t="s">
        <v>9</v>
      </c>
      <c r="J60" s="45" t="s">
        <v>9</v>
      </c>
      <c r="K60" s="45" t="s">
        <v>9</v>
      </c>
      <c r="L60" s="25" t="str">
        <f t="shared" si="7"/>
        <v>De.Construção</v>
      </c>
      <c r="M60" s="25" t="str">
        <f t="shared" si="7"/>
        <v>Produtos.Construtivos</v>
      </c>
      <c r="N60" s="25" t="str">
        <f t="shared" si="8"/>
        <v>Quadros Metálicos</v>
      </c>
      <c r="O60" s="25" t="str">
        <f t="shared" si="8"/>
        <v>Quadro Metálico Telecom</v>
      </c>
      <c r="P60" s="53" t="s">
        <v>921</v>
      </c>
      <c r="Q60" s="53" t="s">
        <v>922</v>
      </c>
      <c r="R60" s="53" t="s">
        <v>923</v>
      </c>
      <c r="S60" s="55" t="s">
        <v>9</v>
      </c>
      <c r="T60" s="51" t="str">
        <f t="shared" si="6"/>
        <v>De Construção</v>
      </c>
      <c r="U60" s="51" t="str">
        <f t="shared" si="4"/>
        <v>Produtos Construtivos</v>
      </c>
      <c r="V60" s="51" t="str">
        <f t="shared" si="4"/>
        <v>Quadros Metálicos</v>
      </c>
      <c r="W60" s="21" t="s">
        <v>99</v>
      </c>
      <c r="X60" s="42" t="str">
        <f t="shared" si="2"/>
        <v>Key-INTEL-60</v>
      </c>
      <c r="Y60" s="21" t="s">
        <v>877</v>
      </c>
      <c r="Z60" s="52" t="s">
        <v>9</v>
      </c>
      <c r="AA60" s="21" t="s">
        <v>1733</v>
      </c>
      <c r="AB60" s="52" t="s">
        <v>9</v>
      </c>
      <c r="AC60" s="21" t="s">
        <v>758</v>
      </c>
      <c r="AD60" s="52" t="s">
        <v>9</v>
      </c>
    </row>
    <row r="61" spans="1:30" s="57" customFormat="1" ht="6.75" customHeight="1" x14ac:dyDescent="0.25">
      <c r="A61" s="41">
        <v>61</v>
      </c>
      <c r="B61" s="1" t="s">
        <v>594</v>
      </c>
      <c r="C61" s="1" t="s">
        <v>1907</v>
      </c>
      <c r="D61" s="1" t="s">
        <v>1908</v>
      </c>
      <c r="E61" s="1" t="s">
        <v>1890</v>
      </c>
      <c r="F61" s="39" t="s">
        <v>924</v>
      </c>
      <c r="G61" s="45" t="s">
        <v>9</v>
      </c>
      <c r="H61" s="45" t="s">
        <v>9</v>
      </c>
      <c r="I61" s="45" t="s">
        <v>9</v>
      </c>
      <c r="J61" s="45" t="s">
        <v>9</v>
      </c>
      <c r="K61" s="45" t="s">
        <v>9</v>
      </c>
      <c r="L61" s="25" t="str">
        <f t="shared" si="7"/>
        <v>De.Construção</v>
      </c>
      <c r="M61" s="25" t="str">
        <f t="shared" si="7"/>
        <v>Produtos.Construtivos</v>
      </c>
      <c r="N61" s="25" t="str">
        <f t="shared" si="8"/>
        <v>Quadros Plásticos</v>
      </c>
      <c r="O61" s="25" t="str">
        <f t="shared" si="8"/>
        <v>Quadro PVC Elétrica</v>
      </c>
      <c r="P61" s="53" t="s">
        <v>925</v>
      </c>
      <c r="Q61" s="53" t="s">
        <v>926</v>
      </c>
      <c r="R61" s="53" t="s">
        <v>927</v>
      </c>
      <c r="S61" s="55" t="s">
        <v>9</v>
      </c>
      <c r="T61" s="51" t="str">
        <f t="shared" si="6"/>
        <v>De Construção</v>
      </c>
      <c r="U61" s="51" t="str">
        <f t="shared" si="4"/>
        <v>Produtos Construtivos</v>
      </c>
      <c r="V61" s="51" t="str">
        <f t="shared" si="4"/>
        <v>Quadros Plásticos</v>
      </c>
      <c r="W61" s="21" t="s">
        <v>99</v>
      </c>
      <c r="X61" s="42" t="str">
        <f t="shared" si="2"/>
        <v>Key-INTEL-61</v>
      </c>
      <c r="Y61" s="21" t="s">
        <v>877</v>
      </c>
      <c r="Z61" s="52" t="s">
        <v>9</v>
      </c>
      <c r="AA61" s="21" t="s">
        <v>1733</v>
      </c>
      <c r="AB61" s="52" t="s">
        <v>9</v>
      </c>
      <c r="AC61" s="21" t="s">
        <v>758</v>
      </c>
      <c r="AD61" s="52" t="s">
        <v>9</v>
      </c>
    </row>
    <row r="62" spans="1:30" s="57" customFormat="1" ht="6.75" customHeight="1" x14ac:dyDescent="0.25">
      <c r="A62" s="41">
        <v>62</v>
      </c>
      <c r="B62" s="1" t="s">
        <v>594</v>
      </c>
      <c r="C62" s="1" t="s">
        <v>1907</v>
      </c>
      <c r="D62" s="1" t="s">
        <v>1908</v>
      </c>
      <c r="E62" s="1" t="s">
        <v>1890</v>
      </c>
      <c r="F62" s="39" t="s">
        <v>928</v>
      </c>
      <c r="G62" s="45" t="s">
        <v>9</v>
      </c>
      <c r="H62" s="45" t="s">
        <v>9</v>
      </c>
      <c r="I62" s="45" t="s">
        <v>9</v>
      </c>
      <c r="J62" s="45" t="s">
        <v>9</v>
      </c>
      <c r="K62" s="45" t="s">
        <v>9</v>
      </c>
      <c r="L62" s="25" t="str">
        <f t="shared" si="7"/>
        <v>De.Construção</v>
      </c>
      <c r="M62" s="25" t="str">
        <f t="shared" si="7"/>
        <v>Produtos.Construtivos</v>
      </c>
      <c r="N62" s="25" t="str">
        <f t="shared" si="8"/>
        <v>Quadros Plásticos</v>
      </c>
      <c r="O62" s="25" t="str">
        <f t="shared" si="8"/>
        <v>Quadro PVC Telecom</v>
      </c>
      <c r="P62" s="53" t="s">
        <v>929</v>
      </c>
      <c r="Q62" s="53" t="s">
        <v>930</v>
      </c>
      <c r="R62" s="53" t="s">
        <v>931</v>
      </c>
      <c r="S62" s="55" t="s">
        <v>9</v>
      </c>
      <c r="T62" s="51" t="str">
        <f t="shared" si="6"/>
        <v>De Construção</v>
      </c>
      <c r="U62" s="51" t="str">
        <f t="shared" si="4"/>
        <v>Produtos Construtivos</v>
      </c>
      <c r="V62" s="51" t="str">
        <f t="shared" si="4"/>
        <v>Quadros Plásticos</v>
      </c>
      <c r="W62" s="21" t="s">
        <v>99</v>
      </c>
      <c r="X62" s="42" t="str">
        <f t="shared" si="2"/>
        <v>Key-INTEL-62</v>
      </c>
      <c r="Y62" s="21" t="s">
        <v>877</v>
      </c>
      <c r="Z62" s="52" t="s">
        <v>9</v>
      </c>
      <c r="AA62" s="21" t="s">
        <v>1733</v>
      </c>
      <c r="AB62" s="52" t="s">
        <v>9</v>
      </c>
      <c r="AC62" s="21" t="s">
        <v>758</v>
      </c>
      <c r="AD62" s="52" t="s">
        <v>9</v>
      </c>
    </row>
    <row r="63" spans="1:30" s="57" customFormat="1" ht="6.75" customHeight="1" x14ac:dyDescent="0.25">
      <c r="A63" s="41">
        <v>63</v>
      </c>
      <c r="B63" s="1" t="s">
        <v>594</v>
      </c>
      <c r="C63" s="1" t="s">
        <v>1907</v>
      </c>
      <c r="D63" s="1" t="s">
        <v>1908</v>
      </c>
      <c r="E63" s="1" t="s">
        <v>1916</v>
      </c>
      <c r="F63" s="54" t="s">
        <v>907</v>
      </c>
      <c r="G63" s="45" t="s">
        <v>9</v>
      </c>
      <c r="H63" s="45" t="s">
        <v>9</v>
      </c>
      <c r="I63" s="45" t="s">
        <v>9</v>
      </c>
      <c r="J63" s="45" t="s">
        <v>9</v>
      </c>
      <c r="K63" s="45" t="s">
        <v>9</v>
      </c>
      <c r="L63" s="25" t="str">
        <f t="shared" si="7"/>
        <v>De.Construção</v>
      </c>
      <c r="M63" s="25" t="str">
        <f t="shared" si="7"/>
        <v>Produtos.Construtivos</v>
      </c>
      <c r="N63" s="25" t="str">
        <f t="shared" si="8"/>
        <v>Vedantes</v>
      </c>
      <c r="O63" s="25" t="str">
        <f t="shared" si="8"/>
        <v>Vedante Mastique</v>
      </c>
      <c r="P63" s="51" t="s">
        <v>908</v>
      </c>
      <c r="Q63" s="53" t="s">
        <v>909</v>
      </c>
      <c r="R63" s="53" t="s">
        <v>910</v>
      </c>
      <c r="S63" s="55" t="s">
        <v>9</v>
      </c>
      <c r="T63" s="51" t="str">
        <f t="shared" si="6"/>
        <v>De Construção</v>
      </c>
      <c r="U63" s="51" t="str">
        <f t="shared" si="4"/>
        <v>Produtos Construtivos</v>
      </c>
      <c r="V63" s="51" t="str">
        <f t="shared" si="4"/>
        <v>Vedantes</v>
      </c>
      <c r="W63" s="21" t="s">
        <v>99</v>
      </c>
      <c r="X63" s="42" t="str">
        <f t="shared" si="2"/>
        <v>Key-INTEL-63</v>
      </c>
      <c r="Y63" s="21" t="s">
        <v>877</v>
      </c>
      <c r="Z63" s="52" t="s">
        <v>9</v>
      </c>
      <c r="AA63" s="21" t="s">
        <v>1733</v>
      </c>
      <c r="AB63" s="52" t="s">
        <v>9</v>
      </c>
      <c r="AC63" s="21" t="s">
        <v>878</v>
      </c>
      <c r="AD63" s="52" t="s">
        <v>9</v>
      </c>
    </row>
    <row r="64" spans="1:30" s="57" customFormat="1" ht="6.75" customHeight="1" x14ac:dyDescent="0.25">
      <c r="A64" s="41">
        <v>64</v>
      </c>
      <c r="B64" s="1" t="s">
        <v>594</v>
      </c>
      <c r="C64" s="1" t="s">
        <v>1907</v>
      </c>
      <c r="D64" s="1" t="s">
        <v>1908</v>
      </c>
      <c r="E64" s="1" t="s">
        <v>1916</v>
      </c>
      <c r="F64" s="54" t="s">
        <v>911</v>
      </c>
      <c r="G64" s="45" t="s">
        <v>9</v>
      </c>
      <c r="H64" s="45" t="s">
        <v>9</v>
      </c>
      <c r="I64" s="45" t="s">
        <v>9</v>
      </c>
      <c r="J64" s="45" t="s">
        <v>9</v>
      </c>
      <c r="K64" s="45" t="s">
        <v>9</v>
      </c>
      <c r="L64" s="25" t="str">
        <f t="shared" si="7"/>
        <v>De.Construção</v>
      </c>
      <c r="M64" s="25" t="str">
        <f t="shared" si="7"/>
        <v>Produtos.Construtivos</v>
      </c>
      <c r="N64" s="25" t="str">
        <f t="shared" si="8"/>
        <v>Vedantes</v>
      </c>
      <c r="O64" s="25" t="str">
        <f t="shared" si="8"/>
        <v>Vedante Plástico ABS</v>
      </c>
      <c r="P64" s="51" t="s">
        <v>912</v>
      </c>
      <c r="Q64" s="53" t="s">
        <v>913</v>
      </c>
      <c r="R64" s="53" t="s">
        <v>914</v>
      </c>
      <c r="S64" s="55" t="s">
        <v>9</v>
      </c>
      <c r="T64" s="51" t="str">
        <f t="shared" si="6"/>
        <v>De Construção</v>
      </c>
      <c r="U64" s="51" t="str">
        <f t="shared" si="4"/>
        <v>Produtos Construtivos</v>
      </c>
      <c r="V64" s="51" t="str">
        <f t="shared" si="4"/>
        <v>Vedantes</v>
      </c>
      <c r="W64" s="21" t="s">
        <v>99</v>
      </c>
      <c r="X64" s="42" t="str">
        <f t="shared" si="2"/>
        <v>Key-INTEL-64</v>
      </c>
      <c r="Y64" s="21" t="s">
        <v>877</v>
      </c>
      <c r="Z64" s="52" t="s">
        <v>9</v>
      </c>
      <c r="AA64" s="21" t="s">
        <v>1733</v>
      </c>
      <c r="AB64" s="52" t="s">
        <v>9</v>
      </c>
      <c r="AC64" s="21" t="s">
        <v>878</v>
      </c>
      <c r="AD64" s="52" t="s">
        <v>9</v>
      </c>
    </row>
    <row r="65" spans="1:30" ht="6.75" customHeight="1" x14ac:dyDescent="0.25">
      <c r="A65" s="41">
        <v>65</v>
      </c>
      <c r="B65" s="1" t="s">
        <v>594</v>
      </c>
      <c r="C65" s="1" t="s">
        <v>1907</v>
      </c>
      <c r="D65" s="1" t="s">
        <v>1908</v>
      </c>
      <c r="E65" s="1" t="s">
        <v>1916</v>
      </c>
      <c r="F65" s="54" t="s">
        <v>915</v>
      </c>
      <c r="G65" s="45" t="s">
        <v>9</v>
      </c>
      <c r="H65" s="45" t="s">
        <v>9</v>
      </c>
      <c r="I65" s="45" t="s">
        <v>9</v>
      </c>
      <c r="J65" s="45" t="s">
        <v>9</v>
      </c>
      <c r="K65" s="45" t="s">
        <v>9</v>
      </c>
      <c r="L65" s="25" t="str">
        <f t="shared" si="7"/>
        <v>De.Construção</v>
      </c>
      <c r="M65" s="25" t="str">
        <f t="shared" si="7"/>
        <v>Produtos.Construtivos</v>
      </c>
      <c r="N65" s="25" t="str">
        <f t="shared" si="8"/>
        <v>Vedantes</v>
      </c>
      <c r="O65" s="25" t="str">
        <f t="shared" si="8"/>
        <v>Vedante de Silicone</v>
      </c>
      <c r="P65" s="51" t="s">
        <v>908</v>
      </c>
      <c r="Q65" s="53" t="s">
        <v>909</v>
      </c>
      <c r="R65" s="53" t="s">
        <v>910</v>
      </c>
      <c r="S65" s="55" t="s">
        <v>9</v>
      </c>
      <c r="T65" s="51" t="str">
        <f t="shared" si="6"/>
        <v>De Construção</v>
      </c>
      <c r="U65" s="51" t="str">
        <f t="shared" si="4"/>
        <v>Produtos Construtivos</v>
      </c>
      <c r="V65" s="51" t="str">
        <f t="shared" si="4"/>
        <v>Vedantes</v>
      </c>
      <c r="W65" s="21" t="s">
        <v>99</v>
      </c>
      <c r="X65" s="42" t="str">
        <f t="shared" si="2"/>
        <v>Key-INTEL-65</v>
      </c>
      <c r="Y65" s="21" t="s">
        <v>877</v>
      </c>
      <c r="Z65" s="52" t="s">
        <v>9</v>
      </c>
      <c r="AA65" s="21" t="s">
        <v>1733</v>
      </c>
      <c r="AB65" s="52" t="s">
        <v>9</v>
      </c>
      <c r="AC65" s="21" t="s">
        <v>878</v>
      </c>
      <c r="AD65" s="52" t="s">
        <v>9</v>
      </c>
    </row>
    <row r="66" spans="1:30" s="56" customFormat="1" ht="6.75" customHeight="1" x14ac:dyDescent="0.25">
      <c r="A66" s="41">
        <v>66</v>
      </c>
      <c r="B66" s="1" t="s">
        <v>594</v>
      </c>
      <c r="C66" s="1" t="s">
        <v>1907</v>
      </c>
      <c r="D66" s="1" t="s">
        <v>1908</v>
      </c>
      <c r="E66" s="1" t="s">
        <v>1891</v>
      </c>
      <c r="F66" s="54" t="s">
        <v>936</v>
      </c>
      <c r="G66" s="45" t="s">
        <v>9</v>
      </c>
      <c r="H66" s="45" t="s">
        <v>9</v>
      </c>
      <c r="I66" s="45" t="s">
        <v>9</v>
      </c>
      <c r="J66" s="45" t="s">
        <v>9</v>
      </c>
      <c r="K66" s="45" t="s">
        <v>9</v>
      </c>
      <c r="L66" s="25" t="str">
        <f t="shared" si="7"/>
        <v>De.Construção</v>
      </c>
      <c r="M66" s="25" t="str">
        <f t="shared" si="7"/>
        <v>Produtos.Construtivos</v>
      </c>
      <c r="N66" s="25" t="str">
        <f t="shared" si="8"/>
        <v>Tubos Metálicos</v>
      </c>
      <c r="O66" s="25" t="str">
        <f t="shared" si="8"/>
        <v>Tubo de Aço Carbono</v>
      </c>
      <c r="P66" s="51" t="s">
        <v>937</v>
      </c>
      <c r="Q66" s="53" t="s">
        <v>938</v>
      </c>
      <c r="R66" s="53" t="s">
        <v>939</v>
      </c>
      <c r="S66" s="55" t="s">
        <v>9</v>
      </c>
      <c r="T66" s="51" t="str">
        <f t="shared" si="6"/>
        <v>De Construção</v>
      </c>
      <c r="U66" s="51" t="str">
        <f t="shared" si="4"/>
        <v>Produtos Construtivos</v>
      </c>
      <c r="V66" s="51" t="str">
        <f t="shared" si="4"/>
        <v>Tubos Metálicos</v>
      </c>
      <c r="W66" s="21" t="s">
        <v>99</v>
      </c>
      <c r="X66" s="42" t="str">
        <f t="shared" si="2"/>
        <v>Key-INTEL-66</v>
      </c>
      <c r="Y66" s="21" t="s">
        <v>877</v>
      </c>
      <c r="Z66" s="52" t="s">
        <v>9</v>
      </c>
      <c r="AA66" s="21" t="s">
        <v>1733</v>
      </c>
      <c r="AB66" s="52" t="s">
        <v>9</v>
      </c>
      <c r="AC66" s="21" t="s">
        <v>878</v>
      </c>
      <c r="AD66" s="52" t="s">
        <v>9</v>
      </c>
    </row>
    <row r="67" spans="1:30" ht="6.75" customHeight="1" x14ac:dyDescent="0.25">
      <c r="A67" s="41">
        <v>67</v>
      </c>
      <c r="B67" s="1" t="s">
        <v>594</v>
      </c>
      <c r="C67" s="1" t="s">
        <v>1907</v>
      </c>
      <c r="D67" s="1" t="s">
        <v>1908</v>
      </c>
      <c r="E67" s="1" t="s">
        <v>1891</v>
      </c>
      <c r="F67" s="39" t="s">
        <v>940</v>
      </c>
      <c r="G67" s="45" t="s">
        <v>9</v>
      </c>
      <c r="H67" s="45" t="s">
        <v>9</v>
      </c>
      <c r="I67" s="45" t="s">
        <v>9</v>
      </c>
      <c r="J67" s="45" t="s">
        <v>9</v>
      </c>
      <c r="K67" s="45" t="s">
        <v>9</v>
      </c>
      <c r="L67" s="25" t="str">
        <f t="shared" si="7"/>
        <v>De.Construção</v>
      </c>
      <c r="M67" s="25" t="str">
        <f t="shared" si="7"/>
        <v>Produtos.Construtivos</v>
      </c>
      <c r="N67" s="25" t="str">
        <f t="shared" si="8"/>
        <v>Tubos Metálicos</v>
      </c>
      <c r="O67" s="25" t="str">
        <f t="shared" si="8"/>
        <v>Tubo de Aço Costura</v>
      </c>
      <c r="P67" s="53" t="s">
        <v>941</v>
      </c>
      <c r="Q67" s="53" t="s">
        <v>942</v>
      </c>
      <c r="R67" s="53" t="s">
        <v>943</v>
      </c>
      <c r="S67" s="55" t="s">
        <v>9</v>
      </c>
      <c r="T67" s="51" t="str">
        <f t="shared" si="6"/>
        <v>De Construção</v>
      </c>
      <c r="U67" s="51" t="str">
        <f t="shared" si="6"/>
        <v>Produtos Construtivos</v>
      </c>
      <c r="V67" s="51" t="str">
        <f t="shared" si="6"/>
        <v>Tubos Metálicos</v>
      </c>
      <c r="W67" s="21" t="s">
        <v>99</v>
      </c>
      <c r="X67" s="42" t="str">
        <f t="shared" ref="X67:X130" si="9">CONCATENATE("Key-INTEL-",A67)</f>
        <v>Key-INTEL-67</v>
      </c>
      <c r="Y67" s="21" t="s">
        <v>877</v>
      </c>
      <c r="Z67" s="52" t="s">
        <v>9</v>
      </c>
      <c r="AA67" s="21" t="s">
        <v>1733</v>
      </c>
      <c r="AB67" s="52" t="s">
        <v>9</v>
      </c>
      <c r="AC67" s="21" t="s">
        <v>944</v>
      </c>
      <c r="AD67" s="52" t="s">
        <v>9</v>
      </c>
    </row>
    <row r="68" spans="1:30" ht="6.75" customHeight="1" x14ac:dyDescent="0.25">
      <c r="A68" s="41">
        <v>68</v>
      </c>
      <c r="B68" s="1" t="s">
        <v>594</v>
      </c>
      <c r="C68" s="1" t="s">
        <v>1907</v>
      </c>
      <c r="D68" s="1" t="s">
        <v>1908</v>
      </c>
      <c r="E68" s="1" t="s">
        <v>1891</v>
      </c>
      <c r="F68" s="54" t="s">
        <v>945</v>
      </c>
      <c r="G68" s="45" t="s">
        <v>9</v>
      </c>
      <c r="H68" s="45" t="s">
        <v>9</v>
      </c>
      <c r="I68" s="45" t="s">
        <v>9</v>
      </c>
      <c r="J68" s="45" t="s">
        <v>9</v>
      </c>
      <c r="K68" s="45" t="s">
        <v>9</v>
      </c>
      <c r="L68" s="25" t="str">
        <f t="shared" si="7"/>
        <v>De.Construção</v>
      </c>
      <c r="M68" s="25" t="str">
        <f t="shared" si="7"/>
        <v>Produtos.Construtivos</v>
      </c>
      <c r="N68" s="25" t="str">
        <f t="shared" si="8"/>
        <v>Tubos Metálicos</v>
      </c>
      <c r="O68" s="25" t="str">
        <f t="shared" si="8"/>
        <v>Tubo de Aço Galvanizado</v>
      </c>
      <c r="P68" s="51" t="s">
        <v>946</v>
      </c>
      <c r="Q68" s="53" t="s">
        <v>947</v>
      </c>
      <c r="R68" s="53" t="s">
        <v>948</v>
      </c>
      <c r="S68" s="55" t="s">
        <v>9</v>
      </c>
      <c r="T68" s="51" t="str">
        <f t="shared" si="6"/>
        <v>De Construção</v>
      </c>
      <c r="U68" s="51" t="str">
        <f t="shared" si="6"/>
        <v>Produtos Construtivos</v>
      </c>
      <c r="V68" s="51" t="str">
        <f t="shared" si="6"/>
        <v>Tubos Metálicos</v>
      </c>
      <c r="W68" s="21" t="s">
        <v>99</v>
      </c>
      <c r="X68" s="42" t="str">
        <f t="shared" si="9"/>
        <v>Key-INTEL-68</v>
      </c>
      <c r="Y68" s="21" t="s">
        <v>877</v>
      </c>
      <c r="Z68" s="52" t="s">
        <v>9</v>
      </c>
      <c r="AA68" s="21" t="s">
        <v>1733</v>
      </c>
      <c r="AB68" s="52" t="s">
        <v>9</v>
      </c>
      <c r="AC68" s="21" t="s">
        <v>878</v>
      </c>
      <c r="AD68" s="52" t="s">
        <v>9</v>
      </c>
    </row>
    <row r="69" spans="1:30" ht="6.75" customHeight="1" x14ac:dyDescent="0.25">
      <c r="A69" s="41">
        <v>69</v>
      </c>
      <c r="B69" s="1" t="s">
        <v>594</v>
      </c>
      <c r="C69" s="1" t="s">
        <v>1907</v>
      </c>
      <c r="D69" s="1" t="s">
        <v>1908</v>
      </c>
      <c r="E69" s="1" t="s">
        <v>1891</v>
      </c>
      <c r="F69" s="54" t="s">
        <v>949</v>
      </c>
      <c r="G69" s="45" t="s">
        <v>9</v>
      </c>
      <c r="H69" s="45" t="s">
        <v>9</v>
      </c>
      <c r="I69" s="45" t="s">
        <v>9</v>
      </c>
      <c r="J69" s="45" t="s">
        <v>9</v>
      </c>
      <c r="K69" s="45" t="s">
        <v>9</v>
      </c>
      <c r="L69" s="25" t="str">
        <f t="shared" si="7"/>
        <v>De.Construção</v>
      </c>
      <c r="M69" s="25" t="str">
        <f t="shared" si="7"/>
        <v>Produtos.Construtivos</v>
      </c>
      <c r="N69" s="25" t="str">
        <f t="shared" si="8"/>
        <v>Tubos Metálicos</v>
      </c>
      <c r="O69" s="25" t="str">
        <f t="shared" si="8"/>
        <v>Tubo de Aço Inoxidável</v>
      </c>
      <c r="P69" s="51" t="s">
        <v>950</v>
      </c>
      <c r="Q69" s="53" t="s">
        <v>951</v>
      </c>
      <c r="R69" s="53" t="s">
        <v>952</v>
      </c>
      <c r="S69" s="55" t="s">
        <v>9</v>
      </c>
      <c r="T69" s="51" t="str">
        <f t="shared" si="6"/>
        <v>De Construção</v>
      </c>
      <c r="U69" s="51" t="str">
        <f t="shared" si="6"/>
        <v>Produtos Construtivos</v>
      </c>
      <c r="V69" s="51" t="str">
        <f t="shared" si="6"/>
        <v>Tubos Metálicos</v>
      </c>
      <c r="W69" s="21" t="s">
        <v>99</v>
      </c>
      <c r="X69" s="42" t="str">
        <f t="shared" si="9"/>
        <v>Key-INTEL-69</v>
      </c>
      <c r="Y69" s="21" t="s">
        <v>877</v>
      </c>
      <c r="Z69" s="52" t="s">
        <v>9</v>
      </c>
      <c r="AA69" s="21" t="s">
        <v>1733</v>
      </c>
      <c r="AB69" s="52" t="s">
        <v>9</v>
      </c>
      <c r="AC69" s="21" t="s">
        <v>878</v>
      </c>
      <c r="AD69" s="52" t="s">
        <v>9</v>
      </c>
    </row>
    <row r="70" spans="1:30" s="57" customFormat="1" ht="6.75" customHeight="1" x14ac:dyDescent="0.25">
      <c r="A70" s="41">
        <v>70</v>
      </c>
      <c r="B70" s="1" t="s">
        <v>594</v>
      </c>
      <c r="C70" s="1" t="s">
        <v>1907</v>
      </c>
      <c r="D70" s="1" t="s">
        <v>1908</v>
      </c>
      <c r="E70" s="1" t="s">
        <v>1891</v>
      </c>
      <c r="F70" s="54" t="s">
        <v>953</v>
      </c>
      <c r="G70" s="45" t="s">
        <v>9</v>
      </c>
      <c r="H70" s="45" t="s">
        <v>9</v>
      </c>
      <c r="I70" s="45" t="s">
        <v>9</v>
      </c>
      <c r="J70" s="45" t="s">
        <v>9</v>
      </c>
      <c r="K70" s="45" t="s">
        <v>9</v>
      </c>
      <c r="L70" s="25" t="str">
        <f t="shared" si="7"/>
        <v>De.Construção</v>
      </c>
      <c r="M70" s="25" t="str">
        <f t="shared" si="7"/>
        <v>Produtos.Construtivos</v>
      </c>
      <c r="N70" s="25" t="str">
        <f t="shared" si="8"/>
        <v>Tubos Metálicos</v>
      </c>
      <c r="O70" s="25" t="str">
        <f t="shared" si="8"/>
        <v>Tubo de Alumínio</v>
      </c>
      <c r="P70" s="51" t="s">
        <v>954</v>
      </c>
      <c r="Q70" s="53" t="s">
        <v>955</v>
      </c>
      <c r="R70" s="53" t="s">
        <v>956</v>
      </c>
      <c r="S70" s="55" t="s">
        <v>9</v>
      </c>
      <c r="T70" s="51" t="str">
        <f t="shared" si="6"/>
        <v>De Construção</v>
      </c>
      <c r="U70" s="51" t="str">
        <f t="shared" si="6"/>
        <v>Produtos Construtivos</v>
      </c>
      <c r="V70" s="51" t="str">
        <f t="shared" si="6"/>
        <v>Tubos Metálicos</v>
      </c>
      <c r="W70" s="21" t="s">
        <v>99</v>
      </c>
      <c r="X70" s="42" t="str">
        <f t="shared" si="9"/>
        <v>Key-INTEL-70</v>
      </c>
      <c r="Y70" s="21" t="s">
        <v>877</v>
      </c>
      <c r="Z70" s="52" t="s">
        <v>9</v>
      </c>
      <c r="AA70" s="21" t="s">
        <v>1733</v>
      </c>
      <c r="AB70" s="52" t="s">
        <v>9</v>
      </c>
      <c r="AC70" s="21" t="s">
        <v>878</v>
      </c>
      <c r="AD70" s="52" t="s">
        <v>9</v>
      </c>
    </row>
    <row r="71" spans="1:30" s="57" customFormat="1" ht="6.75" customHeight="1" x14ac:dyDescent="0.25">
      <c r="A71" s="41">
        <v>71</v>
      </c>
      <c r="B71" s="1" t="s">
        <v>594</v>
      </c>
      <c r="C71" s="1" t="s">
        <v>1907</v>
      </c>
      <c r="D71" s="1" t="s">
        <v>1908</v>
      </c>
      <c r="E71" s="1" t="s">
        <v>1891</v>
      </c>
      <c r="F71" s="39" t="s">
        <v>957</v>
      </c>
      <c r="G71" s="45" t="s">
        <v>9</v>
      </c>
      <c r="H71" s="45" t="s">
        <v>9</v>
      </c>
      <c r="I71" s="45" t="s">
        <v>9</v>
      </c>
      <c r="J71" s="45" t="s">
        <v>9</v>
      </c>
      <c r="K71" s="45" t="s">
        <v>9</v>
      </c>
      <c r="L71" s="25" t="str">
        <f t="shared" si="7"/>
        <v>De.Construção</v>
      </c>
      <c r="M71" s="25" t="str">
        <f t="shared" si="7"/>
        <v>Produtos.Construtivos</v>
      </c>
      <c r="N71" s="25" t="str">
        <f t="shared" si="8"/>
        <v>Tubos Metálicos</v>
      </c>
      <c r="O71" s="25" t="str">
        <f t="shared" si="8"/>
        <v>Tubo de Cobre</v>
      </c>
      <c r="P71" s="53" t="s">
        <v>958</v>
      </c>
      <c r="Q71" s="53" t="s">
        <v>959</v>
      </c>
      <c r="R71" s="53" t="s">
        <v>960</v>
      </c>
      <c r="S71" s="55" t="s">
        <v>9</v>
      </c>
      <c r="T71" s="51" t="str">
        <f t="shared" si="6"/>
        <v>De Construção</v>
      </c>
      <c r="U71" s="51" t="str">
        <f t="shared" si="6"/>
        <v>Produtos Construtivos</v>
      </c>
      <c r="V71" s="51" t="str">
        <f t="shared" si="6"/>
        <v>Tubos Metálicos</v>
      </c>
      <c r="W71" s="21" t="s">
        <v>99</v>
      </c>
      <c r="X71" s="42" t="str">
        <f t="shared" si="9"/>
        <v>Key-INTEL-71</v>
      </c>
      <c r="Y71" s="21" t="s">
        <v>877</v>
      </c>
      <c r="Z71" s="52" t="s">
        <v>9</v>
      </c>
      <c r="AA71" s="21" t="s">
        <v>1733</v>
      </c>
      <c r="AB71" s="52" t="s">
        <v>9</v>
      </c>
      <c r="AC71" s="21" t="s">
        <v>961</v>
      </c>
      <c r="AD71" s="52" t="s">
        <v>9</v>
      </c>
    </row>
    <row r="72" spans="1:30" s="57" customFormat="1" ht="6.75" customHeight="1" x14ac:dyDescent="0.25">
      <c r="A72" s="41">
        <v>72</v>
      </c>
      <c r="B72" s="1" t="s">
        <v>594</v>
      </c>
      <c r="C72" s="1" t="s">
        <v>1907</v>
      </c>
      <c r="D72" s="1" t="s">
        <v>1908</v>
      </c>
      <c r="E72" s="1" t="s">
        <v>1891</v>
      </c>
      <c r="F72" s="39" t="s">
        <v>962</v>
      </c>
      <c r="G72" s="45" t="s">
        <v>9</v>
      </c>
      <c r="H72" s="45" t="s">
        <v>9</v>
      </c>
      <c r="I72" s="45" t="s">
        <v>9</v>
      </c>
      <c r="J72" s="45" t="s">
        <v>9</v>
      </c>
      <c r="K72" s="45" t="s">
        <v>9</v>
      </c>
      <c r="L72" s="25" t="str">
        <f t="shared" si="7"/>
        <v>De.Construção</v>
      </c>
      <c r="M72" s="25" t="str">
        <f t="shared" si="7"/>
        <v>Produtos.Construtivos</v>
      </c>
      <c r="N72" s="25" t="str">
        <f t="shared" si="8"/>
        <v>Tubos Metálicos</v>
      </c>
      <c r="O72" s="25" t="str">
        <f t="shared" si="8"/>
        <v>Tubo de FoFo</v>
      </c>
      <c r="P72" s="53" t="s">
        <v>963</v>
      </c>
      <c r="Q72" s="53" t="s">
        <v>964</v>
      </c>
      <c r="R72" s="53" t="s">
        <v>965</v>
      </c>
      <c r="S72" s="55" t="s">
        <v>9</v>
      </c>
      <c r="T72" s="51" t="str">
        <f t="shared" si="6"/>
        <v>De Construção</v>
      </c>
      <c r="U72" s="51" t="str">
        <f t="shared" si="6"/>
        <v>Produtos Construtivos</v>
      </c>
      <c r="V72" s="51" t="str">
        <f t="shared" si="6"/>
        <v>Tubos Metálicos</v>
      </c>
      <c r="W72" s="21" t="s">
        <v>99</v>
      </c>
      <c r="X72" s="42" t="str">
        <f t="shared" si="9"/>
        <v>Key-INTEL-72</v>
      </c>
      <c r="Y72" s="21" t="s">
        <v>877</v>
      </c>
      <c r="Z72" s="52" t="s">
        <v>9</v>
      </c>
      <c r="AA72" s="21" t="s">
        <v>1733</v>
      </c>
      <c r="AB72" s="52" t="s">
        <v>9</v>
      </c>
      <c r="AC72" s="21" t="s">
        <v>966</v>
      </c>
      <c r="AD72" s="52" t="s">
        <v>9</v>
      </c>
    </row>
    <row r="73" spans="1:30" s="57" customFormat="1" ht="6.75" customHeight="1" x14ac:dyDescent="0.25">
      <c r="A73" s="41">
        <v>73</v>
      </c>
      <c r="B73" s="1" t="s">
        <v>594</v>
      </c>
      <c r="C73" s="1" t="s">
        <v>1907</v>
      </c>
      <c r="D73" s="1" t="s">
        <v>1908</v>
      </c>
      <c r="E73" s="1" t="s">
        <v>1891</v>
      </c>
      <c r="F73" s="39" t="s">
        <v>967</v>
      </c>
      <c r="G73" s="45" t="s">
        <v>9</v>
      </c>
      <c r="H73" s="45" t="s">
        <v>9</v>
      </c>
      <c r="I73" s="45" t="s">
        <v>9</v>
      </c>
      <c r="J73" s="45" t="s">
        <v>9</v>
      </c>
      <c r="K73" s="45" t="s">
        <v>9</v>
      </c>
      <c r="L73" s="25" t="str">
        <f t="shared" si="7"/>
        <v>De.Construção</v>
      </c>
      <c r="M73" s="25" t="str">
        <f t="shared" si="7"/>
        <v>Produtos.Construtivos</v>
      </c>
      <c r="N73" s="25" t="str">
        <f t="shared" si="8"/>
        <v>Tubos Metálicos</v>
      </c>
      <c r="O73" s="25" t="str">
        <f t="shared" si="8"/>
        <v>Tubo de Latão</v>
      </c>
      <c r="P73" s="53" t="s">
        <v>968</v>
      </c>
      <c r="Q73" s="53" t="s">
        <v>969</v>
      </c>
      <c r="R73" s="53" t="s">
        <v>970</v>
      </c>
      <c r="S73" s="55" t="s">
        <v>9</v>
      </c>
      <c r="T73" s="51" t="str">
        <f t="shared" si="6"/>
        <v>De Construção</v>
      </c>
      <c r="U73" s="51" t="str">
        <f t="shared" si="6"/>
        <v>Produtos Construtivos</v>
      </c>
      <c r="V73" s="51" t="str">
        <f t="shared" si="6"/>
        <v>Tubos Metálicos</v>
      </c>
      <c r="W73" s="21" t="s">
        <v>99</v>
      </c>
      <c r="X73" s="42" t="str">
        <f t="shared" si="9"/>
        <v>Key-INTEL-73</v>
      </c>
      <c r="Y73" s="21" t="s">
        <v>877</v>
      </c>
      <c r="Z73" s="52" t="s">
        <v>9</v>
      </c>
      <c r="AA73" s="21" t="s">
        <v>1733</v>
      </c>
      <c r="AB73" s="52" t="s">
        <v>9</v>
      </c>
      <c r="AC73" s="21" t="s">
        <v>971</v>
      </c>
      <c r="AD73" s="52" t="s">
        <v>9</v>
      </c>
    </row>
    <row r="74" spans="1:30" ht="6.75" customHeight="1" x14ac:dyDescent="0.25">
      <c r="A74" s="41">
        <v>74</v>
      </c>
      <c r="B74" s="1" t="s">
        <v>594</v>
      </c>
      <c r="C74" s="1" t="s">
        <v>1907</v>
      </c>
      <c r="D74" s="1" t="s">
        <v>1908</v>
      </c>
      <c r="E74" s="1" t="s">
        <v>1892</v>
      </c>
      <c r="F74" s="39" t="s">
        <v>932</v>
      </c>
      <c r="G74" s="45" t="s">
        <v>9</v>
      </c>
      <c r="H74" s="45" t="s">
        <v>9</v>
      </c>
      <c r="I74" s="45" t="s">
        <v>9</v>
      </c>
      <c r="J74" s="45" t="s">
        <v>9</v>
      </c>
      <c r="K74" s="45" t="s">
        <v>9</v>
      </c>
      <c r="L74" s="25" t="str">
        <f t="shared" ref="L74:M82" si="10">CONCATENATE("", C74)</f>
        <v>De.Construção</v>
      </c>
      <c r="M74" s="25" t="str">
        <f t="shared" si="10"/>
        <v>Produtos.Construtivos</v>
      </c>
      <c r="N74" s="25" t="str">
        <f t="shared" ref="N74:O82" si="11">(SUBSTITUTE(SUBSTITUTE(CONCATENATE("",E74),"."," ")," De "," de "))</f>
        <v>Tubos Multicamadas</v>
      </c>
      <c r="O74" s="25" t="str">
        <f t="shared" si="11"/>
        <v>Tubo de Multicamada</v>
      </c>
      <c r="P74" s="53" t="s">
        <v>933</v>
      </c>
      <c r="Q74" s="53" t="s">
        <v>934</v>
      </c>
      <c r="R74" s="53" t="s">
        <v>935</v>
      </c>
      <c r="S74" s="55" t="s">
        <v>9</v>
      </c>
      <c r="T74" s="51" t="str">
        <f t="shared" si="6"/>
        <v>De Construção</v>
      </c>
      <c r="U74" s="51" t="str">
        <f t="shared" si="6"/>
        <v>Produtos Construtivos</v>
      </c>
      <c r="V74" s="51" t="str">
        <f t="shared" si="6"/>
        <v>Tubos Multicamadas</v>
      </c>
      <c r="W74" s="21" t="s">
        <v>99</v>
      </c>
      <c r="X74" s="42" t="str">
        <f t="shared" si="9"/>
        <v>Key-INTEL-74</v>
      </c>
      <c r="Y74" s="21" t="s">
        <v>877</v>
      </c>
      <c r="Z74" s="52" t="s">
        <v>9</v>
      </c>
      <c r="AA74" s="21" t="s">
        <v>1733</v>
      </c>
      <c r="AB74" s="52" t="s">
        <v>9</v>
      </c>
      <c r="AC74" s="21" t="s">
        <v>878</v>
      </c>
      <c r="AD74" s="52" t="s">
        <v>9</v>
      </c>
    </row>
    <row r="75" spans="1:30" s="57" customFormat="1" ht="6.75" customHeight="1" x14ac:dyDescent="0.25">
      <c r="A75" s="41">
        <v>75</v>
      </c>
      <c r="B75" s="1" t="s">
        <v>594</v>
      </c>
      <c r="C75" s="1" t="s">
        <v>1907</v>
      </c>
      <c r="D75" s="1" t="s">
        <v>1908</v>
      </c>
      <c r="E75" s="1" t="s">
        <v>1893</v>
      </c>
      <c r="F75" s="39" t="s">
        <v>972</v>
      </c>
      <c r="G75" s="45" t="s">
        <v>9</v>
      </c>
      <c r="H75" s="45" t="s">
        <v>9</v>
      </c>
      <c r="I75" s="45" t="s">
        <v>9</v>
      </c>
      <c r="J75" s="45" t="s">
        <v>9</v>
      </c>
      <c r="K75" s="45" t="s">
        <v>9</v>
      </c>
      <c r="L75" s="25" t="str">
        <f t="shared" si="10"/>
        <v>De.Construção</v>
      </c>
      <c r="M75" s="25" t="str">
        <f t="shared" si="10"/>
        <v>Produtos.Construtivos</v>
      </c>
      <c r="N75" s="25" t="str">
        <f t="shared" si="11"/>
        <v>Tubos Plásticos</v>
      </c>
      <c r="O75" s="25" t="str">
        <f t="shared" si="11"/>
        <v>Tubo de PVC</v>
      </c>
      <c r="P75" s="53" t="s">
        <v>973</v>
      </c>
      <c r="Q75" s="53" t="s">
        <v>974</v>
      </c>
      <c r="R75" s="53" t="s">
        <v>975</v>
      </c>
      <c r="S75" s="55" t="s">
        <v>9</v>
      </c>
      <c r="T75" s="51" t="str">
        <f t="shared" si="6"/>
        <v>De Construção</v>
      </c>
      <c r="U75" s="51" t="str">
        <f t="shared" si="6"/>
        <v>Produtos Construtivos</v>
      </c>
      <c r="V75" s="51" t="str">
        <f t="shared" si="6"/>
        <v>Tubos Plásticos</v>
      </c>
      <c r="W75" s="21" t="s">
        <v>99</v>
      </c>
      <c r="X75" s="42" t="str">
        <f t="shared" si="9"/>
        <v>Key-INTEL-75</v>
      </c>
      <c r="Y75" s="21" t="s">
        <v>877</v>
      </c>
      <c r="Z75" s="52" t="s">
        <v>9</v>
      </c>
      <c r="AA75" s="21" t="s">
        <v>1733</v>
      </c>
      <c r="AB75" s="52" t="s">
        <v>9</v>
      </c>
      <c r="AC75" s="21" t="s">
        <v>976</v>
      </c>
      <c r="AD75" s="52" t="s">
        <v>9</v>
      </c>
    </row>
    <row r="76" spans="1:30" s="57" customFormat="1" ht="6.75" customHeight="1" x14ac:dyDescent="0.25">
      <c r="A76" s="41">
        <v>76</v>
      </c>
      <c r="B76" s="1" t="s">
        <v>594</v>
      </c>
      <c r="C76" s="1" t="s">
        <v>1907</v>
      </c>
      <c r="D76" s="1" t="s">
        <v>1908</v>
      </c>
      <c r="E76" s="1" t="s">
        <v>1893</v>
      </c>
      <c r="F76" s="39" t="s">
        <v>977</v>
      </c>
      <c r="G76" s="45" t="s">
        <v>9</v>
      </c>
      <c r="H76" s="45" t="s">
        <v>9</v>
      </c>
      <c r="I76" s="45" t="s">
        <v>9</v>
      </c>
      <c r="J76" s="45" t="s">
        <v>9</v>
      </c>
      <c r="K76" s="45" t="s">
        <v>9</v>
      </c>
      <c r="L76" s="25" t="str">
        <f t="shared" si="10"/>
        <v>De.Construção</v>
      </c>
      <c r="M76" s="25" t="str">
        <f t="shared" si="10"/>
        <v>Produtos.Construtivos</v>
      </c>
      <c r="N76" s="25" t="str">
        <f t="shared" si="11"/>
        <v>Tubos Plásticos</v>
      </c>
      <c r="O76" s="25" t="str">
        <f t="shared" si="11"/>
        <v>Tubo de PVCO</v>
      </c>
      <c r="P76" s="53" t="s">
        <v>978</v>
      </c>
      <c r="Q76" s="53" t="s">
        <v>979</v>
      </c>
      <c r="R76" s="53" t="s">
        <v>980</v>
      </c>
      <c r="S76" s="55" t="s">
        <v>9</v>
      </c>
      <c r="T76" s="51" t="str">
        <f t="shared" si="6"/>
        <v>De Construção</v>
      </c>
      <c r="U76" s="51" t="str">
        <f t="shared" si="6"/>
        <v>Produtos Construtivos</v>
      </c>
      <c r="V76" s="51" t="str">
        <f t="shared" si="6"/>
        <v>Tubos Plásticos</v>
      </c>
      <c r="W76" s="21" t="s">
        <v>99</v>
      </c>
      <c r="X76" s="42" t="str">
        <f t="shared" si="9"/>
        <v>Key-INTEL-76</v>
      </c>
      <c r="Y76" s="21" t="s">
        <v>877</v>
      </c>
      <c r="Z76" s="52" t="s">
        <v>9</v>
      </c>
      <c r="AA76" s="21" t="s">
        <v>1733</v>
      </c>
      <c r="AB76" s="52" t="s">
        <v>9</v>
      </c>
      <c r="AC76" s="21" t="s">
        <v>976</v>
      </c>
      <c r="AD76" s="52" t="s">
        <v>9</v>
      </c>
    </row>
    <row r="77" spans="1:30" s="57" customFormat="1" ht="6.75" customHeight="1" x14ac:dyDescent="0.25">
      <c r="A77" s="41">
        <v>77</v>
      </c>
      <c r="B77" s="1" t="s">
        <v>594</v>
      </c>
      <c r="C77" s="1" t="s">
        <v>1907</v>
      </c>
      <c r="D77" s="1" t="s">
        <v>1908</v>
      </c>
      <c r="E77" s="1" t="s">
        <v>1894</v>
      </c>
      <c r="F77" s="39" t="s">
        <v>981</v>
      </c>
      <c r="G77" s="45" t="s">
        <v>9</v>
      </c>
      <c r="H77" s="45" t="s">
        <v>9</v>
      </c>
      <c r="I77" s="45" t="s">
        <v>9</v>
      </c>
      <c r="J77" s="45" t="s">
        <v>9</v>
      </c>
      <c r="K77" s="45" t="s">
        <v>9</v>
      </c>
      <c r="L77" s="25" t="str">
        <f t="shared" si="10"/>
        <v>De.Construção</v>
      </c>
      <c r="M77" s="25" t="str">
        <f t="shared" si="10"/>
        <v>Produtos.Construtivos</v>
      </c>
      <c r="N77" s="25" t="str">
        <f t="shared" si="11"/>
        <v>Tubos Termoplásticos</v>
      </c>
      <c r="O77" s="25" t="str">
        <f t="shared" si="11"/>
        <v>Tubo de PEAD</v>
      </c>
      <c r="P77" s="53" t="s">
        <v>982</v>
      </c>
      <c r="Q77" s="53" t="s">
        <v>983</v>
      </c>
      <c r="R77" s="53" t="s">
        <v>984</v>
      </c>
      <c r="S77" s="55" t="s">
        <v>9</v>
      </c>
      <c r="T77" s="51" t="str">
        <f t="shared" si="6"/>
        <v>De Construção</v>
      </c>
      <c r="U77" s="51" t="str">
        <f t="shared" si="6"/>
        <v>Produtos Construtivos</v>
      </c>
      <c r="V77" s="51" t="str">
        <f t="shared" si="6"/>
        <v>Tubos Termoplásticos</v>
      </c>
      <c r="W77" s="21" t="s">
        <v>99</v>
      </c>
      <c r="X77" s="42" t="str">
        <f t="shared" si="9"/>
        <v>Key-INTEL-77</v>
      </c>
      <c r="Y77" s="21" t="s">
        <v>877</v>
      </c>
      <c r="Z77" s="52" t="s">
        <v>9</v>
      </c>
      <c r="AA77" s="21" t="s">
        <v>1733</v>
      </c>
      <c r="AB77" s="52" t="s">
        <v>9</v>
      </c>
      <c r="AC77" s="21" t="s">
        <v>878</v>
      </c>
      <c r="AD77" s="52" t="s">
        <v>9</v>
      </c>
    </row>
    <row r="78" spans="1:30" s="57" customFormat="1" ht="6.75" customHeight="1" x14ac:dyDescent="0.25">
      <c r="A78" s="41">
        <v>78</v>
      </c>
      <c r="B78" s="1" t="s">
        <v>594</v>
      </c>
      <c r="C78" s="1" t="s">
        <v>1907</v>
      </c>
      <c r="D78" s="1" t="s">
        <v>1908</v>
      </c>
      <c r="E78" s="1" t="s">
        <v>1894</v>
      </c>
      <c r="F78" s="54" t="s">
        <v>985</v>
      </c>
      <c r="G78" s="45" t="s">
        <v>9</v>
      </c>
      <c r="H78" s="45" t="s">
        <v>9</v>
      </c>
      <c r="I78" s="45" t="s">
        <v>9</v>
      </c>
      <c r="J78" s="45" t="s">
        <v>9</v>
      </c>
      <c r="K78" s="45" t="s">
        <v>9</v>
      </c>
      <c r="L78" s="25" t="str">
        <f t="shared" si="10"/>
        <v>De.Construção</v>
      </c>
      <c r="M78" s="25" t="str">
        <f t="shared" si="10"/>
        <v>Produtos.Construtivos</v>
      </c>
      <c r="N78" s="25" t="str">
        <f t="shared" si="11"/>
        <v>Tubos Termoplásticos</v>
      </c>
      <c r="O78" s="25" t="str">
        <f t="shared" si="11"/>
        <v>Tubo de PEX</v>
      </c>
      <c r="P78" s="51" t="s">
        <v>986</v>
      </c>
      <c r="Q78" s="53" t="s">
        <v>987</v>
      </c>
      <c r="R78" s="53" t="s">
        <v>988</v>
      </c>
      <c r="S78" s="55" t="s">
        <v>9</v>
      </c>
      <c r="T78" s="51" t="str">
        <f t="shared" si="6"/>
        <v>De Construção</v>
      </c>
      <c r="U78" s="51" t="str">
        <f t="shared" si="6"/>
        <v>Produtos Construtivos</v>
      </c>
      <c r="V78" s="51" t="str">
        <f t="shared" si="6"/>
        <v>Tubos Termoplásticos</v>
      </c>
      <c r="W78" s="21" t="s">
        <v>99</v>
      </c>
      <c r="X78" s="42" t="str">
        <f t="shared" si="9"/>
        <v>Key-INTEL-78</v>
      </c>
      <c r="Y78" s="21" t="s">
        <v>877</v>
      </c>
      <c r="Z78" s="52" t="s">
        <v>9</v>
      </c>
      <c r="AA78" s="21" t="s">
        <v>1733</v>
      </c>
      <c r="AB78" s="52" t="s">
        <v>9</v>
      </c>
      <c r="AC78" s="21" t="s">
        <v>878</v>
      </c>
      <c r="AD78" s="52" t="s">
        <v>9</v>
      </c>
    </row>
    <row r="79" spans="1:30" s="57" customFormat="1" ht="6.75" customHeight="1" x14ac:dyDescent="0.25">
      <c r="A79" s="41">
        <v>79</v>
      </c>
      <c r="B79" s="1" t="s">
        <v>594</v>
      </c>
      <c r="C79" s="1" t="s">
        <v>1907</v>
      </c>
      <c r="D79" s="1" t="s">
        <v>1908</v>
      </c>
      <c r="E79" s="1" t="s">
        <v>1894</v>
      </c>
      <c r="F79" s="54" t="s">
        <v>989</v>
      </c>
      <c r="G79" s="45" t="s">
        <v>9</v>
      </c>
      <c r="H79" s="45" t="s">
        <v>9</v>
      </c>
      <c r="I79" s="45" t="s">
        <v>9</v>
      </c>
      <c r="J79" s="45" t="s">
        <v>9</v>
      </c>
      <c r="K79" s="45" t="s">
        <v>9</v>
      </c>
      <c r="L79" s="25" t="str">
        <f t="shared" si="10"/>
        <v>De.Construção</v>
      </c>
      <c r="M79" s="25" t="str">
        <f t="shared" si="10"/>
        <v>Produtos.Construtivos</v>
      </c>
      <c r="N79" s="25" t="str">
        <f t="shared" si="11"/>
        <v>Tubos Termoplásticos</v>
      </c>
      <c r="O79" s="25" t="str">
        <f t="shared" si="11"/>
        <v>Tubo de PPR</v>
      </c>
      <c r="P79" s="51" t="s">
        <v>986</v>
      </c>
      <c r="Q79" s="53" t="s">
        <v>987</v>
      </c>
      <c r="R79" s="53" t="s">
        <v>988</v>
      </c>
      <c r="S79" s="55" t="s">
        <v>9</v>
      </c>
      <c r="T79" s="51" t="str">
        <f t="shared" ref="T79:V142" si="12">SUBSTITUTE(C79, ".", " ")</f>
        <v>De Construção</v>
      </c>
      <c r="U79" s="51" t="str">
        <f t="shared" si="12"/>
        <v>Produtos Construtivos</v>
      </c>
      <c r="V79" s="51" t="str">
        <f t="shared" si="12"/>
        <v>Tubos Termoplásticos</v>
      </c>
      <c r="W79" s="21" t="s">
        <v>99</v>
      </c>
      <c r="X79" s="42" t="str">
        <f t="shared" si="9"/>
        <v>Key-INTEL-79</v>
      </c>
      <c r="Y79" s="21" t="s">
        <v>877</v>
      </c>
      <c r="Z79" s="52" t="s">
        <v>9</v>
      </c>
      <c r="AA79" s="21" t="s">
        <v>1733</v>
      </c>
      <c r="AB79" s="52" t="s">
        <v>9</v>
      </c>
      <c r="AC79" s="21" t="s">
        <v>878</v>
      </c>
      <c r="AD79" s="52" t="s">
        <v>9</v>
      </c>
    </row>
    <row r="80" spans="1:30" s="57" customFormat="1" ht="6.75" customHeight="1" x14ac:dyDescent="0.25">
      <c r="A80" s="41">
        <v>80</v>
      </c>
      <c r="B80" s="1" t="s">
        <v>594</v>
      </c>
      <c r="C80" s="1" t="s">
        <v>1907</v>
      </c>
      <c r="D80" s="1" t="s">
        <v>1917</v>
      </c>
      <c r="E80" s="1" t="s">
        <v>1918</v>
      </c>
      <c r="F80" s="54" t="s">
        <v>990</v>
      </c>
      <c r="G80" s="45" t="s">
        <v>9</v>
      </c>
      <c r="H80" s="45" t="s">
        <v>9</v>
      </c>
      <c r="I80" s="45" t="s">
        <v>9</v>
      </c>
      <c r="J80" s="45" t="s">
        <v>9</v>
      </c>
      <c r="K80" s="45" t="s">
        <v>9</v>
      </c>
      <c r="L80" s="25" t="str">
        <f t="shared" si="10"/>
        <v>De.Construção</v>
      </c>
      <c r="M80" s="25" t="str">
        <f t="shared" si="10"/>
        <v>Produtos.Catalogados</v>
      </c>
      <c r="N80" s="25" t="str">
        <f t="shared" si="11"/>
        <v>Catálogos de Produtos</v>
      </c>
      <c r="O80" s="25" t="str">
        <f t="shared" si="11"/>
        <v>Catálogo de Fabricante</v>
      </c>
      <c r="P80" s="51" t="s">
        <v>991</v>
      </c>
      <c r="Q80" s="53" t="s">
        <v>992</v>
      </c>
      <c r="R80" s="53" t="s">
        <v>993</v>
      </c>
      <c r="S80" s="55" t="s">
        <v>9</v>
      </c>
      <c r="T80" s="51" t="str">
        <f t="shared" si="12"/>
        <v>De Construção</v>
      </c>
      <c r="U80" s="51" t="str">
        <f t="shared" si="12"/>
        <v>Produtos Catalogados</v>
      </c>
      <c r="V80" s="51" t="str">
        <f t="shared" si="12"/>
        <v>Catálogos de Produtos</v>
      </c>
      <c r="W80" s="21" t="s">
        <v>99</v>
      </c>
      <c r="X80" s="42" t="str">
        <f t="shared" si="9"/>
        <v>Key-INTEL-80</v>
      </c>
      <c r="Y80" s="21" t="s">
        <v>877</v>
      </c>
      <c r="Z80" s="52" t="s">
        <v>9</v>
      </c>
      <c r="AA80" s="21" t="s">
        <v>1808</v>
      </c>
      <c r="AB80" s="52" t="s">
        <v>9</v>
      </c>
      <c r="AC80" s="21" t="s">
        <v>1807</v>
      </c>
      <c r="AD80" s="52" t="s">
        <v>9</v>
      </c>
    </row>
    <row r="81" spans="1:30" s="57" customFormat="1" ht="6.75" customHeight="1" x14ac:dyDescent="0.25">
      <c r="A81" s="41">
        <v>81</v>
      </c>
      <c r="B81" s="1" t="s">
        <v>594</v>
      </c>
      <c r="C81" s="1" t="s">
        <v>1907</v>
      </c>
      <c r="D81" s="1" t="s">
        <v>1917</v>
      </c>
      <c r="E81" s="1" t="s">
        <v>1918</v>
      </c>
      <c r="F81" s="54" t="s">
        <v>994</v>
      </c>
      <c r="G81" s="45" t="s">
        <v>9</v>
      </c>
      <c r="H81" s="45" t="s">
        <v>9</v>
      </c>
      <c r="I81" s="45" t="s">
        <v>9</v>
      </c>
      <c r="J81" s="45" t="s">
        <v>9</v>
      </c>
      <c r="K81" s="45" t="s">
        <v>9</v>
      </c>
      <c r="L81" s="25" t="str">
        <f t="shared" si="10"/>
        <v>De.Construção</v>
      </c>
      <c r="M81" s="25" t="str">
        <f t="shared" si="10"/>
        <v>Produtos.Catalogados</v>
      </c>
      <c r="N81" s="25" t="str">
        <f t="shared" si="11"/>
        <v>Catálogos de Produtos</v>
      </c>
      <c r="O81" s="25" t="str">
        <f t="shared" si="11"/>
        <v>Catálogo de Fornecedor</v>
      </c>
      <c r="P81" s="51" t="s">
        <v>995</v>
      </c>
      <c r="Q81" s="53" t="s">
        <v>996</v>
      </c>
      <c r="R81" s="53" t="s">
        <v>997</v>
      </c>
      <c r="S81" s="55" t="s">
        <v>9</v>
      </c>
      <c r="T81" s="51" t="str">
        <f t="shared" si="12"/>
        <v>De Construção</v>
      </c>
      <c r="U81" s="51" t="str">
        <f t="shared" si="12"/>
        <v>Produtos Catalogados</v>
      </c>
      <c r="V81" s="51" t="str">
        <f t="shared" si="12"/>
        <v>Catálogos de Produtos</v>
      </c>
      <c r="W81" s="21" t="s">
        <v>99</v>
      </c>
      <c r="X81" s="42" t="str">
        <f t="shared" si="9"/>
        <v>Key-INTEL-81</v>
      </c>
      <c r="Y81" s="21" t="s">
        <v>877</v>
      </c>
      <c r="Z81" s="52" t="s">
        <v>9</v>
      </c>
      <c r="AA81" s="21" t="s">
        <v>1808</v>
      </c>
      <c r="AB81" s="52" t="s">
        <v>9</v>
      </c>
      <c r="AC81" s="21" t="s">
        <v>1807</v>
      </c>
      <c r="AD81" s="52" t="s">
        <v>9</v>
      </c>
    </row>
    <row r="82" spans="1:30" s="57" customFormat="1" ht="6.75" customHeight="1" x14ac:dyDescent="0.25">
      <c r="A82" s="41">
        <v>82</v>
      </c>
      <c r="B82" s="1" t="s">
        <v>594</v>
      </c>
      <c r="C82" s="1" t="s">
        <v>1907</v>
      </c>
      <c r="D82" s="1" t="s">
        <v>1917</v>
      </c>
      <c r="E82" s="1" t="s">
        <v>1918</v>
      </c>
      <c r="F82" s="54" t="s">
        <v>998</v>
      </c>
      <c r="G82" s="45" t="s">
        <v>9</v>
      </c>
      <c r="H82" s="45" t="s">
        <v>9</v>
      </c>
      <c r="I82" s="45" t="s">
        <v>9</v>
      </c>
      <c r="J82" s="45" t="s">
        <v>9</v>
      </c>
      <c r="K82" s="45" t="s">
        <v>9</v>
      </c>
      <c r="L82" s="25" t="str">
        <f t="shared" si="10"/>
        <v>De.Construção</v>
      </c>
      <c r="M82" s="25" t="str">
        <f t="shared" si="10"/>
        <v>Produtos.Catalogados</v>
      </c>
      <c r="N82" s="25" t="str">
        <f t="shared" si="11"/>
        <v>Catálogos de Produtos</v>
      </c>
      <c r="O82" s="25" t="str">
        <f t="shared" si="11"/>
        <v>Catálogo de Construtor</v>
      </c>
      <c r="P82" s="51" t="s">
        <v>999</v>
      </c>
      <c r="Q82" s="51" t="s">
        <v>1000</v>
      </c>
      <c r="R82" s="53" t="s">
        <v>1001</v>
      </c>
      <c r="S82" s="55" t="s">
        <v>9</v>
      </c>
      <c r="T82" s="51" t="str">
        <f t="shared" si="12"/>
        <v>De Construção</v>
      </c>
      <c r="U82" s="51" t="str">
        <f t="shared" si="12"/>
        <v>Produtos Catalogados</v>
      </c>
      <c r="V82" s="51" t="str">
        <f t="shared" si="12"/>
        <v>Catálogos de Produtos</v>
      </c>
      <c r="W82" s="21" t="s">
        <v>99</v>
      </c>
      <c r="X82" s="42" t="str">
        <f t="shared" si="9"/>
        <v>Key-INTEL-82</v>
      </c>
      <c r="Y82" s="21" t="s">
        <v>877</v>
      </c>
      <c r="Z82" s="52" t="s">
        <v>9</v>
      </c>
      <c r="AA82" s="21" t="s">
        <v>1808</v>
      </c>
      <c r="AB82" s="52" t="s">
        <v>9</v>
      </c>
      <c r="AC82" s="21" t="s">
        <v>1807</v>
      </c>
      <c r="AD82" s="52" t="s">
        <v>9</v>
      </c>
    </row>
    <row r="83" spans="1:30" ht="6.75" customHeight="1" x14ac:dyDescent="0.25">
      <c r="A83" s="41">
        <v>83</v>
      </c>
      <c r="B83" s="1" t="s">
        <v>594</v>
      </c>
      <c r="C83" s="1" t="s">
        <v>1365</v>
      </c>
      <c r="D83" s="33" t="s">
        <v>409</v>
      </c>
      <c r="E83" s="33" t="s">
        <v>1677</v>
      </c>
      <c r="F83" s="33" t="s">
        <v>578</v>
      </c>
      <c r="G83" s="45" t="s">
        <v>9</v>
      </c>
      <c r="H83" s="45" t="s">
        <v>9</v>
      </c>
      <c r="I83" s="45" t="s">
        <v>9</v>
      </c>
      <c r="J83" s="45" t="s">
        <v>9</v>
      </c>
      <c r="K83" s="45" t="s">
        <v>9</v>
      </c>
      <c r="L83" s="25" t="str">
        <f t="shared" ref="L83:M101" si="13">CONCATENATE("", C83)</f>
        <v>De.Energia</v>
      </c>
      <c r="M83" s="25" t="str">
        <f t="shared" si="13"/>
        <v>Sistemas.Elétricos</v>
      </c>
      <c r="N83" s="25" t="str">
        <f t="shared" ref="N83:O101" si="14">(SUBSTITUTE(SUBSTITUTE(CONCATENATE("",E83),"."," ")," De "," de "))</f>
        <v>Sistema de Iluminação</v>
      </c>
      <c r="O83" s="25" t="str">
        <f t="shared" si="14"/>
        <v>Circuito Luz Geral</v>
      </c>
      <c r="P83" s="38" t="s">
        <v>93</v>
      </c>
      <c r="Q83" s="38" t="s">
        <v>92</v>
      </c>
      <c r="R83" s="21" t="s">
        <v>606</v>
      </c>
      <c r="S83" s="55" t="s">
        <v>9</v>
      </c>
      <c r="T83" s="51" t="str">
        <f t="shared" si="12"/>
        <v>De Energia</v>
      </c>
      <c r="U83" s="51" t="str">
        <f t="shared" si="12"/>
        <v>Sistemas Elétricos</v>
      </c>
      <c r="V83" s="51" t="str">
        <f t="shared" si="12"/>
        <v>Sistema de Iluminação</v>
      </c>
      <c r="W83" s="21" t="s">
        <v>99</v>
      </c>
      <c r="X83" s="42" t="str">
        <f t="shared" si="9"/>
        <v>Key-INTEL-83</v>
      </c>
      <c r="Y83" s="20" t="s">
        <v>94</v>
      </c>
      <c r="Z83" s="52" t="s">
        <v>9</v>
      </c>
      <c r="AA83" s="20" t="s">
        <v>95</v>
      </c>
      <c r="AB83" s="52" t="s">
        <v>9</v>
      </c>
      <c r="AC83" s="21" t="s">
        <v>572</v>
      </c>
      <c r="AD83" s="52" t="s">
        <v>9</v>
      </c>
    </row>
    <row r="84" spans="1:30" ht="6.75" customHeight="1" x14ac:dyDescent="0.25">
      <c r="A84" s="41">
        <v>84</v>
      </c>
      <c r="B84" s="1" t="s">
        <v>594</v>
      </c>
      <c r="C84" s="1" t="s">
        <v>1365</v>
      </c>
      <c r="D84" s="33" t="s">
        <v>409</v>
      </c>
      <c r="E84" s="33" t="s">
        <v>1677</v>
      </c>
      <c r="F84" s="33" t="s">
        <v>579</v>
      </c>
      <c r="G84" s="45" t="s">
        <v>9</v>
      </c>
      <c r="H84" s="45" t="s">
        <v>9</v>
      </c>
      <c r="I84" s="45" t="s">
        <v>9</v>
      </c>
      <c r="J84" s="45" t="s">
        <v>9</v>
      </c>
      <c r="K84" s="45" t="s">
        <v>9</v>
      </c>
      <c r="L84" s="25" t="str">
        <f t="shared" si="13"/>
        <v>De.Energia</v>
      </c>
      <c r="M84" s="25" t="str">
        <f t="shared" si="13"/>
        <v>Sistemas.Elétricos</v>
      </c>
      <c r="N84" s="25" t="str">
        <f t="shared" si="14"/>
        <v>Sistema de Iluminação</v>
      </c>
      <c r="O84" s="25" t="str">
        <f t="shared" si="14"/>
        <v>Circuito Luz Emergência</v>
      </c>
      <c r="P84" s="38" t="s">
        <v>93</v>
      </c>
      <c r="Q84" s="38" t="s">
        <v>92</v>
      </c>
      <c r="R84" s="21" t="s">
        <v>606</v>
      </c>
      <c r="S84" s="55" t="s">
        <v>9</v>
      </c>
      <c r="T84" s="51" t="str">
        <f t="shared" si="12"/>
        <v>De Energia</v>
      </c>
      <c r="U84" s="51" t="str">
        <f t="shared" si="12"/>
        <v>Sistemas Elétricos</v>
      </c>
      <c r="V84" s="51" t="str">
        <f t="shared" si="12"/>
        <v>Sistema de Iluminação</v>
      </c>
      <c r="W84" s="21" t="s">
        <v>99</v>
      </c>
      <c r="X84" s="42" t="str">
        <f t="shared" si="9"/>
        <v>Key-INTEL-84</v>
      </c>
      <c r="Y84" s="20" t="s">
        <v>94</v>
      </c>
      <c r="Z84" s="52" t="s">
        <v>9</v>
      </c>
      <c r="AA84" s="20" t="s">
        <v>95</v>
      </c>
      <c r="AB84" s="52" t="s">
        <v>9</v>
      </c>
      <c r="AC84" s="21" t="s">
        <v>572</v>
      </c>
      <c r="AD84" s="52" t="s">
        <v>9</v>
      </c>
    </row>
    <row r="85" spans="1:30" ht="6.75" customHeight="1" x14ac:dyDescent="0.25">
      <c r="A85" s="41">
        <v>85</v>
      </c>
      <c r="B85" s="1" t="s">
        <v>594</v>
      </c>
      <c r="C85" s="1" t="s">
        <v>1365</v>
      </c>
      <c r="D85" s="33" t="s">
        <v>409</v>
      </c>
      <c r="E85" s="33" t="s">
        <v>1676</v>
      </c>
      <c r="F85" s="33" t="s">
        <v>580</v>
      </c>
      <c r="G85" s="45" t="s">
        <v>9</v>
      </c>
      <c r="H85" s="45" t="s">
        <v>9</v>
      </c>
      <c r="I85" s="45" t="s">
        <v>9</v>
      </c>
      <c r="J85" s="45" t="s">
        <v>9</v>
      </c>
      <c r="K85" s="45" t="s">
        <v>9</v>
      </c>
      <c r="L85" s="25" t="str">
        <f t="shared" si="13"/>
        <v>De.Energia</v>
      </c>
      <c r="M85" s="25" t="str">
        <f t="shared" si="13"/>
        <v>Sistemas.Elétricos</v>
      </c>
      <c r="N85" s="25" t="str">
        <f t="shared" si="14"/>
        <v>Sistema de Força</v>
      </c>
      <c r="O85" s="25" t="str">
        <f t="shared" si="14"/>
        <v>Circuito Elétrico Geral</v>
      </c>
      <c r="P85" s="38" t="s">
        <v>89</v>
      </c>
      <c r="Q85" s="38" t="s">
        <v>90</v>
      </c>
      <c r="R85" s="21" t="s">
        <v>607</v>
      </c>
      <c r="S85" s="55" t="s">
        <v>9</v>
      </c>
      <c r="T85" s="51" t="str">
        <f t="shared" si="12"/>
        <v>De Energia</v>
      </c>
      <c r="U85" s="51" t="str">
        <f t="shared" si="12"/>
        <v>Sistemas Elétricos</v>
      </c>
      <c r="V85" s="51" t="str">
        <f t="shared" si="12"/>
        <v>Sistema de Força</v>
      </c>
      <c r="W85" s="21" t="s">
        <v>99</v>
      </c>
      <c r="X85" s="42" t="str">
        <f t="shared" si="9"/>
        <v>Key-INTEL-85</v>
      </c>
      <c r="Y85" s="20" t="s">
        <v>94</v>
      </c>
      <c r="Z85" s="52" t="s">
        <v>9</v>
      </c>
      <c r="AA85" s="20" t="s">
        <v>96</v>
      </c>
      <c r="AB85" s="52" t="s">
        <v>9</v>
      </c>
      <c r="AC85" s="21" t="s">
        <v>572</v>
      </c>
      <c r="AD85" s="52" t="s">
        <v>9</v>
      </c>
    </row>
    <row r="86" spans="1:30" ht="6.75" customHeight="1" x14ac:dyDescent="0.25">
      <c r="A86" s="41">
        <v>86</v>
      </c>
      <c r="B86" s="1" t="s">
        <v>594</v>
      </c>
      <c r="C86" s="1" t="s">
        <v>1365</v>
      </c>
      <c r="D86" s="33" t="s">
        <v>409</v>
      </c>
      <c r="E86" s="33" t="s">
        <v>1676</v>
      </c>
      <c r="F86" s="33" t="s">
        <v>581</v>
      </c>
      <c r="G86" s="45" t="s">
        <v>9</v>
      </c>
      <c r="H86" s="45" t="s">
        <v>9</v>
      </c>
      <c r="I86" s="45" t="s">
        <v>9</v>
      </c>
      <c r="J86" s="45" t="s">
        <v>9</v>
      </c>
      <c r="K86" s="45" t="s">
        <v>9</v>
      </c>
      <c r="L86" s="25" t="str">
        <f t="shared" si="13"/>
        <v>De.Energia</v>
      </c>
      <c r="M86" s="25" t="str">
        <f t="shared" si="13"/>
        <v>Sistemas.Elétricos</v>
      </c>
      <c r="N86" s="25" t="str">
        <f t="shared" si="14"/>
        <v>Sistema de Força</v>
      </c>
      <c r="O86" s="25" t="str">
        <f t="shared" si="14"/>
        <v>Circuito Elétrico Força</v>
      </c>
      <c r="P86" s="38" t="s">
        <v>88</v>
      </c>
      <c r="Q86" s="38" t="s">
        <v>91</v>
      </c>
      <c r="R86" s="21" t="s">
        <v>608</v>
      </c>
      <c r="S86" s="55" t="s">
        <v>9</v>
      </c>
      <c r="T86" s="51" t="str">
        <f t="shared" si="12"/>
        <v>De Energia</v>
      </c>
      <c r="U86" s="51" t="str">
        <f t="shared" si="12"/>
        <v>Sistemas Elétricos</v>
      </c>
      <c r="V86" s="51" t="str">
        <f t="shared" si="12"/>
        <v>Sistema de Força</v>
      </c>
      <c r="W86" s="21" t="s">
        <v>99</v>
      </c>
      <c r="X86" s="42" t="str">
        <f t="shared" si="9"/>
        <v>Key-INTEL-86</v>
      </c>
      <c r="Y86" s="20" t="s">
        <v>94</v>
      </c>
      <c r="Z86" s="52" t="s">
        <v>9</v>
      </c>
      <c r="AA86" s="20" t="s">
        <v>96</v>
      </c>
      <c r="AB86" s="52" t="s">
        <v>9</v>
      </c>
      <c r="AC86" s="21" t="s">
        <v>572</v>
      </c>
      <c r="AD86" s="52" t="s">
        <v>9</v>
      </c>
    </row>
    <row r="87" spans="1:30" ht="6.75" customHeight="1" x14ac:dyDescent="0.25">
      <c r="A87" s="41">
        <v>87</v>
      </c>
      <c r="B87" s="1" t="s">
        <v>594</v>
      </c>
      <c r="C87" s="1" t="s">
        <v>1365</v>
      </c>
      <c r="D87" s="33" t="s">
        <v>409</v>
      </c>
      <c r="E87" s="33" t="s">
        <v>1676</v>
      </c>
      <c r="F87" s="33" t="s">
        <v>582</v>
      </c>
      <c r="G87" s="45" t="s">
        <v>9</v>
      </c>
      <c r="H87" s="45" t="s">
        <v>9</v>
      </c>
      <c r="I87" s="45" t="s">
        <v>9</v>
      </c>
      <c r="J87" s="45" t="s">
        <v>9</v>
      </c>
      <c r="K87" s="45" t="s">
        <v>9</v>
      </c>
      <c r="L87" s="25" t="str">
        <f t="shared" si="13"/>
        <v>De.Energia</v>
      </c>
      <c r="M87" s="25" t="str">
        <f t="shared" si="13"/>
        <v>Sistemas.Elétricos</v>
      </c>
      <c r="N87" s="25" t="str">
        <f t="shared" si="14"/>
        <v>Sistema de Força</v>
      </c>
      <c r="O87" s="25" t="str">
        <f t="shared" si="14"/>
        <v>Circuito Elétrico Solar</v>
      </c>
      <c r="P87" s="38" t="s">
        <v>100</v>
      </c>
      <c r="Q87" s="38" t="s">
        <v>101</v>
      </c>
      <c r="R87" s="21" t="s">
        <v>609</v>
      </c>
      <c r="S87" s="55" t="s">
        <v>9</v>
      </c>
      <c r="T87" s="51" t="str">
        <f t="shared" si="12"/>
        <v>De Energia</v>
      </c>
      <c r="U87" s="51" t="str">
        <f t="shared" si="12"/>
        <v>Sistemas Elétricos</v>
      </c>
      <c r="V87" s="51" t="str">
        <f t="shared" si="12"/>
        <v>Sistema de Força</v>
      </c>
      <c r="W87" s="21" t="s">
        <v>99</v>
      </c>
      <c r="X87" s="42" t="str">
        <f t="shared" si="9"/>
        <v>Key-INTEL-87</v>
      </c>
      <c r="Y87" s="20" t="s">
        <v>94</v>
      </c>
      <c r="Z87" s="52" t="s">
        <v>9</v>
      </c>
      <c r="AA87" s="20" t="s">
        <v>96</v>
      </c>
      <c r="AB87" s="52" t="s">
        <v>9</v>
      </c>
      <c r="AC87" s="21" t="s">
        <v>572</v>
      </c>
      <c r="AD87" s="52" t="s">
        <v>9</v>
      </c>
    </row>
    <row r="88" spans="1:30" ht="6.75" customHeight="1" x14ac:dyDescent="0.25">
      <c r="A88" s="41">
        <v>88</v>
      </c>
      <c r="B88" s="1" t="s">
        <v>594</v>
      </c>
      <c r="C88" s="1" t="s">
        <v>1365</v>
      </c>
      <c r="D88" s="1" t="s">
        <v>408</v>
      </c>
      <c r="E88" s="33" t="s">
        <v>1678</v>
      </c>
      <c r="F88" s="46" t="s">
        <v>220</v>
      </c>
      <c r="G88" s="47" t="s">
        <v>9</v>
      </c>
      <c r="H88" s="45" t="s">
        <v>9</v>
      </c>
      <c r="I88" s="45" t="s">
        <v>9</v>
      </c>
      <c r="J88" s="45" t="s">
        <v>9</v>
      </c>
      <c r="K88" s="45" t="s">
        <v>9</v>
      </c>
      <c r="L88" s="25" t="str">
        <f t="shared" si="13"/>
        <v>De.Energia</v>
      </c>
      <c r="M88" s="25" t="str">
        <f t="shared" si="13"/>
        <v>Elementos.Elétricos</v>
      </c>
      <c r="N88" s="25" t="str">
        <f t="shared" si="14"/>
        <v>Elemento Acessório Elétrico</v>
      </c>
      <c r="O88" s="25" t="str">
        <f t="shared" si="14"/>
        <v>Acessório Elétrico</v>
      </c>
      <c r="P88" s="21" t="s">
        <v>221</v>
      </c>
      <c r="Q88" s="21" t="s">
        <v>222</v>
      </c>
      <c r="R88" s="21" t="s">
        <v>660</v>
      </c>
      <c r="S88" s="55" t="s">
        <v>9</v>
      </c>
      <c r="T88" s="51" t="str">
        <f t="shared" si="12"/>
        <v>De Energia</v>
      </c>
      <c r="U88" s="51" t="str">
        <f t="shared" si="12"/>
        <v>Elementos Elétricos</v>
      </c>
      <c r="V88" s="51" t="str">
        <f t="shared" si="12"/>
        <v>Elemento Acessório Elétrico</v>
      </c>
      <c r="W88" s="21" t="s">
        <v>99</v>
      </c>
      <c r="X88" s="42" t="str">
        <f t="shared" si="9"/>
        <v>Key-INTEL-88</v>
      </c>
      <c r="Y88" s="21" t="s">
        <v>218</v>
      </c>
      <c r="Z88" s="52" t="s">
        <v>9</v>
      </c>
      <c r="AA88" s="20" t="s">
        <v>98</v>
      </c>
      <c r="AB88" s="52" t="s">
        <v>9</v>
      </c>
      <c r="AC88" s="21" t="s">
        <v>572</v>
      </c>
      <c r="AD88" s="52" t="s">
        <v>9</v>
      </c>
    </row>
    <row r="89" spans="1:30" ht="6.75" customHeight="1" x14ac:dyDescent="0.25">
      <c r="A89" s="41">
        <v>89</v>
      </c>
      <c r="B89" s="1" t="s">
        <v>594</v>
      </c>
      <c r="C89" s="1" t="s">
        <v>1365</v>
      </c>
      <c r="D89" s="1" t="s">
        <v>408</v>
      </c>
      <c r="E89" s="33" t="s">
        <v>1678</v>
      </c>
      <c r="F89" s="46" t="s">
        <v>1428</v>
      </c>
      <c r="G89" s="47" t="s">
        <v>9</v>
      </c>
      <c r="H89" s="45" t="s">
        <v>9</v>
      </c>
      <c r="I89" s="45" t="s">
        <v>9</v>
      </c>
      <c r="J89" s="45" t="s">
        <v>9</v>
      </c>
      <c r="K89" s="45" t="s">
        <v>9</v>
      </c>
      <c r="L89" s="25" t="str">
        <f t="shared" si="13"/>
        <v>De.Energia</v>
      </c>
      <c r="M89" s="25" t="str">
        <f t="shared" si="13"/>
        <v>Elementos.Elétricos</v>
      </c>
      <c r="N89" s="25" t="str">
        <f t="shared" si="14"/>
        <v>Elemento Acessório Elétrico</v>
      </c>
      <c r="O89" s="25" t="str">
        <f t="shared" si="14"/>
        <v>Acessório Motriz</v>
      </c>
      <c r="P89" s="21" t="s">
        <v>1429</v>
      </c>
      <c r="Q89" s="21" t="s">
        <v>1430</v>
      </c>
      <c r="R89" s="21" t="s">
        <v>1431</v>
      </c>
      <c r="S89" s="55" t="s">
        <v>9</v>
      </c>
      <c r="T89" s="51" t="str">
        <f t="shared" si="12"/>
        <v>De Energia</v>
      </c>
      <c r="U89" s="51" t="str">
        <f t="shared" si="12"/>
        <v>Elementos Elétricos</v>
      </c>
      <c r="V89" s="51" t="str">
        <f t="shared" si="12"/>
        <v>Elemento Acessório Elétrico</v>
      </c>
      <c r="W89" s="21" t="s">
        <v>99</v>
      </c>
      <c r="X89" s="42" t="str">
        <f t="shared" si="9"/>
        <v>Key-INTEL-89</v>
      </c>
      <c r="Y89" s="21" t="s">
        <v>1371</v>
      </c>
      <c r="Z89" s="52" t="s">
        <v>9</v>
      </c>
      <c r="AA89" s="20" t="s">
        <v>98</v>
      </c>
      <c r="AB89" s="52" t="s">
        <v>9</v>
      </c>
      <c r="AC89" s="21" t="s">
        <v>1142</v>
      </c>
      <c r="AD89" s="52" t="s">
        <v>9</v>
      </c>
    </row>
    <row r="90" spans="1:30" ht="6.75" customHeight="1" x14ac:dyDescent="0.25">
      <c r="A90" s="41">
        <v>90</v>
      </c>
      <c r="B90" s="1" t="s">
        <v>594</v>
      </c>
      <c r="C90" s="1" t="s">
        <v>1365</v>
      </c>
      <c r="D90" s="1" t="s">
        <v>408</v>
      </c>
      <c r="E90" s="33" t="s">
        <v>1679</v>
      </c>
      <c r="F90" s="46" t="s">
        <v>223</v>
      </c>
      <c r="G90" s="47" t="s">
        <v>9</v>
      </c>
      <c r="H90" s="45" t="s">
        <v>9</v>
      </c>
      <c r="I90" s="45" t="s">
        <v>9</v>
      </c>
      <c r="J90" s="45" t="s">
        <v>9</v>
      </c>
      <c r="K90" s="45" t="s">
        <v>9</v>
      </c>
      <c r="L90" s="25" t="str">
        <f t="shared" si="13"/>
        <v>De.Energia</v>
      </c>
      <c r="M90" s="25" t="str">
        <f t="shared" si="13"/>
        <v>Elementos.Elétricos</v>
      </c>
      <c r="N90" s="25" t="str">
        <f t="shared" si="14"/>
        <v>Elemento Aparelho Elétrico</v>
      </c>
      <c r="O90" s="25" t="str">
        <f t="shared" si="14"/>
        <v>Aparelho Elétrico</v>
      </c>
      <c r="P90" s="21" t="s">
        <v>1451</v>
      </c>
      <c r="Q90" s="21" t="s">
        <v>1468</v>
      </c>
      <c r="R90" s="21" t="s">
        <v>1486</v>
      </c>
      <c r="S90" s="55" t="s">
        <v>9</v>
      </c>
      <c r="T90" s="51" t="str">
        <f t="shared" si="12"/>
        <v>De Energia</v>
      </c>
      <c r="U90" s="51" t="str">
        <f t="shared" si="12"/>
        <v>Elementos Elétricos</v>
      </c>
      <c r="V90" s="51" t="str">
        <f t="shared" si="12"/>
        <v>Elemento Aparelho Elétrico</v>
      </c>
      <c r="W90" s="21" t="s">
        <v>99</v>
      </c>
      <c r="X90" s="42" t="str">
        <f t="shared" si="9"/>
        <v>Key-INTEL-90</v>
      </c>
      <c r="Y90" s="21" t="s">
        <v>600</v>
      </c>
      <c r="Z90" s="52" t="s">
        <v>9</v>
      </c>
      <c r="AA90" s="20" t="s">
        <v>224</v>
      </c>
      <c r="AB90" s="52" t="s">
        <v>9</v>
      </c>
      <c r="AC90" s="21" t="s">
        <v>573</v>
      </c>
      <c r="AD90" s="52" t="s">
        <v>9</v>
      </c>
    </row>
    <row r="91" spans="1:30" ht="6.75" customHeight="1" x14ac:dyDescent="0.25">
      <c r="A91" s="41">
        <v>91</v>
      </c>
      <c r="B91" s="1" t="s">
        <v>594</v>
      </c>
      <c r="C91" s="1" t="s">
        <v>1365</v>
      </c>
      <c r="D91" s="1" t="s">
        <v>408</v>
      </c>
      <c r="E91" s="33" t="s">
        <v>1679</v>
      </c>
      <c r="F91" s="1" t="s">
        <v>245</v>
      </c>
      <c r="G91" s="47" t="s">
        <v>9</v>
      </c>
      <c r="H91" s="45" t="s">
        <v>9</v>
      </c>
      <c r="I91" s="45" t="s">
        <v>9</v>
      </c>
      <c r="J91" s="45" t="s">
        <v>9</v>
      </c>
      <c r="K91" s="45" t="s">
        <v>9</v>
      </c>
      <c r="L91" s="25" t="str">
        <f t="shared" si="13"/>
        <v>De.Energia</v>
      </c>
      <c r="M91" s="25" t="str">
        <f t="shared" si="13"/>
        <v>Elementos.Elétricos</v>
      </c>
      <c r="N91" s="25" t="str">
        <f t="shared" si="14"/>
        <v>Elemento Aparelho Elétrico</v>
      </c>
      <c r="O91" s="25" t="str">
        <f t="shared" si="14"/>
        <v>Aquecedor de Água</v>
      </c>
      <c r="P91" s="21" t="s">
        <v>1452</v>
      </c>
      <c r="Q91" s="21" t="s">
        <v>1469</v>
      </c>
      <c r="R91" s="20" t="s">
        <v>1487</v>
      </c>
      <c r="S91" s="55" t="s">
        <v>9</v>
      </c>
      <c r="T91" s="51" t="str">
        <f t="shared" si="12"/>
        <v>De Energia</v>
      </c>
      <c r="U91" s="51" t="str">
        <f t="shared" si="12"/>
        <v>Elementos Elétricos</v>
      </c>
      <c r="V91" s="51" t="str">
        <f t="shared" si="12"/>
        <v>Elemento Aparelho Elétrico</v>
      </c>
      <c r="W91" s="21" t="s">
        <v>99</v>
      </c>
      <c r="X91" s="42" t="str">
        <f t="shared" si="9"/>
        <v>Key-INTEL-91</v>
      </c>
      <c r="Y91" s="21" t="s">
        <v>600</v>
      </c>
      <c r="Z91" s="52" t="s">
        <v>9</v>
      </c>
      <c r="AA91" s="20" t="s">
        <v>230</v>
      </c>
      <c r="AB91" s="52" t="s">
        <v>9</v>
      </c>
      <c r="AC91" s="21" t="s">
        <v>573</v>
      </c>
      <c r="AD91" s="52" t="s">
        <v>9</v>
      </c>
    </row>
    <row r="92" spans="1:30" ht="6.75" customHeight="1" x14ac:dyDescent="0.25">
      <c r="A92" s="41">
        <v>92</v>
      </c>
      <c r="B92" s="1" t="s">
        <v>594</v>
      </c>
      <c r="C92" s="1" t="s">
        <v>1365</v>
      </c>
      <c r="D92" s="1" t="s">
        <v>408</v>
      </c>
      <c r="E92" s="33" t="s">
        <v>1679</v>
      </c>
      <c r="F92" s="1" t="s">
        <v>243</v>
      </c>
      <c r="G92" s="47" t="s">
        <v>9</v>
      </c>
      <c r="H92" s="45" t="s">
        <v>9</v>
      </c>
      <c r="I92" s="45" t="s">
        <v>9</v>
      </c>
      <c r="J92" s="45" t="s">
        <v>9</v>
      </c>
      <c r="K92" s="45" t="s">
        <v>9</v>
      </c>
      <c r="L92" s="25" t="str">
        <f t="shared" si="13"/>
        <v>De.Energia</v>
      </c>
      <c r="M92" s="25" t="str">
        <f t="shared" si="13"/>
        <v>Elementos.Elétricos</v>
      </c>
      <c r="N92" s="25" t="str">
        <f t="shared" si="14"/>
        <v>Elemento Aparelho Elétrico</v>
      </c>
      <c r="O92" s="25" t="str">
        <f t="shared" si="14"/>
        <v>Aquecedor Elétrico</v>
      </c>
      <c r="P92" s="21" t="s">
        <v>1453</v>
      </c>
      <c r="Q92" s="21" t="s">
        <v>1470</v>
      </c>
      <c r="R92" s="20" t="s">
        <v>1488</v>
      </c>
      <c r="S92" s="55" t="s">
        <v>9</v>
      </c>
      <c r="T92" s="51" t="str">
        <f t="shared" si="12"/>
        <v>De Energia</v>
      </c>
      <c r="U92" s="51" t="str">
        <f t="shared" si="12"/>
        <v>Elementos Elétricos</v>
      </c>
      <c r="V92" s="51" t="str">
        <f t="shared" si="12"/>
        <v>Elemento Aparelho Elétrico</v>
      </c>
      <c r="W92" s="21" t="s">
        <v>99</v>
      </c>
      <c r="X92" s="42" t="str">
        <f t="shared" si="9"/>
        <v>Key-INTEL-92</v>
      </c>
      <c r="Y92" s="21" t="s">
        <v>600</v>
      </c>
      <c r="Z92" s="52" t="s">
        <v>9</v>
      </c>
      <c r="AA92" s="20" t="s">
        <v>227</v>
      </c>
      <c r="AB92" s="52" t="s">
        <v>9</v>
      </c>
      <c r="AC92" s="21" t="s">
        <v>573</v>
      </c>
      <c r="AD92" s="52" t="s">
        <v>9</v>
      </c>
    </row>
    <row r="93" spans="1:30" ht="6.75" customHeight="1" x14ac:dyDescent="0.25">
      <c r="A93" s="41">
        <v>93</v>
      </c>
      <c r="B93" s="1" t="s">
        <v>594</v>
      </c>
      <c r="C93" s="1" t="s">
        <v>1365</v>
      </c>
      <c r="D93" s="1" t="s">
        <v>408</v>
      </c>
      <c r="E93" s="33" t="s">
        <v>1679</v>
      </c>
      <c r="F93" s="1" t="s">
        <v>244</v>
      </c>
      <c r="G93" s="47" t="s">
        <v>9</v>
      </c>
      <c r="H93" s="45" t="s">
        <v>9</v>
      </c>
      <c r="I93" s="45" t="s">
        <v>9</v>
      </c>
      <c r="J93" s="45" t="s">
        <v>9</v>
      </c>
      <c r="K93" s="45" t="s">
        <v>9</v>
      </c>
      <c r="L93" s="25" t="str">
        <f t="shared" si="13"/>
        <v>De.Energia</v>
      </c>
      <c r="M93" s="25" t="str">
        <f t="shared" si="13"/>
        <v>Elementos.Elétricos</v>
      </c>
      <c r="N93" s="25" t="str">
        <f t="shared" si="14"/>
        <v>Elemento Aparelho Elétrico</v>
      </c>
      <c r="O93" s="25" t="str">
        <f t="shared" si="14"/>
        <v>Bebedouro</v>
      </c>
      <c r="P93" s="21" t="s">
        <v>1454</v>
      </c>
      <c r="Q93" s="21" t="s">
        <v>1478</v>
      </c>
      <c r="R93" s="20" t="s">
        <v>1489</v>
      </c>
      <c r="S93" s="55" t="s">
        <v>9</v>
      </c>
      <c r="T93" s="51" t="str">
        <f t="shared" si="12"/>
        <v>De Energia</v>
      </c>
      <c r="U93" s="51" t="str">
        <f t="shared" si="12"/>
        <v>Elementos Elétricos</v>
      </c>
      <c r="V93" s="51" t="str">
        <f t="shared" si="12"/>
        <v>Elemento Aparelho Elétrico</v>
      </c>
      <c r="W93" s="21" t="s">
        <v>99</v>
      </c>
      <c r="X93" s="42" t="str">
        <f t="shared" si="9"/>
        <v>Key-INTEL-93</v>
      </c>
      <c r="Y93" s="21" t="s">
        <v>600</v>
      </c>
      <c r="Z93" s="52" t="s">
        <v>9</v>
      </c>
      <c r="AA93" s="20" t="s">
        <v>229</v>
      </c>
      <c r="AB93" s="52" t="s">
        <v>9</v>
      </c>
      <c r="AC93" s="21" t="s">
        <v>573</v>
      </c>
      <c r="AD93" s="52" t="s">
        <v>9</v>
      </c>
    </row>
    <row r="94" spans="1:30" ht="6.75" customHeight="1" x14ac:dyDescent="0.25">
      <c r="A94" s="41">
        <v>94</v>
      </c>
      <c r="B94" s="1" t="s">
        <v>594</v>
      </c>
      <c r="C94" s="1" t="s">
        <v>1365</v>
      </c>
      <c r="D94" s="1" t="s">
        <v>408</v>
      </c>
      <c r="E94" s="33" t="s">
        <v>1679</v>
      </c>
      <c r="F94" s="1" t="s">
        <v>1449</v>
      </c>
      <c r="G94" s="47" t="s">
        <v>9</v>
      </c>
      <c r="H94" s="45" t="s">
        <v>9</v>
      </c>
      <c r="I94" s="45" t="s">
        <v>9</v>
      </c>
      <c r="J94" s="45" t="s">
        <v>9</v>
      </c>
      <c r="K94" s="45" t="s">
        <v>9</v>
      </c>
      <c r="L94" s="25" t="str">
        <f t="shared" si="13"/>
        <v>De.Energia</v>
      </c>
      <c r="M94" s="25" t="str">
        <f t="shared" si="13"/>
        <v>Elementos.Elétricos</v>
      </c>
      <c r="N94" s="25" t="str">
        <f t="shared" si="14"/>
        <v>Elemento Aparelho Elétrico</v>
      </c>
      <c r="O94" s="25" t="str">
        <f t="shared" si="14"/>
        <v>Forno Elétrico</v>
      </c>
      <c r="P94" s="21" t="s">
        <v>1455</v>
      </c>
      <c r="Q94" s="21" t="s">
        <v>1477</v>
      </c>
      <c r="R94" s="20" t="s">
        <v>1490</v>
      </c>
      <c r="S94" s="55" t="s">
        <v>9</v>
      </c>
      <c r="T94" s="51" t="str">
        <f t="shared" si="12"/>
        <v>De Energia</v>
      </c>
      <c r="U94" s="51" t="str">
        <f t="shared" si="12"/>
        <v>Elementos Elétricos</v>
      </c>
      <c r="V94" s="51" t="str">
        <f t="shared" si="12"/>
        <v>Elemento Aparelho Elétrico</v>
      </c>
      <c r="W94" s="21" t="s">
        <v>99</v>
      </c>
      <c r="X94" s="42" t="str">
        <f t="shared" si="9"/>
        <v>Key-INTEL-94</v>
      </c>
      <c r="Y94" s="21" t="s">
        <v>600</v>
      </c>
      <c r="Z94" s="52" t="s">
        <v>9</v>
      </c>
      <c r="AA94" s="20" t="s">
        <v>226</v>
      </c>
      <c r="AB94" s="52" t="s">
        <v>9</v>
      </c>
      <c r="AC94" s="21" t="s">
        <v>573</v>
      </c>
      <c r="AD94" s="52" t="s">
        <v>9</v>
      </c>
    </row>
    <row r="95" spans="1:30" ht="6.75" customHeight="1" x14ac:dyDescent="0.25">
      <c r="A95" s="41">
        <v>95</v>
      </c>
      <c r="B95" s="1" t="s">
        <v>594</v>
      </c>
      <c r="C95" s="1" t="s">
        <v>1365</v>
      </c>
      <c r="D95" s="1" t="s">
        <v>408</v>
      </c>
      <c r="E95" s="33" t="s">
        <v>1679</v>
      </c>
      <c r="F95" s="1" t="s">
        <v>1446</v>
      </c>
      <c r="G95" s="47" t="s">
        <v>9</v>
      </c>
      <c r="H95" s="45" t="s">
        <v>9</v>
      </c>
      <c r="I95" s="45" t="s">
        <v>9</v>
      </c>
      <c r="J95" s="45" t="s">
        <v>9</v>
      </c>
      <c r="K95" s="45" t="s">
        <v>9</v>
      </c>
      <c r="L95" s="25" t="str">
        <f t="shared" si="13"/>
        <v>De.Energia</v>
      </c>
      <c r="M95" s="25" t="str">
        <f t="shared" si="13"/>
        <v>Elementos.Elétricos</v>
      </c>
      <c r="N95" s="25" t="str">
        <f t="shared" si="14"/>
        <v>Elemento Aparelho Elétrico</v>
      </c>
      <c r="O95" s="25" t="str">
        <f t="shared" si="14"/>
        <v>Forno Microondas</v>
      </c>
      <c r="P95" s="21" t="s">
        <v>1456</v>
      </c>
      <c r="Q95" s="21" t="s">
        <v>1479</v>
      </c>
      <c r="R95" s="20" t="s">
        <v>1491</v>
      </c>
      <c r="S95" s="55" t="s">
        <v>9</v>
      </c>
      <c r="T95" s="51" t="str">
        <f t="shared" si="12"/>
        <v>De Energia</v>
      </c>
      <c r="U95" s="51" t="str">
        <f t="shared" si="12"/>
        <v>Elementos Elétricos</v>
      </c>
      <c r="V95" s="51" t="str">
        <f t="shared" si="12"/>
        <v>Elemento Aparelho Elétrico</v>
      </c>
      <c r="W95" s="21" t="s">
        <v>99</v>
      </c>
      <c r="X95" s="42" t="str">
        <f t="shared" si="9"/>
        <v>Key-INTEL-95</v>
      </c>
      <c r="Y95" s="21" t="s">
        <v>600</v>
      </c>
      <c r="Z95" s="52" t="s">
        <v>9</v>
      </c>
      <c r="AA95" s="20" t="s">
        <v>235</v>
      </c>
      <c r="AB95" s="52" t="s">
        <v>9</v>
      </c>
      <c r="AC95" s="21" t="s">
        <v>573</v>
      </c>
      <c r="AD95" s="52" t="s">
        <v>9</v>
      </c>
    </row>
    <row r="96" spans="1:30" ht="6.75" customHeight="1" x14ac:dyDescent="0.25">
      <c r="A96" s="41">
        <v>96</v>
      </c>
      <c r="B96" s="1" t="s">
        <v>594</v>
      </c>
      <c r="C96" s="1" t="s">
        <v>1365</v>
      </c>
      <c r="D96" s="1" t="s">
        <v>408</v>
      </c>
      <c r="E96" s="33" t="s">
        <v>1679</v>
      </c>
      <c r="F96" s="1" t="s">
        <v>241</v>
      </c>
      <c r="G96" s="47" t="s">
        <v>9</v>
      </c>
      <c r="H96" s="45" t="s">
        <v>9</v>
      </c>
      <c r="I96" s="45" t="s">
        <v>9</v>
      </c>
      <c r="J96" s="45" t="s">
        <v>9</v>
      </c>
      <c r="K96" s="45" t="s">
        <v>9</v>
      </c>
      <c r="L96" s="25" t="str">
        <f t="shared" si="13"/>
        <v>De.Energia</v>
      </c>
      <c r="M96" s="25" t="str">
        <f t="shared" si="13"/>
        <v>Elementos.Elétricos</v>
      </c>
      <c r="N96" s="25" t="str">
        <f t="shared" si="14"/>
        <v>Elemento Aparelho Elétrico</v>
      </c>
      <c r="O96" s="25" t="str">
        <f t="shared" si="14"/>
        <v>Fotocopiadora</v>
      </c>
      <c r="P96" s="21" t="s">
        <v>1458</v>
      </c>
      <c r="Q96" s="21" t="s">
        <v>1458</v>
      </c>
      <c r="R96" s="20" t="s">
        <v>1492</v>
      </c>
      <c r="S96" s="55" t="s">
        <v>9</v>
      </c>
      <c r="T96" s="51" t="str">
        <f t="shared" si="12"/>
        <v>De Energia</v>
      </c>
      <c r="U96" s="51" t="str">
        <f t="shared" si="12"/>
        <v>Elementos Elétricos</v>
      </c>
      <c r="V96" s="51" t="str">
        <f t="shared" si="12"/>
        <v>Elemento Aparelho Elétrico</v>
      </c>
      <c r="W96" s="21" t="s">
        <v>99</v>
      </c>
      <c r="X96" s="42" t="str">
        <f t="shared" si="9"/>
        <v>Key-INTEL-96</v>
      </c>
      <c r="Y96" s="21" t="s">
        <v>600</v>
      </c>
      <c r="Z96" s="52" t="s">
        <v>9</v>
      </c>
      <c r="AA96" s="20" t="s">
        <v>236</v>
      </c>
      <c r="AB96" s="52" t="s">
        <v>9</v>
      </c>
      <c r="AC96" s="21" t="s">
        <v>573</v>
      </c>
      <c r="AD96" s="52" t="s">
        <v>9</v>
      </c>
    </row>
    <row r="97" spans="1:30" ht="6.75" customHeight="1" x14ac:dyDescent="0.25">
      <c r="A97" s="41">
        <v>97</v>
      </c>
      <c r="B97" s="1" t="s">
        <v>594</v>
      </c>
      <c r="C97" s="1" t="s">
        <v>1365</v>
      </c>
      <c r="D97" s="1" t="s">
        <v>408</v>
      </c>
      <c r="E97" s="33" t="s">
        <v>1679</v>
      </c>
      <c r="F97" s="1" t="s">
        <v>374</v>
      </c>
      <c r="G97" s="47" t="s">
        <v>9</v>
      </c>
      <c r="H97" s="45" t="s">
        <v>9</v>
      </c>
      <c r="I97" s="45" t="s">
        <v>9</v>
      </c>
      <c r="J97" s="45" t="s">
        <v>9</v>
      </c>
      <c r="K97" s="45" t="s">
        <v>9</v>
      </c>
      <c r="L97" s="25" t="str">
        <f t="shared" si="13"/>
        <v>De.Energia</v>
      </c>
      <c r="M97" s="25" t="str">
        <f t="shared" si="13"/>
        <v>Elementos.Elétricos</v>
      </c>
      <c r="N97" s="25" t="str">
        <f t="shared" si="14"/>
        <v>Elemento Aparelho Elétrico</v>
      </c>
      <c r="O97" s="25" t="str">
        <f t="shared" si="14"/>
        <v>Freezer</v>
      </c>
      <c r="P97" s="21" t="s">
        <v>1457</v>
      </c>
      <c r="Q97" s="21" t="s">
        <v>1471</v>
      </c>
      <c r="R97" s="20" t="s">
        <v>1493</v>
      </c>
      <c r="S97" s="55" t="s">
        <v>9</v>
      </c>
      <c r="T97" s="51" t="str">
        <f t="shared" si="12"/>
        <v>De Energia</v>
      </c>
      <c r="U97" s="51" t="str">
        <f t="shared" si="12"/>
        <v>Elementos Elétricos</v>
      </c>
      <c r="V97" s="51" t="str">
        <f t="shared" si="12"/>
        <v>Elemento Aparelho Elétrico</v>
      </c>
      <c r="W97" s="21" t="s">
        <v>99</v>
      </c>
      <c r="X97" s="42" t="str">
        <f t="shared" si="9"/>
        <v>Key-INTEL-97</v>
      </c>
      <c r="Y97" s="21" t="s">
        <v>600</v>
      </c>
      <c r="Z97" s="52" t="s">
        <v>9</v>
      </c>
      <c r="AA97" s="20" t="s">
        <v>231</v>
      </c>
      <c r="AB97" s="52" t="s">
        <v>9</v>
      </c>
      <c r="AC97" s="21" t="s">
        <v>573</v>
      </c>
      <c r="AD97" s="52" t="s">
        <v>9</v>
      </c>
    </row>
    <row r="98" spans="1:30" ht="6.75" customHeight="1" x14ac:dyDescent="0.25">
      <c r="A98" s="41">
        <v>98</v>
      </c>
      <c r="B98" s="1" t="s">
        <v>594</v>
      </c>
      <c r="C98" s="1" t="s">
        <v>1365</v>
      </c>
      <c r="D98" s="1" t="s">
        <v>408</v>
      </c>
      <c r="E98" s="33" t="s">
        <v>1679</v>
      </c>
      <c r="F98" s="1" t="s">
        <v>373</v>
      </c>
      <c r="G98" s="47" t="s">
        <v>9</v>
      </c>
      <c r="H98" s="45" t="s">
        <v>9</v>
      </c>
      <c r="I98" s="45" t="s">
        <v>9</v>
      </c>
      <c r="J98" s="45" t="s">
        <v>9</v>
      </c>
      <c r="K98" s="45" t="s">
        <v>9</v>
      </c>
      <c r="L98" s="25" t="str">
        <f t="shared" si="13"/>
        <v>De.Energia</v>
      </c>
      <c r="M98" s="25" t="str">
        <f t="shared" si="13"/>
        <v>Elementos.Elétricos</v>
      </c>
      <c r="N98" s="25" t="str">
        <f t="shared" si="14"/>
        <v>Elemento Aparelho Elétrico</v>
      </c>
      <c r="O98" s="25" t="str">
        <f t="shared" si="14"/>
        <v>Freezer Laboratorial</v>
      </c>
      <c r="P98" s="21" t="s">
        <v>1459</v>
      </c>
      <c r="Q98" s="21" t="s">
        <v>1472</v>
      </c>
      <c r="R98" s="20" t="s">
        <v>1493</v>
      </c>
      <c r="S98" s="55" t="s">
        <v>9</v>
      </c>
      <c r="T98" s="51" t="str">
        <f t="shared" si="12"/>
        <v>De Energia</v>
      </c>
      <c r="U98" s="51" t="str">
        <f t="shared" si="12"/>
        <v>Elementos Elétricos</v>
      </c>
      <c r="V98" s="51" t="str">
        <f t="shared" si="12"/>
        <v>Elemento Aparelho Elétrico</v>
      </c>
      <c r="W98" s="21" t="s">
        <v>99</v>
      </c>
      <c r="X98" s="42" t="str">
        <f t="shared" si="9"/>
        <v>Key-INTEL-98</v>
      </c>
      <c r="Y98" s="21" t="s">
        <v>600</v>
      </c>
      <c r="Z98" s="52" t="s">
        <v>9</v>
      </c>
      <c r="AA98" s="20" t="s">
        <v>231</v>
      </c>
      <c r="AB98" s="52" t="s">
        <v>9</v>
      </c>
      <c r="AC98" s="21" t="s">
        <v>573</v>
      </c>
      <c r="AD98" s="52" t="s">
        <v>9</v>
      </c>
    </row>
    <row r="99" spans="1:30" ht="6.75" customHeight="1" x14ac:dyDescent="0.25">
      <c r="A99" s="41">
        <v>99</v>
      </c>
      <c r="B99" s="1" t="s">
        <v>594</v>
      </c>
      <c r="C99" s="1" t="s">
        <v>1365</v>
      </c>
      <c r="D99" s="1" t="s">
        <v>408</v>
      </c>
      <c r="E99" s="33" t="s">
        <v>1679</v>
      </c>
      <c r="F99" s="1" t="s">
        <v>242</v>
      </c>
      <c r="G99" s="47" t="s">
        <v>9</v>
      </c>
      <c r="H99" s="45" t="s">
        <v>9</v>
      </c>
      <c r="I99" s="45" t="s">
        <v>9</v>
      </c>
      <c r="J99" s="45" t="s">
        <v>9</v>
      </c>
      <c r="K99" s="45" t="s">
        <v>9</v>
      </c>
      <c r="L99" s="25" t="str">
        <f t="shared" si="13"/>
        <v>De.Energia</v>
      </c>
      <c r="M99" s="25" t="str">
        <f t="shared" si="13"/>
        <v>Elementos.Elétricos</v>
      </c>
      <c r="N99" s="25" t="str">
        <f t="shared" si="14"/>
        <v>Elemento Aparelho Elétrico</v>
      </c>
      <c r="O99" s="25" t="str">
        <f t="shared" si="14"/>
        <v>Geladeira</v>
      </c>
      <c r="P99" s="21" t="s">
        <v>1460</v>
      </c>
      <c r="Q99" s="21" t="s">
        <v>1481</v>
      </c>
      <c r="R99" s="20" t="s">
        <v>1494</v>
      </c>
      <c r="S99" s="55" t="s">
        <v>9</v>
      </c>
      <c r="T99" s="51" t="str">
        <f t="shared" si="12"/>
        <v>De Energia</v>
      </c>
      <c r="U99" s="51" t="str">
        <f t="shared" si="12"/>
        <v>Elementos Elétricos</v>
      </c>
      <c r="V99" s="51" t="str">
        <f t="shared" si="12"/>
        <v>Elemento Aparelho Elétrico</v>
      </c>
      <c r="W99" s="21" t="s">
        <v>99</v>
      </c>
      <c r="X99" s="42" t="str">
        <f t="shared" si="9"/>
        <v>Key-INTEL-99</v>
      </c>
      <c r="Y99" s="21" t="s">
        <v>600</v>
      </c>
      <c r="Z99" s="52" t="s">
        <v>9</v>
      </c>
      <c r="AA99" s="20" t="s">
        <v>237</v>
      </c>
      <c r="AB99" s="52" t="s">
        <v>9</v>
      </c>
      <c r="AC99" s="21" t="s">
        <v>573</v>
      </c>
      <c r="AD99" s="52" t="s">
        <v>9</v>
      </c>
    </row>
    <row r="100" spans="1:30" ht="6.75" customHeight="1" x14ac:dyDescent="0.25">
      <c r="A100" s="41">
        <v>100</v>
      </c>
      <c r="B100" s="1" t="s">
        <v>594</v>
      </c>
      <c r="C100" s="1" t="s">
        <v>1365</v>
      </c>
      <c r="D100" s="1" t="s">
        <v>408</v>
      </c>
      <c r="E100" s="33" t="s">
        <v>1679</v>
      </c>
      <c r="F100" s="1" t="s">
        <v>1450</v>
      </c>
      <c r="G100" s="47" t="s">
        <v>9</v>
      </c>
      <c r="H100" s="45" t="s">
        <v>9</v>
      </c>
      <c r="I100" s="45" t="s">
        <v>9</v>
      </c>
      <c r="J100" s="45" t="s">
        <v>9</v>
      </c>
      <c r="K100" s="45" t="s">
        <v>9</v>
      </c>
      <c r="L100" s="25" t="str">
        <f t="shared" si="13"/>
        <v>De.Energia</v>
      </c>
      <c r="M100" s="25" t="str">
        <f t="shared" si="13"/>
        <v>Elementos.Elétricos</v>
      </c>
      <c r="N100" s="25" t="str">
        <f t="shared" si="14"/>
        <v>Elemento Aparelho Elétrico</v>
      </c>
      <c r="O100" s="25" t="str">
        <f t="shared" si="14"/>
        <v>Geladeira Freezer</v>
      </c>
      <c r="P100" s="21" t="s">
        <v>1467</v>
      </c>
      <c r="Q100" s="21" t="s">
        <v>1480</v>
      </c>
      <c r="R100" s="20" t="s">
        <v>1495</v>
      </c>
      <c r="S100" s="55" t="s">
        <v>9</v>
      </c>
      <c r="T100" s="51" t="str">
        <f t="shared" si="12"/>
        <v>De Energia</v>
      </c>
      <c r="U100" s="51" t="str">
        <f t="shared" si="12"/>
        <v>Elementos Elétricos</v>
      </c>
      <c r="V100" s="51" t="str">
        <f t="shared" si="12"/>
        <v>Elemento Aparelho Elétrico</v>
      </c>
      <c r="W100" s="21" t="s">
        <v>99</v>
      </c>
      <c r="X100" s="42" t="str">
        <f t="shared" si="9"/>
        <v>Key-INTEL-100</v>
      </c>
      <c r="Y100" s="21" t="s">
        <v>600</v>
      </c>
      <c r="Z100" s="52" t="s">
        <v>9</v>
      </c>
      <c r="AA100" s="20" t="s">
        <v>232</v>
      </c>
      <c r="AB100" s="52" t="s">
        <v>9</v>
      </c>
      <c r="AC100" s="21" t="s">
        <v>573</v>
      </c>
      <c r="AD100" s="52" t="s">
        <v>9</v>
      </c>
    </row>
    <row r="101" spans="1:30" ht="6.75" customHeight="1" x14ac:dyDescent="0.25">
      <c r="A101" s="41">
        <v>101</v>
      </c>
      <c r="B101" s="1" t="s">
        <v>594</v>
      </c>
      <c r="C101" s="1" t="s">
        <v>1365</v>
      </c>
      <c r="D101" s="1" t="s">
        <v>408</v>
      </c>
      <c r="E101" s="33" t="s">
        <v>1679</v>
      </c>
      <c r="F101" s="1" t="s">
        <v>247</v>
      </c>
      <c r="G101" s="45" t="s">
        <v>9</v>
      </c>
      <c r="H101" s="45" t="s">
        <v>9</v>
      </c>
      <c r="I101" s="45" t="s">
        <v>9</v>
      </c>
      <c r="J101" s="45" t="s">
        <v>9</v>
      </c>
      <c r="K101" s="45" t="s">
        <v>9</v>
      </c>
      <c r="L101" s="25" t="str">
        <f t="shared" si="13"/>
        <v>De.Energia</v>
      </c>
      <c r="M101" s="25" t="str">
        <f t="shared" si="13"/>
        <v>Elementos.Elétricos</v>
      </c>
      <c r="N101" s="25" t="str">
        <f t="shared" si="14"/>
        <v>Elemento Aparelho Elétrico</v>
      </c>
      <c r="O101" s="25" t="str">
        <f t="shared" si="14"/>
        <v>Máquina Expendedora</v>
      </c>
      <c r="P101" s="21" t="s">
        <v>1461</v>
      </c>
      <c r="Q101" s="21" t="s">
        <v>1473</v>
      </c>
      <c r="R101" s="20" t="s">
        <v>1496</v>
      </c>
      <c r="S101" s="55" t="s">
        <v>9</v>
      </c>
      <c r="T101" s="51" t="str">
        <f t="shared" si="12"/>
        <v>De Energia</v>
      </c>
      <c r="U101" s="51" t="str">
        <f t="shared" si="12"/>
        <v>Elementos Elétricos</v>
      </c>
      <c r="V101" s="51" t="str">
        <f t="shared" si="12"/>
        <v>Elemento Aparelho Elétrico</v>
      </c>
      <c r="W101" s="21" t="s">
        <v>99</v>
      </c>
      <c r="X101" s="42" t="str">
        <f t="shared" si="9"/>
        <v>Key-INTEL-101</v>
      </c>
      <c r="Y101" s="21" t="s">
        <v>600</v>
      </c>
      <c r="Z101" s="52" t="s">
        <v>9</v>
      </c>
      <c r="AA101" s="20" t="s">
        <v>239</v>
      </c>
      <c r="AB101" s="52" t="s">
        <v>9</v>
      </c>
      <c r="AC101" s="21" t="s">
        <v>573</v>
      </c>
      <c r="AD101" s="52" t="s">
        <v>9</v>
      </c>
    </row>
    <row r="102" spans="1:30" ht="6.75" customHeight="1" x14ac:dyDescent="0.25">
      <c r="A102" s="41">
        <v>102</v>
      </c>
      <c r="B102" s="1" t="s">
        <v>594</v>
      </c>
      <c r="C102" s="1" t="s">
        <v>1365</v>
      </c>
      <c r="D102" s="1" t="s">
        <v>408</v>
      </c>
      <c r="E102" s="33" t="s">
        <v>1679</v>
      </c>
      <c r="F102" s="1" t="s">
        <v>248</v>
      </c>
      <c r="G102" s="45" t="s">
        <v>9</v>
      </c>
      <c r="H102" s="45" t="s">
        <v>9</v>
      </c>
      <c r="I102" s="45" t="s">
        <v>9</v>
      </c>
      <c r="J102" s="45" t="s">
        <v>9</v>
      </c>
      <c r="K102" s="45" t="s">
        <v>9</v>
      </c>
      <c r="L102" s="25" t="str">
        <f t="shared" ref="L102:M165" si="15">CONCATENATE("", C102)</f>
        <v>De.Energia</v>
      </c>
      <c r="M102" s="25" t="str">
        <f t="shared" si="15"/>
        <v>Elementos.Elétricos</v>
      </c>
      <c r="N102" s="25" t="str">
        <f t="shared" ref="N102:O165" si="16">(SUBSTITUTE(SUBSTITUTE(CONCATENATE("",E102),"."," ")," De "," de "))</f>
        <v>Elemento Aparelho Elétrico</v>
      </c>
      <c r="O102" s="25" t="str">
        <f t="shared" si="16"/>
        <v>Máquina Lava Louça</v>
      </c>
      <c r="P102" s="21" t="s">
        <v>1464</v>
      </c>
      <c r="Q102" s="21" t="s">
        <v>1482</v>
      </c>
      <c r="R102" s="20" t="s">
        <v>1497</v>
      </c>
      <c r="S102" s="55" t="s">
        <v>9</v>
      </c>
      <c r="T102" s="51" t="str">
        <f t="shared" si="12"/>
        <v>De Energia</v>
      </c>
      <c r="U102" s="51" t="str">
        <f t="shared" si="12"/>
        <v>Elementos Elétricos</v>
      </c>
      <c r="V102" s="51" t="str">
        <f t="shared" si="12"/>
        <v>Elemento Aparelho Elétrico</v>
      </c>
      <c r="W102" s="21" t="s">
        <v>99</v>
      </c>
      <c r="X102" s="42" t="str">
        <f t="shared" si="9"/>
        <v>Key-INTEL-102</v>
      </c>
      <c r="Y102" s="21" t="s">
        <v>600</v>
      </c>
      <c r="Z102" s="52" t="s">
        <v>9</v>
      </c>
      <c r="AA102" s="20" t="s">
        <v>225</v>
      </c>
      <c r="AB102" s="52" t="s">
        <v>9</v>
      </c>
      <c r="AC102" s="21" t="s">
        <v>573</v>
      </c>
      <c r="AD102" s="52" t="s">
        <v>9</v>
      </c>
    </row>
    <row r="103" spans="1:30" ht="6.75" customHeight="1" x14ac:dyDescent="0.25">
      <c r="A103" s="41">
        <v>103</v>
      </c>
      <c r="B103" s="1" t="s">
        <v>594</v>
      </c>
      <c r="C103" s="1" t="s">
        <v>1365</v>
      </c>
      <c r="D103" s="1" t="s">
        <v>408</v>
      </c>
      <c r="E103" s="33" t="s">
        <v>1679</v>
      </c>
      <c r="F103" s="1" t="s">
        <v>249</v>
      </c>
      <c r="G103" s="45" t="s">
        <v>9</v>
      </c>
      <c r="H103" s="45" t="s">
        <v>9</v>
      </c>
      <c r="I103" s="45" t="s">
        <v>9</v>
      </c>
      <c r="J103" s="45" t="s">
        <v>9</v>
      </c>
      <c r="K103" s="45" t="s">
        <v>9</v>
      </c>
      <c r="L103" s="25" t="str">
        <f t="shared" si="15"/>
        <v>De.Energia</v>
      </c>
      <c r="M103" s="25" t="str">
        <f t="shared" si="15"/>
        <v>Elementos.Elétricos</v>
      </c>
      <c r="N103" s="25" t="str">
        <f t="shared" si="16"/>
        <v>Elemento Aparelho Elétrico</v>
      </c>
      <c r="O103" s="25" t="str">
        <f t="shared" si="16"/>
        <v>Máquina Lava Roupa</v>
      </c>
      <c r="P103" s="21" t="s">
        <v>1462</v>
      </c>
      <c r="Q103" s="21" t="s">
        <v>1483</v>
      </c>
      <c r="R103" s="20" t="s">
        <v>1498</v>
      </c>
      <c r="S103" s="55" t="s">
        <v>9</v>
      </c>
      <c r="T103" s="51" t="str">
        <f t="shared" si="12"/>
        <v>De Energia</v>
      </c>
      <c r="U103" s="51" t="str">
        <f t="shared" si="12"/>
        <v>Elementos Elétricos</v>
      </c>
      <c r="V103" s="51" t="str">
        <f t="shared" si="12"/>
        <v>Elemento Aparelho Elétrico</v>
      </c>
      <c r="W103" s="21" t="s">
        <v>99</v>
      </c>
      <c r="X103" s="42" t="str">
        <f t="shared" si="9"/>
        <v>Key-INTEL-103</v>
      </c>
      <c r="Y103" s="21" t="s">
        <v>600</v>
      </c>
      <c r="Z103" s="52" t="s">
        <v>9</v>
      </c>
      <c r="AA103" s="20" t="s">
        <v>240</v>
      </c>
      <c r="AB103" s="52" t="s">
        <v>9</v>
      </c>
      <c r="AC103" s="21" t="s">
        <v>573</v>
      </c>
      <c r="AD103" s="52" t="s">
        <v>9</v>
      </c>
    </row>
    <row r="104" spans="1:30" ht="6.75" customHeight="1" x14ac:dyDescent="0.25">
      <c r="A104" s="41">
        <v>104</v>
      </c>
      <c r="B104" s="1" t="s">
        <v>594</v>
      </c>
      <c r="C104" s="1" t="s">
        <v>1365</v>
      </c>
      <c r="D104" s="1" t="s">
        <v>408</v>
      </c>
      <c r="E104" s="33" t="s">
        <v>1679</v>
      </c>
      <c r="F104" s="1" t="s">
        <v>250</v>
      </c>
      <c r="G104" s="45" t="s">
        <v>9</v>
      </c>
      <c r="H104" s="45" t="s">
        <v>9</v>
      </c>
      <c r="I104" s="45" t="s">
        <v>9</v>
      </c>
      <c r="J104" s="45" t="s">
        <v>9</v>
      </c>
      <c r="K104" s="45" t="s">
        <v>9</v>
      </c>
      <c r="L104" s="25" t="str">
        <f t="shared" si="15"/>
        <v>De.Energia</v>
      </c>
      <c r="M104" s="25" t="str">
        <f t="shared" si="15"/>
        <v>Elementos.Elétricos</v>
      </c>
      <c r="N104" s="25" t="str">
        <f t="shared" si="16"/>
        <v>Elemento Aparelho Elétrico</v>
      </c>
      <c r="O104" s="25" t="str">
        <f t="shared" si="16"/>
        <v>Máquina Seca Roupa</v>
      </c>
      <c r="P104" s="21" t="s">
        <v>1463</v>
      </c>
      <c r="Q104" s="21" t="s">
        <v>1484</v>
      </c>
      <c r="R104" s="20" t="s">
        <v>1499</v>
      </c>
      <c r="S104" s="55" t="s">
        <v>9</v>
      </c>
      <c r="T104" s="51" t="str">
        <f t="shared" si="12"/>
        <v>De Energia</v>
      </c>
      <c r="U104" s="51" t="str">
        <f t="shared" si="12"/>
        <v>Elementos Elétricos</v>
      </c>
      <c r="V104" s="51" t="str">
        <f t="shared" si="12"/>
        <v>Elemento Aparelho Elétrico</v>
      </c>
      <c r="W104" s="21" t="s">
        <v>99</v>
      </c>
      <c r="X104" s="42" t="str">
        <f t="shared" si="9"/>
        <v>Key-INTEL-104</v>
      </c>
      <c r="Y104" s="21" t="s">
        <v>600</v>
      </c>
      <c r="Z104" s="52" t="s">
        <v>9</v>
      </c>
      <c r="AA104" s="20" t="s">
        <v>238</v>
      </c>
      <c r="AB104" s="52" t="s">
        <v>9</v>
      </c>
      <c r="AC104" s="21" t="s">
        <v>573</v>
      </c>
      <c r="AD104" s="52" t="s">
        <v>9</v>
      </c>
    </row>
    <row r="105" spans="1:30" ht="6.75" customHeight="1" x14ac:dyDescent="0.25">
      <c r="A105" s="41">
        <v>105</v>
      </c>
      <c r="B105" s="1" t="s">
        <v>594</v>
      </c>
      <c r="C105" s="1" t="s">
        <v>1365</v>
      </c>
      <c r="D105" s="1" t="s">
        <v>408</v>
      </c>
      <c r="E105" s="33" t="s">
        <v>1679</v>
      </c>
      <c r="F105" s="1" t="s">
        <v>246</v>
      </c>
      <c r="G105" s="45" t="s">
        <v>9</v>
      </c>
      <c r="H105" s="45" t="s">
        <v>9</v>
      </c>
      <c r="I105" s="45" t="s">
        <v>9</v>
      </c>
      <c r="J105" s="45" t="s">
        <v>9</v>
      </c>
      <c r="K105" s="45" t="s">
        <v>9</v>
      </c>
      <c r="L105" s="25" t="str">
        <f t="shared" si="15"/>
        <v>De.Energia</v>
      </c>
      <c r="M105" s="25" t="str">
        <f t="shared" si="15"/>
        <v>Elementos.Elétricos</v>
      </c>
      <c r="N105" s="25" t="str">
        <f t="shared" si="16"/>
        <v>Elemento Aparelho Elétrico</v>
      </c>
      <c r="O105" s="25" t="str">
        <f t="shared" si="16"/>
        <v>Processador Alimento</v>
      </c>
      <c r="P105" s="21" t="s">
        <v>1465</v>
      </c>
      <c r="Q105" s="21" t="s">
        <v>1485</v>
      </c>
      <c r="R105" s="20" t="s">
        <v>1500</v>
      </c>
      <c r="S105" s="55" t="s">
        <v>9</v>
      </c>
      <c r="T105" s="51" t="str">
        <f t="shared" si="12"/>
        <v>De Energia</v>
      </c>
      <c r="U105" s="51" t="str">
        <f t="shared" si="12"/>
        <v>Elementos Elétricos</v>
      </c>
      <c r="V105" s="51" t="str">
        <f t="shared" si="12"/>
        <v>Elemento Aparelho Elétrico</v>
      </c>
      <c r="W105" s="21" t="s">
        <v>99</v>
      </c>
      <c r="X105" s="42" t="str">
        <f t="shared" si="9"/>
        <v>Key-INTEL-105</v>
      </c>
      <c r="Y105" s="21" t="s">
        <v>600</v>
      </c>
      <c r="Z105" s="52" t="s">
        <v>9</v>
      </c>
      <c r="AA105" s="20" t="s">
        <v>234</v>
      </c>
      <c r="AB105" s="52" t="s">
        <v>9</v>
      </c>
      <c r="AC105" s="21" t="s">
        <v>573</v>
      </c>
      <c r="AD105" s="52" t="s">
        <v>9</v>
      </c>
    </row>
    <row r="106" spans="1:30" ht="6.75" customHeight="1" x14ac:dyDescent="0.25">
      <c r="A106" s="41">
        <v>106</v>
      </c>
      <c r="B106" s="1" t="s">
        <v>594</v>
      </c>
      <c r="C106" s="1" t="s">
        <v>1365</v>
      </c>
      <c r="D106" s="1" t="s">
        <v>408</v>
      </c>
      <c r="E106" s="33" t="s">
        <v>1679</v>
      </c>
      <c r="F106" s="1" t="s">
        <v>1447</v>
      </c>
      <c r="G106" s="45" t="s">
        <v>9</v>
      </c>
      <c r="H106" s="45" t="s">
        <v>9</v>
      </c>
      <c r="I106" s="45" t="s">
        <v>9</v>
      </c>
      <c r="J106" s="45" t="s">
        <v>9</v>
      </c>
      <c r="K106" s="45" t="s">
        <v>9</v>
      </c>
      <c r="L106" s="25" t="str">
        <f t="shared" si="15"/>
        <v>De.Energia</v>
      </c>
      <c r="M106" s="25" t="str">
        <f t="shared" si="15"/>
        <v>Elementos.Elétricos</v>
      </c>
      <c r="N106" s="25" t="str">
        <f t="shared" si="16"/>
        <v>Elemento Aparelho Elétrico</v>
      </c>
      <c r="O106" s="25" t="str">
        <f t="shared" si="16"/>
        <v>Secador de Mão</v>
      </c>
      <c r="P106" s="21" t="s">
        <v>1466</v>
      </c>
      <c r="Q106" s="21" t="s">
        <v>1474</v>
      </c>
      <c r="R106" s="20" t="s">
        <v>1501</v>
      </c>
      <c r="S106" s="55" t="s">
        <v>9</v>
      </c>
      <c r="T106" s="51" t="str">
        <f t="shared" si="12"/>
        <v>De Energia</v>
      </c>
      <c r="U106" s="51" t="str">
        <f t="shared" si="12"/>
        <v>Elementos Elétricos</v>
      </c>
      <c r="V106" s="51" t="str">
        <f t="shared" si="12"/>
        <v>Elemento Aparelho Elétrico</v>
      </c>
      <c r="W106" s="21" t="s">
        <v>99</v>
      </c>
      <c r="X106" s="42" t="str">
        <f t="shared" si="9"/>
        <v>Key-INTEL-106</v>
      </c>
      <c r="Y106" s="21" t="s">
        <v>600</v>
      </c>
      <c r="Z106" s="52" t="s">
        <v>9</v>
      </c>
      <c r="AA106" s="20" t="s">
        <v>233</v>
      </c>
      <c r="AB106" s="52" t="s">
        <v>9</v>
      </c>
      <c r="AC106" s="21" t="s">
        <v>573</v>
      </c>
      <c r="AD106" s="52" t="s">
        <v>9</v>
      </c>
    </row>
    <row r="107" spans="1:30" ht="6.75" customHeight="1" x14ac:dyDescent="0.25">
      <c r="A107" s="41">
        <v>107</v>
      </c>
      <c r="B107" s="1" t="s">
        <v>594</v>
      </c>
      <c r="C107" s="1" t="s">
        <v>1365</v>
      </c>
      <c r="D107" s="1" t="s">
        <v>408</v>
      </c>
      <c r="E107" s="33" t="s">
        <v>1679</v>
      </c>
      <c r="F107" s="1" t="s">
        <v>1503</v>
      </c>
      <c r="G107" s="45" t="s">
        <v>9</v>
      </c>
      <c r="H107" s="45" t="s">
        <v>9</v>
      </c>
      <c r="I107" s="45" t="s">
        <v>9</v>
      </c>
      <c r="J107" s="45" t="s">
        <v>9</v>
      </c>
      <c r="K107" s="45" t="s">
        <v>9</v>
      </c>
      <c r="L107" s="25" t="str">
        <f t="shared" si="15"/>
        <v>De.Energia</v>
      </c>
      <c r="M107" s="25" t="str">
        <f t="shared" si="15"/>
        <v>Elementos.Elétricos</v>
      </c>
      <c r="N107" s="25" t="str">
        <f t="shared" si="16"/>
        <v>Elemento Aparelho Elétrico</v>
      </c>
      <c r="O107" s="25" t="str">
        <f t="shared" si="16"/>
        <v>Televisor</v>
      </c>
      <c r="P107" s="21" t="s">
        <v>1503</v>
      </c>
      <c r="Q107" s="21" t="s">
        <v>1504</v>
      </c>
      <c r="R107" s="20" t="s">
        <v>1505</v>
      </c>
      <c r="S107" s="55" t="s">
        <v>9</v>
      </c>
      <c r="T107" s="51" t="str">
        <f t="shared" si="12"/>
        <v>De Energia</v>
      </c>
      <c r="U107" s="51" t="str">
        <f t="shared" si="12"/>
        <v>Elementos Elétricos</v>
      </c>
      <c r="V107" s="51" t="str">
        <f t="shared" si="12"/>
        <v>Elemento Aparelho Elétrico</v>
      </c>
      <c r="W107" s="21" t="s">
        <v>99</v>
      </c>
      <c r="X107" s="42" t="str">
        <f t="shared" si="9"/>
        <v>Key-INTEL-107</v>
      </c>
      <c r="Y107" s="21" t="s">
        <v>600</v>
      </c>
      <c r="Z107" s="52" t="s">
        <v>9</v>
      </c>
      <c r="AA107" s="20" t="s">
        <v>233</v>
      </c>
      <c r="AB107" s="52" t="s">
        <v>9</v>
      </c>
      <c r="AC107" s="21" t="s">
        <v>573</v>
      </c>
      <c r="AD107" s="52" t="s">
        <v>9</v>
      </c>
    </row>
    <row r="108" spans="1:30" ht="6.75" customHeight="1" x14ac:dyDescent="0.25">
      <c r="A108" s="41">
        <v>108</v>
      </c>
      <c r="B108" s="1" t="s">
        <v>594</v>
      </c>
      <c r="C108" s="1" t="s">
        <v>1365</v>
      </c>
      <c r="D108" s="1" t="s">
        <v>408</v>
      </c>
      <c r="E108" s="33" t="s">
        <v>1679</v>
      </c>
      <c r="F108" s="1" t="s">
        <v>1448</v>
      </c>
      <c r="G108" s="45" t="s">
        <v>9</v>
      </c>
      <c r="H108" s="45" t="s">
        <v>9</v>
      </c>
      <c r="I108" s="45" t="s">
        <v>9</v>
      </c>
      <c r="J108" s="45" t="s">
        <v>9</v>
      </c>
      <c r="K108" s="45" t="s">
        <v>9</v>
      </c>
      <c r="L108" s="25" t="str">
        <f t="shared" si="15"/>
        <v>De.Energia</v>
      </c>
      <c r="M108" s="25" t="str">
        <f t="shared" si="15"/>
        <v>Elementos.Elétricos</v>
      </c>
      <c r="N108" s="25" t="str">
        <f t="shared" si="16"/>
        <v>Elemento Aparelho Elétrico</v>
      </c>
      <c r="O108" s="25" t="str">
        <f t="shared" si="16"/>
        <v>Ventilador</v>
      </c>
      <c r="P108" s="21" t="s">
        <v>1476</v>
      </c>
      <c r="Q108" s="21" t="s">
        <v>1475</v>
      </c>
      <c r="R108" s="20" t="s">
        <v>1502</v>
      </c>
      <c r="S108" s="55" t="s">
        <v>9</v>
      </c>
      <c r="T108" s="51" t="str">
        <f t="shared" si="12"/>
        <v>De Energia</v>
      </c>
      <c r="U108" s="51" t="str">
        <f t="shared" si="12"/>
        <v>Elementos Elétricos</v>
      </c>
      <c r="V108" s="51" t="str">
        <f t="shared" si="12"/>
        <v>Elemento Aparelho Elétrico</v>
      </c>
      <c r="W108" s="21" t="s">
        <v>99</v>
      </c>
      <c r="X108" s="42" t="str">
        <f t="shared" si="9"/>
        <v>Key-INTEL-108</v>
      </c>
      <c r="Y108" s="21" t="s">
        <v>600</v>
      </c>
      <c r="Z108" s="52" t="s">
        <v>9</v>
      </c>
      <c r="AA108" s="20" t="s">
        <v>228</v>
      </c>
      <c r="AB108" s="52" t="s">
        <v>9</v>
      </c>
      <c r="AC108" s="21" t="s">
        <v>573</v>
      </c>
      <c r="AD108" s="52" t="s">
        <v>9</v>
      </c>
    </row>
    <row r="109" spans="1:30" ht="6.75" customHeight="1" x14ac:dyDescent="0.25">
      <c r="A109" s="41">
        <v>109</v>
      </c>
      <c r="B109" s="1" t="s">
        <v>594</v>
      </c>
      <c r="C109" s="1" t="s">
        <v>1365</v>
      </c>
      <c r="D109" s="1" t="s">
        <v>408</v>
      </c>
      <c r="E109" s="1" t="s">
        <v>1680</v>
      </c>
      <c r="F109" s="39" t="s">
        <v>262</v>
      </c>
      <c r="G109" s="45" t="s">
        <v>9</v>
      </c>
      <c r="H109" s="45" t="s">
        <v>9</v>
      </c>
      <c r="I109" s="45" t="s">
        <v>9</v>
      </c>
      <c r="J109" s="45" t="s">
        <v>9</v>
      </c>
      <c r="K109" s="45" t="s">
        <v>9</v>
      </c>
      <c r="L109" s="25" t="str">
        <f t="shared" si="15"/>
        <v>De.Energia</v>
      </c>
      <c r="M109" s="25" t="str">
        <f t="shared" si="15"/>
        <v>Elementos.Elétricos</v>
      </c>
      <c r="N109" s="25" t="str">
        <f t="shared" si="16"/>
        <v>Elemento Bateria Elétrica</v>
      </c>
      <c r="O109" s="25" t="str">
        <f t="shared" si="16"/>
        <v>Banco de Capacitores</v>
      </c>
      <c r="P109" s="21" t="s">
        <v>271</v>
      </c>
      <c r="Q109" s="21" t="s">
        <v>279</v>
      </c>
      <c r="R109" s="21" t="s">
        <v>653</v>
      </c>
      <c r="S109" s="55" t="s">
        <v>9</v>
      </c>
      <c r="T109" s="51" t="str">
        <f t="shared" si="12"/>
        <v>De Energia</v>
      </c>
      <c r="U109" s="51" t="str">
        <f t="shared" si="12"/>
        <v>Elementos Elétricos</v>
      </c>
      <c r="V109" s="51" t="str">
        <f t="shared" si="12"/>
        <v>Elemento Bateria Elétrica</v>
      </c>
      <c r="W109" s="21" t="s">
        <v>99</v>
      </c>
      <c r="X109" s="42" t="str">
        <f t="shared" si="9"/>
        <v>Key-INTEL-109</v>
      </c>
      <c r="Y109" s="21" t="s">
        <v>600</v>
      </c>
      <c r="Z109" s="52" t="s">
        <v>9</v>
      </c>
      <c r="AA109" s="20" t="s">
        <v>253</v>
      </c>
      <c r="AB109" s="52" t="s">
        <v>9</v>
      </c>
      <c r="AC109" s="21" t="s">
        <v>572</v>
      </c>
      <c r="AD109" s="52" t="s">
        <v>9</v>
      </c>
    </row>
    <row r="110" spans="1:30" ht="6.75" customHeight="1" x14ac:dyDescent="0.25">
      <c r="A110" s="41">
        <v>110</v>
      </c>
      <c r="B110" s="1" t="s">
        <v>594</v>
      </c>
      <c r="C110" s="1" t="s">
        <v>1365</v>
      </c>
      <c r="D110" s="1" t="s">
        <v>408</v>
      </c>
      <c r="E110" s="1" t="s">
        <v>1680</v>
      </c>
      <c r="F110" s="39" t="s">
        <v>266</v>
      </c>
      <c r="G110" s="45" t="s">
        <v>9</v>
      </c>
      <c r="H110" s="45" t="s">
        <v>9</v>
      </c>
      <c r="I110" s="45" t="s">
        <v>9</v>
      </c>
      <c r="J110" s="45" t="s">
        <v>9</v>
      </c>
      <c r="K110" s="45" t="s">
        <v>9</v>
      </c>
      <c r="L110" s="25" t="str">
        <f t="shared" si="15"/>
        <v>De.Energia</v>
      </c>
      <c r="M110" s="25" t="str">
        <f t="shared" si="15"/>
        <v>Elementos.Elétricos</v>
      </c>
      <c r="N110" s="25" t="str">
        <f t="shared" si="16"/>
        <v>Elemento Bateria Elétrica</v>
      </c>
      <c r="O110" s="25" t="str">
        <f t="shared" si="16"/>
        <v>Banco de Indutores</v>
      </c>
      <c r="P110" s="21" t="s">
        <v>275</v>
      </c>
      <c r="Q110" s="21" t="s">
        <v>283</v>
      </c>
      <c r="R110" s="21" t="s">
        <v>657</v>
      </c>
      <c r="S110" s="55" t="s">
        <v>9</v>
      </c>
      <c r="T110" s="51" t="str">
        <f t="shared" si="12"/>
        <v>De Energia</v>
      </c>
      <c r="U110" s="51" t="str">
        <f t="shared" si="12"/>
        <v>Elementos Elétricos</v>
      </c>
      <c r="V110" s="51" t="str">
        <f t="shared" si="12"/>
        <v>Elemento Bateria Elétrica</v>
      </c>
      <c r="W110" s="21" t="s">
        <v>99</v>
      </c>
      <c r="X110" s="42" t="str">
        <f t="shared" si="9"/>
        <v>Key-INTEL-110</v>
      </c>
      <c r="Y110" s="21" t="s">
        <v>600</v>
      </c>
      <c r="Z110" s="52" t="s">
        <v>9</v>
      </c>
      <c r="AA110" s="20" t="s">
        <v>257</v>
      </c>
      <c r="AB110" s="52" t="s">
        <v>9</v>
      </c>
      <c r="AC110" s="21" t="s">
        <v>572</v>
      </c>
      <c r="AD110" s="52" t="s">
        <v>9</v>
      </c>
    </row>
    <row r="111" spans="1:30" ht="6.75" customHeight="1" x14ac:dyDescent="0.25">
      <c r="A111" s="41">
        <v>111</v>
      </c>
      <c r="B111" s="1" t="s">
        <v>594</v>
      </c>
      <c r="C111" s="1" t="s">
        <v>1365</v>
      </c>
      <c r="D111" s="1" t="s">
        <v>408</v>
      </c>
      <c r="E111" s="1" t="s">
        <v>1680</v>
      </c>
      <c r="F111" s="39" t="s">
        <v>260</v>
      </c>
      <c r="G111" s="45" t="s">
        <v>9</v>
      </c>
      <c r="H111" s="45" t="s">
        <v>9</v>
      </c>
      <c r="I111" s="45" t="s">
        <v>9</v>
      </c>
      <c r="J111" s="45" t="s">
        <v>9</v>
      </c>
      <c r="K111" s="45" t="s">
        <v>9</v>
      </c>
      <c r="L111" s="25" t="str">
        <f t="shared" si="15"/>
        <v>De.Energia</v>
      </c>
      <c r="M111" s="25" t="str">
        <f t="shared" si="15"/>
        <v>Elementos.Elétricos</v>
      </c>
      <c r="N111" s="25" t="str">
        <f t="shared" si="16"/>
        <v>Elemento Bateria Elétrica</v>
      </c>
      <c r="O111" s="25" t="str">
        <f t="shared" si="16"/>
        <v>Bateria</v>
      </c>
      <c r="P111" s="21" t="s">
        <v>269</v>
      </c>
      <c r="Q111" s="21" t="s">
        <v>277</v>
      </c>
      <c r="R111" s="21" t="s">
        <v>651</v>
      </c>
      <c r="S111" s="55" t="s">
        <v>9</v>
      </c>
      <c r="T111" s="51" t="str">
        <f t="shared" si="12"/>
        <v>De Energia</v>
      </c>
      <c r="U111" s="51" t="str">
        <f t="shared" si="12"/>
        <v>Elementos Elétricos</v>
      </c>
      <c r="V111" s="51" t="str">
        <f t="shared" si="12"/>
        <v>Elemento Bateria Elétrica</v>
      </c>
      <c r="W111" s="21" t="s">
        <v>99</v>
      </c>
      <c r="X111" s="42" t="str">
        <f t="shared" si="9"/>
        <v>Key-INTEL-111</v>
      </c>
      <c r="Y111" s="21" t="s">
        <v>600</v>
      </c>
      <c r="Z111" s="52" t="s">
        <v>9</v>
      </c>
      <c r="AA111" s="20" t="s">
        <v>251</v>
      </c>
      <c r="AB111" s="52" t="s">
        <v>9</v>
      </c>
      <c r="AC111" s="21" t="s">
        <v>572</v>
      </c>
      <c r="AD111" s="52" t="s">
        <v>9</v>
      </c>
    </row>
    <row r="112" spans="1:30" ht="6.75" customHeight="1" x14ac:dyDescent="0.25">
      <c r="A112" s="41">
        <v>112</v>
      </c>
      <c r="B112" s="1" t="s">
        <v>594</v>
      </c>
      <c r="C112" s="1" t="s">
        <v>1365</v>
      </c>
      <c r="D112" s="1" t="s">
        <v>408</v>
      </c>
      <c r="E112" s="1" t="s">
        <v>1680</v>
      </c>
      <c r="F112" s="39" t="s">
        <v>261</v>
      </c>
      <c r="G112" s="45" t="s">
        <v>9</v>
      </c>
      <c r="H112" s="45" t="s">
        <v>9</v>
      </c>
      <c r="I112" s="45" t="s">
        <v>9</v>
      </c>
      <c r="J112" s="45" t="s">
        <v>9</v>
      </c>
      <c r="K112" s="45" t="s">
        <v>9</v>
      </c>
      <c r="L112" s="25" t="str">
        <f t="shared" si="15"/>
        <v>De.Energia</v>
      </c>
      <c r="M112" s="25" t="str">
        <f t="shared" si="15"/>
        <v>Elementos.Elétricos</v>
      </c>
      <c r="N112" s="25" t="str">
        <f t="shared" si="16"/>
        <v>Elemento Bateria Elétrica</v>
      </c>
      <c r="O112" s="25" t="str">
        <f t="shared" si="16"/>
        <v>Capacitor</v>
      </c>
      <c r="P112" s="21" t="s">
        <v>270</v>
      </c>
      <c r="Q112" s="21" t="s">
        <v>278</v>
      </c>
      <c r="R112" s="21" t="s">
        <v>652</v>
      </c>
      <c r="S112" s="55" t="s">
        <v>9</v>
      </c>
      <c r="T112" s="51" t="str">
        <f t="shared" si="12"/>
        <v>De Energia</v>
      </c>
      <c r="U112" s="51" t="str">
        <f t="shared" si="12"/>
        <v>Elementos Elétricos</v>
      </c>
      <c r="V112" s="51" t="str">
        <f t="shared" si="12"/>
        <v>Elemento Bateria Elétrica</v>
      </c>
      <c r="W112" s="21" t="s">
        <v>99</v>
      </c>
      <c r="X112" s="42" t="str">
        <f t="shared" si="9"/>
        <v>Key-INTEL-112</v>
      </c>
      <c r="Y112" s="21" t="s">
        <v>600</v>
      </c>
      <c r="Z112" s="52" t="s">
        <v>9</v>
      </c>
      <c r="AA112" s="20" t="s">
        <v>252</v>
      </c>
      <c r="AB112" s="52" t="s">
        <v>9</v>
      </c>
      <c r="AC112" s="21" t="s">
        <v>572</v>
      </c>
      <c r="AD112" s="52" t="s">
        <v>9</v>
      </c>
    </row>
    <row r="113" spans="1:30" ht="6.75" customHeight="1" x14ac:dyDescent="0.25">
      <c r="A113" s="41">
        <v>113</v>
      </c>
      <c r="B113" s="1" t="s">
        <v>594</v>
      </c>
      <c r="C113" s="1" t="s">
        <v>1365</v>
      </c>
      <c r="D113" s="1" t="s">
        <v>408</v>
      </c>
      <c r="E113" s="1" t="s">
        <v>1680</v>
      </c>
      <c r="F113" s="39" t="s">
        <v>263</v>
      </c>
      <c r="G113" s="45" t="s">
        <v>9</v>
      </c>
      <c r="H113" s="45" t="s">
        <v>9</v>
      </c>
      <c r="I113" s="45" t="s">
        <v>9</v>
      </c>
      <c r="J113" s="45" t="s">
        <v>9</v>
      </c>
      <c r="K113" s="45" t="s">
        <v>9</v>
      </c>
      <c r="L113" s="25" t="str">
        <f t="shared" si="15"/>
        <v>De.Energia</v>
      </c>
      <c r="M113" s="25" t="str">
        <f t="shared" si="15"/>
        <v>Elementos.Elétricos</v>
      </c>
      <c r="N113" s="25" t="str">
        <f t="shared" si="16"/>
        <v>Elemento Bateria Elétrica</v>
      </c>
      <c r="O113" s="25" t="str">
        <f t="shared" si="16"/>
        <v>Compensador</v>
      </c>
      <c r="P113" s="21" t="s">
        <v>272</v>
      </c>
      <c r="Q113" s="21" t="s">
        <v>280</v>
      </c>
      <c r="R113" s="21" t="s">
        <v>654</v>
      </c>
      <c r="S113" s="55" t="s">
        <v>9</v>
      </c>
      <c r="T113" s="51" t="str">
        <f t="shared" si="12"/>
        <v>De Energia</v>
      </c>
      <c r="U113" s="51" t="str">
        <f t="shared" si="12"/>
        <v>Elementos Elétricos</v>
      </c>
      <c r="V113" s="51" t="str">
        <f t="shared" si="12"/>
        <v>Elemento Bateria Elétrica</v>
      </c>
      <c r="W113" s="21" t="s">
        <v>99</v>
      </c>
      <c r="X113" s="42" t="str">
        <f t="shared" si="9"/>
        <v>Key-INTEL-113</v>
      </c>
      <c r="Y113" s="21" t="s">
        <v>600</v>
      </c>
      <c r="Z113" s="52" t="s">
        <v>9</v>
      </c>
      <c r="AA113" s="20" t="s">
        <v>254</v>
      </c>
      <c r="AB113" s="52" t="s">
        <v>9</v>
      </c>
      <c r="AC113" s="21" t="s">
        <v>572</v>
      </c>
      <c r="AD113" s="52" t="s">
        <v>9</v>
      </c>
    </row>
    <row r="114" spans="1:30" ht="6.75" customHeight="1" x14ac:dyDescent="0.25">
      <c r="A114" s="41">
        <v>114</v>
      </c>
      <c r="B114" s="1" t="s">
        <v>594</v>
      </c>
      <c r="C114" s="1" t="s">
        <v>1365</v>
      </c>
      <c r="D114" s="1" t="s">
        <v>408</v>
      </c>
      <c r="E114" s="1" t="s">
        <v>1680</v>
      </c>
      <c r="F114" s="39" t="s">
        <v>264</v>
      </c>
      <c r="G114" s="45" t="s">
        <v>9</v>
      </c>
      <c r="H114" s="45" t="s">
        <v>9</v>
      </c>
      <c r="I114" s="45" t="s">
        <v>9</v>
      </c>
      <c r="J114" s="45" t="s">
        <v>9</v>
      </c>
      <c r="K114" s="45" t="s">
        <v>9</v>
      </c>
      <c r="L114" s="25" t="str">
        <f t="shared" si="15"/>
        <v>De.Energia</v>
      </c>
      <c r="M114" s="25" t="str">
        <f t="shared" si="15"/>
        <v>Elementos.Elétricos</v>
      </c>
      <c r="N114" s="25" t="str">
        <f t="shared" si="16"/>
        <v>Elemento Bateria Elétrica</v>
      </c>
      <c r="O114" s="25" t="str">
        <f t="shared" si="16"/>
        <v>Filtro Harmônico</v>
      </c>
      <c r="P114" s="21" t="s">
        <v>273</v>
      </c>
      <c r="Q114" s="21" t="s">
        <v>281</v>
      </c>
      <c r="R114" s="21" t="s">
        <v>655</v>
      </c>
      <c r="S114" s="55" t="s">
        <v>9</v>
      </c>
      <c r="T114" s="51" t="str">
        <f t="shared" si="12"/>
        <v>De Energia</v>
      </c>
      <c r="U114" s="51" t="str">
        <f t="shared" si="12"/>
        <v>Elementos Elétricos</v>
      </c>
      <c r="V114" s="51" t="str">
        <f t="shared" si="12"/>
        <v>Elemento Bateria Elétrica</v>
      </c>
      <c r="W114" s="21" t="s">
        <v>99</v>
      </c>
      <c r="X114" s="42" t="str">
        <f t="shared" si="9"/>
        <v>Key-INTEL-114</v>
      </c>
      <c r="Y114" s="21" t="s">
        <v>600</v>
      </c>
      <c r="Z114" s="52" t="s">
        <v>9</v>
      </c>
      <c r="AA114" s="20" t="s">
        <v>255</v>
      </c>
      <c r="AB114" s="52" t="s">
        <v>9</v>
      </c>
      <c r="AC114" s="21" t="s">
        <v>572</v>
      </c>
      <c r="AD114" s="52" t="s">
        <v>9</v>
      </c>
    </row>
    <row r="115" spans="1:30" ht="6.75" customHeight="1" x14ac:dyDescent="0.25">
      <c r="A115" s="41">
        <v>115</v>
      </c>
      <c r="B115" s="1" t="s">
        <v>594</v>
      </c>
      <c r="C115" s="1" t="s">
        <v>1365</v>
      </c>
      <c r="D115" s="1" t="s">
        <v>408</v>
      </c>
      <c r="E115" s="1" t="s">
        <v>1680</v>
      </c>
      <c r="F115" s="39" t="s">
        <v>265</v>
      </c>
      <c r="G115" s="45" t="s">
        <v>9</v>
      </c>
      <c r="H115" s="45" t="s">
        <v>9</v>
      </c>
      <c r="I115" s="45" t="s">
        <v>9</v>
      </c>
      <c r="J115" s="45" t="s">
        <v>9</v>
      </c>
      <c r="K115" s="45" t="s">
        <v>9</v>
      </c>
      <c r="L115" s="25" t="str">
        <f t="shared" si="15"/>
        <v>De.Energia</v>
      </c>
      <c r="M115" s="25" t="str">
        <f t="shared" si="15"/>
        <v>Elementos.Elétricos</v>
      </c>
      <c r="N115" s="25" t="str">
        <f t="shared" si="16"/>
        <v>Elemento Bateria Elétrica</v>
      </c>
      <c r="O115" s="25" t="str">
        <f t="shared" si="16"/>
        <v>Indutor</v>
      </c>
      <c r="P115" s="21" t="s">
        <v>274</v>
      </c>
      <c r="Q115" s="21" t="s">
        <v>282</v>
      </c>
      <c r="R115" s="21" t="s">
        <v>656</v>
      </c>
      <c r="S115" s="55" t="s">
        <v>9</v>
      </c>
      <c r="T115" s="51" t="str">
        <f t="shared" si="12"/>
        <v>De Energia</v>
      </c>
      <c r="U115" s="51" t="str">
        <f t="shared" si="12"/>
        <v>Elementos Elétricos</v>
      </c>
      <c r="V115" s="51" t="str">
        <f t="shared" si="12"/>
        <v>Elemento Bateria Elétrica</v>
      </c>
      <c r="W115" s="21" t="s">
        <v>99</v>
      </c>
      <c r="X115" s="42" t="str">
        <f t="shared" si="9"/>
        <v>Key-INTEL-115</v>
      </c>
      <c r="Y115" s="21" t="s">
        <v>600</v>
      </c>
      <c r="Z115" s="52" t="s">
        <v>9</v>
      </c>
      <c r="AA115" s="20" t="s">
        <v>256</v>
      </c>
      <c r="AB115" s="52" t="s">
        <v>9</v>
      </c>
      <c r="AC115" s="21" t="s">
        <v>572</v>
      </c>
      <c r="AD115" s="52" t="s">
        <v>9</v>
      </c>
    </row>
    <row r="116" spans="1:30" ht="6.75" customHeight="1" x14ac:dyDescent="0.25">
      <c r="A116" s="41">
        <v>116</v>
      </c>
      <c r="B116" s="1" t="s">
        <v>594</v>
      </c>
      <c r="C116" s="1" t="s">
        <v>1365</v>
      </c>
      <c r="D116" s="1" t="s">
        <v>408</v>
      </c>
      <c r="E116" s="1" t="s">
        <v>1680</v>
      </c>
      <c r="F116" s="39" t="s">
        <v>267</v>
      </c>
      <c r="G116" s="45" t="s">
        <v>9</v>
      </c>
      <c r="H116" s="45" t="s">
        <v>9</v>
      </c>
      <c r="I116" s="45" t="s">
        <v>9</v>
      </c>
      <c r="J116" s="45" t="s">
        <v>9</v>
      </c>
      <c r="K116" s="45" t="s">
        <v>9</v>
      </c>
      <c r="L116" s="25" t="str">
        <f t="shared" si="15"/>
        <v>De.Energia</v>
      </c>
      <c r="M116" s="25" t="str">
        <f t="shared" si="15"/>
        <v>Elementos.Elétricos</v>
      </c>
      <c r="N116" s="25" t="str">
        <f t="shared" si="16"/>
        <v>Elemento Bateria Elétrica</v>
      </c>
      <c r="O116" s="25" t="str">
        <f t="shared" si="16"/>
        <v>Recarga</v>
      </c>
      <c r="P116" s="21" t="s">
        <v>127</v>
      </c>
      <c r="Q116" s="21" t="s">
        <v>284</v>
      </c>
      <c r="R116" s="21" t="s">
        <v>658</v>
      </c>
      <c r="S116" s="55" t="s">
        <v>9</v>
      </c>
      <c r="T116" s="51" t="str">
        <f t="shared" si="12"/>
        <v>De Energia</v>
      </c>
      <c r="U116" s="51" t="str">
        <f t="shared" si="12"/>
        <v>Elementos Elétricos</v>
      </c>
      <c r="V116" s="51" t="str">
        <f t="shared" si="12"/>
        <v>Elemento Bateria Elétrica</v>
      </c>
      <c r="W116" s="21" t="s">
        <v>99</v>
      </c>
      <c r="X116" s="42" t="str">
        <f t="shared" si="9"/>
        <v>Key-INTEL-116</v>
      </c>
      <c r="Y116" s="21" t="s">
        <v>600</v>
      </c>
      <c r="Z116" s="52" t="s">
        <v>9</v>
      </c>
      <c r="AA116" s="20" t="s">
        <v>258</v>
      </c>
      <c r="AB116" s="52" t="s">
        <v>9</v>
      </c>
      <c r="AC116" s="21" t="s">
        <v>572</v>
      </c>
      <c r="AD116" s="52" t="s">
        <v>9</v>
      </c>
    </row>
    <row r="117" spans="1:30" ht="6.75" customHeight="1" x14ac:dyDescent="0.25">
      <c r="A117" s="41">
        <v>117</v>
      </c>
      <c r="B117" s="1" t="s">
        <v>594</v>
      </c>
      <c r="C117" s="1" t="s">
        <v>1365</v>
      </c>
      <c r="D117" s="1" t="s">
        <v>408</v>
      </c>
      <c r="E117" s="1" t="s">
        <v>1680</v>
      </c>
      <c r="F117" s="39" t="s">
        <v>268</v>
      </c>
      <c r="G117" s="45" t="s">
        <v>9</v>
      </c>
      <c r="H117" s="45" t="s">
        <v>9</v>
      </c>
      <c r="I117" s="45" t="s">
        <v>9</v>
      </c>
      <c r="J117" s="45" t="s">
        <v>9</v>
      </c>
      <c r="K117" s="45" t="s">
        <v>9</v>
      </c>
      <c r="L117" s="25" t="str">
        <f t="shared" si="15"/>
        <v>De.Energia</v>
      </c>
      <c r="M117" s="25" t="str">
        <f t="shared" si="15"/>
        <v>Elementos.Elétricos</v>
      </c>
      <c r="N117" s="25" t="str">
        <f t="shared" si="16"/>
        <v>Elemento Bateria Elétrica</v>
      </c>
      <c r="O117" s="25" t="str">
        <f t="shared" si="16"/>
        <v>UPS</v>
      </c>
      <c r="P117" s="21" t="s">
        <v>276</v>
      </c>
      <c r="Q117" s="21" t="s">
        <v>285</v>
      </c>
      <c r="R117" s="21" t="s">
        <v>659</v>
      </c>
      <c r="S117" s="55" t="s">
        <v>9</v>
      </c>
      <c r="T117" s="51" t="str">
        <f t="shared" si="12"/>
        <v>De Energia</v>
      </c>
      <c r="U117" s="51" t="str">
        <f t="shared" si="12"/>
        <v>Elementos Elétricos</v>
      </c>
      <c r="V117" s="51" t="str">
        <f t="shared" si="12"/>
        <v>Elemento Bateria Elétrica</v>
      </c>
      <c r="W117" s="21" t="s">
        <v>99</v>
      </c>
      <c r="X117" s="42" t="str">
        <f t="shared" si="9"/>
        <v>Key-INTEL-117</v>
      </c>
      <c r="Y117" s="21" t="s">
        <v>600</v>
      </c>
      <c r="Z117" s="52" t="s">
        <v>9</v>
      </c>
      <c r="AA117" s="20" t="s">
        <v>259</v>
      </c>
      <c r="AB117" s="52" t="s">
        <v>9</v>
      </c>
      <c r="AC117" s="21" t="s">
        <v>572</v>
      </c>
      <c r="AD117" s="52" t="s">
        <v>9</v>
      </c>
    </row>
    <row r="118" spans="1:30" ht="6.75" customHeight="1" x14ac:dyDescent="0.25">
      <c r="A118" s="41">
        <v>118</v>
      </c>
      <c r="B118" s="1" t="s">
        <v>594</v>
      </c>
      <c r="C118" s="1" t="s">
        <v>1365</v>
      </c>
      <c r="D118" s="1" t="s">
        <v>408</v>
      </c>
      <c r="E118" s="1" t="s">
        <v>1681</v>
      </c>
      <c r="F118" s="39" t="s">
        <v>550</v>
      </c>
      <c r="G118" s="45" t="s">
        <v>9</v>
      </c>
      <c r="H118" s="45" t="s">
        <v>9</v>
      </c>
      <c r="I118" s="45" t="s">
        <v>9</v>
      </c>
      <c r="J118" s="45" t="s">
        <v>9</v>
      </c>
      <c r="K118" s="45" t="s">
        <v>9</v>
      </c>
      <c r="L118" s="25" t="str">
        <f t="shared" si="15"/>
        <v>De.Energia</v>
      </c>
      <c r="M118" s="25" t="str">
        <f t="shared" si="15"/>
        <v>Elementos.Elétricos</v>
      </c>
      <c r="N118" s="25" t="str">
        <f t="shared" si="16"/>
        <v>Cabeamento Conexão</v>
      </c>
      <c r="O118" s="25" t="str">
        <f t="shared" si="16"/>
        <v>Conexão de Cabo</v>
      </c>
      <c r="P118" s="21" t="s">
        <v>503</v>
      </c>
      <c r="Q118" s="21" t="s">
        <v>504</v>
      </c>
      <c r="R118" s="21" t="s">
        <v>638</v>
      </c>
      <c r="S118" s="55" t="s">
        <v>9</v>
      </c>
      <c r="T118" s="51" t="str">
        <f t="shared" si="12"/>
        <v>De Energia</v>
      </c>
      <c r="U118" s="51" t="str">
        <f t="shared" si="12"/>
        <v>Elementos Elétricos</v>
      </c>
      <c r="V118" s="51" t="str">
        <f t="shared" si="12"/>
        <v>Cabeamento Conexão</v>
      </c>
      <c r="W118" s="21" t="s">
        <v>99</v>
      </c>
      <c r="X118" s="42" t="str">
        <f t="shared" si="9"/>
        <v>Key-INTEL-118</v>
      </c>
      <c r="Y118" s="20" t="s">
        <v>599</v>
      </c>
      <c r="Z118" s="52" t="s">
        <v>9</v>
      </c>
      <c r="AA118" s="20" t="s">
        <v>539</v>
      </c>
      <c r="AB118" s="52" t="s">
        <v>9</v>
      </c>
      <c r="AC118" s="21" t="s">
        <v>572</v>
      </c>
      <c r="AD118" s="52" t="s">
        <v>9</v>
      </c>
    </row>
    <row r="119" spans="1:30" ht="6.75" customHeight="1" x14ac:dyDescent="0.25">
      <c r="A119" s="41">
        <v>119</v>
      </c>
      <c r="B119" s="1" t="s">
        <v>594</v>
      </c>
      <c r="C119" s="1" t="s">
        <v>1365</v>
      </c>
      <c r="D119" s="1" t="s">
        <v>408</v>
      </c>
      <c r="E119" s="1" t="s">
        <v>1681</v>
      </c>
      <c r="F119" s="39" t="s">
        <v>556</v>
      </c>
      <c r="G119" s="45" t="s">
        <v>9</v>
      </c>
      <c r="H119" s="45" t="s">
        <v>9</v>
      </c>
      <c r="I119" s="45" t="s">
        <v>9</v>
      </c>
      <c r="J119" s="45" t="s">
        <v>9</v>
      </c>
      <c r="K119" s="45" t="s">
        <v>9</v>
      </c>
      <c r="L119" s="25" t="str">
        <f t="shared" si="15"/>
        <v>De.Energia</v>
      </c>
      <c r="M119" s="25" t="str">
        <f t="shared" si="15"/>
        <v>Elementos.Elétricos</v>
      </c>
      <c r="N119" s="25" t="str">
        <f t="shared" si="16"/>
        <v>Cabeamento Conexão</v>
      </c>
      <c r="O119" s="25" t="str">
        <f t="shared" si="16"/>
        <v>Conexão de Cabo Conetor</v>
      </c>
      <c r="P119" s="21" t="s">
        <v>505</v>
      </c>
      <c r="Q119" s="21" t="s">
        <v>506</v>
      </c>
      <c r="R119" s="21" t="s">
        <v>639</v>
      </c>
      <c r="S119" s="55" t="s">
        <v>9</v>
      </c>
      <c r="T119" s="51" t="str">
        <f t="shared" si="12"/>
        <v>De Energia</v>
      </c>
      <c r="U119" s="51" t="str">
        <f t="shared" si="12"/>
        <v>Elementos Elétricos</v>
      </c>
      <c r="V119" s="51" t="str">
        <f t="shared" si="12"/>
        <v>Cabeamento Conexão</v>
      </c>
      <c r="W119" s="21" t="s">
        <v>99</v>
      </c>
      <c r="X119" s="42" t="str">
        <f t="shared" si="9"/>
        <v>Key-INTEL-119</v>
      </c>
      <c r="Y119" s="20" t="s">
        <v>599</v>
      </c>
      <c r="Z119" s="52" t="s">
        <v>9</v>
      </c>
      <c r="AA119" s="20" t="s">
        <v>538</v>
      </c>
      <c r="AB119" s="52" t="s">
        <v>9</v>
      </c>
      <c r="AC119" s="21" t="s">
        <v>572</v>
      </c>
      <c r="AD119" s="52" t="s">
        <v>9</v>
      </c>
    </row>
    <row r="120" spans="1:30" ht="6.75" customHeight="1" x14ac:dyDescent="0.25">
      <c r="A120" s="41">
        <v>120</v>
      </c>
      <c r="B120" s="1" t="s">
        <v>594</v>
      </c>
      <c r="C120" s="1" t="s">
        <v>1365</v>
      </c>
      <c r="D120" s="1" t="s">
        <v>408</v>
      </c>
      <c r="E120" s="1" t="s">
        <v>1681</v>
      </c>
      <c r="F120" s="39" t="s">
        <v>553</v>
      </c>
      <c r="G120" s="45" t="s">
        <v>9</v>
      </c>
      <c r="H120" s="45" t="s">
        <v>9</v>
      </c>
      <c r="I120" s="45" t="s">
        <v>9</v>
      </c>
      <c r="J120" s="45" t="s">
        <v>9</v>
      </c>
      <c r="K120" s="45" t="s">
        <v>9</v>
      </c>
      <c r="L120" s="25" t="str">
        <f t="shared" si="15"/>
        <v>De.Energia</v>
      </c>
      <c r="M120" s="25" t="str">
        <f t="shared" si="15"/>
        <v>Elementos.Elétricos</v>
      </c>
      <c r="N120" s="25" t="str">
        <f t="shared" si="16"/>
        <v>Cabeamento Conexão</v>
      </c>
      <c r="O120" s="25" t="str">
        <f t="shared" si="16"/>
        <v>Conexão de Cabo Divisor</v>
      </c>
      <c r="P120" s="21" t="s">
        <v>511</v>
      </c>
      <c r="Q120" s="21" t="s">
        <v>512</v>
      </c>
      <c r="R120" s="21" t="s">
        <v>642</v>
      </c>
      <c r="S120" s="55" t="s">
        <v>9</v>
      </c>
      <c r="T120" s="51" t="str">
        <f t="shared" si="12"/>
        <v>De Energia</v>
      </c>
      <c r="U120" s="51" t="str">
        <f t="shared" si="12"/>
        <v>Elementos Elétricos</v>
      </c>
      <c r="V120" s="51" t="str">
        <f t="shared" si="12"/>
        <v>Cabeamento Conexão</v>
      </c>
      <c r="W120" s="21" t="s">
        <v>99</v>
      </c>
      <c r="X120" s="42" t="str">
        <f t="shared" si="9"/>
        <v>Key-INTEL-120</v>
      </c>
      <c r="Y120" s="20" t="s">
        <v>599</v>
      </c>
      <c r="Z120" s="52" t="s">
        <v>9</v>
      </c>
      <c r="AA120" s="20" t="s">
        <v>535</v>
      </c>
      <c r="AB120" s="52" t="s">
        <v>9</v>
      </c>
      <c r="AC120" s="21" t="s">
        <v>572</v>
      </c>
      <c r="AD120" s="52" t="s">
        <v>9</v>
      </c>
    </row>
    <row r="121" spans="1:30" ht="6.75" customHeight="1" x14ac:dyDescent="0.25">
      <c r="A121" s="41">
        <v>121</v>
      </c>
      <c r="B121" s="1" t="s">
        <v>594</v>
      </c>
      <c r="C121" s="1" t="s">
        <v>1365</v>
      </c>
      <c r="D121" s="1" t="s">
        <v>408</v>
      </c>
      <c r="E121" s="1" t="s">
        <v>1681</v>
      </c>
      <c r="F121" s="39" t="s">
        <v>551</v>
      </c>
      <c r="G121" s="45" t="s">
        <v>9</v>
      </c>
      <c r="H121" s="45" t="s">
        <v>9</v>
      </c>
      <c r="I121" s="45" t="s">
        <v>9</v>
      </c>
      <c r="J121" s="45" t="s">
        <v>9</v>
      </c>
      <c r="K121" s="45" t="s">
        <v>9</v>
      </c>
      <c r="L121" s="25" t="str">
        <f t="shared" si="15"/>
        <v>De.Energia</v>
      </c>
      <c r="M121" s="25" t="str">
        <f t="shared" si="15"/>
        <v>Elementos.Elétricos</v>
      </c>
      <c r="N121" s="25" t="str">
        <f t="shared" si="16"/>
        <v>Cabeamento Conexão</v>
      </c>
      <c r="O121" s="25" t="str">
        <f t="shared" si="16"/>
        <v>Conexão de Cabo Entrada</v>
      </c>
      <c r="P121" s="21" t="s">
        <v>507</v>
      </c>
      <c r="Q121" s="21" t="s">
        <v>508</v>
      </c>
      <c r="R121" s="21" t="s">
        <v>640</v>
      </c>
      <c r="S121" s="55" t="s">
        <v>9</v>
      </c>
      <c r="T121" s="51" t="str">
        <f t="shared" si="12"/>
        <v>De Energia</v>
      </c>
      <c r="U121" s="51" t="str">
        <f t="shared" si="12"/>
        <v>Elementos Elétricos</v>
      </c>
      <c r="V121" s="51" t="str">
        <f t="shared" si="12"/>
        <v>Cabeamento Conexão</v>
      </c>
      <c r="W121" s="21" t="s">
        <v>99</v>
      </c>
      <c r="X121" s="42" t="str">
        <f t="shared" si="9"/>
        <v>Key-INTEL-121</v>
      </c>
      <c r="Y121" s="20" t="s">
        <v>599</v>
      </c>
      <c r="Z121" s="52" t="s">
        <v>9</v>
      </c>
      <c r="AA121" s="20" t="s">
        <v>537</v>
      </c>
      <c r="AB121" s="52" t="s">
        <v>9</v>
      </c>
      <c r="AC121" s="21" t="s">
        <v>572</v>
      </c>
      <c r="AD121" s="52" t="s">
        <v>9</v>
      </c>
    </row>
    <row r="122" spans="1:30" s="16" customFormat="1" ht="6.75" customHeight="1" x14ac:dyDescent="0.25">
      <c r="A122" s="41">
        <v>122</v>
      </c>
      <c r="B122" s="1" t="s">
        <v>594</v>
      </c>
      <c r="C122" s="1" t="s">
        <v>1365</v>
      </c>
      <c r="D122" s="1" t="s">
        <v>408</v>
      </c>
      <c r="E122" s="1" t="s">
        <v>1681</v>
      </c>
      <c r="F122" s="62" t="s">
        <v>554</v>
      </c>
      <c r="G122" s="45" t="s">
        <v>9</v>
      </c>
      <c r="H122" s="45" t="s">
        <v>9</v>
      </c>
      <c r="I122" s="45" t="s">
        <v>9</v>
      </c>
      <c r="J122" s="45" t="s">
        <v>9</v>
      </c>
      <c r="K122" s="45" t="s">
        <v>9</v>
      </c>
      <c r="L122" s="25" t="str">
        <f t="shared" si="15"/>
        <v>De.Energia</v>
      </c>
      <c r="M122" s="25" t="str">
        <f t="shared" si="15"/>
        <v>Elementos.Elétricos</v>
      </c>
      <c r="N122" s="25" t="str">
        <f t="shared" si="16"/>
        <v>Cabeamento Conexão</v>
      </c>
      <c r="O122" s="25" t="str">
        <f t="shared" si="16"/>
        <v>Conexão de Cabo Junção</v>
      </c>
      <c r="P122" s="21" t="s">
        <v>513</v>
      </c>
      <c r="Q122" s="21" t="s">
        <v>514</v>
      </c>
      <c r="R122" s="21" t="s">
        <v>643</v>
      </c>
      <c r="S122" s="55" t="s">
        <v>9</v>
      </c>
      <c r="T122" s="51" t="str">
        <f t="shared" si="12"/>
        <v>De Energia</v>
      </c>
      <c r="U122" s="51" t="str">
        <f t="shared" si="12"/>
        <v>Elementos Elétricos</v>
      </c>
      <c r="V122" s="51" t="str">
        <f t="shared" si="12"/>
        <v>Cabeamento Conexão</v>
      </c>
      <c r="W122" s="21" t="s">
        <v>99</v>
      </c>
      <c r="X122" s="42" t="str">
        <f t="shared" si="9"/>
        <v>Key-INTEL-122</v>
      </c>
      <c r="Y122" s="20" t="s">
        <v>599</v>
      </c>
      <c r="Z122" s="52" t="s">
        <v>9</v>
      </c>
      <c r="AA122" s="63" t="s">
        <v>534</v>
      </c>
      <c r="AB122" s="52" t="s">
        <v>9</v>
      </c>
      <c r="AC122" s="21" t="s">
        <v>572</v>
      </c>
      <c r="AD122" s="52" t="s">
        <v>9</v>
      </c>
    </row>
    <row r="123" spans="1:30" s="16" customFormat="1" ht="6.75" customHeight="1" x14ac:dyDescent="0.25">
      <c r="A123" s="41">
        <v>123</v>
      </c>
      <c r="B123" s="1" t="s">
        <v>594</v>
      </c>
      <c r="C123" s="1" t="s">
        <v>1365</v>
      </c>
      <c r="D123" s="1" t="s">
        <v>408</v>
      </c>
      <c r="E123" s="1" t="s">
        <v>1681</v>
      </c>
      <c r="F123" s="39" t="s">
        <v>552</v>
      </c>
      <c r="G123" s="45" t="s">
        <v>9</v>
      </c>
      <c r="H123" s="45" t="s">
        <v>9</v>
      </c>
      <c r="I123" s="45" t="s">
        <v>9</v>
      </c>
      <c r="J123" s="45" t="s">
        <v>9</v>
      </c>
      <c r="K123" s="45" t="s">
        <v>9</v>
      </c>
      <c r="L123" s="25" t="str">
        <f t="shared" si="15"/>
        <v>De.Energia</v>
      </c>
      <c r="M123" s="25" t="str">
        <f t="shared" si="15"/>
        <v>Elementos.Elétricos</v>
      </c>
      <c r="N123" s="25" t="str">
        <f t="shared" si="16"/>
        <v>Cabeamento Conexão</v>
      </c>
      <c r="O123" s="25" t="str">
        <f t="shared" si="16"/>
        <v>Conexão de Cabo Saída</v>
      </c>
      <c r="P123" s="21" t="s">
        <v>509</v>
      </c>
      <c r="Q123" s="21" t="s">
        <v>510</v>
      </c>
      <c r="R123" s="21" t="s">
        <v>641</v>
      </c>
      <c r="S123" s="55" t="s">
        <v>9</v>
      </c>
      <c r="T123" s="51" t="str">
        <f t="shared" si="12"/>
        <v>De Energia</v>
      </c>
      <c r="U123" s="51" t="str">
        <f t="shared" si="12"/>
        <v>Elementos Elétricos</v>
      </c>
      <c r="V123" s="51" t="str">
        <f t="shared" si="12"/>
        <v>Cabeamento Conexão</v>
      </c>
      <c r="W123" s="21" t="s">
        <v>99</v>
      </c>
      <c r="X123" s="42" t="str">
        <f t="shared" si="9"/>
        <v>Key-INTEL-123</v>
      </c>
      <c r="Y123" s="20" t="s">
        <v>599</v>
      </c>
      <c r="Z123" s="52" t="s">
        <v>9</v>
      </c>
      <c r="AA123" s="20" t="s">
        <v>536</v>
      </c>
      <c r="AB123" s="52" t="s">
        <v>9</v>
      </c>
      <c r="AC123" s="21" t="s">
        <v>572</v>
      </c>
      <c r="AD123" s="52" t="s">
        <v>9</v>
      </c>
    </row>
    <row r="124" spans="1:30" ht="6.75" customHeight="1" x14ac:dyDescent="0.25">
      <c r="A124" s="41">
        <v>124</v>
      </c>
      <c r="B124" s="1" t="s">
        <v>594</v>
      </c>
      <c r="C124" s="1" t="s">
        <v>1365</v>
      </c>
      <c r="D124" s="1" t="s">
        <v>408</v>
      </c>
      <c r="E124" s="1" t="s">
        <v>1681</v>
      </c>
      <c r="F124" s="39" t="s">
        <v>555</v>
      </c>
      <c r="G124" s="45" t="s">
        <v>9</v>
      </c>
      <c r="H124" s="45" t="s">
        <v>9</v>
      </c>
      <c r="I124" s="45" t="s">
        <v>9</v>
      </c>
      <c r="J124" s="45" t="s">
        <v>9</v>
      </c>
      <c r="K124" s="45" t="s">
        <v>9</v>
      </c>
      <c r="L124" s="25" t="str">
        <f t="shared" si="15"/>
        <v>De.Energia</v>
      </c>
      <c r="M124" s="25" t="str">
        <f t="shared" si="15"/>
        <v>Elementos.Elétricos</v>
      </c>
      <c r="N124" s="25" t="str">
        <f t="shared" si="16"/>
        <v>Cabeamento Conexão</v>
      </c>
      <c r="O124" s="25" t="str">
        <f t="shared" si="16"/>
        <v>Conexão de Cabo Transição</v>
      </c>
      <c r="P124" s="21" t="s">
        <v>515</v>
      </c>
      <c r="Q124" s="21" t="s">
        <v>516</v>
      </c>
      <c r="R124" s="21" t="s">
        <v>644</v>
      </c>
      <c r="S124" s="55" t="s">
        <v>9</v>
      </c>
      <c r="T124" s="51" t="str">
        <f t="shared" si="12"/>
        <v>De Energia</v>
      </c>
      <c r="U124" s="51" t="str">
        <f t="shared" si="12"/>
        <v>Elementos Elétricos</v>
      </c>
      <c r="V124" s="51" t="str">
        <f t="shared" si="12"/>
        <v>Cabeamento Conexão</v>
      </c>
      <c r="W124" s="21" t="s">
        <v>99</v>
      </c>
      <c r="X124" s="42" t="str">
        <f t="shared" si="9"/>
        <v>Key-INTEL-124</v>
      </c>
      <c r="Y124" s="20" t="s">
        <v>599</v>
      </c>
      <c r="Z124" s="52" t="s">
        <v>9</v>
      </c>
      <c r="AA124" s="20" t="s">
        <v>533</v>
      </c>
      <c r="AB124" s="52" t="s">
        <v>9</v>
      </c>
      <c r="AC124" s="21" t="s">
        <v>572</v>
      </c>
      <c r="AD124" s="52" t="s">
        <v>9</v>
      </c>
    </row>
    <row r="125" spans="1:30" ht="6.75" customHeight="1" x14ac:dyDescent="0.25">
      <c r="A125" s="41">
        <v>125</v>
      </c>
      <c r="B125" s="1" t="s">
        <v>594</v>
      </c>
      <c r="C125" s="1" t="s">
        <v>1365</v>
      </c>
      <c r="D125" s="1" t="s">
        <v>408</v>
      </c>
      <c r="E125" s="1" t="s">
        <v>1682</v>
      </c>
      <c r="F125" s="39" t="s">
        <v>548</v>
      </c>
      <c r="G125" s="45" t="s">
        <v>9</v>
      </c>
      <c r="H125" s="45" t="s">
        <v>9</v>
      </c>
      <c r="I125" s="45" t="s">
        <v>9</v>
      </c>
      <c r="J125" s="45" t="s">
        <v>9</v>
      </c>
      <c r="K125" s="45" t="s">
        <v>9</v>
      </c>
      <c r="L125" s="25" t="str">
        <f t="shared" si="15"/>
        <v>De.Energia</v>
      </c>
      <c r="M125" s="25" t="str">
        <f t="shared" si="15"/>
        <v>Elementos.Elétricos</v>
      </c>
      <c r="N125" s="25" t="str">
        <f t="shared" si="16"/>
        <v>Cabeamento Segmento</v>
      </c>
      <c r="O125" s="25" t="str">
        <f t="shared" si="16"/>
        <v>Segmento de Cabo</v>
      </c>
      <c r="P125" s="21" t="s">
        <v>1510</v>
      </c>
      <c r="Q125" s="21" t="s">
        <v>1512</v>
      </c>
      <c r="R125" s="21" t="s">
        <v>1517</v>
      </c>
      <c r="S125" s="55" t="s">
        <v>9</v>
      </c>
      <c r="T125" s="51" t="str">
        <f t="shared" si="12"/>
        <v>De Energia</v>
      </c>
      <c r="U125" s="51" t="str">
        <f t="shared" si="12"/>
        <v>Elementos Elétricos</v>
      </c>
      <c r="V125" s="51" t="str">
        <f t="shared" si="12"/>
        <v>Cabeamento Segmento</v>
      </c>
      <c r="W125" s="21" t="s">
        <v>99</v>
      </c>
      <c r="X125" s="42" t="str">
        <f t="shared" si="9"/>
        <v>Key-INTEL-125</v>
      </c>
      <c r="Y125" s="20" t="s">
        <v>598</v>
      </c>
      <c r="Z125" s="52" t="s">
        <v>9</v>
      </c>
      <c r="AA125" s="20" t="s">
        <v>532</v>
      </c>
      <c r="AB125" s="52" t="s">
        <v>9</v>
      </c>
      <c r="AC125" s="21" t="s">
        <v>572</v>
      </c>
      <c r="AD125" s="52" t="s">
        <v>9</v>
      </c>
    </row>
    <row r="126" spans="1:30" ht="6.75" customHeight="1" x14ac:dyDescent="0.25">
      <c r="A126" s="41">
        <v>126</v>
      </c>
      <c r="B126" s="1" t="s">
        <v>594</v>
      </c>
      <c r="C126" s="1" t="s">
        <v>1365</v>
      </c>
      <c r="D126" s="1" t="s">
        <v>408</v>
      </c>
      <c r="E126" s="1" t="s">
        <v>1682</v>
      </c>
      <c r="F126" s="1" t="s">
        <v>549</v>
      </c>
      <c r="G126" s="45" t="s">
        <v>9</v>
      </c>
      <c r="H126" s="45" t="s">
        <v>9</v>
      </c>
      <c r="I126" s="45" t="s">
        <v>9</v>
      </c>
      <c r="J126" s="45" t="s">
        <v>9</v>
      </c>
      <c r="K126" s="45" t="s">
        <v>9</v>
      </c>
      <c r="L126" s="25" t="str">
        <f t="shared" si="15"/>
        <v>De.Energia</v>
      </c>
      <c r="M126" s="25" t="str">
        <f t="shared" si="15"/>
        <v>Elementos.Elétricos</v>
      </c>
      <c r="N126" s="25" t="str">
        <f t="shared" si="16"/>
        <v>Cabeamento Segmento</v>
      </c>
      <c r="O126" s="25" t="str">
        <f t="shared" si="16"/>
        <v>Segmento de Cabo Fibra</v>
      </c>
      <c r="P126" s="21" t="s">
        <v>1509</v>
      </c>
      <c r="Q126" s="21" t="s">
        <v>1514</v>
      </c>
      <c r="R126" s="21" t="s">
        <v>1518</v>
      </c>
      <c r="S126" s="55" t="s">
        <v>9</v>
      </c>
      <c r="T126" s="51" t="str">
        <f t="shared" si="12"/>
        <v>De Energia</v>
      </c>
      <c r="U126" s="51" t="str">
        <f t="shared" si="12"/>
        <v>Elementos Elétricos</v>
      </c>
      <c r="V126" s="51" t="str">
        <f t="shared" si="12"/>
        <v>Cabeamento Segmento</v>
      </c>
      <c r="W126" s="21" t="s">
        <v>99</v>
      </c>
      <c r="X126" s="42" t="str">
        <f t="shared" si="9"/>
        <v>Key-INTEL-126</v>
      </c>
      <c r="Y126" s="20" t="s">
        <v>598</v>
      </c>
      <c r="Z126" s="52" t="s">
        <v>9</v>
      </c>
      <c r="AA126" s="20" t="s">
        <v>530</v>
      </c>
      <c r="AB126" s="52" t="s">
        <v>9</v>
      </c>
      <c r="AC126" s="21" t="s">
        <v>572</v>
      </c>
      <c r="AD126" s="52" t="s">
        <v>9</v>
      </c>
    </row>
    <row r="127" spans="1:30" ht="6.75" customHeight="1" x14ac:dyDescent="0.25">
      <c r="A127" s="41">
        <v>127</v>
      </c>
      <c r="B127" s="1" t="s">
        <v>594</v>
      </c>
      <c r="C127" s="1" t="s">
        <v>1365</v>
      </c>
      <c r="D127" s="1" t="s">
        <v>408</v>
      </c>
      <c r="E127" s="1" t="s">
        <v>1682</v>
      </c>
      <c r="F127" s="1" t="s">
        <v>546</v>
      </c>
      <c r="G127" s="45" t="s">
        <v>9</v>
      </c>
      <c r="H127" s="45" t="s">
        <v>9</v>
      </c>
      <c r="I127" s="45" t="s">
        <v>9</v>
      </c>
      <c r="J127" s="45" t="s">
        <v>9</v>
      </c>
      <c r="K127" s="45" t="s">
        <v>9</v>
      </c>
      <c r="L127" s="25" t="str">
        <f t="shared" si="15"/>
        <v>De.Energia</v>
      </c>
      <c r="M127" s="25" t="str">
        <f t="shared" si="15"/>
        <v>Elementos.Elétricos</v>
      </c>
      <c r="N127" s="25" t="str">
        <f t="shared" si="16"/>
        <v>Cabeamento Segmento</v>
      </c>
      <c r="O127" s="25" t="str">
        <f t="shared" si="16"/>
        <v>Segmento de Cabo Óptico</v>
      </c>
      <c r="P127" s="21" t="s">
        <v>1508</v>
      </c>
      <c r="Q127" s="21" t="s">
        <v>1515</v>
      </c>
      <c r="R127" s="21" t="s">
        <v>1519</v>
      </c>
      <c r="S127" s="55" t="s">
        <v>9</v>
      </c>
      <c r="T127" s="51" t="str">
        <f t="shared" si="12"/>
        <v>De Energia</v>
      </c>
      <c r="U127" s="51" t="str">
        <f t="shared" si="12"/>
        <v>Elementos Elétricos</v>
      </c>
      <c r="V127" s="51" t="str">
        <f t="shared" si="12"/>
        <v>Cabeamento Segmento</v>
      </c>
      <c r="W127" s="21" t="s">
        <v>99</v>
      </c>
      <c r="X127" s="42" t="str">
        <f t="shared" si="9"/>
        <v>Key-INTEL-127</v>
      </c>
      <c r="Y127" s="20" t="s">
        <v>598</v>
      </c>
      <c r="Z127" s="52" t="s">
        <v>9</v>
      </c>
      <c r="AA127" s="20" t="s">
        <v>529</v>
      </c>
      <c r="AB127" s="52" t="s">
        <v>9</v>
      </c>
      <c r="AC127" s="21" t="s">
        <v>572</v>
      </c>
      <c r="AD127" s="52" t="s">
        <v>9</v>
      </c>
    </row>
    <row r="128" spans="1:30" ht="6.75" customHeight="1" x14ac:dyDescent="0.25">
      <c r="A128" s="41">
        <v>128</v>
      </c>
      <c r="B128" s="1" t="s">
        <v>594</v>
      </c>
      <c r="C128" s="1" t="s">
        <v>1365</v>
      </c>
      <c r="D128" s="1" t="s">
        <v>408</v>
      </c>
      <c r="E128" s="1" t="s">
        <v>1682</v>
      </c>
      <c r="F128" s="1" t="s">
        <v>547</v>
      </c>
      <c r="G128" s="45" t="s">
        <v>9</v>
      </c>
      <c r="H128" s="45" t="s">
        <v>9</v>
      </c>
      <c r="I128" s="45" t="s">
        <v>9</v>
      </c>
      <c r="J128" s="45" t="s">
        <v>9</v>
      </c>
      <c r="K128" s="45" t="s">
        <v>9</v>
      </c>
      <c r="L128" s="25" t="str">
        <f t="shared" si="15"/>
        <v>De.Energia</v>
      </c>
      <c r="M128" s="25" t="str">
        <f t="shared" si="15"/>
        <v>Elementos.Elétricos</v>
      </c>
      <c r="N128" s="25" t="str">
        <f t="shared" si="16"/>
        <v>Cabeamento Segmento</v>
      </c>
      <c r="O128" s="25" t="str">
        <f t="shared" si="16"/>
        <v>Segmento de Condutor</v>
      </c>
      <c r="P128" s="21" t="s">
        <v>1507</v>
      </c>
      <c r="Q128" s="21" t="s">
        <v>1516</v>
      </c>
      <c r="R128" s="21" t="s">
        <v>1520</v>
      </c>
      <c r="S128" s="55" t="s">
        <v>9</v>
      </c>
      <c r="T128" s="51" t="str">
        <f t="shared" si="12"/>
        <v>De Energia</v>
      </c>
      <c r="U128" s="51" t="str">
        <f t="shared" si="12"/>
        <v>Elementos Elétricos</v>
      </c>
      <c r="V128" s="51" t="str">
        <f t="shared" si="12"/>
        <v>Cabeamento Segmento</v>
      </c>
      <c r="W128" s="21" t="s">
        <v>99</v>
      </c>
      <c r="X128" s="42" t="str">
        <f t="shared" si="9"/>
        <v>Key-INTEL-128</v>
      </c>
      <c r="Y128" s="20" t="s">
        <v>598</v>
      </c>
      <c r="Z128" s="52" t="s">
        <v>9</v>
      </c>
      <c r="AA128" s="20" t="s">
        <v>531</v>
      </c>
      <c r="AB128" s="52" t="s">
        <v>9</v>
      </c>
      <c r="AC128" s="21" t="s">
        <v>572</v>
      </c>
      <c r="AD128" s="52" t="s">
        <v>9</v>
      </c>
    </row>
    <row r="129" spans="1:30" ht="6.75" customHeight="1" x14ac:dyDescent="0.25">
      <c r="A129" s="41">
        <v>129</v>
      </c>
      <c r="B129" s="1" t="s">
        <v>594</v>
      </c>
      <c r="C129" s="1" t="s">
        <v>1365</v>
      </c>
      <c r="D129" s="1" t="s">
        <v>408</v>
      </c>
      <c r="E129" s="1" t="s">
        <v>1682</v>
      </c>
      <c r="F129" s="1" t="s">
        <v>1506</v>
      </c>
      <c r="G129" s="45" t="s">
        <v>9</v>
      </c>
      <c r="H129" s="45" t="s">
        <v>9</v>
      </c>
      <c r="I129" s="45" t="s">
        <v>9</v>
      </c>
      <c r="J129" s="45" t="s">
        <v>9</v>
      </c>
      <c r="K129" s="45" t="s">
        <v>9</v>
      </c>
      <c r="L129" s="25" t="str">
        <f t="shared" si="15"/>
        <v>De.Energia</v>
      </c>
      <c r="M129" s="25" t="str">
        <f t="shared" si="15"/>
        <v>Elementos.Elétricos</v>
      </c>
      <c r="N129" s="25" t="str">
        <f t="shared" si="16"/>
        <v>Cabeamento Segmento</v>
      </c>
      <c r="O129" s="25" t="str">
        <f t="shared" si="16"/>
        <v>Segmento de Pares Trançados</v>
      </c>
      <c r="P129" s="21" t="s">
        <v>1511</v>
      </c>
      <c r="Q129" s="21" t="s">
        <v>1513</v>
      </c>
      <c r="R129" s="21" t="s">
        <v>1521</v>
      </c>
      <c r="S129" s="55" t="s">
        <v>9</v>
      </c>
      <c r="T129" s="51" t="str">
        <f t="shared" si="12"/>
        <v>De Energia</v>
      </c>
      <c r="U129" s="51" t="str">
        <f t="shared" si="12"/>
        <v>Elementos Elétricos</v>
      </c>
      <c r="V129" s="51" t="str">
        <f t="shared" si="12"/>
        <v>Cabeamento Segmento</v>
      </c>
      <c r="W129" s="21" t="s">
        <v>99</v>
      </c>
      <c r="X129" s="42" t="str">
        <f t="shared" si="9"/>
        <v>Key-INTEL-129</v>
      </c>
      <c r="Y129" s="20" t="s">
        <v>598</v>
      </c>
      <c r="Z129" s="52" t="s">
        <v>9</v>
      </c>
      <c r="AA129" s="20" t="s">
        <v>528</v>
      </c>
      <c r="AB129" s="52" t="s">
        <v>9</v>
      </c>
      <c r="AC129" s="21" t="s">
        <v>572</v>
      </c>
      <c r="AD129" s="52" t="s">
        <v>9</v>
      </c>
    </row>
    <row r="130" spans="1:30" ht="6.75" customHeight="1" x14ac:dyDescent="0.25">
      <c r="A130" s="41">
        <v>130</v>
      </c>
      <c r="B130" s="1" t="s">
        <v>594</v>
      </c>
      <c r="C130" s="1" t="s">
        <v>1365</v>
      </c>
      <c r="D130" s="1" t="s">
        <v>408</v>
      </c>
      <c r="E130" s="1" t="s">
        <v>1683</v>
      </c>
      <c r="F130" s="46" t="s">
        <v>119</v>
      </c>
      <c r="G130" s="45" t="s">
        <v>9</v>
      </c>
      <c r="H130" s="45" t="s">
        <v>9</v>
      </c>
      <c r="I130" s="45" t="s">
        <v>9</v>
      </c>
      <c r="J130" s="45" t="s">
        <v>9</v>
      </c>
      <c r="K130" s="45" t="s">
        <v>9</v>
      </c>
      <c r="L130" s="25" t="str">
        <f t="shared" si="15"/>
        <v>De.Energia</v>
      </c>
      <c r="M130" s="25" t="str">
        <f t="shared" si="15"/>
        <v>Elementos.Elétricos</v>
      </c>
      <c r="N130" s="25" t="str">
        <f t="shared" si="16"/>
        <v>Caixa Elétrica</v>
      </c>
      <c r="O130" s="25" t="str">
        <f t="shared" si="16"/>
        <v>Caixa de Passagem</v>
      </c>
      <c r="P130" s="21" t="s">
        <v>123</v>
      </c>
      <c r="Q130" s="21" t="s">
        <v>209</v>
      </c>
      <c r="R130" s="21" t="s">
        <v>619</v>
      </c>
      <c r="S130" s="55" t="s">
        <v>9</v>
      </c>
      <c r="T130" s="51" t="str">
        <f t="shared" si="12"/>
        <v>De Energia</v>
      </c>
      <c r="U130" s="51" t="str">
        <f t="shared" si="12"/>
        <v>Elementos Elétricos</v>
      </c>
      <c r="V130" s="51" t="str">
        <f t="shared" si="12"/>
        <v>Caixa Elétrica</v>
      </c>
      <c r="W130" s="21" t="s">
        <v>99</v>
      </c>
      <c r="X130" s="42" t="str">
        <f t="shared" si="9"/>
        <v>Key-INTEL-130</v>
      </c>
      <c r="Y130" s="21" t="s">
        <v>595</v>
      </c>
      <c r="Z130" s="52" t="s">
        <v>9</v>
      </c>
      <c r="AA130" s="20" t="s">
        <v>204</v>
      </c>
      <c r="AB130" s="52" t="s">
        <v>9</v>
      </c>
      <c r="AC130" s="21" t="s">
        <v>572</v>
      </c>
      <c r="AD130" s="52" t="s">
        <v>9</v>
      </c>
    </row>
    <row r="131" spans="1:30" ht="6.75" customHeight="1" x14ac:dyDescent="0.25">
      <c r="A131" s="41">
        <v>131</v>
      </c>
      <c r="B131" s="1" t="s">
        <v>594</v>
      </c>
      <c r="C131" s="1" t="s">
        <v>1365</v>
      </c>
      <c r="D131" s="1" t="s">
        <v>408</v>
      </c>
      <c r="E131" s="1" t="s">
        <v>1683</v>
      </c>
      <c r="F131" s="46" t="s">
        <v>120</v>
      </c>
      <c r="G131" s="45" t="s">
        <v>9</v>
      </c>
      <c r="H131" s="45" t="s">
        <v>9</v>
      </c>
      <c r="I131" s="45" t="s">
        <v>9</v>
      </c>
      <c r="J131" s="45" t="s">
        <v>9</v>
      </c>
      <c r="K131" s="45" t="s">
        <v>9</v>
      </c>
      <c r="L131" s="25" t="str">
        <f t="shared" si="15"/>
        <v>De.Energia</v>
      </c>
      <c r="M131" s="25" t="str">
        <f t="shared" si="15"/>
        <v>Elementos.Elétricos</v>
      </c>
      <c r="N131" s="25" t="str">
        <f t="shared" si="16"/>
        <v>Caixa Elétrica</v>
      </c>
      <c r="O131" s="25" t="str">
        <f t="shared" si="16"/>
        <v>Caixa de Derivação</v>
      </c>
      <c r="P131" s="21" t="s">
        <v>124</v>
      </c>
      <c r="Q131" s="21" t="s">
        <v>210</v>
      </c>
      <c r="R131" s="21" t="s">
        <v>619</v>
      </c>
      <c r="S131" s="55" t="s">
        <v>9</v>
      </c>
      <c r="T131" s="51" t="str">
        <f t="shared" si="12"/>
        <v>De Energia</v>
      </c>
      <c r="U131" s="51" t="str">
        <f t="shared" si="12"/>
        <v>Elementos Elétricos</v>
      </c>
      <c r="V131" s="51" t="str">
        <f t="shared" si="12"/>
        <v>Caixa Elétrica</v>
      </c>
      <c r="W131" s="21" t="s">
        <v>99</v>
      </c>
      <c r="X131" s="42" t="str">
        <f t="shared" ref="X131:X194" si="17">CONCATENATE("Key-INTEL-",A131)</f>
        <v>Key-INTEL-131</v>
      </c>
      <c r="Y131" s="21" t="s">
        <v>595</v>
      </c>
      <c r="Z131" s="52" t="s">
        <v>9</v>
      </c>
      <c r="AA131" s="20" t="s">
        <v>204</v>
      </c>
      <c r="AB131" s="52" t="s">
        <v>9</v>
      </c>
      <c r="AC131" s="21" t="s">
        <v>572</v>
      </c>
      <c r="AD131" s="52" t="s">
        <v>9</v>
      </c>
    </row>
    <row r="132" spans="1:30" ht="6.75" customHeight="1" x14ac:dyDescent="0.25">
      <c r="A132" s="41">
        <v>132</v>
      </c>
      <c r="B132" s="1" t="s">
        <v>594</v>
      </c>
      <c r="C132" s="1" t="s">
        <v>1365</v>
      </c>
      <c r="D132" s="1" t="s">
        <v>408</v>
      </c>
      <c r="E132" s="1" t="s">
        <v>1683</v>
      </c>
      <c r="F132" s="46" t="s">
        <v>121</v>
      </c>
      <c r="G132" s="45" t="s">
        <v>9</v>
      </c>
      <c r="H132" s="45" t="s">
        <v>9</v>
      </c>
      <c r="I132" s="45" t="s">
        <v>9</v>
      </c>
      <c r="J132" s="45" t="s">
        <v>9</v>
      </c>
      <c r="K132" s="45" t="s">
        <v>9</v>
      </c>
      <c r="L132" s="25" t="str">
        <f t="shared" si="15"/>
        <v>De.Energia</v>
      </c>
      <c r="M132" s="25" t="str">
        <f t="shared" si="15"/>
        <v>Elementos.Elétricos</v>
      </c>
      <c r="N132" s="25" t="str">
        <f t="shared" si="16"/>
        <v>Caixa Elétrica</v>
      </c>
      <c r="O132" s="25" t="str">
        <f t="shared" si="16"/>
        <v>Caixa de Interruptor</v>
      </c>
      <c r="P132" s="21" t="s">
        <v>125</v>
      </c>
      <c r="Q132" s="21" t="s">
        <v>208</v>
      </c>
      <c r="R132" s="21" t="s">
        <v>620</v>
      </c>
      <c r="S132" s="55" t="s">
        <v>9</v>
      </c>
      <c r="T132" s="51" t="str">
        <f t="shared" si="12"/>
        <v>De Energia</v>
      </c>
      <c r="U132" s="51" t="str">
        <f t="shared" si="12"/>
        <v>Elementos Elétricos</v>
      </c>
      <c r="V132" s="51" t="str">
        <f t="shared" si="12"/>
        <v>Caixa Elétrica</v>
      </c>
      <c r="W132" s="21" t="s">
        <v>99</v>
      </c>
      <c r="X132" s="42" t="str">
        <f t="shared" si="17"/>
        <v>Key-INTEL-132</v>
      </c>
      <c r="Y132" s="21" t="s">
        <v>595</v>
      </c>
      <c r="Z132" s="52" t="s">
        <v>9</v>
      </c>
      <c r="AA132" s="20" t="s">
        <v>219</v>
      </c>
      <c r="AB132" s="52" t="s">
        <v>9</v>
      </c>
      <c r="AC132" s="21" t="s">
        <v>572</v>
      </c>
      <c r="AD132" s="52" t="s">
        <v>9</v>
      </c>
    </row>
    <row r="133" spans="1:30" ht="6.75" customHeight="1" x14ac:dyDescent="0.25">
      <c r="A133" s="41">
        <v>133</v>
      </c>
      <c r="B133" s="1" t="s">
        <v>594</v>
      </c>
      <c r="C133" s="1" t="s">
        <v>1365</v>
      </c>
      <c r="D133" s="1" t="s">
        <v>408</v>
      </c>
      <c r="E133" s="1" t="s">
        <v>1683</v>
      </c>
      <c r="F133" s="46" t="s">
        <v>122</v>
      </c>
      <c r="G133" s="45" t="s">
        <v>9</v>
      </c>
      <c r="H133" s="45" t="s">
        <v>9</v>
      </c>
      <c r="I133" s="45" t="s">
        <v>9</v>
      </c>
      <c r="J133" s="45" t="s">
        <v>9</v>
      </c>
      <c r="K133" s="45" t="s">
        <v>9</v>
      </c>
      <c r="L133" s="25" t="str">
        <f t="shared" si="15"/>
        <v>De.Energia</v>
      </c>
      <c r="M133" s="25" t="str">
        <f t="shared" si="15"/>
        <v>Elementos.Elétricos</v>
      </c>
      <c r="N133" s="25" t="str">
        <f t="shared" si="16"/>
        <v>Caixa Elétrica</v>
      </c>
      <c r="O133" s="25" t="str">
        <f t="shared" si="16"/>
        <v>Caixa de Tomada</v>
      </c>
      <c r="P133" s="21" t="s">
        <v>126</v>
      </c>
      <c r="Q133" s="21" t="s">
        <v>211</v>
      </c>
      <c r="R133" s="21" t="s">
        <v>621</v>
      </c>
      <c r="S133" s="55" t="s">
        <v>9</v>
      </c>
      <c r="T133" s="51" t="str">
        <f t="shared" si="12"/>
        <v>De Energia</v>
      </c>
      <c r="U133" s="51" t="str">
        <f t="shared" si="12"/>
        <v>Elementos Elétricos</v>
      </c>
      <c r="V133" s="51" t="str">
        <f t="shared" si="12"/>
        <v>Caixa Elétrica</v>
      </c>
      <c r="W133" s="21" t="s">
        <v>99</v>
      </c>
      <c r="X133" s="42" t="str">
        <f t="shared" si="17"/>
        <v>Key-INTEL-133</v>
      </c>
      <c r="Y133" s="21" t="s">
        <v>595</v>
      </c>
      <c r="Z133" s="52" t="s">
        <v>9</v>
      </c>
      <c r="AA133" s="20" t="s">
        <v>219</v>
      </c>
      <c r="AB133" s="52" t="s">
        <v>9</v>
      </c>
      <c r="AC133" s="21" t="s">
        <v>572</v>
      </c>
      <c r="AD133" s="52" t="s">
        <v>9</v>
      </c>
    </row>
    <row r="134" spans="1:30" ht="6.75" customHeight="1" x14ac:dyDescent="0.25">
      <c r="A134" s="41">
        <v>134</v>
      </c>
      <c r="B134" s="1" t="s">
        <v>594</v>
      </c>
      <c r="C134" s="1" t="s">
        <v>1365</v>
      </c>
      <c r="D134" s="1" t="s">
        <v>408</v>
      </c>
      <c r="E134" s="33" t="s">
        <v>1684</v>
      </c>
      <c r="F134" s="39" t="s">
        <v>1685</v>
      </c>
      <c r="G134" s="45" t="s">
        <v>9</v>
      </c>
      <c r="H134" s="45" t="s">
        <v>9</v>
      </c>
      <c r="I134" s="45" t="s">
        <v>9</v>
      </c>
      <c r="J134" s="45" t="s">
        <v>9</v>
      </c>
      <c r="K134" s="45" t="s">
        <v>9</v>
      </c>
      <c r="L134" s="25" t="str">
        <f t="shared" si="15"/>
        <v>De.Energia</v>
      </c>
      <c r="M134" s="25" t="str">
        <f t="shared" si="15"/>
        <v>Elementos.Elétricos</v>
      </c>
      <c r="N134" s="25" t="str">
        <f t="shared" si="16"/>
        <v>Conduto Conexão</v>
      </c>
      <c r="O134" s="25" t="str">
        <f t="shared" si="16"/>
        <v>Conexão de Conduto</v>
      </c>
      <c r="P134" s="21" t="s">
        <v>471</v>
      </c>
      <c r="Q134" s="21" t="s">
        <v>472</v>
      </c>
      <c r="R134" s="21" t="s">
        <v>630</v>
      </c>
      <c r="S134" s="55" t="s">
        <v>9</v>
      </c>
      <c r="T134" s="51" t="str">
        <f t="shared" si="12"/>
        <v>De Energia</v>
      </c>
      <c r="U134" s="51" t="str">
        <f t="shared" si="12"/>
        <v>Elementos Elétricos</v>
      </c>
      <c r="V134" s="51" t="str">
        <f t="shared" si="12"/>
        <v>Conduto Conexão</v>
      </c>
      <c r="W134" s="21" t="s">
        <v>99</v>
      </c>
      <c r="X134" s="42" t="str">
        <f t="shared" si="17"/>
        <v>Key-INTEL-134</v>
      </c>
      <c r="Y134" s="20" t="s">
        <v>597</v>
      </c>
      <c r="Z134" s="52" t="s">
        <v>9</v>
      </c>
      <c r="AA134" s="20" t="s">
        <v>517</v>
      </c>
      <c r="AB134" s="52" t="s">
        <v>9</v>
      </c>
      <c r="AC134" s="21" t="s">
        <v>572</v>
      </c>
      <c r="AD134" s="52" t="s">
        <v>9</v>
      </c>
    </row>
    <row r="135" spans="1:30" ht="6.75" customHeight="1" x14ac:dyDescent="0.25">
      <c r="A135" s="41">
        <v>135</v>
      </c>
      <c r="B135" s="1" t="s">
        <v>594</v>
      </c>
      <c r="C135" s="1" t="s">
        <v>1365</v>
      </c>
      <c r="D135" s="1" t="s">
        <v>408</v>
      </c>
      <c r="E135" s="33" t="s">
        <v>1684</v>
      </c>
      <c r="F135" s="39" t="s">
        <v>1686</v>
      </c>
      <c r="G135" s="45" t="s">
        <v>9</v>
      </c>
      <c r="H135" s="45" t="s">
        <v>9</v>
      </c>
      <c r="I135" s="45" t="s">
        <v>9</v>
      </c>
      <c r="J135" s="45" t="s">
        <v>9</v>
      </c>
      <c r="K135" s="45" t="s">
        <v>9</v>
      </c>
      <c r="L135" s="25" t="str">
        <f t="shared" si="15"/>
        <v>De.Energia</v>
      </c>
      <c r="M135" s="25" t="str">
        <f t="shared" si="15"/>
        <v>Elementos.Elétricos</v>
      </c>
      <c r="N135" s="25" t="str">
        <f t="shared" si="16"/>
        <v>Conduto Conexão</v>
      </c>
      <c r="O135" s="25" t="str">
        <f t="shared" si="16"/>
        <v>Conexão de Conduto Curva</v>
      </c>
      <c r="P135" s="21" t="s">
        <v>473</v>
      </c>
      <c r="Q135" s="21" t="s">
        <v>474</v>
      </c>
      <c r="R135" s="21" t="s">
        <v>631</v>
      </c>
      <c r="S135" s="55" t="s">
        <v>9</v>
      </c>
      <c r="T135" s="51" t="str">
        <f t="shared" si="12"/>
        <v>De Energia</v>
      </c>
      <c r="U135" s="51" t="str">
        <f t="shared" si="12"/>
        <v>Elementos Elétricos</v>
      </c>
      <c r="V135" s="51" t="str">
        <f t="shared" si="12"/>
        <v>Conduto Conexão</v>
      </c>
      <c r="W135" s="21" t="s">
        <v>99</v>
      </c>
      <c r="X135" s="42" t="str">
        <f t="shared" si="17"/>
        <v>Key-INTEL-135</v>
      </c>
      <c r="Y135" s="20" t="s">
        <v>597</v>
      </c>
      <c r="Z135" s="52" t="s">
        <v>9</v>
      </c>
      <c r="AA135" s="20" t="s">
        <v>518</v>
      </c>
      <c r="AB135" s="52" t="s">
        <v>9</v>
      </c>
      <c r="AC135" s="21" t="s">
        <v>572</v>
      </c>
      <c r="AD135" s="52" t="s">
        <v>9</v>
      </c>
    </row>
    <row r="136" spans="1:30" ht="6.75" customHeight="1" x14ac:dyDescent="0.25">
      <c r="A136" s="41">
        <v>136</v>
      </c>
      <c r="B136" s="1" t="s">
        <v>594</v>
      </c>
      <c r="C136" s="1" t="s">
        <v>1365</v>
      </c>
      <c r="D136" s="1" t="s">
        <v>408</v>
      </c>
      <c r="E136" s="33" t="s">
        <v>1684</v>
      </c>
      <c r="F136" s="39" t="s">
        <v>1687</v>
      </c>
      <c r="G136" s="45" t="s">
        <v>9</v>
      </c>
      <c r="H136" s="45" t="s">
        <v>9</v>
      </c>
      <c r="I136" s="45" t="s">
        <v>9</v>
      </c>
      <c r="J136" s="45" t="s">
        <v>9</v>
      </c>
      <c r="K136" s="45" t="s">
        <v>9</v>
      </c>
      <c r="L136" s="25" t="str">
        <f t="shared" si="15"/>
        <v>De.Energia</v>
      </c>
      <c r="M136" s="25" t="str">
        <f t="shared" si="15"/>
        <v>Elementos.Elétricos</v>
      </c>
      <c r="N136" s="25" t="str">
        <f t="shared" si="16"/>
        <v>Conduto Conexão</v>
      </c>
      <c r="O136" s="25" t="str">
        <f t="shared" si="16"/>
        <v>Conexão de Conduto Conector</v>
      </c>
      <c r="P136" s="21" t="s">
        <v>475</v>
      </c>
      <c r="Q136" s="21" t="s">
        <v>476</v>
      </c>
      <c r="R136" s="21" t="s">
        <v>632</v>
      </c>
      <c r="S136" s="55" t="s">
        <v>9</v>
      </c>
      <c r="T136" s="51" t="str">
        <f t="shared" si="12"/>
        <v>De Energia</v>
      </c>
      <c r="U136" s="51" t="str">
        <f t="shared" si="12"/>
        <v>Elementos Elétricos</v>
      </c>
      <c r="V136" s="51" t="str">
        <f t="shared" si="12"/>
        <v>Conduto Conexão</v>
      </c>
      <c r="W136" s="21" t="s">
        <v>99</v>
      </c>
      <c r="X136" s="42" t="str">
        <f t="shared" si="17"/>
        <v>Key-INTEL-136</v>
      </c>
      <c r="Y136" s="20" t="s">
        <v>597</v>
      </c>
      <c r="Z136" s="52" t="s">
        <v>9</v>
      </c>
      <c r="AA136" s="20" t="s">
        <v>519</v>
      </c>
      <c r="AB136" s="52" t="s">
        <v>9</v>
      </c>
      <c r="AC136" s="21" t="s">
        <v>572</v>
      </c>
      <c r="AD136" s="52" t="s">
        <v>9</v>
      </c>
    </row>
    <row r="137" spans="1:30" s="16" customFormat="1" ht="6.75" customHeight="1" x14ac:dyDescent="0.25">
      <c r="A137" s="41">
        <v>137</v>
      </c>
      <c r="B137" s="1" t="s">
        <v>594</v>
      </c>
      <c r="C137" s="1" t="s">
        <v>1365</v>
      </c>
      <c r="D137" s="1" t="s">
        <v>408</v>
      </c>
      <c r="E137" s="33" t="s">
        <v>1684</v>
      </c>
      <c r="F137" s="39" t="s">
        <v>1688</v>
      </c>
      <c r="G137" s="45" t="s">
        <v>9</v>
      </c>
      <c r="H137" s="45" t="s">
        <v>9</v>
      </c>
      <c r="I137" s="45" t="s">
        <v>9</v>
      </c>
      <c r="J137" s="45" t="s">
        <v>9</v>
      </c>
      <c r="K137" s="45" t="s">
        <v>9</v>
      </c>
      <c r="L137" s="25" t="str">
        <f t="shared" si="15"/>
        <v>De.Energia</v>
      </c>
      <c r="M137" s="25" t="str">
        <f t="shared" si="15"/>
        <v>Elementos.Elétricos</v>
      </c>
      <c r="N137" s="25" t="str">
        <f t="shared" si="16"/>
        <v>Conduto Conexão</v>
      </c>
      <c r="O137" s="25" t="str">
        <f t="shared" si="16"/>
        <v>Conexão de Conduto Cruzeta</v>
      </c>
      <c r="P137" s="21" t="s">
        <v>477</v>
      </c>
      <c r="Q137" s="21" t="s">
        <v>478</v>
      </c>
      <c r="R137" s="21" t="s">
        <v>633</v>
      </c>
      <c r="S137" s="55" t="s">
        <v>9</v>
      </c>
      <c r="T137" s="51" t="str">
        <f t="shared" si="12"/>
        <v>De Energia</v>
      </c>
      <c r="U137" s="51" t="str">
        <f t="shared" si="12"/>
        <v>Elementos Elétricos</v>
      </c>
      <c r="V137" s="51" t="str">
        <f t="shared" si="12"/>
        <v>Conduto Conexão</v>
      </c>
      <c r="W137" s="21" t="s">
        <v>99</v>
      </c>
      <c r="X137" s="42" t="str">
        <f t="shared" si="17"/>
        <v>Key-INTEL-137</v>
      </c>
      <c r="Y137" s="20" t="s">
        <v>597</v>
      </c>
      <c r="Z137" s="52" t="s">
        <v>9</v>
      </c>
      <c r="AA137" s="20" t="s">
        <v>521</v>
      </c>
      <c r="AB137" s="52" t="s">
        <v>9</v>
      </c>
      <c r="AC137" s="21" t="s">
        <v>572</v>
      </c>
      <c r="AD137" s="52" t="s">
        <v>9</v>
      </c>
    </row>
    <row r="138" spans="1:30" s="16" customFormat="1" ht="6.75" customHeight="1" x14ac:dyDescent="0.25">
      <c r="A138" s="41">
        <v>138</v>
      </c>
      <c r="B138" s="1" t="s">
        <v>594</v>
      </c>
      <c r="C138" s="1" t="s">
        <v>1365</v>
      </c>
      <c r="D138" s="1" t="s">
        <v>408</v>
      </c>
      <c r="E138" s="33" t="s">
        <v>1684</v>
      </c>
      <c r="F138" s="39" t="s">
        <v>1689</v>
      </c>
      <c r="G138" s="45" t="s">
        <v>9</v>
      </c>
      <c r="H138" s="45" t="s">
        <v>9</v>
      </c>
      <c r="I138" s="45" t="s">
        <v>9</v>
      </c>
      <c r="J138" s="45" t="s">
        <v>9</v>
      </c>
      <c r="K138" s="45" t="s">
        <v>9</v>
      </c>
      <c r="L138" s="25" t="str">
        <f t="shared" si="15"/>
        <v>De.Energia</v>
      </c>
      <c r="M138" s="25" t="str">
        <f t="shared" si="15"/>
        <v>Elementos.Elétricos</v>
      </c>
      <c r="N138" s="25" t="str">
        <f t="shared" si="16"/>
        <v>Conduto Conexão</v>
      </c>
      <c r="O138" s="25" t="str">
        <f t="shared" si="16"/>
        <v>Conexão de Conduto Junção</v>
      </c>
      <c r="P138" s="21" t="s">
        <v>479</v>
      </c>
      <c r="Q138" s="21" t="s">
        <v>480</v>
      </c>
      <c r="R138" s="21" t="s">
        <v>634</v>
      </c>
      <c r="S138" s="55" t="s">
        <v>9</v>
      </c>
      <c r="T138" s="51" t="str">
        <f t="shared" si="12"/>
        <v>De Energia</v>
      </c>
      <c r="U138" s="51" t="str">
        <f t="shared" si="12"/>
        <v>Elementos Elétricos</v>
      </c>
      <c r="V138" s="51" t="str">
        <f t="shared" si="12"/>
        <v>Conduto Conexão</v>
      </c>
      <c r="W138" s="21" t="s">
        <v>99</v>
      </c>
      <c r="X138" s="42" t="str">
        <f t="shared" si="17"/>
        <v>Key-INTEL-138</v>
      </c>
      <c r="Y138" s="20" t="s">
        <v>597</v>
      </c>
      <c r="Z138" s="52" t="s">
        <v>9</v>
      </c>
      <c r="AA138" s="20" t="s">
        <v>520</v>
      </c>
      <c r="AB138" s="52" t="s">
        <v>9</v>
      </c>
      <c r="AC138" s="21" t="s">
        <v>572</v>
      </c>
      <c r="AD138" s="52" t="s">
        <v>9</v>
      </c>
    </row>
    <row r="139" spans="1:30" s="16" customFormat="1" ht="6.75" customHeight="1" x14ac:dyDescent="0.25">
      <c r="A139" s="41">
        <v>139</v>
      </c>
      <c r="B139" s="1" t="s">
        <v>594</v>
      </c>
      <c r="C139" s="1" t="s">
        <v>1365</v>
      </c>
      <c r="D139" s="1" t="s">
        <v>408</v>
      </c>
      <c r="E139" s="33" t="s">
        <v>1684</v>
      </c>
      <c r="F139" s="39" t="s">
        <v>1690</v>
      </c>
      <c r="G139" s="45" t="s">
        <v>9</v>
      </c>
      <c r="H139" s="45" t="s">
        <v>9</v>
      </c>
      <c r="I139" s="45" t="s">
        <v>9</v>
      </c>
      <c r="J139" s="45" t="s">
        <v>9</v>
      </c>
      <c r="K139" s="45" t="s">
        <v>9</v>
      </c>
      <c r="L139" s="25" t="str">
        <f t="shared" si="15"/>
        <v>De.Energia</v>
      </c>
      <c r="M139" s="25" t="str">
        <f t="shared" si="15"/>
        <v>Elementos.Elétricos</v>
      </c>
      <c r="N139" s="25" t="str">
        <f t="shared" si="16"/>
        <v>Conduto Conexão</v>
      </c>
      <c r="O139" s="25" t="str">
        <f t="shared" si="16"/>
        <v>Conexão de Conduto Redução</v>
      </c>
      <c r="P139" s="21" t="s">
        <v>481</v>
      </c>
      <c r="Q139" s="21" t="s">
        <v>482</v>
      </c>
      <c r="R139" s="21" t="s">
        <v>635</v>
      </c>
      <c r="S139" s="55" t="s">
        <v>9</v>
      </c>
      <c r="T139" s="51" t="str">
        <f t="shared" si="12"/>
        <v>De Energia</v>
      </c>
      <c r="U139" s="51" t="str">
        <f t="shared" si="12"/>
        <v>Elementos Elétricos</v>
      </c>
      <c r="V139" s="51" t="str">
        <f t="shared" si="12"/>
        <v>Conduto Conexão</v>
      </c>
      <c r="W139" s="21" t="s">
        <v>99</v>
      </c>
      <c r="X139" s="42" t="str">
        <f t="shared" si="17"/>
        <v>Key-INTEL-139</v>
      </c>
      <c r="Y139" s="20" t="s">
        <v>597</v>
      </c>
      <c r="Z139" s="52" t="s">
        <v>9</v>
      </c>
      <c r="AA139" s="20" t="s">
        <v>522</v>
      </c>
      <c r="AB139" s="52" t="s">
        <v>9</v>
      </c>
      <c r="AC139" s="21" t="s">
        <v>572</v>
      </c>
      <c r="AD139" s="52" t="s">
        <v>9</v>
      </c>
    </row>
    <row r="140" spans="1:30" s="16" customFormat="1" ht="6.75" customHeight="1" x14ac:dyDescent="0.25">
      <c r="A140" s="41">
        <v>140</v>
      </c>
      <c r="B140" s="1" t="s">
        <v>594</v>
      </c>
      <c r="C140" s="1" t="s">
        <v>1365</v>
      </c>
      <c r="D140" s="1" t="s">
        <v>408</v>
      </c>
      <c r="E140" s="33" t="s">
        <v>1684</v>
      </c>
      <c r="F140" s="39" t="s">
        <v>1691</v>
      </c>
      <c r="G140" s="45" t="s">
        <v>9</v>
      </c>
      <c r="H140" s="45" t="s">
        <v>9</v>
      </c>
      <c r="I140" s="45" t="s">
        <v>9</v>
      </c>
      <c r="J140" s="45" t="s">
        <v>9</v>
      </c>
      <c r="K140" s="45" t="s">
        <v>9</v>
      </c>
      <c r="L140" s="25" t="str">
        <f t="shared" si="15"/>
        <v>De.Energia</v>
      </c>
      <c r="M140" s="25" t="str">
        <f t="shared" si="15"/>
        <v>Elementos.Elétricos</v>
      </c>
      <c r="N140" s="25" t="str">
        <f t="shared" si="16"/>
        <v>Conduto Conexão</v>
      </c>
      <c r="O140" s="25" t="str">
        <f t="shared" si="16"/>
        <v>Conexão de Conduto Te</v>
      </c>
      <c r="P140" s="21" t="s">
        <v>483</v>
      </c>
      <c r="Q140" s="21" t="s">
        <v>484</v>
      </c>
      <c r="R140" s="21" t="s">
        <v>636</v>
      </c>
      <c r="S140" s="55" t="s">
        <v>9</v>
      </c>
      <c r="T140" s="51" t="str">
        <f t="shared" si="12"/>
        <v>De Energia</v>
      </c>
      <c r="U140" s="51" t="str">
        <f t="shared" si="12"/>
        <v>Elementos Elétricos</v>
      </c>
      <c r="V140" s="51" t="str">
        <f t="shared" si="12"/>
        <v>Conduto Conexão</v>
      </c>
      <c r="W140" s="21" t="s">
        <v>99</v>
      </c>
      <c r="X140" s="42" t="str">
        <f t="shared" si="17"/>
        <v>Key-INTEL-140</v>
      </c>
      <c r="Y140" s="20" t="s">
        <v>597</v>
      </c>
      <c r="Z140" s="52" t="s">
        <v>9</v>
      </c>
      <c r="AA140" s="20" t="s">
        <v>524</v>
      </c>
      <c r="AB140" s="52" t="s">
        <v>9</v>
      </c>
      <c r="AC140" s="21" t="s">
        <v>572</v>
      </c>
      <c r="AD140" s="52" t="s">
        <v>9</v>
      </c>
    </row>
    <row r="141" spans="1:30" s="16" customFormat="1" ht="6.75" customHeight="1" x14ac:dyDescent="0.25">
      <c r="A141" s="41">
        <v>141</v>
      </c>
      <c r="B141" s="1" t="s">
        <v>594</v>
      </c>
      <c r="C141" s="1" t="s">
        <v>1365</v>
      </c>
      <c r="D141" s="1" t="s">
        <v>408</v>
      </c>
      <c r="E141" s="33" t="s">
        <v>1684</v>
      </c>
      <c r="F141" s="39" t="s">
        <v>1692</v>
      </c>
      <c r="G141" s="45" t="s">
        <v>9</v>
      </c>
      <c r="H141" s="45" t="s">
        <v>9</v>
      </c>
      <c r="I141" s="45" t="s">
        <v>9</v>
      </c>
      <c r="J141" s="45" t="s">
        <v>9</v>
      </c>
      <c r="K141" s="45" t="s">
        <v>9</v>
      </c>
      <c r="L141" s="25" t="str">
        <f t="shared" si="15"/>
        <v>De.Energia</v>
      </c>
      <c r="M141" s="25" t="str">
        <f t="shared" si="15"/>
        <v>Elementos.Elétricos</v>
      </c>
      <c r="N141" s="25" t="str">
        <f t="shared" si="16"/>
        <v>Conduto Conexão</v>
      </c>
      <c r="O141" s="25" t="str">
        <f t="shared" si="16"/>
        <v>Conexão de Conduto Transição</v>
      </c>
      <c r="P141" s="21" t="s">
        <v>485</v>
      </c>
      <c r="Q141" s="21" t="s">
        <v>486</v>
      </c>
      <c r="R141" s="21" t="s">
        <v>637</v>
      </c>
      <c r="S141" s="55" t="s">
        <v>9</v>
      </c>
      <c r="T141" s="51" t="str">
        <f t="shared" si="12"/>
        <v>De Energia</v>
      </c>
      <c r="U141" s="51" t="str">
        <f t="shared" si="12"/>
        <v>Elementos Elétricos</v>
      </c>
      <c r="V141" s="51" t="str">
        <f t="shared" si="12"/>
        <v>Conduto Conexão</v>
      </c>
      <c r="W141" s="21" t="s">
        <v>99</v>
      </c>
      <c r="X141" s="42" t="str">
        <f t="shared" si="17"/>
        <v>Key-INTEL-141</v>
      </c>
      <c r="Y141" s="20" t="s">
        <v>597</v>
      </c>
      <c r="Z141" s="52" t="s">
        <v>9</v>
      </c>
      <c r="AA141" s="20" t="s">
        <v>523</v>
      </c>
      <c r="AB141" s="52" t="s">
        <v>9</v>
      </c>
      <c r="AC141" s="21" t="s">
        <v>572</v>
      </c>
      <c r="AD141" s="52" t="s">
        <v>9</v>
      </c>
    </row>
    <row r="142" spans="1:30" ht="6.75" customHeight="1" x14ac:dyDescent="0.25">
      <c r="A142" s="41">
        <v>142</v>
      </c>
      <c r="B142" s="1" t="s">
        <v>594</v>
      </c>
      <c r="C142" s="1" t="s">
        <v>1365</v>
      </c>
      <c r="D142" s="1" t="s">
        <v>408</v>
      </c>
      <c r="E142" s="1" t="s">
        <v>1693</v>
      </c>
      <c r="F142" s="39" t="s">
        <v>545</v>
      </c>
      <c r="G142" s="45" t="s">
        <v>9</v>
      </c>
      <c r="H142" s="45" t="s">
        <v>9</v>
      </c>
      <c r="I142" s="45" t="s">
        <v>9</v>
      </c>
      <c r="J142" s="45" t="s">
        <v>9</v>
      </c>
      <c r="K142" s="45" t="s">
        <v>9</v>
      </c>
      <c r="L142" s="25" t="str">
        <f t="shared" si="15"/>
        <v>De.Energia</v>
      </c>
      <c r="M142" s="25" t="str">
        <f t="shared" si="15"/>
        <v>Elementos.Elétricos</v>
      </c>
      <c r="N142" s="25" t="str">
        <f t="shared" si="16"/>
        <v>Conduto Segmento</v>
      </c>
      <c r="O142" s="25" t="str">
        <f t="shared" si="16"/>
        <v>Segmento de Calha</v>
      </c>
      <c r="P142" s="21" t="s">
        <v>487</v>
      </c>
      <c r="Q142" s="21" t="s">
        <v>488</v>
      </c>
      <c r="R142" s="21" t="s">
        <v>622</v>
      </c>
      <c r="S142" s="55" t="s">
        <v>9</v>
      </c>
      <c r="T142" s="51" t="str">
        <f t="shared" si="12"/>
        <v>De Energia</v>
      </c>
      <c r="U142" s="51" t="str">
        <f t="shared" si="12"/>
        <v>Elementos Elétricos</v>
      </c>
      <c r="V142" s="51" t="str">
        <f t="shared" si="12"/>
        <v>Conduto Segmento</v>
      </c>
      <c r="W142" s="21" t="s">
        <v>99</v>
      </c>
      <c r="X142" s="42" t="str">
        <f t="shared" si="17"/>
        <v>Key-INTEL-142</v>
      </c>
      <c r="Y142" s="20" t="s">
        <v>596</v>
      </c>
      <c r="Z142" s="52" t="s">
        <v>9</v>
      </c>
      <c r="AA142" s="20" t="s">
        <v>525</v>
      </c>
      <c r="AB142" s="52" t="s">
        <v>9</v>
      </c>
      <c r="AC142" s="21" t="s">
        <v>572</v>
      </c>
      <c r="AD142" s="52" t="s">
        <v>9</v>
      </c>
    </row>
    <row r="143" spans="1:30" ht="6.75" customHeight="1" x14ac:dyDescent="0.25">
      <c r="A143" s="41">
        <v>143</v>
      </c>
      <c r="B143" s="1" t="s">
        <v>594</v>
      </c>
      <c r="C143" s="1" t="s">
        <v>1365</v>
      </c>
      <c r="D143" s="1" t="s">
        <v>408</v>
      </c>
      <c r="E143" s="1" t="s">
        <v>1693</v>
      </c>
      <c r="F143" s="39" t="s">
        <v>585</v>
      </c>
      <c r="G143" s="45" t="s">
        <v>9</v>
      </c>
      <c r="H143" s="45" t="s">
        <v>9</v>
      </c>
      <c r="I143" s="45" t="s">
        <v>9</v>
      </c>
      <c r="J143" s="45" t="s">
        <v>9</v>
      </c>
      <c r="K143" s="45" t="s">
        <v>9</v>
      </c>
      <c r="L143" s="25" t="str">
        <f t="shared" si="15"/>
        <v>De.Energia</v>
      </c>
      <c r="M143" s="25" t="str">
        <f t="shared" si="15"/>
        <v>Elementos.Elétricos</v>
      </c>
      <c r="N143" s="25" t="str">
        <f t="shared" si="16"/>
        <v>Conduto Segmento</v>
      </c>
      <c r="O143" s="25" t="str">
        <f t="shared" si="16"/>
        <v>Segmento de Suporte</v>
      </c>
      <c r="P143" s="21" t="s">
        <v>489</v>
      </c>
      <c r="Q143" s="21" t="s">
        <v>490</v>
      </c>
      <c r="R143" s="21" t="s">
        <v>623</v>
      </c>
      <c r="S143" s="55" t="s">
        <v>9</v>
      </c>
      <c r="T143" s="51" t="str">
        <f t="shared" ref="T143:V206" si="18">SUBSTITUTE(C143, ".", " ")</f>
        <v>De Energia</v>
      </c>
      <c r="U143" s="51" t="str">
        <f t="shared" si="18"/>
        <v>Elementos Elétricos</v>
      </c>
      <c r="V143" s="51" t="str">
        <f t="shared" si="18"/>
        <v>Conduto Segmento</v>
      </c>
      <c r="W143" s="21" t="s">
        <v>99</v>
      </c>
      <c r="X143" s="42" t="str">
        <f t="shared" si="17"/>
        <v>Key-INTEL-143</v>
      </c>
      <c r="Y143" s="20" t="s">
        <v>596</v>
      </c>
      <c r="Z143" s="52" t="s">
        <v>9</v>
      </c>
      <c r="AA143" s="20" t="s">
        <v>526</v>
      </c>
      <c r="AB143" s="52" t="s">
        <v>9</v>
      </c>
      <c r="AC143" s="21" t="s">
        <v>572</v>
      </c>
      <c r="AD143" s="52" t="s">
        <v>9</v>
      </c>
    </row>
    <row r="144" spans="1:30" ht="6.75" customHeight="1" x14ac:dyDescent="0.25">
      <c r="A144" s="41">
        <v>144</v>
      </c>
      <c r="B144" s="1" t="s">
        <v>594</v>
      </c>
      <c r="C144" s="1" t="s">
        <v>1365</v>
      </c>
      <c r="D144" s="1" t="s">
        <v>408</v>
      </c>
      <c r="E144" s="1" t="s">
        <v>1693</v>
      </c>
      <c r="F144" s="39" t="s">
        <v>586</v>
      </c>
      <c r="G144" s="47" t="s">
        <v>9</v>
      </c>
      <c r="H144" s="45" t="s">
        <v>9</v>
      </c>
      <c r="I144" s="45" t="s">
        <v>9</v>
      </c>
      <c r="J144" s="45" t="s">
        <v>9</v>
      </c>
      <c r="K144" s="45" t="s">
        <v>9</v>
      </c>
      <c r="L144" s="25" t="str">
        <f t="shared" si="15"/>
        <v>De.Energia</v>
      </c>
      <c r="M144" s="25" t="str">
        <f t="shared" si="15"/>
        <v>Elementos.Elétricos</v>
      </c>
      <c r="N144" s="25" t="str">
        <f t="shared" si="16"/>
        <v>Conduto Segmento</v>
      </c>
      <c r="O144" s="25" t="str">
        <f t="shared" si="16"/>
        <v>Segmento de Leito de Cabos</v>
      </c>
      <c r="P144" s="21" t="s">
        <v>491</v>
      </c>
      <c r="Q144" s="21" t="s">
        <v>492</v>
      </c>
      <c r="R144" s="21" t="s">
        <v>624</v>
      </c>
      <c r="S144" s="55" t="s">
        <v>9</v>
      </c>
      <c r="T144" s="51" t="str">
        <f t="shared" si="18"/>
        <v>De Energia</v>
      </c>
      <c r="U144" s="51" t="str">
        <f t="shared" si="18"/>
        <v>Elementos Elétricos</v>
      </c>
      <c r="V144" s="51" t="str">
        <f t="shared" si="18"/>
        <v>Conduto Segmento</v>
      </c>
      <c r="W144" s="21" t="s">
        <v>99</v>
      </c>
      <c r="X144" s="42" t="str">
        <f t="shared" si="17"/>
        <v>Key-INTEL-144</v>
      </c>
      <c r="Y144" s="20" t="s">
        <v>596</v>
      </c>
      <c r="Z144" s="52" t="s">
        <v>9</v>
      </c>
      <c r="AA144" s="20" t="s">
        <v>527</v>
      </c>
      <c r="AB144" s="52" t="s">
        <v>9</v>
      </c>
      <c r="AC144" s="21" t="s">
        <v>572</v>
      </c>
      <c r="AD144" s="52" t="s">
        <v>9</v>
      </c>
    </row>
    <row r="145" spans="1:30" ht="6.75" customHeight="1" x14ac:dyDescent="0.25">
      <c r="A145" s="41">
        <v>145</v>
      </c>
      <c r="B145" s="1" t="s">
        <v>594</v>
      </c>
      <c r="C145" s="1" t="s">
        <v>1365</v>
      </c>
      <c r="D145" s="1" t="s">
        <v>408</v>
      </c>
      <c r="E145" s="1" t="s">
        <v>1693</v>
      </c>
      <c r="F145" s="39" t="s">
        <v>590</v>
      </c>
      <c r="G145" s="47" t="s">
        <v>9</v>
      </c>
      <c r="H145" s="45" t="s">
        <v>9</v>
      </c>
      <c r="I145" s="45" t="s">
        <v>9</v>
      </c>
      <c r="J145" s="45" t="s">
        <v>9</v>
      </c>
      <c r="K145" s="45" t="s">
        <v>9</v>
      </c>
      <c r="L145" s="25" t="str">
        <f t="shared" si="15"/>
        <v>De.Energia</v>
      </c>
      <c r="M145" s="25" t="str">
        <f t="shared" si="15"/>
        <v>Elementos.Elétricos</v>
      </c>
      <c r="N145" s="25" t="str">
        <f t="shared" si="16"/>
        <v>Conduto Segmento</v>
      </c>
      <c r="O145" s="25" t="str">
        <f t="shared" si="16"/>
        <v>Segmento de Bandeja de Cabos</v>
      </c>
      <c r="P145" s="21" t="s">
        <v>493</v>
      </c>
      <c r="Q145" s="21" t="s">
        <v>494</v>
      </c>
      <c r="R145" s="21" t="s">
        <v>625</v>
      </c>
      <c r="S145" s="55" t="s">
        <v>9</v>
      </c>
      <c r="T145" s="51" t="str">
        <f t="shared" si="18"/>
        <v>De Energia</v>
      </c>
      <c r="U145" s="51" t="str">
        <f t="shared" si="18"/>
        <v>Elementos Elétricos</v>
      </c>
      <c r="V145" s="51" t="str">
        <f t="shared" si="18"/>
        <v>Conduto Segmento</v>
      </c>
      <c r="W145" s="21" t="s">
        <v>99</v>
      </c>
      <c r="X145" s="42" t="str">
        <f t="shared" si="17"/>
        <v>Key-INTEL-145</v>
      </c>
      <c r="Y145" s="20" t="s">
        <v>596</v>
      </c>
      <c r="Z145" s="52" t="s">
        <v>9</v>
      </c>
      <c r="AA145" s="20" t="s">
        <v>544</v>
      </c>
      <c r="AB145" s="52" t="s">
        <v>9</v>
      </c>
      <c r="AC145" s="21" t="s">
        <v>572</v>
      </c>
      <c r="AD145" s="52" t="s">
        <v>9</v>
      </c>
    </row>
    <row r="146" spans="1:30" ht="6.75" customHeight="1" x14ac:dyDescent="0.25">
      <c r="A146" s="41">
        <v>146</v>
      </c>
      <c r="B146" s="1" t="s">
        <v>594</v>
      </c>
      <c r="C146" s="1" t="s">
        <v>1365</v>
      </c>
      <c r="D146" s="1" t="s">
        <v>408</v>
      </c>
      <c r="E146" s="1" t="s">
        <v>1693</v>
      </c>
      <c r="F146" s="39" t="s">
        <v>587</v>
      </c>
      <c r="G146" s="47" t="s">
        <v>9</v>
      </c>
      <c r="H146" s="45" t="s">
        <v>9</v>
      </c>
      <c r="I146" s="45" t="s">
        <v>9</v>
      </c>
      <c r="J146" s="45" t="s">
        <v>9</v>
      </c>
      <c r="K146" s="45" t="s">
        <v>9</v>
      </c>
      <c r="L146" s="25" t="str">
        <f t="shared" si="15"/>
        <v>De.Energia</v>
      </c>
      <c r="M146" s="25" t="str">
        <f t="shared" si="15"/>
        <v>Elementos.Elétricos</v>
      </c>
      <c r="N146" s="25" t="str">
        <f t="shared" si="16"/>
        <v>Conduto Segmento</v>
      </c>
      <c r="O146" s="25" t="str">
        <f t="shared" si="16"/>
        <v>Segmento de EletroCalha</v>
      </c>
      <c r="P146" s="21" t="s">
        <v>495</v>
      </c>
      <c r="Q146" s="21" t="s">
        <v>496</v>
      </c>
      <c r="R146" s="21" t="s">
        <v>626</v>
      </c>
      <c r="S146" s="55" t="s">
        <v>9</v>
      </c>
      <c r="T146" s="51" t="str">
        <f t="shared" si="18"/>
        <v>De Energia</v>
      </c>
      <c r="U146" s="51" t="str">
        <f t="shared" si="18"/>
        <v>Elementos Elétricos</v>
      </c>
      <c r="V146" s="51" t="str">
        <f t="shared" si="18"/>
        <v>Conduto Segmento</v>
      </c>
      <c r="W146" s="21" t="s">
        <v>99</v>
      </c>
      <c r="X146" s="42" t="str">
        <f t="shared" si="17"/>
        <v>Key-INTEL-146</v>
      </c>
      <c r="Y146" s="20" t="s">
        <v>596</v>
      </c>
      <c r="Z146" s="52" t="s">
        <v>9</v>
      </c>
      <c r="AA146" s="20" t="s">
        <v>543</v>
      </c>
      <c r="AB146" s="52" t="s">
        <v>9</v>
      </c>
      <c r="AC146" s="21" t="s">
        <v>572</v>
      </c>
      <c r="AD146" s="52" t="s">
        <v>9</v>
      </c>
    </row>
    <row r="147" spans="1:30" ht="6.75" customHeight="1" x14ac:dyDescent="0.25">
      <c r="A147" s="41">
        <v>147</v>
      </c>
      <c r="B147" s="1" t="s">
        <v>594</v>
      </c>
      <c r="C147" s="1" t="s">
        <v>1365</v>
      </c>
      <c r="D147" s="1" t="s">
        <v>408</v>
      </c>
      <c r="E147" s="1" t="s">
        <v>1693</v>
      </c>
      <c r="F147" s="39" t="s">
        <v>588</v>
      </c>
      <c r="G147" s="47" t="s">
        <v>9</v>
      </c>
      <c r="H147" s="45" t="s">
        <v>9</v>
      </c>
      <c r="I147" s="45" t="s">
        <v>9</v>
      </c>
      <c r="J147" s="45" t="s">
        <v>9</v>
      </c>
      <c r="K147" s="45" t="s">
        <v>9</v>
      </c>
      <c r="L147" s="25" t="str">
        <f t="shared" si="15"/>
        <v>De.Energia</v>
      </c>
      <c r="M147" s="25" t="str">
        <f t="shared" si="15"/>
        <v>Elementos.Elétricos</v>
      </c>
      <c r="N147" s="25" t="str">
        <f t="shared" si="16"/>
        <v>Conduto Segmento</v>
      </c>
      <c r="O147" s="25" t="str">
        <f t="shared" si="16"/>
        <v>Segmento de Catenária</v>
      </c>
      <c r="P147" s="21" t="s">
        <v>497</v>
      </c>
      <c r="Q147" s="21" t="s">
        <v>498</v>
      </c>
      <c r="R147" s="21" t="s">
        <v>627</v>
      </c>
      <c r="S147" s="55" t="s">
        <v>9</v>
      </c>
      <c r="T147" s="51" t="str">
        <f t="shared" si="18"/>
        <v>De Energia</v>
      </c>
      <c r="U147" s="51" t="str">
        <f t="shared" si="18"/>
        <v>Elementos Elétricos</v>
      </c>
      <c r="V147" s="51" t="str">
        <f t="shared" si="18"/>
        <v>Conduto Segmento</v>
      </c>
      <c r="W147" s="21" t="s">
        <v>99</v>
      </c>
      <c r="X147" s="42" t="str">
        <f t="shared" si="17"/>
        <v>Key-INTEL-147</v>
      </c>
      <c r="Y147" s="20" t="s">
        <v>596</v>
      </c>
      <c r="Z147" s="52" t="s">
        <v>9</v>
      </c>
      <c r="AA147" s="20" t="s">
        <v>542</v>
      </c>
      <c r="AB147" s="52" t="s">
        <v>9</v>
      </c>
      <c r="AC147" s="21" t="s">
        <v>572</v>
      </c>
      <c r="AD147" s="52" t="s">
        <v>9</v>
      </c>
    </row>
    <row r="148" spans="1:30" ht="6.75" customHeight="1" x14ac:dyDescent="0.25">
      <c r="A148" s="41">
        <v>148</v>
      </c>
      <c r="B148" s="1" t="s">
        <v>594</v>
      </c>
      <c r="C148" s="1" t="s">
        <v>1365</v>
      </c>
      <c r="D148" s="1" t="s">
        <v>408</v>
      </c>
      <c r="E148" s="1" t="s">
        <v>1693</v>
      </c>
      <c r="F148" s="39" t="s">
        <v>584</v>
      </c>
      <c r="G148" s="47" t="s">
        <v>9</v>
      </c>
      <c r="H148" s="45" t="s">
        <v>9</v>
      </c>
      <c r="I148" s="45" t="s">
        <v>9</v>
      </c>
      <c r="J148" s="45" t="s">
        <v>9</v>
      </c>
      <c r="K148" s="45" t="s">
        <v>9</v>
      </c>
      <c r="L148" s="25" t="str">
        <f t="shared" si="15"/>
        <v>De.Energia</v>
      </c>
      <c r="M148" s="25" t="str">
        <f t="shared" si="15"/>
        <v>Elementos.Elétricos</v>
      </c>
      <c r="N148" s="25" t="str">
        <f t="shared" si="16"/>
        <v>Conduto Segmento</v>
      </c>
      <c r="O148" s="25" t="str">
        <f t="shared" si="16"/>
        <v>Segmento de Conduíte</v>
      </c>
      <c r="P148" s="21" t="s">
        <v>499</v>
      </c>
      <c r="Q148" s="21" t="s">
        <v>500</v>
      </c>
      <c r="R148" s="21" t="s">
        <v>628</v>
      </c>
      <c r="S148" s="55" t="s">
        <v>9</v>
      </c>
      <c r="T148" s="51" t="str">
        <f t="shared" si="18"/>
        <v>De Energia</v>
      </c>
      <c r="U148" s="51" t="str">
        <f t="shared" si="18"/>
        <v>Elementos Elétricos</v>
      </c>
      <c r="V148" s="51" t="str">
        <f t="shared" si="18"/>
        <v>Conduto Segmento</v>
      </c>
      <c r="W148" s="21" t="s">
        <v>99</v>
      </c>
      <c r="X148" s="42" t="str">
        <f t="shared" si="17"/>
        <v>Key-INTEL-148</v>
      </c>
      <c r="Y148" s="20" t="s">
        <v>596</v>
      </c>
      <c r="Z148" s="52" t="s">
        <v>9</v>
      </c>
      <c r="AA148" s="20" t="s">
        <v>541</v>
      </c>
      <c r="AB148" s="52" t="s">
        <v>9</v>
      </c>
      <c r="AC148" s="21" t="s">
        <v>572</v>
      </c>
      <c r="AD148" s="52" t="s">
        <v>9</v>
      </c>
    </row>
    <row r="149" spans="1:30" ht="6.75" customHeight="1" x14ac:dyDescent="0.25">
      <c r="A149" s="41">
        <v>149</v>
      </c>
      <c r="B149" s="1" t="s">
        <v>594</v>
      </c>
      <c r="C149" s="1" t="s">
        <v>1365</v>
      </c>
      <c r="D149" s="1" t="s">
        <v>408</v>
      </c>
      <c r="E149" s="1" t="s">
        <v>1693</v>
      </c>
      <c r="F149" s="39" t="s">
        <v>589</v>
      </c>
      <c r="G149" s="47" t="s">
        <v>9</v>
      </c>
      <c r="H149" s="45" t="s">
        <v>9</v>
      </c>
      <c r="I149" s="45" t="s">
        <v>9</v>
      </c>
      <c r="J149" s="45" t="s">
        <v>9</v>
      </c>
      <c r="K149" s="45" t="s">
        <v>9</v>
      </c>
      <c r="L149" s="25" t="str">
        <f t="shared" si="15"/>
        <v>De.Energia</v>
      </c>
      <c r="M149" s="25" t="str">
        <f t="shared" si="15"/>
        <v>Elementos.Elétricos</v>
      </c>
      <c r="N149" s="25" t="str">
        <f t="shared" si="16"/>
        <v>Conduto Segmento</v>
      </c>
      <c r="O149" s="25" t="str">
        <f t="shared" si="16"/>
        <v>Segmento de Descida</v>
      </c>
      <c r="P149" s="21" t="s">
        <v>501</v>
      </c>
      <c r="Q149" s="21" t="s">
        <v>502</v>
      </c>
      <c r="R149" s="21" t="s">
        <v>629</v>
      </c>
      <c r="S149" s="55" t="s">
        <v>9</v>
      </c>
      <c r="T149" s="51" t="str">
        <f t="shared" si="18"/>
        <v>De Energia</v>
      </c>
      <c r="U149" s="51" t="str">
        <f t="shared" si="18"/>
        <v>Elementos Elétricos</v>
      </c>
      <c r="V149" s="51" t="str">
        <f t="shared" si="18"/>
        <v>Conduto Segmento</v>
      </c>
      <c r="W149" s="21" t="s">
        <v>99</v>
      </c>
      <c r="X149" s="42" t="str">
        <f t="shared" si="17"/>
        <v>Key-INTEL-149</v>
      </c>
      <c r="Y149" s="20" t="s">
        <v>596</v>
      </c>
      <c r="Z149" s="52" t="s">
        <v>9</v>
      </c>
      <c r="AA149" s="20" t="s">
        <v>540</v>
      </c>
      <c r="AB149" s="52" t="s">
        <v>9</v>
      </c>
      <c r="AC149" s="21" t="s">
        <v>572</v>
      </c>
      <c r="AD149" s="52" t="s">
        <v>9</v>
      </c>
    </row>
    <row r="150" spans="1:30" ht="6.75" customHeight="1" x14ac:dyDescent="0.25">
      <c r="A150" s="41">
        <v>150</v>
      </c>
      <c r="B150" s="1" t="s">
        <v>594</v>
      </c>
      <c r="C150" s="1" t="s">
        <v>1365</v>
      </c>
      <c r="D150" s="1" t="s">
        <v>408</v>
      </c>
      <c r="E150" s="33" t="s">
        <v>1694</v>
      </c>
      <c r="F150" s="39" t="s">
        <v>287</v>
      </c>
      <c r="G150" s="47" t="s">
        <v>9</v>
      </c>
      <c r="H150" s="45" t="s">
        <v>9</v>
      </c>
      <c r="I150" s="45" t="s">
        <v>9</v>
      </c>
      <c r="J150" s="45" t="s">
        <v>9</v>
      </c>
      <c r="K150" s="45" t="s">
        <v>9</v>
      </c>
      <c r="L150" s="25" t="str">
        <f t="shared" si="15"/>
        <v>De.Energia</v>
      </c>
      <c r="M150" s="25" t="str">
        <f t="shared" si="15"/>
        <v>Elementos.Elétricos</v>
      </c>
      <c r="N150" s="25" t="str">
        <f t="shared" si="16"/>
        <v>Elemento Filtro Elétrico</v>
      </c>
      <c r="O150" s="25" t="str">
        <f t="shared" si="16"/>
        <v>Filtro Elétrico</v>
      </c>
      <c r="P150" s="21" t="s">
        <v>168</v>
      </c>
      <c r="Q150" s="21" t="s">
        <v>169</v>
      </c>
      <c r="R150" s="21" t="s">
        <v>354</v>
      </c>
      <c r="S150" s="55" t="s">
        <v>9</v>
      </c>
      <c r="T150" s="51" t="str">
        <f t="shared" si="18"/>
        <v>De Energia</v>
      </c>
      <c r="U150" s="51" t="str">
        <f t="shared" si="18"/>
        <v>Elementos Elétricos</v>
      </c>
      <c r="V150" s="51" t="str">
        <f t="shared" si="18"/>
        <v>Elemento Filtro Elétrico</v>
      </c>
      <c r="W150" s="21" t="s">
        <v>99</v>
      </c>
      <c r="X150" s="42" t="str">
        <f t="shared" si="17"/>
        <v>Key-INTEL-150</v>
      </c>
      <c r="Y150" s="21" t="s">
        <v>601</v>
      </c>
      <c r="Z150" s="52" t="s">
        <v>9</v>
      </c>
      <c r="AA150" s="20" t="s">
        <v>313</v>
      </c>
      <c r="AB150" s="52" t="s">
        <v>9</v>
      </c>
      <c r="AC150" s="21" t="s">
        <v>572</v>
      </c>
      <c r="AD150" s="52" t="s">
        <v>9</v>
      </c>
    </row>
    <row r="151" spans="1:30" ht="6.75" customHeight="1" x14ac:dyDescent="0.25">
      <c r="A151" s="41">
        <v>151</v>
      </c>
      <c r="B151" s="1" t="s">
        <v>594</v>
      </c>
      <c r="C151" s="1" t="s">
        <v>1365</v>
      </c>
      <c r="D151" s="1" t="s">
        <v>408</v>
      </c>
      <c r="E151" s="33" t="s">
        <v>1694</v>
      </c>
      <c r="F151" s="39" t="s">
        <v>286</v>
      </c>
      <c r="G151" s="47" t="s">
        <v>9</v>
      </c>
      <c r="H151" s="45" t="s">
        <v>9</v>
      </c>
      <c r="I151" s="45" t="s">
        <v>9</v>
      </c>
      <c r="J151" s="45" t="s">
        <v>9</v>
      </c>
      <c r="K151" s="45" t="s">
        <v>9</v>
      </c>
      <c r="L151" s="25" t="str">
        <f t="shared" si="15"/>
        <v>De.Energia</v>
      </c>
      <c r="M151" s="25" t="str">
        <f t="shared" si="15"/>
        <v>Elementos.Elétricos</v>
      </c>
      <c r="N151" s="25" t="str">
        <f t="shared" si="16"/>
        <v>Elemento Filtro Elétrico</v>
      </c>
      <c r="O151" s="25" t="str">
        <f t="shared" si="16"/>
        <v>Filtro Eletrônico</v>
      </c>
      <c r="P151" s="21" t="s">
        <v>170</v>
      </c>
      <c r="Q151" s="21" t="s">
        <v>171</v>
      </c>
      <c r="R151" s="21" t="s">
        <v>355</v>
      </c>
      <c r="S151" s="55" t="s">
        <v>9</v>
      </c>
      <c r="T151" s="51" t="str">
        <f t="shared" si="18"/>
        <v>De Energia</v>
      </c>
      <c r="U151" s="51" t="str">
        <f t="shared" si="18"/>
        <v>Elementos Elétricos</v>
      </c>
      <c r="V151" s="51" t="str">
        <f t="shared" si="18"/>
        <v>Elemento Filtro Elétrico</v>
      </c>
      <c r="W151" s="21" t="s">
        <v>99</v>
      </c>
      <c r="X151" s="42" t="str">
        <f t="shared" si="17"/>
        <v>Key-INTEL-151</v>
      </c>
      <c r="Y151" s="21" t="s">
        <v>601</v>
      </c>
      <c r="Z151" s="52" t="s">
        <v>9</v>
      </c>
      <c r="AA151" s="20" t="s">
        <v>312</v>
      </c>
      <c r="AB151" s="52" t="s">
        <v>9</v>
      </c>
      <c r="AC151" s="21" t="s">
        <v>572</v>
      </c>
      <c r="AD151" s="52" t="s">
        <v>9</v>
      </c>
    </row>
    <row r="152" spans="1:30" ht="6.75" customHeight="1" x14ac:dyDescent="0.25">
      <c r="A152" s="41">
        <v>152</v>
      </c>
      <c r="B152" s="1" t="s">
        <v>594</v>
      </c>
      <c r="C152" s="1" t="s">
        <v>1365</v>
      </c>
      <c r="D152" s="1" t="s">
        <v>408</v>
      </c>
      <c r="E152" s="33" t="s">
        <v>1695</v>
      </c>
      <c r="F152" s="39" t="s">
        <v>378</v>
      </c>
      <c r="G152" s="47" t="s">
        <v>9</v>
      </c>
      <c r="H152" s="45" t="s">
        <v>9</v>
      </c>
      <c r="I152" s="45" t="s">
        <v>9</v>
      </c>
      <c r="J152" s="45" t="s">
        <v>9</v>
      </c>
      <c r="K152" s="45" t="s">
        <v>9</v>
      </c>
      <c r="L152" s="25" t="str">
        <f t="shared" si="15"/>
        <v>De.Energia</v>
      </c>
      <c r="M152" s="25" t="str">
        <f t="shared" si="15"/>
        <v>Elementos.Elétricos</v>
      </c>
      <c r="N152" s="25" t="str">
        <f t="shared" si="16"/>
        <v>Elemento Gerador Elétrica</v>
      </c>
      <c r="O152" s="25" t="str">
        <f t="shared" si="16"/>
        <v>Gerador Elétrico</v>
      </c>
      <c r="P152" s="21" t="s">
        <v>160</v>
      </c>
      <c r="Q152" s="21" t="s">
        <v>161</v>
      </c>
      <c r="R152" s="21" t="s">
        <v>350</v>
      </c>
      <c r="S152" s="55" t="s">
        <v>9</v>
      </c>
      <c r="T152" s="51" t="str">
        <f t="shared" si="18"/>
        <v>De Energia</v>
      </c>
      <c r="U152" s="51" t="str">
        <f t="shared" si="18"/>
        <v>Elementos Elétricos</v>
      </c>
      <c r="V152" s="51" t="str">
        <f t="shared" si="18"/>
        <v>Elemento Gerador Elétrica</v>
      </c>
      <c r="W152" s="21" t="s">
        <v>99</v>
      </c>
      <c r="X152" s="42" t="str">
        <f t="shared" si="17"/>
        <v>Key-INTEL-152</v>
      </c>
      <c r="Y152" s="21" t="s">
        <v>601</v>
      </c>
      <c r="Z152" s="52" t="s">
        <v>9</v>
      </c>
      <c r="AA152" s="20" t="s">
        <v>317</v>
      </c>
      <c r="AB152" s="52" t="s">
        <v>9</v>
      </c>
      <c r="AC152" s="21" t="s">
        <v>572</v>
      </c>
      <c r="AD152" s="52" t="s">
        <v>9</v>
      </c>
    </row>
    <row r="153" spans="1:30" ht="6.75" customHeight="1" x14ac:dyDescent="0.25">
      <c r="A153" s="41">
        <v>153</v>
      </c>
      <c r="B153" s="1" t="s">
        <v>594</v>
      </c>
      <c r="C153" s="1" t="s">
        <v>1365</v>
      </c>
      <c r="D153" s="1" t="s">
        <v>408</v>
      </c>
      <c r="E153" s="33" t="s">
        <v>1695</v>
      </c>
      <c r="F153" s="39" t="s">
        <v>379</v>
      </c>
      <c r="G153" s="47" t="s">
        <v>9</v>
      </c>
      <c r="H153" s="45" t="s">
        <v>9</v>
      </c>
      <c r="I153" s="45" t="s">
        <v>9</v>
      </c>
      <c r="J153" s="45" t="s">
        <v>9</v>
      </c>
      <c r="K153" s="45" t="s">
        <v>9</v>
      </c>
      <c r="L153" s="25" t="str">
        <f t="shared" si="15"/>
        <v>De.Energia</v>
      </c>
      <c r="M153" s="25" t="str">
        <f t="shared" si="15"/>
        <v>Elementos.Elétricos</v>
      </c>
      <c r="N153" s="25" t="str">
        <f t="shared" si="16"/>
        <v>Elemento Gerador Elétrica</v>
      </c>
      <c r="O153" s="25" t="str">
        <f t="shared" si="16"/>
        <v>Gerador Elétrico de Cogeração</v>
      </c>
      <c r="P153" s="21" t="s">
        <v>162</v>
      </c>
      <c r="Q153" s="21" t="s">
        <v>163</v>
      </c>
      <c r="R153" s="21" t="s">
        <v>351</v>
      </c>
      <c r="S153" s="55" t="s">
        <v>9</v>
      </c>
      <c r="T153" s="51" t="str">
        <f t="shared" si="18"/>
        <v>De Energia</v>
      </c>
      <c r="U153" s="51" t="str">
        <f t="shared" si="18"/>
        <v>Elementos Elétricos</v>
      </c>
      <c r="V153" s="51" t="str">
        <f t="shared" si="18"/>
        <v>Elemento Gerador Elétrica</v>
      </c>
      <c r="W153" s="21" t="s">
        <v>99</v>
      </c>
      <c r="X153" s="42" t="str">
        <f t="shared" si="17"/>
        <v>Key-INTEL-153</v>
      </c>
      <c r="Y153" s="21" t="s">
        <v>601</v>
      </c>
      <c r="Z153" s="52" t="s">
        <v>9</v>
      </c>
      <c r="AA153" s="20" t="s">
        <v>316</v>
      </c>
      <c r="AB153" s="52" t="s">
        <v>9</v>
      </c>
      <c r="AC153" s="21" t="s">
        <v>572</v>
      </c>
      <c r="AD153" s="52" t="s">
        <v>9</v>
      </c>
    </row>
    <row r="154" spans="1:30" ht="6.75" customHeight="1" x14ac:dyDescent="0.25">
      <c r="A154" s="41">
        <v>154</v>
      </c>
      <c r="B154" s="1" t="s">
        <v>594</v>
      </c>
      <c r="C154" s="1" t="s">
        <v>1365</v>
      </c>
      <c r="D154" s="1" t="s">
        <v>408</v>
      </c>
      <c r="E154" s="33" t="s">
        <v>1695</v>
      </c>
      <c r="F154" s="39" t="s">
        <v>380</v>
      </c>
      <c r="G154" s="47" t="s">
        <v>9</v>
      </c>
      <c r="H154" s="45" t="s">
        <v>9</v>
      </c>
      <c r="I154" s="45" t="s">
        <v>9</v>
      </c>
      <c r="J154" s="45" t="s">
        <v>9</v>
      </c>
      <c r="K154" s="45" t="s">
        <v>9</v>
      </c>
      <c r="L154" s="25" t="str">
        <f t="shared" si="15"/>
        <v>De.Energia</v>
      </c>
      <c r="M154" s="25" t="str">
        <f t="shared" si="15"/>
        <v>Elementos.Elétricos</v>
      </c>
      <c r="N154" s="25" t="str">
        <f t="shared" si="16"/>
        <v>Elemento Gerador Elétrica</v>
      </c>
      <c r="O154" s="25" t="str">
        <f t="shared" si="16"/>
        <v>Gerador Elétrico de Combustível</v>
      </c>
      <c r="P154" s="21" t="s">
        <v>164</v>
      </c>
      <c r="Q154" s="21" t="s">
        <v>165</v>
      </c>
      <c r="R154" s="21" t="s">
        <v>352</v>
      </c>
      <c r="S154" s="55" t="s">
        <v>9</v>
      </c>
      <c r="T154" s="51" t="str">
        <f t="shared" si="18"/>
        <v>De Energia</v>
      </c>
      <c r="U154" s="51" t="str">
        <f t="shared" si="18"/>
        <v>Elementos Elétricos</v>
      </c>
      <c r="V154" s="51" t="str">
        <f t="shared" si="18"/>
        <v>Elemento Gerador Elétrica</v>
      </c>
      <c r="W154" s="21" t="s">
        <v>99</v>
      </c>
      <c r="X154" s="42" t="str">
        <f t="shared" si="17"/>
        <v>Key-INTEL-154</v>
      </c>
      <c r="Y154" s="21" t="s">
        <v>601</v>
      </c>
      <c r="Z154" s="52" t="s">
        <v>9</v>
      </c>
      <c r="AA154" s="20" t="s">
        <v>315</v>
      </c>
      <c r="AB154" s="52" t="s">
        <v>9</v>
      </c>
      <c r="AC154" s="21" t="s">
        <v>572</v>
      </c>
      <c r="AD154" s="52" t="s">
        <v>9</v>
      </c>
    </row>
    <row r="155" spans="1:30" ht="6.75" customHeight="1" x14ac:dyDescent="0.25">
      <c r="A155" s="41">
        <v>155</v>
      </c>
      <c r="B155" s="1" t="s">
        <v>594</v>
      </c>
      <c r="C155" s="1" t="s">
        <v>1365</v>
      </c>
      <c r="D155" s="1" t="s">
        <v>408</v>
      </c>
      <c r="E155" s="33" t="s">
        <v>1695</v>
      </c>
      <c r="F155" s="39" t="s">
        <v>381</v>
      </c>
      <c r="G155" s="47" t="s">
        <v>9</v>
      </c>
      <c r="H155" s="45" t="s">
        <v>9</v>
      </c>
      <c r="I155" s="45" t="s">
        <v>9</v>
      </c>
      <c r="J155" s="45" t="s">
        <v>9</v>
      </c>
      <c r="K155" s="45" t="s">
        <v>9</v>
      </c>
      <c r="L155" s="25" t="str">
        <f t="shared" si="15"/>
        <v>De.Energia</v>
      </c>
      <c r="M155" s="25" t="str">
        <f t="shared" si="15"/>
        <v>Elementos.Elétricos</v>
      </c>
      <c r="N155" s="25" t="str">
        <f t="shared" si="16"/>
        <v>Elemento Gerador Elétrica</v>
      </c>
      <c r="O155" s="25" t="str">
        <f t="shared" si="16"/>
        <v>Gerador Elétrico Independente</v>
      </c>
      <c r="P155" s="21" t="s">
        <v>166</v>
      </c>
      <c r="Q155" s="21" t="s">
        <v>167</v>
      </c>
      <c r="R155" s="21" t="s">
        <v>353</v>
      </c>
      <c r="S155" s="55" t="s">
        <v>9</v>
      </c>
      <c r="T155" s="51" t="str">
        <f t="shared" si="18"/>
        <v>De Energia</v>
      </c>
      <c r="U155" s="51" t="str">
        <f t="shared" si="18"/>
        <v>Elementos Elétricos</v>
      </c>
      <c r="V155" s="51" t="str">
        <f t="shared" si="18"/>
        <v>Elemento Gerador Elétrica</v>
      </c>
      <c r="W155" s="21" t="s">
        <v>99</v>
      </c>
      <c r="X155" s="42" t="str">
        <f t="shared" si="17"/>
        <v>Key-INTEL-155</v>
      </c>
      <c r="Y155" s="21" t="s">
        <v>601</v>
      </c>
      <c r="Z155" s="52" t="s">
        <v>9</v>
      </c>
      <c r="AA155" s="20" t="s">
        <v>314</v>
      </c>
      <c r="AB155" s="52" t="s">
        <v>9</v>
      </c>
      <c r="AC155" s="21" t="s">
        <v>572</v>
      </c>
      <c r="AD155" s="52" t="s">
        <v>9</v>
      </c>
    </row>
    <row r="156" spans="1:30" ht="6.75" customHeight="1" x14ac:dyDescent="0.25">
      <c r="A156" s="41">
        <v>156</v>
      </c>
      <c r="B156" s="1" t="s">
        <v>594</v>
      </c>
      <c r="C156" s="1" t="s">
        <v>1365</v>
      </c>
      <c r="D156" s="1" t="s">
        <v>408</v>
      </c>
      <c r="E156" s="33" t="s">
        <v>1696</v>
      </c>
      <c r="F156" s="39" t="s">
        <v>390</v>
      </c>
      <c r="G156" s="47" t="s">
        <v>9</v>
      </c>
      <c r="H156" s="45" t="s">
        <v>9</v>
      </c>
      <c r="I156" s="45" t="s">
        <v>9</v>
      </c>
      <c r="J156" s="45" t="s">
        <v>9</v>
      </c>
      <c r="K156" s="45" t="s">
        <v>9</v>
      </c>
      <c r="L156" s="25" t="str">
        <f t="shared" si="15"/>
        <v>De.Energia</v>
      </c>
      <c r="M156" s="25" t="str">
        <f t="shared" si="15"/>
        <v>Elementos.Elétricos</v>
      </c>
      <c r="N156" s="25" t="str">
        <f t="shared" si="16"/>
        <v>Elemento Gerador Solar</v>
      </c>
      <c r="O156" s="25" t="str">
        <f t="shared" si="16"/>
        <v>Dispositivo Solar</v>
      </c>
      <c r="P156" s="21" t="s">
        <v>166</v>
      </c>
      <c r="Q156" s="21" t="s">
        <v>167</v>
      </c>
      <c r="R156" s="21" t="s">
        <v>387</v>
      </c>
      <c r="S156" s="55" t="s">
        <v>9</v>
      </c>
      <c r="T156" s="51" t="str">
        <f t="shared" si="18"/>
        <v>De Energia</v>
      </c>
      <c r="U156" s="51" t="str">
        <f t="shared" si="18"/>
        <v>Elementos Elétricos</v>
      </c>
      <c r="V156" s="51" t="str">
        <f t="shared" si="18"/>
        <v>Elemento Gerador Solar</v>
      </c>
      <c r="W156" s="21" t="s">
        <v>99</v>
      </c>
      <c r="X156" s="42" t="str">
        <f t="shared" si="17"/>
        <v>Key-INTEL-156</v>
      </c>
      <c r="Y156" s="21" t="s">
        <v>601</v>
      </c>
      <c r="Z156" s="52" t="s">
        <v>9</v>
      </c>
      <c r="AA156" s="20" t="s">
        <v>382</v>
      </c>
      <c r="AB156" s="52" t="s">
        <v>9</v>
      </c>
      <c r="AC156" s="21" t="s">
        <v>572</v>
      </c>
      <c r="AD156" s="52" t="s">
        <v>9</v>
      </c>
    </row>
    <row r="157" spans="1:30" ht="6.75" customHeight="1" x14ac:dyDescent="0.25">
      <c r="A157" s="41">
        <v>157</v>
      </c>
      <c r="B157" s="1" t="s">
        <v>594</v>
      </c>
      <c r="C157" s="1" t="s">
        <v>1365</v>
      </c>
      <c r="D157" s="1" t="s">
        <v>408</v>
      </c>
      <c r="E157" s="33" t="s">
        <v>1696</v>
      </c>
      <c r="F157" s="39" t="s">
        <v>388</v>
      </c>
      <c r="G157" s="47" t="s">
        <v>9</v>
      </c>
      <c r="H157" s="45" t="s">
        <v>9</v>
      </c>
      <c r="I157" s="45" t="s">
        <v>9</v>
      </c>
      <c r="J157" s="45" t="s">
        <v>9</v>
      </c>
      <c r="K157" s="45" t="s">
        <v>9</v>
      </c>
      <c r="L157" s="25" t="str">
        <f t="shared" si="15"/>
        <v>De.Energia</v>
      </c>
      <c r="M157" s="25" t="str">
        <f t="shared" si="15"/>
        <v>Elementos.Elétricos</v>
      </c>
      <c r="N157" s="25" t="str">
        <f t="shared" si="16"/>
        <v>Elemento Gerador Solar</v>
      </c>
      <c r="O157" s="25" t="str">
        <f t="shared" si="16"/>
        <v>Coletor Solar</v>
      </c>
      <c r="P157" s="21" t="s">
        <v>166</v>
      </c>
      <c r="Q157" s="21" t="s">
        <v>167</v>
      </c>
      <c r="R157" s="21" t="s">
        <v>385</v>
      </c>
      <c r="S157" s="55" t="s">
        <v>9</v>
      </c>
      <c r="T157" s="51" t="str">
        <f t="shared" si="18"/>
        <v>De Energia</v>
      </c>
      <c r="U157" s="51" t="str">
        <f t="shared" si="18"/>
        <v>Elementos Elétricos</v>
      </c>
      <c r="V157" s="51" t="str">
        <f t="shared" si="18"/>
        <v>Elemento Gerador Solar</v>
      </c>
      <c r="W157" s="21" t="s">
        <v>99</v>
      </c>
      <c r="X157" s="42" t="str">
        <f t="shared" si="17"/>
        <v>Key-INTEL-157</v>
      </c>
      <c r="Y157" s="21" t="s">
        <v>601</v>
      </c>
      <c r="Z157" s="52" t="s">
        <v>9</v>
      </c>
      <c r="AA157" s="20" t="s">
        <v>384</v>
      </c>
      <c r="AB157" s="52" t="s">
        <v>9</v>
      </c>
      <c r="AC157" s="21" t="s">
        <v>572</v>
      </c>
      <c r="AD157" s="52" t="s">
        <v>9</v>
      </c>
    </row>
    <row r="158" spans="1:30" ht="6.75" customHeight="1" x14ac:dyDescent="0.25">
      <c r="A158" s="41">
        <v>158</v>
      </c>
      <c r="B158" s="1" t="s">
        <v>594</v>
      </c>
      <c r="C158" s="1" t="s">
        <v>1365</v>
      </c>
      <c r="D158" s="1" t="s">
        <v>408</v>
      </c>
      <c r="E158" s="33" t="s">
        <v>1696</v>
      </c>
      <c r="F158" s="39" t="s">
        <v>389</v>
      </c>
      <c r="G158" s="47" t="s">
        <v>9</v>
      </c>
      <c r="H158" s="45" t="s">
        <v>9</v>
      </c>
      <c r="I158" s="45" t="s">
        <v>9</v>
      </c>
      <c r="J158" s="45" t="s">
        <v>9</v>
      </c>
      <c r="K158" s="45" t="s">
        <v>9</v>
      </c>
      <c r="L158" s="25" t="str">
        <f t="shared" si="15"/>
        <v>De.Energia</v>
      </c>
      <c r="M158" s="25" t="str">
        <f t="shared" si="15"/>
        <v>Elementos.Elétricos</v>
      </c>
      <c r="N158" s="25" t="str">
        <f t="shared" si="16"/>
        <v>Elemento Gerador Solar</v>
      </c>
      <c r="O158" s="25" t="str">
        <f t="shared" si="16"/>
        <v>Painel Solar</v>
      </c>
      <c r="P158" s="21" t="s">
        <v>166</v>
      </c>
      <c r="Q158" s="21" t="s">
        <v>167</v>
      </c>
      <c r="R158" s="21" t="s">
        <v>386</v>
      </c>
      <c r="S158" s="55" t="s">
        <v>9</v>
      </c>
      <c r="T158" s="51" t="str">
        <f t="shared" si="18"/>
        <v>De Energia</v>
      </c>
      <c r="U158" s="51" t="str">
        <f t="shared" si="18"/>
        <v>Elementos Elétricos</v>
      </c>
      <c r="V158" s="51" t="str">
        <f t="shared" si="18"/>
        <v>Elemento Gerador Solar</v>
      </c>
      <c r="W158" s="21" t="s">
        <v>99</v>
      </c>
      <c r="X158" s="42" t="str">
        <f t="shared" si="17"/>
        <v>Key-INTEL-158</v>
      </c>
      <c r="Y158" s="21" t="s">
        <v>601</v>
      </c>
      <c r="Z158" s="52" t="s">
        <v>9</v>
      </c>
      <c r="AA158" s="20" t="s">
        <v>383</v>
      </c>
      <c r="AB158" s="52" t="s">
        <v>9</v>
      </c>
      <c r="AC158" s="21" t="s">
        <v>572</v>
      </c>
      <c r="AD158" s="52" t="s">
        <v>9</v>
      </c>
    </row>
    <row r="159" spans="1:30" ht="6.75" customHeight="1" x14ac:dyDescent="0.25">
      <c r="A159" s="41">
        <v>159</v>
      </c>
      <c r="B159" s="1" t="s">
        <v>594</v>
      </c>
      <c r="C159" s="1" t="s">
        <v>1365</v>
      </c>
      <c r="D159" s="1" t="s">
        <v>408</v>
      </c>
      <c r="E159" s="33" t="s">
        <v>1698</v>
      </c>
      <c r="F159" s="39" t="s">
        <v>557</v>
      </c>
      <c r="G159" s="47" t="s">
        <v>9</v>
      </c>
      <c r="H159" s="45" t="s">
        <v>9</v>
      </c>
      <c r="I159" s="45" t="s">
        <v>9</v>
      </c>
      <c r="J159" s="45" t="s">
        <v>9</v>
      </c>
      <c r="K159" s="45" t="s">
        <v>9</v>
      </c>
      <c r="L159" s="25" t="str">
        <f t="shared" si="15"/>
        <v>De.Energia</v>
      </c>
      <c r="M159" s="25" t="str">
        <f t="shared" si="15"/>
        <v>Elementos.Elétricos</v>
      </c>
      <c r="N159" s="25" t="str">
        <f t="shared" si="16"/>
        <v>Elemento Interruptor Elétrico</v>
      </c>
      <c r="O159" s="25" t="str">
        <f t="shared" si="16"/>
        <v>Interruptor Simples</v>
      </c>
      <c r="P159" s="21" t="s">
        <v>567</v>
      </c>
      <c r="Q159" s="21" t="s">
        <v>173</v>
      </c>
      <c r="R159" s="21" t="s">
        <v>356</v>
      </c>
      <c r="S159" s="55" t="s">
        <v>9</v>
      </c>
      <c r="T159" s="51" t="str">
        <f t="shared" si="18"/>
        <v>De Energia</v>
      </c>
      <c r="U159" s="51" t="str">
        <f t="shared" si="18"/>
        <v>Elementos Elétricos</v>
      </c>
      <c r="V159" s="51" t="str">
        <f t="shared" si="18"/>
        <v>Elemento Interruptor Elétrico</v>
      </c>
      <c r="W159" s="21" t="s">
        <v>99</v>
      </c>
      <c r="X159" s="42" t="str">
        <f t="shared" si="17"/>
        <v>Key-INTEL-159</v>
      </c>
      <c r="Y159" s="21" t="s">
        <v>595</v>
      </c>
      <c r="Z159" s="52" t="s">
        <v>9</v>
      </c>
      <c r="AA159" s="20" t="s">
        <v>575</v>
      </c>
      <c r="AB159" s="52" t="s">
        <v>9</v>
      </c>
      <c r="AC159" s="21" t="s">
        <v>574</v>
      </c>
      <c r="AD159" s="52" t="s">
        <v>9</v>
      </c>
    </row>
    <row r="160" spans="1:30" ht="6.75" customHeight="1" x14ac:dyDescent="0.25">
      <c r="A160" s="41">
        <v>160</v>
      </c>
      <c r="B160" s="1" t="s">
        <v>594</v>
      </c>
      <c r="C160" s="1" t="s">
        <v>1365</v>
      </c>
      <c r="D160" s="1" t="s">
        <v>408</v>
      </c>
      <c r="E160" s="33" t="s">
        <v>1698</v>
      </c>
      <c r="F160" s="39" t="s">
        <v>558</v>
      </c>
      <c r="G160" s="47" t="s">
        <v>9</v>
      </c>
      <c r="H160" s="45" t="s">
        <v>9</v>
      </c>
      <c r="I160" s="45" t="s">
        <v>9</v>
      </c>
      <c r="J160" s="45" t="s">
        <v>9</v>
      </c>
      <c r="K160" s="45" t="s">
        <v>9</v>
      </c>
      <c r="L160" s="25" t="str">
        <f t="shared" si="15"/>
        <v>De.Energia</v>
      </c>
      <c r="M160" s="25" t="str">
        <f t="shared" si="15"/>
        <v>Elementos.Elétricos</v>
      </c>
      <c r="N160" s="25" t="str">
        <f t="shared" si="16"/>
        <v>Elemento Interruptor Elétrico</v>
      </c>
      <c r="O160" s="25" t="str">
        <f t="shared" si="16"/>
        <v>Interruptor Duplo</v>
      </c>
      <c r="P160" s="21" t="s">
        <v>563</v>
      </c>
      <c r="Q160" s="21" t="s">
        <v>175</v>
      </c>
      <c r="R160" s="21" t="s">
        <v>357</v>
      </c>
      <c r="S160" s="55" t="s">
        <v>9</v>
      </c>
      <c r="T160" s="51" t="str">
        <f t="shared" si="18"/>
        <v>De Energia</v>
      </c>
      <c r="U160" s="51" t="str">
        <f t="shared" si="18"/>
        <v>Elementos Elétricos</v>
      </c>
      <c r="V160" s="51" t="str">
        <f t="shared" si="18"/>
        <v>Elemento Interruptor Elétrico</v>
      </c>
      <c r="W160" s="21" t="s">
        <v>99</v>
      </c>
      <c r="X160" s="42" t="str">
        <f t="shared" si="17"/>
        <v>Key-INTEL-160</v>
      </c>
      <c r="Y160" s="21" t="s">
        <v>595</v>
      </c>
      <c r="Z160" s="52" t="s">
        <v>9</v>
      </c>
      <c r="AA160" s="20" t="s">
        <v>575</v>
      </c>
      <c r="AB160" s="52" t="s">
        <v>9</v>
      </c>
      <c r="AC160" s="21" t="s">
        <v>574</v>
      </c>
      <c r="AD160" s="52" t="s">
        <v>9</v>
      </c>
    </row>
    <row r="161" spans="1:30" ht="6.75" customHeight="1" x14ac:dyDescent="0.25">
      <c r="A161" s="41">
        <v>161</v>
      </c>
      <c r="B161" s="1" t="s">
        <v>594</v>
      </c>
      <c r="C161" s="1" t="s">
        <v>1365</v>
      </c>
      <c r="D161" s="1" t="s">
        <v>408</v>
      </c>
      <c r="E161" s="33" t="s">
        <v>1698</v>
      </c>
      <c r="F161" s="39" t="s">
        <v>559</v>
      </c>
      <c r="G161" s="47" t="s">
        <v>9</v>
      </c>
      <c r="H161" s="45" t="s">
        <v>9</v>
      </c>
      <c r="I161" s="45" t="s">
        <v>9</v>
      </c>
      <c r="J161" s="45" t="s">
        <v>9</v>
      </c>
      <c r="K161" s="45" t="s">
        <v>9</v>
      </c>
      <c r="L161" s="25" t="str">
        <f t="shared" si="15"/>
        <v>De.Energia</v>
      </c>
      <c r="M161" s="25" t="str">
        <f t="shared" si="15"/>
        <v>Elementos.Elétricos</v>
      </c>
      <c r="N161" s="25" t="str">
        <f t="shared" si="16"/>
        <v>Elemento Interruptor Elétrico</v>
      </c>
      <c r="O161" s="25" t="str">
        <f t="shared" si="16"/>
        <v>Interruptor Tripo</v>
      </c>
      <c r="P161" s="21" t="s">
        <v>564</v>
      </c>
      <c r="Q161" s="21" t="s">
        <v>175</v>
      </c>
      <c r="R161" s="21" t="s">
        <v>357</v>
      </c>
      <c r="S161" s="55" t="s">
        <v>9</v>
      </c>
      <c r="T161" s="51" t="str">
        <f t="shared" si="18"/>
        <v>De Energia</v>
      </c>
      <c r="U161" s="51" t="str">
        <f t="shared" si="18"/>
        <v>Elementos Elétricos</v>
      </c>
      <c r="V161" s="51" t="str">
        <f t="shared" si="18"/>
        <v>Elemento Interruptor Elétrico</v>
      </c>
      <c r="W161" s="21" t="s">
        <v>99</v>
      </c>
      <c r="X161" s="42" t="str">
        <f t="shared" si="17"/>
        <v>Key-INTEL-161</v>
      </c>
      <c r="Y161" s="21" t="s">
        <v>595</v>
      </c>
      <c r="Z161" s="52" t="s">
        <v>9</v>
      </c>
      <c r="AA161" s="20" t="s">
        <v>575</v>
      </c>
      <c r="AB161" s="52" t="s">
        <v>9</v>
      </c>
      <c r="AC161" s="21" t="s">
        <v>574</v>
      </c>
      <c r="AD161" s="52" t="s">
        <v>9</v>
      </c>
    </row>
    <row r="162" spans="1:30" ht="6.75" customHeight="1" x14ac:dyDescent="0.25">
      <c r="A162" s="41">
        <v>162</v>
      </c>
      <c r="B162" s="1" t="s">
        <v>594</v>
      </c>
      <c r="C162" s="1" t="s">
        <v>1365</v>
      </c>
      <c r="D162" s="1" t="s">
        <v>408</v>
      </c>
      <c r="E162" s="33" t="s">
        <v>1698</v>
      </c>
      <c r="F162" s="39" t="s">
        <v>570</v>
      </c>
      <c r="G162" s="47" t="s">
        <v>9</v>
      </c>
      <c r="H162" s="45" t="s">
        <v>9</v>
      </c>
      <c r="I162" s="45" t="s">
        <v>9</v>
      </c>
      <c r="J162" s="45" t="s">
        <v>9</v>
      </c>
      <c r="K162" s="45" t="s">
        <v>9</v>
      </c>
      <c r="L162" s="25" t="str">
        <f t="shared" si="15"/>
        <v>De.Energia</v>
      </c>
      <c r="M162" s="25" t="str">
        <f t="shared" si="15"/>
        <v>Elementos.Elétricos</v>
      </c>
      <c r="N162" s="25" t="str">
        <f t="shared" si="16"/>
        <v>Elemento Interruptor Elétrico</v>
      </c>
      <c r="O162" s="25" t="str">
        <f t="shared" si="16"/>
        <v>Interruptor Paralelo 3W</v>
      </c>
      <c r="P162" s="21" t="s">
        <v>568</v>
      </c>
      <c r="Q162" s="21" t="s">
        <v>173</v>
      </c>
      <c r="R162" s="21" t="s">
        <v>356</v>
      </c>
      <c r="S162" s="55" t="s">
        <v>9</v>
      </c>
      <c r="T162" s="51" t="str">
        <f t="shared" si="18"/>
        <v>De Energia</v>
      </c>
      <c r="U162" s="51" t="str">
        <f t="shared" si="18"/>
        <v>Elementos Elétricos</v>
      </c>
      <c r="V162" s="51" t="str">
        <f t="shared" si="18"/>
        <v>Elemento Interruptor Elétrico</v>
      </c>
      <c r="W162" s="21" t="s">
        <v>99</v>
      </c>
      <c r="X162" s="42" t="str">
        <f t="shared" si="17"/>
        <v>Key-INTEL-162</v>
      </c>
      <c r="Y162" s="21" t="s">
        <v>595</v>
      </c>
      <c r="Z162" s="52" t="s">
        <v>9</v>
      </c>
      <c r="AA162" s="20" t="s">
        <v>575</v>
      </c>
      <c r="AB162" s="52" t="s">
        <v>9</v>
      </c>
      <c r="AC162" s="21" t="s">
        <v>574</v>
      </c>
      <c r="AD162" s="52" t="s">
        <v>9</v>
      </c>
    </row>
    <row r="163" spans="1:30" ht="6.75" customHeight="1" x14ac:dyDescent="0.25">
      <c r="A163" s="41">
        <v>163</v>
      </c>
      <c r="B163" s="1" t="s">
        <v>594</v>
      </c>
      <c r="C163" s="1" t="s">
        <v>1365</v>
      </c>
      <c r="D163" s="1" t="s">
        <v>408</v>
      </c>
      <c r="E163" s="33" t="s">
        <v>1698</v>
      </c>
      <c r="F163" s="39" t="s">
        <v>571</v>
      </c>
      <c r="G163" s="47" t="s">
        <v>9</v>
      </c>
      <c r="H163" s="45" t="s">
        <v>9</v>
      </c>
      <c r="I163" s="45" t="s">
        <v>9</v>
      </c>
      <c r="J163" s="45" t="s">
        <v>9</v>
      </c>
      <c r="K163" s="45" t="s">
        <v>9</v>
      </c>
      <c r="L163" s="25" t="str">
        <f t="shared" si="15"/>
        <v>De.Energia</v>
      </c>
      <c r="M163" s="25" t="str">
        <f t="shared" si="15"/>
        <v>Elementos.Elétricos</v>
      </c>
      <c r="N163" s="25" t="str">
        <f t="shared" si="16"/>
        <v>Elemento Interruptor Elétrico</v>
      </c>
      <c r="O163" s="25" t="str">
        <f t="shared" si="16"/>
        <v>Interruptor Paralelo 4W</v>
      </c>
      <c r="P163" s="21" t="s">
        <v>569</v>
      </c>
      <c r="Q163" s="21" t="s">
        <v>173</v>
      </c>
      <c r="R163" s="21" t="s">
        <v>356</v>
      </c>
      <c r="S163" s="55" t="s">
        <v>9</v>
      </c>
      <c r="T163" s="51" t="str">
        <f t="shared" si="18"/>
        <v>De Energia</v>
      </c>
      <c r="U163" s="51" t="str">
        <f t="shared" si="18"/>
        <v>Elementos Elétricos</v>
      </c>
      <c r="V163" s="51" t="str">
        <f t="shared" si="18"/>
        <v>Elemento Interruptor Elétrico</v>
      </c>
      <c r="W163" s="21" t="s">
        <v>99</v>
      </c>
      <c r="X163" s="42" t="str">
        <f t="shared" si="17"/>
        <v>Key-INTEL-163</v>
      </c>
      <c r="Y163" s="21" t="s">
        <v>595</v>
      </c>
      <c r="Z163" s="52" t="s">
        <v>9</v>
      </c>
      <c r="AA163" s="20" t="s">
        <v>575</v>
      </c>
      <c r="AB163" s="52" t="s">
        <v>9</v>
      </c>
      <c r="AC163" s="21" t="s">
        <v>574</v>
      </c>
      <c r="AD163" s="52" t="s">
        <v>9</v>
      </c>
    </row>
    <row r="164" spans="1:30" ht="6.75" customHeight="1" x14ac:dyDescent="0.25">
      <c r="A164" s="41">
        <v>164</v>
      </c>
      <c r="B164" s="1" t="s">
        <v>594</v>
      </c>
      <c r="C164" s="1" t="s">
        <v>1365</v>
      </c>
      <c r="D164" s="1" t="s">
        <v>408</v>
      </c>
      <c r="E164" s="33" t="s">
        <v>1698</v>
      </c>
      <c r="F164" s="39" t="s">
        <v>560</v>
      </c>
      <c r="G164" s="47" t="s">
        <v>9</v>
      </c>
      <c r="H164" s="45" t="s">
        <v>9</v>
      </c>
      <c r="I164" s="45" t="s">
        <v>9</v>
      </c>
      <c r="J164" s="45" t="s">
        <v>9</v>
      </c>
      <c r="K164" s="45" t="s">
        <v>9</v>
      </c>
      <c r="L164" s="25" t="str">
        <f t="shared" si="15"/>
        <v>De.Energia</v>
      </c>
      <c r="M164" s="25" t="str">
        <f t="shared" si="15"/>
        <v>Elementos.Elétricos</v>
      </c>
      <c r="N164" s="25" t="str">
        <f t="shared" si="16"/>
        <v>Elemento Interruptor Elétrico</v>
      </c>
      <c r="O164" s="25" t="str">
        <f t="shared" si="16"/>
        <v>Interruptor Dimmer</v>
      </c>
      <c r="P164" s="21" t="s">
        <v>565</v>
      </c>
      <c r="Q164" s="21" t="s">
        <v>175</v>
      </c>
      <c r="R164" s="21" t="s">
        <v>357</v>
      </c>
      <c r="S164" s="55" t="s">
        <v>9</v>
      </c>
      <c r="T164" s="51" t="str">
        <f t="shared" si="18"/>
        <v>De Energia</v>
      </c>
      <c r="U164" s="51" t="str">
        <f t="shared" si="18"/>
        <v>Elementos Elétricos</v>
      </c>
      <c r="V164" s="51" t="str">
        <f t="shared" si="18"/>
        <v>Elemento Interruptor Elétrico</v>
      </c>
      <c r="W164" s="21" t="s">
        <v>99</v>
      </c>
      <c r="X164" s="42" t="str">
        <f t="shared" si="17"/>
        <v>Key-INTEL-164</v>
      </c>
      <c r="Y164" s="21" t="s">
        <v>595</v>
      </c>
      <c r="Z164" s="52" t="s">
        <v>9</v>
      </c>
      <c r="AA164" s="20" t="s">
        <v>575</v>
      </c>
      <c r="AB164" s="52" t="s">
        <v>9</v>
      </c>
      <c r="AC164" s="21" t="s">
        <v>574</v>
      </c>
      <c r="AD164" s="52" t="s">
        <v>9</v>
      </c>
    </row>
    <row r="165" spans="1:30" ht="6.75" customHeight="1" x14ac:dyDescent="0.25">
      <c r="A165" s="41">
        <v>165</v>
      </c>
      <c r="B165" s="1" t="s">
        <v>594</v>
      </c>
      <c r="C165" s="1" t="s">
        <v>1365</v>
      </c>
      <c r="D165" s="1" t="s">
        <v>408</v>
      </c>
      <c r="E165" s="33" t="s">
        <v>1698</v>
      </c>
      <c r="F165" s="39" t="s">
        <v>561</v>
      </c>
      <c r="G165" s="47" t="s">
        <v>9</v>
      </c>
      <c r="H165" s="45" t="s">
        <v>9</v>
      </c>
      <c r="I165" s="45" t="s">
        <v>9</v>
      </c>
      <c r="J165" s="45" t="s">
        <v>9</v>
      </c>
      <c r="K165" s="45" t="s">
        <v>9</v>
      </c>
      <c r="L165" s="25" t="str">
        <f t="shared" si="15"/>
        <v>De.Energia</v>
      </c>
      <c r="M165" s="25" t="str">
        <f t="shared" si="15"/>
        <v>Elementos.Elétricos</v>
      </c>
      <c r="N165" s="25" t="str">
        <f t="shared" si="16"/>
        <v>Elemento Interruptor Elétrico</v>
      </c>
      <c r="O165" s="25" t="str">
        <f t="shared" si="16"/>
        <v>Interruptor Botão</v>
      </c>
      <c r="P165" s="21" t="s">
        <v>566</v>
      </c>
      <c r="Q165" s="21" t="s">
        <v>175</v>
      </c>
      <c r="R165" s="21" t="s">
        <v>357</v>
      </c>
      <c r="S165" s="55" t="s">
        <v>9</v>
      </c>
      <c r="T165" s="51" t="str">
        <f t="shared" si="18"/>
        <v>De Energia</v>
      </c>
      <c r="U165" s="51" t="str">
        <f t="shared" si="18"/>
        <v>Elementos Elétricos</v>
      </c>
      <c r="V165" s="51" t="str">
        <f t="shared" si="18"/>
        <v>Elemento Interruptor Elétrico</v>
      </c>
      <c r="W165" s="21" t="s">
        <v>99</v>
      </c>
      <c r="X165" s="42" t="str">
        <f t="shared" si="17"/>
        <v>Key-INTEL-165</v>
      </c>
      <c r="Y165" s="21" t="s">
        <v>595</v>
      </c>
      <c r="Z165" s="52" t="s">
        <v>9</v>
      </c>
      <c r="AA165" s="20" t="s">
        <v>575</v>
      </c>
      <c r="AB165" s="52" t="s">
        <v>9</v>
      </c>
      <c r="AC165" s="21" t="s">
        <v>574</v>
      </c>
      <c r="AD165" s="52" t="s">
        <v>9</v>
      </c>
    </row>
    <row r="166" spans="1:30" ht="6.75" customHeight="1" x14ac:dyDescent="0.25">
      <c r="A166" s="41">
        <v>166</v>
      </c>
      <c r="B166" s="1" t="s">
        <v>594</v>
      </c>
      <c r="C166" s="1" t="s">
        <v>1365</v>
      </c>
      <c r="D166" s="1" t="s">
        <v>408</v>
      </c>
      <c r="E166" s="33" t="s">
        <v>1699</v>
      </c>
      <c r="F166" s="1" t="s">
        <v>395</v>
      </c>
      <c r="G166" s="47" t="s">
        <v>9</v>
      </c>
      <c r="H166" s="45" t="s">
        <v>9</v>
      </c>
      <c r="I166" s="45" t="s">
        <v>9</v>
      </c>
      <c r="J166" s="45" t="s">
        <v>9</v>
      </c>
      <c r="K166" s="45" t="s">
        <v>9</v>
      </c>
      <c r="L166" s="25" t="str">
        <f t="shared" ref="L166:M229" si="19">CONCATENATE("", C166)</f>
        <v>De.Energia</v>
      </c>
      <c r="M166" s="25" t="str">
        <f t="shared" si="19"/>
        <v>Elementos.Elétricos</v>
      </c>
      <c r="N166" s="25" t="str">
        <f t="shared" ref="N166:O229" si="20">(SUBSTITUTE(SUBSTITUTE(CONCATENATE("",E166),"."," ")," De "," de "))</f>
        <v>Elemento Protetor Elétrico</v>
      </c>
      <c r="O166" s="25" t="str">
        <f t="shared" si="20"/>
        <v>Fusível</v>
      </c>
      <c r="P166" s="21" t="s">
        <v>138</v>
      </c>
      <c r="Q166" s="21" t="s">
        <v>139</v>
      </c>
      <c r="R166" s="21" t="s">
        <v>339</v>
      </c>
      <c r="S166" s="55" t="s">
        <v>9</v>
      </c>
      <c r="T166" s="51" t="str">
        <f t="shared" si="18"/>
        <v>De Energia</v>
      </c>
      <c r="U166" s="51" t="str">
        <f t="shared" si="18"/>
        <v>Elementos Elétricos</v>
      </c>
      <c r="V166" s="51" t="str">
        <f t="shared" si="18"/>
        <v>Elemento Protetor Elétrico</v>
      </c>
      <c r="W166" s="21" t="s">
        <v>99</v>
      </c>
      <c r="X166" s="42" t="str">
        <f t="shared" si="17"/>
        <v>Key-INTEL-166</v>
      </c>
      <c r="Y166" s="21" t="s">
        <v>601</v>
      </c>
      <c r="Z166" s="52" t="s">
        <v>9</v>
      </c>
      <c r="AA166" s="20" t="s">
        <v>329</v>
      </c>
      <c r="AB166" s="52" t="s">
        <v>9</v>
      </c>
      <c r="AC166" s="21" t="s">
        <v>572</v>
      </c>
      <c r="AD166" s="52" t="s">
        <v>9</v>
      </c>
    </row>
    <row r="167" spans="1:30" ht="6.75" customHeight="1" x14ac:dyDescent="0.25">
      <c r="A167" s="41">
        <v>167</v>
      </c>
      <c r="B167" s="1" t="s">
        <v>594</v>
      </c>
      <c r="C167" s="1" t="s">
        <v>1365</v>
      </c>
      <c r="D167" s="1" t="s">
        <v>408</v>
      </c>
      <c r="E167" s="33" t="s">
        <v>1699</v>
      </c>
      <c r="F167" s="39" t="s">
        <v>391</v>
      </c>
      <c r="G167" s="47" t="s">
        <v>9</v>
      </c>
      <c r="H167" s="45" t="s">
        <v>9</v>
      </c>
      <c r="I167" s="45" t="s">
        <v>9</v>
      </c>
      <c r="J167" s="45" t="s">
        <v>9</v>
      </c>
      <c r="K167" s="45" t="s">
        <v>9</v>
      </c>
      <c r="L167" s="25" t="str">
        <f t="shared" si="19"/>
        <v>De.Energia</v>
      </c>
      <c r="M167" s="25" t="str">
        <f t="shared" si="19"/>
        <v>Elementos.Elétricos</v>
      </c>
      <c r="N167" s="25" t="str">
        <f t="shared" si="20"/>
        <v>Elemento Protetor Elétrico</v>
      </c>
      <c r="O167" s="25" t="str">
        <f t="shared" si="20"/>
        <v>Disjuntor</v>
      </c>
      <c r="P167" s="21" t="s">
        <v>128</v>
      </c>
      <c r="Q167" s="21" t="s">
        <v>129</v>
      </c>
      <c r="R167" s="21" t="s">
        <v>372</v>
      </c>
      <c r="S167" s="55" t="s">
        <v>9</v>
      </c>
      <c r="T167" s="51" t="str">
        <f t="shared" si="18"/>
        <v>De Energia</v>
      </c>
      <c r="U167" s="51" t="str">
        <f t="shared" si="18"/>
        <v>Elementos Elétricos</v>
      </c>
      <c r="V167" s="51" t="str">
        <f t="shared" si="18"/>
        <v>Elemento Protetor Elétrico</v>
      </c>
      <c r="W167" s="21" t="s">
        <v>99</v>
      </c>
      <c r="X167" s="42" t="str">
        <f t="shared" si="17"/>
        <v>Key-INTEL-167</v>
      </c>
      <c r="Y167" s="21" t="s">
        <v>601</v>
      </c>
      <c r="Z167" s="52" t="s">
        <v>9</v>
      </c>
      <c r="AA167" s="20" t="s">
        <v>324</v>
      </c>
      <c r="AB167" s="52" t="s">
        <v>9</v>
      </c>
      <c r="AC167" s="21" t="s">
        <v>572</v>
      </c>
      <c r="AD167" s="52" t="s">
        <v>9</v>
      </c>
    </row>
    <row r="168" spans="1:30" ht="6.75" customHeight="1" x14ac:dyDescent="0.25">
      <c r="A168" s="41">
        <v>168</v>
      </c>
      <c r="B168" s="1" t="s">
        <v>594</v>
      </c>
      <c r="C168" s="1" t="s">
        <v>1365</v>
      </c>
      <c r="D168" s="1" t="s">
        <v>408</v>
      </c>
      <c r="E168" s="33" t="s">
        <v>1699</v>
      </c>
      <c r="F168" s="1" t="s">
        <v>403</v>
      </c>
      <c r="G168" s="47" t="s">
        <v>9</v>
      </c>
      <c r="H168" s="45" t="s">
        <v>9</v>
      </c>
      <c r="I168" s="45" t="s">
        <v>9</v>
      </c>
      <c r="J168" s="45" t="s">
        <v>9</v>
      </c>
      <c r="K168" s="45" t="s">
        <v>9</v>
      </c>
      <c r="L168" s="25" t="str">
        <f t="shared" si="19"/>
        <v>De.Energia</v>
      </c>
      <c r="M168" s="25" t="str">
        <f t="shared" si="19"/>
        <v>Elementos.Elétricos</v>
      </c>
      <c r="N168" s="25" t="str">
        <f t="shared" si="20"/>
        <v>Elemento Protetor Elétrico</v>
      </c>
      <c r="O168" s="25" t="str">
        <f t="shared" si="20"/>
        <v>Disjuntor de Circuito</v>
      </c>
      <c r="P168" s="21" t="s">
        <v>132</v>
      </c>
      <c r="Q168" s="21" t="s">
        <v>133</v>
      </c>
      <c r="R168" s="21" t="s">
        <v>336</v>
      </c>
      <c r="S168" s="55" t="s">
        <v>9</v>
      </c>
      <c r="T168" s="51" t="str">
        <f t="shared" si="18"/>
        <v>De Energia</v>
      </c>
      <c r="U168" s="51" t="str">
        <f t="shared" si="18"/>
        <v>Elementos Elétricos</v>
      </c>
      <c r="V168" s="51" t="str">
        <f t="shared" si="18"/>
        <v>Elemento Protetor Elétrico</v>
      </c>
      <c r="W168" s="21" t="s">
        <v>99</v>
      </c>
      <c r="X168" s="42" t="str">
        <f t="shared" si="17"/>
        <v>Key-INTEL-168</v>
      </c>
      <c r="Y168" s="21" t="s">
        <v>601</v>
      </c>
      <c r="Z168" s="52" t="s">
        <v>9</v>
      </c>
      <c r="AA168" s="20" t="s">
        <v>325</v>
      </c>
      <c r="AB168" s="52" t="s">
        <v>9</v>
      </c>
      <c r="AC168" s="21" t="s">
        <v>572</v>
      </c>
      <c r="AD168" s="52" t="s">
        <v>9</v>
      </c>
    </row>
    <row r="169" spans="1:30" ht="6.75" customHeight="1" x14ac:dyDescent="0.25">
      <c r="A169" s="41">
        <v>169</v>
      </c>
      <c r="B169" s="1" t="s">
        <v>594</v>
      </c>
      <c r="C169" s="1" t="s">
        <v>1365</v>
      </c>
      <c r="D169" s="1" t="s">
        <v>408</v>
      </c>
      <c r="E169" s="33" t="s">
        <v>1699</v>
      </c>
      <c r="F169" s="1" t="s">
        <v>404</v>
      </c>
      <c r="G169" s="47" t="s">
        <v>9</v>
      </c>
      <c r="H169" s="45" t="s">
        <v>9</v>
      </c>
      <c r="I169" s="45" t="s">
        <v>9</v>
      </c>
      <c r="J169" s="45" t="s">
        <v>9</v>
      </c>
      <c r="K169" s="45" t="s">
        <v>9</v>
      </c>
      <c r="L169" s="25" t="str">
        <f t="shared" si="19"/>
        <v>De.Energia</v>
      </c>
      <c r="M169" s="25" t="str">
        <f t="shared" si="19"/>
        <v>Elementos.Elétricos</v>
      </c>
      <c r="N169" s="25" t="str">
        <f t="shared" si="20"/>
        <v>Elemento Protetor Elétrico</v>
      </c>
      <c r="O169" s="25" t="str">
        <f t="shared" si="20"/>
        <v>Disjuntor de Fuga Terra</v>
      </c>
      <c r="P169" s="21" t="s">
        <v>136</v>
      </c>
      <c r="Q169" s="21" t="s">
        <v>137</v>
      </c>
      <c r="R169" s="21" t="s">
        <v>338</v>
      </c>
      <c r="S169" s="55" t="s">
        <v>9</v>
      </c>
      <c r="T169" s="51" t="str">
        <f t="shared" si="18"/>
        <v>De Energia</v>
      </c>
      <c r="U169" s="51" t="str">
        <f t="shared" si="18"/>
        <v>Elementos Elétricos</v>
      </c>
      <c r="V169" s="51" t="str">
        <f t="shared" si="18"/>
        <v>Elemento Protetor Elétrico</v>
      </c>
      <c r="W169" s="21" t="s">
        <v>99</v>
      </c>
      <c r="X169" s="42" t="str">
        <f t="shared" si="17"/>
        <v>Key-INTEL-169</v>
      </c>
      <c r="Y169" s="21" t="s">
        <v>601</v>
      </c>
      <c r="Z169" s="52" t="s">
        <v>9</v>
      </c>
      <c r="AA169" s="20" t="s">
        <v>328</v>
      </c>
      <c r="AB169" s="52" t="s">
        <v>9</v>
      </c>
      <c r="AC169" s="21" t="s">
        <v>572</v>
      </c>
      <c r="AD169" s="52" t="s">
        <v>9</v>
      </c>
    </row>
    <row r="170" spans="1:30" ht="6.75" customHeight="1" x14ac:dyDescent="0.25">
      <c r="A170" s="41">
        <v>170</v>
      </c>
      <c r="B170" s="1" t="s">
        <v>594</v>
      </c>
      <c r="C170" s="1" t="s">
        <v>1365</v>
      </c>
      <c r="D170" s="1" t="s">
        <v>408</v>
      </c>
      <c r="E170" s="33" t="s">
        <v>1699</v>
      </c>
      <c r="F170" s="1" t="s">
        <v>592</v>
      </c>
      <c r="G170" s="45" t="s">
        <v>9</v>
      </c>
      <c r="H170" s="45" t="s">
        <v>9</v>
      </c>
      <c r="I170" s="45" t="s">
        <v>9</v>
      </c>
      <c r="J170" s="45" t="s">
        <v>9</v>
      </c>
      <c r="K170" s="45" t="s">
        <v>9</v>
      </c>
      <c r="L170" s="25" t="str">
        <f t="shared" si="19"/>
        <v>De.Energia</v>
      </c>
      <c r="M170" s="25" t="str">
        <f t="shared" si="19"/>
        <v>Elementos.Elétricos</v>
      </c>
      <c r="N170" s="25" t="str">
        <f t="shared" si="20"/>
        <v>Elemento Protetor Elétrico</v>
      </c>
      <c r="O170" s="25" t="str">
        <f t="shared" si="20"/>
        <v>Disjuntor de Falha AntiArco</v>
      </c>
      <c r="P170" s="21" t="s">
        <v>130</v>
      </c>
      <c r="Q170" s="21" t="s">
        <v>131</v>
      </c>
      <c r="R170" s="21" t="s">
        <v>335</v>
      </c>
      <c r="S170" s="55" t="s">
        <v>9</v>
      </c>
      <c r="T170" s="51" t="str">
        <f t="shared" si="18"/>
        <v>De Energia</v>
      </c>
      <c r="U170" s="51" t="str">
        <f t="shared" si="18"/>
        <v>Elementos Elétricos</v>
      </c>
      <c r="V170" s="51" t="str">
        <f t="shared" si="18"/>
        <v>Elemento Protetor Elétrico</v>
      </c>
      <c r="W170" s="21" t="s">
        <v>99</v>
      </c>
      <c r="X170" s="42" t="str">
        <f t="shared" si="17"/>
        <v>Key-INTEL-170</v>
      </c>
      <c r="Y170" s="21" t="s">
        <v>601</v>
      </c>
      <c r="Z170" s="52" t="s">
        <v>9</v>
      </c>
      <c r="AA170" s="20" t="s">
        <v>326</v>
      </c>
      <c r="AB170" s="52" t="s">
        <v>9</v>
      </c>
      <c r="AC170" s="21" t="s">
        <v>572</v>
      </c>
      <c r="AD170" s="52" t="s">
        <v>9</v>
      </c>
    </row>
    <row r="171" spans="1:30" ht="6.75" customHeight="1" x14ac:dyDescent="0.25">
      <c r="A171" s="41">
        <v>171</v>
      </c>
      <c r="B171" s="1" t="s">
        <v>594</v>
      </c>
      <c r="C171" s="1" t="s">
        <v>1365</v>
      </c>
      <c r="D171" s="1" t="s">
        <v>408</v>
      </c>
      <c r="E171" s="33" t="s">
        <v>1699</v>
      </c>
      <c r="F171" s="1" t="s">
        <v>394</v>
      </c>
      <c r="G171" s="45" t="s">
        <v>9</v>
      </c>
      <c r="H171" s="45" t="s">
        <v>9</v>
      </c>
      <c r="I171" s="45" t="s">
        <v>9</v>
      </c>
      <c r="J171" s="45" t="s">
        <v>9</v>
      </c>
      <c r="K171" s="45" t="s">
        <v>9</v>
      </c>
      <c r="L171" s="25" t="str">
        <f t="shared" si="19"/>
        <v>De.Energia</v>
      </c>
      <c r="M171" s="25" t="str">
        <f t="shared" si="19"/>
        <v>Elementos.Elétricos</v>
      </c>
      <c r="N171" s="25" t="str">
        <f t="shared" si="20"/>
        <v>Elemento Protetor Elétrico</v>
      </c>
      <c r="O171" s="25" t="str">
        <f t="shared" si="20"/>
        <v>Disjuntor Diferencial Residual</v>
      </c>
      <c r="P171" s="21" t="s">
        <v>140</v>
      </c>
      <c r="Q171" s="21" t="s">
        <v>141</v>
      </c>
      <c r="R171" s="21" t="s">
        <v>340</v>
      </c>
      <c r="S171" s="55" t="s">
        <v>9</v>
      </c>
      <c r="T171" s="51" t="str">
        <f t="shared" si="18"/>
        <v>De Energia</v>
      </c>
      <c r="U171" s="51" t="str">
        <f t="shared" si="18"/>
        <v>Elementos Elétricos</v>
      </c>
      <c r="V171" s="51" t="str">
        <f t="shared" si="18"/>
        <v>Elemento Protetor Elétrico</v>
      </c>
      <c r="W171" s="21" t="s">
        <v>99</v>
      </c>
      <c r="X171" s="42" t="str">
        <f t="shared" si="17"/>
        <v>Key-INTEL-171</v>
      </c>
      <c r="Y171" s="21" t="s">
        <v>601</v>
      </c>
      <c r="Z171" s="52" t="s">
        <v>9</v>
      </c>
      <c r="AA171" s="20" t="s">
        <v>330</v>
      </c>
      <c r="AB171" s="52" t="s">
        <v>9</v>
      </c>
      <c r="AC171" s="21" t="s">
        <v>572</v>
      </c>
      <c r="AD171" s="52" t="s">
        <v>9</v>
      </c>
    </row>
    <row r="172" spans="1:30" ht="6.75" customHeight="1" x14ac:dyDescent="0.25">
      <c r="A172" s="41">
        <v>172</v>
      </c>
      <c r="B172" s="1" t="s">
        <v>594</v>
      </c>
      <c r="C172" s="1" t="s">
        <v>1365</v>
      </c>
      <c r="D172" s="1" t="s">
        <v>408</v>
      </c>
      <c r="E172" s="33" t="s">
        <v>1699</v>
      </c>
      <c r="F172" s="1" t="s">
        <v>392</v>
      </c>
      <c r="G172" s="45" t="s">
        <v>9</v>
      </c>
      <c r="H172" s="45" t="s">
        <v>9</v>
      </c>
      <c r="I172" s="45" t="s">
        <v>9</v>
      </c>
      <c r="J172" s="45" t="s">
        <v>9</v>
      </c>
      <c r="K172" s="45" t="s">
        <v>9</v>
      </c>
      <c r="L172" s="25" t="str">
        <f t="shared" si="19"/>
        <v>De.Energia</v>
      </c>
      <c r="M172" s="25" t="str">
        <f t="shared" si="19"/>
        <v>Elementos.Elétricos</v>
      </c>
      <c r="N172" s="25" t="str">
        <f t="shared" si="20"/>
        <v>Elemento Protetor Elétrico</v>
      </c>
      <c r="O172" s="25" t="str">
        <f t="shared" si="20"/>
        <v>Centelhador</v>
      </c>
      <c r="P172" s="21" t="s">
        <v>144</v>
      </c>
      <c r="Q172" s="21" t="s">
        <v>145</v>
      </c>
      <c r="R172" s="21" t="s">
        <v>342</v>
      </c>
      <c r="S172" s="55" t="s">
        <v>9</v>
      </c>
      <c r="T172" s="51" t="str">
        <f t="shared" si="18"/>
        <v>De Energia</v>
      </c>
      <c r="U172" s="51" t="str">
        <f t="shared" si="18"/>
        <v>Elementos Elétricos</v>
      </c>
      <c r="V172" s="51" t="str">
        <f t="shared" si="18"/>
        <v>Elemento Protetor Elétrico</v>
      </c>
      <c r="W172" s="21" t="s">
        <v>99</v>
      </c>
      <c r="X172" s="42" t="str">
        <f t="shared" si="17"/>
        <v>Key-INTEL-172</v>
      </c>
      <c r="Y172" s="21" t="s">
        <v>601</v>
      </c>
      <c r="Z172" s="52" t="s">
        <v>9</v>
      </c>
      <c r="AA172" s="20" t="s">
        <v>332</v>
      </c>
      <c r="AB172" s="52" t="s">
        <v>9</v>
      </c>
      <c r="AC172" s="21" t="s">
        <v>572</v>
      </c>
      <c r="AD172" s="52" t="s">
        <v>9</v>
      </c>
    </row>
    <row r="173" spans="1:30" ht="6.75" customHeight="1" x14ac:dyDescent="0.25">
      <c r="A173" s="41">
        <v>173</v>
      </c>
      <c r="B173" s="1" t="s">
        <v>594</v>
      </c>
      <c r="C173" s="1" t="s">
        <v>1365</v>
      </c>
      <c r="D173" s="1" t="s">
        <v>408</v>
      </c>
      <c r="E173" s="33" t="s">
        <v>1699</v>
      </c>
      <c r="F173" s="1" t="s">
        <v>405</v>
      </c>
      <c r="G173" s="45" t="s">
        <v>9</v>
      </c>
      <c r="H173" s="45" t="s">
        <v>9</v>
      </c>
      <c r="I173" s="45" t="s">
        <v>9</v>
      </c>
      <c r="J173" s="45" t="s">
        <v>9</v>
      </c>
      <c r="K173" s="45" t="s">
        <v>9</v>
      </c>
      <c r="L173" s="25" t="str">
        <f t="shared" si="19"/>
        <v>De.Energia</v>
      </c>
      <c r="M173" s="25" t="str">
        <f t="shared" si="19"/>
        <v>Elementos.Elétricos</v>
      </c>
      <c r="N173" s="25" t="str">
        <f t="shared" si="20"/>
        <v>Elemento Protetor Elétrico</v>
      </c>
      <c r="O173" s="25" t="str">
        <f t="shared" si="20"/>
        <v>Interruptor de Aterramento</v>
      </c>
      <c r="P173" s="21" t="s">
        <v>134</v>
      </c>
      <c r="Q173" s="21" t="s">
        <v>135</v>
      </c>
      <c r="R173" s="21" t="s">
        <v>337</v>
      </c>
      <c r="S173" s="55" t="s">
        <v>9</v>
      </c>
      <c r="T173" s="51" t="str">
        <f t="shared" si="18"/>
        <v>De Energia</v>
      </c>
      <c r="U173" s="51" t="str">
        <f t="shared" si="18"/>
        <v>Elementos Elétricos</v>
      </c>
      <c r="V173" s="51" t="str">
        <f t="shared" si="18"/>
        <v>Elemento Protetor Elétrico</v>
      </c>
      <c r="W173" s="21" t="s">
        <v>99</v>
      </c>
      <c r="X173" s="42" t="str">
        <f t="shared" si="17"/>
        <v>Key-INTEL-173</v>
      </c>
      <c r="Y173" s="21" t="s">
        <v>601</v>
      </c>
      <c r="Z173" s="52" t="s">
        <v>9</v>
      </c>
      <c r="AA173" s="20" t="s">
        <v>327</v>
      </c>
      <c r="AB173" s="52" t="s">
        <v>9</v>
      </c>
      <c r="AC173" s="21" t="s">
        <v>572</v>
      </c>
      <c r="AD173" s="52" t="s">
        <v>9</v>
      </c>
    </row>
    <row r="174" spans="1:30" ht="6.75" customHeight="1" x14ac:dyDescent="0.25">
      <c r="A174" s="41">
        <v>174</v>
      </c>
      <c r="B174" s="1" t="s">
        <v>594</v>
      </c>
      <c r="C174" s="1" t="s">
        <v>1365</v>
      </c>
      <c r="D174" s="1" t="s">
        <v>408</v>
      </c>
      <c r="E174" s="33" t="s">
        <v>1699</v>
      </c>
      <c r="F174" s="1" t="s">
        <v>396</v>
      </c>
      <c r="G174" s="45" t="s">
        <v>9</v>
      </c>
      <c r="H174" s="45" t="s">
        <v>9</v>
      </c>
      <c r="I174" s="45" t="s">
        <v>9</v>
      </c>
      <c r="J174" s="45" t="s">
        <v>9</v>
      </c>
      <c r="K174" s="45" t="s">
        <v>9</v>
      </c>
      <c r="L174" s="25" t="str">
        <f t="shared" si="19"/>
        <v>De.Energia</v>
      </c>
      <c r="M174" s="25" t="str">
        <f t="shared" si="19"/>
        <v>Elementos.Elétricos</v>
      </c>
      <c r="N174" s="25" t="str">
        <f t="shared" si="20"/>
        <v>Elemento Protetor Elétrico</v>
      </c>
      <c r="O174" s="25" t="str">
        <f t="shared" si="20"/>
        <v>Interruptor Diferencial Residual</v>
      </c>
      <c r="P174" s="21" t="s">
        <v>142</v>
      </c>
      <c r="Q174" s="21" t="s">
        <v>143</v>
      </c>
      <c r="R174" s="21" t="s">
        <v>341</v>
      </c>
      <c r="S174" s="55" t="s">
        <v>9</v>
      </c>
      <c r="T174" s="51" t="str">
        <f t="shared" si="18"/>
        <v>De Energia</v>
      </c>
      <c r="U174" s="51" t="str">
        <f t="shared" si="18"/>
        <v>Elementos Elétricos</v>
      </c>
      <c r="V174" s="51" t="str">
        <f t="shared" si="18"/>
        <v>Elemento Protetor Elétrico</v>
      </c>
      <c r="W174" s="21" t="s">
        <v>99</v>
      </c>
      <c r="X174" s="42" t="str">
        <f t="shared" si="17"/>
        <v>Key-INTEL-174</v>
      </c>
      <c r="Y174" s="21" t="s">
        <v>601</v>
      </c>
      <c r="Z174" s="52" t="s">
        <v>9</v>
      </c>
      <c r="AA174" s="20" t="s">
        <v>331</v>
      </c>
      <c r="AB174" s="52" t="s">
        <v>9</v>
      </c>
      <c r="AC174" s="21" t="s">
        <v>572</v>
      </c>
      <c r="AD174" s="52" t="s">
        <v>9</v>
      </c>
    </row>
    <row r="175" spans="1:30" ht="6.75" customHeight="1" x14ac:dyDescent="0.25">
      <c r="A175" s="41">
        <v>175</v>
      </c>
      <c r="B175" s="1" t="s">
        <v>594</v>
      </c>
      <c r="C175" s="1" t="s">
        <v>1365</v>
      </c>
      <c r="D175" s="1" t="s">
        <v>408</v>
      </c>
      <c r="E175" s="33" t="s">
        <v>1699</v>
      </c>
      <c r="F175" s="1" t="s">
        <v>402</v>
      </c>
      <c r="G175" s="45" t="s">
        <v>9</v>
      </c>
      <c r="H175" s="45" t="s">
        <v>9</v>
      </c>
      <c r="I175" s="45" t="s">
        <v>9</v>
      </c>
      <c r="J175" s="45" t="s">
        <v>9</v>
      </c>
      <c r="K175" s="45" t="s">
        <v>9</v>
      </c>
      <c r="L175" s="25" t="str">
        <f t="shared" si="19"/>
        <v>De.Energia</v>
      </c>
      <c r="M175" s="25" t="str">
        <f t="shared" si="19"/>
        <v>Elementos.Elétricos</v>
      </c>
      <c r="N175" s="25" t="str">
        <f t="shared" si="20"/>
        <v>Elemento Protetor Elétrico</v>
      </c>
      <c r="O175" s="25" t="str">
        <f t="shared" si="20"/>
        <v>Disparador Elétrico</v>
      </c>
      <c r="P175" s="21" t="s">
        <v>146</v>
      </c>
      <c r="Q175" s="21" t="s">
        <v>147</v>
      </c>
      <c r="R175" s="21" t="s">
        <v>343</v>
      </c>
      <c r="S175" s="55" t="s">
        <v>9</v>
      </c>
      <c r="T175" s="51" t="str">
        <f t="shared" si="18"/>
        <v>De Energia</v>
      </c>
      <c r="U175" s="51" t="str">
        <f t="shared" si="18"/>
        <v>Elementos Elétricos</v>
      </c>
      <c r="V175" s="51" t="str">
        <f t="shared" si="18"/>
        <v>Elemento Protetor Elétrico</v>
      </c>
      <c r="W175" s="21" t="s">
        <v>99</v>
      </c>
      <c r="X175" s="42" t="str">
        <f t="shared" si="17"/>
        <v>Key-INTEL-175</v>
      </c>
      <c r="Y175" s="21" t="s">
        <v>601</v>
      </c>
      <c r="Z175" s="52" t="s">
        <v>9</v>
      </c>
      <c r="AA175" s="20" t="s">
        <v>333</v>
      </c>
      <c r="AB175" s="52" t="s">
        <v>9</v>
      </c>
      <c r="AC175" s="21" t="s">
        <v>572</v>
      </c>
      <c r="AD175" s="52" t="s">
        <v>9</v>
      </c>
    </row>
    <row r="176" spans="1:30" ht="6.75" customHeight="1" x14ac:dyDescent="0.25">
      <c r="A176" s="41">
        <v>176</v>
      </c>
      <c r="B176" s="1" t="s">
        <v>594</v>
      </c>
      <c r="C176" s="1" t="s">
        <v>1365</v>
      </c>
      <c r="D176" s="1" t="s">
        <v>408</v>
      </c>
      <c r="E176" s="33" t="s">
        <v>1699</v>
      </c>
      <c r="F176" s="1" t="s">
        <v>400</v>
      </c>
      <c r="G176" s="45" t="s">
        <v>9</v>
      </c>
      <c r="H176" s="45" t="s">
        <v>9</v>
      </c>
      <c r="I176" s="45" t="s">
        <v>9</v>
      </c>
      <c r="J176" s="45" t="s">
        <v>9</v>
      </c>
      <c r="K176" s="45" t="s">
        <v>9</v>
      </c>
      <c r="L176" s="25" t="str">
        <f t="shared" si="19"/>
        <v>De.Energia</v>
      </c>
      <c r="M176" s="25" t="str">
        <f t="shared" si="19"/>
        <v>Elementos.Elétricos</v>
      </c>
      <c r="N176" s="25" t="str">
        <f t="shared" si="20"/>
        <v>Elemento Protetor Elétrico</v>
      </c>
      <c r="O176" s="25" t="str">
        <f t="shared" si="20"/>
        <v>Disparador Eletromagnético</v>
      </c>
      <c r="P176" s="21" t="s">
        <v>148</v>
      </c>
      <c r="Q176" s="21" t="s">
        <v>149</v>
      </c>
      <c r="R176" s="21" t="s">
        <v>344</v>
      </c>
      <c r="S176" s="55" t="s">
        <v>9</v>
      </c>
      <c r="T176" s="51" t="str">
        <f t="shared" si="18"/>
        <v>De Energia</v>
      </c>
      <c r="U176" s="51" t="str">
        <f t="shared" si="18"/>
        <v>Elementos Elétricos</v>
      </c>
      <c r="V176" s="51" t="str">
        <f t="shared" si="18"/>
        <v>Elemento Protetor Elétrico</v>
      </c>
      <c r="W176" s="21" t="s">
        <v>99</v>
      </c>
      <c r="X176" s="42" t="str">
        <f t="shared" si="17"/>
        <v>Key-INTEL-176</v>
      </c>
      <c r="Y176" s="21" t="s">
        <v>601</v>
      </c>
      <c r="Z176" s="52" t="s">
        <v>9</v>
      </c>
      <c r="AA176" s="20" t="s">
        <v>323</v>
      </c>
      <c r="AB176" s="52" t="s">
        <v>9</v>
      </c>
      <c r="AC176" s="21" t="s">
        <v>572</v>
      </c>
      <c r="AD176" s="52" t="s">
        <v>9</v>
      </c>
    </row>
    <row r="177" spans="1:30" ht="6.75" customHeight="1" x14ac:dyDescent="0.25">
      <c r="A177" s="41">
        <v>177</v>
      </c>
      <c r="B177" s="1" t="s">
        <v>594</v>
      </c>
      <c r="C177" s="1" t="s">
        <v>1365</v>
      </c>
      <c r="D177" s="1" t="s">
        <v>408</v>
      </c>
      <c r="E177" s="33" t="s">
        <v>1699</v>
      </c>
      <c r="F177" s="1" t="s">
        <v>401</v>
      </c>
      <c r="G177" s="45" t="s">
        <v>9</v>
      </c>
      <c r="H177" s="45" t="s">
        <v>9</v>
      </c>
      <c r="I177" s="45" t="s">
        <v>9</v>
      </c>
      <c r="J177" s="45" t="s">
        <v>9</v>
      </c>
      <c r="K177" s="45" t="s">
        <v>9</v>
      </c>
      <c r="L177" s="25" t="str">
        <f t="shared" si="19"/>
        <v>De.Energia</v>
      </c>
      <c r="M177" s="25" t="str">
        <f t="shared" si="19"/>
        <v>Elementos.Elétricos</v>
      </c>
      <c r="N177" s="25" t="str">
        <f t="shared" si="20"/>
        <v>Elemento Protetor Elétrico</v>
      </c>
      <c r="O177" s="25" t="str">
        <f t="shared" si="20"/>
        <v>Disparador Eletrônico</v>
      </c>
      <c r="P177" s="21" t="s">
        <v>150</v>
      </c>
      <c r="Q177" s="21" t="s">
        <v>151</v>
      </c>
      <c r="R177" s="21" t="s">
        <v>345</v>
      </c>
      <c r="S177" s="55" t="s">
        <v>9</v>
      </c>
      <c r="T177" s="51" t="str">
        <f t="shared" si="18"/>
        <v>De Energia</v>
      </c>
      <c r="U177" s="51" t="str">
        <f t="shared" si="18"/>
        <v>Elementos Elétricos</v>
      </c>
      <c r="V177" s="51" t="str">
        <f t="shared" si="18"/>
        <v>Elemento Protetor Elétrico</v>
      </c>
      <c r="W177" s="21" t="s">
        <v>99</v>
      </c>
      <c r="X177" s="42" t="str">
        <f t="shared" si="17"/>
        <v>Key-INTEL-177</v>
      </c>
      <c r="Y177" s="21" t="s">
        <v>601</v>
      </c>
      <c r="Z177" s="52" t="s">
        <v>9</v>
      </c>
      <c r="AA177" s="20" t="s">
        <v>322</v>
      </c>
      <c r="AB177" s="52" t="s">
        <v>9</v>
      </c>
      <c r="AC177" s="21" t="s">
        <v>572</v>
      </c>
      <c r="AD177" s="52" t="s">
        <v>9</v>
      </c>
    </row>
    <row r="178" spans="1:30" ht="6.75" customHeight="1" x14ac:dyDescent="0.25">
      <c r="A178" s="41">
        <v>178</v>
      </c>
      <c r="B178" s="1" t="s">
        <v>594</v>
      </c>
      <c r="C178" s="1" t="s">
        <v>1365</v>
      </c>
      <c r="D178" s="1" t="s">
        <v>408</v>
      </c>
      <c r="E178" s="33" t="s">
        <v>1699</v>
      </c>
      <c r="F178" s="1" t="s">
        <v>397</v>
      </c>
      <c r="G178" s="45" t="s">
        <v>9</v>
      </c>
      <c r="H178" s="45" t="s">
        <v>9</v>
      </c>
      <c r="I178" s="45" t="s">
        <v>9</v>
      </c>
      <c r="J178" s="45" t="s">
        <v>9</v>
      </c>
      <c r="K178" s="45" t="s">
        <v>9</v>
      </c>
      <c r="L178" s="25" t="str">
        <f t="shared" si="19"/>
        <v>De.Energia</v>
      </c>
      <c r="M178" s="25" t="str">
        <f t="shared" si="19"/>
        <v>Elementos.Elétricos</v>
      </c>
      <c r="N178" s="25" t="str">
        <f t="shared" si="20"/>
        <v>Elemento Protetor Elétrico</v>
      </c>
      <c r="O178" s="25" t="str">
        <f t="shared" si="20"/>
        <v>Disparador de Corrente Residual</v>
      </c>
      <c r="P178" s="21" t="s">
        <v>152</v>
      </c>
      <c r="Q178" s="21" t="s">
        <v>153</v>
      </c>
      <c r="R178" s="21" t="s">
        <v>346</v>
      </c>
      <c r="S178" s="55" t="s">
        <v>9</v>
      </c>
      <c r="T178" s="51" t="str">
        <f t="shared" si="18"/>
        <v>De Energia</v>
      </c>
      <c r="U178" s="51" t="str">
        <f t="shared" si="18"/>
        <v>Elementos Elétricos</v>
      </c>
      <c r="V178" s="51" t="str">
        <f t="shared" si="18"/>
        <v>Elemento Protetor Elétrico</v>
      </c>
      <c r="W178" s="21" t="s">
        <v>99</v>
      </c>
      <c r="X178" s="42" t="str">
        <f t="shared" si="17"/>
        <v>Key-INTEL-178</v>
      </c>
      <c r="Y178" s="21" t="s">
        <v>601</v>
      </c>
      <c r="Z178" s="52" t="s">
        <v>9</v>
      </c>
      <c r="AA178" s="20" t="s">
        <v>321</v>
      </c>
      <c r="AB178" s="52" t="s">
        <v>9</v>
      </c>
      <c r="AC178" s="21" t="s">
        <v>572</v>
      </c>
      <c r="AD178" s="52" t="s">
        <v>9</v>
      </c>
    </row>
    <row r="179" spans="1:30" ht="6.75" customHeight="1" x14ac:dyDescent="0.25">
      <c r="A179" s="41">
        <v>179</v>
      </c>
      <c r="B179" s="1" t="s">
        <v>594</v>
      </c>
      <c r="C179" s="1" t="s">
        <v>1365</v>
      </c>
      <c r="D179" s="1" t="s">
        <v>408</v>
      </c>
      <c r="E179" s="33" t="s">
        <v>1699</v>
      </c>
      <c r="F179" s="1" t="s">
        <v>398</v>
      </c>
      <c r="G179" s="45" t="s">
        <v>9</v>
      </c>
      <c r="H179" s="45" t="s">
        <v>9</v>
      </c>
      <c r="I179" s="45" t="s">
        <v>9</v>
      </c>
      <c r="J179" s="45" t="s">
        <v>9</v>
      </c>
      <c r="K179" s="45" t="s">
        <v>9</v>
      </c>
      <c r="L179" s="25" t="str">
        <f t="shared" si="19"/>
        <v>De.Energia</v>
      </c>
      <c r="M179" s="25" t="str">
        <f t="shared" si="19"/>
        <v>Elementos.Elétricos</v>
      </c>
      <c r="N179" s="25" t="str">
        <f t="shared" si="20"/>
        <v>Elemento Protetor Elétrico</v>
      </c>
      <c r="O179" s="25" t="str">
        <f t="shared" si="20"/>
        <v>Disparador Térmico</v>
      </c>
      <c r="P179" s="21" t="s">
        <v>154</v>
      </c>
      <c r="Q179" s="21" t="s">
        <v>155</v>
      </c>
      <c r="R179" s="21" t="s">
        <v>347</v>
      </c>
      <c r="S179" s="55" t="s">
        <v>9</v>
      </c>
      <c r="T179" s="51" t="str">
        <f t="shared" si="18"/>
        <v>De Energia</v>
      </c>
      <c r="U179" s="51" t="str">
        <f t="shared" si="18"/>
        <v>Elementos Elétricos</v>
      </c>
      <c r="V179" s="51" t="str">
        <f t="shared" si="18"/>
        <v>Elemento Protetor Elétrico</v>
      </c>
      <c r="W179" s="21" t="s">
        <v>99</v>
      </c>
      <c r="X179" s="42" t="str">
        <f t="shared" si="17"/>
        <v>Key-INTEL-179</v>
      </c>
      <c r="Y179" s="21" t="s">
        <v>601</v>
      </c>
      <c r="Z179" s="52" t="s">
        <v>9</v>
      </c>
      <c r="AA179" s="20" t="s">
        <v>320</v>
      </c>
      <c r="AB179" s="52" t="s">
        <v>9</v>
      </c>
      <c r="AC179" s="21" t="s">
        <v>572</v>
      </c>
      <c r="AD179" s="52" t="s">
        <v>9</v>
      </c>
    </row>
    <row r="180" spans="1:30" ht="6.75" customHeight="1" x14ac:dyDescent="0.25">
      <c r="A180" s="41">
        <v>180</v>
      </c>
      <c r="B180" s="1" t="s">
        <v>594</v>
      </c>
      <c r="C180" s="1" t="s">
        <v>1365</v>
      </c>
      <c r="D180" s="1" t="s">
        <v>408</v>
      </c>
      <c r="E180" s="33" t="s">
        <v>1699</v>
      </c>
      <c r="F180" s="1" t="s">
        <v>399</v>
      </c>
      <c r="G180" s="45" t="s">
        <v>9</v>
      </c>
      <c r="H180" s="45" t="s">
        <v>9</v>
      </c>
      <c r="I180" s="45" t="s">
        <v>9</v>
      </c>
      <c r="J180" s="45" t="s">
        <v>9</v>
      </c>
      <c r="K180" s="45" t="s">
        <v>9</v>
      </c>
      <c r="L180" s="25" t="str">
        <f t="shared" si="19"/>
        <v>De.Energia</v>
      </c>
      <c r="M180" s="25" t="str">
        <f t="shared" si="19"/>
        <v>Elementos.Elétricos</v>
      </c>
      <c r="N180" s="25" t="str">
        <f t="shared" si="20"/>
        <v>Elemento Protetor Elétrico</v>
      </c>
      <c r="O180" s="25" t="str">
        <f t="shared" si="20"/>
        <v>Varistor</v>
      </c>
      <c r="P180" s="21" t="s">
        <v>156</v>
      </c>
      <c r="Q180" s="21" t="s">
        <v>157</v>
      </c>
      <c r="R180" s="21" t="s">
        <v>348</v>
      </c>
      <c r="S180" s="55" t="s">
        <v>9</v>
      </c>
      <c r="T180" s="51" t="str">
        <f t="shared" si="18"/>
        <v>De Energia</v>
      </c>
      <c r="U180" s="51" t="str">
        <f t="shared" si="18"/>
        <v>Elementos Elétricos</v>
      </c>
      <c r="V180" s="51" t="str">
        <f t="shared" si="18"/>
        <v>Elemento Protetor Elétrico</v>
      </c>
      <c r="W180" s="21" t="s">
        <v>99</v>
      </c>
      <c r="X180" s="42" t="str">
        <f t="shared" si="17"/>
        <v>Key-INTEL-180</v>
      </c>
      <c r="Y180" s="21" t="s">
        <v>601</v>
      </c>
      <c r="Z180" s="52" t="s">
        <v>9</v>
      </c>
      <c r="AA180" s="20" t="s">
        <v>319</v>
      </c>
      <c r="AB180" s="52" t="s">
        <v>9</v>
      </c>
      <c r="AC180" s="21" t="s">
        <v>572</v>
      </c>
      <c r="AD180" s="52" t="s">
        <v>9</v>
      </c>
    </row>
    <row r="181" spans="1:30" ht="6.75" customHeight="1" x14ac:dyDescent="0.25">
      <c r="A181" s="41">
        <v>181</v>
      </c>
      <c r="B181" s="1" t="s">
        <v>594</v>
      </c>
      <c r="C181" s="1" t="s">
        <v>1365</v>
      </c>
      <c r="D181" s="1" t="s">
        <v>408</v>
      </c>
      <c r="E181" s="33" t="s">
        <v>1699</v>
      </c>
      <c r="F181" s="1" t="s">
        <v>393</v>
      </c>
      <c r="G181" s="45" t="s">
        <v>9</v>
      </c>
      <c r="H181" s="45" t="s">
        <v>9</v>
      </c>
      <c r="I181" s="45" t="s">
        <v>9</v>
      </c>
      <c r="J181" s="45" t="s">
        <v>9</v>
      </c>
      <c r="K181" s="45" t="s">
        <v>9</v>
      </c>
      <c r="L181" s="25" t="str">
        <f t="shared" si="19"/>
        <v>De.Energia</v>
      </c>
      <c r="M181" s="25" t="str">
        <f t="shared" si="19"/>
        <v>Elementos.Elétricos</v>
      </c>
      <c r="N181" s="25" t="str">
        <f t="shared" si="20"/>
        <v>Elemento Protetor Elétrico</v>
      </c>
      <c r="O181" s="25" t="str">
        <f t="shared" si="20"/>
        <v>Limitador de Tensão</v>
      </c>
      <c r="P181" s="21" t="s">
        <v>158</v>
      </c>
      <c r="Q181" s="21" t="s">
        <v>159</v>
      </c>
      <c r="R181" s="21" t="s">
        <v>349</v>
      </c>
      <c r="S181" s="55" t="s">
        <v>9</v>
      </c>
      <c r="T181" s="51" t="str">
        <f t="shared" si="18"/>
        <v>De Energia</v>
      </c>
      <c r="U181" s="51" t="str">
        <f t="shared" si="18"/>
        <v>Elementos Elétricos</v>
      </c>
      <c r="V181" s="51" t="str">
        <f t="shared" si="18"/>
        <v>Elemento Protetor Elétrico</v>
      </c>
      <c r="W181" s="21" t="s">
        <v>99</v>
      </c>
      <c r="X181" s="42" t="str">
        <f t="shared" si="17"/>
        <v>Key-INTEL-181</v>
      </c>
      <c r="Y181" s="21" t="s">
        <v>601</v>
      </c>
      <c r="Z181" s="52" t="s">
        <v>9</v>
      </c>
      <c r="AA181" s="20" t="s">
        <v>318</v>
      </c>
      <c r="AB181" s="52" t="s">
        <v>9</v>
      </c>
      <c r="AC181" s="21" t="s">
        <v>572</v>
      </c>
      <c r="AD181" s="52" t="s">
        <v>9</v>
      </c>
    </row>
    <row r="182" spans="1:30" ht="6.75" customHeight="1" x14ac:dyDescent="0.25">
      <c r="A182" s="41">
        <v>182</v>
      </c>
      <c r="B182" s="1" t="s">
        <v>594</v>
      </c>
      <c r="C182" s="1" t="s">
        <v>1365</v>
      </c>
      <c r="D182" s="1" t="s">
        <v>408</v>
      </c>
      <c r="E182" s="1" t="s">
        <v>1700</v>
      </c>
      <c r="F182" s="46" t="s">
        <v>583</v>
      </c>
      <c r="G182" s="45" t="s">
        <v>9</v>
      </c>
      <c r="H182" s="45" t="s">
        <v>9</v>
      </c>
      <c r="I182" s="45" t="s">
        <v>9</v>
      </c>
      <c r="J182" s="45" t="s">
        <v>9</v>
      </c>
      <c r="K182" s="45" t="s">
        <v>9</v>
      </c>
      <c r="L182" s="25" t="str">
        <f t="shared" si="19"/>
        <v>De.Energia</v>
      </c>
      <c r="M182" s="25" t="str">
        <f t="shared" si="19"/>
        <v>Elementos.Elétricos</v>
      </c>
      <c r="N182" s="25" t="str">
        <f t="shared" si="20"/>
        <v>Elemento Distribuidor Elétrica</v>
      </c>
      <c r="O182" s="25" t="str">
        <f t="shared" si="20"/>
        <v>Quadro de Medidores</v>
      </c>
      <c r="P182" s="21" t="s">
        <v>110</v>
      </c>
      <c r="Q182" s="21" t="s">
        <v>212</v>
      </c>
      <c r="R182" s="21" t="s">
        <v>610</v>
      </c>
      <c r="S182" s="55" t="s">
        <v>9</v>
      </c>
      <c r="T182" s="51" t="str">
        <f t="shared" si="18"/>
        <v>De Energia</v>
      </c>
      <c r="U182" s="51" t="str">
        <f t="shared" si="18"/>
        <v>Elementos Elétricos</v>
      </c>
      <c r="V182" s="51" t="str">
        <f t="shared" si="18"/>
        <v>Elemento Distribuidor Elétrica</v>
      </c>
      <c r="W182" s="21" t="s">
        <v>99</v>
      </c>
      <c r="X182" s="42" t="str">
        <f t="shared" si="17"/>
        <v>Key-INTEL-182</v>
      </c>
      <c r="Y182" s="21" t="s">
        <v>595</v>
      </c>
      <c r="Z182" s="52" t="s">
        <v>9</v>
      </c>
      <c r="AA182" s="20" t="s">
        <v>204</v>
      </c>
      <c r="AB182" s="52" t="s">
        <v>9</v>
      </c>
      <c r="AC182" s="21" t="s">
        <v>572</v>
      </c>
      <c r="AD182" s="52" t="s">
        <v>9</v>
      </c>
    </row>
    <row r="183" spans="1:30" ht="6.75" customHeight="1" x14ac:dyDescent="0.25">
      <c r="A183" s="41">
        <v>183</v>
      </c>
      <c r="B183" s="1" t="s">
        <v>594</v>
      </c>
      <c r="C183" s="1" t="s">
        <v>1365</v>
      </c>
      <c r="D183" s="1" t="s">
        <v>408</v>
      </c>
      <c r="E183" s="1" t="s">
        <v>1700</v>
      </c>
      <c r="F183" s="46" t="s">
        <v>103</v>
      </c>
      <c r="G183" s="45" t="s">
        <v>9</v>
      </c>
      <c r="H183" s="45" t="s">
        <v>9</v>
      </c>
      <c r="I183" s="45" t="s">
        <v>9</v>
      </c>
      <c r="J183" s="45" t="s">
        <v>9</v>
      </c>
      <c r="K183" s="45" t="s">
        <v>9</v>
      </c>
      <c r="L183" s="25" t="str">
        <f t="shared" si="19"/>
        <v>De.Energia</v>
      </c>
      <c r="M183" s="25" t="str">
        <f t="shared" si="19"/>
        <v>Elementos.Elétricos</v>
      </c>
      <c r="N183" s="25" t="str">
        <f t="shared" si="20"/>
        <v>Elemento Distribuidor Elétrica</v>
      </c>
      <c r="O183" s="25" t="str">
        <f t="shared" si="20"/>
        <v>Quadro Geral BT</v>
      </c>
      <c r="P183" s="21" t="s">
        <v>112</v>
      </c>
      <c r="Q183" s="21" t="s">
        <v>213</v>
      </c>
      <c r="R183" s="21" t="s">
        <v>611</v>
      </c>
      <c r="S183" s="55" t="s">
        <v>9</v>
      </c>
      <c r="T183" s="51" t="str">
        <f t="shared" si="18"/>
        <v>De Energia</v>
      </c>
      <c r="U183" s="51" t="str">
        <f t="shared" si="18"/>
        <v>Elementos Elétricos</v>
      </c>
      <c r="V183" s="51" t="str">
        <f t="shared" si="18"/>
        <v>Elemento Distribuidor Elétrica</v>
      </c>
      <c r="W183" s="21" t="s">
        <v>99</v>
      </c>
      <c r="X183" s="42" t="str">
        <f t="shared" si="17"/>
        <v>Key-INTEL-183</v>
      </c>
      <c r="Y183" s="21" t="s">
        <v>595</v>
      </c>
      <c r="Z183" s="52" t="s">
        <v>9</v>
      </c>
      <c r="AA183" s="20" t="s">
        <v>204</v>
      </c>
      <c r="AB183" s="52" t="s">
        <v>9</v>
      </c>
      <c r="AC183" s="21" t="s">
        <v>572</v>
      </c>
      <c r="AD183" s="52" t="s">
        <v>9</v>
      </c>
    </row>
    <row r="184" spans="1:30" ht="6.75" customHeight="1" x14ac:dyDescent="0.25">
      <c r="A184" s="41">
        <v>184</v>
      </c>
      <c r="B184" s="1" t="s">
        <v>594</v>
      </c>
      <c r="C184" s="1" t="s">
        <v>1365</v>
      </c>
      <c r="D184" s="1" t="s">
        <v>408</v>
      </c>
      <c r="E184" s="1" t="s">
        <v>1700</v>
      </c>
      <c r="F184" s="46" t="s">
        <v>102</v>
      </c>
      <c r="G184" s="45" t="s">
        <v>9</v>
      </c>
      <c r="H184" s="45" t="s">
        <v>9</v>
      </c>
      <c r="I184" s="45" t="s">
        <v>9</v>
      </c>
      <c r="J184" s="45" t="s">
        <v>9</v>
      </c>
      <c r="K184" s="45" t="s">
        <v>9</v>
      </c>
      <c r="L184" s="25" t="str">
        <f t="shared" si="19"/>
        <v>De.Energia</v>
      </c>
      <c r="M184" s="25" t="str">
        <f t="shared" si="19"/>
        <v>Elementos.Elétricos</v>
      </c>
      <c r="N184" s="25" t="str">
        <f t="shared" si="20"/>
        <v>Elemento Distribuidor Elétrica</v>
      </c>
      <c r="O184" s="25" t="str">
        <f t="shared" si="20"/>
        <v>Quadro de Circuitos</v>
      </c>
      <c r="P184" s="21" t="s">
        <v>111</v>
      </c>
      <c r="Q184" s="21" t="s">
        <v>205</v>
      </c>
      <c r="R184" s="21" t="s">
        <v>612</v>
      </c>
      <c r="S184" s="55" t="s">
        <v>9</v>
      </c>
      <c r="T184" s="51" t="str">
        <f t="shared" si="18"/>
        <v>De Energia</v>
      </c>
      <c r="U184" s="51" t="str">
        <f t="shared" si="18"/>
        <v>Elementos Elétricos</v>
      </c>
      <c r="V184" s="51" t="str">
        <f t="shared" si="18"/>
        <v>Elemento Distribuidor Elétrica</v>
      </c>
      <c r="W184" s="21" t="s">
        <v>99</v>
      </c>
      <c r="X184" s="42" t="str">
        <f t="shared" si="17"/>
        <v>Key-INTEL-184</v>
      </c>
      <c r="Y184" s="21" t="s">
        <v>595</v>
      </c>
      <c r="Z184" s="52" t="s">
        <v>9</v>
      </c>
      <c r="AA184" s="20" t="s">
        <v>576</v>
      </c>
      <c r="AB184" s="52" t="s">
        <v>9</v>
      </c>
      <c r="AC184" s="21" t="s">
        <v>572</v>
      </c>
      <c r="AD184" s="52" t="s">
        <v>9</v>
      </c>
    </row>
    <row r="185" spans="1:30" ht="6.75" customHeight="1" x14ac:dyDescent="0.25">
      <c r="A185" s="41">
        <v>185</v>
      </c>
      <c r="B185" s="1" t="s">
        <v>594</v>
      </c>
      <c r="C185" s="1" t="s">
        <v>1365</v>
      </c>
      <c r="D185" s="1" t="s">
        <v>408</v>
      </c>
      <c r="E185" s="1" t="s">
        <v>1700</v>
      </c>
      <c r="F185" s="46" t="s">
        <v>105</v>
      </c>
      <c r="G185" s="45" t="s">
        <v>9</v>
      </c>
      <c r="H185" s="45" t="s">
        <v>9</v>
      </c>
      <c r="I185" s="45" t="s">
        <v>9</v>
      </c>
      <c r="J185" s="45" t="s">
        <v>9</v>
      </c>
      <c r="K185" s="45" t="s">
        <v>9</v>
      </c>
      <c r="L185" s="25" t="str">
        <f t="shared" si="19"/>
        <v>De.Energia</v>
      </c>
      <c r="M185" s="25" t="str">
        <f t="shared" si="19"/>
        <v>Elementos.Elétricos</v>
      </c>
      <c r="N185" s="25" t="str">
        <f t="shared" si="20"/>
        <v>Elemento Distribuidor Elétrica</v>
      </c>
      <c r="O185" s="25" t="str">
        <f t="shared" si="20"/>
        <v>Quadro de Transferência</v>
      </c>
      <c r="P185" s="21" t="s">
        <v>114</v>
      </c>
      <c r="Q185" s="21" t="s">
        <v>206</v>
      </c>
      <c r="R185" s="21" t="s">
        <v>613</v>
      </c>
      <c r="S185" s="55" t="s">
        <v>9</v>
      </c>
      <c r="T185" s="51" t="str">
        <f t="shared" si="18"/>
        <v>De Energia</v>
      </c>
      <c r="U185" s="51" t="str">
        <f t="shared" si="18"/>
        <v>Elementos Elétricos</v>
      </c>
      <c r="V185" s="51" t="str">
        <f t="shared" si="18"/>
        <v>Elemento Distribuidor Elétrica</v>
      </c>
      <c r="W185" s="21" t="s">
        <v>99</v>
      </c>
      <c r="X185" s="42" t="str">
        <f t="shared" si="17"/>
        <v>Key-INTEL-185</v>
      </c>
      <c r="Y185" s="21" t="s">
        <v>595</v>
      </c>
      <c r="Z185" s="52" t="s">
        <v>9</v>
      </c>
      <c r="AA185" s="20" t="s">
        <v>204</v>
      </c>
      <c r="AB185" s="52" t="s">
        <v>9</v>
      </c>
      <c r="AC185" s="21" t="s">
        <v>572</v>
      </c>
      <c r="AD185" s="52" t="s">
        <v>9</v>
      </c>
    </row>
    <row r="186" spans="1:30" ht="6.75" customHeight="1" x14ac:dyDescent="0.25">
      <c r="A186" s="41">
        <v>186</v>
      </c>
      <c r="B186" s="1" t="s">
        <v>594</v>
      </c>
      <c r="C186" s="1" t="s">
        <v>1365</v>
      </c>
      <c r="D186" s="1" t="s">
        <v>408</v>
      </c>
      <c r="E186" s="1" t="s">
        <v>1700</v>
      </c>
      <c r="F186" s="46" t="s">
        <v>104</v>
      </c>
      <c r="G186" s="45" t="s">
        <v>9</v>
      </c>
      <c r="H186" s="45" t="s">
        <v>9</v>
      </c>
      <c r="I186" s="45" t="s">
        <v>9</v>
      </c>
      <c r="J186" s="45" t="s">
        <v>9</v>
      </c>
      <c r="K186" s="45" t="s">
        <v>9</v>
      </c>
      <c r="L186" s="25" t="str">
        <f t="shared" si="19"/>
        <v>De.Energia</v>
      </c>
      <c r="M186" s="25" t="str">
        <f t="shared" si="19"/>
        <v>Elementos.Elétricos</v>
      </c>
      <c r="N186" s="25" t="str">
        <f t="shared" si="20"/>
        <v>Elemento Distribuidor Elétrica</v>
      </c>
      <c r="O186" s="25" t="str">
        <f t="shared" si="20"/>
        <v>Quadro de Comando</v>
      </c>
      <c r="P186" s="21" t="s">
        <v>115</v>
      </c>
      <c r="Q186" s="21" t="s">
        <v>217</v>
      </c>
      <c r="R186" s="21" t="s">
        <v>614</v>
      </c>
      <c r="S186" s="55" t="s">
        <v>9</v>
      </c>
      <c r="T186" s="51" t="str">
        <f t="shared" si="18"/>
        <v>De Energia</v>
      </c>
      <c r="U186" s="51" t="str">
        <f t="shared" si="18"/>
        <v>Elementos Elétricos</v>
      </c>
      <c r="V186" s="51" t="str">
        <f t="shared" si="18"/>
        <v>Elemento Distribuidor Elétrica</v>
      </c>
      <c r="W186" s="21" t="s">
        <v>99</v>
      </c>
      <c r="X186" s="42" t="str">
        <f t="shared" si="17"/>
        <v>Key-INTEL-186</v>
      </c>
      <c r="Y186" s="21" t="s">
        <v>595</v>
      </c>
      <c r="Z186" s="52" t="s">
        <v>9</v>
      </c>
      <c r="AA186" s="20" t="s">
        <v>204</v>
      </c>
      <c r="AB186" s="52" t="s">
        <v>9</v>
      </c>
      <c r="AC186" s="21" t="s">
        <v>572</v>
      </c>
      <c r="AD186" s="52" t="s">
        <v>9</v>
      </c>
    </row>
    <row r="187" spans="1:30" ht="6.75" customHeight="1" x14ac:dyDescent="0.25">
      <c r="A187" s="41">
        <v>187</v>
      </c>
      <c r="B187" s="1" t="s">
        <v>594</v>
      </c>
      <c r="C187" s="1" t="s">
        <v>1365</v>
      </c>
      <c r="D187" s="1" t="s">
        <v>408</v>
      </c>
      <c r="E187" s="1" t="s">
        <v>1700</v>
      </c>
      <c r="F187" s="46" t="s">
        <v>106</v>
      </c>
      <c r="G187" s="45" t="s">
        <v>9</v>
      </c>
      <c r="H187" s="45" t="s">
        <v>9</v>
      </c>
      <c r="I187" s="45" t="s">
        <v>9</v>
      </c>
      <c r="J187" s="45" t="s">
        <v>9</v>
      </c>
      <c r="K187" s="45" t="s">
        <v>9</v>
      </c>
      <c r="L187" s="25" t="str">
        <f t="shared" si="19"/>
        <v>De.Energia</v>
      </c>
      <c r="M187" s="25" t="str">
        <f t="shared" si="19"/>
        <v>Elementos.Elétricos</v>
      </c>
      <c r="N187" s="25" t="str">
        <f t="shared" si="20"/>
        <v>Elemento Distribuidor Elétrica</v>
      </c>
      <c r="O187" s="25" t="str">
        <f t="shared" si="20"/>
        <v>Quadro de Força</v>
      </c>
      <c r="P187" s="21" t="s">
        <v>113</v>
      </c>
      <c r="Q187" s="21" t="s">
        <v>207</v>
      </c>
      <c r="R187" s="21" t="s">
        <v>615</v>
      </c>
      <c r="S187" s="55" t="s">
        <v>9</v>
      </c>
      <c r="T187" s="51" t="str">
        <f t="shared" si="18"/>
        <v>De Energia</v>
      </c>
      <c r="U187" s="51" t="str">
        <f t="shared" si="18"/>
        <v>Elementos Elétricos</v>
      </c>
      <c r="V187" s="51" t="str">
        <f t="shared" si="18"/>
        <v>Elemento Distribuidor Elétrica</v>
      </c>
      <c r="W187" s="21" t="s">
        <v>99</v>
      </c>
      <c r="X187" s="42" t="str">
        <f t="shared" si="17"/>
        <v>Key-INTEL-187</v>
      </c>
      <c r="Y187" s="21" t="s">
        <v>595</v>
      </c>
      <c r="Z187" s="52" t="s">
        <v>9</v>
      </c>
      <c r="AA187" s="20" t="s">
        <v>204</v>
      </c>
      <c r="AB187" s="52" t="s">
        <v>9</v>
      </c>
      <c r="AC187" s="21" t="s">
        <v>572</v>
      </c>
      <c r="AD187" s="52" t="s">
        <v>9</v>
      </c>
    </row>
    <row r="188" spans="1:30" ht="6.75" customHeight="1" x14ac:dyDescent="0.25">
      <c r="A188" s="41">
        <v>188</v>
      </c>
      <c r="B188" s="1" t="s">
        <v>594</v>
      </c>
      <c r="C188" s="1" t="s">
        <v>1365</v>
      </c>
      <c r="D188" s="1" t="s">
        <v>408</v>
      </c>
      <c r="E188" s="1" t="s">
        <v>1700</v>
      </c>
      <c r="F188" s="46" t="s">
        <v>107</v>
      </c>
      <c r="G188" s="45" t="s">
        <v>9</v>
      </c>
      <c r="H188" s="45" t="s">
        <v>9</v>
      </c>
      <c r="I188" s="45" t="s">
        <v>9</v>
      </c>
      <c r="J188" s="45" t="s">
        <v>9</v>
      </c>
      <c r="K188" s="45" t="s">
        <v>9</v>
      </c>
      <c r="L188" s="25" t="str">
        <f t="shared" si="19"/>
        <v>De.Energia</v>
      </c>
      <c r="M188" s="25" t="str">
        <f t="shared" si="19"/>
        <v>Elementos.Elétricos</v>
      </c>
      <c r="N188" s="25" t="str">
        <f t="shared" si="20"/>
        <v>Elemento Distribuidor Elétrica</v>
      </c>
      <c r="O188" s="25" t="str">
        <f t="shared" si="20"/>
        <v>Quadro de Serviços</v>
      </c>
      <c r="P188" s="21" t="s">
        <v>117</v>
      </c>
      <c r="Q188" s="21" t="s">
        <v>214</v>
      </c>
      <c r="R188" s="21" t="s">
        <v>616</v>
      </c>
      <c r="S188" s="55" t="s">
        <v>9</v>
      </c>
      <c r="T188" s="51" t="str">
        <f t="shared" si="18"/>
        <v>De Energia</v>
      </c>
      <c r="U188" s="51" t="str">
        <f t="shared" si="18"/>
        <v>Elementos Elétricos</v>
      </c>
      <c r="V188" s="51" t="str">
        <f t="shared" si="18"/>
        <v>Elemento Distribuidor Elétrica</v>
      </c>
      <c r="W188" s="21" t="s">
        <v>99</v>
      </c>
      <c r="X188" s="42" t="str">
        <f t="shared" si="17"/>
        <v>Key-INTEL-188</v>
      </c>
      <c r="Y188" s="21" t="s">
        <v>595</v>
      </c>
      <c r="Z188" s="52" t="s">
        <v>9</v>
      </c>
      <c r="AA188" s="20" t="s">
        <v>577</v>
      </c>
      <c r="AB188" s="52" t="s">
        <v>9</v>
      </c>
      <c r="AC188" s="21" t="s">
        <v>572</v>
      </c>
      <c r="AD188" s="52" t="s">
        <v>9</v>
      </c>
    </row>
    <row r="189" spans="1:30" ht="6.75" customHeight="1" x14ac:dyDescent="0.25">
      <c r="A189" s="41">
        <v>189</v>
      </c>
      <c r="B189" s="1" t="s">
        <v>594</v>
      </c>
      <c r="C189" s="1" t="s">
        <v>1365</v>
      </c>
      <c r="D189" s="1" t="s">
        <v>408</v>
      </c>
      <c r="E189" s="1" t="s">
        <v>1700</v>
      </c>
      <c r="F189" s="46" t="s">
        <v>108</v>
      </c>
      <c r="G189" s="45" t="s">
        <v>9</v>
      </c>
      <c r="H189" s="45" t="s">
        <v>9</v>
      </c>
      <c r="I189" s="45" t="s">
        <v>9</v>
      </c>
      <c r="J189" s="45" t="s">
        <v>9</v>
      </c>
      <c r="K189" s="45" t="s">
        <v>9</v>
      </c>
      <c r="L189" s="25" t="str">
        <f t="shared" si="19"/>
        <v>De.Energia</v>
      </c>
      <c r="M189" s="25" t="str">
        <f t="shared" si="19"/>
        <v>Elementos.Elétricos</v>
      </c>
      <c r="N189" s="25" t="str">
        <f t="shared" si="20"/>
        <v>Elemento Distribuidor Elétrica</v>
      </c>
      <c r="O189" s="25" t="str">
        <f t="shared" si="20"/>
        <v>Quadro Photovoltáico</v>
      </c>
      <c r="P189" s="21" t="s">
        <v>116</v>
      </c>
      <c r="Q189" s="21" t="s">
        <v>215</v>
      </c>
      <c r="R189" s="21" t="s">
        <v>617</v>
      </c>
      <c r="S189" s="55" t="s">
        <v>9</v>
      </c>
      <c r="T189" s="51" t="str">
        <f t="shared" si="18"/>
        <v>De Energia</v>
      </c>
      <c r="U189" s="51" t="str">
        <f t="shared" si="18"/>
        <v>Elementos Elétricos</v>
      </c>
      <c r="V189" s="51" t="str">
        <f t="shared" si="18"/>
        <v>Elemento Distribuidor Elétrica</v>
      </c>
      <c r="W189" s="21" t="s">
        <v>99</v>
      </c>
      <c r="X189" s="42" t="str">
        <f t="shared" si="17"/>
        <v>Key-INTEL-189</v>
      </c>
      <c r="Y189" s="21" t="s">
        <v>595</v>
      </c>
      <c r="Z189" s="52" t="s">
        <v>9</v>
      </c>
      <c r="AA189" s="20" t="s">
        <v>204</v>
      </c>
      <c r="AB189" s="52" t="s">
        <v>9</v>
      </c>
      <c r="AC189" s="21" t="s">
        <v>572</v>
      </c>
      <c r="AD189" s="52" t="s">
        <v>9</v>
      </c>
    </row>
    <row r="190" spans="1:30" ht="6.75" customHeight="1" x14ac:dyDescent="0.25">
      <c r="A190" s="41">
        <v>190</v>
      </c>
      <c r="B190" s="1" t="s">
        <v>594</v>
      </c>
      <c r="C190" s="1" t="s">
        <v>1365</v>
      </c>
      <c r="D190" s="1" t="s">
        <v>408</v>
      </c>
      <c r="E190" s="1" t="s">
        <v>1700</v>
      </c>
      <c r="F190" s="46" t="s">
        <v>109</v>
      </c>
      <c r="G190" s="45" t="s">
        <v>9</v>
      </c>
      <c r="H190" s="45" t="s">
        <v>9</v>
      </c>
      <c r="I190" s="45" t="s">
        <v>9</v>
      </c>
      <c r="J190" s="45" t="s">
        <v>9</v>
      </c>
      <c r="K190" s="45" t="s">
        <v>9</v>
      </c>
      <c r="L190" s="25" t="str">
        <f t="shared" si="19"/>
        <v>De.Energia</v>
      </c>
      <c r="M190" s="25" t="str">
        <f t="shared" si="19"/>
        <v>Elementos.Elétricos</v>
      </c>
      <c r="N190" s="25" t="str">
        <f t="shared" si="20"/>
        <v>Elemento Distribuidor Elétrica</v>
      </c>
      <c r="O190" s="25" t="str">
        <f t="shared" si="20"/>
        <v>Quadro de Iluminação</v>
      </c>
      <c r="P190" s="21" t="s">
        <v>118</v>
      </c>
      <c r="Q190" s="21" t="s">
        <v>216</v>
      </c>
      <c r="R190" s="21" t="s">
        <v>618</v>
      </c>
      <c r="S190" s="55" t="s">
        <v>9</v>
      </c>
      <c r="T190" s="51" t="str">
        <f t="shared" si="18"/>
        <v>De Energia</v>
      </c>
      <c r="U190" s="51" t="str">
        <f t="shared" si="18"/>
        <v>Elementos Elétricos</v>
      </c>
      <c r="V190" s="51" t="str">
        <f t="shared" si="18"/>
        <v>Elemento Distribuidor Elétrica</v>
      </c>
      <c r="W190" s="21" t="s">
        <v>99</v>
      </c>
      <c r="X190" s="42" t="str">
        <f t="shared" si="17"/>
        <v>Key-INTEL-190</v>
      </c>
      <c r="Y190" s="21" t="s">
        <v>595</v>
      </c>
      <c r="Z190" s="52" t="s">
        <v>9</v>
      </c>
      <c r="AA190" s="20" t="s">
        <v>204</v>
      </c>
      <c r="AB190" s="52" t="s">
        <v>9</v>
      </c>
      <c r="AC190" s="21" t="s">
        <v>572</v>
      </c>
      <c r="AD190" s="52" t="s">
        <v>9</v>
      </c>
    </row>
    <row r="191" spans="1:30" ht="6.75" customHeight="1" x14ac:dyDescent="0.25">
      <c r="A191" s="41">
        <v>191</v>
      </c>
      <c r="B191" s="1" t="s">
        <v>594</v>
      </c>
      <c r="C191" s="1" t="s">
        <v>1365</v>
      </c>
      <c r="D191" s="1" t="s">
        <v>408</v>
      </c>
      <c r="E191" s="1" t="s">
        <v>1701</v>
      </c>
      <c r="F191" s="39" t="s">
        <v>1444</v>
      </c>
      <c r="G191" s="45" t="s">
        <v>9</v>
      </c>
      <c r="H191" s="45" t="s">
        <v>9</v>
      </c>
      <c r="I191" s="45" t="s">
        <v>9</v>
      </c>
      <c r="J191" s="45" t="s">
        <v>9</v>
      </c>
      <c r="K191" s="45" t="s">
        <v>9</v>
      </c>
      <c r="L191" s="25" t="str">
        <f t="shared" si="19"/>
        <v>De.Energia</v>
      </c>
      <c r="M191" s="25" t="str">
        <f t="shared" si="19"/>
        <v>Elementos.Elétricos</v>
      </c>
      <c r="N191" s="25" t="str">
        <f t="shared" si="20"/>
        <v>Elemento Tomada Elétrica</v>
      </c>
      <c r="O191" s="25" t="str">
        <f t="shared" si="20"/>
        <v>Tomada de Elétrica</v>
      </c>
      <c r="P191" s="21" t="s">
        <v>172</v>
      </c>
      <c r="Q191" s="21" t="s">
        <v>173</v>
      </c>
      <c r="R191" s="21" t="s">
        <v>356</v>
      </c>
      <c r="S191" s="55" t="s">
        <v>9</v>
      </c>
      <c r="T191" s="51" t="str">
        <f t="shared" si="18"/>
        <v>De Energia</v>
      </c>
      <c r="U191" s="51" t="str">
        <f t="shared" si="18"/>
        <v>Elementos Elétricos</v>
      </c>
      <c r="V191" s="51" t="str">
        <f t="shared" si="18"/>
        <v>Elemento Tomada Elétrica</v>
      </c>
      <c r="W191" s="21" t="s">
        <v>99</v>
      </c>
      <c r="X191" s="42" t="str">
        <f t="shared" si="17"/>
        <v>Key-INTEL-191</v>
      </c>
      <c r="Y191" s="21" t="s">
        <v>595</v>
      </c>
      <c r="Z191" s="52" t="s">
        <v>9</v>
      </c>
      <c r="AA191" s="20" t="s">
        <v>311</v>
      </c>
      <c r="AB191" s="52" t="s">
        <v>9</v>
      </c>
      <c r="AC191" s="21" t="s">
        <v>572</v>
      </c>
      <c r="AD191" s="52" t="s">
        <v>9</v>
      </c>
    </row>
    <row r="192" spans="1:30" ht="6.75" customHeight="1" x14ac:dyDescent="0.25">
      <c r="A192" s="41">
        <v>192</v>
      </c>
      <c r="B192" s="1" t="s">
        <v>594</v>
      </c>
      <c r="C192" s="1" t="s">
        <v>1365</v>
      </c>
      <c r="D192" s="1" t="s">
        <v>408</v>
      </c>
      <c r="E192" s="1" t="s">
        <v>1701</v>
      </c>
      <c r="F192" s="39" t="s">
        <v>1445</v>
      </c>
      <c r="G192" s="45" t="s">
        <v>9</v>
      </c>
      <c r="H192" s="45" t="s">
        <v>9</v>
      </c>
      <c r="I192" s="45" t="s">
        <v>9</v>
      </c>
      <c r="J192" s="45" t="s">
        <v>9</v>
      </c>
      <c r="K192" s="45" t="s">
        <v>9</v>
      </c>
      <c r="L192" s="25" t="str">
        <f t="shared" si="19"/>
        <v>De.Energia</v>
      </c>
      <c r="M192" s="25" t="str">
        <f t="shared" si="19"/>
        <v>Elementos.Elétricos</v>
      </c>
      <c r="N192" s="25" t="str">
        <f t="shared" si="20"/>
        <v>Elemento Tomada Elétrica</v>
      </c>
      <c r="O192" s="25" t="str">
        <f t="shared" si="20"/>
        <v>Tomada de AudioVídeo</v>
      </c>
      <c r="P192" s="21" t="s">
        <v>174</v>
      </c>
      <c r="Q192" s="21" t="s">
        <v>175</v>
      </c>
      <c r="R192" s="21" t="s">
        <v>357</v>
      </c>
      <c r="S192" s="55" t="s">
        <v>9</v>
      </c>
      <c r="T192" s="51" t="str">
        <f t="shared" si="18"/>
        <v>De Energia</v>
      </c>
      <c r="U192" s="51" t="str">
        <f t="shared" si="18"/>
        <v>Elementos Elétricos</v>
      </c>
      <c r="V192" s="51" t="str">
        <f t="shared" si="18"/>
        <v>Elemento Tomada Elétrica</v>
      </c>
      <c r="W192" s="21" t="s">
        <v>99</v>
      </c>
      <c r="X192" s="42" t="str">
        <f t="shared" si="17"/>
        <v>Key-INTEL-192</v>
      </c>
      <c r="Y192" s="21" t="s">
        <v>595</v>
      </c>
      <c r="Z192" s="52" t="s">
        <v>9</v>
      </c>
      <c r="AA192" s="20" t="s">
        <v>310</v>
      </c>
      <c r="AB192" s="52" t="s">
        <v>9</v>
      </c>
      <c r="AC192" s="21" t="s">
        <v>572</v>
      </c>
      <c r="AD192" s="52" t="s">
        <v>9</v>
      </c>
    </row>
    <row r="193" spans="1:30" ht="6.75" customHeight="1" x14ac:dyDescent="0.25">
      <c r="A193" s="41">
        <v>193</v>
      </c>
      <c r="B193" s="1" t="s">
        <v>594</v>
      </c>
      <c r="C193" s="1" t="s">
        <v>1365</v>
      </c>
      <c r="D193" s="1" t="s">
        <v>408</v>
      </c>
      <c r="E193" s="1" t="s">
        <v>1701</v>
      </c>
      <c r="F193" s="39" t="s">
        <v>1443</v>
      </c>
      <c r="G193" s="45" t="s">
        <v>9</v>
      </c>
      <c r="H193" s="45" t="s">
        <v>9</v>
      </c>
      <c r="I193" s="45" t="s">
        <v>9</v>
      </c>
      <c r="J193" s="45" t="s">
        <v>9</v>
      </c>
      <c r="K193" s="45" t="s">
        <v>9</v>
      </c>
      <c r="L193" s="25" t="str">
        <f t="shared" si="19"/>
        <v>De.Energia</v>
      </c>
      <c r="M193" s="25" t="str">
        <f t="shared" si="19"/>
        <v>Elementos.Elétricos</v>
      </c>
      <c r="N193" s="25" t="str">
        <f t="shared" si="20"/>
        <v>Elemento Tomada Elétrica</v>
      </c>
      <c r="O193" s="25" t="str">
        <f t="shared" si="20"/>
        <v>Tomada de Telecom</v>
      </c>
      <c r="P193" s="21" t="s">
        <v>176</v>
      </c>
      <c r="Q193" s="21" t="s">
        <v>177</v>
      </c>
      <c r="R193" s="21" t="s">
        <v>358</v>
      </c>
      <c r="S193" s="55" t="s">
        <v>9</v>
      </c>
      <c r="T193" s="51" t="str">
        <f t="shared" si="18"/>
        <v>De Energia</v>
      </c>
      <c r="U193" s="51" t="str">
        <f t="shared" si="18"/>
        <v>Elementos Elétricos</v>
      </c>
      <c r="V193" s="51" t="str">
        <f t="shared" si="18"/>
        <v>Elemento Tomada Elétrica</v>
      </c>
      <c r="W193" s="21" t="s">
        <v>99</v>
      </c>
      <c r="X193" s="42" t="str">
        <f t="shared" si="17"/>
        <v>Key-INTEL-193</v>
      </c>
      <c r="Y193" s="21" t="s">
        <v>595</v>
      </c>
      <c r="Z193" s="52" t="s">
        <v>9</v>
      </c>
      <c r="AA193" s="20" t="s">
        <v>309</v>
      </c>
      <c r="AB193" s="52" t="s">
        <v>9</v>
      </c>
      <c r="AC193" s="21" t="s">
        <v>572</v>
      </c>
      <c r="AD193" s="52" t="s">
        <v>9</v>
      </c>
    </row>
    <row r="194" spans="1:30" ht="6.75" customHeight="1" x14ac:dyDescent="0.25">
      <c r="A194" s="41">
        <v>194</v>
      </c>
      <c r="B194" s="1" t="s">
        <v>594</v>
      </c>
      <c r="C194" s="1" t="s">
        <v>1365</v>
      </c>
      <c r="D194" s="1" t="s">
        <v>408</v>
      </c>
      <c r="E194" s="1" t="s">
        <v>1701</v>
      </c>
      <c r="F194" s="39" t="s">
        <v>290</v>
      </c>
      <c r="G194" s="45" t="s">
        <v>9</v>
      </c>
      <c r="H194" s="45" t="s">
        <v>9</v>
      </c>
      <c r="I194" s="45" t="s">
        <v>9</v>
      </c>
      <c r="J194" s="45" t="s">
        <v>9</v>
      </c>
      <c r="K194" s="45" t="s">
        <v>9</v>
      </c>
      <c r="L194" s="25" t="str">
        <f t="shared" si="19"/>
        <v>De.Energia</v>
      </c>
      <c r="M194" s="25" t="str">
        <f t="shared" si="19"/>
        <v>Elementos.Elétricos</v>
      </c>
      <c r="N194" s="25" t="str">
        <f t="shared" si="20"/>
        <v>Elemento Tomada Elétrica</v>
      </c>
      <c r="O194" s="25" t="str">
        <f t="shared" si="20"/>
        <v>Tomada de Dados</v>
      </c>
      <c r="P194" s="21" t="s">
        <v>178</v>
      </c>
      <c r="Q194" s="21" t="s">
        <v>179</v>
      </c>
      <c r="R194" s="21" t="s">
        <v>359</v>
      </c>
      <c r="S194" s="55" t="s">
        <v>9</v>
      </c>
      <c r="T194" s="51" t="str">
        <f t="shared" si="18"/>
        <v>De Energia</v>
      </c>
      <c r="U194" s="51" t="str">
        <f t="shared" si="18"/>
        <v>Elementos Elétricos</v>
      </c>
      <c r="V194" s="51" t="str">
        <f t="shared" si="18"/>
        <v>Elemento Tomada Elétrica</v>
      </c>
      <c r="W194" s="21" t="s">
        <v>99</v>
      </c>
      <c r="X194" s="42" t="str">
        <f t="shared" si="17"/>
        <v>Key-INTEL-194</v>
      </c>
      <c r="Y194" s="21" t="s">
        <v>595</v>
      </c>
      <c r="Z194" s="52" t="s">
        <v>9</v>
      </c>
      <c r="AA194" s="20" t="s">
        <v>308</v>
      </c>
      <c r="AB194" s="52" t="s">
        <v>9</v>
      </c>
      <c r="AC194" s="21" t="s">
        <v>572</v>
      </c>
      <c r="AD194" s="52" t="s">
        <v>9</v>
      </c>
    </row>
    <row r="195" spans="1:30" ht="6.75" customHeight="1" x14ac:dyDescent="0.25">
      <c r="A195" s="41">
        <v>195</v>
      </c>
      <c r="B195" s="1" t="s">
        <v>594</v>
      </c>
      <c r="C195" s="1" t="s">
        <v>1365</v>
      </c>
      <c r="D195" s="1" t="s">
        <v>408</v>
      </c>
      <c r="E195" s="1" t="s">
        <v>1701</v>
      </c>
      <c r="F195" s="39" t="s">
        <v>289</v>
      </c>
      <c r="G195" s="45" t="s">
        <v>9</v>
      </c>
      <c r="H195" s="45" t="s">
        <v>9</v>
      </c>
      <c r="I195" s="45" t="s">
        <v>9</v>
      </c>
      <c r="J195" s="45" t="s">
        <v>9</v>
      </c>
      <c r="K195" s="45" t="s">
        <v>9</v>
      </c>
      <c r="L195" s="25" t="str">
        <f t="shared" si="19"/>
        <v>De.Energia</v>
      </c>
      <c r="M195" s="25" t="str">
        <f t="shared" si="19"/>
        <v>Elementos.Elétricos</v>
      </c>
      <c r="N195" s="25" t="str">
        <f t="shared" si="20"/>
        <v>Elemento Tomada Elétrica</v>
      </c>
      <c r="O195" s="25" t="str">
        <f t="shared" si="20"/>
        <v>Tomada de Potência</v>
      </c>
      <c r="P195" s="21" t="s">
        <v>180</v>
      </c>
      <c r="Q195" s="21" t="s">
        <v>181</v>
      </c>
      <c r="R195" s="21" t="s">
        <v>360</v>
      </c>
      <c r="S195" s="55" t="s">
        <v>9</v>
      </c>
      <c r="T195" s="51" t="str">
        <f t="shared" si="18"/>
        <v>De Energia</v>
      </c>
      <c r="U195" s="51" t="str">
        <f t="shared" si="18"/>
        <v>Elementos Elétricos</v>
      </c>
      <c r="V195" s="51" t="str">
        <f t="shared" si="18"/>
        <v>Elemento Tomada Elétrica</v>
      </c>
      <c r="W195" s="21" t="s">
        <v>99</v>
      </c>
      <c r="X195" s="42" t="str">
        <f t="shared" ref="X195:X258" si="21">CONCATENATE("Key-INTEL-",A195)</f>
        <v>Key-INTEL-195</v>
      </c>
      <c r="Y195" s="21" t="s">
        <v>595</v>
      </c>
      <c r="Z195" s="52" t="s">
        <v>9</v>
      </c>
      <c r="AA195" s="20" t="s">
        <v>307</v>
      </c>
      <c r="AB195" s="52" t="s">
        <v>9</v>
      </c>
      <c r="AC195" s="21" t="s">
        <v>572</v>
      </c>
      <c r="AD195" s="52" t="s">
        <v>9</v>
      </c>
    </row>
    <row r="196" spans="1:30" ht="6.75" customHeight="1" x14ac:dyDescent="0.25">
      <c r="A196" s="41">
        <v>196</v>
      </c>
      <c r="B196" s="1" t="s">
        <v>594</v>
      </c>
      <c r="C196" s="1" t="s">
        <v>1365</v>
      </c>
      <c r="D196" s="1" t="s">
        <v>408</v>
      </c>
      <c r="E196" s="1" t="s">
        <v>1701</v>
      </c>
      <c r="F196" s="39" t="s">
        <v>288</v>
      </c>
      <c r="G196" s="45" t="s">
        <v>9</v>
      </c>
      <c r="H196" s="45" t="s">
        <v>9</v>
      </c>
      <c r="I196" s="45" t="s">
        <v>9</v>
      </c>
      <c r="J196" s="45" t="s">
        <v>9</v>
      </c>
      <c r="K196" s="45" t="s">
        <v>9</v>
      </c>
      <c r="L196" s="25" t="str">
        <f t="shared" si="19"/>
        <v>De.Energia</v>
      </c>
      <c r="M196" s="25" t="str">
        <f t="shared" si="19"/>
        <v>Elementos.Elétricos</v>
      </c>
      <c r="N196" s="25" t="str">
        <f t="shared" si="20"/>
        <v>Elemento Tomada Elétrica</v>
      </c>
      <c r="O196" s="25" t="str">
        <f t="shared" si="20"/>
        <v>Tomada de Telefone</v>
      </c>
      <c r="P196" s="21" t="s">
        <v>182</v>
      </c>
      <c r="Q196" s="21" t="s">
        <v>183</v>
      </c>
      <c r="R196" s="21" t="s">
        <v>361</v>
      </c>
      <c r="S196" s="55" t="s">
        <v>9</v>
      </c>
      <c r="T196" s="51" t="str">
        <f t="shared" si="18"/>
        <v>De Energia</v>
      </c>
      <c r="U196" s="51" t="str">
        <f t="shared" si="18"/>
        <v>Elementos Elétricos</v>
      </c>
      <c r="V196" s="51" t="str">
        <f t="shared" si="18"/>
        <v>Elemento Tomada Elétrica</v>
      </c>
      <c r="W196" s="21" t="s">
        <v>99</v>
      </c>
      <c r="X196" s="42" t="str">
        <f t="shared" si="21"/>
        <v>Key-INTEL-196</v>
      </c>
      <c r="Y196" s="21" t="s">
        <v>595</v>
      </c>
      <c r="Z196" s="52" t="s">
        <v>9</v>
      </c>
      <c r="AA196" s="20" t="s">
        <v>306</v>
      </c>
      <c r="AB196" s="52" t="s">
        <v>9</v>
      </c>
      <c r="AC196" s="21" t="s">
        <v>572</v>
      </c>
      <c r="AD196" s="52" t="s">
        <v>9</v>
      </c>
    </row>
    <row r="197" spans="1:30" ht="6.75" customHeight="1" x14ac:dyDescent="0.25">
      <c r="A197" s="41">
        <v>197</v>
      </c>
      <c r="B197" s="1" t="s">
        <v>594</v>
      </c>
      <c r="C197" s="1" t="s">
        <v>1365</v>
      </c>
      <c r="D197" s="1" t="s">
        <v>408</v>
      </c>
      <c r="E197" s="1" t="s">
        <v>1701</v>
      </c>
      <c r="F197" s="39" t="s">
        <v>562</v>
      </c>
      <c r="G197" s="45" t="s">
        <v>9</v>
      </c>
      <c r="H197" s="45" t="s">
        <v>9</v>
      </c>
      <c r="I197" s="45" t="s">
        <v>9</v>
      </c>
      <c r="J197" s="45" t="s">
        <v>9</v>
      </c>
      <c r="K197" s="45" t="s">
        <v>9</v>
      </c>
      <c r="L197" s="25" t="str">
        <f t="shared" si="19"/>
        <v>De.Energia</v>
      </c>
      <c r="M197" s="25" t="str">
        <f t="shared" si="19"/>
        <v>Elementos.Elétricos</v>
      </c>
      <c r="N197" s="25" t="str">
        <f t="shared" si="20"/>
        <v>Elemento Tomada Elétrica</v>
      </c>
      <c r="O197" s="25" t="str">
        <f t="shared" si="20"/>
        <v>Tomada de Rede</v>
      </c>
      <c r="P197" s="21" t="s">
        <v>184</v>
      </c>
      <c r="Q197" s="21" t="s">
        <v>185</v>
      </c>
      <c r="R197" s="21" t="s">
        <v>362</v>
      </c>
      <c r="S197" s="55" t="s">
        <v>9</v>
      </c>
      <c r="T197" s="51" t="str">
        <f t="shared" si="18"/>
        <v>De Energia</v>
      </c>
      <c r="U197" s="51" t="str">
        <f t="shared" si="18"/>
        <v>Elementos Elétricos</v>
      </c>
      <c r="V197" s="51" t="str">
        <f t="shared" si="18"/>
        <v>Elemento Tomada Elétrica</v>
      </c>
      <c r="W197" s="21" t="s">
        <v>99</v>
      </c>
      <c r="X197" s="42" t="str">
        <f t="shared" si="21"/>
        <v>Key-INTEL-197</v>
      </c>
      <c r="Y197" s="21" t="s">
        <v>595</v>
      </c>
      <c r="Z197" s="52" t="s">
        <v>9</v>
      </c>
      <c r="AA197" s="20" t="s">
        <v>305</v>
      </c>
      <c r="AB197" s="52" t="s">
        <v>9</v>
      </c>
      <c r="AC197" s="21" t="s">
        <v>572</v>
      </c>
      <c r="AD197" s="52" t="s">
        <v>9</v>
      </c>
    </row>
    <row r="198" spans="1:30" ht="6.75" customHeight="1" x14ac:dyDescent="0.25">
      <c r="A198" s="41">
        <v>198</v>
      </c>
      <c r="B198" s="1" t="s">
        <v>594</v>
      </c>
      <c r="C198" s="1" t="s">
        <v>1365</v>
      </c>
      <c r="D198" s="1" t="s">
        <v>408</v>
      </c>
      <c r="E198" s="1" t="s">
        <v>1702</v>
      </c>
      <c r="F198" s="39" t="s">
        <v>291</v>
      </c>
      <c r="G198" s="45" t="s">
        <v>9</v>
      </c>
      <c r="H198" s="45" t="s">
        <v>9</v>
      </c>
      <c r="I198" s="45" t="s">
        <v>9</v>
      </c>
      <c r="J198" s="45" t="s">
        <v>9</v>
      </c>
      <c r="K198" s="45" t="s">
        <v>9</v>
      </c>
      <c r="L198" s="25" t="str">
        <f t="shared" si="19"/>
        <v>De.Energia</v>
      </c>
      <c r="M198" s="25" t="str">
        <f t="shared" si="19"/>
        <v>Elementos.Elétricos</v>
      </c>
      <c r="N198" s="25" t="str">
        <f t="shared" si="20"/>
        <v>Elemento Transformador Elétrica</v>
      </c>
      <c r="O198" s="25" t="str">
        <f t="shared" si="20"/>
        <v>Transformador Elétrico</v>
      </c>
      <c r="P198" s="21" t="s">
        <v>186</v>
      </c>
      <c r="Q198" s="21" t="s">
        <v>187</v>
      </c>
      <c r="R198" s="21" t="s">
        <v>363</v>
      </c>
      <c r="S198" s="55" t="s">
        <v>9</v>
      </c>
      <c r="T198" s="51" t="str">
        <f t="shared" si="18"/>
        <v>De Energia</v>
      </c>
      <c r="U198" s="51" t="str">
        <f t="shared" si="18"/>
        <v>Elementos Elétricos</v>
      </c>
      <c r="V198" s="51" t="str">
        <f t="shared" si="18"/>
        <v>Elemento Transformador Elétrica</v>
      </c>
      <c r="W198" s="21" t="s">
        <v>99</v>
      </c>
      <c r="X198" s="42" t="str">
        <f t="shared" si="21"/>
        <v>Key-INTEL-198</v>
      </c>
      <c r="Y198" s="21" t="s">
        <v>600</v>
      </c>
      <c r="Z198" s="52" t="s">
        <v>9</v>
      </c>
      <c r="AA198" s="20" t="s">
        <v>304</v>
      </c>
      <c r="AB198" s="52" t="s">
        <v>9</v>
      </c>
      <c r="AC198" s="21" t="s">
        <v>572</v>
      </c>
      <c r="AD198" s="52" t="s">
        <v>9</v>
      </c>
    </row>
    <row r="199" spans="1:30" ht="6.75" customHeight="1" x14ac:dyDescent="0.25">
      <c r="A199" s="41">
        <v>199</v>
      </c>
      <c r="B199" s="1" t="s">
        <v>594</v>
      </c>
      <c r="C199" s="1" t="s">
        <v>1365</v>
      </c>
      <c r="D199" s="1" t="s">
        <v>408</v>
      </c>
      <c r="E199" s="1" t="s">
        <v>1702</v>
      </c>
      <c r="F199" s="39" t="s">
        <v>375</v>
      </c>
      <c r="G199" s="45" t="s">
        <v>9</v>
      </c>
      <c r="H199" s="45" t="s">
        <v>9</v>
      </c>
      <c r="I199" s="45" t="s">
        <v>9</v>
      </c>
      <c r="J199" s="45" t="s">
        <v>9</v>
      </c>
      <c r="K199" s="45" t="s">
        <v>9</v>
      </c>
      <c r="L199" s="25" t="str">
        <f t="shared" si="19"/>
        <v>De.Energia</v>
      </c>
      <c r="M199" s="25" t="str">
        <f t="shared" si="19"/>
        <v>Elementos.Elétricos</v>
      </c>
      <c r="N199" s="25" t="str">
        <f t="shared" si="20"/>
        <v>Elemento Transformador Elétrica</v>
      </c>
      <c r="O199" s="25" t="str">
        <f t="shared" si="20"/>
        <v>Transformador de Chave</v>
      </c>
      <c r="P199" s="21" t="s">
        <v>188</v>
      </c>
      <c r="Q199" s="21" t="s">
        <v>189</v>
      </c>
      <c r="R199" s="21" t="s">
        <v>364</v>
      </c>
      <c r="S199" s="55" t="s">
        <v>9</v>
      </c>
      <c r="T199" s="51" t="str">
        <f t="shared" si="18"/>
        <v>De Energia</v>
      </c>
      <c r="U199" s="51" t="str">
        <f t="shared" si="18"/>
        <v>Elementos Elétricos</v>
      </c>
      <c r="V199" s="51" t="str">
        <f t="shared" si="18"/>
        <v>Elemento Transformador Elétrica</v>
      </c>
      <c r="W199" s="21" t="s">
        <v>99</v>
      </c>
      <c r="X199" s="42" t="str">
        <f t="shared" si="21"/>
        <v>Key-INTEL-199</v>
      </c>
      <c r="Y199" s="21" t="s">
        <v>600</v>
      </c>
      <c r="Z199" s="52" t="s">
        <v>9</v>
      </c>
      <c r="AA199" s="20" t="s">
        <v>303</v>
      </c>
      <c r="AB199" s="52" t="s">
        <v>9</v>
      </c>
      <c r="AC199" s="21" t="s">
        <v>572</v>
      </c>
      <c r="AD199" s="52" t="s">
        <v>9</v>
      </c>
    </row>
    <row r="200" spans="1:30" ht="6.75" customHeight="1" x14ac:dyDescent="0.25">
      <c r="A200" s="41">
        <v>200</v>
      </c>
      <c r="B200" s="1" t="s">
        <v>594</v>
      </c>
      <c r="C200" s="1" t="s">
        <v>1365</v>
      </c>
      <c r="D200" s="1" t="s">
        <v>408</v>
      </c>
      <c r="E200" s="1" t="s">
        <v>1702</v>
      </c>
      <c r="F200" s="39" t="s">
        <v>376</v>
      </c>
      <c r="G200" s="45" t="s">
        <v>9</v>
      </c>
      <c r="H200" s="45" t="s">
        <v>9</v>
      </c>
      <c r="I200" s="45" t="s">
        <v>9</v>
      </c>
      <c r="J200" s="45" t="s">
        <v>9</v>
      </c>
      <c r="K200" s="45" t="s">
        <v>9</v>
      </c>
      <c r="L200" s="25" t="str">
        <f t="shared" si="19"/>
        <v>De.Energia</v>
      </c>
      <c r="M200" s="25" t="str">
        <f t="shared" si="19"/>
        <v>Elementos.Elétricos</v>
      </c>
      <c r="N200" s="25" t="str">
        <f t="shared" si="20"/>
        <v>Elemento Transformador Elétrica</v>
      </c>
      <c r="O200" s="25" t="str">
        <f t="shared" si="20"/>
        <v>Transformador de Combinação</v>
      </c>
      <c r="P200" s="21" t="s">
        <v>190</v>
      </c>
      <c r="Q200" s="21" t="s">
        <v>191</v>
      </c>
      <c r="R200" s="21" t="s">
        <v>365</v>
      </c>
      <c r="S200" s="55" t="s">
        <v>9</v>
      </c>
      <c r="T200" s="51" t="str">
        <f t="shared" si="18"/>
        <v>De Energia</v>
      </c>
      <c r="U200" s="51" t="str">
        <f t="shared" si="18"/>
        <v>Elementos Elétricos</v>
      </c>
      <c r="V200" s="51" t="str">
        <f t="shared" si="18"/>
        <v>Elemento Transformador Elétrica</v>
      </c>
      <c r="W200" s="21" t="s">
        <v>99</v>
      </c>
      <c r="X200" s="42" t="str">
        <f t="shared" si="21"/>
        <v>Key-INTEL-200</v>
      </c>
      <c r="Y200" s="21" t="s">
        <v>600</v>
      </c>
      <c r="Z200" s="52" t="s">
        <v>9</v>
      </c>
      <c r="AA200" s="20" t="s">
        <v>302</v>
      </c>
      <c r="AB200" s="52" t="s">
        <v>9</v>
      </c>
      <c r="AC200" s="21" t="s">
        <v>572</v>
      </c>
      <c r="AD200" s="52" t="s">
        <v>9</v>
      </c>
    </row>
    <row r="201" spans="1:30" ht="6.75" customHeight="1" x14ac:dyDescent="0.25">
      <c r="A201" s="41">
        <v>201</v>
      </c>
      <c r="B201" s="1" t="s">
        <v>594</v>
      </c>
      <c r="C201" s="1" t="s">
        <v>1365</v>
      </c>
      <c r="D201" s="1" t="s">
        <v>408</v>
      </c>
      <c r="E201" s="1" t="s">
        <v>1702</v>
      </c>
      <c r="F201" s="39" t="s">
        <v>292</v>
      </c>
      <c r="G201" s="45" t="s">
        <v>9</v>
      </c>
      <c r="H201" s="45" t="s">
        <v>9</v>
      </c>
      <c r="I201" s="45" t="s">
        <v>9</v>
      </c>
      <c r="J201" s="45" t="s">
        <v>9</v>
      </c>
      <c r="K201" s="45" t="s">
        <v>9</v>
      </c>
      <c r="L201" s="25" t="str">
        <f t="shared" si="19"/>
        <v>De.Energia</v>
      </c>
      <c r="M201" s="25" t="str">
        <f t="shared" si="19"/>
        <v>Elementos.Elétricos</v>
      </c>
      <c r="N201" s="25" t="str">
        <f t="shared" si="20"/>
        <v>Elemento Transformador Elétrica</v>
      </c>
      <c r="O201" s="25" t="str">
        <f t="shared" si="20"/>
        <v>Transformador de Corrente</v>
      </c>
      <c r="P201" s="21" t="s">
        <v>192</v>
      </c>
      <c r="Q201" s="21" t="s">
        <v>193</v>
      </c>
      <c r="R201" s="21" t="s">
        <v>366</v>
      </c>
      <c r="S201" s="55" t="s">
        <v>9</v>
      </c>
      <c r="T201" s="51" t="str">
        <f t="shared" si="18"/>
        <v>De Energia</v>
      </c>
      <c r="U201" s="51" t="str">
        <f t="shared" si="18"/>
        <v>Elementos Elétricos</v>
      </c>
      <c r="V201" s="51" t="str">
        <f t="shared" si="18"/>
        <v>Elemento Transformador Elétrica</v>
      </c>
      <c r="W201" s="21" t="s">
        <v>99</v>
      </c>
      <c r="X201" s="42" t="str">
        <f t="shared" si="21"/>
        <v>Key-INTEL-201</v>
      </c>
      <c r="Y201" s="21" t="s">
        <v>600</v>
      </c>
      <c r="Z201" s="52" t="s">
        <v>9</v>
      </c>
      <c r="AA201" s="20" t="s">
        <v>301</v>
      </c>
      <c r="AB201" s="52" t="s">
        <v>9</v>
      </c>
      <c r="AC201" s="21" t="s">
        <v>572</v>
      </c>
      <c r="AD201" s="52" t="s">
        <v>9</v>
      </c>
    </row>
    <row r="202" spans="1:30" ht="6.75" customHeight="1" x14ac:dyDescent="0.25">
      <c r="A202" s="41">
        <v>202</v>
      </c>
      <c r="B202" s="1" t="s">
        <v>594</v>
      </c>
      <c r="C202" s="1" t="s">
        <v>1365</v>
      </c>
      <c r="D202" s="1" t="s">
        <v>408</v>
      </c>
      <c r="E202" s="1" t="s">
        <v>1702</v>
      </c>
      <c r="F202" s="39" t="s">
        <v>377</v>
      </c>
      <c r="G202" s="45" t="s">
        <v>9</v>
      </c>
      <c r="H202" s="45" t="s">
        <v>9</v>
      </c>
      <c r="I202" s="45" t="s">
        <v>9</v>
      </c>
      <c r="J202" s="45" t="s">
        <v>9</v>
      </c>
      <c r="K202" s="45" t="s">
        <v>9</v>
      </c>
      <c r="L202" s="25" t="str">
        <f t="shared" si="19"/>
        <v>De.Energia</v>
      </c>
      <c r="M202" s="25" t="str">
        <f t="shared" si="19"/>
        <v>Elementos.Elétricos</v>
      </c>
      <c r="N202" s="25" t="str">
        <f t="shared" si="20"/>
        <v>Elemento Transformador Elétrica</v>
      </c>
      <c r="O202" s="25" t="str">
        <f t="shared" si="20"/>
        <v>Transformador de Frequência</v>
      </c>
      <c r="P202" s="21" t="s">
        <v>194</v>
      </c>
      <c r="Q202" s="21" t="s">
        <v>195</v>
      </c>
      <c r="R202" s="21" t="s">
        <v>367</v>
      </c>
      <c r="S202" s="55" t="s">
        <v>9</v>
      </c>
      <c r="T202" s="51" t="str">
        <f t="shared" si="18"/>
        <v>De Energia</v>
      </c>
      <c r="U202" s="51" t="str">
        <f t="shared" si="18"/>
        <v>Elementos Elétricos</v>
      </c>
      <c r="V202" s="51" t="str">
        <f t="shared" si="18"/>
        <v>Elemento Transformador Elétrica</v>
      </c>
      <c r="W202" s="21" t="s">
        <v>99</v>
      </c>
      <c r="X202" s="42" t="str">
        <f t="shared" si="21"/>
        <v>Key-INTEL-202</v>
      </c>
      <c r="Y202" s="21" t="s">
        <v>600</v>
      </c>
      <c r="Z202" s="52" t="s">
        <v>9</v>
      </c>
      <c r="AA202" s="20" t="s">
        <v>300</v>
      </c>
      <c r="AB202" s="52" t="s">
        <v>9</v>
      </c>
      <c r="AC202" s="21" t="s">
        <v>572</v>
      </c>
      <c r="AD202" s="52" t="s">
        <v>9</v>
      </c>
    </row>
    <row r="203" spans="1:30" ht="6.75" customHeight="1" x14ac:dyDescent="0.25">
      <c r="A203" s="41">
        <v>203</v>
      </c>
      <c r="B203" s="1" t="s">
        <v>594</v>
      </c>
      <c r="C203" s="1" t="s">
        <v>1365</v>
      </c>
      <c r="D203" s="1" t="s">
        <v>408</v>
      </c>
      <c r="E203" s="1" t="s">
        <v>1702</v>
      </c>
      <c r="F203" s="39" t="s">
        <v>293</v>
      </c>
      <c r="G203" s="45" t="s">
        <v>9</v>
      </c>
      <c r="H203" s="45" t="s">
        <v>9</v>
      </c>
      <c r="I203" s="45" t="s">
        <v>9</v>
      </c>
      <c r="J203" s="45" t="s">
        <v>9</v>
      </c>
      <c r="K203" s="45" t="s">
        <v>9</v>
      </c>
      <c r="L203" s="25" t="str">
        <f t="shared" si="19"/>
        <v>De.Energia</v>
      </c>
      <c r="M203" s="25" t="str">
        <f t="shared" si="19"/>
        <v>Elementos.Elétricos</v>
      </c>
      <c r="N203" s="25" t="str">
        <f t="shared" si="20"/>
        <v>Elemento Transformador Elétrica</v>
      </c>
      <c r="O203" s="25" t="str">
        <f t="shared" si="20"/>
        <v>Transformador de Inversão</v>
      </c>
      <c r="P203" s="21" t="s">
        <v>196</v>
      </c>
      <c r="Q203" s="21" t="s">
        <v>197</v>
      </c>
      <c r="R203" s="21" t="s">
        <v>368</v>
      </c>
      <c r="S203" s="55" t="s">
        <v>9</v>
      </c>
      <c r="T203" s="51" t="str">
        <f t="shared" si="18"/>
        <v>De Energia</v>
      </c>
      <c r="U203" s="51" t="str">
        <f t="shared" si="18"/>
        <v>Elementos Elétricos</v>
      </c>
      <c r="V203" s="51" t="str">
        <f t="shared" si="18"/>
        <v>Elemento Transformador Elétrica</v>
      </c>
      <c r="W203" s="21" t="s">
        <v>99</v>
      </c>
      <c r="X203" s="42" t="str">
        <f t="shared" si="21"/>
        <v>Key-INTEL-203</v>
      </c>
      <c r="Y203" s="21" t="s">
        <v>600</v>
      </c>
      <c r="Z203" s="52" t="s">
        <v>9</v>
      </c>
      <c r="AA203" s="20" t="s">
        <v>299</v>
      </c>
      <c r="AB203" s="52" t="s">
        <v>9</v>
      </c>
      <c r="AC203" s="21" t="s">
        <v>572</v>
      </c>
      <c r="AD203" s="52" t="s">
        <v>9</v>
      </c>
    </row>
    <row r="204" spans="1:30" ht="6.75" customHeight="1" x14ac:dyDescent="0.25">
      <c r="A204" s="41">
        <v>204</v>
      </c>
      <c r="B204" s="1" t="s">
        <v>594</v>
      </c>
      <c r="C204" s="1" t="s">
        <v>1365</v>
      </c>
      <c r="D204" s="1" t="s">
        <v>408</v>
      </c>
      <c r="E204" s="1" t="s">
        <v>1702</v>
      </c>
      <c r="F204" s="39" t="s">
        <v>294</v>
      </c>
      <c r="G204" s="45" t="s">
        <v>9</v>
      </c>
      <c r="H204" s="45" t="s">
        <v>9</v>
      </c>
      <c r="I204" s="45" t="s">
        <v>9</v>
      </c>
      <c r="J204" s="45" t="s">
        <v>9</v>
      </c>
      <c r="K204" s="45" t="s">
        <v>9</v>
      </c>
      <c r="L204" s="25" t="str">
        <f t="shared" si="19"/>
        <v>De.Energia</v>
      </c>
      <c r="M204" s="25" t="str">
        <f t="shared" si="19"/>
        <v>Elementos.Elétricos</v>
      </c>
      <c r="N204" s="25" t="str">
        <f t="shared" si="20"/>
        <v>Elemento Transformador Elétrica</v>
      </c>
      <c r="O204" s="25" t="str">
        <f t="shared" si="20"/>
        <v>Transformador de Retificação</v>
      </c>
      <c r="P204" s="21" t="s">
        <v>198</v>
      </c>
      <c r="Q204" s="21" t="s">
        <v>199</v>
      </c>
      <c r="R204" s="21" t="s">
        <v>369</v>
      </c>
      <c r="S204" s="55" t="s">
        <v>9</v>
      </c>
      <c r="T204" s="51" t="str">
        <f t="shared" si="18"/>
        <v>De Energia</v>
      </c>
      <c r="U204" s="51" t="str">
        <f t="shared" si="18"/>
        <v>Elementos Elétricos</v>
      </c>
      <c r="V204" s="51" t="str">
        <f t="shared" si="18"/>
        <v>Elemento Transformador Elétrica</v>
      </c>
      <c r="W204" s="21" t="s">
        <v>99</v>
      </c>
      <c r="X204" s="42" t="str">
        <f t="shared" si="21"/>
        <v>Key-INTEL-204</v>
      </c>
      <c r="Y204" s="21" t="s">
        <v>600</v>
      </c>
      <c r="Z204" s="52" t="s">
        <v>9</v>
      </c>
      <c r="AA204" s="20" t="s">
        <v>298</v>
      </c>
      <c r="AB204" s="52" t="s">
        <v>9</v>
      </c>
      <c r="AC204" s="21" t="s">
        <v>572</v>
      </c>
      <c r="AD204" s="52" t="s">
        <v>9</v>
      </c>
    </row>
    <row r="205" spans="1:30" ht="6.75" customHeight="1" x14ac:dyDescent="0.25">
      <c r="A205" s="41">
        <v>205</v>
      </c>
      <c r="B205" s="1" t="s">
        <v>594</v>
      </c>
      <c r="C205" s="1" t="s">
        <v>1365</v>
      </c>
      <c r="D205" s="1" t="s">
        <v>408</v>
      </c>
      <c r="E205" s="1" t="s">
        <v>1702</v>
      </c>
      <c r="F205" s="39" t="s">
        <v>295</v>
      </c>
      <c r="G205" s="45" t="s">
        <v>9</v>
      </c>
      <c r="H205" s="45" t="s">
        <v>9</v>
      </c>
      <c r="I205" s="45" t="s">
        <v>9</v>
      </c>
      <c r="J205" s="45" t="s">
        <v>9</v>
      </c>
      <c r="K205" s="45" t="s">
        <v>9</v>
      </c>
      <c r="L205" s="25" t="str">
        <f t="shared" si="19"/>
        <v>De.Energia</v>
      </c>
      <c r="M205" s="25" t="str">
        <f t="shared" si="19"/>
        <v>Elementos.Elétricos</v>
      </c>
      <c r="N205" s="25" t="str">
        <f t="shared" si="20"/>
        <v>Elemento Transformador Elétrica</v>
      </c>
      <c r="O205" s="25" t="str">
        <f t="shared" si="20"/>
        <v>Transformador de Voltagem</v>
      </c>
      <c r="P205" s="21" t="s">
        <v>200</v>
      </c>
      <c r="Q205" s="21" t="s">
        <v>201</v>
      </c>
      <c r="R205" s="21" t="s">
        <v>370</v>
      </c>
      <c r="S205" s="55" t="s">
        <v>9</v>
      </c>
      <c r="T205" s="51" t="str">
        <f t="shared" si="18"/>
        <v>De Energia</v>
      </c>
      <c r="U205" s="51" t="str">
        <f t="shared" si="18"/>
        <v>Elementos Elétricos</v>
      </c>
      <c r="V205" s="51" t="str">
        <f t="shared" si="18"/>
        <v>Elemento Transformador Elétrica</v>
      </c>
      <c r="W205" s="21" t="s">
        <v>99</v>
      </c>
      <c r="X205" s="42" t="str">
        <f t="shared" si="21"/>
        <v>Key-INTEL-205</v>
      </c>
      <c r="Y205" s="21" t="s">
        <v>600</v>
      </c>
      <c r="Z205" s="52" t="s">
        <v>9</v>
      </c>
      <c r="AA205" s="20" t="s">
        <v>297</v>
      </c>
      <c r="AB205" s="52" t="s">
        <v>9</v>
      </c>
      <c r="AC205" s="21" t="s">
        <v>572</v>
      </c>
      <c r="AD205" s="52" t="s">
        <v>9</v>
      </c>
    </row>
    <row r="206" spans="1:30" ht="6.75" customHeight="1" x14ac:dyDescent="0.25">
      <c r="A206" s="41">
        <v>206</v>
      </c>
      <c r="B206" s="1" t="s">
        <v>594</v>
      </c>
      <c r="C206" s="1" t="s">
        <v>1365</v>
      </c>
      <c r="D206" s="1" t="s">
        <v>408</v>
      </c>
      <c r="E206" s="1" t="s">
        <v>1702</v>
      </c>
      <c r="F206" s="1" t="s">
        <v>296</v>
      </c>
      <c r="G206" s="45" t="s">
        <v>9</v>
      </c>
      <c r="H206" s="45" t="s">
        <v>9</v>
      </c>
      <c r="I206" s="45" t="s">
        <v>9</v>
      </c>
      <c r="J206" s="45" t="s">
        <v>9</v>
      </c>
      <c r="K206" s="45" t="s">
        <v>9</v>
      </c>
      <c r="L206" s="25" t="str">
        <f t="shared" si="19"/>
        <v>De.Energia</v>
      </c>
      <c r="M206" s="25" t="str">
        <f t="shared" si="19"/>
        <v>Elementos.Elétricos</v>
      </c>
      <c r="N206" s="25" t="str">
        <f t="shared" si="20"/>
        <v>Elemento Transformador Elétrica</v>
      </c>
      <c r="O206" s="25" t="str">
        <f t="shared" si="20"/>
        <v>Transformador Analítico</v>
      </c>
      <c r="P206" s="21" t="s">
        <v>202</v>
      </c>
      <c r="Q206" s="21" t="s">
        <v>203</v>
      </c>
      <c r="R206" s="21" t="s">
        <v>371</v>
      </c>
      <c r="S206" s="55" t="s">
        <v>9</v>
      </c>
      <c r="T206" s="51" t="str">
        <f t="shared" si="18"/>
        <v>De Energia</v>
      </c>
      <c r="U206" s="51" t="str">
        <f t="shared" si="18"/>
        <v>Elementos Elétricos</v>
      </c>
      <c r="V206" s="51" t="str">
        <f t="shared" si="18"/>
        <v>Elemento Transformador Elétrica</v>
      </c>
      <c r="W206" s="21" t="s">
        <v>99</v>
      </c>
      <c r="X206" s="42" t="str">
        <f t="shared" si="21"/>
        <v>Key-INTEL-206</v>
      </c>
      <c r="Y206" s="21" t="s">
        <v>602</v>
      </c>
      <c r="Z206" s="52" t="s">
        <v>9</v>
      </c>
      <c r="AA206" s="21" t="s">
        <v>334</v>
      </c>
      <c r="AB206" s="52" t="s">
        <v>9</v>
      </c>
      <c r="AC206" s="21" t="s">
        <v>572</v>
      </c>
      <c r="AD206" s="52" t="s">
        <v>9</v>
      </c>
    </row>
    <row r="207" spans="1:30" ht="6.75" customHeight="1" x14ac:dyDescent="0.25">
      <c r="A207" s="41">
        <v>207</v>
      </c>
      <c r="B207" s="1" t="s">
        <v>594</v>
      </c>
      <c r="C207" s="1" t="s">
        <v>1365</v>
      </c>
      <c r="D207" s="1" t="s">
        <v>1522</v>
      </c>
      <c r="E207" s="1" t="s">
        <v>1703</v>
      </c>
      <c r="F207" s="1" t="s">
        <v>414</v>
      </c>
      <c r="G207" s="45" t="s">
        <v>9</v>
      </c>
      <c r="H207" s="45" t="s">
        <v>9</v>
      </c>
      <c r="I207" s="45" t="s">
        <v>9</v>
      </c>
      <c r="J207" s="45" t="s">
        <v>9</v>
      </c>
      <c r="K207" s="45" t="s">
        <v>9</v>
      </c>
      <c r="L207" s="25" t="str">
        <f t="shared" si="19"/>
        <v>De.Energia</v>
      </c>
      <c r="M207" s="25" t="str">
        <f t="shared" si="19"/>
        <v>Elementos.FM.Elétricos</v>
      </c>
      <c r="N207" s="25" t="str">
        <f t="shared" si="20"/>
        <v>Elemento Bomba Elétrica</v>
      </c>
      <c r="O207" s="25" t="str">
        <f t="shared" si="20"/>
        <v>Bomba Elétrica</v>
      </c>
      <c r="P207" s="21" t="s">
        <v>417</v>
      </c>
      <c r="Q207" s="21" t="s">
        <v>425</v>
      </c>
      <c r="R207" s="20" t="s">
        <v>439</v>
      </c>
      <c r="S207" s="55" t="s">
        <v>9</v>
      </c>
      <c r="T207" s="51" t="str">
        <f t="shared" ref="T207:V270" si="22">SUBSTITUTE(C207, ".", " ")</f>
        <v>De Energia</v>
      </c>
      <c r="U207" s="51" t="str">
        <f t="shared" si="22"/>
        <v>Elementos FM Elétricos</v>
      </c>
      <c r="V207" s="51" t="str">
        <f t="shared" si="22"/>
        <v>Elemento Bomba Elétrica</v>
      </c>
      <c r="W207" s="21" t="s">
        <v>99</v>
      </c>
      <c r="X207" s="42" t="str">
        <f t="shared" si="21"/>
        <v>Key-INTEL-207</v>
      </c>
      <c r="Y207" s="21" t="s">
        <v>600</v>
      </c>
      <c r="Z207" s="52" t="s">
        <v>9</v>
      </c>
      <c r="AA207" s="20" t="s">
        <v>433</v>
      </c>
      <c r="AB207" s="52" t="s">
        <v>9</v>
      </c>
      <c r="AC207" s="21" t="s">
        <v>572</v>
      </c>
      <c r="AD207" s="52" t="s">
        <v>9</v>
      </c>
    </row>
    <row r="208" spans="1:30" ht="6.75" customHeight="1" x14ac:dyDescent="0.25">
      <c r="A208" s="41">
        <v>208</v>
      </c>
      <c r="B208" s="1" t="s">
        <v>594</v>
      </c>
      <c r="C208" s="1" t="s">
        <v>1365</v>
      </c>
      <c r="D208" s="1" t="s">
        <v>1522</v>
      </c>
      <c r="E208" s="1" t="s">
        <v>1703</v>
      </c>
      <c r="F208" s="1" t="s">
        <v>410</v>
      </c>
      <c r="G208" s="45" t="s">
        <v>9</v>
      </c>
      <c r="H208" s="45" t="s">
        <v>9</v>
      </c>
      <c r="I208" s="45" t="s">
        <v>9</v>
      </c>
      <c r="J208" s="45" t="s">
        <v>9</v>
      </c>
      <c r="K208" s="45" t="s">
        <v>9</v>
      </c>
      <c r="L208" s="25" t="str">
        <f t="shared" si="19"/>
        <v>De.Energia</v>
      </c>
      <c r="M208" s="25" t="str">
        <f t="shared" si="19"/>
        <v>Elementos.FM.Elétricos</v>
      </c>
      <c r="N208" s="25" t="str">
        <f t="shared" si="20"/>
        <v>Elemento Bomba Elétrica</v>
      </c>
      <c r="O208" s="25" t="str">
        <f t="shared" si="20"/>
        <v>Bomba Circuladora</v>
      </c>
      <c r="P208" s="21" t="s">
        <v>418</v>
      </c>
      <c r="Q208" s="21" t="s">
        <v>418</v>
      </c>
      <c r="R208" s="20" t="s">
        <v>440</v>
      </c>
      <c r="S208" s="55" t="s">
        <v>9</v>
      </c>
      <c r="T208" s="51" t="str">
        <f t="shared" si="22"/>
        <v>De Energia</v>
      </c>
      <c r="U208" s="51" t="str">
        <f t="shared" si="22"/>
        <v>Elementos FM Elétricos</v>
      </c>
      <c r="V208" s="51" t="str">
        <f t="shared" si="22"/>
        <v>Elemento Bomba Elétrica</v>
      </c>
      <c r="W208" s="21" t="s">
        <v>99</v>
      </c>
      <c r="X208" s="42" t="str">
        <f t="shared" si="21"/>
        <v>Key-INTEL-208</v>
      </c>
      <c r="Y208" s="21" t="s">
        <v>600</v>
      </c>
      <c r="Z208" s="52" t="s">
        <v>9</v>
      </c>
      <c r="AA208" s="20" t="s">
        <v>431</v>
      </c>
      <c r="AB208" s="52" t="s">
        <v>9</v>
      </c>
      <c r="AC208" s="21" t="s">
        <v>572</v>
      </c>
      <c r="AD208" s="52" t="s">
        <v>9</v>
      </c>
    </row>
    <row r="209" spans="1:30" ht="6.75" customHeight="1" x14ac:dyDescent="0.25">
      <c r="A209" s="41">
        <v>209</v>
      </c>
      <c r="B209" s="1" t="s">
        <v>594</v>
      </c>
      <c r="C209" s="1" t="s">
        <v>1365</v>
      </c>
      <c r="D209" s="1" t="s">
        <v>1522</v>
      </c>
      <c r="E209" s="1" t="s">
        <v>1703</v>
      </c>
      <c r="F209" s="1" t="s">
        <v>1708</v>
      </c>
      <c r="G209" s="45" t="s">
        <v>9</v>
      </c>
      <c r="H209" s="45" t="s">
        <v>9</v>
      </c>
      <c r="I209" s="45" t="s">
        <v>9</v>
      </c>
      <c r="J209" s="45" t="s">
        <v>9</v>
      </c>
      <c r="K209" s="45" t="s">
        <v>9</v>
      </c>
      <c r="L209" s="25" t="str">
        <f t="shared" si="19"/>
        <v>De.Energia</v>
      </c>
      <c r="M209" s="25" t="str">
        <f t="shared" si="19"/>
        <v>Elementos.FM.Elétricos</v>
      </c>
      <c r="N209" s="25" t="str">
        <f t="shared" si="20"/>
        <v>Elemento Bomba Elétrica</v>
      </c>
      <c r="O209" s="25" t="str">
        <f t="shared" si="20"/>
        <v>Bomba de Carcaça Bipartida</v>
      </c>
      <c r="P209" s="21" t="s">
        <v>424</v>
      </c>
      <c r="Q209" s="21" t="s">
        <v>427</v>
      </c>
      <c r="R209" s="20" t="s">
        <v>442</v>
      </c>
      <c r="S209" s="55" t="s">
        <v>9</v>
      </c>
      <c r="T209" s="51" t="str">
        <f t="shared" si="22"/>
        <v>De Energia</v>
      </c>
      <c r="U209" s="51" t="str">
        <f t="shared" si="22"/>
        <v>Elementos FM Elétricos</v>
      </c>
      <c r="V209" s="51" t="str">
        <f t="shared" si="22"/>
        <v>Elemento Bomba Elétrica</v>
      </c>
      <c r="W209" s="21" t="s">
        <v>99</v>
      </c>
      <c r="X209" s="42" t="str">
        <f t="shared" si="21"/>
        <v>Key-INTEL-209</v>
      </c>
      <c r="Y209" s="21" t="s">
        <v>600</v>
      </c>
      <c r="Z209" s="52" t="s">
        <v>9</v>
      </c>
      <c r="AA209" s="20" t="s">
        <v>434</v>
      </c>
      <c r="AB209" s="52" t="s">
        <v>9</v>
      </c>
      <c r="AC209" s="21" t="s">
        <v>572</v>
      </c>
      <c r="AD209" s="52" t="s">
        <v>9</v>
      </c>
    </row>
    <row r="210" spans="1:30" ht="6.75" customHeight="1" x14ac:dyDescent="0.25">
      <c r="A210" s="41">
        <v>210</v>
      </c>
      <c r="B210" s="1" t="s">
        <v>594</v>
      </c>
      <c r="C210" s="1" t="s">
        <v>1365</v>
      </c>
      <c r="D210" s="1" t="s">
        <v>1522</v>
      </c>
      <c r="E210" s="1" t="s">
        <v>1703</v>
      </c>
      <c r="F210" s="1" t="s">
        <v>413</v>
      </c>
      <c r="G210" s="45" t="s">
        <v>9</v>
      </c>
      <c r="H210" s="45" t="s">
        <v>9</v>
      </c>
      <c r="I210" s="45" t="s">
        <v>9</v>
      </c>
      <c r="J210" s="45" t="s">
        <v>9</v>
      </c>
      <c r="K210" s="45" t="s">
        <v>9</v>
      </c>
      <c r="L210" s="25" t="str">
        <f t="shared" si="19"/>
        <v>De.Energia</v>
      </c>
      <c r="M210" s="25" t="str">
        <f t="shared" si="19"/>
        <v>Elementos.FM.Elétricos</v>
      </c>
      <c r="N210" s="25" t="str">
        <f t="shared" si="20"/>
        <v>Elemento Bomba Elétrica</v>
      </c>
      <c r="O210" s="25" t="str">
        <f t="shared" si="20"/>
        <v>Bomba de Drenagem</v>
      </c>
      <c r="P210" s="21" t="s">
        <v>421</v>
      </c>
      <c r="Q210" s="21" t="s">
        <v>429</v>
      </c>
      <c r="R210" s="20" t="s">
        <v>444</v>
      </c>
      <c r="S210" s="55" t="s">
        <v>9</v>
      </c>
      <c r="T210" s="51" t="str">
        <f t="shared" si="22"/>
        <v>De Energia</v>
      </c>
      <c r="U210" s="51" t="str">
        <f t="shared" si="22"/>
        <v>Elementos FM Elétricos</v>
      </c>
      <c r="V210" s="51" t="str">
        <f t="shared" si="22"/>
        <v>Elemento Bomba Elétrica</v>
      </c>
      <c r="W210" s="21" t="s">
        <v>99</v>
      </c>
      <c r="X210" s="42" t="str">
        <f t="shared" si="21"/>
        <v>Key-INTEL-210</v>
      </c>
      <c r="Y210" s="21" t="s">
        <v>600</v>
      </c>
      <c r="Z210" s="52" t="s">
        <v>9</v>
      </c>
      <c r="AA210" s="20" t="s">
        <v>435</v>
      </c>
      <c r="AB210" s="52" t="s">
        <v>9</v>
      </c>
      <c r="AC210" s="21" t="s">
        <v>572</v>
      </c>
      <c r="AD210" s="52" t="s">
        <v>9</v>
      </c>
    </row>
    <row r="211" spans="1:30" ht="6.75" customHeight="1" x14ac:dyDescent="0.25">
      <c r="A211" s="41">
        <v>211</v>
      </c>
      <c r="B211" s="1" t="s">
        <v>594</v>
      </c>
      <c r="C211" s="1" t="s">
        <v>1365</v>
      </c>
      <c r="D211" s="1" t="s">
        <v>1522</v>
      </c>
      <c r="E211" s="1" t="s">
        <v>1703</v>
      </c>
      <c r="F211" s="1" t="s">
        <v>411</v>
      </c>
      <c r="G211" s="45" t="s">
        <v>9</v>
      </c>
      <c r="H211" s="45" t="s">
        <v>9</v>
      </c>
      <c r="I211" s="45" t="s">
        <v>9</v>
      </c>
      <c r="J211" s="45" t="s">
        <v>9</v>
      </c>
      <c r="K211" s="45" t="s">
        <v>9</v>
      </c>
      <c r="L211" s="25" t="str">
        <f t="shared" si="19"/>
        <v>De.Energia</v>
      </c>
      <c r="M211" s="25" t="str">
        <f t="shared" si="19"/>
        <v>Elementos.FM.Elétricos</v>
      </c>
      <c r="N211" s="25" t="str">
        <f t="shared" si="20"/>
        <v>Elemento Bomba Elétrica</v>
      </c>
      <c r="O211" s="25" t="str">
        <f t="shared" si="20"/>
        <v>Bomba de Sucção</v>
      </c>
      <c r="P211" s="21" t="s">
        <v>419</v>
      </c>
      <c r="Q211" s="21" t="s">
        <v>426</v>
      </c>
      <c r="R211" s="20" t="s">
        <v>441</v>
      </c>
      <c r="S211" s="55" t="s">
        <v>9</v>
      </c>
      <c r="T211" s="51" t="str">
        <f t="shared" si="22"/>
        <v>De Energia</v>
      </c>
      <c r="U211" s="51" t="str">
        <f t="shared" si="22"/>
        <v>Elementos FM Elétricos</v>
      </c>
      <c r="V211" s="51" t="str">
        <f t="shared" si="22"/>
        <v>Elemento Bomba Elétrica</v>
      </c>
      <c r="W211" s="21" t="s">
        <v>99</v>
      </c>
      <c r="X211" s="42" t="str">
        <f t="shared" si="21"/>
        <v>Key-INTEL-211</v>
      </c>
      <c r="Y211" s="21" t="s">
        <v>600</v>
      </c>
      <c r="Z211" s="52" t="s">
        <v>9</v>
      </c>
      <c r="AA211" s="20" t="s">
        <v>432</v>
      </c>
      <c r="AB211" s="52" t="s">
        <v>9</v>
      </c>
      <c r="AC211" s="21" t="s">
        <v>572</v>
      </c>
      <c r="AD211" s="52" t="s">
        <v>9</v>
      </c>
    </row>
    <row r="212" spans="1:30" ht="6.75" customHeight="1" x14ac:dyDescent="0.25">
      <c r="A212" s="41">
        <v>212</v>
      </c>
      <c r="B212" s="1" t="s">
        <v>594</v>
      </c>
      <c r="C212" s="1" t="s">
        <v>1365</v>
      </c>
      <c r="D212" s="1" t="s">
        <v>1522</v>
      </c>
      <c r="E212" s="1" t="s">
        <v>1703</v>
      </c>
      <c r="F212" s="1" t="s">
        <v>415</v>
      </c>
      <c r="G212" s="45" t="s">
        <v>9</v>
      </c>
      <c r="H212" s="45" t="s">
        <v>9</v>
      </c>
      <c r="I212" s="45" t="s">
        <v>9</v>
      </c>
      <c r="J212" s="45" t="s">
        <v>9</v>
      </c>
      <c r="K212" s="45" t="s">
        <v>9</v>
      </c>
      <c r="L212" s="25" t="str">
        <f t="shared" si="19"/>
        <v>De.Energia</v>
      </c>
      <c r="M212" s="25" t="str">
        <f t="shared" si="19"/>
        <v>Elementos.FM.Elétricos</v>
      </c>
      <c r="N212" s="25" t="str">
        <f t="shared" si="20"/>
        <v>Elemento Bomba Elétrica</v>
      </c>
      <c r="O212" s="25" t="str">
        <f t="shared" si="20"/>
        <v>Bomba de Turbina Vertical</v>
      </c>
      <c r="P212" s="21" t="s">
        <v>423</v>
      </c>
      <c r="Q212" s="21" t="s">
        <v>423</v>
      </c>
      <c r="R212" s="20" t="s">
        <v>446</v>
      </c>
      <c r="S212" s="55" t="s">
        <v>9</v>
      </c>
      <c r="T212" s="51" t="str">
        <f t="shared" si="22"/>
        <v>De Energia</v>
      </c>
      <c r="U212" s="51" t="str">
        <f t="shared" si="22"/>
        <v>Elementos FM Elétricos</v>
      </c>
      <c r="V212" s="51" t="str">
        <f t="shared" si="22"/>
        <v>Elemento Bomba Elétrica</v>
      </c>
      <c r="W212" s="21" t="s">
        <v>99</v>
      </c>
      <c r="X212" s="42" t="str">
        <f t="shared" si="21"/>
        <v>Key-INTEL-212</v>
      </c>
      <c r="Y212" s="21" t="s">
        <v>600</v>
      </c>
      <c r="Z212" s="52" t="s">
        <v>9</v>
      </c>
      <c r="AA212" s="20" t="s">
        <v>438</v>
      </c>
      <c r="AB212" s="52" t="s">
        <v>9</v>
      </c>
      <c r="AC212" s="21" t="s">
        <v>572</v>
      </c>
      <c r="AD212" s="52" t="s">
        <v>9</v>
      </c>
    </row>
    <row r="213" spans="1:30" ht="6.75" customHeight="1" x14ac:dyDescent="0.25">
      <c r="A213" s="41">
        <v>213</v>
      </c>
      <c r="B213" s="1" t="s">
        <v>594</v>
      </c>
      <c r="C213" s="1" t="s">
        <v>1365</v>
      </c>
      <c r="D213" s="1" t="s">
        <v>1522</v>
      </c>
      <c r="E213" s="1" t="s">
        <v>1703</v>
      </c>
      <c r="F213" s="1" t="s">
        <v>412</v>
      </c>
      <c r="G213" s="45" t="s">
        <v>9</v>
      </c>
      <c r="H213" s="45" t="s">
        <v>9</v>
      </c>
      <c r="I213" s="45" t="s">
        <v>9</v>
      </c>
      <c r="J213" s="45" t="s">
        <v>9</v>
      </c>
      <c r="K213" s="45" t="s">
        <v>9</v>
      </c>
      <c r="L213" s="25" t="str">
        <f t="shared" si="19"/>
        <v>De.Energia</v>
      </c>
      <c r="M213" s="25" t="str">
        <f t="shared" si="19"/>
        <v>Elementos.FM.Elétricos</v>
      </c>
      <c r="N213" s="25" t="str">
        <f t="shared" si="20"/>
        <v>Elemento Bomba Elétrica</v>
      </c>
      <c r="O213" s="25" t="str">
        <f t="shared" si="20"/>
        <v>Bomba Submersível</v>
      </c>
      <c r="P213" s="21" t="s">
        <v>420</v>
      </c>
      <c r="Q213" s="21" t="s">
        <v>428</v>
      </c>
      <c r="R213" s="20" t="s">
        <v>443</v>
      </c>
      <c r="S213" s="55" t="s">
        <v>9</v>
      </c>
      <c r="T213" s="51" t="str">
        <f t="shared" si="22"/>
        <v>De Energia</v>
      </c>
      <c r="U213" s="51" t="str">
        <f t="shared" si="22"/>
        <v>Elementos FM Elétricos</v>
      </c>
      <c r="V213" s="51" t="str">
        <f t="shared" si="22"/>
        <v>Elemento Bomba Elétrica</v>
      </c>
      <c r="W213" s="21" t="s">
        <v>99</v>
      </c>
      <c r="X213" s="42" t="str">
        <f t="shared" si="21"/>
        <v>Key-INTEL-213</v>
      </c>
      <c r="Y213" s="21" t="s">
        <v>600</v>
      </c>
      <c r="Z213" s="52" t="s">
        <v>9</v>
      </c>
      <c r="AA213" s="20" t="s">
        <v>436</v>
      </c>
      <c r="AB213" s="52" t="s">
        <v>9</v>
      </c>
      <c r="AC213" s="21" t="s">
        <v>572</v>
      </c>
      <c r="AD213" s="52" t="s">
        <v>9</v>
      </c>
    </row>
    <row r="214" spans="1:30" ht="6.75" customHeight="1" x14ac:dyDescent="0.25">
      <c r="A214" s="41">
        <v>214</v>
      </c>
      <c r="B214" s="1" t="s">
        <v>594</v>
      </c>
      <c r="C214" s="1" t="s">
        <v>1365</v>
      </c>
      <c r="D214" s="1" t="s">
        <v>1522</v>
      </c>
      <c r="E214" s="1" t="s">
        <v>1703</v>
      </c>
      <c r="F214" s="1" t="s">
        <v>416</v>
      </c>
      <c r="G214" s="45" t="s">
        <v>9</v>
      </c>
      <c r="H214" s="45" t="s">
        <v>9</v>
      </c>
      <c r="I214" s="45" t="s">
        <v>9</v>
      </c>
      <c r="J214" s="45" t="s">
        <v>9</v>
      </c>
      <c r="K214" s="45" t="s">
        <v>9</v>
      </c>
      <c r="L214" s="25" t="str">
        <f t="shared" si="19"/>
        <v>De.Energia</v>
      </c>
      <c r="M214" s="25" t="str">
        <f t="shared" si="19"/>
        <v>Elementos.FM.Elétricos</v>
      </c>
      <c r="N214" s="25" t="str">
        <f t="shared" si="20"/>
        <v>Elemento Bomba Elétrica</v>
      </c>
      <c r="O214" s="25" t="str">
        <f t="shared" si="20"/>
        <v>Bomba Vertical Alinhada</v>
      </c>
      <c r="P214" s="21" t="s">
        <v>422</v>
      </c>
      <c r="Q214" s="21" t="s">
        <v>430</v>
      </c>
      <c r="R214" s="20" t="s">
        <v>445</v>
      </c>
      <c r="S214" s="55" t="s">
        <v>9</v>
      </c>
      <c r="T214" s="51" t="str">
        <f t="shared" si="22"/>
        <v>De Energia</v>
      </c>
      <c r="U214" s="51" t="str">
        <f t="shared" si="22"/>
        <v>Elementos FM Elétricos</v>
      </c>
      <c r="V214" s="51" t="str">
        <f t="shared" si="22"/>
        <v>Elemento Bomba Elétrica</v>
      </c>
      <c r="W214" s="21" t="s">
        <v>99</v>
      </c>
      <c r="X214" s="42" t="str">
        <f t="shared" si="21"/>
        <v>Key-INTEL-214</v>
      </c>
      <c r="Y214" s="21" t="s">
        <v>600</v>
      </c>
      <c r="Z214" s="52" t="s">
        <v>9</v>
      </c>
      <c r="AA214" s="20" t="s">
        <v>437</v>
      </c>
      <c r="AB214" s="52" t="s">
        <v>9</v>
      </c>
      <c r="AC214" s="21" t="s">
        <v>572</v>
      </c>
      <c r="AD214" s="52" t="s">
        <v>9</v>
      </c>
    </row>
    <row r="215" spans="1:30" ht="6.75" customHeight="1" x14ac:dyDescent="0.25">
      <c r="A215" s="41">
        <v>215</v>
      </c>
      <c r="B215" s="1" t="s">
        <v>594</v>
      </c>
      <c r="C215" s="1" t="s">
        <v>1365</v>
      </c>
      <c r="D215" s="1" t="s">
        <v>1522</v>
      </c>
      <c r="E215" s="1" t="s">
        <v>1705</v>
      </c>
      <c r="F215" s="39" t="s">
        <v>1402</v>
      </c>
      <c r="G215" s="45" t="s">
        <v>9</v>
      </c>
      <c r="H215" s="45" t="s">
        <v>9</v>
      </c>
      <c r="I215" s="45" t="s">
        <v>9</v>
      </c>
      <c r="J215" s="45" t="s">
        <v>9</v>
      </c>
      <c r="K215" s="45" t="s">
        <v>9</v>
      </c>
      <c r="L215" s="25" t="str">
        <f t="shared" si="19"/>
        <v>De.Energia</v>
      </c>
      <c r="M215" s="25" t="str">
        <f t="shared" si="19"/>
        <v>Elementos.FM.Elétricos</v>
      </c>
      <c r="N215" s="25" t="str">
        <f t="shared" si="20"/>
        <v>Elemento Elevador</v>
      </c>
      <c r="O215" s="25" t="str">
        <f t="shared" si="20"/>
        <v>Elevador Hidráulico</v>
      </c>
      <c r="P215" s="21" t="s">
        <v>1403</v>
      </c>
      <c r="Q215" s="21" t="s">
        <v>1404</v>
      </c>
      <c r="R215" s="21" t="s">
        <v>1405</v>
      </c>
      <c r="S215" s="55" t="s">
        <v>9</v>
      </c>
      <c r="T215" s="51" t="str">
        <f t="shared" si="22"/>
        <v>De Energia</v>
      </c>
      <c r="U215" s="51" t="str">
        <f t="shared" si="22"/>
        <v>Elementos FM Elétricos</v>
      </c>
      <c r="V215" s="51" t="str">
        <f t="shared" si="22"/>
        <v>Elemento Elevador</v>
      </c>
      <c r="W215" s="21" t="s">
        <v>99</v>
      </c>
      <c r="X215" s="42" t="str">
        <f t="shared" si="21"/>
        <v>Key-INTEL-215</v>
      </c>
      <c r="Y215" s="21" t="s">
        <v>1804</v>
      </c>
      <c r="Z215" s="52" t="s">
        <v>9</v>
      </c>
      <c r="AA215" s="20" t="s">
        <v>1406</v>
      </c>
      <c r="AB215" s="52" t="s">
        <v>9</v>
      </c>
      <c r="AC215" s="21" t="s">
        <v>1407</v>
      </c>
      <c r="AD215" s="52" t="s">
        <v>9</v>
      </c>
    </row>
    <row r="216" spans="1:30" ht="6.75" customHeight="1" x14ac:dyDescent="0.25">
      <c r="A216" s="41">
        <v>216</v>
      </c>
      <c r="B216" s="1" t="s">
        <v>594</v>
      </c>
      <c r="C216" s="1" t="s">
        <v>1365</v>
      </c>
      <c r="D216" s="1" t="s">
        <v>1522</v>
      </c>
      <c r="E216" s="1" t="s">
        <v>1705</v>
      </c>
      <c r="F216" s="39" t="s">
        <v>1408</v>
      </c>
      <c r="G216" s="45" t="s">
        <v>9</v>
      </c>
      <c r="H216" s="45" t="s">
        <v>9</v>
      </c>
      <c r="I216" s="45" t="s">
        <v>9</v>
      </c>
      <c r="J216" s="45" t="s">
        <v>9</v>
      </c>
      <c r="K216" s="45" t="s">
        <v>9</v>
      </c>
      <c r="L216" s="25" t="str">
        <f t="shared" si="19"/>
        <v>De.Energia</v>
      </c>
      <c r="M216" s="25" t="str">
        <f t="shared" si="19"/>
        <v>Elementos.FM.Elétricos</v>
      </c>
      <c r="N216" s="25" t="str">
        <f t="shared" si="20"/>
        <v>Elemento Elevador</v>
      </c>
      <c r="O216" s="25" t="str">
        <f t="shared" si="20"/>
        <v>Elevador MR</v>
      </c>
      <c r="P216" s="21" t="s">
        <v>1409</v>
      </c>
      <c r="Q216" s="21" t="s">
        <v>1410</v>
      </c>
      <c r="R216" s="21" t="s">
        <v>1411</v>
      </c>
      <c r="S216" s="55" t="s">
        <v>9</v>
      </c>
      <c r="T216" s="51" t="str">
        <f t="shared" si="22"/>
        <v>De Energia</v>
      </c>
      <c r="U216" s="51" t="str">
        <f t="shared" si="22"/>
        <v>Elementos FM Elétricos</v>
      </c>
      <c r="V216" s="51" t="str">
        <f t="shared" si="22"/>
        <v>Elemento Elevador</v>
      </c>
      <c r="W216" s="21" t="s">
        <v>99</v>
      </c>
      <c r="X216" s="42" t="str">
        <f t="shared" si="21"/>
        <v>Key-INTEL-216</v>
      </c>
      <c r="Y216" s="21" t="s">
        <v>1804</v>
      </c>
      <c r="Z216" s="52" t="s">
        <v>9</v>
      </c>
      <c r="AA216" s="20" t="s">
        <v>1406</v>
      </c>
      <c r="AB216" s="52" t="s">
        <v>9</v>
      </c>
      <c r="AC216" s="21" t="s">
        <v>1407</v>
      </c>
      <c r="AD216" s="52" t="s">
        <v>9</v>
      </c>
    </row>
    <row r="217" spans="1:30" ht="6.75" customHeight="1" x14ac:dyDescent="0.25">
      <c r="A217" s="41">
        <v>217</v>
      </c>
      <c r="B217" s="1" t="s">
        <v>594</v>
      </c>
      <c r="C217" s="1" t="s">
        <v>1365</v>
      </c>
      <c r="D217" s="1" t="s">
        <v>1522</v>
      </c>
      <c r="E217" s="1" t="s">
        <v>1705</v>
      </c>
      <c r="F217" s="39" t="s">
        <v>1412</v>
      </c>
      <c r="G217" s="45" t="s">
        <v>9</v>
      </c>
      <c r="H217" s="45" t="s">
        <v>9</v>
      </c>
      <c r="I217" s="45" t="s">
        <v>9</v>
      </c>
      <c r="J217" s="45" t="s">
        <v>9</v>
      </c>
      <c r="K217" s="45" t="s">
        <v>9</v>
      </c>
      <c r="L217" s="25" t="str">
        <f t="shared" si="19"/>
        <v>De.Energia</v>
      </c>
      <c r="M217" s="25" t="str">
        <f t="shared" si="19"/>
        <v>Elementos.FM.Elétricos</v>
      </c>
      <c r="N217" s="25" t="str">
        <f t="shared" si="20"/>
        <v>Elemento Elevador</v>
      </c>
      <c r="O217" s="25" t="str">
        <f t="shared" si="20"/>
        <v>Elevador MRL</v>
      </c>
      <c r="P217" s="21" t="s">
        <v>1413</v>
      </c>
      <c r="Q217" s="21" t="s">
        <v>1414</v>
      </c>
      <c r="R217" s="21" t="s">
        <v>1415</v>
      </c>
      <c r="S217" s="55" t="s">
        <v>9</v>
      </c>
      <c r="T217" s="51" t="str">
        <f t="shared" si="22"/>
        <v>De Energia</v>
      </c>
      <c r="U217" s="51" t="str">
        <f t="shared" si="22"/>
        <v>Elementos FM Elétricos</v>
      </c>
      <c r="V217" s="51" t="str">
        <f t="shared" si="22"/>
        <v>Elemento Elevador</v>
      </c>
      <c r="W217" s="21" t="s">
        <v>99</v>
      </c>
      <c r="X217" s="42" t="str">
        <f t="shared" si="21"/>
        <v>Key-INTEL-217</v>
      </c>
      <c r="Y217" s="21" t="s">
        <v>1804</v>
      </c>
      <c r="Z217" s="52" t="s">
        <v>9</v>
      </c>
      <c r="AA217" s="20" t="s">
        <v>1406</v>
      </c>
      <c r="AB217" s="52" t="s">
        <v>9</v>
      </c>
      <c r="AC217" s="21" t="s">
        <v>1407</v>
      </c>
      <c r="AD217" s="52" t="s">
        <v>9</v>
      </c>
    </row>
    <row r="218" spans="1:30" ht="6.75" customHeight="1" x14ac:dyDescent="0.25">
      <c r="A218" s="41">
        <v>218</v>
      </c>
      <c r="B218" s="1" t="s">
        <v>594</v>
      </c>
      <c r="C218" s="1" t="s">
        <v>1365</v>
      </c>
      <c r="D218" s="1" t="s">
        <v>1522</v>
      </c>
      <c r="E218" s="1" t="s">
        <v>1705</v>
      </c>
      <c r="F218" s="39" t="s">
        <v>1416</v>
      </c>
      <c r="G218" s="45" t="s">
        <v>9</v>
      </c>
      <c r="H218" s="45" t="s">
        <v>9</v>
      </c>
      <c r="I218" s="45" t="s">
        <v>9</v>
      </c>
      <c r="J218" s="45" t="s">
        <v>9</v>
      </c>
      <c r="K218" s="45" t="s">
        <v>9</v>
      </c>
      <c r="L218" s="25" t="str">
        <f t="shared" si="19"/>
        <v>De.Energia</v>
      </c>
      <c r="M218" s="25" t="str">
        <f t="shared" si="19"/>
        <v>Elementos.FM.Elétricos</v>
      </c>
      <c r="N218" s="25" t="str">
        <f t="shared" si="20"/>
        <v>Elemento Elevador</v>
      </c>
      <c r="O218" s="25" t="str">
        <f t="shared" si="20"/>
        <v>Plataforma</v>
      </c>
      <c r="P218" s="21" t="s">
        <v>1417</v>
      </c>
      <c r="Q218" s="21" t="s">
        <v>1416</v>
      </c>
      <c r="R218" s="21" t="s">
        <v>1418</v>
      </c>
      <c r="S218" s="55" t="s">
        <v>9</v>
      </c>
      <c r="T218" s="51" t="str">
        <f t="shared" si="22"/>
        <v>De Energia</v>
      </c>
      <c r="U218" s="51" t="str">
        <f t="shared" si="22"/>
        <v>Elementos FM Elétricos</v>
      </c>
      <c r="V218" s="51" t="str">
        <f t="shared" si="22"/>
        <v>Elemento Elevador</v>
      </c>
      <c r="W218" s="21" t="s">
        <v>99</v>
      </c>
      <c r="X218" s="42" t="str">
        <f t="shared" si="21"/>
        <v>Key-INTEL-218</v>
      </c>
      <c r="Y218" s="21" t="s">
        <v>1804</v>
      </c>
      <c r="Z218" s="52" t="s">
        <v>9</v>
      </c>
      <c r="AA218" s="20" t="s">
        <v>1406</v>
      </c>
      <c r="AB218" s="52" t="s">
        <v>9</v>
      </c>
      <c r="AC218" s="21" t="s">
        <v>1419</v>
      </c>
      <c r="AD218" s="52" t="s">
        <v>9</v>
      </c>
    </row>
    <row r="219" spans="1:30" ht="6.75" customHeight="1" x14ac:dyDescent="0.25">
      <c r="A219" s="41">
        <v>219</v>
      </c>
      <c r="B219" s="1" t="s">
        <v>594</v>
      </c>
      <c r="C219" s="1" t="s">
        <v>1365</v>
      </c>
      <c r="D219" s="1" t="s">
        <v>1522</v>
      </c>
      <c r="E219" s="1" t="s">
        <v>1705</v>
      </c>
      <c r="F219" s="39" t="s">
        <v>1420</v>
      </c>
      <c r="G219" s="47" t="s">
        <v>9</v>
      </c>
      <c r="H219" s="45" t="s">
        <v>9</v>
      </c>
      <c r="I219" s="45" t="s">
        <v>9</v>
      </c>
      <c r="J219" s="45" t="s">
        <v>9</v>
      </c>
      <c r="K219" s="45" t="s">
        <v>9</v>
      </c>
      <c r="L219" s="25" t="str">
        <f t="shared" si="19"/>
        <v>De.Energia</v>
      </c>
      <c r="M219" s="25" t="str">
        <f t="shared" si="19"/>
        <v>Elementos.FM.Elétricos</v>
      </c>
      <c r="N219" s="25" t="str">
        <f t="shared" si="20"/>
        <v>Elemento Elevador</v>
      </c>
      <c r="O219" s="25" t="str">
        <f t="shared" si="20"/>
        <v>Plataforma Articulada</v>
      </c>
      <c r="P219" s="21" t="s">
        <v>1421</v>
      </c>
      <c r="Q219" s="21" t="s">
        <v>1422</v>
      </c>
      <c r="R219" s="21" t="s">
        <v>1423</v>
      </c>
      <c r="S219" s="55" t="s">
        <v>9</v>
      </c>
      <c r="T219" s="51" t="str">
        <f t="shared" si="22"/>
        <v>De Energia</v>
      </c>
      <c r="U219" s="51" t="str">
        <f t="shared" si="22"/>
        <v>Elementos FM Elétricos</v>
      </c>
      <c r="V219" s="51" t="str">
        <f t="shared" si="22"/>
        <v>Elemento Elevador</v>
      </c>
      <c r="W219" s="21" t="s">
        <v>99</v>
      </c>
      <c r="X219" s="42" t="str">
        <f t="shared" si="21"/>
        <v>Key-INTEL-219</v>
      </c>
      <c r="Y219" s="21" t="s">
        <v>1804</v>
      </c>
      <c r="Z219" s="52" t="s">
        <v>9</v>
      </c>
      <c r="AA219" s="20" t="s">
        <v>1406</v>
      </c>
      <c r="AB219" s="52" t="s">
        <v>9</v>
      </c>
      <c r="AC219" s="21" t="s">
        <v>1419</v>
      </c>
      <c r="AD219" s="52" t="s">
        <v>9</v>
      </c>
    </row>
    <row r="220" spans="1:30" ht="6.75" customHeight="1" x14ac:dyDescent="0.25">
      <c r="A220" s="41">
        <v>220</v>
      </c>
      <c r="B220" s="1" t="s">
        <v>594</v>
      </c>
      <c r="C220" s="1" t="s">
        <v>1365</v>
      </c>
      <c r="D220" s="1" t="s">
        <v>1522</v>
      </c>
      <c r="E220" s="1" t="s">
        <v>1705</v>
      </c>
      <c r="F220" s="39" t="s">
        <v>1424</v>
      </c>
      <c r="G220" s="45" t="s">
        <v>9</v>
      </c>
      <c r="H220" s="45" t="s">
        <v>9</v>
      </c>
      <c r="I220" s="45" t="s">
        <v>9</v>
      </c>
      <c r="J220" s="45" t="s">
        <v>9</v>
      </c>
      <c r="K220" s="45" t="s">
        <v>9</v>
      </c>
      <c r="L220" s="25" t="str">
        <f t="shared" si="19"/>
        <v>De.Energia</v>
      </c>
      <c r="M220" s="25" t="str">
        <f t="shared" si="19"/>
        <v>Elementos.FM.Elétricos</v>
      </c>
      <c r="N220" s="25" t="str">
        <f t="shared" si="20"/>
        <v>Elemento Elevador</v>
      </c>
      <c r="O220" s="25" t="str">
        <f t="shared" si="20"/>
        <v>Plataforma Cesto</v>
      </c>
      <c r="P220" s="21" t="s">
        <v>1425</v>
      </c>
      <c r="Q220" s="21" t="s">
        <v>1426</v>
      </c>
      <c r="R220" s="21" t="s">
        <v>1427</v>
      </c>
      <c r="S220" s="55" t="s">
        <v>9</v>
      </c>
      <c r="T220" s="51" t="str">
        <f t="shared" si="22"/>
        <v>De Energia</v>
      </c>
      <c r="U220" s="51" t="str">
        <f t="shared" si="22"/>
        <v>Elementos FM Elétricos</v>
      </c>
      <c r="V220" s="51" t="str">
        <f t="shared" si="22"/>
        <v>Elemento Elevador</v>
      </c>
      <c r="W220" s="21" t="s">
        <v>99</v>
      </c>
      <c r="X220" s="42" t="str">
        <f t="shared" si="21"/>
        <v>Key-INTEL-220</v>
      </c>
      <c r="Y220" s="21" t="s">
        <v>1804</v>
      </c>
      <c r="Z220" s="52" t="s">
        <v>9</v>
      </c>
      <c r="AA220" s="20" t="s">
        <v>1406</v>
      </c>
      <c r="AB220" s="52" t="s">
        <v>9</v>
      </c>
      <c r="AC220" s="21" t="s">
        <v>1419</v>
      </c>
      <c r="AD220" s="52" t="s">
        <v>9</v>
      </c>
    </row>
    <row r="221" spans="1:30" ht="6.75" customHeight="1" x14ac:dyDescent="0.25">
      <c r="A221" s="41">
        <v>221</v>
      </c>
      <c r="B221" s="1" t="s">
        <v>594</v>
      </c>
      <c r="C221" s="1" t="s">
        <v>1365</v>
      </c>
      <c r="D221" s="1" t="s">
        <v>1523</v>
      </c>
      <c r="E221" s="1" t="s">
        <v>1706</v>
      </c>
      <c r="F221" s="39" t="s">
        <v>1524</v>
      </c>
      <c r="G221" s="45" t="s">
        <v>9</v>
      </c>
      <c r="H221" s="45" t="s">
        <v>9</v>
      </c>
      <c r="I221" s="45" t="s">
        <v>9</v>
      </c>
      <c r="J221" s="45" t="s">
        <v>9</v>
      </c>
      <c r="K221" s="45" t="s">
        <v>9</v>
      </c>
      <c r="L221" s="25" t="str">
        <f t="shared" si="19"/>
        <v>De.Energia</v>
      </c>
      <c r="M221" s="25" t="str">
        <f t="shared" si="19"/>
        <v>Elementos.FM.Combustão</v>
      </c>
      <c r="N221" s="25" t="str">
        <f t="shared" si="20"/>
        <v>Elemento Máquina Combustão</v>
      </c>
      <c r="O221" s="25" t="str">
        <f t="shared" si="20"/>
        <v>Máquina de Combustão</v>
      </c>
      <c r="P221" s="21" t="s">
        <v>1388</v>
      </c>
      <c r="Q221" s="21" t="s">
        <v>1389</v>
      </c>
      <c r="R221" s="21" t="s">
        <v>1390</v>
      </c>
      <c r="S221" s="55" t="s">
        <v>9</v>
      </c>
      <c r="T221" s="51" t="str">
        <f t="shared" si="22"/>
        <v>De Energia</v>
      </c>
      <c r="U221" s="51" t="str">
        <f t="shared" si="22"/>
        <v>Elementos FM Combustão</v>
      </c>
      <c r="V221" s="51" t="str">
        <f t="shared" si="22"/>
        <v>Elemento Máquina Combustão</v>
      </c>
      <c r="W221" s="21" t="s">
        <v>99</v>
      </c>
      <c r="X221" s="42" t="str">
        <f t="shared" si="21"/>
        <v>Key-INTEL-221</v>
      </c>
      <c r="Y221" s="21" t="s">
        <v>1805</v>
      </c>
      <c r="Z221" s="52" t="s">
        <v>9</v>
      </c>
      <c r="AA221" s="20" t="s">
        <v>1391</v>
      </c>
      <c r="AB221" s="52" t="s">
        <v>9</v>
      </c>
      <c r="AC221" s="21" t="s">
        <v>1142</v>
      </c>
      <c r="AD221" s="52" t="s">
        <v>9</v>
      </c>
    </row>
    <row r="222" spans="1:30" ht="6.75" customHeight="1" x14ac:dyDescent="0.25">
      <c r="A222" s="41">
        <v>222</v>
      </c>
      <c r="B222" s="1" t="s">
        <v>594</v>
      </c>
      <c r="C222" s="1" t="s">
        <v>1365</v>
      </c>
      <c r="D222" s="1" t="s">
        <v>1523</v>
      </c>
      <c r="E222" s="1" t="s">
        <v>1706</v>
      </c>
      <c r="F222" s="39" t="s">
        <v>1392</v>
      </c>
      <c r="G222" s="45" t="s">
        <v>9</v>
      </c>
      <c r="H222" s="45" t="s">
        <v>9</v>
      </c>
      <c r="I222" s="45" t="s">
        <v>9</v>
      </c>
      <c r="J222" s="45" t="s">
        <v>9</v>
      </c>
      <c r="K222" s="45" t="s">
        <v>9</v>
      </c>
      <c r="L222" s="25" t="str">
        <f t="shared" si="19"/>
        <v>De.Energia</v>
      </c>
      <c r="M222" s="25" t="str">
        <f t="shared" si="19"/>
        <v>Elementos.FM.Combustão</v>
      </c>
      <c r="N222" s="25" t="str">
        <f t="shared" si="20"/>
        <v>Elemento Máquina Combustão</v>
      </c>
      <c r="O222" s="25" t="str">
        <f t="shared" si="20"/>
        <v>Máquina de Combustão Externa</v>
      </c>
      <c r="P222" s="21" t="s">
        <v>1393</v>
      </c>
      <c r="Q222" s="21" t="s">
        <v>1394</v>
      </c>
      <c r="R222" s="21" t="s">
        <v>1395</v>
      </c>
      <c r="S222" s="55" t="s">
        <v>9</v>
      </c>
      <c r="T222" s="51" t="str">
        <f t="shared" si="22"/>
        <v>De Energia</v>
      </c>
      <c r="U222" s="51" t="str">
        <f t="shared" si="22"/>
        <v>Elementos FM Combustão</v>
      </c>
      <c r="V222" s="51" t="str">
        <f t="shared" si="22"/>
        <v>Elemento Máquina Combustão</v>
      </c>
      <c r="W222" s="21" t="s">
        <v>99</v>
      </c>
      <c r="X222" s="42" t="str">
        <f t="shared" si="21"/>
        <v>Key-INTEL-222</v>
      </c>
      <c r="Y222" s="21" t="s">
        <v>1805</v>
      </c>
      <c r="Z222" s="52" t="s">
        <v>9</v>
      </c>
      <c r="AA222" s="20" t="s">
        <v>1396</v>
      </c>
      <c r="AB222" s="52" t="s">
        <v>9</v>
      </c>
      <c r="AC222" s="21" t="s">
        <v>1142</v>
      </c>
      <c r="AD222" s="52" t="s">
        <v>9</v>
      </c>
    </row>
    <row r="223" spans="1:30" ht="6.75" customHeight="1" x14ac:dyDescent="0.25">
      <c r="A223" s="41">
        <v>223</v>
      </c>
      <c r="B223" s="1" t="s">
        <v>594</v>
      </c>
      <c r="C223" s="1" t="s">
        <v>1365</v>
      </c>
      <c r="D223" s="1" t="s">
        <v>1523</v>
      </c>
      <c r="E223" s="1" t="s">
        <v>1706</v>
      </c>
      <c r="F223" s="39" t="s">
        <v>1397</v>
      </c>
      <c r="G223" s="45" t="s">
        <v>9</v>
      </c>
      <c r="H223" s="45" t="s">
        <v>9</v>
      </c>
      <c r="I223" s="45" t="s">
        <v>9</v>
      </c>
      <c r="J223" s="45" t="s">
        <v>9</v>
      </c>
      <c r="K223" s="45" t="s">
        <v>9</v>
      </c>
      <c r="L223" s="25" t="str">
        <f t="shared" si="19"/>
        <v>De.Energia</v>
      </c>
      <c r="M223" s="25" t="str">
        <f t="shared" si="19"/>
        <v>Elementos.FM.Combustão</v>
      </c>
      <c r="N223" s="25" t="str">
        <f t="shared" si="20"/>
        <v>Elemento Máquina Combustão</v>
      </c>
      <c r="O223" s="25" t="str">
        <f t="shared" si="20"/>
        <v>Máquina de Combustão Interna</v>
      </c>
      <c r="P223" s="21" t="s">
        <v>1398</v>
      </c>
      <c r="Q223" s="21" t="s">
        <v>1399</v>
      </c>
      <c r="R223" s="21" t="s">
        <v>1400</v>
      </c>
      <c r="S223" s="55" t="s">
        <v>9</v>
      </c>
      <c r="T223" s="51" t="str">
        <f t="shared" si="22"/>
        <v>De Energia</v>
      </c>
      <c r="U223" s="51" t="str">
        <f t="shared" si="22"/>
        <v>Elementos FM Combustão</v>
      </c>
      <c r="V223" s="51" t="str">
        <f t="shared" si="22"/>
        <v>Elemento Máquina Combustão</v>
      </c>
      <c r="W223" s="21" t="s">
        <v>99</v>
      </c>
      <c r="X223" s="42" t="str">
        <f t="shared" si="21"/>
        <v>Key-INTEL-223</v>
      </c>
      <c r="Y223" s="21" t="s">
        <v>1805</v>
      </c>
      <c r="Z223" s="52" t="s">
        <v>9</v>
      </c>
      <c r="AA223" s="20" t="s">
        <v>1401</v>
      </c>
      <c r="AB223" s="52" t="s">
        <v>9</v>
      </c>
      <c r="AC223" s="21" t="s">
        <v>1142</v>
      </c>
      <c r="AD223" s="52" t="s">
        <v>9</v>
      </c>
    </row>
    <row r="224" spans="1:30" ht="6.75" customHeight="1" x14ac:dyDescent="0.25">
      <c r="A224" s="41">
        <v>224</v>
      </c>
      <c r="B224" s="1" t="s">
        <v>594</v>
      </c>
      <c r="C224" s="1" t="s">
        <v>1365</v>
      </c>
      <c r="D224" s="1" t="s">
        <v>1523</v>
      </c>
      <c r="E224" s="1" t="s">
        <v>1707</v>
      </c>
      <c r="F224" s="39" t="s">
        <v>1367</v>
      </c>
      <c r="G224" s="45" t="s">
        <v>9</v>
      </c>
      <c r="H224" s="45" t="s">
        <v>9</v>
      </c>
      <c r="I224" s="45" t="s">
        <v>9</v>
      </c>
      <c r="J224" s="45" t="s">
        <v>9</v>
      </c>
      <c r="K224" s="45" t="s">
        <v>9</v>
      </c>
      <c r="L224" s="25" t="str">
        <f t="shared" si="19"/>
        <v>De.Energia</v>
      </c>
      <c r="M224" s="25" t="str">
        <f t="shared" si="19"/>
        <v>Elementos.FM.Combustão</v>
      </c>
      <c r="N224" s="25" t="str">
        <f t="shared" si="20"/>
        <v>Elemento Motor Combustão</v>
      </c>
      <c r="O224" s="25" t="str">
        <f t="shared" si="20"/>
        <v>Motor de Combustão</v>
      </c>
      <c r="P224" s="21" t="s">
        <v>1368</v>
      </c>
      <c r="Q224" s="21" t="s">
        <v>1369</v>
      </c>
      <c r="R224" s="21" t="s">
        <v>1370</v>
      </c>
      <c r="S224" s="55" t="s">
        <v>9</v>
      </c>
      <c r="T224" s="51" t="str">
        <f t="shared" si="22"/>
        <v>De Energia</v>
      </c>
      <c r="U224" s="51" t="str">
        <f t="shared" si="22"/>
        <v>Elementos FM Combustão</v>
      </c>
      <c r="V224" s="51" t="str">
        <f t="shared" si="22"/>
        <v>Elemento Motor Combustão</v>
      </c>
      <c r="W224" s="21" t="s">
        <v>99</v>
      </c>
      <c r="X224" s="42" t="str">
        <f t="shared" si="21"/>
        <v>Key-INTEL-224</v>
      </c>
      <c r="Y224" s="21" t="s">
        <v>1805</v>
      </c>
      <c r="Z224" s="52" t="s">
        <v>9</v>
      </c>
      <c r="AA224" s="20" t="s">
        <v>1372</v>
      </c>
      <c r="AB224" s="52" t="s">
        <v>9</v>
      </c>
      <c r="AC224" s="21" t="s">
        <v>1142</v>
      </c>
      <c r="AD224" s="52" t="s">
        <v>9</v>
      </c>
    </row>
    <row r="225" spans="1:30" ht="6.75" customHeight="1" x14ac:dyDescent="0.25">
      <c r="A225" s="41">
        <v>225</v>
      </c>
      <c r="B225" s="1" t="s">
        <v>594</v>
      </c>
      <c r="C225" s="1" t="s">
        <v>1365</v>
      </c>
      <c r="D225" s="1" t="s">
        <v>1523</v>
      </c>
      <c r="E225" s="1" t="s">
        <v>1707</v>
      </c>
      <c r="F225" s="39" t="s">
        <v>1373</v>
      </c>
      <c r="G225" s="45" t="s">
        <v>9</v>
      </c>
      <c r="H225" s="45" t="s">
        <v>9</v>
      </c>
      <c r="I225" s="45" t="s">
        <v>9</v>
      </c>
      <c r="J225" s="45" t="s">
        <v>9</v>
      </c>
      <c r="K225" s="45" t="s">
        <v>9</v>
      </c>
      <c r="L225" s="25" t="str">
        <f t="shared" si="19"/>
        <v>De.Energia</v>
      </c>
      <c r="M225" s="25" t="str">
        <f t="shared" si="19"/>
        <v>Elementos.FM.Combustão</v>
      </c>
      <c r="N225" s="25" t="str">
        <f t="shared" si="20"/>
        <v>Elemento Motor Combustão</v>
      </c>
      <c r="O225" s="25" t="str">
        <f t="shared" si="20"/>
        <v>Motor de Acoplamento</v>
      </c>
      <c r="P225" s="21" t="s">
        <v>1374</v>
      </c>
      <c r="Q225" s="21" t="s">
        <v>1375</v>
      </c>
      <c r="R225" s="21" t="s">
        <v>1376</v>
      </c>
      <c r="S225" s="55" t="s">
        <v>9</v>
      </c>
      <c r="T225" s="51" t="str">
        <f t="shared" si="22"/>
        <v>De Energia</v>
      </c>
      <c r="U225" s="51" t="str">
        <f t="shared" si="22"/>
        <v>Elementos FM Combustão</v>
      </c>
      <c r="V225" s="51" t="str">
        <f t="shared" si="22"/>
        <v>Elemento Motor Combustão</v>
      </c>
      <c r="W225" s="21" t="s">
        <v>99</v>
      </c>
      <c r="X225" s="42" t="str">
        <f t="shared" si="21"/>
        <v>Key-INTEL-225</v>
      </c>
      <c r="Y225" s="21" t="s">
        <v>1805</v>
      </c>
      <c r="Z225" s="52" t="s">
        <v>9</v>
      </c>
      <c r="AA225" s="20" t="s">
        <v>1377</v>
      </c>
      <c r="AB225" s="52" t="s">
        <v>9</v>
      </c>
      <c r="AC225" s="21" t="s">
        <v>1142</v>
      </c>
      <c r="AD225" s="52" t="s">
        <v>9</v>
      </c>
    </row>
    <row r="226" spans="1:30" ht="6.75" customHeight="1" x14ac:dyDescent="0.25">
      <c r="A226" s="41">
        <v>226</v>
      </c>
      <c r="B226" s="1" t="s">
        <v>594</v>
      </c>
      <c r="C226" s="1" t="s">
        <v>1365</v>
      </c>
      <c r="D226" s="1" t="s">
        <v>1523</v>
      </c>
      <c r="E226" s="1" t="s">
        <v>1707</v>
      </c>
      <c r="F226" s="39" t="s">
        <v>1378</v>
      </c>
      <c r="G226" s="45" t="s">
        <v>9</v>
      </c>
      <c r="H226" s="45" t="s">
        <v>9</v>
      </c>
      <c r="I226" s="45" t="s">
        <v>9</v>
      </c>
      <c r="J226" s="45" t="s">
        <v>9</v>
      </c>
      <c r="K226" s="45" t="s">
        <v>9</v>
      </c>
      <c r="L226" s="25" t="str">
        <f t="shared" si="19"/>
        <v>De.Energia</v>
      </c>
      <c r="M226" s="25" t="str">
        <f t="shared" si="19"/>
        <v>Elementos.FM.Combustão</v>
      </c>
      <c r="N226" s="25" t="str">
        <f t="shared" si="20"/>
        <v>Elemento Motor Combustão</v>
      </c>
      <c r="O226" s="25" t="str">
        <f t="shared" si="20"/>
        <v>Motor de Acionamento Correia</v>
      </c>
      <c r="P226" s="21" t="s">
        <v>1379</v>
      </c>
      <c r="Q226" s="21" t="s">
        <v>1380</v>
      </c>
      <c r="R226" s="21" t="s">
        <v>1381</v>
      </c>
      <c r="S226" s="55" t="s">
        <v>9</v>
      </c>
      <c r="T226" s="51" t="str">
        <f t="shared" si="22"/>
        <v>De Energia</v>
      </c>
      <c r="U226" s="51" t="str">
        <f t="shared" si="22"/>
        <v>Elementos FM Combustão</v>
      </c>
      <c r="V226" s="51" t="str">
        <f t="shared" si="22"/>
        <v>Elemento Motor Combustão</v>
      </c>
      <c r="W226" s="21" t="s">
        <v>99</v>
      </c>
      <c r="X226" s="42" t="str">
        <f t="shared" si="21"/>
        <v>Key-INTEL-226</v>
      </c>
      <c r="Y226" s="21" t="s">
        <v>1805</v>
      </c>
      <c r="Z226" s="52" t="s">
        <v>9</v>
      </c>
      <c r="AA226" s="20" t="s">
        <v>1382</v>
      </c>
      <c r="AB226" s="52" t="s">
        <v>9</v>
      </c>
      <c r="AC226" s="21" t="s">
        <v>1142</v>
      </c>
      <c r="AD226" s="52" t="s">
        <v>9</v>
      </c>
    </row>
    <row r="227" spans="1:30" ht="6.75" customHeight="1" x14ac:dyDescent="0.25">
      <c r="A227" s="41">
        <v>227</v>
      </c>
      <c r="B227" s="1" t="s">
        <v>594</v>
      </c>
      <c r="C227" s="1" t="s">
        <v>1365</v>
      </c>
      <c r="D227" s="1" t="s">
        <v>1523</v>
      </c>
      <c r="E227" s="1" t="s">
        <v>1707</v>
      </c>
      <c r="F227" s="39" t="s">
        <v>1383</v>
      </c>
      <c r="G227" s="45" t="s">
        <v>9</v>
      </c>
      <c r="H227" s="45" t="s">
        <v>9</v>
      </c>
      <c r="I227" s="45" t="s">
        <v>9</v>
      </c>
      <c r="J227" s="45" t="s">
        <v>9</v>
      </c>
      <c r="K227" s="45" t="s">
        <v>9</v>
      </c>
      <c r="L227" s="25" t="str">
        <f t="shared" si="19"/>
        <v>De.Energia</v>
      </c>
      <c r="M227" s="25" t="str">
        <f t="shared" si="19"/>
        <v>Elementos.FM.Combustão</v>
      </c>
      <c r="N227" s="25" t="str">
        <f t="shared" si="20"/>
        <v>Elemento Motor Combustão</v>
      </c>
      <c r="O227" s="25" t="str">
        <f t="shared" si="20"/>
        <v>Motor de Acionamento Direto</v>
      </c>
      <c r="P227" s="21" t="s">
        <v>1384</v>
      </c>
      <c r="Q227" s="21" t="s">
        <v>1385</v>
      </c>
      <c r="R227" s="21" t="s">
        <v>1386</v>
      </c>
      <c r="S227" s="55" t="s">
        <v>9</v>
      </c>
      <c r="T227" s="51" t="str">
        <f t="shared" si="22"/>
        <v>De Energia</v>
      </c>
      <c r="U227" s="51" t="str">
        <f t="shared" si="22"/>
        <v>Elementos FM Combustão</v>
      </c>
      <c r="V227" s="51" t="str">
        <f t="shared" si="22"/>
        <v>Elemento Motor Combustão</v>
      </c>
      <c r="W227" s="21" t="s">
        <v>99</v>
      </c>
      <c r="X227" s="42" t="str">
        <f t="shared" si="21"/>
        <v>Key-INTEL-227</v>
      </c>
      <c r="Y227" s="21" t="s">
        <v>1805</v>
      </c>
      <c r="Z227" s="52" t="s">
        <v>9</v>
      </c>
      <c r="AA227" s="20" t="s">
        <v>1387</v>
      </c>
      <c r="AB227" s="52" t="s">
        <v>9</v>
      </c>
      <c r="AC227" s="21" t="s">
        <v>1142</v>
      </c>
      <c r="AD227" s="52" t="s">
        <v>9</v>
      </c>
    </row>
    <row r="228" spans="1:30" ht="6.75" customHeight="1" x14ac:dyDescent="0.25">
      <c r="A228" s="41">
        <v>228</v>
      </c>
      <c r="B228" s="1" t="s">
        <v>594</v>
      </c>
      <c r="C228" s="1" t="s">
        <v>1365</v>
      </c>
      <c r="D228" s="1" t="s">
        <v>1522</v>
      </c>
      <c r="E228" s="1" t="s">
        <v>1704</v>
      </c>
      <c r="F228" s="39" t="s">
        <v>465</v>
      </c>
      <c r="G228" s="45" t="s">
        <v>9</v>
      </c>
      <c r="H228" s="45" t="s">
        <v>9</v>
      </c>
      <c r="I228" s="45" t="s">
        <v>9</v>
      </c>
      <c r="J228" s="45" t="s">
        <v>9</v>
      </c>
      <c r="K228" s="45" t="s">
        <v>9</v>
      </c>
      <c r="L228" s="25" t="str">
        <f t="shared" si="19"/>
        <v>De.Energia</v>
      </c>
      <c r="M228" s="25" t="str">
        <f t="shared" si="19"/>
        <v>Elementos.FM.Elétricos</v>
      </c>
      <c r="N228" s="25" t="str">
        <f t="shared" si="20"/>
        <v>Elemento Motor Elétrico</v>
      </c>
      <c r="O228" s="25" t="str">
        <f t="shared" si="20"/>
        <v>Motor Eléctrico</v>
      </c>
      <c r="P228" s="21" t="s">
        <v>447</v>
      </c>
      <c r="Q228" s="21" t="s">
        <v>448</v>
      </c>
      <c r="R228" s="21" t="s">
        <v>645</v>
      </c>
      <c r="S228" s="55" t="s">
        <v>9</v>
      </c>
      <c r="T228" s="51" t="str">
        <f t="shared" si="22"/>
        <v>De Energia</v>
      </c>
      <c r="U228" s="51" t="str">
        <f t="shared" si="22"/>
        <v>Elementos FM Elétricos</v>
      </c>
      <c r="V228" s="51" t="str">
        <f t="shared" si="22"/>
        <v>Elemento Motor Elétrico</v>
      </c>
      <c r="W228" s="21" t="s">
        <v>99</v>
      </c>
      <c r="X228" s="42" t="str">
        <f t="shared" si="21"/>
        <v>Key-INTEL-228</v>
      </c>
      <c r="Y228" s="21" t="s">
        <v>600</v>
      </c>
      <c r="Z228" s="52" t="s">
        <v>9</v>
      </c>
      <c r="AA228" s="20" t="s">
        <v>459</v>
      </c>
      <c r="AB228" s="52" t="s">
        <v>9</v>
      </c>
      <c r="AC228" s="21" t="s">
        <v>572</v>
      </c>
      <c r="AD228" s="52" t="s">
        <v>9</v>
      </c>
    </row>
    <row r="229" spans="1:30" ht="6.75" customHeight="1" x14ac:dyDescent="0.25">
      <c r="A229" s="41">
        <v>229</v>
      </c>
      <c r="B229" s="1" t="s">
        <v>594</v>
      </c>
      <c r="C229" s="1" t="s">
        <v>1365</v>
      </c>
      <c r="D229" s="1" t="s">
        <v>1522</v>
      </c>
      <c r="E229" s="1" t="s">
        <v>1704</v>
      </c>
      <c r="F229" s="39" t="s">
        <v>466</v>
      </c>
      <c r="G229" s="45" t="s">
        <v>9</v>
      </c>
      <c r="H229" s="45" t="s">
        <v>9</v>
      </c>
      <c r="I229" s="45" t="s">
        <v>9</v>
      </c>
      <c r="J229" s="45" t="s">
        <v>9</v>
      </c>
      <c r="K229" s="45" t="s">
        <v>9</v>
      </c>
      <c r="L229" s="25" t="str">
        <f t="shared" si="19"/>
        <v>De.Energia</v>
      </c>
      <c r="M229" s="25" t="str">
        <f t="shared" si="19"/>
        <v>Elementos.FM.Elétricos</v>
      </c>
      <c r="N229" s="25" t="str">
        <f t="shared" si="20"/>
        <v>Elemento Motor Elétrico</v>
      </c>
      <c r="O229" s="25" t="str">
        <f t="shared" si="20"/>
        <v>Motor Eléctrico DC</v>
      </c>
      <c r="P229" s="21" t="s">
        <v>449</v>
      </c>
      <c r="Q229" s="21" t="s">
        <v>450</v>
      </c>
      <c r="R229" s="21" t="s">
        <v>646</v>
      </c>
      <c r="S229" s="55" t="s">
        <v>9</v>
      </c>
      <c r="T229" s="51" t="str">
        <f t="shared" si="22"/>
        <v>De Energia</v>
      </c>
      <c r="U229" s="51" t="str">
        <f t="shared" si="22"/>
        <v>Elementos FM Elétricos</v>
      </c>
      <c r="V229" s="51" t="str">
        <f t="shared" si="22"/>
        <v>Elemento Motor Elétrico</v>
      </c>
      <c r="W229" s="21" t="s">
        <v>99</v>
      </c>
      <c r="X229" s="42" t="str">
        <f t="shared" si="21"/>
        <v>Key-INTEL-229</v>
      </c>
      <c r="Y229" s="21" t="s">
        <v>600</v>
      </c>
      <c r="Z229" s="52" t="s">
        <v>9</v>
      </c>
      <c r="AA229" s="20" t="s">
        <v>460</v>
      </c>
      <c r="AB229" s="52" t="s">
        <v>9</v>
      </c>
      <c r="AC229" s="21" t="s">
        <v>572</v>
      </c>
      <c r="AD229" s="52" t="s">
        <v>9</v>
      </c>
    </row>
    <row r="230" spans="1:30" ht="6.75" customHeight="1" x14ac:dyDescent="0.25">
      <c r="A230" s="41">
        <v>230</v>
      </c>
      <c r="B230" s="1" t="s">
        <v>594</v>
      </c>
      <c r="C230" s="1" t="s">
        <v>1365</v>
      </c>
      <c r="D230" s="1" t="s">
        <v>1522</v>
      </c>
      <c r="E230" s="1" t="s">
        <v>1704</v>
      </c>
      <c r="F230" s="39" t="s">
        <v>469</v>
      </c>
      <c r="G230" s="45" t="s">
        <v>9</v>
      </c>
      <c r="H230" s="45" t="s">
        <v>9</v>
      </c>
      <c r="I230" s="45" t="s">
        <v>9</v>
      </c>
      <c r="J230" s="45" t="s">
        <v>9</v>
      </c>
      <c r="K230" s="45" t="s">
        <v>9</v>
      </c>
      <c r="L230" s="25" t="str">
        <f t="shared" ref="L230:M293" si="23">CONCATENATE("", C230)</f>
        <v>De.Energia</v>
      </c>
      <c r="M230" s="25" t="str">
        <f t="shared" si="23"/>
        <v>Elementos.FM.Elétricos</v>
      </c>
      <c r="N230" s="25" t="str">
        <f t="shared" ref="N230:O293" si="24">(SUBSTITUTE(SUBSTITUTE(CONCATENATE("",E230),"."," ")," De "," de "))</f>
        <v>Elemento Motor Elétrico</v>
      </c>
      <c r="O230" s="25" t="str">
        <f t="shared" si="24"/>
        <v>Motor Eléctrico Assíncrono</v>
      </c>
      <c r="P230" s="21" t="s">
        <v>451</v>
      </c>
      <c r="Q230" s="21" t="s">
        <v>452</v>
      </c>
      <c r="R230" s="21" t="s">
        <v>647</v>
      </c>
      <c r="S230" s="55" t="s">
        <v>9</v>
      </c>
      <c r="T230" s="51" t="str">
        <f t="shared" si="22"/>
        <v>De Energia</v>
      </c>
      <c r="U230" s="51" t="str">
        <f t="shared" si="22"/>
        <v>Elementos FM Elétricos</v>
      </c>
      <c r="V230" s="51" t="str">
        <f t="shared" si="22"/>
        <v>Elemento Motor Elétrico</v>
      </c>
      <c r="W230" s="21" t="s">
        <v>99</v>
      </c>
      <c r="X230" s="42" t="str">
        <f t="shared" si="21"/>
        <v>Key-INTEL-230</v>
      </c>
      <c r="Y230" s="21" t="s">
        <v>600</v>
      </c>
      <c r="Z230" s="52" t="s">
        <v>9</v>
      </c>
      <c r="AA230" s="20" t="s">
        <v>464</v>
      </c>
      <c r="AB230" s="52" t="s">
        <v>9</v>
      </c>
      <c r="AC230" s="21" t="s">
        <v>572</v>
      </c>
      <c r="AD230" s="52" t="s">
        <v>9</v>
      </c>
    </row>
    <row r="231" spans="1:30" ht="6.75" customHeight="1" x14ac:dyDescent="0.25">
      <c r="A231" s="41">
        <v>231</v>
      </c>
      <c r="B231" s="1" t="s">
        <v>594</v>
      </c>
      <c r="C231" s="1" t="s">
        <v>1365</v>
      </c>
      <c r="D231" s="1" t="s">
        <v>1522</v>
      </c>
      <c r="E231" s="1" t="s">
        <v>1704</v>
      </c>
      <c r="F231" s="39" t="s">
        <v>468</v>
      </c>
      <c r="G231" s="45" t="s">
        <v>9</v>
      </c>
      <c r="H231" s="45" t="s">
        <v>9</v>
      </c>
      <c r="I231" s="45" t="s">
        <v>9</v>
      </c>
      <c r="J231" s="45" t="s">
        <v>9</v>
      </c>
      <c r="K231" s="45" t="s">
        <v>9</v>
      </c>
      <c r="L231" s="25" t="str">
        <f t="shared" si="23"/>
        <v>De.Energia</v>
      </c>
      <c r="M231" s="25" t="str">
        <f t="shared" si="23"/>
        <v>Elementos.FM.Elétricos</v>
      </c>
      <c r="N231" s="25" t="str">
        <f t="shared" si="24"/>
        <v>Elemento Motor Elétrico</v>
      </c>
      <c r="O231" s="25" t="str">
        <f t="shared" si="24"/>
        <v>Motor Eléctrico Trifásico</v>
      </c>
      <c r="P231" s="21" t="s">
        <v>453</v>
      </c>
      <c r="Q231" s="21" t="s">
        <v>454</v>
      </c>
      <c r="R231" s="21" t="s">
        <v>648</v>
      </c>
      <c r="S231" s="55" t="s">
        <v>9</v>
      </c>
      <c r="T231" s="51" t="str">
        <f t="shared" si="22"/>
        <v>De Energia</v>
      </c>
      <c r="U231" s="51" t="str">
        <f t="shared" si="22"/>
        <v>Elementos FM Elétricos</v>
      </c>
      <c r="V231" s="51" t="str">
        <f t="shared" si="22"/>
        <v>Elemento Motor Elétrico</v>
      </c>
      <c r="W231" s="21" t="s">
        <v>99</v>
      </c>
      <c r="X231" s="42" t="str">
        <f t="shared" si="21"/>
        <v>Key-INTEL-231</v>
      </c>
      <c r="Y231" s="21" t="s">
        <v>600</v>
      </c>
      <c r="Z231" s="52" t="s">
        <v>9</v>
      </c>
      <c r="AA231" s="20" t="s">
        <v>461</v>
      </c>
      <c r="AB231" s="52" t="s">
        <v>9</v>
      </c>
      <c r="AC231" s="21" t="s">
        <v>572</v>
      </c>
      <c r="AD231" s="52" t="s">
        <v>9</v>
      </c>
    </row>
    <row r="232" spans="1:30" ht="6.75" customHeight="1" x14ac:dyDescent="0.25">
      <c r="A232" s="41">
        <v>232</v>
      </c>
      <c r="B232" s="1" t="s">
        <v>594</v>
      </c>
      <c r="C232" s="1" t="s">
        <v>1365</v>
      </c>
      <c r="D232" s="1" t="s">
        <v>1522</v>
      </c>
      <c r="E232" s="1" t="s">
        <v>1704</v>
      </c>
      <c r="F232" s="39" t="s">
        <v>470</v>
      </c>
      <c r="G232" s="45" t="s">
        <v>9</v>
      </c>
      <c r="H232" s="45" t="s">
        <v>9</v>
      </c>
      <c r="I232" s="45" t="s">
        <v>9</v>
      </c>
      <c r="J232" s="45" t="s">
        <v>9</v>
      </c>
      <c r="K232" s="45" t="s">
        <v>9</v>
      </c>
      <c r="L232" s="25" t="str">
        <f t="shared" si="23"/>
        <v>De.Energia</v>
      </c>
      <c r="M232" s="25" t="str">
        <f t="shared" si="23"/>
        <v>Elementos.FM.Elétricos</v>
      </c>
      <c r="N232" s="25" t="str">
        <f t="shared" si="24"/>
        <v>Elemento Motor Elétrico</v>
      </c>
      <c r="O232" s="25" t="str">
        <f t="shared" si="24"/>
        <v>Motor Eléctrico Síncrono de Relutância</v>
      </c>
      <c r="P232" s="21" t="s">
        <v>455</v>
      </c>
      <c r="Q232" s="21" t="s">
        <v>456</v>
      </c>
      <c r="R232" s="21" t="s">
        <v>649</v>
      </c>
      <c r="S232" s="55" t="s">
        <v>9</v>
      </c>
      <c r="T232" s="51" t="str">
        <f t="shared" si="22"/>
        <v>De Energia</v>
      </c>
      <c r="U232" s="51" t="str">
        <f t="shared" si="22"/>
        <v>Elementos FM Elétricos</v>
      </c>
      <c r="V232" s="51" t="str">
        <f t="shared" si="22"/>
        <v>Elemento Motor Elétrico</v>
      </c>
      <c r="W232" s="21" t="s">
        <v>99</v>
      </c>
      <c r="X232" s="42" t="str">
        <f t="shared" si="21"/>
        <v>Key-INTEL-232</v>
      </c>
      <c r="Y232" s="21" t="s">
        <v>600</v>
      </c>
      <c r="Z232" s="52" t="s">
        <v>9</v>
      </c>
      <c r="AA232" s="20" t="s">
        <v>463</v>
      </c>
      <c r="AB232" s="52" t="s">
        <v>9</v>
      </c>
      <c r="AC232" s="21" t="s">
        <v>572</v>
      </c>
      <c r="AD232" s="52" t="s">
        <v>9</v>
      </c>
    </row>
    <row r="233" spans="1:30" ht="6.75" customHeight="1" x14ac:dyDescent="0.25">
      <c r="A233" s="41">
        <v>233</v>
      </c>
      <c r="B233" s="1" t="s">
        <v>594</v>
      </c>
      <c r="C233" s="1" t="s">
        <v>1365</v>
      </c>
      <c r="D233" s="1" t="s">
        <v>1522</v>
      </c>
      <c r="E233" s="1" t="s">
        <v>1704</v>
      </c>
      <c r="F233" s="39" t="s">
        <v>467</v>
      </c>
      <c r="G233" s="47" t="s">
        <v>9</v>
      </c>
      <c r="H233" s="45" t="s">
        <v>9</v>
      </c>
      <c r="I233" s="45" t="s">
        <v>9</v>
      </c>
      <c r="J233" s="45" t="s">
        <v>9</v>
      </c>
      <c r="K233" s="45" t="s">
        <v>9</v>
      </c>
      <c r="L233" s="25" t="str">
        <f t="shared" si="23"/>
        <v>De.Energia</v>
      </c>
      <c r="M233" s="25" t="str">
        <f t="shared" si="23"/>
        <v>Elementos.FM.Elétricos</v>
      </c>
      <c r="N233" s="25" t="str">
        <f t="shared" si="24"/>
        <v>Elemento Motor Elétrico</v>
      </c>
      <c r="O233" s="25" t="str">
        <f t="shared" si="24"/>
        <v>Motor Eléctrico Síncrono</v>
      </c>
      <c r="P233" s="21" t="s">
        <v>457</v>
      </c>
      <c r="Q233" s="21" t="s">
        <v>458</v>
      </c>
      <c r="R233" s="21" t="s">
        <v>650</v>
      </c>
      <c r="S233" s="55" t="s">
        <v>9</v>
      </c>
      <c r="T233" s="51" t="str">
        <f t="shared" si="22"/>
        <v>De Energia</v>
      </c>
      <c r="U233" s="51" t="str">
        <f t="shared" si="22"/>
        <v>Elementos FM Elétricos</v>
      </c>
      <c r="V233" s="51" t="str">
        <f t="shared" si="22"/>
        <v>Elemento Motor Elétrico</v>
      </c>
      <c r="W233" s="21" t="s">
        <v>99</v>
      </c>
      <c r="X233" s="42" t="str">
        <f t="shared" si="21"/>
        <v>Key-INTEL-233</v>
      </c>
      <c r="Y233" s="21" t="s">
        <v>600</v>
      </c>
      <c r="Z233" s="52" t="s">
        <v>9</v>
      </c>
      <c r="AA233" s="20" t="s">
        <v>462</v>
      </c>
      <c r="AB233" s="52" t="s">
        <v>9</v>
      </c>
      <c r="AC233" s="21" t="s">
        <v>572</v>
      </c>
      <c r="AD233" s="52" t="s">
        <v>9</v>
      </c>
    </row>
    <row r="234" spans="1:30" ht="6.75" customHeight="1" x14ac:dyDescent="0.25">
      <c r="A234" s="41">
        <v>234</v>
      </c>
      <c r="B234" s="1" t="s">
        <v>594</v>
      </c>
      <c r="C234" s="24" t="s">
        <v>1366</v>
      </c>
      <c r="D234" s="33" t="s">
        <v>1432</v>
      </c>
      <c r="E234" s="33" t="s">
        <v>1697</v>
      </c>
      <c r="F234" s="33" t="s">
        <v>1433</v>
      </c>
      <c r="G234" s="45" t="s">
        <v>9</v>
      </c>
      <c r="H234" s="45" t="s">
        <v>9</v>
      </c>
      <c r="I234" s="45" t="s">
        <v>9</v>
      </c>
      <c r="J234" s="45" t="s">
        <v>9</v>
      </c>
      <c r="K234" s="45" t="s">
        <v>9</v>
      </c>
      <c r="L234" s="25" t="str">
        <f t="shared" si="23"/>
        <v>De.Telecom</v>
      </c>
      <c r="M234" s="25" t="str">
        <f t="shared" si="23"/>
        <v>Sistemas.Telecom</v>
      </c>
      <c r="N234" s="25" t="str">
        <f t="shared" si="24"/>
        <v>Sistema de Rede</v>
      </c>
      <c r="O234" s="25" t="str">
        <f t="shared" si="24"/>
        <v>BackBone</v>
      </c>
      <c r="P234" s="38" t="s">
        <v>1442</v>
      </c>
      <c r="Q234" s="38" t="s">
        <v>92</v>
      </c>
      <c r="R234" s="21" t="s">
        <v>606</v>
      </c>
      <c r="S234" s="55" t="s">
        <v>9</v>
      </c>
      <c r="T234" s="51" t="str">
        <f t="shared" si="22"/>
        <v>De Telecom</v>
      </c>
      <c r="U234" s="51" t="str">
        <f t="shared" si="22"/>
        <v>Sistemas Telecom</v>
      </c>
      <c r="V234" s="51" t="str">
        <f t="shared" si="22"/>
        <v>Sistema de Rede</v>
      </c>
      <c r="W234" s="21" t="s">
        <v>99</v>
      </c>
      <c r="X234" s="42" t="str">
        <f t="shared" si="21"/>
        <v>Key-INTEL-234</v>
      </c>
      <c r="Y234" s="20" t="s">
        <v>94</v>
      </c>
      <c r="Z234" s="52" t="s">
        <v>9</v>
      </c>
      <c r="AA234" s="20" t="s">
        <v>95</v>
      </c>
      <c r="AB234" s="52" t="s">
        <v>9</v>
      </c>
      <c r="AC234" s="21" t="s">
        <v>572</v>
      </c>
      <c r="AD234" s="52" t="s">
        <v>9</v>
      </c>
    </row>
    <row r="235" spans="1:30" ht="6.75" customHeight="1" x14ac:dyDescent="0.25">
      <c r="A235" s="41">
        <v>235</v>
      </c>
      <c r="B235" s="1" t="s">
        <v>594</v>
      </c>
      <c r="C235" s="24" t="s">
        <v>1366</v>
      </c>
      <c r="D235" s="33" t="s">
        <v>1432</v>
      </c>
      <c r="E235" s="33" t="s">
        <v>1697</v>
      </c>
      <c r="F235" s="33" t="s">
        <v>1434</v>
      </c>
      <c r="G235" s="45" t="s">
        <v>9</v>
      </c>
      <c r="H235" s="45" t="s">
        <v>9</v>
      </c>
      <c r="I235" s="45" t="s">
        <v>9</v>
      </c>
      <c r="J235" s="45" t="s">
        <v>9</v>
      </c>
      <c r="K235" s="45" t="s">
        <v>9</v>
      </c>
      <c r="L235" s="25" t="str">
        <f t="shared" si="23"/>
        <v>De.Telecom</v>
      </c>
      <c r="M235" s="25" t="str">
        <f t="shared" si="23"/>
        <v>Sistemas.Telecom</v>
      </c>
      <c r="N235" s="25" t="str">
        <f t="shared" si="24"/>
        <v>Sistema de Rede</v>
      </c>
      <c r="O235" s="25" t="str">
        <f t="shared" si="24"/>
        <v>Rede Dados</v>
      </c>
      <c r="P235" s="38" t="s">
        <v>1438</v>
      </c>
      <c r="Q235" s="38" t="s">
        <v>92</v>
      </c>
      <c r="R235" s="21" t="s">
        <v>606</v>
      </c>
      <c r="S235" s="55" t="s">
        <v>9</v>
      </c>
      <c r="T235" s="51" t="str">
        <f t="shared" si="22"/>
        <v>De Telecom</v>
      </c>
      <c r="U235" s="51" t="str">
        <f t="shared" si="22"/>
        <v>Sistemas Telecom</v>
      </c>
      <c r="V235" s="51" t="str">
        <f t="shared" si="22"/>
        <v>Sistema de Rede</v>
      </c>
      <c r="W235" s="21" t="s">
        <v>99</v>
      </c>
      <c r="X235" s="42" t="str">
        <f t="shared" si="21"/>
        <v>Key-INTEL-235</v>
      </c>
      <c r="Y235" s="20" t="s">
        <v>94</v>
      </c>
      <c r="Z235" s="52" t="s">
        <v>9</v>
      </c>
      <c r="AA235" s="20" t="s">
        <v>95</v>
      </c>
      <c r="AB235" s="52" t="s">
        <v>9</v>
      </c>
      <c r="AC235" s="21" t="s">
        <v>572</v>
      </c>
      <c r="AD235" s="52" t="s">
        <v>9</v>
      </c>
    </row>
    <row r="236" spans="1:30" ht="6.75" customHeight="1" x14ac:dyDescent="0.25">
      <c r="A236" s="41">
        <v>236</v>
      </c>
      <c r="B236" s="1" t="s">
        <v>594</v>
      </c>
      <c r="C236" s="24" t="s">
        <v>1366</v>
      </c>
      <c r="D236" s="33" t="s">
        <v>1432</v>
      </c>
      <c r="E236" s="33" t="s">
        <v>1697</v>
      </c>
      <c r="F236" s="33" t="s">
        <v>1435</v>
      </c>
      <c r="G236" s="45" t="s">
        <v>9</v>
      </c>
      <c r="H236" s="45" t="s">
        <v>9</v>
      </c>
      <c r="I236" s="45" t="s">
        <v>9</v>
      </c>
      <c r="J236" s="45" t="s">
        <v>9</v>
      </c>
      <c r="K236" s="45" t="s">
        <v>9</v>
      </c>
      <c r="L236" s="25" t="str">
        <f t="shared" si="23"/>
        <v>De.Telecom</v>
      </c>
      <c r="M236" s="25" t="str">
        <f t="shared" si="23"/>
        <v>Sistemas.Telecom</v>
      </c>
      <c r="N236" s="25" t="str">
        <f t="shared" si="24"/>
        <v>Sistema de Rede</v>
      </c>
      <c r="O236" s="25" t="str">
        <f t="shared" si="24"/>
        <v>Rede Dados Alta Velocidade</v>
      </c>
      <c r="P236" s="38" t="s">
        <v>1439</v>
      </c>
      <c r="Q236" s="38" t="s">
        <v>90</v>
      </c>
      <c r="R236" s="21" t="s">
        <v>607</v>
      </c>
      <c r="S236" s="55" t="s">
        <v>9</v>
      </c>
      <c r="T236" s="51" t="str">
        <f t="shared" si="22"/>
        <v>De Telecom</v>
      </c>
      <c r="U236" s="51" t="str">
        <f t="shared" si="22"/>
        <v>Sistemas Telecom</v>
      </c>
      <c r="V236" s="51" t="str">
        <f t="shared" si="22"/>
        <v>Sistema de Rede</v>
      </c>
      <c r="W236" s="21" t="s">
        <v>99</v>
      </c>
      <c r="X236" s="42" t="str">
        <f t="shared" si="21"/>
        <v>Key-INTEL-236</v>
      </c>
      <c r="Y236" s="20" t="s">
        <v>94</v>
      </c>
      <c r="Z236" s="52" t="s">
        <v>9</v>
      </c>
      <c r="AA236" s="20" t="s">
        <v>96</v>
      </c>
      <c r="AB236" s="52" t="s">
        <v>9</v>
      </c>
      <c r="AC236" s="21" t="s">
        <v>572</v>
      </c>
      <c r="AD236" s="52" t="s">
        <v>9</v>
      </c>
    </row>
    <row r="237" spans="1:30" ht="6.75" customHeight="1" x14ac:dyDescent="0.25">
      <c r="A237" s="41">
        <v>237</v>
      </c>
      <c r="B237" s="1" t="s">
        <v>594</v>
      </c>
      <c r="C237" s="24" t="s">
        <v>1366</v>
      </c>
      <c r="D237" s="33" t="s">
        <v>1432</v>
      </c>
      <c r="E237" s="33" t="s">
        <v>1697</v>
      </c>
      <c r="F237" s="33" t="s">
        <v>1436</v>
      </c>
      <c r="G237" s="45" t="s">
        <v>9</v>
      </c>
      <c r="H237" s="45" t="s">
        <v>9</v>
      </c>
      <c r="I237" s="45" t="s">
        <v>9</v>
      </c>
      <c r="J237" s="45" t="s">
        <v>9</v>
      </c>
      <c r="K237" s="45" t="s">
        <v>9</v>
      </c>
      <c r="L237" s="25" t="str">
        <f t="shared" si="23"/>
        <v>De.Telecom</v>
      </c>
      <c r="M237" s="25" t="str">
        <f t="shared" si="23"/>
        <v>Sistemas.Telecom</v>
      </c>
      <c r="N237" s="25" t="str">
        <f t="shared" si="24"/>
        <v>Sistema de Rede</v>
      </c>
      <c r="O237" s="25" t="str">
        <f t="shared" si="24"/>
        <v>Rede Fibra Ótica</v>
      </c>
      <c r="P237" s="38" t="s">
        <v>1440</v>
      </c>
      <c r="Q237" s="38" t="s">
        <v>91</v>
      </c>
      <c r="R237" s="21" t="s">
        <v>608</v>
      </c>
      <c r="S237" s="55" t="s">
        <v>9</v>
      </c>
      <c r="T237" s="51" t="str">
        <f t="shared" si="22"/>
        <v>De Telecom</v>
      </c>
      <c r="U237" s="51" t="str">
        <f t="shared" si="22"/>
        <v>Sistemas Telecom</v>
      </c>
      <c r="V237" s="51" t="str">
        <f t="shared" si="22"/>
        <v>Sistema de Rede</v>
      </c>
      <c r="W237" s="21" t="s">
        <v>99</v>
      </c>
      <c r="X237" s="42" t="str">
        <f t="shared" si="21"/>
        <v>Key-INTEL-237</v>
      </c>
      <c r="Y237" s="20" t="s">
        <v>94</v>
      </c>
      <c r="Z237" s="52" t="s">
        <v>9</v>
      </c>
      <c r="AA237" s="20" t="s">
        <v>96</v>
      </c>
      <c r="AB237" s="52" t="s">
        <v>9</v>
      </c>
      <c r="AC237" s="21" t="s">
        <v>572</v>
      </c>
      <c r="AD237" s="52" t="s">
        <v>9</v>
      </c>
    </row>
    <row r="238" spans="1:30" ht="6.75" customHeight="1" x14ac:dyDescent="0.25">
      <c r="A238" s="41">
        <v>238</v>
      </c>
      <c r="B238" s="1" t="s">
        <v>594</v>
      </c>
      <c r="C238" s="24" t="s">
        <v>1366</v>
      </c>
      <c r="D238" s="33" t="s">
        <v>1432</v>
      </c>
      <c r="E238" s="33" t="s">
        <v>1697</v>
      </c>
      <c r="F238" s="33" t="s">
        <v>1437</v>
      </c>
      <c r="G238" s="45" t="s">
        <v>9</v>
      </c>
      <c r="H238" s="45" t="s">
        <v>9</v>
      </c>
      <c r="I238" s="45" t="s">
        <v>9</v>
      </c>
      <c r="J238" s="45" t="s">
        <v>9</v>
      </c>
      <c r="K238" s="45" t="s">
        <v>9</v>
      </c>
      <c r="L238" s="25" t="str">
        <f t="shared" si="23"/>
        <v>De.Telecom</v>
      </c>
      <c r="M238" s="25" t="str">
        <f t="shared" si="23"/>
        <v>Sistemas.Telecom</v>
      </c>
      <c r="N238" s="25" t="str">
        <f t="shared" si="24"/>
        <v>Sistema de Rede</v>
      </c>
      <c r="O238" s="25" t="str">
        <f t="shared" si="24"/>
        <v>Rede Segurança</v>
      </c>
      <c r="P238" s="38" t="s">
        <v>1441</v>
      </c>
      <c r="Q238" s="38" t="s">
        <v>101</v>
      </c>
      <c r="R238" s="21" t="s">
        <v>609</v>
      </c>
      <c r="S238" s="55" t="s">
        <v>9</v>
      </c>
      <c r="T238" s="51" t="str">
        <f t="shared" si="22"/>
        <v>De Telecom</v>
      </c>
      <c r="U238" s="51" t="str">
        <f t="shared" si="22"/>
        <v>Sistemas Telecom</v>
      </c>
      <c r="V238" s="51" t="str">
        <f t="shared" si="22"/>
        <v>Sistema de Rede</v>
      </c>
      <c r="W238" s="21" t="s">
        <v>99</v>
      </c>
      <c r="X238" s="42" t="str">
        <f t="shared" si="21"/>
        <v>Key-INTEL-238</v>
      </c>
      <c r="Y238" s="20" t="s">
        <v>94</v>
      </c>
      <c r="Z238" s="52" t="s">
        <v>9</v>
      </c>
      <c r="AA238" s="20" t="s">
        <v>96</v>
      </c>
      <c r="AB238" s="52" t="s">
        <v>9</v>
      </c>
      <c r="AC238" s="21" t="s">
        <v>572</v>
      </c>
      <c r="AD238" s="52" t="s">
        <v>9</v>
      </c>
    </row>
    <row r="239" spans="1:30" ht="6.75" customHeight="1" x14ac:dyDescent="0.25">
      <c r="A239" s="41">
        <v>239</v>
      </c>
      <c r="B239" s="1" t="s">
        <v>594</v>
      </c>
      <c r="C239" s="24" t="s">
        <v>1366</v>
      </c>
      <c r="D239" s="1" t="s">
        <v>1002</v>
      </c>
      <c r="E239" s="1" t="s">
        <v>1709</v>
      </c>
      <c r="F239" s="39" t="s">
        <v>1003</v>
      </c>
      <c r="G239" s="45" t="s">
        <v>9</v>
      </c>
      <c r="H239" s="45" t="s">
        <v>9</v>
      </c>
      <c r="I239" s="45" t="s">
        <v>9</v>
      </c>
      <c r="J239" s="45" t="s">
        <v>9</v>
      </c>
      <c r="K239" s="45" t="s">
        <v>9</v>
      </c>
      <c r="L239" s="25" t="str">
        <f t="shared" si="23"/>
        <v>De.Telecom</v>
      </c>
      <c r="M239" s="25" t="str">
        <f t="shared" si="23"/>
        <v>Elementos.de.AudioVideo</v>
      </c>
      <c r="N239" s="25" t="str">
        <f t="shared" si="24"/>
        <v>Elemento Aparelho Avi</v>
      </c>
      <c r="O239" s="25" t="str">
        <f t="shared" si="24"/>
        <v>Aparelho Avi</v>
      </c>
      <c r="P239" s="21" t="s">
        <v>1004</v>
      </c>
      <c r="Q239" s="21" t="s">
        <v>1005</v>
      </c>
      <c r="R239" s="21" t="s">
        <v>1006</v>
      </c>
      <c r="S239" s="55" t="s">
        <v>9</v>
      </c>
      <c r="T239" s="51" t="str">
        <f t="shared" si="22"/>
        <v>De Telecom</v>
      </c>
      <c r="U239" s="51" t="str">
        <f t="shared" si="22"/>
        <v>Elementos de AudioVideo</v>
      </c>
      <c r="V239" s="51" t="str">
        <f t="shared" si="22"/>
        <v>Elemento Aparelho Avi</v>
      </c>
      <c r="W239" s="21" t="s">
        <v>99</v>
      </c>
      <c r="X239" s="42" t="str">
        <f t="shared" si="21"/>
        <v>Key-INTEL-239</v>
      </c>
      <c r="Y239" s="21" t="s">
        <v>1007</v>
      </c>
      <c r="Z239" s="52" t="s">
        <v>9</v>
      </c>
      <c r="AA239" s="20" t="s">
        <v>1008</v>
      </c>
      <c r="AB239" s="52" t="s">
        <v>9</v>
      </c>
      <c r="AC239" s="21" t="s">
        <v>1009</v>
      </c>
      <c r="AD239" s="52" t="s">
        <v>9</v>
      </c>
    </row>
    <row r="240" spans="1:30" ht="6.75" customHeight="1" x14ac:dyDescent="0.25">
      <c r="A240" s="41">
        <v>240</v>
      </c>
      <c r="B240" s="1" t="s">
        <v>594</v>
      </c>
      <c r="C240" s="24" t="s">
        <v>1366</v>
      </c>
      <c r="D240" s="1" t="s">
        <v>1002</v>
      </c>
      <c r="E240" s="1" t="s">
        <v>1709</v>
      </c>
      <c r="F240" s="39" t="s">
        <v>1010</v>
      </c>
      <c r="G240" s="45" t="s">
        <v>9</v>
      </c>
      <c r="H240" s="45" t="s">
        <v>9</v>
      </c>
      <c r="I240" s="45" t="s">
        <v>9</v>
      </c>
      <c r="J240" s="45" t="s">
        <v>9</v>
      </c>
      <c r="K240" s="45" t="s">
        <v>9</v>
      </c>
      <c r="L240" s="25" t="str">
        <f t="shared" si="23"/>
        <v>De.Telecom</v>
      </c>
      <c r="M240" s="25" t="str">
        <f t="shared" si="23"/>
        <v>Elementos.de.AudioVideo</v>
      </c>
      <c r="N240" s="25" t="str">
        <f t="shared" si="24"/>
        <v>Elemento Aparelho Avi</v>
      </c>
      <c r="O240" s="25" t="str">
        <f t="shared" si="24"/>
        <v>Amplificador</v>
      </c>
      <c r="P240" s="21" t="s">
        <v>1011</v>
      </c>
      <c r="Q240" s="21" t="s">
        <v>1012</v>
      </c>
      <c r="R240" s="21" t="s">
        <v>1013</v>
      </c>
      <c r="S240" s="55" t="s">
        <v>9</v>
      </c>
      <c r="T240" s="51" t="str">
        <f t="shared" si="22"/>
        <v>De Telecom</v>
      </c>
      <c r="U240" s="51" t="str">
        <f t="shared" si="22"/>
        <v>Elementos de AudioVideo</v>
      </c>
      <c r="V240" s="51" t="str">
        <f t="shared" si="22"/>
        <v>Elemento Aparelho Avi</v>
      </c>
      <c r="W240" s="21" t="s">
        <v>99</v>
      </c>
      <c r="X240" s="42" t="str">
        <f t="shared" si="21"/>
        <v>Key-INTEL-240</v>
      </c>
      <c r="Y240" s="21" t="s">
        <v>1007</v>
      </c>
      <c r="Z240" s="52" t="s">
        <v>9</v>
      </c>
      <c r="AA240" s="20" t="s">
        <v>1014</v>
      </c>
      <c r="AB240" s="52" t="s">
        <v>9</v>
      </c>
      <c r="AC240" s="21" t="s">
        <v>1009</v>
      </c>
      <c r="AD240" s="52" t="s">
        <v>9</v>
      </c>
    </row>
    <row r="241" spans="1:30" ht="6.75" customHeight="1" x14ac:dyDescent="0.25">
      <c r="A241" s="41">
        <v>241</v>
      </c>
      <c r="B241" s="1" t="s">
        <v>594</v>
      </c>
      <c r="C241" s="24" t="s">
        <v>1366</v>
      </c>
      <c r="D241" s="1" t="s">
        <v>1002</v>
      </c>
      <c r="E241" s="1" t="s">
        <v>1709</v>
      </c>
      <c r="F241" s="39" t="s">
        <v>1015</v>
      </c>
      <c r="G241" s="45" t="s">
        <v>9</v>
      </c>
      <c r="H241" s="45" t="s">
        <v>9</v>
      </c>
      <c r="I241" s="45" t="s">
        <v>9</v>
      </c>
      <c r="J241" s="45" t="s">
        <v>9</v>
      </c>
      <c r="K241" s="45" t="s">
        <v>9</v>
      </c>
      <c r="L241" s="25" t="str">
        <f t="shared" si="23"/>
        <v>De.Telecom</v>
      </c>
      <c r="M241" s="25" t="str">
        <f t="shared" si="23"/>
        <v>Elementos.de.AudioVideo</v>
      </c>
      <c r="N241" s="25" t="str">
        <f t="shared" si="24"/>
        <v>Elemento Aparelho Avi</v>
      </c>
      <c r="O241" s="25" t="str">
        <f t="shared" si="24"/>
        <v>Câmera</v>
      </c>
      <c r="P241" s="21" t="s">
        <v>1016</v>
      </c>
      <c r="Q241" s="21" t="s">
        <v>1017</v>
      </c>
      <c r="R241" s="21" t="s">
        <v>1018</v>
      </c>
      <c r="S241" s="55" t="s">
        <v>9</v>
      </c>
      <c r="T241" s="51" t="str">
        <f t="shared" si="22"/>
        <v>De Telecom</v>
      </c>
      <c r="U241" s="51" t="str">
        <f t="shared" si="22"/>
        <v>Elementos de AudioVideo</v>
      </c>
      <c r="V241" s="51" t="str">
        <f t="shared" si="22"/>
        <v>Elemento Aparelho Avi</v>
      </c>
      <c r="W241" s="21" t="s">
        <v>99</v>
      </c>
      <c r="X241" s="42" t="str">
        <f t="shared" si="21"/>
        <v>Key-INTEL-241</v>
      </c>
      <c r="Y241" s="21" t="s">
        <v>1007</v>
      </c>
      <c r="Z241" s="52" t="s">
        <v>9</v>
      </c>
      <c r="AA241" s="20" t="s">
        <v>1019</v>
      </c>
      <c r="AB241" s="52" t="s">
        <v>9</v>
      </c>
      <c r="AC241" s="21" t="s">
        <v>1009</v>
      </c>
      <c r="AD241" s="52" t="s">
        <v>9</v>
      </c>
    </row>
    <row r="242" spans="1:30" ht="6.75" customHeight="1" x14ac:dyDescent="0.25">
      <c r="A242" s="41">
        <v>242</v>
      </c>
      <c r="B242" s="1" t="s">
        <v>594</v>
      </c>
      <c r="C242" s="24" t="s">
        <v>1366</v>
      </c>
      <c r="D242" s="1" t="s">
        <v>1002</v>
      </c>
      <c r="E242" s="1" t="s">
        <v>1709</v>
      </c>
      <c r="F242" s="39" t="s">
        <v>1020</v>
      </c>
      <c r="G242" s="45" t="s">
        <v>9</v>
      </c>
      <c r="H242" s="45" t="s">
        <v>9</v>
      </c>
      <c r="I242" s="45" t="s">
        <v>9</v>
      </c>
      <c r="J242" s="45" t="s">
        <v>9</v>
      </c>
      <c r="K242" s="45" t="s">
        <v>9</v>
      </c>
      <c r="L242" s="25" t="str">
        <f t="shared" si="23"/>
        <v>De.Telecom</v>
      </c>
      <c r="M242" s="25" t="str">
        <f t="shared" si="23"/>
        <v>Elementos.de.AudioVideo</v>
      </c>
      <c r="N242" s="25" t="str">
        <f t="shared" si="24"/>
        <v>Elemento Aparelho Avi</v>
      </c>
      <c r="O242" s="25" t="str">
        <f t="shared" si="24"/>
        <v>Comunicador</v>
      </c>
      <c r="P242" s="21" t="s">
        <v>1021</v>
      </c>
      <c r="Q242" s="21" t="s">
        <v>1022</v>
      </c>
      <c r="R242" s="21" t="s">
        <v>1023</v>
      </c>
      <c r="S242" s="55" t="s">
        <v>9</v>
      </c>
      <c r="T242" s="51" t="str">
        <f t="shared" si="22"/>
        <v>De Telecom</v>
      </c>
      <c r="U242" s="51" t="str">
        <f t="shared" si="22"/>
        <v>Elementos de AudioVideo</v>
      </c>
      <c r="V242" s="51" t="str">
        <f t="shared" si="22"/>
        <v>Elemento Aparelho Avi</v>
      </c>
      <c r="W242" s="21" t="s">
        <v>99</v>
      </c>
      <c r="X242" s="42" t="str">
        <f t="shared" si="21"/>
        <v>Key-INTEL-242</v>
      </c>
      <c r="Y242" s="21" t="s">
        <v>1024</v>
      </c>
      <c r="Z242" s="52" t="s">
        <v>9</v>
      </c>
      <c r="AA242" s="20" t="s">
        <v>1025</v>
      </c>
      <c r="AB242" s="52" t="s">
        <v>9</v>
      </c>
      <c r="AC242" s="21" t="s">
        <v>1009</v>
      </c>
      <c r="AD242" s="52" t="s">
        <v>9</v>
      </c>
    </row>
    <row r="243" spans="1:30" ht="6.75" customHeight="1" x14ac:dyDescent="0.25">
      <c r="A243" s="41">
        <v>243</v>
      </c>
      <c r="B243" s="1" t="s">
        <v>594</v>
      </c>
      <c r="C243" s="24" t="s">
        <v>1366</v>
      </c>
      <c r="D243" s="1" t="s">
        <v>1002</v>
      </c>
      <c r="E243" s="1" t="s">
        <v>1709</v>
      </c>
      <c r="F243" s="39" t="s">
        <v>1026</v>
      </c>
      <c r="G243" s="45" t="s">
        <v>9</v>
      </c>
      <c r="H243" s="45" t="s">
        <v>9</v>
      </c>
      <c r="I243" s="45" t="s">
        <v>9</v>
      </c>
      <c r="J243" s="45" t="s">
        <v>9</v>
      </c>
      <c r="K243" s="45" t="s">
        <v>9</v>
      </c>
      <c r="L243" s="25" t="str">
        <f t="shared" si="23"/>
        <v>De.Telecom</v>
      </c>
      <c r="M243" s="25" t="str">
        <f t="shared" si="23"/>
        <v>Elementos.de.AudioVideo</v>
      </c>
      <c r="N243" s="25" t="str">
        <f t="shared" si="24"/>
        <v>Elemento Aparelho Avi</v>
      </c>
      <c r="O243" s="25" t="str">
        <f t="shared" si="24"/>
        <v>Monitor</v>
      </c>
      <c r="P243" s="21" t="s">
        <v>1027</v>
      </c>
      <c r="Q243" s="21" t="s">
        <v>1028</v>
      </c>
      <c r="R243" s="21" t="s">
        <v>1029</v>
      </c>
      <c r="S243" s="55" t="s">
        <v>9</v>
      </c>
      <c r="T243" s="51" t="str">
        <f t="shared" si="22"/>
        <v>De Telecom</v>
      </c>
      <c r="U243" s="51" t="str">
        <f t="shared" si="22"/>
        <v>Elementos de AudioVideo</v>
      </c>
      <c r="V243" s="51" t="str">
        <f t="shared" si="22"/>
        <v>Elemento Aparelho Avi</v>
      </c>
      <c r="W243" s="21" t="s">
        <v>99</v>
      </c>
      <c r="X243" s="42" t="str">
        <f t="shared" si="21"/>
        <v>Key-INTEL-243</v>
      </c>
      <c r="Y243" s="21" t="s">
        <v>1007</v>
      </c>
      <c r="Z243" s="52" t="s">
        <v>9</v>
      </c>
      <c r="AA243" s="20" t="s">
        <v>1030</v>
      </c>
      <c r="AB243" s="52" t="s">
        <v>9</v>
      </c>
      <c r="AC243" s="21" t="s">
        <v>1009</v>
      </c>
      <c r="AD243" s="52" t="s">
        <v>9</v>
      </c>
    </row>
    <row r="244" spans="1:30" ht="6.75" customHeight="1" x14ac:dyDescent="0.25">
      <c r="A244" s="41">
        <v>244</v>
      </c>
      <c r="B244" s="1" t="s">
        <v>594</v>
      </c>
      <c r="C244" s="24" t="s">
        <v>1366</v>
      </c>
      <c r="D244" s="1" t="s">
        <v>1002</v>
      </c>
      <c r="E244" s="1" t="s">
        <v>1709</v>
      </c>
      <c r="F244" s="39" t="s">
        <v>1031</v>
      </c>
      <c r="G244" s="45" t="s">
        <v>9</v>
      </c>
      <c r="H244" s="45" t="s">
        <v>9</v>
      </c>
      <c r="I244" s="45" t="s">
        <v>9</v>
      </c>
      <c r="J244" s="45" t="s">
        <v>9</v>
      </c>
      <c r="K244" s="45" t="s">
        <v>9</v>
      </c>
      <c r="L244" s="25" t="str">
        <f t="shared" si="23"/>
        <v>De.Telecom</v>
      </c>
      <c r="M244" s="25" t="str">
        <f t="shared" si="23"/>
        <v>Elementos.de.AudioVideo</v>
      </c>
      <c r="N244" s="25" t="str">
        <f t="shared" si="24"/>
        <v>Elemento Aparelho Avi</v>
      </c>
      <c r="O244" s="25" t="str">
        <f t="shared" si="24"/>
        <v>Microfone</v>
      </c>
      <c r="P244" s="21" t="s">
        <v>1032</v>
      </c>
      <c r="Q244" s="21" t="s">
        <v>1033</v>
      </c>
      <c r="R244" s="21" t="s">
        <v>1034</v>
      </c>
      <c r="S244" s="55" t="s">
        <v>9</v>
      </c>
      <c r="T244" s="51" t="str">
        <f t="shared" si="22"/>
        <v>De Telecom</v>
      </c>
      <c r="U244" s="51" t="str">
        <f t="shared" si="22"/>
        <v>Elementos de AudioVideo</v>
      </c>
      <c r="V244" s="51" t="str">
        <f t="shared" si="22"/>
        <v>Elemento Aparelho Avi</v>
      </c>
      <c r="W244" s="21" t="s">
        <v>99</v>
      </c>
      <c r="X244" s="42" t="str">
        <f t="shared" si="21"/>
        <v>Key-INTEL-244</v>
      </c>
      <c r="Y244" s="21" t="s">
        <v>1007</v>
      </c>
      <c r="Z244" s="52" t="s">
        <v>9</v>
      </c>
      <c r="AA244" s="20" t="s">
        <v>1035</v>
      </c>
      <c r="AB244" s="52" t="s">
        <v>9</v>
      </c>
      <c r="AC244" s="21" t="s">
        <v>1009</v>
      </c>
      <c r="AD244" s="52" t="s">
        <v>9</v>
      </c>
    </row>
    <row r="245" spans="1:30" ht="6.75" customHeight="1" x14ac:dyDescent="0.25">
      <c r="A245" s="41">
        <v>245</v>
      </c>
      <c r="B245" s="1" t="s">
        <v>594</v>
      </c>
      <c r="C245" s="24" t="s">
        <v>1366</v>
      </c>
      <c r="D245" s="1" t="s">
        <v>1002</v>
      </c>
      <c r="E245" s="1" t="s">
        <v>1709</v>
      </c>
      <c r="F245" s="39" t="s">
        <v>1036</v>
      </c>
      <c r="G245" s="45" t="s">
        <v>9</v>
      </c>
      <c r="H245" s="45" t="s">
        <v>9</v>
      </c>
      <c r="I245" s="45" t="s">
        <v>9</v>
      </c>
      <c r="J245" s="45" t="s">
        <v>9</v>
      </c>
      <c r="K245" s="45" t="s">
        <v>9</v>
      </c>
      <c r="L245" s="25" t="str">
        <f t="shared" si="23"/>
        <v>De.Telecom</v>
      </c>
      <c r="M245" s="25" t="str">
        <f t="shared" si="23"/>
        <v>Elementos.de.AudioVideo</v>
      </c>
      <c r="N245" s="25" t="str">
        <f t="shared" si="24"/>
        <v>Elemento Aparelho Avi</v>
      </c>
      <c r="O245" s="25" t="str">
        <f t="shared" si="24"/>
        <v>Reprodutor</v>
      </c>
      <c r="P245" s="21" t="s">
        <v>1037</v>
      </c>
      <c r="Q245" s="21" t="s">
        <v>1038</v>
      </c>
      <c r="R245" s="21" t="s">
        <v>1039</v>
      </c>
      <c r="S245" s="55" t="s">
        <v>9</v>
      </c>
      <c r="T245" s="51" t="str">
        <f t="shared" si="22"/>
        <v>De Telecom</v>
      </c>
      <c r="U245" s="51" t="str">
        <f t="shared" si="22"/>
        <v>Elementos de AudioVideo</v>
      </c>
      <c r="V245" s="51" t="str">
        <f t="shared" si="22"/>
        <v>Elemento Aparelho Avi</v>
      </c>
      <c r="W245" s="21" t="s">
        <v>99</v>
      </c>
      <c r="X245" s="42" t="str">
        <f t="shared" si="21"/>
        <v>Key-INTEL-245</v>
      </c>
      <c r="Y245" s="21" t="s">
        <v>1007</v>
      </c>
      <c r="Z245" s="52" t="s">
        <v>9</v>
      </c>
      <c r="AA245" s="20" t="s">
        <v>1040</v>
      </c>
      <c r="AB245" s="52" t="s">
        <v>9</v>
      </c>
      <c r="AC245" s="21" t="s">
        <v>1009</v>
      </c>
      <c r="AD245" s="52" t="s">
        <v>9</v>
      </c>
    </row>
    <row r="246" spans="1:30" ht="6.75" customHeight="1" x14ac:dyDescent="0.25">
      <c r="A246" s="41">
        <v>246</v>
      </c>
      <c r="B246" s="1" t="s">
        <v>594</v>
      </c>
      <c r="C246" s="24" t="s">
        <v>1366</v>
      </c>
      <c r="D246" s="1" t="s">
        <v>1002</v>
      </c>
      <c r="E246" s="1" t="s">
        <v>1709</v>
      </c>
      <c r="F246" s="39" t="s">
        <v>1041</v>
      </c>
      <c r="G246" s="45" t="s">
        <v>9</v>
      </c>
      <c r="H246" s="45" t="s">
        <v>9</v>
      </c>
      <c r="I246" s="45" t="s">
        <v>9</v>
      </c>
      <c r="J246" s="45" t="s">
        <v>9</v>
      </c>
      <c r="K246" s="45" t="s">
        <v>9</v>
      </c>
      <c r="L246" s="25" t="str">
        <f t="shared" si="23"/>
        <v>De.Telecom</v>
      </c>
      <c r="M246" s="25" t="str">
        <f t="shared" si="23"/>
        <v>Elementos.de.AudioVideo</v>
      </c>
      <c r="N246" s="25" t="str">
        <f t="shared" si="24"/>
        <v>Elemento Aparelho Avi</v>
      </c>
      <c r="O246" s="25" t="str">
        <f t="shared" si="24"/>
        <v>Projetor</v>
      </c>
      <c r="P246" s="21" t="s">
        <v>1042</v>
      </c>
      <c r="Q246" s="21" t="s">
        <v>1043</v>
      </c>
      <c r="R246" s="21" t="s">
        <v>1044</v>
      </c>
      <c r="S246" s="55" t="s">
        <v>9</v>
      </c>
      <c r="T246" s="51" t="str">
        <f t="shared" si="22"/>
        <v>De Telecom</v>
      </c>
      <c r="U246" s="51" t="str">
        <f t="shared" si="22"/>
        <v>Elementos de AudioVideo</v>
      </c>
      <c r="V246" s="51" t="str">
        <f t="shared" si="22"/>
        <v>Elemento Aparelho Avi</v>
      </c>
      <c r="W246" s="21" t="s">
        <v>99</v>
      </c>
      <c r="X246" s="42" t="str">
        <f t="shared" si="21"/>
        <v>Key-INTEL-246</v>
      </c>
      <c r="Y246" s="21" t="s">
        <v>1007</v>
      </c>
      <c r="Z246" s="52" t="s">
        <v>9</v>
      </c>
      <c r="AA246" s="20" t="s">
        <v>1045</v>
      </c>
      <c r="AB246" s="52" t="s">
        <v>9</v>
      </c>
      <c r="AC246" s="21" t="s">
        <v>1009</v>
      </c>
      <c r="AD246" s="52" t="s">
        <v>9</v>
      </c>
    </row>
    <row r="247" spans="1:30" ht="6.75" customHeight="1" x14ac:dyDescent="0.25">
      <c r="A247" s="41">
        <v>247</v>
      </c>
      <c r="B247" s="1" t="s">
        <v>594</v>
      </c>
      <c r="C247" s="24" t="s">
        <v>1366</v>
      </c>
      <c r="D247" s="1" t="s">
        <v>1002</v>
      </c>
      <c r="E247" s="1" t="s">
        <v>1709</v>
      </c>
      <c r="F247" s="39" t="s">
        <v>1046</v>
      </c>
      <c r="G247" s="45" t="s">
        <v>9</v>
      </c>
      <c r="H247" s="45" t="s">
        <v>9</v>
      </c>
      <c r="I247" s="45" t="s">
        <v>9</v>
      </c>
      <c r="J247" s="45" t="s">
        <v>9</v>
      </c>
      <c r="K247" s="45" t="s">
        <v>9</v>
      </c>
      <c r="L247" s="25" t="str">
        <f t="shared" si="23"/>
        <v>De.Telecom</v>
      </c>
      <c r="M247" s="25" t="str">
        <f t="shared" si="23"/>
        <v>Elementos.de.AudioVideo</v>
      </c>
      <c r="N247" s="25" t="str">
        <f t="shared" si="24"/>
        <v>Elemento Aparelho Avi</v>
      </c>
      <c r="O247" s="25" t="str">
        <f t="shared" si="24"/>
        <v>Receptor</v>
      </c>
      <c r="P247" s="21" t="s">
        <v>1047</v>
      </c>
      <c r="Q247" s="21" t="s">
        <v>1048</v>
      </c>
      <c r="R247" s="21" t="s">
        <v>1049</v>
      </c>
      <c r="S247" s="55" t="s">
        <v>9</v>
      </c>
      <c r="T247" s="51" t="str">
        <f t="shared" si="22"/>
        <v>De Telecom</v>
      </c>
      <c r="U247" s="51" t="str">
        <f t="shared" si="22"/>
        <v>Elementos de AudioVideo</v>
      </c>
      <c r="V247" s="51" t="str">
        <f t="shared" si="22"/>
        <v>Elemento Aparelho Avi</v>
      </c>
      <c r="W247" s="21" t="s">
        <v>99</v>
      </c>
      <c r="X247" s="42" t="str">
        <f t="shared" si="21"/>
        <v>Key-INTEL-247</v>
      </c>
      <c r="Y247" s="21" t="s">
        <v>1007</v>
      </c>
      <c r="Z247" s="52" t="s">
        <v>9</v>
      </c>
      <c r="AA247" s="20" t="s">
        <v>1050</v>
      </c>
      <c r="AB247" s="52" t="s">
        <v>9</v>
      </c>
      <c r="AC247" s="21" t="s">
        <v>1009</v>
      </c>
      <c r="AD247" s="52" t="s">
        <v>9</v>
      </c>
    </row>
    <row r="248" spans="1:30" ht="6.75" customHeight="1" x14ac:dyDescent="0.25">
      <c r="A248" s="41">
        <v>248</v>
      </c>
      <c r="B248" s="1" t="s">
        <v>594</v>
      </c>
      <c r="C248" s="24" t="s">
        <v>1366</v>
      </c>
      <c r="D248" s="1" t="s">
        <v>1002</v>
      </c>
      <c r="E248" s="1" t="s">
        <v>1709</v>
      </c>
      <c r="F248" s="39" t="s">
        <v>1051</v>
      </c>
      <c r="G248" s="45" t="s">
        <v>9</v>
      </c>
      <c r="H248" s="45" t="s">
        <v>9</v>
      </c>
      <c r="I248" s="45" t="s">
        <v>9</v>
      </c>
      <c r="J248" s="45" t="s">
        <v>9</v>
      </c>
      <c r="K248" s="45" t="s">
        <v>9</v>
      </c>
      <c r="L248" s="25" t="str">
        <f t="shared" si="23"/>
        <v>De.Telecom</v>
      </c>
      <c r="M248" s="25" t="str">
        <f t="shared" si="23"/>
        <v>Elementos.de.AudioVideo</v>
      </c>
      <c r="N248" s="25" t="str">
        <f t="shared" si="24"/>
        <v>Elemento Aparelho Avi</v>
      </c>
      <c r="O248" s="25" t="str">
        <f t="shared" si="24"/>
        <v>Gravador</v>
      </c>
      <c r="P248" s="21" t="s">
        <v>1052</v>
      </c>
      <c r="Q248" s="21" t="s">
        <v>1053</v>
      </c>
      <c r="R248" s="21" t="s">
        <v>1054</v>
      </c>
      <c r="S248" s="55" t="s">
        <v>9</v>
      </c>
      <c r="T248" s="51" t="str">
        <f t="shared" si="22"/>
        <v>De Telecom</v>
      </c>
      <c r="U248" s="51" t="str">
        <f t="shared" si="22"/>
        <v>Elementos de AudioVideo</v>
      </c>
      <c r="V248" s="51" t="str">
        <f t="shared" si="22"/>
        <v>Elemento Aparelho Avi</v>
      </c>
      <c r="W248" s="21" t="s">
        <v>99</v>
      </c>
      <c r="X248" s="42" t="str">
        <f t="shared" si="21"/>
        <v>Key-INTEL-248</v>
      </c>
      <c r="Y248" s="21" t="s">
        <v>1007</v>
      </c>
      <c r="Z248" s="52" t="s">
        <v>9</v>
      </c>
      <c r="AA248" s="20" t="s">
        <v>1055</v>
      </c>
      <c r="AB248" s="52" t="s">
        <v>9</v>
      </c>
      <c r="AC248" s="21" t="s">
        <v>1009</v>
      </c>
      <c r="AD248" s="52" t="s">
        <v>9</v>
      </c>
    </row>
    <row r="249" spans="1:30" ht="6.75" customHeight="1" x14ac:dyDescent="0.25">
      <c r="A249" s="41">
        <v>249</v>
      </c>
      <c r="B249" s="1" t="s">
        <v>594</v>
      </c>
      <c r="C249" s="24" t="s">
        <v>1366</v>
      </c>
      <c r="D249" s="1" t="s">
        <v>1002</v>
      </c>
      <c r="E249" s="1" t="s">
        <v>1709</v>
      </c>
      <c r="F249" s="39" t="s">
        <v>1056</v>
      </c>
      <c r="G249" s="45" t="s">
        <v>9</v>
      </c>
      <c r="H249" s="45" t="s">
        <v>9</v>
      </c>
      <c r="I249" s="45" t="s">
        <v>9</v>
      </c>
      <c r="J249" s="45" t="s">
        <v>9</v>
      </c>
      <c r="K249" s="45" t="s">
        <v>9</v>
      </c>
      <c r="L249" s="25" t="str">
        <f t="shared" si="23"/>
        <v>De.Telecom</v>
      </c>
      <c r="M249" s="25" t="str">
        <f t="shared" si="23"/>
        <v>Elementos.de.AudioVideo</v>
      </c>
      <c r="N249" s="25" t="str">
        <f t="shared" si="24"/>
        <v>Elemento Aparelho Avi</v>
      </c>
      <c r="O249" s="25" t="str">
        <f t="shared" si="24"/>
        <v>AltoFalante</v>
      </c>
      <c r="P249" s="21" t="s">
        <v>1057</v>
      </c>
      <c r="Q249" s="21" t="s">
        <v>1058</v>
      </c>
      <c r="R249" s="21" t="s">
        <v>1059</v>
      </c>
      <c r="S249" s="55" t="s">
        <v>9</v>
      </c>
      <c r="T249" s="51" t="str">
        <f t="shared" si="22"/>
        <v>De Telecom</v>
      </c>
      <c r="U249" s="51" t="str">
        <f t="shared" si="22"/>
        <v>Elementos de AudioVideo</v>
      </c>
      <c r="V249" s="51" t="str">
        <f t="shared" si="22"/>
        <v>Elemento Aparelho Avi</v>
      </c>
      <c r="W249" s="21" t="s">
        <v>99</v>
      </c>
      <c r="X249" s="42" t="str">
        <f t="shared" si="21"/>
        <v>Key-INTEL-249</v>
      </c>
      <c r="Y249" s="21" t="s">
        <v>1007</v>
      </c>
      <c r="Z249" s="52" t="s">
        <v>9</v>
      </c>
      <c r="AA249" s="20" t="s">
        <v>1060</v>
      </c>
      <c r="AB249" s="52" t="s">
        <v>9</v>
      </c>
      <c r="AC249" s="21" t="s">
        <v>1009</v>
      </c>
      <c r="AD249" s="52" t="s">
        <v>9</v>
      </c>
    </row>
    <row r="250" spans="1:30" ht="6.75" customHeight="1" x14ac:dyDescent="0.25">
      <c r="A250" s="41">
        <v>250</v>
      </c>
      <c r="B250" s="1" t="s">
        <v>594</v>
      </c>
      <c r="C250" s="24" t="s">
        <v>1366</v>
      </c>
      <c r="D250" s="1" t="s">
        <v>1002</v>
      </c>
      <c r="E250" s="1" t="s">
        <v>1709</v>
      </c>
      <c r="F250" s="39" t="s">
        <v>1061</v>
      </c>
      <c r="G250" s="45" t="s">
        <v>9</v>
      </c>
      <c r="H250" s="45" t="s">
        <v>9</v>
      </c>
      <c r="I250" s="45" t="s">
        <v>9</v>
      </c>
      <c r="J250" s="45" t="s">
        <v>9</v>
      </c>
      <c r="K250" s="45" t="s">
        <v>9</v>
      </c>
      <c r="L250" s="25" t="str">
        <f t="shared" si="23"/>
        <v>De.Telecom</v>
      </c>
      <c r="M250" s="25" t="str">
        <f t="shared" si="23"/>
        <v>Elementos.de.AudioVideo</v>
      </c>
      <c r="N250" s="25" t="str">
        <f t="shared" si="24"/>
        <v>Elemento Aparelho Avi</v>
      </c>
      <c r="O250" s="25" t="str">
        <f t="shared" si="24"/>
        <v>Equalizador</v>
      </c>
      <c r="P250" s="21" t="s">
        <v>1062</v>
      </c>
      <c r="Q250" s="21" t="s">
        <v>1063</v>
      </c>
      <c r="R250" s="21" t="s">
        <v>1064</v>
      </c>
      <c r="S250" s="55" t="s">
        <v>9</v>
      </c>
      <c r="T250" s="51" t="str">
        <f t="shared" si="22"/>
        <v>De Telecom</v>
      </c>
      <c r="U250" s="51" t="str">
        <f t="shared" si="22"/>
        <v>Elementos de AudioVideo</v>
      </c>
      <c r="V250" s="51" t="str">
        <f t="shared" si="22"/>
        <v>Elemento Aparelho Avi</v>
      </c>
      <c r="W250" s="21" t="s">
        <v>99</v>
      </c>
      <c r="X250" s="42" t="str">
        <f t="shared" si="21"/>
        <v>Key-INTEL-250</v>
      </c>
      <c r="Y250" s="21" t="s">
        <v>1007</v>
      </c>
      <c r="Z250" s="52" t="s">
        <v>9</v>
      </c>
      <c r="AA250" s="20" t="s">
        <v>1065</v>
      </c>
      <c r="AB250" s="52" t="s">
        <v>9</v>
      </c>
      <c r="AC250" s="21" t="s">
        <v>1009</v>
      </c>
      <c r="AD250" s="52" t="s">
        <v>9</v>
      </c>
    </row>
    <row r="251" spans="1:30" ht="6.75" customHeight="1" x14ac:dyDescent="0.25">
      <c r="A251" s="41">
        <v>251</v>
      </c>
      <c r="B251" s="1" t="s">
        <v>594</v>
      </c>
      <c r="C251" s="24" t="s">
        <v>1366</v>
      </c>
      <c r="D251" s="1" t="s">
        <v>1002</v>
      </c>
      <c r="E251" s="1" t="s">
        <v>1709</v>
      </c>
      <c r="F251" s="39" t="s">
        <v>1066</v>
      </c>
      <c r="G251" s="45" t="s">
        <v>9</v>
      </c>
      <c r="H251" s="45" t="s">
        <v>9</v>
      </c>
      <c r="I251" s="45" t="s">
        <v>9</v>
      </c>
      <c r="J251" s="45" t="s">
        <v>9</v>
      </c>
      <c r="K251" s="45" t="s">
        <v>9</v>
      </c>
      <c r="L251" s="25" t="str">
        <f t="shared" si="23"/>
        <v>De.Telecom</v>
      </c>
      <c r="M251" s="25" t="str">
        <f t="shared" si="23"/>
        <v>Elementos.de.AudioVideo</v>
      </c>
      <c r="N251" s="25" t="str">
        <f t="shared" si="24"/>
        <v>Elemento Aparelho Avi</v>
      </c>
      <c r="O251" s="25" t="str">
        <f t="shared" si="24"/>
        <v>Telefone</v>
      </c>
      <c r="P251" s="21" t="s">
        <v>1067</v>
      </c>
      <c r="Q251" s="21" t="s">
        <v>1068</v>
      </c>
      <c r="R251" s="21" t="s">
        <v>1069</v>
      </c>
      <c r="S251" s="55" t="s">
        <v>9</v>
      </c>
      <c r="T251" s="51" t="str">
        <f t="shared" si="22"/>
        <v>De Telecom</v>
      </c>
      <c r="U251" s="51" t="str">
        <f t="shared" si="22"/>
        <v>Elementos de AudioVideo</v>
      </c>
      <c r="V251" s="51" t="str">
        <f t="shared" si="22"/>
        <v>Elemento Aparelho Avi</v>
      </c>
      <c r="W251" s="21" t="s">
        <v>99</v>
      </c>
      <c r="X251" s="42" t="str">
        <f t="shared" si="21"/>
        <v>Key-INTEL-251</v>
      </c>
      <c r="Y251" s="21" t="s">
        <v>1024</v>
      </c>
      <c r="Z251" s="52" t="s">
        <v>9</v>
      </c>
      <c r="AA251" s="20" t="s">
        <v>1070</v>
      </c>
      <c r="AB251" s="52" t="s">
        <v>9</v>
      </c>
      <c r="AC251" s="21" t="s">
        <v>1009</v>
      </c>
      <c r="AD251" s="52" t="s">
        <v>9</v>
      </c>
    </row>
    <row r="252" spans="1:30" ht="6.75" customHeight="1" x14ac:dyDescent="0.25">
      <c r="A252" s="41">
        <v>252</v>
      </c>
      <c r="B252" s="1" t="s">
        <v>594</v>
      </c>
      <c r="C252" s="24" t="s">
        <v>1366</v>
      </c>
      <c r="D252" s="1" t="s">
        <v>1002</v>
      </c>
      <c r="E252" s="1" t="s">
        <v>1709</v>
      </c>
      <c r="F252" s="39" t="s">
        <v>1071</v>
      </c>
      <c r="G252" s="45" t="s">
        <v>9</v>
      </c>
      <c r="H252" s="45" t="s">
        <v>9</v>
      </c>
      <c r="I252" s="45" t="s">
        <v>9</v>
      </c>
      <c r="J252" s="45" t="s">
        <v>9</v>
      </c>
      <c r="K252" s="45" t="s">
        <v>9</v>
      </c>
      <c r="L252" s="25" t="str">
        <f t="shared" si="23"/>
        <v>De.Telecom</v>
      </c>
      <c r="M252" s="25" t="str">
        <f t="shared" si="23"/>
        <v>Elementos.de.AudioVideo</v>
      </c>
      <c r="N252" s="25" t="str">
        <f t="shared" si="24"/>
        <v>Elemento Aparelho Avi</v>
      </c>
      <c r="O252" s="25" t="str">
        <f t="shared" si="24"/>
        <v>Sintonizador</v>
      </c>
      <c r="P252" s="21" t="s">
        <v>1072</v>
      </c>
      <c r="Q252" s="21" t="s">
        <v>1073</v>
      </c>
      <c r="R252" s="21" t="s">
        <v>1074</v>
      </c>
      <c r="S252" s="55" t="s">
        <v>9</v>
      </c>
      <c r="T252" s="51" t="str">
        <f t="shared" si="22"/>
        <v>De Telecom</v>
      </c>
      <c r="U252" s="51" t="str">
        <f t="shared" si="22"/>
        <v>Elementos de AudioVideo</v>
      </c>
      <c r="V252" s="51" t="str">
        <f t="shared" si="22"/>
        <v>Elemento Aparelho Avi</v>
      </c>
      <c r="W252" s="21" t="s">
        <v>99</v>
      </c>
      <c r="X252" s="42" t="str">
        <f t="shared" si="21"/>
        <v>Key-INTEL-252</v>
      </c>
      <c r="Y252" s="21" t="s">
        <v>1007</v>
      </c>
      <c r="Z252" s="52" t="s">
        <v>9</v>
      </c>
      <c r="AA252" s="20" t="s">
        <v>1075</v>
      </c>
      <c r="AB252" s="52" t="s">
        <v>9</v>
      </c>
      <c r="AC252" s="21" t="s">
        <v>1009</v>
      </c>
      <c r="AD252" s="52" t="s">
        <v>9</v>
      </c>
    </row>
    <row r="253" spans="1:30" ht="6.75" customHeight="1" x14ac:dyDescent="0.25">
      <c r="A253" s="41">
        <v>253</v>
      </c>
      <c r="B253" s="1" t="s">
        <v>594</v>
      </c>
      <c r="C253" s="24" t="s">
        <v>1366</v>
      </c>
      <c r="D253" s="1" t="s">
        <v>1076</v>
      </c>
      <c r="E253" s="1" t="s">
        <v>1710</v>
      </c>
      <c r="F253" s="39" t="s">
        <v>1077</v>
      </c>
      <c r="G253" s="45" t="s">
        <v>9</v>
      </c>
      <c r="H253" s="45" t="s">
        <v>9</v>
      </c>
      <c r="I253" s="45" t="s">
        <v>9</v>
      </c>
      <c r="J253" s="45" t="s">
        <v>9</v>
      </c>
      <c r="K253" s="45" t="s">
        <v>9</v>
      </c>
      <c r="L253" s="25" t="str">
        <f t="shared" si="23"/>
        <v>De.Telecom</v>
      </c>
      <c r="M253" s="25" t="str">
        <f t="shared" si="23"/>
        <v>Elementos.de.Comunicação</v>
      </c>
      <c r="N253" s="25" t="str">
        <f t="shared" si="24"/>
        <v>Elemento Comunicador Hospitalar</v>
      </c>
      <c r="O253" s="25" t="str">
        <f t="shared" si="24"/>
        <v>Chamada Enfermagem</v>
      </c>
      <c r="P253" s="21" t="s">
        <v>1078</v>
      </c>
      <c r="Q253" s="21" t="s">
        <v>1079</v>
      </c>
      <c r="R253" s="21" t="s">
        <v>1080</v>
      </c>
      <c r="S253" s="55" t="s">
        <v>9</v>
      </c>
      <c r="T253" s="51" t="str">
        <f t="shared" si="22"/>
        <v>De Telecom</v>
      </c>
      <c r="U253" s="51" t="str">
        <f t="shared" si="22"/>
        <v>Elementos de Comunicação</v>
      </c>
      <c r="V253" s="51" t="str">
        <f t="shared" si="22"/>
        <v>Elemento Comunicador Hospitalar</v>
      </c>
      <c r="W253" s="21" t="s">
        <v>99</v>
      </c>
      <c r="X253" s="42" t="str">
        <f t="shared" si="21"/>
        <v>Key-INTEL-253</v>
      </c>
      <c r="Y253" s="21" t="s">
        <v>1081</v>
      </c>
      <c r="Z253" s="52" t="s">
        <v>9</v>
      </c>
      <c r="AA253" s="20" t="s">
        <v>1082</v>
      </c>
      <c r="AB253" s="52" t="s">
        <v>9</v>
      </c>
      <c r="AC253" s="21" t="s">
        <v>1009</v>
      </c>
      <c r="AD253" s="52" t="s">
        <v>9</v>
      </c>
    </row>
    <row r="254" spans="1:30" ht="6.75" customHeight="1" x14ac:dyDescent="0.25">
      <c r="A254" s="41">
        <v>254</v>
      </c>
      <c r="B254" s="1" t="s">
        <v>594</v>
      </c>
      <c r="C254" s="24" t="s">
        <v>1366</v>
      </c>
      <c r="D254" s="1" t="s">
        <v>1076</v>
      </c>
      <c r="E254" s="1" t="s">
        <v>1711</v>
      </c>
      <c r="F254" s="39" t="s">
        <v>1083</v>
      </c>
      <c r="G254" s="45" t="s">
        <v>9</v>
      </c>
      <c r="H254" s="45" t="s">
        <v>9</v>
      </c>
      <c r="I254" s="45" t="s">
        <v>9</v>
      </c>
      <c r="J254" s="45" t="s">
        <v>9</v>
      </c>
      <c r="K254" s="45" t="s">
        <v>9</v>
      </c>
      <c r="L254" s="25" t="str">
        <f t="shared" si="23"/>
        <v>De.Telecom</v>
      </c>
      <c r="M254" s="25" t="str">
        <f t="shared" si="23"/>
        <v>Elementos.de.Comunicação</v>
      </c>
      <c r="N254" s="25" t="str">
        <f t="shared" si="24"/>
        <v>Elemento Interfonia</v>
      </c>
      <c r="O254" s="25" t="str">
        <f t="shared" si="24"/>
        <v>Interfone</v>
      </c>
      <c r="P254" s="20" t="s">
        <v>1084</v>
      </c>
      <c r="Q254" s="20" t="s">
        <v>1085</v>
      </c>
      <c r="R254" s="21" t="s">
        <v>1086</v>
      </c>
      <c r="S254" s="55" t="s">
        <v>9</v>
      </c>
      <c r="T254" s="51" t="str">
        <f t="shared" si="22"/>
        <v>De Telecom</v>
      </c>
      <c r="U254" s="51" t="str">
        <f t="shared" si="22"/>
        <v>Elementos de Comunicação</v>
      </c>
      <c r="V254" s="51" t="str">
        <f t="shared" si="22"/>
        <v>Elemento Interfonia</v>
      </c>
      <c r="W254" s="21" t="s">
        <v>99</v>
      </c>
      <c r="X254" s="42" t="str">
        <f t="shared" si="21"/>
        <v>Key-INTEL-254</v>
      </c>
      <c r="Y254" s="20" t="s">
        <v>1087</v>
      </c>
      <c r="Z254" s="52" t="s">
        <v>9</v>
      </c>
      <c r="AA254" s="20" t="s">
        <v>1088</v>
      </c>
      <c r="AB254" s="52" t="s">
        <v>9</v>
      </c>
      <c r="AC254" s="21" t="s">
        <v>1089</v>
      </c>
      <c r="AD254" s="52" t="s">
        <v>9</v>
      </c>
    </row>
    <row r="255" spans="1:30" ht="6.75" customHeight="1" x14ac:dyDescent="0.25">
      <c r="A255" s="41">
        <v>255</v>
      </c>
      <c r="B255" s="1" t="s">
        <v>594</v>
      </c>
      <c r="C255" s="24" t="s">
        <v>1366</v>
      </c>
      <c r="D255" s="1" t="s">
        <v>1076</v>
      </c>
      <c r="E255" s="1" t="s">
        <v>1711</v>
      </c>
      <c r="F255" s="39" t="s">
        <v>1090</v>
      </c>
      <c r="G255" s="45" t="s">
        <v>9</v>
      </c>
      <c r="H255" s="45" t="s">
        <v>9</v>
      </c>
      <c r="I255" s="45" t="s">
        <v>9</v>
      </c>
      <c r="J255" s="45" t="s">
        <v>9</v>
      </c>
      <c r="K255" s="45" t="s">
        <v>9</v>
      </c>
      <c r="L255" s="25" t="str">
        <f t="shared" si="23"/>
        <v>De.Telecom</v>
      </c>
      <c r="M255" s="25" t="str">
        <f t="shared" si="23"/>
        <v>Elementos.de.Comunicação</v>
      </c>
      <c r="N255" s="25" t="str">
        <f t="shared" si="24"/>
        <v>Elemento Interfonia</v>
      </c>
      <c r="O255" s="25" t="str">
        <f t="shared" si="24"/>
        <v>Interfone Elevador</v>
      </c>
      <c r="P255" s="20" t="s">
        <v>1091</v>
      </c>
      <c r="Q255" s="20" t="s">
        <v>1092</v>
      </c>
      <c r="R255" s="21" t="s">
        <v>1093</v>
      </c>
      <c r="S255" s="55" t="s">
        <v>9</v>
      </c>
      <c r="T255" s="51" t="str">
        <f t="shared" si="22"/>
        <v>De Telecom</v>
      </c>
      <c r="U255" s="51" t="str">
        <f t="shared" si="22"/>
        <v>Elementos de Comunicação</v>
      </c>
      <c r="V255" s="51" t="str">
        <f t="shared" si="22"/>
        <v>Elemento Interfonia</v>
      </c>
      <c r="W255" s="21" t="s">
        <v>99</v>
      </c>
      <c r="X255" s="42" t="str">
        <f t="shared" si="21"/>
        <v>Key-INTEL-255</v>
      </c>
      <c r="Y255" s="20" t="s">
        <v>1087</v>
      </c>
      <c r="Z255" s="52" t="s">
        <v>9</v>
      </c>
      <c r="AA255" s="20" t="s">
        <v>1088</v>
      </c>
      <c r="AB255" s="52" t="s">
        <v>9</v>
      </c>
      <c r="AC255" s="21" t="s">
        <v>1089</v>
      </c>
      <c r="AD255" s="52" t="s">
        <v>9</v>
      </c>
    </row>
    <row r="256" spans="1:30" ht="6.75" customHeight="1" x14ac:dyDescent="0.25">
      <c r="A256" s="41">
        <v>256</v>
      </c>
      <c r="B256" s="1" t="s">
        <v>594</v>
      </c>
      <c r="C256" s="24" t="s">
        <v>1366</v>
      </c>
      <c r="D256" s="1" t="s">
        <v>1076</v>
      </c>
      <c r="E256" s="1" t="s">
        <v>1712</v>
      </c>
      <c r="F256" s="39" t="s">
        <v>1094</v>
      </c>
      <c r="G256" s="45" t="s">
        <v>9</v>
      </c>
      <c r="H256" s="45" t="s">
        <v>9</v>
      </c>
      <c r="I256" s="45" t="s">
        <v>9</v>
      </c>
      <c r="J256" s="45" t="s">
        <v>9</v>
      </c>
      <c r="K256" s="45" t="s">
        <v>9</v>
      </c>
      <c r="L256" s="25" t="str">
        <f t="shared" si="23"/>
        <v>De.Telecom</v>
      </c>
      <c r="M256" s="25" t="str">
        <f t="shared" si="23"/>
        <v>Elementos.de.Comunicação</v>
      </c>
      <c r="N256" s="25" t="str">
        <f t="shared" si="24"/>
        <v>Elemento Banco Eletrônico</v>
      </c>
      <c r="O256" s="25" t="str">
        <f t="shared" si="24"/>
        <v>Caixa Eletrônico</v>
      </c>
      <c r="P256" s="20" t="s">
        <v>1095</v>
      </c>
      <c r="Q256" s="20" t="s">
        <v>1096</v>
      </c>
      <c r="R256" s="21" t="s">
        <v>1097</v>
      </c>
      <c r="S256" s="55" t="s">
        <v>9</v>
      </c>
      <c r="T256" s="51" t="str">
        <f t="shared" si="22"/>
        <v>De Telecom</v>
      </c>
      <c r="U256" s="51" t="str">
        <f t="shared" si="22"/>
        <v>Elementos de Comunicação</v>
      </c>
      <c r="V256" s="51" t="str">
        <f t="shared" si="22"/>
        <v>Elemento Banco Eletrônico</v>
      </c>
      <c r="W256" s="21" t="s">
        <v>99</v>
      </c>
      <c r="X256" s="42" t="str">
        <f t="shared" si="21"/>
        <v>Key-INTEL-256</v>
      </c>
      <c r="Y256" s="21" t="s">
        <v>1098</v>
      </c>
      <c r="Z256" s="52" t="s">
        <v>9</v>
      </c>
      <c r="AA256" s="20" t="s">
        <v>1088</v>
      </c>
      <c r="AB256" s="52" t="s">
        <v>9</v>
      </c>
      <c r="AC256" s="21" t="s">
        <v>1009</v>
      </c>
      <c r="AD256" s="52" t="s">
        <v>9</v>
      </c>
    </row>
    <row r="257" spans="1:30" ht="6.75" customHeight="1" x14ac:dyDescent="0.25">
      <c r="A257" s="41">
        <v>257</v>
      </c>
      <c r="B257" s="1" t="s">
        <v>594</v>
      </c>
      <c r="C257" s="24" t="s">
        <v>1366</v>
      </c>
      <c r="D257" s="1" t="s">
        <v>1076</v>
      </c>
      <c r="E257" s="1" t="s">
        <v>1713</v>
      </c>
      <c r="F257" s="39" t="s">
        <v>1099</v>
      </c>
      <c r="G257" s="45" t="s">
        <v>9</v>
      </c>
      <c r="H257" s="45" t="s">
        <v>9</v>
      </c>
      <c r="I257" s="45" t="s">
        <v>9</v>
      </c>
      <c r="J257" s="45" t="s">
        <v>9</v>
      </c>
      <c r="K257" s="45" t="s">
        <v>9</v>
      </c>
      <c r="L257" s="25" t="str">
        <f t="shared" si="23"/>
        <v>De.Telecom</v>
      </c>
      <c r="M257" s="25" t="str">
        <f t="shared" si="23"/>
        <v>Elementos.de.Comunicação</v>
      </c>
      <c r="N257" s="25" t="str">
        <f t="shared" si="24"/>
        <v>Elemento Totem Dinâmico</v>
      </c>
      <c r="O257" s="25" t="str">
        <f t="shared" si="24"/>
        <v>Totem Info</v>
      </c>
      <c r="P257" s="20" t="s">
        <v>1100</v>
      </c>
      <c r="Q257" s="20" t="s">
        <v>1101</v>
      </c>
      <c r="R257" s="21" t="s">
        <v>1102</v>
      </c>
      <c r="S257" s="55" t="s">
        <v>9</v>
      </c>
      <c r="T257" s="51" t="str">
        <f t="shared" si="22"/>
        <v>De Telecom</v>
      </c>
      <c r="U257" s="51" t="str">
        <f t="shared" si="22"/>
        <v>Elementos de Comunicação</v>
      </c>
      <c r="V257" s="51" t="str">
        <f t="shared" si="22"/>
        <v>Elemento Totem Dinâmico</v>
      </c>
      <c r="W257" s="21" t="s">
        <v>99</v>
      </c>
      <c r="X257" s="42" t="str">
        <f t="shared" si="21"/>
        <v>Key-INTEL-257</v>
      </c>
      <c r="Y257" s="20" t="s">
        <v>1098</v>
      </c>
      <c r="Z257" s="52" t="s">
        <v>9</v>
      </c>
      <c r="AA257" s="20" t="s">
        <v>1103</v>
      </c>
      <c r="AB257" s="52" t="s">
        <v>9</v>
      </c>
      <c r="AC257" s="21" t="s">
        <v>1104</v>
      </c>
      <c r="AD257" s="52" t="s">
        <v>9</v>
      </c>
    </row>
    <row r="258" spans="1:30" ht="6.75" customHeight="1" x14ac:dyDescent="0.25">
      <c r="A258" s="41">
        <v>258</v>
      </c>
      <c r="B258" s="1" t="s">
        <v>594</v>
      </c>
      <c r="C258" s="24" t="s">
        <v>1366</v>
      </c>
      <c r="D258" s="1" t="s">
        <v>1076</v>
      </c>
      <c r="E258" s="1" t="s">
        <v>1713</v>
      </c>
      <c r="F258" s="39" t="s">
        <v>1105</v>
      </c>
      <c r="G258" s="45" t="s">
        <v>9</v>
      </c>
      <c r="H258" s="45" t="s">
        <v>9</v>
      </c>
      <c r="I258" s="45" t="s">
        <v>9</v>
      </c>
      <c r="J258" s="45" t="s">
        <v>9</v>
      </c>
      <c r="K258" s="45" t="s">
        <v>9</v>
      </c>
      <c r="L258" s="25" t="str">
        <f t="shared" si="23"/>
        <v>De.Telecom</v>
      </c>
      <c r="M258" s="25" t="str">
        <f t="shared" si="23"/>
        <v>Elementos.de.Comunicação</v>
      </c>
      <c r="N258" s="25" t="str">
        <f t="shared" si="24"/>
        <v>Elemento Totem Dinâmico</v>
      </c>
      <c r="O258" s="25" t="str">
        <f t="shared" si="24"/>
        <v>Totem Audio</v>
      </c>
      <c r="P258" s="20" t="s">
        <v>1106</v>
      </c>
      <c r="Q258" s="20" t="s">
        <v>1107</v>
      </c>
      <c r="R258" s="21" t="s">
        <v>1108</v>
      </c>
      <c r="S258" s="55" t="s">
        <v>9</v>
      </c>
      <c r="T258" s="51" t="str">
        <f t="shared" si="22"/>
        <v>De Telecom</v>
      </c>
      <c r="U258" s="51" t="str">
        <f t="shared" si="22"/>
        <v>Elementos de Comunicação</v>
      </c>
      <c r="V258" s="51" t="str">
        <f t="shared" si="22"/>
        <v>Elemento Totem Dinâmico</v>
      </c>
      <c r="W258" s="21" t="s">
        <v>99</v>
      </c>
      <c r="X258" s="42" t="str">
        <f t="shared" si="21"/>
        <v>Key-INTEL-258</v>
      </c>
      <c r="Y258" s="20" t="s">
        <v>1098</v>
      </c>
      <c r="Z258" s="52" t="s">
        <v>9</v>
      </c>
      <c r="AA258" s="20" t="s">
        <v>1109</v>
      </c>
      <c r="AB258" s="52" t="s">
        <v>9</v>
      </c>
      <c r="AC258" s="21" t="s">
        <v>1104</v>
      </c>
      <c r="AD258" s="52" t="s">
        <v>9</v>
      </c>
    </row>
    <row r="259" spans="1:30" ht="6.75" customHeight="1" x14ac:dyDescent="0.25">
      <c r="A259" s="41">
        <v>259</v>
      </c>
      <c r="B259" s="1" t="s">
        <v>594</v>
      </c>
      <c r="C259" s="24" t="s">
        <v>1366</v>
      </c>
      <c r="D259" s="1" t="s">
        <v>1076</v>
      </c>
      <c r="E259" s="1" t="s">
        <v>1713</v>
      </c>
      <c r="F259" s="39" t="s">
        <v>1110</v>
      </c>
      <c r="G259" s="45" t="s">
        <v>9</v>
      </c>
      <c r="H259" s="45" t="s">
        <v>9</v>
      </c>
      <c r="I259" s="45" t="s">
        <v>9</v>
      </c>
      <c r="J259" s="45" t="s">
        <v>9</v>
      </c>
      <c r="K259" s="45" t="s">
        <v>9</v>
      </c>
      <c r="L259" s="25" t="str">
        <f t="shared" si="23"/>
        <v>De.Telecom</v>
      </c>
      <c r="M259" s="25" t="str">
        <f t="shared" si="23"/>
        <v>Elementos.de.Comunicação</v>
      </c>
      <c r="N259" s="25" t="str">
        <f t="shared" si="24"/>
        <v>Elemento Totem Dinâmico</v>
      </c>
      <c r="O259" s="25" t="str">
        <f t="shared" si="24"/>
        <v>Totem Video</v>
      </c>
      <c r="P259" s="20" t="s">
        <v>1111</v>
      </c>
      <c r="Q259" s="20" t="s">
        <v>1112</v>
      </c>
      <c r="R259" s="21" t="s">
        <v>1113</v>
      </c>
      <c r="S259" s="55" t="s">
        <v>9</v>
      </c>
      <c r="T259" s="51" t="str">
        <f t="shared" si="22"/>
        <v>De Telecom</v>
      </c>
      <c r="U259" s="51" t="str">
        <f t="shared" si="22"/>
        <v>Elementos de Comunicação</v>
      </c>
      <c r="V259" s="51" t="str">
        <f t="shared" si="22"/>
        <v>Elemento Totem Dinâmico</v>
      </c>
      <c r="W259" s="21" t="s">
        <v>99</v>
      </c>
      <c r="X259" s="42" t="str">
        <f t="shared" ref="X259:X322" si="25">CONCATENATE("Key-INTEL-",A259)</f>
        <v>Key-INTEL-259</v>
      </c>
      <c r="Y259" s="20" t="s">
        <v>1098</v>
      </c>
      <c r="Z259" s="52" t="s">
        <v>9</v>
      </c>
      <c r="AA259" s="20" t="s">
        <v>1114</v>
      </c>
      <c r="AB259" s="52" t="s">
        <v>9</v>
      </c>
      <c r="AC259" s="21" t="s">
        <v>1104</v>
      </c>
      <c r="AD259" s="52" t="s">
        <v>9</v>
      </c>
    </row>
    <row r="260" spans="1:30" ht="6.75" customHeight="1" x14ac:dyDescent="0.25">
      <c r="A260" s="41">
        <v>260</v>
      </c>
      <c r="B260" s="1" t="s">
        <v>594</v>
      </c>
      <c r="C260" s="24" t="s">
        <v>1366</v>
      </c>
      <c r="D260" s="1" t="s">
        <v>1076</v>
      </c>
      <c r="E260" s="1" t="s">
        <v>1713</v>
      </c>
      <c r="F260" s="39" t="s">
        <v>1115</v>
      </c>
      <c r="G260" s="45" t="s">
        <v>9</v>
      </c>
      <c r="H260" s="45" t="s">
        <v>9</v>
      </c>
      <c r="I260" s="45" t="s">
        <v>9</v>
      </c>
      <c r="J260" s="45" t="s">
        <v>9</v>
      </c>
      <c r="K260" s="45" t="s">
        <v>9</v>
      </c>
      <c r="L260" s="25" t="str">
        <f t="shared" si="23"/>
        <v>De.Telecom</v>
      </c>
      <c r="M260" s="25" t="str">
        <f t="shared" si="23"/>
        <v>Elementos.de.Comunicação</v>
      </c>
      <c r="N260" s="25" t="str">
        <f t="shared" si="24"/>
        <v>Elemento Totem Dinâmico</v>
      </c>
      <c r="O260" s="25" t="str">
        <f t="shared" si="24"/>
        <v>Totem Mixto</v>
      </c>
      <c r="P260" s="20" t="s">
        <v>1116</v>
      </c>
      <c r="Q260" s="20" t="s">
        <v>1117</v>
      </c>
      <c r="R260" s="21" t="s">
        <v>1118</v>
      </c>
      <c r="S260" s="55" t="s">
        <v>9</v>
      </c>
      <c r="T260" s="51" t="str">
        <f t="shared" si="22"/>
        <v>De Telecom</v>
      </c>
      <c r="U260" s="51" t="str">
        <f t="shared" si="22"/>
        <v>Elementos de Comunicação</v>
      </c>
      <c r="V260" s="51" t="str">
        <f t="shared" si="22"/>
        <v>Elemento Totem Dinâmico</v>
      </c>
      <c r="W260" s="21" t="s">
        <v>99</v>
      </c>
      <c r="X260" s="42" t="str">
        <f t="shared" si="25"/>
        <v>Key-INTEL-260</v>
      </c>
      <c r="Y260" s="20" t="s">
        <v>1098</v>
      </c>
      <c r="Z260" s="52" t="s">
        <v>9</v>
      </c>
      <c r="AA260" s="20" t="s">
        <v>1119</v>
      </c>
      <c r="AB260" s="52" t="s">
        <v>9</v>
      </c>
      <c r="AC260" s="21" t="s">
        <v>1104</v>
      </c>
      <c r="AD260" s="52" t="s">
        <v>9</v>
      </c>
    </row>
    <row r="261" spans="1:30" ht="6.75" customHeight="1" x14ac:dyDescent="0.25">
      <c r="A261" s="41">
        <v>261</v>
      </c>
      <c r="B261" s="1" t="s">
        <v>594</v>
      </c>
      <c r="C261" s="24" t="s">
        <v>1366</v>
      </c>
      <c r="D261" s="1" t="s">
        <v>1076</v>
      </c>
      <c r="E261" s="1" t="s">
        <v>1714</v>
      </c>
      <c r="F261" s="1" t="s">
        <v>1120</v>
      </c>
      <c r="G261" s="45" t="s">
        <v>9</v>
      </c>
      <c r="H261" s="45" t="s">
        <v>9</v>
      </c>
      <c r="I261" s="45" t="s">
        <v>9</v>
      </c>
      <c r="J261" s="45" t="s">
        <v>9</v>
      </c>
      <c r="K261" s="45" t="s">
        <v>9</v>
      </c>
      <c r="L261" s="25" t="str">
        <f t="shared" si="23"/>
        <v>De.Telecom</v>
      </c>
      <c r="M261" s="25" t="str">
        <f t="shared" si="23"/>
        <v>Elementos.de.Comunicação</v>
      </c>
      <c r="N261" s="25" t="str">
        <f t="shared" si="24"/>
        <v>Elemento Placa Estática</v>
      </c>
      <c r="O261" s="25" t="str">
        <f t="shared" si="24"/>
        <v>Placa Info</v>
      </c>
      <c r="P261" s="20" t="s">
        <v>1121</v>
      </c>
      <c r="Q261" s="20" t="s">
        <v>1122</v>
      </c>
      <c r="R261" s="21" t="s">
        <v>1123</v>
      </c>
      <c r="S261" s="55" t="s">
        <v>9</v>
      </c>
      <c r="T261" s="51" t="str">
        <f t="shared" si="22"/>
        <v>De Telecom</v>
      </c>
      <c r="U261" s="51" t="str">
        <f t="shared" si="22"/>
        <v>Elementos de Comunicação</v>
      </c>
      <c r="V261" s="51" t="str">
        <f t="shared" si="22"/>
        <v>Elemento Placa Estática</v>
      </c>
      <c r="W261" s="21" t="s">
        <v>99</v>
      </c>
      <c r="X261" s="42" t="str">
        <f t="shared" si="25"/>
        <v>Key-INTEL-261</v>
      </c>
      <c r="Y261" s="20" t="s">
        <v>1124</v>
      </c>
      <c r="Z261" s="52" t="s">
        <v>9</v>
      </c>
      <c r="AA261" s="20" t="s">
        <v>1125</v>
      </c>
      <c r="AB261" s="52" t="s">
        <v>9</v>
      </c>
      <c r="AC261" s="21" t="s">
        <v>1104</v>
      </c>
      <c r="AD261" s="52" t="s">
        <v>9</v>
      </c>
    </row>
    <row r="262" spans="1:30" ht="6.75" customHeight="1" x14ac:dyDescent="0.25">
      <c r="A262" s="41">
        <v>262</v>
      </c>
      <c r="B262" s="1" t="s">
        <v>594</v>
      </c>
      <c r="C262" s="24" t="s">
        <v>1366</v>
      </c>
      <c r="D262" s="1" t="s">
        <v>1076</v>
      </c>
      <c r="E262" s="1" t="s">
        <v>1714</v>
      </c>
      <c r="F262" s="1" t="s">
        <v>1126</v>
      </c>
      <c r="G262" s="45" t="s">
        <v>9</v>
      </c>
      <c r="H262" s="45" t="s">
        <v>9</v>
      </c>
      <c r="I262" s="45" t="s">
        <v>9</v>
      </c>
      <c r="J262" s="45" t="s">
        <v>9</v>
      </c>
      <c r="K262" s="45" t="s">
        <v>9</v>
      </c>
      <c r="L262" s="25" t="str">
        <f t="shared" si="23"/>
        <v>De.Telecom</v>
      </c>
      <c r="M262" s="25" t="str">
        <f t="shared" si="23"/>
        <v>Elementos.de.Comunicação</v>
      </c>
      <c r="N262" s="25" t="str">
        <f t="shared" si="24"/>
        <v>Elemento Placa Estática</v>
      </c>
      <c r="O262" s="25" t="str">
        <f t="shared" si="24"/>
        <v>Placa Textual</v>
      </c>
      <c r="P262" s="20" t="s">
        <v>1121</v>
      </c>
      <c r="Q262" s="20" t="s">
        <v>1122</v>
      </c>
      <c r="R262" s="21" t="s">
        <v>1123</v>
      </c>
      <c r="S262" s="55" t="s">
        <v>9</v>
      </c>
      <c r="T262" s="51" t="str">
        <f t="shared" si="22"/>
        <v>De Telecom</v>
      </c>
      <c r="U262" s="51" t="str">
        <f t="shared" si="22"/>
        <v>Elementos de Comunicação</v>
      </c>
      <c r="V262" s="51" t="str">
        <f t="shared" si="22"/>
        <v>Elemento Placa Estática</v>
      </c>
      <c r="W262" s="21" t="s">
        <v>99</v>
      </c>
      <c r="X262" s="42" t="str">
        <f t="shared" si="25"/>
        <v>Key-INTEL-262</v>
      </c>
      <c r="Y262" s="20" t="s">
        <v>1124</v>
      </c>
      <c r="Z262" s="52" t="s">
        <v>9</v>
      </c>
      <c r="AA262" s="20" t="s">
        <v>1127</v>
      </c>
      <c r="AB262" s="52" t="s">
        <v>9</v>
      </c>
      <c r="AC262" s="21" t="s">
        <v>1104</v>
      </c>
      <c r="AD262" s="52" t="s">
        <v>9</v>
      </c>
    </row>
    <row r="263" spans="1:30" ht="6.75" customHeight="1" x14ac:dyDescent="0.25">
      <c r="A263" s="41">
        <v>263</v>
      </c>
      <c r="B263" s="1" t="s">
        <v>594</v>
      </c>
      <c r="C263" s="24" t="s">
        <v>1366</v>
      </c>
      <c r="D263" s="1" t="s">
        <v>1076</v>
      </c>
      <c r="E263" s="1" t="s">
        <v>1714</v>
      </c>
      <c r="F263" s="1" t="s">
        <v>1128</v>
      </c>
      <c r="G263" s="45" t="s">
        <v>9</v>
      </c>
      <c r="H263" s="45" t="s">
        <v>9</v>
      </c>
      <c r="I263" s="45" t="s">
        <v>9</v>
      </c>
      <c r="J263" s="45" t="s">
        <v>9</v>
      </c>
      <c r="K263" s="45" t="s">
        <v>9</v>
      </c>
      <c r="L263" s="25" t="str">
        <f t="shared" si="23"/>
        <v>De.Telecom</v>
      </c>
      <c r="M263" s="25" t="str">
        <f t="shared" si="23"/>
        <v>Elementos.de.Comunicação</v>
      </c>
      <c r="N263" s="25" t="str">
        <f t="shared" si="24"/>
        <v>Elemento Placa Estática</v>
      </c>
      <c r="O263" s="25" t="str">
        <f t="shared" si="24"/>
        <v>Placa Reflexiva</v>
      </c>
      <c r="P263" s="20" t="s">
        <v>1129</v>
      </c>
      <c r="Q263" s="20" t="s">
        <v>1130</v>
      </c>
      <c r="R263" s="21" t="s">
        <v>1131</v>
      </c>
      <c r="S263" s="55" t="s">
        <v>9</v>
      </c>
      <c r="T263" s="51" t="str">
        <f t="shared" si="22"/>
        <v>De Telecom</v>
      </c>
      <c r="U263" s="51" t="str">
        <f t="shared" si="22"/>
        <v>Elementos de Comunicação</v>
      </c>
      <c r="V263" s="51" t="str">
        <f t="shared" si="22"/>
        <v>Elemento Placa Estática</v>
      </c>
      <c r="W263" s="21" t="s">
        <v>99</v>
      </c>
      <c r="X263" s="42" t="str">
        <f t="shared" si="25"/>
        <v>Key-INTEL-263</v>
      </c>
      <c r="Y263" s="20" t="s">
        <v>1124</v>
      </c>
      <c r="Z263" s="52" t="s">
        <v>9</v>
      </c>
      <c r="AA263" s="20" t="s">
        <v>1132</v>
      </c>
      <c r="AB263" s="52" t="s">
        <v>9</v>
      </c>
      <c r="AC263" s="21" t="s">
        <v>1104</v>
      </c>
      <c r="AD263" s="52" t="s">
        <v>9</v>
      </c>
    </row>
    <row r="264" spans="1:30" ht="6.75" customHeight="1" x14ac:dyDescent="0.25">
      <c r="A264" s="41">
        <v>264</v>
      </c>
      <c r="B264" s="1" t="s">
        <v>594</v>
      </c>
      <c r="C264" s="24" t="s">
        <v>1366</v>
      </c>
      <c r="D264" s="1" t="s">
        <v>1076</v>
      </c>
      <c r="E264" s="1" t="s">
        <v>1714</v>
      </c>
      <c r="F264" s="1" t="s">
        <v>1133</v>
      </c>
      <c r="G264" s="45" t="s">
        <v>9</v>
      </c>
      <c r="H264" s="45" t="s">
        <v>9</v>
      </c>
      <c r="I264" s="45" t="s">
        <v>9</v>
      </c>
      <c r="J264" s="45" t="s">
        <v>9</v>
      </c>
      <c r="K264" s="45" t="s">
        <v>9</v>
      </c>
      <c r="L264" s="25" t="str">
        <f t="shared" si="23"/>
        <v>De.Telecom</v>
      </c>
      <c r="M264" s="25" t="str">
        <f t="shared" si="23"/>
        <v>Elementos.de.Comunicação</v>
      </c>
      <c r="N264" s="25" t="str">
        <f t="shared" si="24"/>
        <v>Elemento Placa Estática</v>
      </c>
      <c r="O264" s="25" t="str">
        <f t="shared" si="24"/>
        <v>Placa Íconica</v>
      </c>
      <c r="P264" s="20" t="s">
        <v>1134</v>
      </c>
      <c r="Q264" s="20" t="s">
        <v>1135</v>
      </c>
      <c r="R264" s="21" t="s">
        <v>1136</v>
      </c>
      <c r="S264" s="55" t="s">
        <v>9</v>
      </c>
      <c r="T264" s="51" t="str">
        <f t="shared" si="22"/>
        <v>De Telecom</v>
      </c>
      <c r="U264" s="51" t="str">
        <f t="shared" si="22"/>
        <v>Elementos de Comunicação</v>
      </c>
      <c r="V264" s="51" t="str">
        <f t="shared" si="22"/>
        <v>Elemento Placa Estática</v>
      </c>
      <c r="W264" s="21" t="s">
        <v>99</v>
      </c>
      <c r="X264" s="42" t="str">
        <f t="shared" si="25"/>
        <v>Key-INTEL-264</v>
      </c>
      <c r="Y264" s="20" t="s">
        <v>1124</v>
      </c>
      <c r="Z264" s="52" t="s">
        <v>9</v>
      </c>
      <c r="AA264" s="20" t="s">
        <v>1137</v>
      </c>
      <c r="AB264" s="52" t="s">
        <v>9</v>
      </c>
      <c r="AC264" s="21" t="s">
        <v>1104</v>
      </c>
      <c r="AD264" s="52" t="s">
        <v>9</v>
      </c>
    </row>
    <row r="265" spans="1:30" ht="6.75" customHeight="1" x14ac:dyDescent="0.25">
      <c r="A265" s="41">
        <v>265</v>
      </c>
      <c r="B265" s="1" t="s">
        <v>594</v>
      </c>
      <c r="C265" s="24" t="s">
        <v>1366</v>
      </c>
      <c r="D265" s="1" t="s">
        <v>1076</v>
      </c>
      <c r="E265" s="1" t="s">
        <v>1715</v>
      </c>
      <c r="F265" s="1" t="s">
        <v>1138</v>
      </c>
      <c r="G265" s="45" t="s">
        <v>9</v>
      </c>
      <c r="H265" s="45" t="s">
        <v>9</v>
      </c>
      <c r="I265" s="45" t="s">
        <v>9</v>
      </c>
      <c r="J265" s="45" t="s">
        <v>9</v>
      </c>
      <c r="K265" s="45" t="s">
        <v>9</v>
      </c>
      <c r="L265" s="25" t="str">
        <f t="shared" si="23"/>
        <v>De.Telecom</v>
      </c>
      <c r="M265" s="25" t="str">
        <f t="shared" si="23"/>
        <v>Elementos.de.Comunicação</v>
      </c>
      <c r="N265" s="25" t="str">
        <f t="shared" si="24"/>
        <v>Elemento Poste Urbano</v>
      </c>
      <c r="O265" s="25" t="str">
        <f t="shared" si="24"/>
        <v>Poste Reflexivo</v>
      </c>
      <c r="P265" s="20" t="s">
        <v>1139</v>
      </c>
      <c r="Q265" s="20" t="s">
        <v>1140</v>
      </c>
      <c r="R265" s="21" t="s">
        <v>1141</v>
      </c>
      <c r="S265" s="55" t="s">
        <v>9</v>
      </c>
      <c r="T265" s="51" t="str">
        <f t="shared" si="22"/>
        <v>De Telecom</v>
      </c>
      <c r="U265" s="51" t="str">
        <f t="shared" si="22"/>
        <v>Elementos de Comunicação</v>
      </c>
      <c r="V265" s="51" t="str">
        <f t="shared" si="22"/>
        <v>Elemento Poste Urbano</v>
      </c>
      <c r="W265" s="21" t="s">
        <v>99</v>
      </c>
      <c r="X265" s="42" t="str">
        <f t="shared" si="25"/>
        <v>Key-INTEL-265</v>
      </c>
      <c r="Y265" s="20" t="s">
        <v>1124</v>
      </c>
      <c r="Z265" s="52" t="s">
        <v>9</v>
      </c>
      <c r="AA265" s="20" t="s">
        <v>1132</v>
      </c>
      <c r="AB265" s="52" t="s">
        <v>9</v>
      </c>
      <c r="AC265" s="21" t="s">
        <v>1142</v>
      </c>
      <c r="AD265" s="52" t="s">
        <v>9</v>
      </c>
    </row>
    <row r="266" spans="1:30" ht="6.75" customHeight="1" x14ac:dyDescent="0.25">
      <c r="A266" s="41">
        <v>266</v>
      </c>
      <c r="B266" s="1" t="s">
        <v>594</v>
      </c>
      <c r="C266" s="24" t="s">
        <v>1366</v>
      </c>
      <c r="D266" s="1" t="s">
        <v>1076</v>
      </c>
      <c r="E266" s="1" t="s">
        <v>1715</v>
      </c>
      <c r="F266" s="1" t="s">
        <v>1143</v>
      </c>
      <c r="G266" s="45" t="s">
        <v>9</v>
      </c>
      <c r="H266" s="45" t="s">
        <v>9</v>
      </c>
      <c r="I266" s="45" t="s">
        <v>9</v>
      </c>
      <c r="J266" s="45" t="s">
        <v>9</v>
      </c>
      <c r="K266" s="45" t="s">
        <v>9</v>
      </c>
      <c r="L266" s="25" t="str">
        <f t="shared" si="23"/>
        <v>De.Telecom</v>
      </c>
      <c r="M266" s="25" t="str">
        <f t="shared" si="23"/>
        <v>Elementos.de.Comunicação</v>
      </c>
      <c r="N266" s="25" t="str">
        <f t="shared" si="24"/>
        <v>Elemento Poste Urbano</v>
      </c>
      <c r="O266" s="25" t="str">
        <f t="shared" si="24"/>
        <v>Poste Luminoso</v>
      </c>
      <c r="P266" s="20" t="s">
        <v>1144</v>
      </c>
      <c r="Q266" s="20" t="s">
        <v>1145</v>
      </c>
      <c r="R266" s="21" t="s">
        <v>1146</v>
      </c>
      <c r="S266" s="55" t="s">
        <v>9</v>
      </c>
      <c r="T266" s="51" t="str">
        <f t="shared" si="22"/>
        <v>De Telecom</v>
      </c>
      <c r="U266" s="51" t="str">
        <f t="shared" si="22"/>
        <v>Elementos de Comunicação</v>
      </c>
      <c r="V266" s="51" t="str">
        <f t="shared" si="22"/>
        <v>Elemento Poste Urbano</v>
      </c>
      <c r="W266" s="21" t="s">
        <v>99</v>
      </c>
      <c r="X266" s="42" t="str">
        <f t="shared" si="25"/>
        <v>Key-INTEL-266</v>
      </c>
      <c r="Y266" s="20" t="s">
        <v>1124</v>
      </c>
      <c r="Z266" s="52" t="s">
        <v>9</v>
      </c>
      <c r="AA266" s="20" t="s">
        <v>1119</v>
      </c>
      <c r="AB266" s="52" t="s">
        <v>9</v>
      </c>
      <c r="AC266" s="21" t="s">
        <v>1142</v>
      </c>
      <c r="AD266" s="52" t="s">
        <v>9</v>
      </c>
    </row>
    <row r="267" spans="1:30" ht="6.75" customHeight="1" x14ac:dyDescent="0.25">
      <c r="A267" s="41">
        <v>267</v>
      </c>
      <c r="B267" s="1" t="s">
        <v>594</v>
      </c>
      <c r="C267" s="24" t="s">
        <v>1366</v>
      </c>
      <c r="D267" s="1" t="s">
        <v>1076</v>
      </c>
      <c r="E267" s="1" t="s">
        <v>1715</v>
      </c>
      <c r="F267" s="1" t="s">
        <v>1147</v>
      </c>
      <c r="G267" s="45" t="s">
        <v>9</v>
      </c>
      <c r="H267" s="45" t="s">
        <v>9</v>
      </c>
      <c r="I267" s="45" t="s">
        <v>9</v>
      </c>
      <c r="J267" s="45" t="s">
        <v>9</v>
      </c>
      <c r="K267" s="45" t="s">
        <v>9</v>
      </c>
      <c r="L267" s="25" t="str">
        <f t="shared" si="23"/>
        <v>De.Telecom</v>
      </c>
      <c r="M267" s="25" t="str">
        <f t="shared" si="23"/>
        <v>Elementos.de.Comunicação</v>
      </c>
      <c r="N267" s="25" t="str">
        <f t="shared" si="24"/>
        <v>Elemento Poste Urbano</v>
      </c>
      <c r="O267" s="25" t="str">
        <f t="shared" si="24"/>
        <v>Poste Vigilância</v>
      </c>
      <c r="P267" s="20" t="s">
        <v>1148</v>
      </c>
      <c r="Q267" s="20" t="s">
        <v>1149</v>
      </c>
      <c r="R267" s="21" t="s">
        <v>1150</v>
      </c>
      <c r="S267" s="55" t="s">
        <v>9</v>
      </c>
      <c r="T267" s="51" t="str">
        <f t="shared" si="22"/>
        <v>De Telecom</v>
      </c>
      <c r="U267" s="51" t="str">
        <f t="shared" si="22"/>
        <v>Elementos de Comunicação</v>
      </c>
      <c r="V267" s="51" t="str">
        <f t="shared" si="22"/>
        <v>Elemento Poste Urbano</v>
      </c>
      <c r="W267" s="21" t="s">
        <v>99</v>
      </c>
      <c r="X267" s="42" t="str">
        <f t="shared" si="25"/>
        <v>Key-INTEL-267</v>
      </c>
      <c r="Y267" s="20" t="s">
        <v>1124</v>
      </c>
      <c r="Z267" s="52" t="s">
        <v>9</v>
      </c>
      <c r="AA267" s="20" t="s">
        <v>1119</v>
      </c>
      <c r="AB267" s="52" t="s">
        <v>9</v>
      </c>
      <c r="AC267" s="21" t="s">
        <v>1142</v>
      </c>
      <c r="AD267" s="52" t="s">
        <v>9</v>
      </c>
    </row>
    <row r="268" spans="1:30" ht="6.75" customHeight="1" x14ac:dyDescent="0.25">
      <c r="A268" s="41">
        <v>268</v>
      </c>
      <c r="B268" s="1" t="s">
        <v>594</v>
      </c>
      <c r="C268" s="24" t="s">
        <v>1366</v>
      </c>
      <c r="D268" s="1" t="s">
        <v>1076</v>
      </c>
      <c r="E268" s="1" t="s">
        <v>1151</v>
      </c>
      <c r="F268" s="39" t="s">
        <v>1152</v>
      </c>
      <c r="G268" s="45" t="s">
        <v>9</v>
      </c>
      <c r="H268" s="45" t="s">
        <v>9</v>
      </c>
      <c r="I268" s="45" t="s">
        <v>9</v>
      </c>
      <c r="J268" s="45" t="s">
        <v>9</v>
      </c>
      <c r="K268" s="45" t="s">
        <v>9</v>
      </c>
      <c r="L268" s="25" t="str">
        <f t="shared" si="23"/>
        <v>De.Telecom</v>
      </c>
      <c r="M268" s="25" t="str">
        <f t="shared" si="23"/>
        <v>Elementos.de.Comunicação</v>
      </c>
      <c r="N268" s="25" t="str">
        <f t="shared" si="24"/>
        <v>Conectores InOut</v>
      </c>
      <c r="O268" s="25" t="str">
        <f t="shared" si="24"/>
        <v>Conector Genérico</v>
      </c>
      <c r="P268" s="21" t="s">
        <v>172</v>
      </c>
      <c r="Q268" s="21" t="s">
        <v>173</v>
      </c>
      <c r="R268" s="21" t="s">
        <v>356</v>
      </c>
      <c r="S268" s="55" t="s">
        <v>9</v>
      </c>
      <c r="T268" s="51" t="str">
        <f t="shared" si="22"/>
        <v>De Telecom</v>
      </c>
      <c r="U268" s="51" t="str">
        <f t="shared" si="22"/>
        <v>Elementos de Comunicação</v>
      </c>
      <c r="V268" s="51" t="str">
        <f t="shared" si="22"/>
        <v>Conectores InOut</v>
      </c>
      <c r="W268" s="21" t="s">
        <v>99</v>
      </c>
      <c r="X268" s="42" t="str">
        <f t="shared" si="25"/>
        <v>Key-INTEL-268</v>
      </c>
      <c r="Y268" s="21" t="s">
        <v>1098</v>
      </c>
      <c r="Z268" s="52" t="s">
        <v>9</v>
      </c>
      <c r="AA268" s="60" t="s">
        <v>219</v>
      </c>
      <c r="AB268" s="52" t="s">
        <v>9</v>
      </c>
      <c r="AC268" s="21" t="s">
        <v>1153</v>
      </c>
      <c r="AD268" s="52" t="s">
        <v>9</v>
      </c>
    </row>
    <row r="269" spans="1:30" ht="6.75" customHeight="1" x14ac:dyDescent="0.25">
      <c r="A269" s="41">
        <v>269</v>
      </c>
      <c r="B269" s="1" t="s">
        <v>594</v>
      </c>
      <c r="C269" s="24" t="s">
        <v>1366</v>
      </c>
      <c r="D269" s="1" t="s">
        <v>1076</v>
      </c>
      <c r="E269" s="1" t="s">
        <v>1716</v>
      </c>
      <c r="F269" s="39" t="s">
        <v>1154</v>
      </c>
      <c r="G269" s="45" t="s">
        <v>9</v>
      </c>
      <c r="H269" s="45" t="s">
        <v>9</v>
      </c>
      <c r="I269" s="45" t="s">
        <v>9</v>
      </c>
      <c r="J269" s="45" t="s">
        <v>9</v>
      </c>
      <c r="K269" s="45" t="s">
        <v>9</v>
      </c>
      <c r="L269" s="25" t="str">
        <f t="shared" si="23"/>
        <v>De.Telecom</v>
      </c>
      <c r="M269" s="25" t="str">
        <f t="shared" si="23"/>
        <v>Elementos.de.Comunicação</v>
      </c>
      <c r="N269" s="25" t="str">
        <f t="shared" si="24"/>
        <v>Elemento Conector InOut</v>
      </c>
      <c r="O269" s="25" t="str">
        <f t="shared" si="24"/>
        <v>Conector de Audio</v>
      </c>
      <c r="P269" s="21" t="s">
        <v>174</v>
      </c>
      <c r="Q269" s="21" t="s">
        <v>175</v>
      </c>
      <c r="R269" s="21" t="s">
        <v>357</v>
      </c>
      <c r="S269" s="55" t="s">
        <v>9</v>
      </c>
      <c r="T269" s="51" t="str">
        <f t="shared" si="22"/>
        <v>De Telecom</v>
      </c>
      <c r="U269" s="51" t="str">
        <f t="shared" si="22"/>
        <v>Elementos de Comunicação</v>
      </c>
      <c r="V269" s="51" t="str">
        <f t="shared" si="22"/>
        <v>Elemento Conector InOut</v>
      </c>
      <c r="W269" s="21" t="s">
        <v>99</v>
      </c>
      <c r="X269" s="42" t="str">
        <f t="shared" si="25"/>
        <v>Key-INTEL-269</v>
      </c>
      <c r="Y269" s="21" t="s">
        <v>1098</v>
      </c>
      <c r="Z269" s="52" t="s">
        <v>9</v>
      </c>
      <c r="AA269" s="60" t="s">
        <v>1155</v>
      </c>
      <c r="AB269" s="52" t="s">
        <v>9</v>
      </c>
      <c r="AC269" s="21" t="s">
        <v>1153</v>
      </c>
      <c r="AD269" s="52" t="s">
        <v>9</v>
      </c>
    </row>
    <row r="270" spans="1:30" ht="6.75" customHeight="1" x14ac:dyDescent="0.25">
      <c r="A270" s="41">
        <v>270</v>
      </c>
      <c r="B270" s="1" t="s">
        <v>594</v>
      </c>
      <c r="C270" s="24" t="s">
        <v>1366</v>
      </c>
      <c r="D270" s="1" t="s">
        <v>1076</v>
      </c>
      <c r="E270" s="1" t="s">
        <v>1716</v>
      </c>
      <c r="F270" s="39" t="s">
        <v>1156</v>
      </c>
      <c r="G270" s="45" t="s">
        <v>9</v>
      </c>
      <c r="H270" s="45" t="s">
        <v>9</v>
      </c>
      <c r="I270" s="45" t="s">
        <v>9</v>
      </c>
      <c r="J270" s="45" t="s">
        <v>9</v>
      </c>
      <c r="K270" s="45" t="s">
        <v>9</v>
      </c>
      <c r="L270" s="25" t="str">
        <f t="shared" si="23"/>
        <v>De.Telecom</v>
      </c>
      <c r="M270" s="25" t="str">
        <f t="shared" si="23"/>
        <v>Elementos.de.Comunicação</v>
      </c>
      <c r="N270" s="25" t="str">
        <f t="shared" si="24"/>
        <v>Elemento Conector InOut</v>
      </c>
      <c r="O270" s="25" t="str">
        <f t="shared" si="24"/>
        <v>Conector de Comunicação</v>
      </c>
      <c r="P270" s="21" t="s">
        <v>176</v>
      </c>
      <c r="Q270" s="21" t="s">
        <v>177</v>
      </c>
      <c r="R270" s="21" t="s">
        <v>358</v>
      </c>
      <c r="S270" s="55" t="s">
        <v>9</v>
      </c>
      <c r="T270" s="51" t="str">
        <f t="shared" si="22"/>
        <v>De Telecom</v>
      </c>
      <c r="U270" s="51" t="str">
        <f t="shared" si="22"/>
        <v>Elementos de Comunicação</v>
      </c>
      <c r="V270" s="51" t="str">
        <f t="shared" si="22"/>
        <v>Elemento Conector InOut</v>
      </c>
      <c r="W270" s="21" t="s">
        <v>99</v>
      </c>
      <c r="X270" s="42" t="str">
        <f t="shared" si="25"/>
        <v>Key-INTEL-270</v>
      </c>
      <c r="Y270" s="21" t="s">
        <v>1098</v>
      </c>
      <c r="Z270" s="52" t="s">
        <v>9</v>
      </c>
      <c r="AA270" s="60" t="s">
        <v>1157</v>
      </c>
      <c r="AB270" s="52" t="s">
        <v>9</v>
      </c>
      <c r="AC270" s="21" t="s">
        <v>1153</v>
      </c>
      <c r="AD270" s="52" t="s">
        <v>9</v>
      </c>
    </row>
    <row r="271" spans="1:30" ht="6.75" customHeight="1" x14ac:dyDescent="0.25">
      <c r="A271" s="41">
        <v>271</v>
      </c>
      <c r="B271" s="1" t="s">
        <v>594</v>
      </c>
      <c r="C271" s="24" t="s">
        <v>1366</v>
      </c>
      <c r="D271" s="1" t="s">
        <v>1076</v>
      </c>
      <c r="E271" s="1" t="s">
        <v>1716</v>
      </c>
      <c r="F271" s="39" t="s">
        <v>1158</v>
      </c>
      <c r="G271" s="45" t="s">
        <v>9</v>
      </c>
      <c r="H271" s="45" t="s">
        <v>9</v>
      </c>
      <c r="I271" s="45" t="s">
        <v>9</v>
      </c>
      <c r="J271" s="45" t="s">
        <v>9</v>
      </c>
      <c r="K271" s="45" t="s">
        <v>9</v>
      </c>
      <c r="L271" s="25" t="str">
        <f t="shared" si="23"/>
        <v>De.Telecom</v>
      </c>
      <c r="M271" s="25" t="str">
        <f t="shared" si="23"/>
        <v>Elementos.de.Comunicação</v>
      </c>
      <c r="N271" s="25" t="str">
        <f t="shared" si="24"/>
        <v>Elemento Conector InOut</v>
      </c>
      <c r="O271" s="25" t="str">
        <f t="shared" si="24"/>
        <v>Conector de Dados</v>
      </c>
      <c r="P271" s="21" t="s">
        <v>178</v>
      </c>
      <c r="Q271" s="21" t="s">
        <v>179</v>
      </c>
      <c r="R271" s="21" t="s">
        <v>359</v>
      </c>
      <c r="S271" s="55" t="s">
        <v>9</v>
      </c>
      <c r="T271" s="51" t="str">
        <f t="shared" ref="T271:V334" si="26">SUBSTITUTE(C271, ".", " ")</f>
        <v>De Telecom</v>
      </c>
      <c r="U271" s="51" t="str">
        <f t="shared" si="26"/>
        <v>Elementos de Comunicação</v>
      </c>
      <c r="V271" s="51" t="str">
        <f t="shared" si="26"/>
        <v>Elemento Conector InOut</v>
      </c>
      <c r="W271" s="21" t="s">
        <v>99</v>
      </c>
      <c r="X271" s="42" t="str">
        <f t="shared" si="25"/>
        <v>Key-INTEL-271</v>
      </c>
      <c r="Y271" s="21" t="s">
        <v>1098</v>
      </c>
      <c r="Z271" s="52" t="s">
        <v>9</v>
      </c>
      <c r="AA271" s="60" t="s">
        <v>1159</v>
      </c>
      <c r="AB271" s="52" t="s">
        <v>9</v>
      </c>
      <c r="AC271" s="21" t="s">
        <v>1153</v>
      </c>
      <c r="AD271" s="52" t="s">
        <v>9</v>
      </c>
    </row>
    <row r="272" spans="1:30" ht="6.75" customHeight="1" x14ac:dyDescent="0.25">
      <c r="A272" s="41">
        <v>272</v>
      </c>
      <c r="B272" s="1" t="s">
        <v>594</v>
      </c>
      <c r="C272" s="24" t="s">
        <v>1366</v>
      </c>
      <c r="D272" s="1" t="s">
        <v>1076</v>
      </c>
      <c r="E272" s="1" t="s">
        <v>1716</v>
      </c>
      <c r="F272" s="39" t="s">
        <v>1160</v>
      </c>
      <c r="G272" s="45" t="s">
        <v>9</v>
      </c>
      <c r="H272" s="45" t="s">
        <v>9</v>
      </c>
      <c r="I272" s="45" t="s">
        <v>9</v>
      </c>
      <c r="J272" s="45" t="s">
        <v>9</v>
      </c>
      <c r="K272" s="45" t="s">
        <v>9</v>
      </c>
      <c r="L272" s="25" t="str">
        <f t="shared" si="23"/>
        <v>De.Telecom</v>
      </c>
      <c r="M272" s="25" t="str">
        <f t="shared" si="23"/>
        <v>Elementos.de.Comunicação</v>
      </c>
      <c r="N272" s="25" t="str">
        <f t="shared" si="24"/>
        <v>Elemento Conector InOut</v>
      </c>
      <c r="O272" s="25" t="str">
        <f t="shared" si="24"/>
        <v>Conector de Energia</v>
      </c>
      <c r="P272" s="21" t="s">
        <v>180</v>
      </c>
      <c r="Q272" s="21" t="s">
        <v>181</v>
      </c>
      <c r="R272" s="21" t="s">
        <v>360</v>
      </c>
      <c r="S272" s="55" t="s">
        <v>9</v>
      </c>
      <c r="T272" s="51" t="str">
        <f t="shared" si="26"/>
        <v>De Telecom</v>
      </c>
      <c r="U272" s="51" t="str">
        <f t="shared" si="26"/>
        <v>Elementos de Comunicação</v>
      </c>
      <c r="V272" s="51" t="str">
        <f t="shared" si="26"/>
        <v>Elemento Conector InOut</v>
      </c>
      <c r="W272" s="21" t="s">
        <v>99</v>
      </c>
      <c r="X272" s="42" t="str">
        <f t="shared" si="25"/>
        <v>Key-INTEL-272</v>
      </c>
      <c r="Y272" s="21" t="s">
        <v>1098</v>
      </c>
      <c r="Z272" s="52" t="s">
        <v>9</v>
      </c>
      <c r="AA272" s="60" t="s">
        <v>1161</v>
      </c>
      <c r="AB272" s="52" t="s">
        <v>9</v>
      </c>
      <c r="AC272" s="21" t="s">
        <v>1153</v>
      </c>
      <c r="AD272" s="52" t="s">
        <v>9</v>
      </c>
    </row>
    <row r="273" spans="1:30" ht="6.75" customHeight="1" x14ac:dyDescent="0.25">
      <c r="A273" s="41">
        <v>273</v>
      </c>
      <c r="B273" s="1" t="s">
        <v>594</v>
      </c>
      <c r="C273" s="24" t="s">
        <v>1366</v>
      </c>
      <c r="D273" s="1" t="s">
        <v>1076</v>
      </c>
      <c r="E273" s="1" t="s">
        <v>1716</v>
      </c>
      <c r="F273" s="39" t="s">
        <v>1162</v>
      </c>
      <c r="G273" s="45" t="s">
        <v>9</v>
      </c>
      <c r="H273" s="45" t="s">
        <v>9</v>
      </c>
      <c r="I273" s="45" t="s">
        <v>9</v>
      </c>
      <c r="J273" s="45" t="s">
        <v>9</v>
      </c>
      <c r="K273" s="45" t="s">
        <v>9</v>
      </c>
      <c r="L273" s="25" t="str">
        <f t="shared" si="23"/>
        <v>De.Telecom</v>
      </c>
      <c r="M273" s="25" t="str">
        <f t="shared" si="23"/>
        <v>Elementos.de.Comunicação</v>
      </c>
      <c r="N273" s="25" t="str">
        <f t="shared" si="24"/>
        <v>Elemento Conector InOut</v>
      </c>
      <c r="O273" s="25" t="str">
        <f t="shared" si="24"/>
        <v>Conector de Telefonia</v>
      </c>
      <c r="P273" s="21" t="s">
        <v>182</v>
      </c>
      <c r="Q273" s="21" t="s">
        <v>183</v>
      </c>
      <c r="R273" s="21" t="s">
        <v>361</v>
      </c>
      <c r="S273" s="55" t="s">
        <v>9</v>
      </c>
      <c r="T273" s="51" t="str">
        <f t="shared" si="26"/>
        <v>De Telecom</v>
      </c>
      <c r="U273" s="51" t="str">
        <f t="shared" si="26"/>
        <v>Elementos de Comunicação</v>
      </c>
      <c r="V273" s="51" t="str">
        <f t="shared" si="26"/>
        <v>Elemento Conector InOut</v>
      </c>
      <c r="W273" s="21" t="s">
        <v>99</v>
      </c>
      <c r="X273" s="42" t="str">
        <f t="shared" si="25"/>
        <v>Key-INTEL-273</v>
      </c>
      <c r="Y273" s="21" t="s">
        <v>1098</v>
      </c>
      <c r="Z273" s="52" t="s">
        <v>9</v>
      </c>
      <c r="AA273" s="60" t="s">
        <v>1163</v>
      </c>
      <c r="AB273" s="52" t="s">
        <v>9</v>
      </c>
      <c r="AC273" s="21" t="s">
        <v>1153</v>
      </c>
      <c r="AD273" s="52" t="s">
        <v>9</v>
      </c>
    </row>
    <row r="274" spans="1:30" ht="6.75" customHeight="1" x14ac:dyDescent="0.25">
      <c r="A274" s="41">
        <v>274</v>
      </c>
      <c r="B274" s="1" t="s">
        <v>594</v>
      </c>
      <c r="C274" s="24" t="s">
        <v>1366</v>
      </c>
      <c r="D274" s="1" t="s">
        <v>1164</v>
      </c>
      <c r="E274" s="1" t="s">
        <v>1717</v>
      </c>
      <c r="F274" s="39" t="s">
        <v>1165</v>
      </c>
      <c r="G274" s="45" t="s">
        <v>9</v>
      </c>
      <c r="H274" s="45" t="s">
        <v>9</v>
      </c>
      <c r="I274" s="45" t="s">
        <v>9</v>
      </c>
      <c r="J274" s="45" t="s">
        <v>9</v>
      </c>
      <c r="K274" s="45" t="s">
        <v>9</v>
      </c>
      <c r="L274" s="25" t="str">
        <f t="shared" si="23"/>
        <v>De.Telecom</v>
      </c>
      <c r="M274" s="25" t="str">
        <f t="shared" si="23"/>
        <v>Elementos.de.Telecom</v>
      </c>
      <c r="N274" s="25" t="str">
        <f t="shared" si="24"/>
        <v>Elemento Telecom Fixo</v>
      </c>
      <c r="O274" s="25" t="str">
        <f t="shared" si="24"/>
        <v>Aparelho Telecom</v>
      </c>
      <c r="P274" s="21" t="s">
        <v>1166</v>
      </c>
      <c r="Q274" s="21" t="s">
        <v>1167</v>
      </c>
      <c r="R274" s="21" t="s">
        <v>1168</v>
      </c>
      <c r="S274" s="55" t="s">
        <v>9</v>
      </c>
      <c r="T274" s="51" t="str">
        <f t="shared" si="26"/>
        <v>De Telecom</v>
      </c>
      <c r="U274" s="51" t="str">
        <f t="shared" si="26"/>
        <v>Elementos de Telecom</v>
      </c>
      <c r="V274" s="51" t="str">
        <f t="shared" si="26"/>
        <v>Elemento Telecom Fixo</v>
      </c>
      <c r="W274" s="21" t="s">
        <v>99</v>
      </c>
      <c r="X274" s="42" t="str">
        <f t="shared" si="25"/>
        <v>Key-INTEL-274</v>
      </c>
      <c r="Y274" s="21" t="s">
        <v>1087</v>
      </c>
      <c r="Z274" s="52" t="s">
        <v>9</v>
      </c>
      <c r="AA274" s="20" t="s">
        <v>1088</v>
      </c>
      <c r="AB274" s="52" t="s">
        <v>9</v>
      </c>
      <c r="AC274" s="21" t="s">
        <v>1009</v>
      </c>
      <c r="AD274" s="52" t="s">
        <v>9</v>
      </c>
    </row>
    <row r="275" spans="1:30" ht="6.75" customHeight="1" x14ac:dyDescent="0.25">
      <c r="A275" s="41">
        <v>275</v>
      </c>
      <c r="B275" s="1" t="s">
        <v>594</v>
      </c>
      <c r="C275" s="24" t="s">
        <v>1366</v>
      </c>
      <c r="D275" s="1" t="s">
        <v>1164</v>
      </c>
      <c r="E275" s="1" t="s">
        <v>1717</v>
      </c>
      <c r="F275" s="39" t="s">
        <v>1169</v>
      </c>
      <c r="G275" s="45" t="s">
        <v>9</v>
      </c>
      <c r="H275" s="45" t="s">
        <v>9</v>
      </c>
      <c r="I275" s="45" t="s">
        <v>9</v>
      </c>
      <c r="J275" s="45" t="s">
        <v>9</v>
      </c>
      <c r="K275" s="45" t="s">
        <v>9</v>
      </c>
      <c r="L275" s="25" t="str">
        <f t="shared" si="23"/>
        <v>De.Telecom</v>
      </c>
      <c r="M275" s="25" t="str">
        <f t="shared" si="23"/>
        <v>Elementos.de.Telecom</v>
      </c>
      <c r="N275" s="25" t="str">
        <f t="shared" si="24"/>
        <v>Elemento Telecom Fixo</v>
      </c>
      <c r="O275" s="25" t="str">
        <f t="shared" si="24"/>
        <v>Antena</v>
      </c>
      <c r="P275" s="21" t="s">
        <v>1170</v>
      </c>
      <c r="Q275" s="21" t="s">
        <v>1171</v>
      </c>
      <c r="R275" s="21" t="s">
        <v>1172</v>
      </c>
      <c r="S275" s="55" t="s">
        <v>9</v>
      </c>
      <c r="T275" s="51" t="str">
        <f t="shared" si="26"/>
        <v>De Telecom</v>
      </c>
      <c r="U275" s="51" t="str">
        <f t="shared" si="26"/>
        <v>Elementos de Telecom</v>
      </c>
      <c r="V275" s="51" t="str">
        <f t="shared" si="26"/>
        <v>Elemento Telecom Fixo</v>
      </c>
      <c r="W275" s="21" t="s">
        <v>99</v>
      </c>
      <c r="X275" s="42" t="str">
        <f t="shared" si="25"/>
        <v>Key-INTEL-275</v>
      </c>
      <c r="Y275" s="21" t="s">
        <v>1087</v>
      </c>
      <c r="Z275" s="52" t="s">
        <v>9</v>
      </c>
      <c r="AA275" s="20" t="s">
        <v>1173</v>
      </c>
      <c r="AB275" s="52" t="s">
        <v>9</v>
      </c>
      <c r="AC275" s="21" t="s">
        <v>1009</v>
      </c>
      <c r="AD275" s="52" t="s">
        <v>9</v>
      </c>
    </row>
    <row r="276" spans="1:30" ht="6.75" customHeight="1" x14ac:dyDescent="0.25">
      <c r="A276" s="41">
        <v>276</v>
      </c>
      <c r="B276" s="1" t="s">
        <v>594</v>
      </c>
      <c r="C276" s="24" t="s">
        <v>1366</v>
      </c>
      <c r="D276" s="1" t="s">
        <v>1164</v>
      </c>
      <c r="E276" s="1" t="s">
        <v>1717</v>
      </c>
      <c r="F276" s="39" t="s">
        <v>1174</v>
      </c>
      <c r="G276" s="45" t="s">
        <v>9</v>
      </c>
      <c r="H276" s="45" t="s">
        <v>9</v>
      </c>
      <c r="I276" s="45" t="s">
        <v>9</v>
      </c>
      <c r="J276" s="45" t="s">
        <v>9</v>
      </c>
      <c r="K276" s="45" t="s">
        <v>9</v>
      </c>
      <c r="L276" s="25" t="str">
        <f t="shared" si="23"/>
        <v>De.Telecom</v>
      </c>
      <c r="M276" s="25" t="str">
        <f t="shared" si="23"/>
        <v>Elementos.de.Telecom</v>
      </c>
      <c r="N276" s="25" t="str">
        <f t="shared" si="24"/>
        <v>Elemento Telecom Fixo</v>
      </c>
      <c r="O276" s="25" t="str">
        <f t="shared" si="24"/>
        <v>Autômato</v>
      </c>
      <c r="P276" s="21" t="s">
        <v>1175</v>
      </c>
      <c r="Q276" s="21" t="s">
        <v>1176</v>
      </c>
      <c r="R276" s="21" t="s">
        <v>1177</v>
      </c>
      <c r="S276" s="55" t="s">
        <v>9</v>
      </c>
      <c r="T276" s="51" t="str">
        <f t="shared" si="26"/>
        <v>De Telecom</v>
      </c>
      <c r="U276" s="51" t="str">
        <f t="shared" si="26"/>
        <v>Elementos de Telecom</v>
      </c>
      <c r="V276" s="51" t="str">
        <f t="shared" si="26"/>
        <v>Elemento Telecom Fixo</v>
      </c>
      <c r="W276" s="21" t="s">
        <v>99</v>
      </c>
      <c r="X276" s="42" t="str">
        <f t="shared" si="25"/>
        <v>Key-INTEL-276</v>
      </c>
      <c r="Y276" s="21" t="s">
        <v>1087</v>
      </c>
      <c r="Z276" s="52" t="s">
        <v>9</v>
      </c>
      <c r="AA276" s="20" t="s">
        <v>1178</v>
      </c>
      <c r="AB276" s="52" t="s">
        <v>9</v>
      </c>
      <c r="AC276" s="21" t="s">
        <v>1009</v>
      </c>
      <c r="AD276" s="52" t="s">
        <v>9</v>
      </c>
    </row>
    <row r="277" spans="1:30" ht="6.75" customHeight="1" x14ac:dyDescent="0.25">
      <c r="A277" s="41">
        <v>277</v>
      </c>
      <c r="B277" s="1" t="s">
        <v>594</v>
      </c>
      <c r="C277" s="24" t="s">
        <v>1366</v>
      </c>
      <c r="D277" s="1" t="s">
        <v>1164</v>
      </c>
      <c r="E277" s="1" t="s">
        <v>1717</v>
      </c>
      <c r="F277" s="39" t="s">
        <v>1179</v>
      </c>
      <c r="G277" s="45" t="s">
        <v>9</v>
      </c>
      <c r="H277" s="45" t="s">
        <v>9</v>
      </c>
      <c r="I277" s="45" t="s">
        <v>9</v>
      </c>
      <c r="J277" s="45" t="s">
        <v>9</v>
      </c>
      <c r="K277" s="45" t="s">
        <v>9</v>
      </c>
      <c r="L277" s="25" t="str">
        <f t="shared" si="23"/>
        <v>De.Telecom</v>
      </c>
      <c r="M277" s="25" t="str">
        <f t="shared" si="23"/>
        <v>Elementos.de.Telecom</v>
      </c>
      <c r="N277" s="25" t="str">
        <f t="shared" si="24"/>
        <v>Elemento Telecom Fixo</v>
      </c>
      <c r="O277" s="25" t="str">
        <f t="shared" si="24"/>
        <v>Computador</v>
      </c>
      <c r="P277" s="21" t="s">
        <v>1180</v>
      </c>
      <c r="Q277" s="21" t="s">
        <v>1181</v>
      </c>
      <c r="R277" s="21" t="s">
        <v>1182</v>
      </c>
      <c r="S277" s="55" t="s">
        <v>9</v>
      </c>
      <c r="T277" s="51" t="str">
        <f t="shared" si="26"/>
        <v>De Telecom</v>
      </c>
      <c r="U277" s="51" t="str">
        <f t="shared" si="26"/>
        <v>Elementos de Telecom</v>
      </c>
      <c r="V277" s="51" t="str">
        <f t="shared" si="26"/>
        <v>Elemento Telecom Fixo</v>
      </c>
      <c r="W277" s="21" t="s">
        <v>99</v>
      </c>
      <c r="X277" s="42" t="str">
        <f t="shared" si="25"/>
        <v>Key-INTEL-277</v>
      </c>
      <c r="Y277" s="21" t="s">
        <v>1087</v>
      </c>
      <c r="Z277" s="52" t="s">
        <v>9</v>
      </c>
      <c r="AA277" s="20" t="s">
        <v>1183</v>
      </c>
      <c r="AB277" s="52" t="s">
        <v>9</v>
      </c>
      <c r="AC277" s="21" t="s">
        <v>1009</v>
      </c>
      <c r="AD277" s="52" t="s">
        <v>9</v>
      </c>
    </row>
    <row r="278" spans="1:30" ht="6.75" customHeight="1" x14ac:dyDescent="0.25">
      <c r="A278" s="41">
        <v>278</v>
      </c>
      <c r="B278" s="1" t="s">
        <v>594</v>
      </c>
      <c r="C278" s="24" t="s">
        <v>1366</v>
      </c>
      <c r="D278" s="1" t="s">
        <v>1164</v>
      </c>
      <c r="E278" s="1" t="s">
        <v>1717</v>
      </c>
      <c r="F278" s="39" t="s">
        <v>1184</v>
      </c>
      <c r="G278" s="45" t="s">
        <v>9</v>
      </c>
      <c r="H278" s="45" t="s">
        <v>9</v>
      </c>
      <c r="I278" s="45" t="s">
        <v>9</v>
      </c>
      <c r="J278" s="45" t="s">
        <v>9</v>
      </c>
      <c r="K278" s="45" t="s">
        <v>9</v>
      </c>
      <c r="L278" s="25" t="str">
        <f t="shared" si="23"/>
        <v>De.Telecom</v>
      </c>
      <c r="M278" s="25" t="str">
        <f t="shared" si="23"/>
        <v>Elementos.de.Telecom</v>
      </c>
      <c r="N278" s="25" t="str">
        <f t="shared" si="24"/>
        <v>Elemento Telecom Fixo</v>
      </c>
      <c r="O278" s="25" t="str">
        <f t="shared" si="24"/>
        <v>Fax</v>
      </c>
      <c r="P278" s="21" t="s">
        <v>1185</v>
      </c>
      <c r="Q278" s="21" t="s">
        <v>1186</v>
      </c>
      <c r="R278" s="21" t="s">
        <v>1187</v>
      </c>
      <c r="S278" s="55" t="s">
        <v>9</v>
      </c>
      <c r="T278" s="51" t="str">
        <f t="shared" si="26"/>
        <v>De Telecom</v>
      </c>
      <c r="U278" s="51" t="str">
        <f t="shared" si="26"/>
        <v>Elementos de Telecom</v>
      </c>
      <c r="V278" s="51" t="str">
        <f t="shared" si="26"/>
        <v>Elemento Telecom Fixo</v>
      </c>
      <c r="W278" s="21" t="s">
        <v>99</v>
      </c>
      <c r="X278" s="42" t="str">
        <f t="shared" si="25"/>
        <v>Key-INTEL-278</v>
      </c>
      <c r="Y278" s="21" t="s">
        <v>1087</v>
      </c>
      <c r="Z278" s="52" t="s">
        <v>9</v>
      </c>
      <c r="AA278" s="20" t="s">
        <v>1188</v>
      </c>
      <c r="AB278" s="52" t="s">
        <v>9</v>
      </c>
      <c r="AC278" s="21" t="s">
        <v>1009</v>
      </c>
      <c r="AD278" s="52" t="s">
        <v>9</v>
      </c>
    </row>
    <row r="279" spans="1:30" ht="6.75" customHeight="1" x14ac:dyDescent="0.25">
      <c r="A279" s="41">
        <v>279</v>
      </c>
      <c r="B279" s="1" t="s">
        <v>594</v>
      </c>
      <c r="C279" s="24" t="s">
        <v>1366</v>
      </c>
      <c r="D279" s="1" t="s">
        <v>1164</v>
      </c>
      <c r="E279" s="1" t="s">
        <v>1717</v>
      </c>
      <c r="F279" s="39" t="s">
        <v>1189</v>
      </c>
      <c r="G279" s="45" t="s">
        <v>9</v>
      </c>
      <c r="H279" s="45" t="s">
        <v>9</v>
      </c>
      <c r="I279" s="45" t="s">
        <v>9</v>
      </c>
      <c r="J279" s="45" t="s">
        <v>9</v>
      </c>
      <c r="K279" s="45" t="s">
        <v>9</v>
      </c>
      <c r="L279" s="25" t="str">
        <f t="shared" si="23"/>
        <v>De.Telecom</v>
      </c>
      <c r="M279" s="25" t="str">
        <f t="shared" si="23"/>
        <v>Elementos.de.Telecom</v>
      </c>
      <c r="N279" s="25" t="str">
        <f t="shared" si="24"/>
        <v>Elemento Telecom Fixo</v>
      </c>
      <c r="O279" s="25" t="str">
        <f t="shared" si="24"/>
        <v>Modem</v>
      </c>
      <c r="P279" s="21" t="s">
        <v>1190</v>
      </c>
      <c r="Q279" s="21" t="s">
        <v>1191</v>
      </c>
      <c r="R279" s="21" t="s">
        <v>1192</v>
      </c>
      <c r="S279" s="55" t="s">
        <v>9</v>
      </c>
      <c r="T279" s="51" t="str">
        <f t="shared" si="26"/>
        <v>De Telecom</v>
      </c>
      <c r="U279" s="51" t="str">
        <f t="shared" si="26"/>
        <v>Elementos de Telecom</v>
      </c>
      <c r="V279" s="51" t="str">
        <f t="shared" si="26"/>
        <v>Elemento Telecom Fixo</v>
      </c>
      <c r="W279" s="21" t="s">
        <v>99</v>
      </c>
      <c r="X279" s="42" t="str">
        <f t="shared" si="25"/>
        <v>Key-INTEL-279</v>
      </c>
      <c r="Y279" s="21" t="s">
        <v>1087</v>
      </c>
      <c r="Z279" s="52" t="s">
        <v>9</v>
      </c>
      <c r="AA279" s="20" t="s">
        <v>1193</v>
      </c>
      <c r="AB279" s="52" t="s">
        <v>9</v>
      </c>
      <c r="AC279" s="21" t="s">
        <v>1009</v>
      </c>
      <c r="AD279" s="52" t="s">
        <v>9</v>
      </c>
    </row>
    <row r="280" spans="1:30" ht="6.75" customHeight="1" x14ac:dyDescent="0.25">
      <c r="A280" s="41">
        <v>280</v>
      </c>
      <c r="B280" s="1" t="s">
        <v>594</v>
      </c>
      <c r="C280" s="24" t="s">
        <v>1366</v>
      </c>
      <c r="D280" s="1" t="s">
        <v>1164</v>
      </c>
      <c r="E280" s="1" t="s">
        <v>1717</v>
      </c>
      <c r="F280" s="39" t="s">
        <v>1194</v>
      </c>
      <c r="G280" s="45" t="s">
        <v>9</v>
      </c>
      <c r="H280" s="45" t="s">
        <v>9</v>
      </c>
      <c r="I280" s="45" t="s">
        <v>9</v>
      </c>
      <c r="J280" s="45" t="s">
        <v>9</v>
      </c>
      <c r="K280" s="45" t="s">
        <v>9</v>
      </c>
      <c r="L280" s="25" t="str">
        <f t="shared" si="23"/>
        <v>De.Telecom</v>
      </c>
      <c r="M280" s="25" t="str">
        <f t="shared" si="23"/>
        <v>Elementos.de.Telecom</v>
      </c>
      <c r="N280" s="25" t="str">
        <f t="shared" si="24"/>
        <v>Elemento Telecom Fixo</v>
      </c>
      <c r="O280" s="25" t="str">
        <f t="shared" si="24"/>
        <v>Gateway</v>
      </c>
      <c r="P280" s="21" t="s">
        <v>1195</v>
      </c>
      <c r="Q280" s="21" t="s">
        <v>1196</v>
      </c>
      <c r="R280" s="21" t="s">
        <v>1197</v>
      </c>
      <c r="S280" s="55" t="s">
        <v>9</v>
      </c>
      <c r="T280" s="51" t="str">
        <f t="shared" si="26"/>
        <v>De Telecom</v>
      </c>
      <c r="U280" s="51" t="str">
        <f t="shared" si="26"/>
        <v>Elementos de Telecom</v>
      </c>
      <c r="V280" s="51" t="str">
        <f t="shared" si="26"/>
        <v>Elemento Telecom Fixo</v>
      </c>
      <c r="W280" s="21" t="s">
        <v>99</v>
      </c>
      <c r="X280" s="42" t="str">
        <f t="shared" si="25"/>
        <v>Key-INTEL-280</v>
      </c>
      <c r="Y280" s="21" t="s">
        <v>1087</v>
      </c>
      <c r="Z280" s="52" t="s">
        <v>9</v>
      </c>
      <c r="AA280" s="20" t="s">
        <v>1198</v>
      </c>
      <c r="AB280" s="52" t="s">
        <v>9</v>
      </c>
      <c r="AC280" s="21" t="s">
        <v>1009</v>
      </c>
      <c r="AD280" s="52" t="s">
        <v>9</v>
      </c>
    </row>
    <row r="281" spans="1:30" ht="6.75" customHeight="1" x14ac:dyDescent="0.25">
      <c r="A281" s="41">
        <v>281</v>
      </c>
      <c r="B281" s="1" t="s">
        <v>594</v>
      </c>
      <c r="C281" s="24" t="s">
        <v>1366</v>
      </c>
      <c r="D281" s="1" t="s">
        <v>1164</v>
      </c>
      <c r="E281" s="1" t="s">
        <v>1717</v>
      </c>
      <c r="F281" s="39" t="s">
        <v>1199</v>
      </c>
      <c r="G281" s="45" t="s">
        <v>9</v>
      </c>
      <c r="H281" s="45" t="s">
        <v>9</v>
      </c>
      <c r="I281" s="45" t="s">
        <v>9</v>
      </c>
      <c r="J281" s="45" t="s">
        <v>9</v>
      </c>
      <c r="K281" s="45" t="s">
        <v>9</v>
      </c>
      <c r="L281" s="25" t="str">
        <f t="shared" si="23"/>
        <v>De.Telecom</v>
      </c>
      <c r="M281" s="25" t="str">
        <f t="shared" si="23"/>
        <v>Elementos.de.Telecom</v>
      </c>
      <c r="N281" s="25" t="str">
        <f t="shared" si="24"/>
        <v>Elemento Telecom Fixo</v>
      </c>
      <c r="O281" s="25" t="str">
        <f t="shared" si="24"/>
        <v>Periférico Inteligente</v>
      </c>
      <c r="P281" s="21" t="s">
        <v>1200</v>
      </c>
      <c r="Q281" s="21" t="s">
        <v>1201</v>
      </c>
      <c r="R281" s="21" t="s">
        <v>1202</v>
      </c>
      <c r="S281" s="55" t="s">
        <v>9</v>
      </c>
      <c r="T281" s="51" t="str">
        <f t="shared" si="26"/>
        <v>De Telecom</v>
      </c>
      <c r="U281" s="51" t="str">
        <f t="shared" si="26"/>
        <v>Elementos de Telecom</v>
      </c>
      <c r="V281" s="51" t="str">
        <f t="shared" si="26"/>
        <v>Elemento Telecom Fixo</v>
      </c>
      <c r="W281" s="21" t="s">
        <v>99</v>
      </c>
      <c r="X281" s="42" t="str">
        <f t="shared" si="25"/>
        <v>Key-INTEL-281</v>
      </c>
      <c r="Y281" s="21" t="s">
        <v>1087</v>
      </c>
      <c r="Z281" s="52" t="s">
        <v>9</v>
      </c>
      <c r="AA281" s="20" t="s">
        <v>1203</v>
      </c>
      <c r="AB281" s="52" t="s">
        <v>9</v>
      </c>
      <c r="AC281" s="21" t="s">
        <v>1009</v>
      </c>
      <c r="AD281" s="52" t="s">
        <v>9</v>
      </c>
    </row>
    <row r="282" spans="1:30" ht="6.75" customHeight="1" x14ac:dyDescent="0.25">
      <c r="A282" s="41">
        <v>282</v>
      </c>
      <c r="B282" s="1" t="s">
        <v>594</v>
      </c>
      <c r="C282" s="24" t="s">
        <v>1366</v>
      </c>
      <c r="D282" s="1" t="s">
        <v>1164</v>
      </c>
      <c r="E282" s="1" t="s">
        <v>1717</v>
      </c>
      <c r="F282" s="39" t="s">
        <v>1204</v>
      </c>
      <c r="G282" s="45" t="s">
        <v>9</v>
      </c>
      <c r="H282" s="45" t="s">
        <v>9</v>
      </c>
      <c r="I282" s="45" t="s">
        <v>9</v>
      </c>
      <c r="J282" s="45" t="s">
        <v>9</v>
      </c>
      <c r="K282" s="45" t="s">
        <v>9</v>
      </c>
      <c r="L282" s="25" t="str">
        <f t="shared" si="23"/>
        <v>De.Telecom</v>
      </c>
      <c r="M282" s="25" t="str">
        <f t="shared" si="23"/>
        <v>Elementos.de.Telecom</v>
      </c>
      <c r="N282" s="25" t="str">
        <f t="shared" si="24"/>
        <v>Elemento Telecom Fixo</v>
      </c>
      <c r="O282" s="25" t="str">
        <f t="shared" si="24"/>
        <v>Aparelho Linha Linha</v>
      </c>
      <c r="P282" s="21" t="s">
        <v>1205</v>
      </c>
      <c r="Q282" s="21" t="s">
        <v>1206</v>
      </c>
      <c r="R282" s="21" t="s">
        <v>1207</v>
      </c>
      <c r="S282" s="55" t="s">
        <v>9</v>
      </c>
      <c r="T282" s="51" t="str">
        <f t="shared" si="26"/>
        <v>De Telecom</v>
      </c>
      <c r="U282" s="51" t="str">
        <f t="shared" si="26"/>
        <v>Elementos de Telecom</v>
      </c>
      <c r="V282" s="51" t="str">
        <f t="shared" si="26"/>
        <v>Elemento Telecom Fixo</v>
      </c>
      <c r="W282" s="21" t="s">
        <v>99</v>
      </c>
      <c r="X282" s="42" t="str">
        <f t="shared" si="25"/>
        <v>Key-INTEL-282</v>
      </c>
      <c r="Y282" s="21" t="s">
        <v>1087</v>
      </c>
      <c r="Z282" s="52" t="s">
        <v>9</v>
      </c>
      <c r="AA282" s="20" t="s">
        <v>1208</v>
      </c>
      <c r="AB282" s="52" t="s">
        <v>9</v>
      </c>
      <c r="AC282" s="21" t="s">
        <v>1009</v>
      </c>
      <c r="AD282" s="52" t="s">
        <v>9</v>
      </c>
    </row>
    <row r="283" spans="1:30" ht="6.75" customHeight="1" x14ac:dyDescent="0.25">
      <c r="A283" s="41">
        <v>283</v>
      </c>
      <c r="B283" s="1" t="s">
        <v>594</v>
      </c>
      <c r="C283" s="24" t="s">
        <v>1366</v>
      </c>
      <c r="D283" s="1" t="s">
        <v>1164</v>
      </c>
      <c r="E283" s="1" t="s">
        <v>1717</v>
      </c>
      <c r="F283" s="39" t="s">
        <v>1209</v>
      </c>
      <c r="G283" s="45" t="s">
        <v>9</v>
      </c>
      <c r="H283" s="45" t="s">
        <v>9</v>
      </c>
      <c r="I283" s="45" t="s">
        <v>9</v>
      </c>
      <c r="J283" s="45" t="s">
        <v>9</v>
      </c>
      <c r="K283" s="45" t="s">
        <v>9</v>
      </c>
      <c r="L283" s="25" t="str">
        <f t="shared" si="23"/>
        <v>De.Telecom</v>
      </c>
      <c r="M283" s="25" t="str">
        <f t="shared" si="23"/>
        <v>Elementos.de.Telecom</v>
      </c>
      <c r="N283" s="25" t="str">
        <f t="shared" si="24"/>
        <v>Elemento Telecom Fixo</v>
      </c>
      <c r="O283" s="25" t="str">
        <f t="shared" si="24"/>
        <v>Aparelho Network IP</v>
      </c>
      <c r="P283" s="21" t="s">
        <v>1210</v>
      </c>
      <c r="Q283" s="21" t="s">
        <v>1211</v>
      </c>
      <c r="R283" s="21" t="s">
        <v>1212</v>
      </c>
      <c r="S283" s="55" t="s">
        <v>9</v>
      </c>
      <c r="T283" s="51" t="str">
        <f t="shared" si="26"/>
        <v>De Telecom</v>
      </c>
      <c r="U283" s="51" t="str">
        <f t="shared" si="26"/>
        <v>Elementos de Telecom</v>
      </c>
      <c r="V283" s="51" t="str">
        <f t="shared" si="26"/>
        <v>Elemento Telecom Fixo</v>
      </c>
      <c r="W283" s="21" t="s">
        <v>99</v>
      </c>
      <c r="X283" s="42" t="str">
        <f t="shared" si="25"/>
        <v>Key-INTEL-283</v>
      </c>
      <c r="Y283" s="21" t="s">
        <v>1087</v>
      </c>
      <c r="Z283" s="52" t="s">
        <v>9</v>
      </c>
      <c r="AA283" s="20" t="s">
        <v>1213</v>
      </c>
      <c r="AB283" s="52" t="s">
        <v>9</v>
      </c>
      <c r="AC283" s="21" t="s">
        <v>1009</v>
      </c>
      <c r="AD283" s="52" t="s">
        <v>9</v>
      </c>
    </row>
    <row r="284" spans="1:30" ht="6.75" customHeight="1" x14ac:dyDescent="0.25">
      <c r="A284" s="41">
        <v>284</v>
      </c>
      <c r="B284" s="1" t="s">
        <v>594</v>
      </c>
      <c r="C284" s="24" t="s">
        <v>1366</v>
      </c>
      <c r="D284" s="1" t="s">
        <v>1164</v>
      </c>
      <c r="E284" s="1" t="s">
        <v>1717</v>
      </c>
      <c r="F284" s="39" t="s">
        <v>1214</v>
      </c>
      <c r="G284" s="45" t="s">
        <v>9</v>
      </c>
      <c r="H284" s="45" t="s">
        <v>9</v>
      </c>
      <c r="I284" s="45" t="s">
        <v>9</v>
      </c>
      <c r="J284" s="45" t="s">
        <v>9</v>
      </c>
      <c r="K284" s="45" t="s">
        <v>9</v>
      </c>
      <c r="L284" s="25" t="str">
        <f t="shared" si="23"/>
        <v>De.Telecom</v>
      </c>
      <c r="M284" s="25" t="str">
        <f t="shared" si="23"/>
        <v>Elementos.de.Telecom</v>
      </c>
      <c r="N284" s="25" t="str">
        <f t="shared" si="24"/>
        <v>Elemento Telecom Fixo</v>
      </c>
      <c r="O284" s="25" t="str">
        <f t="shared" si="24"/>
        <v>Aparelho Network App</v>
      </c>
      <c r="P284" s="21" t="s">
        <v>1215</v>
      </c>
      <c r="Q284" s="21" t="s">
        <v>1216</v>
      </c>
      <c r="R284" s="21" t="s">
        <v>1217</v>
      </c>
      <c r="S284" s="55" t="s">
        <v>9</v>
      </c>
      <c r="T284" s="51" t="str">
        <f t="shared" si="26"/>
        <v>De Telecom</v>
      </c>
      <c r="U284" s="51" t="str">
        <f t="shared" si="26"/>
        <v>Elementos de Telecom</v>
      </c>
      <c r="V284" s="51" t="str">
        <f t="shared" si="26"/>
        <v>Elemento Telecom Fixo</v>
      </c>
      <c r="W284" s="21" t="s">
        <v>99</v>
      </c>
      <c r="X284" s="42" t="str">
        <f t="shared" si="25"/>
        <v>Key-INTEL-284</v>
      </c>
      <c r="Y284" s="21" t="s">
        <v>1087</v>
      </c>
      <c r="Z284" s="52" t="s">
        <v>9</v>
      </c>
      <c r="AA284" s="20" t="s">
        <v>1218</v>
      </c>
      <c r="AB284" s="52" t="s">
        <v>9</v>
      </c>
      <c r="AC284" s="21" t="s">
        <v>1009</v>
      </c>
      <c r="AD284" s="52" t="s">
        <v>9</v>
      </c>
    </row>
    <row r="285" spans="1:30" ht="6.75" customHeight="1" x14ac:dyDescent="0.25">
      <c r="A285" s="41">
        <v>285</v>
      </c>
      <c r="B285" s="1" t="s">
        <v>594</v>
      </c>
      <c r="C285" s="24" t="s">
        <v>1366</v>
      </c>
      <c r="D285" s="1" t="s">
        <v>1164</v>
      </c>
      <c r="E285" s="1" t="s">
        <v>1717</v>
      </c>
      <c r="F285" s="39" t="s">
        <v>1219</v>
      </c>
      <c r="G285" s="45" t="s">
        <v>9</v>
      </c>
      <c r="H285" s="45" t="s">
        <v>9</v>
      </c>
      <c r="I285" s="45" t="s">
        <v>9</v>
      </c>
      <c r="J285" s="45" t="s">
        <v>9</v>
      </c>
      <c r="K285" s="45" t="s">
        <v>9</v>
      </c>
      <c r="L285" s="25" t="str">
        <f t="shared" si="23"/>
        <v>De.Telecom</v>
      </c>
      <c r="M285" s="25" t="str">
        <f t="shared" si="23"/>
        <v>Elementos.de.Telecom</v>
      </c>
      <c r="N285" s="25" t="str">
        <f t="shared" si="24"/>
        <v>Elemento Telecom Fixo</v>
      </c>
      <c r="O285" s="25" t="str">
        <f t="shared" si="24"/>
        <v>Aparelho Network Bridge</v>
      </c>
      <c r="P285" s="21" t="s">
        <v>1220</v>
      </c>
      <c r="Q285" s="21" t="s">
        <v>1221</v>
      </c>
      <c r="R285" s="21" t="s">
        <v>1222</v>
      </c>
      <c r="S285" s="55" t="s">
        <v>9</v>
      </c>
      <c r="T285" s="51" t="str">
        <f t="shared" si="26"/>
        <v>De Telecom</v>
      </c>
      <c r="U285" s="51" t="str">
        <f t="shared" si="26"/>
        <v>Elementos de Telecom</v>
      </c>
      <c r="V285" s="51" t="str">
        <f t="shared" si="26"/>
        <v>Elemento Telecom Fixo</v>
      </c>
      <c r="W285" s="21" t="s">
        <v>99</v>
      </c>
      <c r="X285" s="42" t="str">
        <f t="shared" si="25"/>
        <v>Key-INTEL-285</v>
      </c>
      <c r="Y285" s="21" t="s">
        <v>1087</v>
      </c>
      <c r="Z285" s="52" t="s">
        <v>9</v>
      </c>
      <c r="AA285" s="20" t="s">
        <v>1223</v>
      </c>
      <c r="AB285" s="52" t="s">
        <v>9</v>
      </c>
      <c r="AC285" s="21" t="s">
        <v>1009</v>
      </c>
      <c r="AD285" s="52" t="s">
        <v>9</v>
      </c>
    </row>
    <row r="286" spans="1:30" ht="6.75" customHeight="1" x14ac:dyDescent="0.25">
      <c r="A286" s="41">
        <v>286</v>
      </c>
      <c r="B286" s="1" t="s">
        <v>594</v>
      </c>
      <c r="C286" s="24" t="s">
        <v>1366</v>
      </c>
      <c r="D286" s="1" t="s">
        <v>1164</v>
      </c>
      <c r="E286" s="1" t="s">
        <v>1717</v>
      </c>
      <c r="F286" s="39" t="s">
        <v>1224</v>
      </c>
      <c r="G286" s="45" t="s">
        <v>9</v>
      </c>
      <c r="H286" s="45" t="s">
        <v>9</v>
      </c>
      <c r="I286" s="45" t="s">
        <v>9</v>
      </c>
      <c r="J286" s="45" t="s">
        <v>9</v>
      </c>
      <c r="K286" s="45" t="s">
        <v>9</v>
      </c>
      <c r="L286" s="25" t="str">
        <f t="shared" si="23"/>
        <v>De.Telecom</v>
      </c>
      <c r="M286" s="25" t="str">
        <f t="shared" si="23"/>
        <v>Elementos.de.Telecom</v>
      </c>
      <c r="N286" s="25" t="str">
        <f t="shared" si="24"/>
        <v>Elemento Telecom Fixo</v>
      </c>
      <c r="O286" s="25" t="str">
        <f t="shared" si="24"/>
        <v>Aparelho Network Hub</v>
      </c>
      <c r="P286" s="21" t="s">
        <v>1225</v>
      </c>
      <c r="Q286" s="21" t="s">
        <v>1226</v>
      </c>
      <c r="R286" s="21" t="s">
        <v>1227</v>
      </c>
      <c r="S286" s="55" t="s">
        <v>9</v>
      </c>
      <c r="T286" s="51" t="str">
        <f t="shared" si="26"/>
        <v>De Telecom</v>
      </c>
      <c r="U286" s="51" t="str">
        <f t="shared" si="26"/>
        <v>Elementos de Telecom</v>
      </c>
      <c r="V286" s="51" t="str">
        <f t="shared" si="26"/>
        <v>Elemento Telecom Fixo</v>
      </c>
      <c r="W286" s="21" t="s">
        <v>99</v>
      </c>
      <c r="X286" s="42" t="str">
        <f t="shared" si="25"/>
        <v>Key-INTEL-286</v>
      </c>
      <c r="Y286" s="21" t="s">
        <v>1087</v>
      </c>
      <c r="Z286" s="52" t="s">
        <v>9</v>
      </c>
      <c r="AA286" s="20" t="s">
        <v>1228</v>
      </c>
      <c r="AB286" s="52" t="s">
        <v>9</v>
      </c>
      <c r="AC286" s="21" t="s">
        <v>1009</v>
      </c>
      <c r="AD286" s="52" t="s">
        <v>9</v>
      </c>
    </row>
    <row r="287" spans="1:30" ht="6.75" customHeight="1" x14ac:dyDescent="0.25">
      <c r="A287" s="41">
        <v>287</v>
      </c>
      <c r="B287" s="1" t="s">
        <v>594</v>
      </c>
      <c r="C287" s="24" t="s">
        <v>1366</v>
      </c>
      <c r="D287" s="1" t="s">
        <v>1164</v>
      </c>
      <c r="E287" s="1" t="s">
        <v>1717</v>
      </c>
      <c r="F287" s="39" t="s">
        <v>1229</v>
      </c>
      <c r="G287" s="45" t="s">
        <v>9</v>
      </c>
      <c r="H287" s="45" t="s">
        <v>9</v>
      </c>
      <c r="I287" s="45" t="s">
        <v>9</v>
      </c>
      <c r="J287" s="45" t="s">
        <v>9</v>
      </c>
      <c r="K287" s="45" t="s">
        <v>9</v>
      </c>
      <c r="L287" s="25" t="str">
        <f t="shared" si="23"/>
        <v>De.Telecom</v>
      </c>
      <c r="M287" s="25" t="str">
        <f t="shared" si="23"/>
        <v>Elementos.de.Telecom</v>
      </c>
      <c r="N287" s="25" t="str">
        <f t="shared" si="24"/>
        <v>Elemento Telecom Fixo</v>
      </c>
      <c r="O287" s="25" t="str">
        <f t="shared" si="24"/>
        <v>Aparelho Rede Óptica</v>
      </c>
      <c r="P287" s="21" t="s">
        <v>1230</v>
      </c>
      <c r="Q287" s="21" t="s">
        <v>1231</v>
      </c>
      <c r="R287" s="21" t="s">
        <v>1232</v>
      </c>
      <c r="S287" s="55" t="s">
        <v>9</v>
      </c>
      <c r="T287" s="51" t="str">
        <f t="shared" si="26"/>
        <v>De Telecom</v>
      </c>
      <c r="U287" s="51" t="str">
        <f t="shared" si="26"/>
        <v>Elementos de Telecom</v>
      </c>
      <c r="V287" s="51" t="str">
        <f t="shared" si="26"/>
        <v>Elemento Telecom Fixo</v>
      </c>
      <c r="W287" s="21" t="s">
        <v>99</v>
      </c>
      <c r="X287" s="42" t="str">
        <f t="shared" si="25"/>
        <v>Key-INTEL-287</v>
      </c>
      <c r="Y287" s="21" t="s">
        <v>1087</v>
      </c>
      <c r="Z287" s="52" t="s">
        <v>9</v>
      </c>
      <c r="AA287" s="20" t="s">
        <v>1233</v>
      </c>
      <c r="AB287" s="52" t="s">
        <v>9</v>
      </c>
      <c r="AC287" s="21" t="s">
        <v>1009</v>
      </c>
      <c r="AD287" s="52" t="s">
        <v>9</v>
      </c>
    </row>
    <row r="288" spans="1:30" ht="6.75" customHeight="1" x14ac:dyDescent="0.25">
      <c r="A288" s="41">
        <v>288</v>
      </c>
      <c r="B288" s="1" t="s">
        <v>594</v>
      </c>
      <c r="C288" s="24" t="s">
        <v>1366</v>
      </c>
      <c r="D288" s="1" t="s">
        <v>1164</v>
      </c>
      <c r="E288" s="1" t="s">
        <v>1717</v>
      </c>
      <c r="F288" s="39" t="s">
        <v>1234</v>
      </c>
      <c r="G288" s="45" t="s">
        <v>9</v>
      </c>
      <c r="H288" s="45" t="s">
        <v>9</v>
      </c>
      <c r="I288" s="45" t="s">
        <v>9</v>
      </c>
      <c r="J288" s="45" t="s">
        <v>9</v>
      </c>
      <c r="K288" s="45" t="s">
        <v>9</v>
      </c>
      <c r="L288" s="25" t="str">
        <f t="shared" si="23"/>
        <v>De.Telecom</v>
      </c>
      <c r="M288" s="25" t="str">
        <f t="shared" si="23"/>
        <v>Elementos.de.Telecom</v>
      </c>
      <c r="N288" s="25" t="str">
        <f t="shared" si="24"/>
        <v>Elemento Telecom Fixo</v>
      </c>
      <c r="O288" s="25" t="str">
        <f t="shared" si="24"/>
        <v>Aparelho RBC</v>
      </c>
      <c r="P288" s="21" t="s">
        <v>1235</v>
      </c>
      <c r="Q288" s="21" t="s">
        <v>1236</v>
      </c>
      <c r="R288" s="21" t="s">
        <v>1237</v>
      </c>
      <c r="S288" s="55" t="s">
        <v>9</v>
      </c>
      <c r="T288" s="51" t="str">
        <f t="shared" si="26"/>
        <v>De Telecom</v>
      </c>
      <c r="U288" s="51" t="str">
        <f t="shared" si="26"/>
        <v>Elementos de Telecom</v>
      </c>
      <c r="V288" s="51" t="str">
        <f t="shared" si="26"/>
        <v>Elemento Telecom Fixo</v>
      </c>
      <c r="W288" s="21" t="s">
        <v>99</v>
      </c>
      <c r="X288" s="42" t="str">
        <f t="shared" si="25"/>
        <v>Key-INTEL-288</v>
      </c>
      <c r="Y288" s="21" t="s">
        <v>1087</v>
      </c>
      <c r="Z288" s="52" t="s">
        <v>9</v>
      </c>
      <c r="AA288" s="20" t="s">
        <v>1238</v>
      </c>
      <c r="AB288" s="52" t="s">
        <v>9</v>
      </c>
      <c r="AC288" s="21" t="s">
        <v>1009</v>
      </c>
      <c r="AD288" s="52" t="s">
        <v>9</v>
      </c>
    </row>
    <row r="289" spans="1:30" ht="6.75" customHeight="1" x14ac:dyDescent="0.25">
      <c r="A289" s="41">
        <v>289</v>
      </c>
      <c r="B289" s="1" t="s">
        <v>594</v>
      </c>
      <c r="C289" s="24" t="s">
        <v>1366</v>
      </c>
      <c r="D289" s="1" t="s">
        <v>1164</v>
      </c>
      <c r="E289" s="1" t="s">
        <v>1717</v>
      </c>
      <c r="F289" s="39" t="s">
        <v>1239</v>
      </c>
      <c r="G289" s="45" t="s">
        <v>9</v>
      </c>
      <c r="H289" s="45" t="s">
        <v>9</v>
      </c>
      <c r="I289" s="45" t="s">
        <v>9</v>
      </c>
      <c r="J289" s="45" t="s">
        <v>9</v>
      </c>
      <c r="K289" s="45" t="s">
        <v>9</v>
      </c>
      <c r="L289" s="25" t="str">
        <f t="shared" si="23"/>
        <v>De.Telecom</v>
      </c>
      <c r="M289" s="25" t="str">
        <f t="shared" si="23"/>
        <v>Elementos.de.Telecom</v>
      </c>
      <c r="N289" s="25" t="str">
        <f t="shared" si="24"/>
        <v>Elemento Telecom Fixo</v>
      </c>
      <c r="O289" s="25" t="str">
        <f t="shared" si="24"/>
        <v>Terminal Óptico</v>
      </c>
      <c r="P289" s="21" t="s">
        <v>1240</v>
      </c>
      <c r="Q289" s="21" t="s">
        <v>1241</v>
      </c>
      <c r="R289" s="21" t="s">
        <v>1242</v>
      </c>
      <c r="S289" s="55" t="s">
        <v>9</v>
      </c>
      <c r="T289" s="51" t="str">
        <f t="shared" si="26"/>
        <v>De Telecom</v>
      </c>
      <c r="U289" s="51" t="str">
        <f t="shared" si="26"/>
        <v>Elementos de Telecom</v>
      </c>
      <c r="V289" s="51" t="str">
        <f t="shared" si="26"/>
        <v>Elemento Telecom Fixo</v>
      </c>
      <c r="W289" s="21" t="s">
        <v>99</v>
      </c>
      <c r="X289" s="42" t="str">
        <f t="shared" si="25"/>
        <v>Key-INTEL-289</v>
      </c>
      <c r="Y289" s="21" t="s">
        <v>1087</v>
      </c>
      <c r="Z289" s="52" t="s">
        <v>9</v>
      </c>
      <c r="AA289" s="20" t="s">
        <v>1243</v>
      </c>
      <c r="AB289" s="52" t="s">
        <v>9</v>
      </c>
      <c r="AC289" s="21" t="s">
        <v>1009</v>
      </c>
      <c r="AD289" s="52" t="s">
        <v>9</v>
      </c>
    </row>
    <row r="290" spans="1:30" ht="6.75" customHeight="1" x14ac:dyDescent="0.25">
      <c r="A290" s="41">
        <v>290</v>
      </c>
      <c r="B290" s="1" t="s">
        <v>594</v>
      </c>
      <c r="C290" s="24" t="s">
        <v>1366</v>
      </c>
      <c r="D290" s="1" t="s">
        <v>1164</v>
      </c>
      <c r="E290" s="1" t="s">
        <v>1717</v>
      </c>
      <c r="F290" s="39" t="s">
        <v>1244</v>
      </c>
      <c r="G290" s="45" t="s">
        <v>9</v>
      </c>
      <c r="H290" s="45" t="s">
        <v>9</v>
      </c>
      <c r="I290" s="45" t="s">
        <v>9</v>
      </c>
      <c r="J290" s="45" t="s">
        <v>9</v>
      </c>
      <c r="K290" s="45" t="s">
        <v>9</v>
      </c>
      <c r="L290" s="25" t="str">
        <f t="shared" si="23"/>
        <v>De.Telecom</v>
      </c>
      <c r="M290" s="25" t="str">
        <f t="shared" si="23"/>
        <v>Elementos.de.Telecom</v>
      </c>
      <c r="N290" s="25" t="str">
        <f t="shared" si="24"/>
        <v>Elemento Telecom Fixo</v>
      </c>
      <c r="O290" s="25" t="str">
        <f t="shared" si="24"/>
        <v>Scanner</v>
      </c>
      <c r="P290" s="21" t="s">
        <v>1245</v>
      </c>
      <c r="Q290" s="21" t="s">
        <v>1246</v>
      </c>
      <c r="R290" s="21" t="s">
        <v>1247</v>
      </c>
      <c r="S290" s="55" t="s">
        <v>9</v>
      </c>
      <c r="T290" s="51" t="str">
        <f t="shared" si="26"/>
        <v>De Telecom</v>
      </c>
      <c r="U290" s="51" t="str">
        <f t="shared" si="26"/>
        <v>Elementos de Telecom</v>
      </c>
      <c r="V290" s="51" t="str">
        <f t="shared" si="26"/>
        <v>Elemento Telecom Fixo</v>
      </c>
      <c r="W290" s="21" t="s">
        <v>99</v>
      </c>
      <c r="X290" s="42" t="str">
        <f t="shared" si="25"/>
        <v>Key-INTEL-290</v>
      </c>
      <c r="Y290" s="21" t="s">
        <v>1087</v>
      </c>
      <c r="Z290" s="52" t="s">
        <v>9</v>
      </c>
      <c r="AA290" s="20" t="s">
        <v>1248</v>
      </c>
      <c r="AB290" s="52" t="s">
        <v>9</v>
      </c>
      <c r="AC290" s="21" t="s">
        <v>1009</v>
      </c>
      <c r="AD290" s="52" t="s">
        <v>9</v>
      </c>
    </row>
    <row r="291" spans="1:30" ht="6.75" customHeight="1" x14ac:dyDescent="0.25">
      <c r="A291" s="41">
        <v>291</v>
      </c>
      <c r="B291" s="1" t="s">
        <v>594</v>
      </c>
      <c r="C291" s="24" t="s">
        <v>1366</v>
      </c>
      <c r="D291" s="1" t="s">
        <v>1164</v>
      </c>
      <c r="E291" s="1" t="s">
        <v>1717</v>
      </c>
      <c r="F291" s="39" t="s">
        <v>1249</v>
      </c>
      <c r="G291" s="45" t="s">
        <v>9</v>
      </c>
      <c r="H291" s="45" t="s">
        <v>9</v>
      </c>
      <c r="I291" s="45" t="s">
        <v>9</v>
      </c>
      <c r="J291" s="45" t="s">
        <v>9</v>
      </c>
      <c r="K291" s="45" t="s">
        <v>9</v>
      </c>
      <c r="L291" s="25" t="str">
        <f t="shared" si="23"/>
        <v>De.Telecom</v>
      </c>
      <c r="M291" s="25" t="str">
        <f t="shared" si="23"/>
        <v>Elementos.de.Telecom</v>
      </c>
      <c r="N291" s="25" t="str">
        <f t="shared" si="24"/>
        <v>Elemento Telecom Fixo</v>
      </c>
      <c r="O291" s="25" t="str">
        <f t="shared" si="24"/>
        <v>Impressora</v>
      </c>
      <c r="P291" s="21" t="s">
        <v>1250</v>
      </c>
      <c r="Q291" s="21" t="s">
        <v>1251</v>
      </c>
      <c r="R291" s="21" t="s">
        <v>1252</v>
      </c>
      <c r="S291" s="55" t="s">
        <v>9</v>
      </c>
      <c r="T291" s="51" t="str">
        <f t="shared" si="26"/>
        <v>De Telecom</v>
      </c>
      <c r="U291" s="51" t="str">
        <f t="shared" si="26"/>
        <v>Elementos de Telecom</v>
      </c>
      <c r="V291" s="51" t="str">
        <f t="shared" si="26"/>
        <v>Elemento Telecom Fixo</v>
      </c>
      <c r="W291" s="21" t="s">
        <v>99</v>
      </c>
      <c r="X291" s="42" t="str">
        <f t="shared" si="25"/>
        <v>Key-INTEL-291</v>
      </c>
      <c r="Y291" s="21" t="s">
        <v>1087</v>
      </c>
      <c r="Z291" s="52" t="s">
        <v>9</v>
      </c>
      <c r="AA291" s="20" t="s">
        <v>1253</v>
      </c>
      <c r="AB291" s="52" t="s">
        <v>9</v>
      </c>
      <c r="AC291" s="21" t="s">
        <v>1009</v>
      </c>
      <c r="AD291" s="52" t="s">
        <v>9</v>
      </c>
    </row>
    <row r="292" spans="1:30" ht="6.75" customHeight="1" x14ac:dyDescent="0.25">
      <c r="A292" s="41">
        <v>292</v>
      </c>
      <c r="B292" s="1" t="s">
        <v>594</v>
      </c>
      <c r="C292" s="24" t="s">
        <v>1366</v>
      </c>
      <c r="D292" s="1" t="s">
        <v>1164</v>
      </c>
      <c r="E292" s="1" t="s">
        <v>1717</v>
      </c>
      <c r="F292" s="39" t="s">
        <v>1254</v>
      </c>
      <c r="G292" s="45" t="s">
        <v>9</v>
      </c>
      <c r="H292" s="45" t="s">
        <v>9</v>
      </c>
      <c r="I292" s="45" t="s">
        <v>9</v>
      </c>
      <c r="J292" s="45" t="s">
        <v>9</v>
      </c>
      <c r="K292" s="45" t="s">
        <v>9</v>
      </c>
      <c r="L292" s="25" t="str">
        <f t="shared" si="23"/>
        <v>De.Telecom</v>
      </c>
      <c r="M292" s="25" t="str">
        <f t="shared" si="23"/>
        <v>Elementos.de.Telecom</v>
      </c>
      <c r="N292" s="25" t="str">
        <f t="shared" si="24"/>
        <v>Elemento Telecom Fixo</v>
      </c>
      <c r="O292" s="25" t="str">
        <f t="shared" si="24"/>
        <v>Repetidor</v>
      </c>
      <c r="P292" s="21" t="s">
        <v>1255</v>
      </c>
      <c r="Q292" s="21" t="s">
        <v>1256</v>
      </c>
      <c r="R292" s="21" t="s">
        <v>1257</v>
      </c>
      <c r="S292" s="55" t="s">
        <v>9</v>
      </c>
      <c r="T292" s="51" t="str">
        <f t="shared" si="26"/>
        <v>De Telecom</v>
      </c>
      <c r="U292" s="51" t="str">
        <f t="shared" si="26"/>
        <v>Elementos de Telecom</v>
      </c>
      <c r="V292" s="51" t="str">
        <f t="shared" si="26"/>
        <v>Elemento Telecom Fixo</v>
      </c>
      <c r="W292" s="21" t="s">
        <v>99</v>
      </c>
      <c r="X292" s="42" t="str">
        <f t="shared" si="25"/>
        <v>Key-INTEL-292</v>
      </c>
      <c r="Y292" s="21" t="s">
        <v>1087</v>
      </c>
      <c r="Z292" s="52" t="s">
        <v>9</v>
      </c>
      <c r="AA292" s="20" t="s">
        <v>1258</v>
      </c>
      <c r="AB292" s="52" t="s">
        <v>9</v>
      </c>
      <c r="AC292" s="21" t="s">
        <v>1009</v>
      </c>
      <c r="AD292" s="52" t="s">
        <v>9</v>
      </c>
    </row>
    <row r="293" spans="1:30" ht="6.75" customHeight="1" x14ac:dyDescent="0.25">
      <c r="A293" s="41">
        <v>293</v>
      </c>
      <c r="B293" s="1" t="s">
        <v>594</v>
      </c>
      <c r="C293" s="24" t="s">
        <v>1366</v>
      </c>
      <c r="D293" s="1" t="s">
        <v>1164</v>
      </c>
      <c r="E293" s="1" t="s">
        <v>1717</v>
      </c>
      <c r="F293" s="39" t="s">
        <v>1259</v>
      </c>
      <c r="G293" s="45" t="s">
        <v>9</v>
      </c>
      <c r="H293" s="45" t="s">
        <v>9</v>
      </c>
      <c r="I293" s="45" t="s">
        <v>9</v>
      </c>
      <c r="J293" s="45" t="s">
        <v>9</v>
      </c>
      <c r="K293" s="45" t="s">
        <v>9</v>
      </c>
      <c r="L293" s="25" t="str">
        <f t="shared" si="23"/>
        <v>De.Telecom</v>
      </c>
      <c r="M293" s="25" t="str">
        <f t="shared" si="23"/>
        <v>Elementos.de.Telecom</v>
      </c>
      <c r="N293" s="25" t="str">
        <f t="shared" si="24"/>
        <v>Elemento Telecom Fixo</v>
      </c>
      <c r="O293" s="25" t="str">
        <f t="shared" si="24"/>
        <v>Roteador</v>
      </c>
      <c r="P293" s="21" t="s">
        <v>1260</v>
      </c>
      <c r="Q293" s="21" t="s">
        <v>1261</v>
      </c>
      <c r="R293" s="21" t="s">
        <v>1262</v>
      </c>
      <c r="S293" s="55" t="s">
        <v>9</v>
      </c>
      <c r="T293" s="51" t="str">
        <f t="shared" si="26"/>
        <v>De Telecom</v>
      </c>
      <c r="U293" s="51" t="str">
        <f t="shared" si="26"/>
        <v>Elementos de Telecom</v>
      </c>
      <c r="V293" s="51" t="str">
        <f t="shared" si="26"/>
        <v>Elemento Telecom Fixo</v>
      </c>
      <c r="W293" s="21" t="s">
        <v>99</v>
      </c>
      <c r="X293" s="42" t="str">
        <f t="shared" si="25"/>
        <v>Key-INTEL-293</v>
      </c>
      <c r="Y293" s="21" t="s">
        <v>1087</v>
      </c>
      <c r="Z293" s="52" t="s">
        <v>9</v>
      </c>
      <c r="AA293" s="20" t="s">
        <v>1263</v>
      </c>
      <c r="AB293" s="52" t="s">
        <v>9</v>
      </c>
      <c r="AC293" s="21" t="s">
        <v>1009</v>
      </c>
      <c r="AD293" s="52" t="s">
        <v>9</v>
      </c>
    </row>
    <row r="294" spans="1:30" ht="6.75" customHeight="1" x14ac:dyDescent="0.25">
      <c r="A294" s="41">
        <v>294</v>
      </c>
      <c r="B294" s="1" t="s">
        <v>594</v>
      </c>
      <c r="C294" s="24" t="s">
        <v>1366</v>
      </c>
      <c r="D294" s="1" t="s">
        <v>1164</v>
      </c>
      <c r="E294" s="1" t="s">
        <v>1717</v>
      </c>
      <c r="F294" s="39" t="s">
        <v>1264</v>
      </c>
      <c r="G294" s="45" t="s">
        <v>9</v>
      </c>
      <c r="H294" s="45" t="s">
        <v>9</v>
      </c>
      <c r="I294" s="45" t="s">
        <v>9</v>
      </c>
      <c r="J294" s="45" t="s">
        <v>9</v>
      </c>
      <c r="K294" s="45" t="s">
        <v>9</v>
      </c>
      <c r="L294" s="25" t="str">
        <f t="shared" ref="L294:M353" si="27">CONCATENATE("", C294)</f>
        <v>De.Telecom</v>
      </c>
      <c r="M294" s="25" t="str">
        <f t="shared" si="27"/>
        <v>Elementos.de.Telecom</v>
      </c>
      <c r="N294" s="25" t="str">
        <f t="shared" ref="N294:O353" si="28">(SUBSTITUTE(SUBSTITUTE(CONCATENATE("",E294),"."," ")," De "," de "))</f>
        <v>Elemento Telecom Fixo</v>
      </c>
      <c r="O294" s="25" t="str">
        <f t="shared" si="28"/>
        <v>Telecomando</v>
      </c>
      <c r="P294" s="21" t="s">
        <v>1265</v>
      </c>
      <c r="Q294" s="21" t="s">
        <v>1266</v>
      </c>
      <c r="R294" s="21" t="s">
        <v>1267</v>
      </c>
      <c r="S294" s="55" t="s">
        <v>9</v>
      </c>
      <c r="T294" s="51" t="str">
        <f t="shared" si="26"/>
        <v>De Telecom</v>
      </c>
      <c r="U294" s="51" t="str">
        <f t="shared" si="26"/>
        <v>Elementos de Telecom</v>
      </c>
      <c r="V294" s="51" t="str">
        <f t="shared" si="26"/>
        <v>Elemento Telecom Fixo</v>
      </c>
      <c r="W294" s="21" t="s">
        <v>99</v>
      </c>
      <c r="X294" s="42" t="str">
        <f t="shared" si="25"/>
        <v>Key-INTEL-294</v>
      </c>
      <c r="Y294" s="21" t="s">
        <v>1087</v>
      </c>
      <c r="Z294" s="52" t="s">
        <v>9</v>
      </c>
      <c r="AA294" s="20" t="s">
        <v>1268</v>
      </c>
      <c r="AB294" s="52" t="s">
        <v>9</v>
      </c>
      <c r="AC294" s="21" t="s">
        <v>1009</v>
      </c>
      <c r="AD294" s="52" t="s">
        <v>9</v>
      </c>
    </row>
    <row r="295" spans="1:30" ht="6.75" customHeight="1" x14ac:dyDescent="0.25">
      <c r="A295" s="41">
        <v>295</v>
      </c>
      <c r="B295" s="1" t="s">
        <v>594</v>
      </c>
      <c r="C295" s="24" t="s">
        <v>1366</v>
      </c>
      <c r="D295" s="1" t="s">
        <v>1164</v>
      </c>
      <c r="E295" s="1" t="s">
        <v>1717</v>
      </c>
      <c r="F295" s="39" t="s">
        <v>1269</v>
      </c>
      <c r="G295" s="45" t="s">
        <v>9</v>
      </c>
      <c r="H295" s="45" t="s">
        <v>9</v>
      </c>
      <c r="I295" s="45" t="s">
        <v>9</v>
      </c>
      <c r="J295" s="45" t="s">
        <v>9</v>
      </c>
      <c r="K295" s="45" t="s">
        <v>9</v>
      </c>
      <c r="L295" s="25" t="str">
        <f t="shared" si="27"/>
        <v>De.Telecom</v>
      </c>
      <c r="M295" s="25" t="str">
        <f t="shared" si="27"/>
        <v>Elementos.de.Telecom</v>
      </c>
      <c r="N295" s="25" t="str">
        <f t="shared" si="28"/>
        <v>Elemento Telecom Fixo</v>
      </c>
      <c r="O295" s="25" t="str">
        <f t="shared" si="28"/>
        <v>Central Telefônica</v>
      </c>
      <c r="P295" s="21" t="s">
        <v>1270</v>
      </c>
      <c r="Q295" s="21" t="s">
        <v>1271</v>
      </c>
      <c r="R295" s="21" t="s">
        <v>1272</v>
      </c>
      <c r="S295" s="55" t="s">
        <v>9</v>
      </c>
      <c r="T295" s="51" t="str">
        <f t="shared" si="26"/>
        <v>De Telecom</v>
      </c>
      <c r="U295" s="51" t="str">
        <f t="shared" si="26"/>
        <v>Elementos de Telecom</v>
      </c>
      <c r="V295" s="51" t="str">
        <f t="shared" si="26"/>
        <v>Elemento Telecom Fixo</v>
      </c>
      <c r="W295" s="21" t="s">
        <v>99</v>
      </c>
      <c r="X295" s="42" t="str">
        <f t="shared" si="25"/>
        <v>Key-INTEL-295</v>
      </c>
      <c r="Y295" s="21" t="s">
        <v>1087</v>
      </c>
      <c r="Z295" s="52" t="s">
        <v>9</v>
      </c>
      <c r="AA295" s="20" t="s">
        <v>1273</v>
      </c>
      <c r="AB295" s="52" t="s">
        <v>9</v>
      </c>
      <c r="AC295" s="21" t="s">
        <v>1009</v>
      </c>
      <c r="AD295" s="52" t="s">
        <v>9</v>
      </c>
    </row>
    <row r="296" spans="1:30" ht="6.75" customHeight="1" x14ac:dyDescent="0.25">
      <c r="A296" s="41">
        <v>296</v>
      </c>
      <c r="B296" s="1" t="s">
        <v>594</v>
      </c>
      <c r="C296" s="24" t="s">
        <v>1366</v>
      </c>
      <c r="D296" s="1" t="s">
        <v>1164</v>
      </c>
      <c r="E296" s="1" t="s">
        <v>1717</v>
      </c>
      <c r="F296" s="39" t="s">
        <v>1274</v>
      </c>
      <c r="G296" s="45" t="s">
        <v>9</v>
      </c>
      <c r="H296" s="45" t="s">
        <v>9</v>
      </c>
      <c r="I296" s="45" t="s">
        <v>9</v>
      </c>
      <c r="J296" s="45" t="s">
        <v>9</v>
      </c>
      <c r="K296" s="45" t="s">
        <v>9</v>
      </c>
      <c r="L296" s="25" t="str">
        <f t="shared" si="27"/>
        <v>De.Telecom</v>
      </c>
      <c r="M296" s="25" t="str">
        <f t="shared" si="27"/>
        <v>Elementos.de.Telecom</v>
      </c>
      <c r="N296" s="25" t="str">
        <f t="shared" si="28"/>
        <v>Elemento Telecom Fixo</v>
      </c>
      <c r="O296" s="25" t="str">
        <f t="shared" si="28"/>
        <v>Componente Transição</v>
      </c>
      <c r="P296" s="21" t="s">
        <v>1275</v>
      </c>
      <c r="Q296" s="21" t="s">
        <v>1276</v>
      </c>
      <c r="R296" s="21" t="s">
        <v>1277</v>
      </c>
      <c r="S296" s="55" t="s">
        <v>9</v>
      </c>
      <c r="T296" s="51" t="str">
        <f t="shared" si="26"/>
        <v>De Telecom</v>
      </c>
      <c r="U296" s="51" t="str">
        <f t="shared" si="26"/>
        <v>Elementos de Telecom</v>
      </c>
      <c r="V296" s="51" t="str">
        <f t="shared" si="26"/>
        <v>Elemento Telecom Fixo</v>
      </c>
      <c r="W296" s="21" t="s">
        <v>99</v>
      </c>
      <c r="X296" s="42" t="str">
        <f t="shared" si="25"/>
        <v>Key-INTEL-296</v>
      </c>
      <c r="Y296" s="21" t="s">
        <v>1087</v>
      </c>
      <c r="Z296" s="52" t="s">
        <v>9</v>
      </c>
      <c r="AA296" s="20" t="s">
        <v>1278</v>
      </c>
      <c r="AB296" s="52" t="s">
        <v>9</v>
      </c>
      <c r="AC296" s="21" t="s">
        <v>1009</v>
      </c>
      <c r="AD296" s="52" t="s">
        <v>9</v>
      </c>
    </row>
    <row r="297" spans="1:30" ht="6.75" customHeight="1" x14ac:dyDescent="0.25">
      <c r="A297" s="41">
        <v>297</v>
      </c>
      <c r="B297" s="1" t="s">
        <v>594</v>
      </c>
      <c r="C297" s="24" t="s">
        <v>1366</v>
      </c>
      <c r="D297" s="1" t="s">
        <v>1164</v>
      </c>
      <c r="E297" s="1" t="s">
        <v>1717</v>
      </c>
      <c r="F297" s="39" t="s">
        <v>1279</v>
      </c>
      <c r="G297" s="45" t="s">
        <v>9</v>
      </c>
      <c r="H297" s="45" t="s">
        <v>9</v>
      </c>
      <c r="I297" s="45" t="s">
        <v>9</v>
      </c>
      <c r="J297" s="45" t="s">
        <v>9</v>
      </c>
      <c r="K297" s="45" t="s">
        <v>9</v>
      </c>
      <c r="L297" s="25" t="str">
        <f t="shared" si="27"/>
        <v>De.Telecom</v>
      </c>
      <c r="M297" s="25" t="str">
        <f t="shared" si="27"/>
        <v>Elementos.de.Telecom</v>
      </c>
      <c r="N297" s="25" t="str">
        <f t="shared" si="28"/>
        <v>Elemento Telecom Fixo</v>
      </c>
      <c r="O297" s="25" t="str">
        <f t="shared" si="28"/>
        <v>Transponder</v>
      </c>
      <c r="P297" s="21" t="s">
        <v>1280</v>
      </c>
      <c r="Q297" s="21" t="s">
        <v>1281</v>
      </c>
      <c r="R297" s="21" t="s">
        <v>1282</v>
      </c>
      <c r="S297" s="55" t="s">
        <v>9</v>
      </c>
      <c r="T297" s="51" t="str">
        <f t="shared" si="26"/>
        <v>De Telecom</v>
      </c>
      <c r="U297" s="51" t="str">
        <f t="shared" si="26"/>
        <v>Elementos de Telecom</v>
      </c>
      <c r="V297" s="51" t="str">
        <f t="shared" si="26"/>
        <v>Elemento Telecom Fixo</v>
      </c>
      <c r="W297" s="21" t="s">
        <v>99</v>
      </c>
      <c r="X297" s="42" t="str">
        <f t="shared" si="25"/>
        <v>Key-INTEL-297</v>
      </c>
      <c r="Y297" s="21" t="s">
        <v>1087</v>
      </c>
      <c r="Z297" s="52" t="s">
        <v>9</v>
      </c>
      <c r="AA297" s="20" t="s">
        <v>1283</v>
      </c>
      <c r="AB297" s="52" t="s">
        <v>9</v>
      </c>
      <c r="AC297" s="21" t="s">
        <v>1009</v>
      </c>
      <c r="AD297" s="52" t="s">
        <v>9</v>
      </c>
    </row>
    <row r="298" spans="1:30" ht="6.75" customHeight="1" x14ac:dyDescent="0.25">
      <c r="A298" s="41">
        <v>298</v>
      </c>
      <c r="B298" s="1" t="s">
        <v>594</v>
      </c>
      <c r="C298" s="24" t="s">
        <v>1366</v>
      </c>
      <c r="D298" s="1" t="s">
        <v>1164</v>
      </c>
      <c r="E298" s="1" t="s">
        <v>1717</v>
      </c>
      <c r="F298" s="39" t="s">
        <v>1284</v>
      </c>
      <c r="G298" s="45" t="s">
        <v>9</v>
      </c>
      <c r="H298" s="45" t="s">
        <v>9</v>
      </c>
      <c r="I298" s="45" t="s">
        <v>9</v>
      </c>
      <c r="J298" s="45" t="s">
        <v>9</v>
      </c>
      <c r="K298" s="45" t="s">
        <v>9</v>
      </c>
      <c r="L298" s="25" t="str">
        <f t="shared" si="27"/>
        <v>De.Telecom</v>
      </c>
      <c r="M298" s="25" t="str">
        <f t="shared" si="27"/>
        <v>Elementos.de.Telecom</v>
      </c>
      <c r="N298" s="25" t="str">
        <f t="shared" si="28"/>
        <v>Elemento Telecom Fixo</v>
      </c>
      <c r="O298" s="25" t="str">
        <f t="shared" si="28"/>
        <v>Aparelho de Transporte</v>
      </c>
      <c r="P298" s="21" t="s">
        <v>1285</v>
      </c>
      <c r="Q298" s="21" t="s">
        <v>1286</v>
      </c>
      <c r="R298" s="21" t="s">
        <v>1287</v>
      </c>
      <c r="S298" s="55" t="s">
        <v>9</v>
      </c>
      <c r="T298" s="51" t="str">
        <f t="shared" si="26"/>
        <v>De Telecom</v>
      </c>
      <c r="U298" s="51" t="str">
        <f t="shared" si="26"/>
        <v>Elementos de Telecom</v>
      </c>
      <c r="V298" s="51" t="str">
        <f t="shared" si="26"/>
        <v>Elemento Telecom Fixo</v>
      </c>
      <c r="W298" s="21" t="s">
        <v>99</v>
      </c>
      <c r="X298" s="42" t="str">
        <f t="shared" si="25"/>
        <v>Key-INTEL-298</v>
      </c>
      <c r="Y298" s="21" t="s">
        <v>1087</v>
      </c>
      <c r="Z298" s="52" t="s">
        <v>9</v>
      </c>
      <c r="AA298" s="20" t="s">
        <v>1288</v>
      </c>
      <c r="AB298" s="52" t="s">
        <v>9</v>
      </c>
      <c r="AC298" s="21" t="s">
        <v>1009</v>
      </c>
      <c r="AD298" s="52" t="s">
        <v>9</v>
      </c>
    </row>
    <row r="299" spans="1:30" ht="6.75" customHeight="1" x14ac:dyDescent="0.25">
      <c r="A299" s="41">
        <v>299</v>
      </c>
      <c r="B299" s="1" t="s">
        <v>594</v>
      </c>
      <c r="C299" s="24" t="s">
        <v>1366</v>
      </c>
      <c r="D299" s="1" t="s">
        <v>1164</v>
      </c>
      <c r="E299" s="1" t="s">
        <v>1718</v>
      </c>
      <c r="F299" s="39" t="s">
        <v>1289</v>
      </c>
      <c r="G299" s="45" t="s">
        <v>9</v>
      </c>
      <c r="H299" s="45" t="s">
        <v>9</v>
      </c>
      <c r="I299" s="45" t="s">
        <v>9</v>
      </c>
      <c r="J299" s="45" t="s">
        <v>9</v>
      </c>
      <c r="K299" s="45" t="s">
        <v>9</v>
      </c>
      <c r="L299" s="25" t="str">
        <f t="shared" si="27"/>
        <v>De.Telecom</v>
      </c>
      <c r="M299" s="25" t="str">
        <f t="shared" si="27"/>
        <v>Elementos.de.Telecom</v>
      </c>
      <c r="N299" s="25" t="str">
        <f t="shared" si="28"/>
        <v>Elemento Telecom Móvil</v>
      </c>
      <c r="O299" s="25" t="str">
        <f t="shared" si="28"/>
        <v>Aparelho Móvil</v>
      </c>
      <c r="P299" s="21" t="s">
        <v>1290</v>
      </c>
      <c r="Q299" s="21" t="s">
        <v>1291</v>
      </c>
      <c r="R299" s="21" t="s">
        <v>1292</v>
      </c>
      <c r="S299" s="55" t="s">
        <v>9</v>
      </c>
      <c r="T299" s="51" t="str">
        <f t="shared" si="26"/>
        <v>De Telecom</v>
      </c>
      <c r="U299" s="51" t="str">
        <f t="shared" si="26"/>
        <v>Elementos de Telecom</v>
      </c>
      <c r="V299" s="51" t="str">
        <f t="shared" si="26"/>
        <v>Elemento Telecom Móvil</v>
      </c>
      <c r="W299" s="21" t="s">
        <v>99</v>
      </c>
      <c r="X299" s="42" t="str">
        <f t="shared" si="25"/>
        <v>Key-INTEL-299</v>
      </c>
      <c r="Y299" s="21" t="s">
        <v>1087</v>
      </c>
      <c r="Z299" s="52" t="s">
        <v>9</v>
      </c>
      <c r="AA299" s="20" t="s">
        <v>1293</v>
      </c>
      <c r="AB299" s="52" t="s">
        <v>9</v>
      </c>
      <c r="AC299" s="21" t="s">
        <v>1009</v>
      </c>
      <c r="AD299" s="52" t="s">
        <v>9</v>
      </c>
    </row>
    <row r="300" spans="1:30" ht="6.75" customHeight="1" x14ac:dyDescent="0.25">
      <c r="A300" s="41">
        <v>300</v>
      </c>
      <c r="B300" s="1" t="s">
        <v>594</v>
      </c>
      <c r="C300" s="24" t="s">
        <v>1366</v>
      </c>
      <c r="D300" s="1" t="s">
        <v>1164</v>
      </c>
      <c r="E300" s="1" t="s">
        <v>1718</v>
      </c>
      <c r="F300" s="39" t="s">
        <v>1294</v>
      </c>
      <c r="G300" s="45" t="s">
        <v>9</v>
      </c>
      <c r="H300" s="45" t="s">
        <v>9</v>
      </c>
      <c r="I300" s="45" t="s">
        <v>9</v>
      </c>
      <c r="J300" s="45" t="s">
        <v>9</v>
      </c>
      <c r="K300" s="45" t="s">
        <v>9</v>
      </c>
      <c r="L300" s="25" t="str">
        <f t="shared" si="27"/>
        <v>De.Telecom</v>
      </c>
      <c r="M300" s="25" t="str">
        <f t="shared" si="27"/>
        <v>Elementos.de.Telecom</v>
      </c>
      <c r="N300" s="25" t="str">
        <f t="shared" si="28"/>
        <v>Elemento Telecom Móvil</v>
      </c>
      <c r="O300" s="25" t="str">
        <f t="shared" si="28"/>
        <v>Ponto de Acesso</v>
      </c>
      <c r="P300" s="21" t="s">
        <v>1295</v>
      </c>
      <c r="Q300" s="21" t="s">
        <v>1296</v>
      </c>
      <c r="R300" s="21" t="s">
        <v>1297</v>
      </c>
      <c r="S300" s="55" t="s">
        <v>9</v>
      </c>
      <c r="T300" s="51" t="str">
        <f t="shared" si="26"/>
        <v>De Telecom</v>
      </c>
      <c r="U300" s="51" t="str">
        <f t="shared" si="26"/>
        <v>Elementos de Telecom</v>
      </c>
      <c r="V300" s="51" t="str">
        <f t="shared" si="26"/>
        <v>Elemento Telecom Móvil</v>
      </c>
      <c r="W300" s="21" t="s">
        <v>99</v>
      </c>
      <c r="X300" s="42" t="str">
        <f t="shared" si="25"/>
        <v>Key-INTEL-300</v>
      </c>
      <c r="Y300" s="21" t="s">
        <v>1087</v>
      </c>
      <c r="Z300" s="52" t="s">
        <v>9</v>
      </c>
      <c r="AA300" s="20" t="s">
        <v>1298</v>
      </c>
      <c r="AB300" s="52" t="s">
        <v>9</v>
      </c>
      <c r="AC300" s="21" t="s">
        <v>1009</v>
      </c>
      <c r="AD300" s="52" t="s">
        <v>9</v>
      </c>
    </row>
    <row r="301" spans="1:30" ht="6.75" customHeight="1" x14ac:dyDescent="0.25">
      <c r="A301" s="41">
        <v>301</v>
      </c>
      <c r="B301" s="1" t="s">
        <v>594</v>
      </c>
      <c r="C301" s="24" t="s">
        <v>1366</v>
      </c>
      <c r="D301" s="1" t="s">
        <v>1164</v>
      </c>
      <c r="E301" s="1" t="s">
        <v>1718</v>
      </c>
      <c r="F301" s="39" t="s">
        <v>1299</v>
      </c>
      <c r="G301" s="45" t="s">
        <v>9</v>
      </c>
      <c r="H301" s="45" t="s">
        <v>9</v>
      </c>
      <c r="I301" s="45" t="s">
        <v>9</v>
      </c>
      <c r="J301" s="45" t="s">
        <v>9</v>
      </c>
      <c r="K301" s="45" t="s">
        <v>9</v>
      </c>
      <c r="L301" s="25" t="str">
        <f t="shared" si="27"/>
        <v>De.Telecom</v>
      </c>
      <c r="M301" s="25" t="str">
        <f t="shared" si="27"/>
        <v>Elementos.de.Telecom</v>
      </c>
      <c r="N301" s="25" t="str">
        <f t="shared" si="28"/>
        <v>Elemento Telecom Móvil</v>
      </c>
      <c r="O301" s="25" t="str">
        <f t="shared" si="28"/>
        <v>Unidade Banda Base</v>
      </c>
      <c r="P301" s="21" t="s">
        <v>1300</v>
      </c>
      <c r="Q301" s="21" t="s">
        <v>1301</v>
      </c>
      <c r="R301" s="21" t="s">
        <v>1302</v>
      </c>
      <c r="S301" s="55" t="s">
        <v>9</v>
      </c>
      <c r="T301" s="51" t="str">
        <f t="shared" si="26"/>
        <v>De Telecom</v>
      </c>
      <c r="U301" s="51" t="str">
        <f t="shared" si="26"/>
        <v>Elementos de Telecom</v>
      </c>
      <c r="V301" s="51" t="str">
        <f t="shared" si="26"/>
        <v>Elemento Telecom Móvil</v>
      </c>
      <c r="W301" s="21" t="s">
        <v>99</v>
      </c>
      <c r="X301" s="42" t="str">
        <f t="shared" si="25"/>
        <v>Key-INTEL-301</v>
      </c>
      <c r="Y301" s="21" t="s">
        <v>1087</v>
      </c>
      <c r="Z301" s="52" t="s">
        <v>9</v>
      </c>
      <c r="AA301" s="20" t="s">
        <v>1303</v>
      </c>
      <c r="AB301" s="52" t="s">
        <v>9</v>
      </c>
      <c r="AC301" s="21" t="s">
        <v>1009</v>
      </c>
      <c r="AD301" s="52" t="s">
        <v>9</v>
      </c>
    </row>
    <row r="302" spans="1:30" ht="6.75" customHeight="1" x14ac:dyDescent="0.25">
      <c r="A302" s="41">
        <v>302</v>
      </c>
      <c r="B302" s="1" t="s">
        <v>594</v>
      </c>
      <c r="C302" s="24" t="s">
        <v>1366</v>
      </c>
      <c r="D302" s="1" t="s">
        <v>1164</v>
      </c>
      <c r="E302" s="1" t="s">
        <v>1718</v>
      </c>
      <c r="F302" s="39" t="s">
        <v>1304</v>
      </c>
      <c r="G302" s="45" t="s">
        <v>9</v>
      </c>
      <c r="H302" s="45" t="s">
        <v>9</v>
      </c>
      <c r="I302" s="45" t="s">
        <v>9</v>
      </c>
      <c r="J302" s="45" t="s">
        <v>9</v>
      </c>
      <c r="K302" s="45" t="s">
        <v>9</v>
      </c>
      <c r="L302" s="25" t="str">
        <f t="shared" si="27"/>
        <v>De.Telecom</v>
      </c>
      <c r="M302" s="25" t="str">
        <f t="shared" si="27"/>
        <v>Elementos.de.Telecom</v>
      </c>
      <c r="N302" s="25" t="str">
        <f t="shared" si="28"/>
        <v>Elemento Telecom Móvil</v>
      </c>
      <c r="O302" s="25" t="str">
        <f t="shared" si="28"/>
        <v>Base Transceive</v>
      </c>
      <c r="P302" s="21" t="s">
        <v>1305</v>
      </c>
      <c r="Q302" s="21" t="s">
        <v>1306</v>
      </c>
      <c r="R302" s="21" t="s">
        <v>1307</v>
      </c>
      <c r="S302" s="55" t="s">
        <v>9</v>
      </c>
      <c r="T302" s="51" t="str">
        <f t="shared" si="26"/>
        <v>De Telecom</v>
      </c>
      <c r="U302" s="51" t="str">
        <f t="shared" si="26"/>
        <v>Elementos de Telecom</v>
      </c>
      <c r="V302" s="51" t="str">
        <f t="shared" si="26"/>
        <v>Elemento Telecom Móvil</v>
      </c>
      <c r="W302" s="21" t="s">
        <v>99</v>
      </c>
      <c r="X302" s="42" t="str">
        <f t="shared" si="25"/>
        <v>Key-INTEL-302</v>
      </c>
      <c r="Y302" s="21" t="s">
        <v>1087</v>
      </c>
      <c r="Z302" s="52" t="s">
        <v>9</v>
      </c>
      <c r="AA302" s="20" t="s">
        <v>1308</v>
      </c>
      <c r="AB302" s="52" t="s">
        <v>9</v>
      </c>
      <c r="AC302" s="21" t="s">
        <v>1009</v>
      </c>
      <c r="AD302" s="52" t="s">
        <v>9</v>
      </c>
    </row>
    <row r="303" spans="1:30" ht="6.75" customHeight="1" x14ac:dyDescent="0.25">
      <c r="A303" s="41">
        <v>303</v>
      </c>
      <c r="B303" s="1" t="s">
        <v>594</v>
      </c>
      <c r="C303" s="24" t="s">
        <v>1366</v>
      </c>
      <c r="D303" s="1" t="s">
        <v>1164</v>
      </c>
      <c r="E303" s="1" t="s">
        <v>1718</v>
      </c>
      <c r="F303" s="39" t="s">
        <v>1309</v>
      </c>
      <c r="G303" s="45" t="s">
        <v>9</v>
      </c>
      <c r="H303" s="45" t="s">
        <v>9</v>
      </c>
      <c r="I303" s="45" t="s">
        <v>9</v>
      </c>
      <c r="J303" s="45" t="s">
        <v>9</v>
      </c>
      <c r="K303" s="45" t="s">
        <v>9</v>
      </c>
      <c r="L303" s="25" t="str">
        <f t="shared" si="27"/>
        <v>De.Telecom</v>
      </c>
      <c r="M303" s="25" t="str">
        <f t="shared" si="27"/>
        <v>Elementos.de.Telecom</v>
      </c>
      <c r="N303" s="25" t="str">
        <f t="shared" si="28"/>
        <v>Elemento Telecom Móvil</v>
      </c>
      <c r="O303" s="25" t="str">
        <f t="shared" si="28"/>
        <v>E Utran Node B</v>
      </c>
      <c r="P303" s="21" t="s">
        <v>1310</v>
      </c>
      <c r="Q303" s="21" t="s">
        <v>1311</v>
      </c>
      <c r="R303" s="21" t="s">
        <v>1312</v>
      </c>
      <c r="S303" s="55" t="s">
        <v>9</v>
      </c>
      <c r="T303" s="51" t="str">
        <f t="shared" si="26"/>
        <v>De Telecom</v>
      </c>
      <c r="U303" s="51" t="str">
        <f t="shared" si="26"/>
        <v>Elementos de Telecom</v>
      </c>
      <c r="V303" s="51" t="str">
        <f t="shared" si="26"/>
        <v>Elemento Telecom Móvil</v>
      </c>
      <c r="W303" s="21" t="s">
        <v>99</v>
      </c>
      <c r="X303" s="42" t="str">
        <f t="shared" si="25"/>
        <v>Key-INTEL-303</v>
      </c>
      <c r="Y303" s="21" t="s">
        <v>1087</v>
      </c>
      <c r="Z303" s="52" t="s">
        <v>9</v>
      </c>
      <c r="AA303" s="20" t="s">
        <v>1313</v>
      </c>
      <c r="AB303" s="52" t="s">
        <v>9</v>
      </c>
      <c r="AC303" s="21" t="s">
        <v>1009</v>
      </c>
      <c r="AD303" s="52" t="s">
        <v>9</v>
      </c>
    </row>
    <row r="304" spans="1:30" ht="6.75" customHeight="1" x14ac:dyDescent="0.25">
      <c r="A304" s="41">
        <v>304</v>
      </c>
      <c r="B304" s="1" t="s">
        <v>594</v>
      </c>
      <c r="C304" s="24" t="s">
        <v>1366</v>
      </c>
      <c r="D304" s="1" t="s">
        <v>1164</v>
      </c>
      <c r="E304" s="1" t="s">
        <v>1718</v>
      </c>
      <c r="F304" s="39" t="s">
        <v>1314</v>
      </c>
      <c r="G304" s="45" t="s">
        <v>9</v>
      </c>
      <c r="H304" s="45" t="s">
        <v>9</v>
      </c>
      <c r="I304" s="45" t="s">
        <v>9</v>
      </c>
      <c r="J304" s="45" t="s">
        <v>9</v>
      </c>
      <c r="K304" s="45" t="s">
        <v>9</v>
      </c>
      <c r="L304" s="25" t="str">
        <f t="shared" si="27"/>
        <v>De.Telecom</v>
      </c>
      <c r="M304" s="25" t="str">
        <f t="shared" si="27"/>
        <v>Elementos.de.Telecom</v>
      </c>
      <c r="N304" s="25" t="str">
        <f t="shared" si="28"/>
        <v>Elemento Telecom Móvil</v>
      </c>
      <c r="O304" s="25" t="str">
        <f t="shared" si="28"/>
        <v>Gateway GPRS</v>
      </c>
      <c r="P304" s="21" t="s">
        <v>1315</v>
      </c>
      <c r="Q304" s="21" t="s">
        <v>1316</v>
      </c>
      <c r="R304" s="21" t="s">
        <v>1317</v>
      </c>
      <c r="S304" s="55" t="s">
        <v>9</v>
      </c>
      <c r="T304" s="51" t="str">
        <f t="shared" si="26"/>
        <v>De Telecom</v>
      </c>
      <c r="U304" s="51" t="str">
        <f t="shared" si="26"/>
        <v>Elementos de Telecom</v>
      </c>
      <c r="V304" s="51" t="str">
        <f t="shared" si="26"/>
        <v>Elemento Telecom Móvil</v>
      </c>
      <c r="W304" s="21" t="s">
        <v>99</v>
      </c>
      <c r="X304" s="42" t="str">
        <f t="shared" si="25"/>
        <v>Key-INTEL-304</v>
      </c>
      <c r="Y304" s="21" t="s">
        <v>1087</v>
      </c>
      <c r="Z304" s="52" t="s">
        <v>9</v>
      </c>
      <c r="AA304" s="20" t="s">
        <v>1318</v>
      </c>
      <c r="AB304" s="52" t="s">
        <v>9</v>
      </c>
      <c r="AC304" s="21" t="s">
        <v>1009</v>
      </c>
      <c r="AD304" s="52" t="s">
        <v>9</v>
      </c>
    </row>
    <row r="305" spans="1:30" ht="6.75" customHeight="1" x14ac:dyDescent="0.25">
      <c r="A305" s="41">
        <v>305</v>
      </c>
      <c r="B305" s="1" t="s">
        <v>594</v>
      </c>
      <c r="C305" s="24" t="s">
        <v>1366</v>
      </c>
      <c r="D305" s="1" t="s">
        <v>1164</v>
      </c>
      <c r="E305" s="1" t="s">
        <v>1718</v>
      </c>
      <c r="F305" s="39" t="s">
        <v>1319</v>
      </c>
      <c r="G305" s="45" t="s">
        <v>9</v>
      </c>
      <c r="H305" s="45" t="s">
        <v>9</v>
      </c>
      <c r="I305" s="45" t="s">
        <v>9</v>
      </c>
      <c r="J305" s="45" t="s">
        <v>9</v>
      </c>
      <c r="K305" s="45" t="s">
        <v>9</v>
      </c>
      <c r="L305" s="25" t="str">
        <f t="shared" si="27"/>
        <v>De.Telecom</v>
      </c>
      <c r="M305" s="25" t="str">
        <f t="shared" si="27"/>
        <v>Elementos.de.Telecom</v>
      </c>
      <c r="N305" s="25" t="str">
        <f t="shared" si="28"/>
        <v>Elemento Telecom Móvil</v>
      </c>
      <c r="O305" s="25" t="str">
        <f t="shared" si="28"/>
        <v>Unidade Master</v>
      </c>
      <c r="P305" s="21" t="s">
        <v>1320</v>
      </c>
      <c r="Q305" s="21" t="s">
        <v>1321</v>
      </c>
      <c r="R305" s="21" t="s">
        <v>1322</v>
      </c>
      <c r="S305" s="55" t="s">
        <v>9</v>
      </c>
      <c r="T305" s="51" t="str">
        <f t="shared" si="26"/>
        <v>De Telecom</v>
      </c>
      <c r="U305" s="51" t="str">
        <f t="shared" si="26"/>
        <v>Elementos de Telecom</v>
      </c>
      <c r="V305" s="51" t="str">
        <f t="shared" si="26"/>
        <v>Elemento Telecom Móvil</v>
      </c>
      <c r="W305" s="21" t="s">
        <v>99</v>
      </c>
      <c r="X305" s="42" t="str">
        <f t="shared" si="25"/>
        <v>Key-INTEL-305</v>
      </c>
      <c r="Y305" s="21" t="s">
        <v>1087</v>
      </c>
      <c r="Z305" s="52" t="s">
        <v>9</v>
      </c>
      <c r="AA305" s="20" t="s">
        <v>1323</v>
      </c>
      <c r="AB305" s="52" t="s">
        <v>9</v>
      </c>
      <c r="AC305" s="21" t="s">
        <v>1009</v>
      </c>
      <c r="AD305" s="52" t="s">
        <v>9</v>
      </c>
    </row>
    <row r="306" spans="1:30" ht="6.75" customHeight="1" x14ac:dyDescent="0.25">
      <c r="A306" s="41">
        <v>306</v>
      </c>
      <c r="B306" s="1" t="s">
        <v>594</v>
      </c>
      <c r="C306" s="24" t="s">
        <v>1366</v>
      </c>
      <c r="D306" s="1" t="s">
        <v>1164</v>
      </c>
      <c r="E306" s="1" t="s">
        <v>1718</v>
      </c>
      <c r="F306" s="39" t="s">
        <v>1324</v>
      </c>
      <c r="G306" s="45" t="s">
        <v>9</v>
      </c>
      <c r="H306" s="45" t="s">
        <v>9</v>
      </c>
      <c r="I306" s="45" t="s">
        <v>9</v>
      </c>
      <c r="J306" s="45" t="s">
        <v>9</v>
      </c>
      <c r="K306" s="45" t="s">
        <v>9</v>
      </c>
      <c r="L306" s="25" t="str">
        <f t="shared" si="27"/>
        <v>De.Telecom</v>
      </c>
      <c r="M306" s="25" t="str">
        <f t="shared" si="27"/>
        <v>Elementos.de.Telecom</v>
      </c>
      <c r="N306" s="25" t="str">
        <f t="shared" si="28"/>
        <v>Elemento Telecom Móvil</v>
      </c>
      <c r="O306" s="25" t="str">
        <f t="shared" si="28"/>
        <v>Mobile Switch In</v>
      </c>
      <c r="P306" s="21" t="s">
        <v>1325</v>
      </c>
      <c r="Q306" s="21" t="s">
        <v>1326</v>
      </c>
      <c r="R306" s="21" t="s">
        <v>1327</v>
      </c>
      <c r="S306" s="55" t="s">
        <v>9</v>
      </c>
      <c r="T306" s="51" t="str">
        <f t="shared" si="26"/>
        <v>De Telecom</v>
      </c>
      <c r="U306" s="51" t="str">
        <f t="shared" si="26"/>
        <v>Elementos de Telecom</v>
      </c>
      <c r="V306" s="51" t="str">
        <f t="shared" si="26"/>
        <v>Elemento Telecom Móvil</v>
      </c>
      <c r="W306" s="21" t="s">
        <v>99</v>
      </c>
      <c r="X306" s="42" t="str">
        <f t="shared" si="25"/>
        <v>Key-INTEL-306</v>
      </c>
      <c r="Y306" s="21" t="s">
        <v>1087</v>
      </c>
      <c r="Z306" s="52" t="s">
        <v>9</v>
      </c>
      <c r="AA306" s="20" t="s">
        <v>1328</v>
      </c>
      <c r="AB306" s="52" t="s">
        <v>9</v>
      </c>
      <c r="AC306" s="21" t="s">
        <v>1009</v>
      </c>
      <c r="AD306" s="52" t="s">
        <v>9</v>
      </c>
    </row>
    <row r="307" spans="1:30" ht="6.75" customHeight="1" x14ac:dyDescent="0.25">
      <c r="A307" s="41">
        <v>307</v>
      </c>
      <c r="B307" s="1" t="s">
        <v>594</v>
      </c>
      <c r="C307" s="24" t="s">
        <v>1366</v>
      </c>
      <c r="D307" s="1" t="s">
        <v>1164</v>
      </c>
      <c r="E307" s="1" t="s">
        <v>1718</v>
      </c>
      <c r="F307" s="39" t="s">
        <v>1329</v>
      </c>
      <c r="G307" s="45" t="s">
        <v>9</v>
      </c>
      <c r="H307" s="45" t="s">
        <v>9</v>
      </c>
      <c r="I307" s="45" t="s">
        <v>9</v>
      </c>
      <c r="J307" s="45" t="s">
        <v>9</v>
      </c>
      <c r="K307" s="45" t="s">
        <v>9</v>
      </c>
      <c r="L307" s="25" t="str">
        <f t="shared" si="27"/>
        <v>De.Telecom</v>
      </c>
      <c r="M307" s="25" t="str">
        <f t="shared" si="27"/>
        <v>Elementos.de.Telecom</v>
      </c>
      <c r="N307" s="25" t="str">
        <f t="shared" si="28"/>
        <v>Elemento Telecom Móvil</v>
      </c>
      <c r="O307" s="25" t="str">
        <f t="shared" si="28"/>
        <v>Servidor MSC</v>
      </c>
      <c r="P307" s="21" t="s">
        <v>1330</v>
      </c>
      <c r="Q307" s="21" t="s">
        <v>1331</v>
      </c>
      <c r="R307" s="21" t="s">
        <v>1332</v>
      </c>
      <c r="S307" s="55" t="s">
        <v>9</v>
      </c>
      <c r="T307" s="51" t="str">
        <f t="shared" si="26"/>
        <v>De Telecom</v>
      </c>
      <c r="U307" s="51" t="str">
        <f t="shared" si="26"/>
        <v>Elementos de Telecom</v>
      </c>
      <c r="V307" s="51" t="str">
        <f t="shared" si="26"/>
        <v>Elemento Telecom Móvil</v>
      </c>
      <c r="W307" s="21" t="s">
        <v>99</v>
      </c>
      <c r="X307" s="42" t="str">
        <f t="shared" si="25"/>
        <v>Key-INTEL-307</v>
      </c>
      <c r="Y307" s="21" t="s">
        <v>1087</v>
      </c>
      <c r="Z307" s="52" t="s">
        <v>9</v>
      </c>
      <c r="AA307" s="20" t="s">
        <v>1333</v>
      </c>
      <c r="AB307" s="52" t="s">
        <v>9</v>
      </c>
      <c r="AC307" s="21" t="s">
        <v>1009</v>
      </c>
      <c r="AD307" s="52" t="s">
        <v>9</v>
      </c>
    </row>
    <row r="308" spans="1:30" ht="6.75" customHeight="1" x14ac:dyDescent="0.25">
      <c r="A308" s="41">
        <v>308</v>
      </c>
      <c r="B308" s="1" t="s">
        <v>594</v>
      </c>
      <c r="C308" s="24" t="s">
        <v>1366</v>
      </c>
      <c r="D308" s="1" t="s">
        <v>1164</v>
      </c>
      <c r="E308" s="1" t="s">
        <v>1718</v>
      </c>
      <c r="F308" s="39" t="s">
        <v>1334</v>
      </c>
      <c r="G308" s="45" t="s">
        <v>9</v>
      </c>
      <c r="H308" s="45" t="s">
        <v>9</v>
      </c>
      <c r="I308" s="45" t="s">
        <v>9</v>
      </c>
      <c r="J308" s="45" t="s">
        <v>9</v>
      </c>
      <c r="K308" s="45" t="s">
        <v>9</v>
      </c>
      <c r="L308" s="25" t="str">
        <f t="shared" si="27"/>
        <v>De.Telecom</v>
      </c>
      <c r="M308" s="25" t="str">
        <f t="shared" si="27"/>
        <v>Elementos.de.Telecom</v>
      </c>
      <c r="N308" s="25" t="str">
        <f t="shared" si="28"/>
        <v>Elemento Telecom Móvil</v>
      </c>
      <c r="O308" s="25" t="str">
        <f t="shared" si="28"/>
        <v>Controlador PCU</v>
      </c>
      <c r="P308" s="21" t="s">
        <v>1335</v>
      </c>
      <c r="Q308" s="21" t="s">
        <v>1336</v>
      </c>
      <c r="R308" s="21" t="s">
        <v>1337</v>
      </c>
      <c r="S308" s="55" t="s">
        <v>9</v>
      </c>
      <c r="T308" s="51" t="str">
        <f t="shared" si="26"/>
        <v>De Telecom</v>
      </c>
      <c r="U308" s="51" t="str">
        <f t="shared" si="26"/>
        <v>Elementos de Telecom</v>
      </c>
      <c r="V308" s="51" t="str">
        <f t="shared" si="26"/>
        <v>Elemento Telecom Móvil</v>
      </c>
      <c r="W308" s="21" t="s">
        <v>99</v>
      </c>
      <c r="X308" s="42" t="str">
        <f t="shared" si="25"/>
        <v>Key-INTEL-308</v>
      </c>
      <c r="Y308" s="21" t="s">
        <v>1087</v>
      </c>
      <c r="Z308" s="52" t="s">
        <v>9</v>
      </c>
      <c r="AA308" s="20" t="s">
        <v>1338</v>
      </c>
      <c r="AB308" s="52" t="s">
        <v>9</v>
      </c>
      <c r="AC308" s="21" t="s">
        <v>1009</v>
      </c>
      <c r="AD308" s="52" t="s">
        <v>9</v>
      </c>
    </row>
    <row r="309" spans="1:30" ht="6.75" customHeight="1" x14ac:dyDescent="0.25">
      <c r="A309" s="41">
        <v>309</v>
      </c>
      <c r="B309" s="1" t="s">
        <v>594</v>
      </c>
      <c r="C309" s="24" t="s">
        <v>1366</v>
      </c>
      <c r="D309" s="1" t="s">
        <v>1164</v>
      </c>
      <c r="E309" s="1" t="s">
        <v>1718</v>
      </c>
      <c r="F309" s="39" t="s">
        <v>1339</v>
      </c>
      <c r="G309" s="45" t="s">
        <v>9</v>
      </c>
      <c r="H309" s="45" t="s">
        <v>9</v>
      </c>
      <c r="I309" s="45" t="s">
        <v>9</v>
      </c>
      <c r="J309" s="45" t="s">
        <v>9</v>
      </c>
      <c r="K309" s="45" t="s">
        <v>9</v>
      </c>
      <c r="L309" s="25" t="str">
        <f t="shared" si="27"/>
        <v>De.Telecom</v>
      </c>
      <c r="M309" s="25" t="str">
        <f t="shared" si="27"/>
        <v>Elementos.de.Telecom</v>
      </c>
      <c r="N309" s="25" t="str">
        <f t="shared" si="28"/>
        <v>Elemento Telecom Móvil</v>
      </c>
      <c r="O309" s="25" t="str">
        <f t="shared" si="28"/>
        <v>Remote Radio Uni</v>
      </c>
      <c r="P309" s="21" t="s">
        <v>1340</v>
      </c>
      <c r="Q309" s="21" t="s">
        <v>1341</v>
      </c>
      <c r="R309" s="21" t="s">
        <v>1342</v>
      </c>
      <c r="S309" s="55" t="s">
        <v>9</v>
      </c>
      <c r="T309" s="51" t="str">
        <f t="shared" si="26"/>
        <v>De Telecom</v>
      </c>
      <c r="U309" s="51" t="str">
        <f t="shared" si="26"/>
        <v>Elementos de Telecom</v>
      </c>
      <c r="V309" s="51" t="str">
        <f t="shared" si="26"/>
        <v>Elemento Telecom Móvil</v>
      </c>
      <c r="W309" s="21" t="s">
        <v>99</v>
      </c>
      <c r="X309" s="42" t="str">
        <f t="shared" si="25"/>
        <v>Key-INTEL-309</v>
      </c>
      <c r="Y309" s="21" t="s">
        <v>1087</v>
      </c>
      <c r="Z309" s="52" t="s">
        <v>9</v>
      </c>
      <c r="AA309" s="20" t="s">
        <v>1343</v>
      </c>
      <c r="AB309" s="52" t="s">
        <v>9</v>
      </c>
      <c r="AC309" s="21" t="s">
        <v>1009</v>
      </c>
      <c r="AD309" s="52" t="s">
        <v>9</v>
      </c>
    </row>
    <row r="310" spans="1:30" ht="6.75" customHeight="1" x14ac:dyDescent="0.25">
      <c r="A310" s="41">
        <v>310</v>
      </c>
      <c r="B310" s="1" t="s">
        <v>594</v>
      </c>
      <c r="C310" s="24" t="s">
        <v>1366</v>
      </c>
      <c r="D310" s="1" t="s">
        <v>1164</v>
      </c>
      <c r="E310" s="1" t="s">
        <v>1718</v>
      </c>
      <c r="F310" s="39" t="s">
        <v>1344</v>
      </c>
      <c r="G310" s="45" t="s">
        <v>9</v>
      </c>
      <c r="H310" s="45" t="s">
        <v>9</v>
      </c>
      <c r="I310" s="45" t="s">
        <v>9</v>
      </c>
      <c r="J310" s="45" t="s">
        <v>9</v>
      </c>
      <c r="K310" s="45" t="s">
        <v>9</v>
      </c>
      <c r="L310" s="25" t="str">
        <f t="shared" si="27"/>
        <v>De.Telecom</v>
      </c>
      <c r="M310" s="25" t="str">
        <f t="shared" si="27"/>
        <v>Elementos.de.Telecom</v>
      </c>
      <c r="N310" s="25" t="str">
        <f t="shared" si="28"/>
        <v>Elemento Telecom Móvil</v>
      </c>
      <c r="O310" s="25" t="str">
        <f t="shared" si="28"/>
        <v>UnidadeRemota</v>
      </c>
      <c r="P310" s="21" t="s">
        <v>1345</v>
      </c>
      <c r="Q310" s="21" t="s">
        <v>1346</v>
      </c>
      <c r="R310" s="21" t="s">
        <v>1347</v>
      </c>
      <c r="S310" s="55" t="s">
        <v>9</v>
      </c>
      <c r="T310" s="51" t="str">
        <f t="shared" si="26"/>
        <v>De Telecom</v>
      </c>
      <c r="U310" s="51" t="str">
        <f t="shared" si="26"/>
        <v>Elementos de Telecom</v>
      </c>
      <c r="V310" s="51" t="str">
        <f t="shared" si="26"/>
        <v>Elemento Telecom Móvil</v>
      </c>
      <c r="W310" s="21" t="s">
        <v>99</v>
      </c>
      <c r="X310" s="42" t="str">
        <f t="shared" si="25"/>
        <v>Key-INTEL-310</v>
      </c>
      <c r="Y310" s="21" t="s">
        <v>1087</v>
      </c>
      <c r="Z310" s="52" t="s">
        <v>9</v>
      </c>
      <c r="AA310" s="20" t="s">
        <v>1348</v>
      </c>
      <c r="AB310" s="52" t="s">
        <v>9</v>
      </c>
      <c r="AC310" s="21" t="s">
        <v>1009</v>
      </c>
      <c r="AD310" s="52" t="s">
        <v>9</v>
      </c>
    </row>
    <row r="311" spans="1:30" ht="6.75" customHeight="1" x14ac:dyDescent="0.25">
      <c r="A311" s="41">
        <v>311</v>
      </c>
      <c r="B311" s="1" t="s">
        <v>594</v>
      </c>
      <c r="C311" s="24" t="s">
        <v>1366</v>
      </c>
      <c r="D311" s="1" t="s">
        <v>1164</v>
      </c>
      <c r="E311" s="1" t="s">
        <v>1718</v>
      </c>
      <c r="F311" s="39" t="s">
        <v>1349</v>
      </c>
      <c r="G311" s="45" t="s">
        <v>9</v>
      </c>
      <c r="H311" s="45" t="s">
        <v>9</v>
      </c>
      <c r="I311" s="45" t="s">
        <v>9</v>
      </c>
      <c r="J311" s="45" t="s">
        <v>9</v>
      </c>
      <c r="K311" s="45" t="s">
        <v>9</v>
      </c>
      <c r="L311" s="25" t="str">
        <f t="shared" si="27"/>
        <v>De.Telecom</v>
      </c>
      <c r="M311" s="25" t="str">
        <f t="shared" si="27"/>
        <v>Elementos.de.Telecom</v>
      </c>
      <c r="N311" s="25" t="str">
        <f t="shared" si="28"/>
        <v>Elemento Telecom Móvil</v>
      </c>
      <c r="O311" s="25" t="str">
        <f t="shared" si="28"/>
        <v>Servidor GPRS</v>
      </c>
      <c r="P311" s="21" t="s">
        <v>1350</v>
      </c>
      <c r="Q311" s="21" t="s">
        <v>1351</v>
      </c>
      <c r="R311" s="21" t="s">
        <v>1352</v>
      </c>
      <c r="S311" s="55" t="s">
        <v>9</v>
      </c>
      <c r="T311" s="51" t="str">
        <f t="shared" si="26"/>
        <v>De Telecom</v>
      </c>
      <c r="U311" s="51" t="str">
        <f t="shared" si="26"/>
        <v>Elementos de Telecom</v>
      </c>
      <c r="V311" s="51" t="str">
        <f t="shared" si="26"/>
        <v>Elemento Telecom Móvil</v>
      </c>
      <c r="W311" s="21" t="s">
        <v>99</v>
      </c>
      <c r="X311" s="42" t="str">
        <f t="shared" si="25"/>
        <v>Key-INTEL-311</v>
      </c>
      <c r="Y311" s="21" t="s">
        <v>1087</v>
      </c>
      <c r="Z311" s="52" t="s">
        <v>9</v>
      </c>
      <c r="AA311" s="20" t="s">
        <v>1353</v>
      </c>
      <c r="AB311" s="52" t="s">
        <v>9</v>
      </c>
      <c r="AC311" s="21" t="s">
        <v>1009</v>
      </c>
      <c r="AD311" s="52" t="s">
        <v>9</v>
      </c>
    </row>
    <row r="312" spans="1:30" ht="6.75" customHeight="1" x14ac:dyDescent="0.25">
      <c r="A312" s="41">
        <v>312</v>
      </c>
      <c r="B312" s="1" t="s">
        <v>594</v>
      </c>
      <c r="C312" s="24" t="s">
        <v>1366</v>
      </c>
      <c r="D312" s="1" t="s">
        <v>1164</v>
      </c>
      <c r="E312" s="1" t="s">
        <v>1718</v>
      </c>
      <c r="F312" s="39" t="s">
        <v>1354</v>
      </c>
      <c r="G312" s="45" t="s">
        <v>9</v>
      </c>
      <c r="H312" s="45" t="s">
        <v>9</v>
      </c>
      <c r="I312" s="45" t="s">
        <v>9</v>
      </c>
      <c r="J312" s="45" t="s">
        <v>9</v>
      </c>
      <c r="K312" s="45" t="s">
        <v>9</v>
      </c>
      <c r="L312" s="25" t="str">
        <f t="shared" si="27"/>
        <v>De.Telecom</v>
      </c>
      <c r="M312" s="25" t="str">
        <f t="shared" si="27"/>
        <v>Elementos.de.Telecom</v>
      </c>
      <c r="N312" s="25" t="str">
        <f t="shared" si="28"/>
        <v>Elemento Telecom Móvil</v>
      </c>
      <c r="O312" s="25" t="str">
        <f t="shared" si="28"/>
        <v>Servidor Assinante</v>
      </c>
      <c r="P312" s="21" t="s">
        <v>1355</v>
      </c>
      <c r="Q312" s="21" t="s">
        <v>1356</v>
      </c>
      <c r="R312" s="21" t="s">
        <v>1357</v>
      </c>
      <c r="S312" s="55" t="s">
        <v>9</v>
      </c>
      <c r="T312" s="51" t="str">
        <f t="shared" si="26"/>
        <v>De Telecom</v>
      </c>
      <c r="U312" s="51" t="str">
        <f t="shared" si="26"/>
        <v>Elementos de Telecom</v>
      </c>
      <c r="V312" s="51" t="str">
        <f t="shared" si="26"/>
        <v>Elemento Telecom Móvil</v>
      </c>
      <c r="W312" s="21" t="s">
        <v>99</v>
      </c>
      <c r="X312" s="42" t="str">
        <f t="shared" si="25"/>
        <v>Key-INTEL-312</v>
      </c>
      <c r="Y312" s="21" t="s">
        <v>1087</v>
      </c>
      <c r="Z312" s="52" t="s">
        <v>9</v>
      </c>
      <c r="AA312" s="20" t="s">
        <v>1358</v>
      </c>
      <c r="AB312" s="52" t="s">
        <v>9</v>
      </c>
      <c r="AC312" s="21" t="s">
        <v>1009</v>
      </c>
      <c r="AD312" s="52" t="s">
        <v>9</v>
      </c>
    </row>
    <row r="313" spans="1:30" ht="6.75" customHeight="1" x14ac:dyDescent="0.25">
      <c r="A313" s="41">
        <v>313</v>
      </c>
      <c r="B313" s="1" t="s">
        <v>594</v>
      </c>
      <c r="C313" s="24" t="s">
        <v>1638</v>
      </c>
      <c r="D313" s="1" t="s">
        <v>1639</v>
      </c>
      <c r="E313" s="33" t="s">
        <v>1719</v>
      </c>
      <c r="F313" s="46" t="s">
        <v>1525</v>
      </c>
      <c r="G313" s="47" t="s">
        <v>9</v>
      </c>
      <c r="H313" s="45" t="s">
        <v>9</v>
      </c>
      <c r="I313" s="45" t="s">
        <v>9</v>
      </c>
      <c r="J313" s="45" t="s">
        <v>9</v>
      </c>
      <c r="K313" s="45" t="s">
        <v>9</v>
      </c>
      <c r="L313" s="25" t="str">
        <f t="shared" si="27"/>
        <v>De.Luminotécnica</v>
      </c>
      <c r="M313" s="25" t="str">
        <f t="shared" si="27"/>
        <v>Elementos.de.Iluminação</v>
      </c>
      <c r="N313" s="25" t="str">
        <f t="shared" si="28"/>
        <v>Elemento Luminária</v>
      </c>
      <c r="O313" s="25" t="str">
        <f t="shared" si="28"/>
        <v>Luz Aletas</v>
      </c>
      <c r="P313" s="21" t="s">
        <v>1526</v>
      </c>
      <c r="Q313" s="21" t="s">
        <v>1527</v>
      </c>
      <c r="R313" s="21" t="s">
        <v>1528</v>
      </c>
      <c r="S313" s="55" t="s">
        <v>9</v>
      </c>
      <c r="T313" s="51" t="str">
        <f t="shared" si="26"/>
        <v>De Luminotécnica</v>
      </c>
      <c r="U313" s="51" t="str">
        <f t="shared" si="26"/>
        <v>Elementos de Iluminação</v>
      </c>
      <c r="V313" s="51" t="str">
        <f t="shared" si="26"/>
        <v>Elemento Luminária</v>
      </c>
      <c r="W313" s="21" t="s">
        <v>99</v>
      </c>
      <c r="X313" s="42" t="str">
        <f t="shared" si="25"/>
        <v>Key-INTEL-313</v>
      </c>
      <c r="Y313" s="21" t="s">
        <v>1529</v>
      </c>
      <c r="Z313" s="52" t="s">
        <v>9</v>
      </c>
      <c r="AA313" s="20" t="s">
        <v>1530</v>
      </c>
      <c r="AB313" s="52" t="s">
        <v>9</v>
      </c>
      <c r="AC313" s="21" t="s">
        <v>1531</v>
      </c>
      <c r="AD313" s="52" t="s">
        <v>9</v>
      </c>
    </row>
    <row r="314" spans="1:30" ht="6.75" customHeight="1" x14ac:dyDescent="0.25">
      <c r="A314" s="41">
        <v>314</v>
      </c>
      <c r="B314" s="1" t="s">
        <v>594</v>
      </c>
      <c r="C314" s="24" t="s">
        <v>1638</v>
      </c>
      <c r="D314" s="1" t="s">
        <v>1639</v>
      </c>
      <c r="E314" s="33" t="s">
        <v>1719</v>
      </c>
      <c r="F314" s="46" t="s">
        <v>1532</v>
      </c>
      <c r="G314" s="47" t="s">
        <v>9</v>
      </c>
      <c r="H314" s="45" t="s">
        <v>9</v>
      </c>
      <c r="I314" s="45" t="s">
        <v>9</v>
      </c>
      <c r="J314" s="45" t="s">
        <v>9</v>
      </c>
      <c r="K314" s="45" t="s">
        <v>9</v>
      </c>
      <c r="L314" s="25" t="str">
        <f t="shared" si="27"/>
        <v>De.Luminotécnica</v>
      </c>
      <c r="M314" s="25" t="str">
        <f t="shared" si="27"/>
        <v>Elementos.de.Iluminação</v>
      </c>
      <c r="N314" s="25" t="str">
        <f t="shared" si="28"/>
        <v>Elemento Luminária</v>
      </c>
      <c r="O314" s="25" t="str">
        <f t="shared" si="28"/>
        <v xml:space="preserve">Luz Antiofuscamento </v>
      </c>
      <c r="P314" s="21" t="s">
        <v>1533</v>
      </c>
      <c r="Q314" s="21" t="s">
        <v>1534</v>
      </c>
      <c r="R314" s="21" t="s">
        <v>1535</v>
      </c>
      <c r="S314" s="55" t="s">
        <v>9</v>
      </c>
      <c r="T314" s="51" t="str">
        <f t="shared" si="26"/>
        <v>De Luminotécnica</v>
      </c>
      <c r="U314" s="51" t="str">
        <f t="shared" si="26"/>
        <v>Elementos de Iluminação</v>
      </c>
      <c r="V314" s="51" t="str">
        <f t="shared" si="26"/>
        <v>Elemento Luminária</v>
      </c>
      <c r="W314" s="21" t="s">
        <v>99</v>
      </c>
      <c r="X314" s="42" t="str">
        <f t="shared" si="25"/>
        <v>Key-INTEL-314</v>
      </c>
      <c r="Y314" s="21" t="s">
        <v>1529</v>
      </c>
      <c r="Z314" s="52" t="s">
        <v>9</v>
      </c>
      <c r="AA314" s="20" t="s">
        <v>1530</v>
      </c>
      <c r="AB314" s="52" t="s">
        <v>9</v>
      </c>
      <c r="AC314" s="21" t="s">
        <v>1531</v>
      </c>
      <c r="AD314" s="52" t="s">
        <v>9</v>
      </c>
    </row>
    <row r="315" spans="1:30" ht="6.75" customHeight="1" x14ac:dyDescent="0.25">
      <c r="A315" s="41">
        <v>315</v>
      </c>
      <c r="B315" s="1" t="s">
        <v>594</v>
      </c>
      <c r="C315" s="24" t="s">
        <v>1638</v>
      </c>
      <c r="D315" s="1" t="s">
        <v>1639</v>
      </c>
      <c r="E315" s="33" t="s">
        <v>1719</v>
      </c>
      <c r="F315" s="46" t="s">
        <v>1536</v>
      </c>
      <c r="G315" s="47" t="s">
        <v>9</v>
      </c>
      <c r="H315" s="45" t="s">
        <v>9</v>
      </c>
      <c r="I315" s="45" t="s">
        <v>9</v>
      </c>
      <c r="J315" s="45" t="s">
        <v>9</v>
      </c>
      <c r="K315" s="45" t="s">
        <v>9</v>
      </c>
      <c r="L315" s="25" t="str">
        <f t="shared" si="27"/>
        <v>De.Luminotécnica</v>
      </c>
      <c r="M315" s="25" t="str">
        <f t="shared" si="27"/>
        <v>Elementos.de.Iluminação</v>
      </c>
      <c r="N315" s="25" t="str">
        <f t="shared" si="28"/>
        <v>Elemento Luminária</v>
      </c>
      <c r="O315" s="25" t="str">
        <f t="shared" si="28"/>
        <v>Luz Arandela</v>
      </c>
      <c r="P315" s="21" t="s">
        <v>1537</v>
      </c>
      <c r="Q315" s="21" t="s">
        <v>1538</v>
      </c>
      <c r="R315" s="21" t="s">
        <v>1539</v>
      </c>
      <c r="S315" s="55" t="s">
        <v>9</v>
      </c>
      <c r="T315" s="51" t="str">
        <f t="shared" si="26"/>
        <v>De Luminotécnica</v>
      </c>
      <c r="U315" s="51" t="str">
        <f t="shared" si="26"/>
        <v>Elementos de Iluminação</v>
      </c>
      <c r="V315" s="51" t="str">
        <f t="shared" si="26"/>
        <v>Elemento Luminária</v>
      </c>
      <c r="W315" s="21" t="s">
        <v>99</v>
      </c>
      <c r="X315" s="42" t="str">
        <f t="shared" si="25"/>
        <v>Key-INTEL-315</v>
      </c>
      <c r="Y315" s="21" t="s">
        <v>1529</v>
      </c>
      <c r="Z315" s="52" t="s">
        <v>9</v>
      </c>
      <c r="AA315" s="20" t="s">
        <v>1530</v>
      </c>
      <c r="AB315" s="52" t="s">
        <v>9</v>
      </c>
      <c r="AC315" s="21" t="s">
        <v>1531</v>
      </c>
      <c r="AD315" s="52" t="s">
        <v>9</v>
      </c>
    </row>
    <row r="316" spans="1:30" ht="6.75" customHeight="1" x14ac:dyDescent="0.25">
      <c r="A316" s="41">
        <v>316</v>
      </c>
      <c r="B316" s="1" t="s">
        <v>594</v>
      </c>
      <c r="C316" s="24" t="s">
        <v>1638</v>
      </c>
      <c r="D316" s="1" t="s">
        <v>1639</v>
      </c>
      <c r="E316" s="33" t="s">
        <v>1719</v>
      </c>
      <c r="F316" s="46" t="s">
        <v>1540</v>
      </c>
      <c r="G316" s="47" t="s">
        <v>9</v>
      </c>
      <c r="H316" s="45" t="s">
        <v>9</v>
      </c>
      <c r="I316" s="45" t="s">
        <v>9</v>
      </c>
      <c r="J316" s="45" t="s">
        <v>9</v>
      </c>
      <c r="K316" s="45" t="s">
        <v>9</v>
      </c>
      <c r="L316" s="25" t="str">
        <f t="shared" si="27"/>
        <v>De.Luminotécnica</v>
      </c>
      <c r="M316" s="25" t="str">
        <f t="shared" si="27"/>
        <v>Elementos.de.Iluminação</v>
      </c>
      <c r="N316" s="25" t="str">
        <f t="shared" si="28"/>
        <v>Elemento Luminária</v>
      </c>
      <c r="O316" s="25" t="str">
        <f t="shared" si="28"/>
        <v>Luz Baliza</v>
      </c>
      <c r="P316" s="21" t="s">
        <v>1541</v>
      </c>
      <c r="Q316" s="21" t="s">
        <v>1542</v>
      </c>
      <c r="R316" s="21" t="s">
        <v>1543</v>
      </c>
      <c r="S316" s="55" t="s">
        <v>9</v>
      </c>
      <c r="T316" s="51" t="str">
        <f t="shared" si="26"/>
        <v>De Luminotécnica</v>
      </c>
      <c r="U316" s="51" t="str">
        <f t="shared" si="26"/>
        <v>Elementos de Iluminação</v>
      </c>
      <c r="V316" s="51" t="str">
        <f t="shared" si="26"/>
        <v>Elemento Luminária</v>
      </c>
      <c r="W316" s="21" t="s">
        <v>99</v>
      </c>
      <c r="X316" s="42" t="str">
        <f t="shared" si="25"/>
        <v>Key-INTEL-316</v>
      </c>
      <c r="Y316" s="21" t="s">
        <v>1529</v>
      </c>
      <c r="Z316" s="52" t="s">
        <v>9</v>
      </c>
      <c r="AA316" s="20" t="s">
        <v>1530</v>
      </c>
      <c r="AB316" s="52" t="s">
        <v>9</v>
      </c>
      <c r="AC316" s="21" t="s">
        <v>1531</v>
      </c>
      <c r="AD316" s="52" t="s">
        <v>9</v>
      </c>
    </row>
    <row r="317" spans="1:30" ht="6.75" customHeight="1" x14ac:dyDescent="0.25">
      <c r="A317" s="41">
        <v>317</v>
      </c>
      <c r="B317" s="1" t="s">
        <v>594</v>
      </c>
      <c r="C317" s="24" t="s">
        <v>1638</v>
      </c>
      <c r="D317" s="1" t="s">
        <v>1639</v>
      </c>
      <c r="E317" s="33" t="s">
        <v>1719</v>
      </c>
      <c r="F317" s="46" t="s">
        <v>1544</v>
      </c>
      <c r="G317" s="47" t="s">
        <v>9</v>
      </c>
      <c r="H317" s="45" t="s">
        <v>9</v>
      </c>
      <c r="I317" s="45" t="s">
        <v>9</v>
      </c>
      <c r="J317" s="45" t="s">
        <v>9</v>
      </c>
      <c r="K317" s="45" t="s">
        <v>9</v>
      </c>
      <c r="L317" s="25" t="str">
        <f t="shared" si="27"/>
        <v>De.Luminotécnica</v>
      </c>
      <c r="M317" s="25" t="str">
        <f t="shared" si="27"/>
        <v>Elementos.de.Iluminação</v>
      </c>
      <c r="N317" s="25" t="str">
        <f t="shared" si="28"/>
        <v>Elemento Luminária</v>
      </c>
      <c r="O317" s="25" t="str">
        <f t="shared" si="28"/>
        <v>Luz Difusa</v>
      </c>
      <c r="P317" s="21" t="s">
        <v>1545</v>
      </c>
      <c r="Q317" s="21" t="s">
        <v>1546</v>
      </c>
      <c r="R317" s="21" t="s">
        <v>1547</v>
      </c>
      <c r="S317" s="55" t="s">
        <v>9</v>
      </c>
      <c r="T317" s="51" t="str">
        <f t="shared" si="26"/>
        <v>De Luminotécnica</v>
      </c>
      <c r="U317" s="51" t="str">
        <f t="shared" si="26"/>
        <v>Elementos de Iluminação</v>
      </c>
      <c r="V317" s="51" t="str">
        <f t="shared" si="26"/>
        <v>Elemento Luminária</v>
      </c>
      <c r="W317" s="21" t="s">
        <v>99</v>
      </c>
      <c r="X317" s="42" t="str">
        <f t="shared" si="25"/>
        <v>Key-INTEL-317</v>
      </c>
      <c r="Y317" s="21" t="s">
        <v>1529</v>
      </c>
      <c r="Z317" s="52" t="s">
        <v>9</v>
      </c>
      <c r="AA317" s="20" t="s">
        <v>1530</v>
      </c>
      <c r="AB317" s="52" t="s">
        <v>9</v>
      </c>
      <c r="AC317" s="21" t="s">
        <v>1531</v>
      </c>
      <c r="AD317" s="52" t="s">
        <v>9</v>
      </c>
    </row>
    <row r="318" spans="1:30" ht="6.75" customHeight="1" x14ac:dyDescent="0.25">
      <c r="A318" s="41">
        <v>318</v>
      </c>
      <c r="B318" s="1" t="s">
        <v>594</v>
      </c>
      <c r="C318" s="24" t="s">
        <v>1638</v>
      </c>
      <c r="D318" s="1" t="s">
        <v>1639</v>
      </c>
      <c r="E318" s="33" t="s">
        <v>1719</v>
      </c>
      <c r="F318" s="46" t="s">
        <v>1548</v>
      </c>
      <c r="G318" s="47" t="s">
        <v>9</v>
      </c>
      <c r="H318" s="45" t="s">
        <v>9</v>
      </c>
      <c r="I318" s="45" t="s">
        <v>9</v>
      </c>
      <c r="J318" s="45" t="s">
        <v>9</v>
      </c>
      <c r="K318" s="45" t="s">
        <v>9</v>
      </c>
      <c r="L318" s="25" t="str">
        <f t="shared" si="27"/>
        <v>De.Luminotécnica</v>
      </c>
      <c r="M318" s="25" t="str">
        <f t="shared" si="27"/>
        <v>Elementos.de.Iluminação</v>
      </c>
      <c r="N318" s="25" t="str">
        <f t="shared" si="28"/>
        <v>Elemento Luminária</v>
      </c>
      <c r="O318" s="25" t="str">
        <f t="shared" si="28"/>
        <v>Luz Embutida Fixa</v>
      </c>
      <c r="P318" s="21" t="s">
        <v>1549</v>
      </c>
      <c r="Q318" s="21" t="s">
        <v>1550</v>
      </c>
      <c r="R318" s="21" t="s">
        <v>1551</v>
      </c>
      <c r="S318" s="55" t="s">
        <v>9</v>
      </c>
      <c r="T318" s="51" t="str">
        <f t="shared" si="26"/>
        <v>De Luminotécnica</v>
      </c>
      <c r="U318" s="51" t="str">
        <f t="shared" si="26"/>
        <v>Elementos de Iluminação</v>
      </c>
      <c r="V318" s="51" t="str">
        <f t="shared" si="26"/>
        <v>Elemento Luminária</v>
      </c>
      <c r="W318" s="21" t="s">
        <v>99</v>
      </c>
      <c r="X318" s="42" t="str">
        <f t="shared" si="25"/>
        <v>Key-INTEL-318</v>
      </c>
      <c r="Y318" s="21" t="s">
        <v>1529</v>
      </c>
      <c r="Z318" s="52" t="s">
        <v>9</v>
      </c>
      <c r="AA318" s="20" t="s">
        <v>1530</v>
      </c>
      <c r="AB318" s="52" t="s">
        <v>9</v>
      </c>
      <c r="AC318" s="21" t="s">
        <v>1531</v>
      </c>
      <c r="AD318" s="52" t="s">
        <v>9</v>
      </c>
    </row>
    <row r="319" spans="1:30" ht="6.75" customHeight="1" x14ac:dyDescent="0.25">
      <c r="A319" s="41">
        <v>319</v>
      </c>
      <c r="B319" s="1" t="s">
        <v>594</v>
      </c>
      <c r="C319" s="24" t="s">
        <v>1638</v>
      </c>
      <c r="D319" s="1" t="s">
        <v>1639</v>
      </c>
      <c r="E319" s="33" t="s">
        <v>1719</v>
      </c>
      <c r="F319" s="46" t="s">
        <v>1552</v>
      </c>
      <c r="G319" s="47" t="s">
        <v>9</v>
      </c>
      <c r="H319" s="45" t="s">
        <v>9</v>
      </c>
      <c r="I319" s="45" t="s">
        <v>9</v>
      </c>
      <c r="J319" s="45" t="s">
        <v>9</v>
      </c>
      <c r="K319" s="45" t="s">
        <v>9</v>
      </c>
      <c r="L319" s="25" t="str">
        <f t="shared" si="27"/>
        <v>De.Luminotécnica</v>
      </c>
      <c r="M319" s="25" t="str">
        <f t="shared" si="27"/>
        <v>Elementos.de.Iluminação</v>
      </c>
      <c r="N319" s="25" t="str">
        <f t="shared" si="28"/>
        <v>Elemento Luminária</v>
      </c>
      <c r="O319" s="25" t="str">
        <f t="shared" si="28"/>
        <v>Luz Embutida Orientável</v>
      </c>
      <c r="P319" s="21" t="s">
        <v>1553</v>
      </c>
      <c r="Q319" s="21" t="s">
        <v>1554</v>
      </c>
      <c r="R319" s="21" t="s">
        <v>1555</v>
      </c>
      <c r="S319" s="55" t="s">
        <v>9</v>
      </c>
      <c r="T319" s="51" t="str">
        <f t="shared" si="26"/>
        <v>De Luminotécnica</v>
      </c>
      <c r="U319" s="51" t="str">
        <f t="shared" si="26"/>
        <v>Elementos de Iluminação</v>
      </c>
      <c r="V319" s="51" t="str">
        <f t="shared" si="26"/>
        <v>Elemento Luminária</v>
      </c>
      <c r="W319" s="21" t="s">
        <v>99</v>
      </c>
      <c r="X319" s="42" t="str">
        <f t="shared" si="25"/>
        <v>Key-INTEL-319</v>
      </c>
      <c r="Y319" s="21" t="s">
        <v>1529</v>
      </c>
      <c r="Z319" s="52" t="s">
        <v>9</v>
      </c>
      <c r="AA319" s="20" t="s">
        <v>1530</v>
      </c>
      <c r="AB319" s="52" t="s">
        <v>9</v>
      </c>
      <c r="AC319" s="21" t="s">
        <v>1531</v>
      </c>
      <c r="AD319" s="52" t="s">
        <v>9</v>
      </c>
    </row>
    <row r="320" spans="1:30" ht="6.75" customHeight="1" x14ac:dyDescent="0.25">
      <c r="A320" s="41">
        <v>320</v>
      </c>
      <c r="B320" s="1" t="s">
        <v>594</v>
      </c>
      <c r="C320" s="24" t="s">
        <v>1638</v>
      </c>
      <c r="D320" s="1" t="s">
        <v>1639</v>
      </c>
      <c r="E320" s="33" t="s">
        <v>1719</v>
      </c>
      <c r="F320" s="46" t="s">
        <v>1556</v>
      </c>
      <c r="G320" s="47" t="s">
        <v>9</v>
      </c>
      <c r="H320" s="45" t="s">
        <v>9</v>
      </c>
      <c r="I320" s="45" t="s">
        <v>9</v>
      </c>
      <c r="J320" s="45" t="s">
        <v>9</v>
      </c>
      <c r="K320" s="45" t="s">
        <v>9</v>
      </c>
      <c r="L320" s="25" t="str">
        <f t="shared" si="27"/>
        <v>De.Luminotécnica</v>
      </c>
      <c r="M320" s="25" t="str">
        <f t="shared" si="27"/>
        <v>Elementos.de.Iluminação</v>
      </c>
      <c r="N320" s="25" t="str">
        <f t="shared" si="28"/>
        <v>Elemento Luminária</v>
      </c>
      <c r="O320" s="25" t="str">
        <f t="shared" si="28"/>
        <v>Luz Externa</v>
      </c>
      <c r="P320" s="21" t="s">
        <v>1557</v>
      </c>
      <c r="Q320" s="21" t="s">
        <v>1558</v>
      </c>
      <c r="R320" s="21" t="s">
        <v>1559</v>
      </c>
      <c r="S320" s="55" t="s">
        <v>9</v>
      </c>
      <c r="T320" s="51" t="str">
        <f t="shared" si="26"/>
        <v>De Luminotécnica</v>
      </c>
      <c r="U320" s="51" t="str">
        <f t="shared" si="26"/>
        <v>Elementos de Iluminação</v>
      </c>
      <c r="V320" s="51" t="str">
        <f t="shared" si="26"/>
        <v>Elemento Luminária</v>
      </c>
      <c r="W320" s="21" t="s">
        <v>99</v>
      </c>
      <c r="X320" s="42" t="str">
        <f t="shared" si="25"/>
        <v>Key-INTEL-320</v>
      </c>
      <c r="Y320" s="21" t="s">
        <v>1529</v>
      </c>
      <c r="Z320" s="52" t="s">
        <v>9</v>
      </c>
      <c r="AA320" s="20" t="s">
        <v>1530</v>
      </c>
      <c r="AB320" s="52" t="s">
        <v>9</v>
      </c>
      <c r="AC320" s="21" t="s">
        <v>1531</v>
      </c>
      <c r="AD320" s="52" t="s">
        <v>9</v>
      </c>
    </row>
    <row r="321" spans="1:30" ht="6.75" customHeight="1" x14ac:dyDescent="0.25">
      <c r="A321" s="41">
        <v>321</v>
      </c>
      <c r="B321" s="1" t="s">
        <v>594</v>
      </c>
      <c r="C321" s="24" t="s">
        <v>1638</v>
      </c>
      <c r="D321" s="1" t="s">
        <v>1639</v>
      </c>
      <c r="E321" s="33" t="s">
        <v>1719</v>
      </c>
      <c r="F321" s="46" t="s">
        <v>1560</v>
      </c>
      <c r="G321" s="47" t="s">
        <v>9</v>
      </c>
      <c r="H321" s="45" t="s">
        <v>9</v>
      </c>
      <c r="I321" s="45" t="s">
        <v>9</v>
      </c>
      <c r="J321" s="45" t="s">
        <v>9</v>
      </c>
      <c r="K321" s="45" t="s">
        <v>9</v>
      </c>
      <c r="L321" s="25" t="str">
        <f t="shared" si="27"/>
        <v>De.Luminotécnica</v>
      </c>
      <c r="M321" s="25" t="str">
        <f t="shared" si="27"/>
        <v>Elementos.de.Iluminação</v>
      </c>
      <c r="N321" s="25" t="str">
        <f t="shared" si="28"/>
        <v>Elemento Luminária</v>
      </c>
      <c r="O321" s="25" t="str">
        <f t="shared" si="28"/>
        <v>Luz Externa Urbana</v>
      </c>
      <c r="P321" s="21" t="s">
        <v>1561</v>
      </c>
      <c r="Q321" s="21" t="s">
        <v>1562</v>
      </c>
      <c r="R321" s="21" t="s">
        <v>1563</v>
      </c>
      <c r="S321" s="55" t="s">
        <v>9</v>
      </c>
      <c r="T321" s="51" t="str">
        <f t="shared" si="26"/>
        <v>De Luminotécnica</v>
      </c>
      <c r="U321" s="51" t="str">
        <f t="shared" si="26"/>
        <v>Elementos de Iluminação</v>
      </c>
      <c r="V321" s="51" t="str">
        <f t="shared" si="26"/>
        <v>Elemento Luminária</v>
      </c>
      <c r="W321" s="21" t="s">
        <v>99</v>
      </c>
      <c r="X321" s="42" t="str">
        <f t="shared" si="25"/>
        <v>Key-INTEL-321</v>
      </c>
      <c r="Y321" s="21" t="s">
        <v>1529</v>
      </c>
      <c r="Z321" s="52" t="s">
        <v>9</v>
      </c>
      <c r="AA321" s="20" t="s">
        <v>1530</v>
      </c>
      <c r="AB321" s="52" t="s">
        <v>9</v>
      </c>
      <c r="AC321" s="21" t="s">
        <v>1531</v>
      </c>
      <c r="AD321" s="52" t="s">
        <v>9</v>
      </c>
    </row>
    <row r="322" spans="1:30" ht="6.75" customHeight="1" x14ac:dyDescent="0.25">
      <c r="A322" s="41">
        <v>322</v>
      </c>
      <c r="B322" s="1" t="s">
        <v>594</v>
      </c>
      <c r="C322" s="24" t="s">
        <v>1638</v>
      </c>
      <c r="D322" s="1" t="s">
        <v>1639</v>
      </c>
      <c r="E322" s="33" t="s">
        <v>1719</v>
      </c>
      <c r="F322" s="46" t="s">
        <v>1564</v>
      </c>
      <c r="G322" s="47" t="s">
        <v>9</v>
      </c>
      <c r="H322" s="45" t="s">
        <v>9</v>
      </c>
      <c r="I322" s="45" t="s">
        <v>9</v>
      </c>
      <c r="J322" s="45" t="s">
        <v>9</v>
      </c>
      <c r="K322" s="45" t="s">
        <v>9</v>
      </c>
      <c r="L322" s="25" t="str">
        <f t="shared" si="27"/>
        <v>De.Luminotécnica</v>
      </c>
      <c r="M322" s="25" t="str">
        <f t="shared" si="27"/>
        <v>Elementos.de.Iluminação</v>
      </c>
      <c r="N322" s="25" t="str">
        <f t="shared" si="28"/>
        <v>Elemento Luminária</v>
      </c>
      <c r="O322" s="25" t="str">
        <f t="shared" si="28"/>
        <v>Luz Feixe Amplo</v>
      </c>
      <c r="P322" s="21" t="s">
        <v>1565</v>
      </c>
      <c r="Q322" s="21" t="s">
        <v>1566</v>
      </c>
      <c r="R322" s="21" t="s">
        <v>1567</v>
      </c>
      <c r="S322" s="55" t="s">
        <v>9</v>
      </c>
      <c r="T322" s="51" t="str">
        <f t="shared" si="26"/>
        <v>De Luminotécnica</v>
      </c>
      <c r="U322" s="51" t="str">
        <f t="shared" si="26"/>
        <v>Elementos de Iluminação</v>
      </c>
      <c r="V322" s="51" t="str">
        <f t="shared" si="26"/>
        <v>Elemento Luminária</v>
      </c>
      <c r="W322" s="21" t="s">
        <v>99</v>
      </c>
      <c r="X322" s="42" t="str">
        <f t="shared" si="25"/>
        <v>Key-INTEL-322</v>
      </c>
      <c r="Y322" s="21" t="s">
        <v>1529</v>
      </c>
      <c r="Z322" s="52" t="s">
        <v>9</v>
      </c>
      <c r="AA322" s="20" t="s">
        <v>1530</v>
      </c>
      <c r="AB322" s="52" t="s">
        <v>9</v>
      </c>
      <c r="AC322" s="21" t="s">
        <v>1531</v>
      </c>
      <c r="AD322" s="52" t="s">
        <v>9</v>
      </c>
    </row>
    <row r="323" spans="1:30" ht="6.75" customHeight="1" x14ac:dyDescent="0.25">
      <c r="A323" s="41">
        <v>323</v>
      </c>
      <c r="B323" s="1" t="s">
        <v>594</v>
      </c>
      <c r="C323" s="24" t="s">
        <v>1638</v>
      </c>
      <c r="D323" s="1" t="s">
        <v>1639</v>
      </c>
      <c r="E323" s="33" t="s">
        <v>1719</v>
      </c>
      <c r="F323" s="46" t="s">
        <v>1568</v>
      </c>
      <c r="G323" s="47" t="s">
        <v>9</v>
      </c>
      <c r="H323" s="45" t="s">
        <v>9</v>
      </c>
      <c r="I323" s="45" t="s">
        <v>9</v>
      </c>
      <c r="J323" s="45" t="s">
        <v>9</v>
      </c>
      <c r="K323" s="45" t="s">
        <v>9</v>
      </c>
      <c r="L323" s="25" t="str">
        <f t="shared" si="27"/>
        <v>De.Luminotécnica</v>
      </c>
      <c r="M323" s="25" t="str">
        <f t="shared" si="27"/>
        <v>Elementos.de.Iluminação</v>
      </c>
      <c r="N323" s="25" t="str">
        <f t="shared" si="28"/>
        <v>Elemento Luminária</v>
      </c>
      <c r="O323" s="25" t="str">
        <f t="shared" si="28"/>
        <v>Luz Gôndola</v>
      </c>
      <c r="P323" s="21" t="s">
        <v>1569</v>
      </c>
      <c r="Q323" s="21" t="s">
        <v>1570</v>
      </c>
      <c r="R323" s="21" t="s">
        <v>1571</v>
      </c>
      <c r="S323" s="55" t="s">
        <v>9</v>
      </c>
      <c r="T323" s="51" t="str">
        <f t="shared" si="26"/>
        <v>De Luminotécnica</v>
      </c>
      <c r="U323" s="51" t="str">
        <f t="shared" si="26"/>
        <v>Elementos de Iluminação</v>
      </c>
      <c r="V323" s="51" t="str">
        <f t="shared" si="26"/>
        <v>Elemento Luminária</v>
      </c>
      <c r="W323" s="21" t="s">
        <v>99</v>
      </c>
      <c r="X323" s="42" t="str">
        <f t="shared" ref="X323:X353" si="29">CONCATENATE("Key-INTEL-",A323)</f>
        <v>Key-INTEL-323</v>
      </c>
      <c r="Y323" s="21" t="s">
        <v>1529</v>
      </c>
      <c r="Z323" s="52" t="s">
        <v>9</v>
      </c>
      <c r="AA323" s="20" t="s">
        <v>1530</v>
      </c>
      <c r="AB323" s="52" t="s">
        <v>9</v>
      </c>
      <c r="AC323" s="21" t="s">
        <v>1531</v>
      </c>
      <c r="AD323" s="52" t="s">
        <v>9</v>
      </c>
    </row>
    <row r="324" spans="1:30" ht="6.75" customHeight="1" x14ac:dyDescent="0.25">
      <c r="A324" s="41">
        <v>324</v>
      </c>
      <c r="B324" s="1" t="s">
        <v>594</v>
      </c>
      <c r="C324" s="24" t="s">
        <v>1638</v>
      </c>
      <c r="D324" s="1" t="s">
        <v>1639</v>
      </c>
      <c r="E324" s="33" t="s">
        <v>1719</v>
      </c>
      <c r="F324" s="46" t="s">
        <v>1572</v>
      </c>
      <c r="G324" s="47" t="s">
        <v>9</v>
      </c>
      <c r="H324" s="45" t="s">
        <v>9</v>
      </c>
      <c r="I324" s="45" t="s">
        <v>9</v>
      </c>
      <c r="J324" s="45" t="s">
        <v>9</v>
      </c>
      <c r="K324" s="45" t="s">
        <v>9</v>
      </c>
      <c r="L324" s="25" t="str">
        <f t="shared" si="27"/>
        <v>De.Luminotécnica</v>
      </c>
      <c r="M324" s="25" t="str">
        <f t="shared" si="27"/>
        <v>Elementos.de.Iluminação</v>
      </c>
      <c r="N324" s="25" t="str">
        <f t="shared" si="28"/>
        <v>Elemento Luminária</v>
      </c>
      <c r="O324" s="25" t="str">
        <f t="shared" si="28"/>
        <v>Luz Grande Altura</v>
      </c>
      <c r="P324" s="21" t="s">
        <v>1573</v>
      </c>
      <c r="Q324" s="21" t="s">
        <v>1574</v>
      </c>
      <c r="R324" s="21" t="s">
        <v>1575</v>
      </c>
      <c r="S324" s="55" t="s">
        <v>9</v>
      </c>
      <c r="T324" s="51" t="str">
        <f t="shared" si="26"/>
        <v>De Luminotécnica</v>
      </c>
      <c r="U324" s="51" t="str">
        <f t="shared" si="26"/>
        <v>Elementos de Iluminação</v>
      </c>
      <c r="V324" s="51" t="str">
        <f t="shared" si="26"/>
        <v>Elemento Luminária</v>
      </c>
      <c r="W324" s="21" t="s">
        <v>99</v>
      </c>
      <c r="X324" s="42" t="str">
        <f t="shared" si="29"/>
        <v>Key-INTEL-324</v>
      </c>
      <c r="Y324" s="21" t="s">
        <v>1529</v>
      </c>
      <c r="Z324" s="52" t="s">
        <v>9</v>
      </c>
      <c r="AA324" s="20" t="s">
        <v>1530</v>
      </c>
      <c r="AB324" s="52" t="s">
        <v>9</v>
      </c>
      <c r="AC324" s="21" t="s">
        <v>1531</v>
      </c>
      <c r="AD324" s="52" t="s">
        <v>9</v>
      </c>
    </row>
    <row r="325" spans="1:30" ht="6.75" customHeight="1" x14ac:dyDescent="0.25">
      <c r="A325" s="41">
        <v>325</v>
      </c>
      <c r="B325" s="1" t="s">
        <v>594</v>
      </c>
      <c r="C325" s="24" t="s">
        <v>1638</v>
      </c>
      <c r="D325" s="1" t="s">
        <v>1639</v>
      </c>
      <c r="E325" s="33" t="s">
        <v>1719</v>
      </c>
      <c r="F325" s="46" t="s">
        <v>1576</v>
      </c>
      <c r="G325" s="47" t="s">
        <v>9</v>
      </c>
      <c r="H325" s="45" t="s">
        <v>9</v>
      </c>
      <c r="I325" s="45" t="s">
        <v>9</v>
      </c>
      <c r="J325" s="45" t="s">
        <v>9</v>
      </c>
      <c r="K325" s="45" t="s">
        <v>9</v>
      </c>
      <c r="L325" s="25" t="str">
        <f t="shared" si="27"/>
        <v>De.Luminotécnica</v>
      </c>
      <c r="M325" s="25" t="str">
        <f t="shared" si="27"/>
        <v>Elementos.de.Iluminação</v>
      </c>
      <c r="N325" s="25" t="str">
        <f t="shared" si="28"/>
        <v>Elemento Luminária</v>
      </c>
      <c r="O325" s="25" t="str">
        <f t="shared" si="28"/>
        <v>Luz Hermética</v>
      </c>
      <c r="P325" s="21" t="s">
        <v>1577</v>
      </c>
      <c r="Q325" s="21" t="s">
        <v>1578</v>
      </c>
      <c r="R325" s="21" t="s">
        <v>1579</v>
      </c>
      <c r="S325" s="55" t="s">
        <v>9</v>
      </c>
      <c r="T325" s="51" t="str">
        <f t="shared" si="26"/>
        <v>De Luminotécnica</v>
      </c>
      <c r="U325" s="51" t="str">
        <f t="shared" si="26"/>
        <v>Elementos de Iluminação</v>
      </c>
      <c r="V325" s="51" t="str">
        <f t="shared" si="26"/>
        <v>Elemento Luminária</v>
      </c>
      <c r="W325" s="21" t="s">
        <v>99</v>
      </c>
      <c r="X325" s="42" t="str">
        <f t="shared" si="29"/>
        <v>Key-INTEL-325</v>
      </c>
      <c r="Y325" s="21" t="s">
        <v>1529</v>
      </c>
      <c r="Z325" s="52" t="s">
        <v>9</v>
      </c>
      <c r="AA325" s="20" t="s">
        <v>1530</v>
      </c>
      <c r="AB325" s="52" t="s">
        <v>9</v>
      </c>
      <c r="AC325" s="21" t="s">
        <v>1531</v>
      </c>
      <c r="AD325" s="52" t="s">
        <v>9</v>
      </c>
    </row>
    <row r="326" spans="1:30" ht="6.75" customHeight="1" x14ac:dyDescent="0.25">
      <c r="A326" s="41">
        <v>326</v>
      </c>
      <c r="B326" s="1" t="s">
        <v>594</v>
      </c>
      <c r="C326" s="24" t="s">
        <v>1638</v>
      </c>
      <c r="D326" s="1" t="s">
        <v>1639</v>
      </c>
      <c r="E326" s="33" t="s">
        <v>1719</v>
      </c>
      <c r="F326" s="46" t="s">
        <v>1580</v>
      </c>
      <c r="G326" s="47" t="s">
        <v>9</v>
      </c>
      <c r="H326" s="45" t="s">
        <v>9</v>
      </c>
      <c r="I326" s="45" t="s">
        <v>9</v>
      </c>
      <c r="J326" s="45" t="s">
        <v>9</v>
      </c>
      <c r="K326" s="45" t="s">
        <v>9</v>
      </c>
      <c r="L326" s="25" t="str">
        <f t="shared" si="27"/>
        <v>De.Luminotécnica</v>
      </c>
      <c r="M326" s="25" t="str">
        <f t="shared" si="27"/>
        <v>Elementos.de.Iluminação</v>
      </c>
      <c r="N326" s="25" t="str">
        <f t="shared" si="28"/>
        <v>Elemento Luminária</v>
      </c>
      <c r="O326" s="25" t="str">
        <f t="shared" si="28"/>
        <v>Luz LEDFita</v>
      </c>
      <c r="P326" s="21" t="s">
        <v>1581</v>
      </c>
      <c r="Q326" s="21" t="s">
        <v>1582</v>
      </c>
      <c r="R326" s="21" t="s">
        <v>1583</v>
      </c>
      <c r="S326" s="55" t="s">
        <v>9</v>
      </c>
      <c r="T326" s="51" t="str">
        <f t="shared" si="26"/>
        <v>De Luminotécnica</v>
      </c>
      <c r="U326" s="51" t="str">
        <f t="shared" si="26"/>
        <v>Elementos de Iluminação</v>
      </c>
      <c r="V326" s="51" t="str">
        <f t="shared" si="26"/>
        <v>Elemento Luminária</v>
      </c>
      <c r="W326" s="21" t="s">
        <v>99</v>
      </c>
      <c r="X326" s="42" t="str">
        <f t="shared" si="29"/>
        <v>Key-INTEL-326</v>
      </c>
      <c r="Y326" s="21" t="s">
        <v>1529</v>
      </c>
      <c r="Z326" s="52" t="s">
        <v>9</v>
      </c>
      <c r="AA326" s="20" t="s">
        <v>1584</v>
      </c>
      <c r="AB326" s="52" t="s">
        <v>9</v>
      </c>
      <c r="AC326" s="21" t="s">
        <v>1531</v>
      </c>
      <c r="AD326" s="52" t="s">
        <v>9</v>
      </c>
    </row>
    <row r="327" spans="1:30" ht="6.75" customHeight="1" x14ac:dyDescent="0.25">
      <c r="A327" s="41">
        <v>327</v>
      </c>
      <c r="B327" s="1" t="s">
        <v>594</v>
      </c>
      <c r="C327" s="24" t="s">
        <v>1638</v>
      </c>
      <c r="D327" s="1" t="s">
        <v>1639</v>
      </c>
      <c r="E327" s="33" t="s">
        <v>1719</v>
      </c>
      <c r="F327" s="46" t="s">
        <v>1585</v>
      </c>
      <c r="G327" s="47" t="s">
        <v>9</v>
      </c>
      <c r="H327" s="45" t="s">
        <v>9</v>
      </c>
      <c r="I327" s="45" t="s">
        <v>9</v>
      </c>
      <c r="J327" s="45" t="s">
        <v>9</v>
      </c>
      <c r="K327" s="45" t="s">
        <v>9</v>
      </c>
      <c r="L327" s="25" t="str">
        <f t="shared" si="27"/>
        <v>De.Luminotécnica</v>
      </c>
      <c r="M327" s="25" t="str">
        <f t="shared" si="27"/>
        <v>Elementos.de.Iluminação</v>
      </c>
      <c r="N327" s="25" t="str">
        <f t="shared" si="28"/>
        <v>Elemento Luminária</v>
      </c>
      <c r="O327" s="25" t="str">
        <f t="shared" si="28"/>
        <v>Luz LEDTubular</v>
      </c>
      <c r="P327" s="21" t="s">
        <v>1586</v>
      </c>
      <c r="Q327" s="21" t="s">
        <v>1587</v>
      </c>
      <c r="R327" s="21" t="s">
        <v>1588</v>
      </c>
      <c r="S327" s="55" t="s">
        <v>9</v>
      </c>
      <c r="T327" s="51" t="str">
        <f t="shared" si="26"/>
        <v>De Luminotécnica</v>
      </c>
      <c r="U327" s="51" t="str">
        <f t="shared" si="26"/>
        <v>Elementos de Iluminação</v>
      </c>
      <c r="V327" s="51" t="str">
        <f t="shared" si="26"/>
        <v>Elemento Luminária</v>
      </c>
      <c r="W327" s="21" t="s">
        <v>99</v>
      </c>
      <c r="X327" s="42" t="str">
        <f t="shared" si="29"/>
        <v>Key-INTEL-327</v>
      </c>
      <c r="Y327" s="21" t="s">
        <v>1529</v>
      </c>
      <c r="Z327" s="52" t="s">
        <v>9</v>
      </c>
      <c r="AA327" s="20" t="s">
        <v>1584</v>
      </c>
      <c r="AB327" s="52" t="s">
        <v>9</v>
      </c>
      <c r="AC327" s="21" t="s">
        <v>1531</v>
      </c>
      <c r="AD327" s="52" t="s">
        <v>9</v>
      </c>
    </row>
    <row r="328" spans="1:30" ht="6.75" customHeight="1" x14ac:dyDescent="0.25">
      <c r="A328" s="41">
        <v>328</v>
      </c>
      <c r="B328" s="1" t="s">
        <v>594</v>
      </c>
      <c r="C328" s="24" t="s">
        <v>1638</v>
      </c>
      <c r="D328" s="1" t="s">
        <v>1639</v>
      </c>
      <c r="E328" s="33" t="s">
        <v>1719</v>
      </c>
      <c r="F328" s="46" t="s">
        <v>1589</v>
      </c>
      <c r="G328" s="47" t="s">
        <v>9</v>
      </c>
      <c r="H328" s="45" t="s">
        <v>9</v>
      </c>
      <c r="I328" s="45" t="s">
        <v>9</v>
      </c>
      <c r="J328" s="45" t="s">
        <v>9</v>
      </c>
      <c r="K328" s="45" t="s">
        <v>9</v>
      </c>
      <c r="L328" s="25" t="str">
        <f t="shared" si="27"/>
        <v>De.Luminotécnica</v>
      </c>
      <c r="M328" s="25" t="str">
        <f t="shared" si="27"/>
        <v>Elementos.de.Iluminação</v>
      </c>
      <c r="N328" s="25" t="str">
        <f t="shared" si="28"/>
        <v>Elemento Luminária</v>
      </c>
      <c r="O328" s="25" t="str">
        <f t="shared" si="28"/>
        <v>Luz TuboFluorescente</v>
      </c>
      <c r="P328" s="21" t="s">
        <v>1590</v>
      </c>
      <c r="Q328" s="21" t="s">
        <v>1591</v>
      </c>
      <c r="R328" s="21" t="s">
        <v>1592</v>
      </c>
      <c r="S328" s="55" t="s">
        <v>9</v>
      </c>
      <c r="T328" s="51" t="str">
        <f t="shared" si="26"/>
        <v>De Luminotécnica</v>
      </c>
      <c r="U328" s="51" t="str">
        <f t="shared" si="26"/>
        <v>Elementos de Iluminação</v>
      </c>
      <c r="V328" s="51" t="str">
        <f t="shared" si="26"/>
        <v>Elemento Luminária</v>
      </c>
      <c r="W328" s="21" t="s">
        <v>99</v>
      </c>
      <c r="X328" s="42" t="str">
        <f t="shared" si="29"/>
        <v>Key-INTEL-328</v>
      </c>
      <c r="Y328" s="21" t="s">
        <v>1529</v>
      </c>
      <c r="Z328" s="52" t="s">
        <v>9</v>
      </c>
      <c r="AA328" s="20" t="s">
        <v>1530</v>
      </c>
      <c r="AB328" s="52" t="s">
        <v>9</v>
      </c>
      <c r="AC328" s="21" t="s">
        <v>1531</v>
      </c>
      <c r="AD328" s="52" t="s">
        <v>9</v>
      </c>
    </row>
    <row r="329" spans="1:30" ht="6.75" customHeight="1" x14ac:dyDescent="0.25">
      <c r="A329" s="41">
        <v>329</v>
      </c>
      <c r="B329" s="1" t="s">
        <v>594</v>
      </c>
      <c r="C329" s="24" t="s">
        <v>1638</v>
      </c>
      <c r="D329" s="1" t="s">
        <v>1639</v>
      </c>
      <c r="E329" s="33" t="s">
        <v>1719</v>
      </c>
      <c r="F329" s="46" t="s">
        <v>1593</v>
      </c>
      <c r="G329" s="47" t="s">
        <v>9</v>
      </c>
      <c r="H329" s="45" t="s">
        <v>9</v>
      </c>
      <c r="I329" s="45" t="s">
        <v>9</v>
      </c>
      <c r="J329" s="45" t="s">
        <v>9</v>
      </c>
      <c r="K329" s="45" t="s">
        <v>9</v>
      </c>
      <c r="L329" s="25" t="str">
        <f t="shared" si="27"/>
        <v>De.Luminotécnica</v>
      </c>
      <c r="M329" s="25" t="str">
        <f t="shared" si="27"/>
        <v>Elementos.de.Iluminação</v>
      </c>
      <c r="N329" s="25" t="str">
        <f t="shared" si="28"/>
        <v>Elemento Luminária</v>
      </c>
      <c r="O329" s="25" t="str">
        <f t="shared" si="28"/>
        <v>Luz Linear</v>
      </c>
      <c r="P329" s="21" t="s">
        <v>1594</v>
      </c>
      <c r="Q329" s="21" t="s">
        <v>1595</v>
      </c>
      <c r="R329" s="21" t="s">
        <v>1596</v>
      </c>
      <c r="S329" s="55" t="s">
        <v>9</v>
      </c>
      <c r="T329" s="51" t="str">
        <f t="shared" si="26"/>
        <v>De Luminotécnica</v>
      </c>
      <c r="U329" s="51" t="str">
        <f t="shared" si="26"/>
        <v>Elementos de Iluminação</v>
      </c>
      <c r="V329" s="51" t="str">
        <f t="shared" si="26"/>
        <v>Elemento Luminária</v>
      </c>
      <c r="W329" s="21" t="s">
        <v>99</v>
      </c>
      <c r="X329" s="42" t="str">
        <f t="shared" si="29"/>
        <v>Key-INTEL-329</v>
      </c>
      <c r="Y329" s="21" t="s">
        <v>1529</v>
      </c>
      <c r="Z329" s="52" t="s">
        <v>9</v>
      </c>
      <c r="AA329" s="20" t="s">
        <v>1530</v>
      </c>
      <c r="AB329" s="52" t="s">
        <v>9</v>
      </c>
      <c r="AC329" s="21" t="s">
        <v>1531</v>
      </c>
      <c r="AD329" s="52" t="s">
        <v>9</v>
      </c>
    </row>
    <row r="330" spans="1:30" ht="6.75" customHeight="1" x14ac:dyDescent="0.25">
      <c r="A330" s="41">
        <v>330</v>
      </c>
      <c r="B330" s="1" t="s">
        <v>594</v>
      </c>
      <c r="C330" s="24" t="s">
        <v>1638</v>
      </c>
      <c r="D330" s="1" t="s">
        <v>1639</v>
      </c>
      <c r="E330" s="33" t="s">
        <v>1719</v>
      </c>
      <c r="F330" s="46" t="s">
        <v>1597</v>
      </c>
      <c r="G330" s="47" t="s">
        <v>9</v>
      </c>
      <c r="H330" s="45" t="s">
        <v>9</v>
      </c>
      <c r="I330" s="45" t="s">
        <v>9</v>
      </c>
      <c r="J330" s="45" t="s">
        <v>9</v>
      </c>
      <c r="K330" s="45" t="s">
        <v>9</v>
      </c>
      <c r="L330" s="25" t="str">
        <f t="shared" si="27"/>
        <v>De.Luminotécnica</v>
      </c>
      <c r="M330" s="25" t="str">
        <f t="shared" si="27"/>
        <v>Elementos.de.Iluminação</v>
      </c>
      <c r="N330" s="25" t="str">
        <f t="shared" si="28"/>
        <v>Elemento Luminária</v>
      </c>
      <c r="O330" s="25" t="str">
        <f t="shared" si="28"/>
        <v>Luz Painel</v>
      </c>
      <c r="P330" s="21" t="s">
        <v>1598</v>
      </c>
      <c r="Q330" s="21" t="s">
        <v>1599</v>
      </c>
      <c r="R330" s="21" t="s">
        <v>1600</v>
      </c>
      <c r="S330" s="55" t="s">
        <v>9</v>
      </c>
      <c r="T330" s="51" t="str">
        <f t="shared" si="26"/>
        <v>De Luminotécnica</v>
      </c>
      <c r="U330" s="51" t="str">
        <f t="shared" si="26"/>
        <v>Elementos de Iluminação</v>
      </c>
      <c r="V330" s="51" t="str">
        <f t="shared" si="26"/>
        <v>Elemento Luminária</v>
      </c>
      <c r="W330" s="21" t="s">
        <v>99</v>
      </c>
      <c r="X330" s="42" t="str">
        <f t="shared" si="29"/>
        <v>Key-INTEL-330</v>
      </c>
      <c r="Y330" s="21" t="s">
        <v>1529</v>
      </c>
      <c r="Z330" s="52" t="s">
        <v>9</v>
      </c>
      <c r="AA330" s="20" t="s">
        <v>1530</v>
      </c>
      <c r="AB330" s="52" t="s">
        <v>9</v>
      </c>
      <c r="AC330" s="21" t="s">
        <v>1531</v>
      </c>
      <c r="AD330" s="52" t="s">
        <v>9</v>
      </c>
    </row>
    <row r="331" spans="1:30" ht="6.75" customHeight="1" x14ac:dyDescent="0.25">
      <c r="A331" s="41">
        <v>331</v>
      </c>
      <c r="B331" s="1" t="s">
        <v>594</v>
      </c>
      <c r="C331" s="24" t="s">
        <v>1638</v>
      </c>
      <c r="D331" s="1" t="s">
        <v>1639</v>
      </c>
      <c r="E331" s="33" t="s">
        <v>1719</v>
      </c>
      <c r="F331" s="46" t="s">
        <v>1601</v>
      </c>
      <c r="G331" s="47" t="s">
        <v>9</v>
      </c>
      <c r="H331" s="45" t="s">
        <v>9</v>
      </c>
      <c r="I331" s="45" t="s">
        <v>9</v>
      </c>
      <c r="J331" s="45" t="s">
        <v>9</v>
      </c>
      <c r="K331" s="45" t="s">
        <v>9</v>
      </c>
      <c r="L331" s="25" t="str">
        <f t="shared" si="27"/>
        <v>De.Luminotécnica</v>
      </c>
      <c r="M331" s="25" t="str">
        <f t="shared" si="27"/>
        <v>Elementos.de.Iluminação</v>
      </c>
      <c r="N331" s="25" t="str">
        <f t="shared" si="28"/>
        <v>Elemento Luminária</v>
      </c>
      <c r="O331" s="25" t="str">
        <f t="shared" si="28"/>
        <v>Luz Pendente</v>
      </c>
      <c r="P331" s="21" t="s">
        <v>1602</v>
      </c>
      <c r="Q331" s="21" t="s">
        <v>1603</v>
      </c>
      <c r="R331" s="21" t="s">
        <v>1604</v>
      </c>
      <c r="S331" s="55" t="s">
        <v>9</v>
      </c>
      <c r="T331" s="51" t="str">
        <f t="shared" si="26"/>
        <v>De Luminotécnica</v>
      </c>
      <c r="U331" s="51" t="str">
        <f t="shared" si="26"/>
        <v>Elementos de Iluminação</v>
      </c>
      <c r="V331" s="51" t="str">
        <f t="shared" si="26"/>
        <v>Elemento Luminária</v>
      </c>
      <c r="W331" s="21" t="s">
        <v>99</v>
      </c>
      <c r="X331" s="42" t="str">
        <f t="shared" si="29"/>
        <v>Key-INTEL-331</v>
      </c>
      <c r="Y331" s="21" t="s">
        <v>1529</v>
      </c>
      <c r="Z331" s="52" t="s">
        <v>9</v>
      </c>
      <c r="AA331" s="20" t="s">
        <v>1530</v>
      </c>
      <c r="AB331" s="52" t="s">
        <v>9</v>
      </c>
      <c r="AC331" s="21" t="s">
        <v>1531</v>
      </c>
      <c r="AD331" s="52" t="s">
        <v>9</v>
      </c>
    </row>
    <row r="332" spans="1:30" ht="6.75" customHeight="1" x14ac:dyDescent="0.25">
      <c r="A332" s="41">
        <v>332</v>
      </c>
      <c r="B332" s="1" t="s">
        <v>594</v>
      </c>
      <c r="C332" s="24" t="s">
        <v>1638</v>
      </c>
      <c r="D332" s="1" t="s">
        <v>1639</v>
      </c>
      <c r="E332" s="33" t="s">
        <v>1719</v>
      </c>
      <c r="F332" s="46" t="s">
        <v>1605</v>
      </c>
      <c r="G332" s="47" t="s">
        <v>9</v>
      </c>
      <c r="H332" s="45" t="s">
        <v>9</v>
      </c>
      <c r="I332" s="45" t="s">
        <v>9</v>
      </c>
      <c r="J332" s="45" t="s">
        <v>9</v>
      </c>
      <c r="K332" s="45" t="s">
        <v>9</v>
      </c>
      <c r="L332" s="25" t="str">
        <f t="shared" si="27"/>
        <v>De.Luminotécnica</v>
      </c>
      <c r="M332" s="25" t="str">
        <f t="shared" si="27"/>
        <v>Elementos.de.Iluminação</v>
      </c>
      <c r="N332" s="25" t="str">
        <f t="shared" si="28"/>
        <v>Elemento Luminária</v>
      </c>
      <c r="O332" s="25" t="str">
        <f t="shared" si="28"/>
        <v>Luz Plafon</v>
      </c>
      <c r="P332" s="21" t="s">
        <v>1606</v>
      </c>
      <c r="Q332" s="21" t="s">
        <v>1607</v>
      </c>
      <c r="R332" s="21" t="s">
        <v>1608</v>
      </c>
      <c r="S332" s="55" t="s">
        <v>9</v>
      </c>
      <c r="T332" s="51" t="str">
        <f t="shared" si="26"/>
        <v>De Luminotécnica</v>
      </c>
      <c r="U332" s="51" t="str">
        <f t="shared" si="26"/>
        <v>Elementos de Iluminação</v>
      </c>
      <c r="V332" s="51" t="str">
        <f t="shared" si="26"/>
        <v>Elemento Luminária</v>
      </c>
      <c r="W332" s="21" t="s">
        <v>99</v>
      </c>
      <c r="X332" s="42" t="str">
        <f t="shared" si="29"/>
        <v>Key-INTEL-332</v>
      </c>
      <c r="Y332" s="21" t="s">
        <v>1529</v>
      </c>
      <c r="Z332" s="52" t="s">
        <v>9</v>
      </c>
      <c r="AA332" s="20" t="s">
        <v>1530</v>
      </c>
      <c r="AB332" s="52" t="s">
        <v>9</v>
      </c>
      <c r="AC332" s="21" t="s">
        <v>1531</v>
      </c>
      <c r="AD332" s="52" t="s">
        <v>9</v>
      </c>
    </row>
    <row r="333" spans="1:30" ht="6.75" customHeight="1" x14ac:dyDescent="0.25">
      <c r="A333" s="41">
        <v>333</v>
      </c>
      <c r="B333" s="1" t="s">
        <v>594</v>
      </c>
      <c r="C333" s="24" t="s">
        <v>1638</v>
      </c>
      <c r="D333" s="1" t="s">
        <v>1639</v>
      </c>
      <c r="E333" s="33" t="s">
        <v>1719</v>
      </c>
      <c r="F333" s="46" t="s">
        <v>1609</v>
      </c>
      <c r="G333" s="47" t="s">
        <v>9</v>
      </c>
      <c r="H333" s="45" t="s">
        <v>9</v>
      </c>
      <c r="I333" s="45" t="s">
        <v>9</v>
      </c>
      <c r="J333" s="45" t="s">
        <v>9</v>
      </c>
      <c r="K333" s="45" t="s">
        <v>9</v>
      </c>
      <c r="L333" s="25" t="str">
        <f t="shared" si="27"/>
        <v>De.Luminotécnica</v>
      </c>
      <c r="M333" s="25" t="str">
        <f t="shared" si="27"/>
        <v>Elementos.de.Iluminação</v>
      </c>
      <c r="N333" s="25" t="str">
        <f t="shared" si="28"/>
        <v>Elemento Luminária</v>
      </c>
      <c r="O333" s="25" t="str">
        <f t="shared" si="28"/>
        <v>Luz Sensorizada</v>
      </c>
      <c r="P333" s="21" t="s">
        <v>1610</v>
      </c>
      <c r="Q333" s="21" t="s">
        <v>1611</v>
      </c>
      <c r="R333" s="21" t="s">
        <v>1612</v>
      </c>
      <c r="S333" s="55" t="s">
        <v>9</v>
      </c>
      <c r="T333" s="51" t="str">
        <f t="shared" si="26"/>
        <v>De Luminotécnica</v>
      </c>
      <c r="U333" s="51" t="str">
        <f t="shared" si="26"/>
        <v>Elementos de Iluminação</v>
      </c>
      <c r="V333" s="51" t="str">
        <f t="shared" si="26"/>
        <v>Elemento Luminária</v>
      </c>
      <c r="W333" s="21" t="s">
        <v>99</v>
      </c>
      <c r="X333" s="42" t="str">
        <f t="shared" si="29"/>
        <v>Key-INTEL-333</v>
      </c>
      <c r="Y333" s="21" t="s">
        <v>1529</v>
      </c>
      <c r="Z333" s="52" t="s">
        <v>9</v>
      </c>
      <c r="AA333" s="20" t="s">
        <v>1530</v>
      </c>
      <c r="AB333" s="52" t="s">
        <v>9</v>
      </c>
      <c r="AC333" s="21" t="s">
        <v>1531</v>
      </c>
      <c r="AD333" s="52" t="s">
        <v>9</v>
      </c>
    </row>
    <row r="334" spans="1:30" ht="6.75" customHeight="1" x14ac:dyDescent="0.25">
      <c r="A334" s="41">
        <v>334</v>
      </c>
      <c r="B334" s="1" t="s">
        <v>594</v>
      </c>
      <c r="C334" s="24" t="s">
        <v>1638</v>
      </c>
      <c r="D334" s="1" t="s">
        <v>1639</v>
      </c>
      <c r="E334" s="33" t="s">
        <v>1719</v>
      </c>
      <c r="F334" s="46" t="s">
        <v>1613</v>
      </c>
      <c r="G334" s="47" t="s">
        <v>9</v>
      </c>
      <c r="H334" s="45" t="s">
        <v>9</v>
      </c>
      <c r="I334" s="45" t="s">
        <v>9</v>
      </c>
      <c r="J334" s="45" t="s">
        <v>9</v>
      </c>
      <c r="K334" s="45" t="s">
        <v>9</v>
      </c>
      <c r="L334" s="25" t="str">
        <f t="shared" si="27"/>
        <v>De.Luminotécnica</v>
      </c>
      <c r="M334" s="25" t="str">
        <f t="shared" si="27"/>
        <v>Elementos.de.Iluminação</v>
      </c>
      <c r="N334" s="25" t="str">
        <f t="shared" si="28"/>
        <v>Elemento Luminária</v>
      </c>
      <c r="O334" s="25" t="str">
        <f t="shared" si="28"/>
        <v>Luz Spot</v>
      </c>
      <c r="P334" s="21" t="s">
        <v>1614</v>
      </c>
      <c r="Q334" s="21" t="s">
        <v>1615</v>
      </c>
      <c r="R334" s="21" t="s">
        <v>1616</v>
      </c>
      <c r="S334" s="55" t="s">
        <v>9</v>
      </c>
      <c r="T334" s="51" t="str">
        <f t="shared" si="26"/>
        <v>De Luminotécnica</v>
      </c>
      <c r="U334" s="51" t="str">
        <f t="shared" si="26"/>
        <v>Elementos de Iluminação</v>
      </c>
      <c r="V334" s="51" t="str">
        <f t="shared" si="26"/>
        <v>Elemento Luminária</v>
      </c>
      <c r="W334" s="21" t="s">
        <v>99</v>
      </c>
      <c r="X334" s="42" t="str">
        <f t="shared" si="29"/>
        <v>Key-INTEL-334</v>
      </c>
      <c r="Y334" s="21" t="s">
        <v>1529</v>
      </c>
      <c r="Z334" s="52" t="s">
        <v>9</v>
      </c>
      <c r="AA334" s="20" t="s">
        <v>1617</v>
      </c>
      <c r="AB334" s="52" t="s">
        <v>9</v>
      </c>
      <c r="AC334" s="21" t="s">
        <v>1531</v>
      </c>
      <c r="AD334" s="52" t="s">
        <v>9</v>
      </c>
    </row>
    <row r="335" spans="1:30" ht="6.75" customHeight="1" x14ac:dyDescent="0.25">
      <c r="A335" s="41">
        <v>335</v>
      </c>
      <c r="B335" s="1" t="s">
        <v>594</v>
      </c>
      <c r="C335" s="24" t="s">
        <v>1638</v>
      </c>
      <c r="D335" s="1" t="s">
        <v>1639</v>
      </c>
      <c r="E335" s="33" t="s">
        <v>1719</v>
      </c>
      <c r="F335" s="46" t="s">
        <v>1618</v>
      </c>
      <c r="G335" s="47" t="s">
        <v>9</v>
      </c>
      <c r="H335" s="45" t="s">
        <v>9</v>
      </c>
      <c r="I335" s="45" t="s">
        <v>9</v>
      </c>
      <c r="J335" s="45" t="s">
        <v>9</v>
      </c>
      <c r="K335" s="45" t="s">
        <v>9</v>
      </c>
      <c r="L335" s="25" t="str">
        <f t="shared" si="27"/>
        <v>De.Luminotécnica</v>
      </c>
      <c r="M335" s="25" t="str">
        <f t="shared" si="27"/>
        <v>Elementos.de.Iluminação</v>
      </c>
      <c r="N335" s="25" t="str">
        <f t="shared" si="28"/>
        <v>Elemento Luminária</v>
      </c>
      <c r="O335" s="25" t="str">
        <f t="shared" si="28"/>
        <v>Luz Trilho</v>
      </c>
      <c r="P335" s="21" t="s">
        <v>1619</v>
      </c>
      <c r="Q335" s="21" t="s">
        <v>1620</v>
      </c>
      <c r="R335" s="21" t="s">
        <v>1621</v>
      </c>
      <c r="S335" s="55" t="s">
        <v>9</v>
      </c>
      <c r="T335" s="51" t="str">
        <f t="shared" ref="T335:V353" si="30">SUBSTITUTE(C335, ".", " ")</f>
        <v>De Luminotécnica</v>
      </c>
      <c r="U335" s="51" t="str">
        <f t="shared" si="30"/>
        <v>Elementos de Iluminação</v>
      </c>
      <c r="V335" s="51" t="str">
        <f t="shared" si="30"/>
        <v>Elemento Luminária</v>
      </c>
      <c r="W335" s="21" t="s">
        <v>99</v>
      </c>
      <c r="X335" s="42" t="str">
        <f t="shared" si="29"/>
        <v>Key-INTEL-335</v>
      </c>
      <c r="Y335" s="21" t="s">
        <v>1529</v>
      </c>
      <c r="Z335" s="52" t="s">
        <v>9</v>
      </c>
      <c r="AA335" s="20" t="s">
        <v>1530</v>
      </c>
      <c r="AB335" s="52" t="s">
        <v>9</v>
      </c>
      <c r="AC335" s="21" t="s">
        <v>1531</v>
      </c>
      <c r="AD335" s="52" t="s">
        <v>9</v>
      </c>
    </row>
    <row r="336" spans="1:30" ht="6.75" customHeight="1" x14ac:dyDescent="0.25">
      <c r="A336" s="41">
        <v>336</v>
      </c>
      <c r="B336" s="1" t="s">
        <v>594</v>
      </c>
      <c r="C336" s="24" t="s">
        <v>1638</v>
      </c>
      <c r="D336" s="1" t="s">
        <v>1639</v>
      </c>
      <c r="E336" s="33" t="s">
        <v>1720</v>
      </c>
      <c r="F336" s="46" t="s">
        <v>1622</v>
      </c>
      <c r="G336" s="47" t="s">
        <v>9</v>
      </c>
      <c r="H336" s="45" t="s">
        <v>9</v>
      </c>
      <c r="I336" s="45" t="s">
        <v>9</v>
      </c>
      <c r="J336" s="45" t="s">
        <v>9</v>
      </c>
      <c r="K336" s="45" t="s">
        <v>9</v>
      </c>
      <c r="L336" s="25" t="str">
        <f t="shared" si="27"/>
        <v>De.Luminotécnica</v>
      </c>
      <c r="M336" s="25" t="str">
        <f t="shared" si="27"/>
        <v>Elementos.de.Iluminação</v>
      </c>
      <c r="N336" s="25" t="str">
        <f t="shared" si="28"/>
        <v>Elemento Acessório Iluminação</v>
      </c>
      <c r="O336" s="25" t="str">
        <f t="shared" si="28"/>
        <v>Acessório Luz</v>
      </c>
      <c r="P336" s="21" t="s">
        <v>1623</v>
      </c>
      <c r="Q336" s="21" t="s">
        <v>1624</v>
      </c>
      <c r="R336" s="21" t="s">
        <v>1625</v>
      </c>
      <c r="S336" s="55" t="s">
        <v>9</v>
      </c>
      <c r="T336" s="51" t="str">
        <f t="shared" si="30"/>
        <v>De Luminotécnica</v>
      </c>
      <c r="U336" s="51" t="str">
        <f t="shared" si="30"/>
        <v>Elementos de Iluminação</v>
      </c>
      <c r="V336" s="51" t="str">
        <f t="shared" si="30"/>
        <v>Elemento Acessório Iluminação</v>
      </c>
      <c r="W336" s="21" t="s">
        <v>99</v>
      </c>
      <c r="X336" s="42" t="str">
        <f t="shared" si="29"/>
        <v>Key-INTEL-336</v>
      </c>
      <c r="Y336" s="21" t="s">
        <v>1529</v>
      </c>
      <c r="Z336" s="52" t="s">
        <v>9</v>
      </c>
      <c r="AA336" s="20" t="s">
        <v>98</v>
      </c>
      <c r="AB336" s="52" t="s">
        <v>9</v>
      </c>
      <c r="AC336" s="21" t="s">
        <v>1531</v>
      </c>
      <c r="AD336" s="52" t="s">
        <v>9</v>
      </c>
    </row>
    <row r="337" spans="1:30" ht="6.75" customHeight="1" x14ac:dyDescent="0.25">
      <c r="A337" s="41">
        <v>337</v>
      </c>
      <c r="B337" s="1" t="s">
        <v>594</v>
      </c>
      <c r="C337" s="24" t="s">
        <v>1638</v>
      </c>
      <c r="D337" s="1" t="s">
        <v>1639</v>
      </c>
      <c r="E337" s="33" t="s">
        <v>1721</v>
      </c>
      <c r="F337" s="46" t="s">
        <v>1626</v>
      </c>
      <c r="G337" s="47" t="s">
        <v>9</v>
      </c>
      <c r="H337" s="45" t="s">
        <v>9</v>
      </c>
      <c r="I337" s="45" t="s">
        <v>9</v>
      </c>
      <c r="J337" s="45" t="s">
        <v>9</v>
      </c>
      <c r="K337" s="45" t="s">
        <v>9</v>
      </c>
      <c r="L337" s="25" t="str">
        <f t="shared" si="27"/>
        <v>De.Luminotécnica</v>
      </c>
      <c r="M337" s="25" t="str">
        <f t="shared" si="27"/>
        <v>Elementos.de.Iluminação</v>
      </c>
      <c r="N337" s="25" t="str">
        <f t="shared" si="28"/>
        <v>Elemento Analítico de Luz</v>
      </c>
      <c r="O337" s="25" t="str">
        <f t="shared" si="28"/>
        <v>Ponto Iluminado</v>
      </c>
      <c r="P337" s="21" t="s">
        <v>1627</v>
      </c>
      <c r="Q337" s="21" t="s">
        <v>1628</v>
      </c>
      <c r="R337" s="21" t="s">
        <v>1629</v>
      </c>
      <c r="S337" s="55" t="s">
        <v>9</v>
      </c>
      <c r="T337" s="51" t="str">
        <f t="shared" si="30"/>
        <v>De Luminotécnica</v>
      </c>
      <c r="U337" s="51" t="str">
        <f t="shared" si="30"/>
        <v>Elementos de Iluminação</v>
      </c>
      <c r="V337" s="51" t="str">
        <f t="shared" si="30"/>
        <v>Elemento Analítico de Luz</v>
      </c>
      <c r="W337" s="21" t="s">
        <v>99</v>
      </c>
      <c r="X337" s="42" t="str">
        <f t="shared" si="29"/>
        <v>Key-INTEL-337</v>
      </c>
      <c r="Y337" s="52" t="s">
        <v>9</v>
      </c>
      <c r="Z337" s="52" t="s">
        <v>9</v>
      </c>
      <c r="AA337" s="52" t="s">
        <v>9</v>
      </c>
      <c r="AB337" s="52" t="s">
        <v>9</v>
      </c>
      <c r="AC337" s="52" t="s">
        <v>9</v>
      </c>
      <c r="AD337" s="52" t="s">
        <v>9</v>
      </c>
    </row>
    <row r="338" spans="1:30" ht="6.75" customHeight="1" x14ac:dyDescent="0.25">
      <c r="A338" s="41">
        <v>338</v>
      </c>
      <c r="B338" s="1" t="s">
        <v>594</v>
      </c>
      <c r="C338" s="24" t="s">
        <v>1638</v>
      </c>
      <c r="D338" s="1" t="s">
        <v>1639</v>
      </c>
      <c r="E338" s="33" t="s">
        <v>1721</v>
      </c>
      <c r="F338" s="46" t="s">
        <v>1630</v>
      </c>
      <c r="G338" s="47" t="s">
        <v>9</v>
      </c>
      <c r="H338" s="45" t="s">
        <v>9</v>
      </c>
      <c r="I338" s="45" t="s">
        <v>9</v>
      </c>
      <c r="J338" s="45" t="s">
        <v>9</v>
      </c>
      <c r="K338" s="45" t="s">
        <v>9</v>
      </c>
      <c r="L338" s="25" t="str">
        <f t="shared" si="27"/>
        <v>De.Luminotécnica</v>
      </c>
      <c r="M338" s="25" t="str">
        <f t="shared" si="27"/>
        <v>Elementos.de.Iluminação</v>
      </c>
      <c r="N338" s="25" t="str">
        <f t="shared" si="28"/>
        <v>Elemento Analítico de Luz</v>
      </c>
      <c r="O338" s="25" t="str">
        <f t="shared" si="28"/>
        <v>Linha Iluminada</v>
      </c>
      <c r="P338" s="21" t="s">
        <v>1631</v>
      </c>
      <c r="Q338" s="21" t="s">
        <v>1632</v>
      </c>
      <c r="R338" s="21" t="s">
        <v>1633</v>
      </c>
      <c r="S338" s="55" t="s">
        <v>9</v>
      </c>
      <c r="T338" s="51" t="str">
        <f t="shared" si="30"/>
        <v>De Luminotécnica</v>
      </c>
      <c r="U338" s="51" t="str">
        <f t="shared" si="30"/>
        <v>Elementos de Iluminação</v>
      </c>
      <c r="V338" s="51" t="str">
        <f t="shared" si="30"/>
        <v>Elemento Analítico de Luz</v>
      </c>
      <c r="W338" s="21" t="s">
        <v>99</v>
      </c>
      <c r="X338" s="42" t="str">
        <f t="shared" si="29"/>
        <v>Key-INTEL-338</v>
      </c>
      <c r="Y338" s="52" t="s">
        <v>9</v>
      </c>
      <c r="Z338" s="52" t="s">
        <v>9</v>
      </c>
      <c r="AA338" s="52" t="s">
        <v>9</v>
      </c>
      <c r="AB338" s="52" t="s">
        <v>9</v>
      </c>
      <c r="AC338" s="52" t="s">
        <v>9</v>
      </c>
      <c r="AD338" s="52" t="s">
        <v>9</v>
      </c>
    </row>
    <row r="339" spans="1:30" ht="6.75" customHeight="1" x14ac:dyDescent="0.25">
      <c r="A339" s="41">
        <v>339</v>
      </c>
      <c r="B339" s="1" t="s">
        <v>594</v>
      </c>
      <c r="C339" s="24" t="s">
        <v>1638</v>
      </c>
      <c r="D339" s="1" t="s">
        <v>1639</v>
      </c>
      <c r="E339" s="33" t="s">
        <v>1721</v>
      </c>
      <c r="F339" s="46" t="s">
        <v>1634</v>
      </c>
      <c r="G339" s="47" t="s">
        <v>9</v>
      </c>
      <c r="H339" s="45" t="s">
        <v>9</v>
      </c>
      <c r="I339" s="45" t="s">
        <v>9</v>
      </c>
      <c r="J339" s="45" t="s">
        <v>9</v>
      </c>
      <c r="K339" s="45" t="s">
        <v>9</v>
      </c>
      <c r="L339" s="25" t="str">
        <f t="shared" si="27"/>
        <v>De.Luminotécnica</v>
      </c>
      <c r="M339" s="25" t="str">
        <f t="shared" si="27"/>
        <v>Elementos.de.Iluminação</v>
      </c>
      <c r="N339" s="25" t="str">
        <f t="shared" si="28"/>
        <v>Elemento Analítico de Luz</v>
      </c>
      <c r="O339" s="25" t="str">
        <f t="shared" si="28"/>
        <v>Area Iluminada</v>
      </c>
      <c r="P339" s="21" t="s">
        <v>1635</v>
      </c>
      <c r="Q339" s="21" t="s">
        <v>1636</v>
      </c>
      <c r="R339" s="21" t="s">
        <v>1637</v>
      </c>
      <c r="S339" s="55" t="s">
        <v>9</v>
      </c>
      <c r="T339" s="51" t="str">
        <f t="shared" si="30"/>
        <v>De Luminotécnica</v>
      </c>
      <c r="U339" s="51" t="str">
        <f t="shared" si="30"/>
        <v>Elementos de Iluminação</v>
      </c>
      <c r="V339" s="51" t="str">
        <f t="shared" si="30"/>
        <v>Elemento Analítico de Luz</v>
      </c>
      <c r="W339" s="21" t="s">
        <v>99</v>
      </c>
      <c r="X339" s="42" t="str">
        <f t="shared" si="29"/>
        <v>Key-INTEL-339</v>
      </c>
      <c r="Y339" s="52" t="s">
        <v>9</v>
      </c>
      <c r="Z339" s="52" t="s">
        <v>9</v>
      </c>
      <c r="AA339" s="52" t="s">
        <v>9</v>
      </c>
      <c r="AB339" s="52" t="s">
        <v>9</v>
      </c>
      <c r="AC339" s="52" t="s">
        <v>9</v>
      </c>
      <c r="AD339" s="52" t="s">
        <v>9</v>
      </c>
    </row>
    <row r="340" spans="1:30" s="91" customFormat="1" ht="6.75" customHeight="1" x14ac:dyDescent="0.25">
      <c r="A340" s="41">
        <v>340</v>
      </c>
      <c r="B340" s="1" t="s">
        <v>665</v>
      </c>
      <c r="C340" s="46" t="s">
        <v>666</v>
      </c>
      <c r="D340" s="46" t="s">
        <v>719</v>
      </c>
      <c r="E340" s="46" t="s">
        <v>722</v>
      </c>
      <c r="F340" s="46" t="s">
        <v>667</v>
      </c>
      <c r="G340" s="45" t="s">
        <v>9</v>
      </c>
      <c r="H340" s="45" t="s">
        <v>9</v>
      </c>
      <c r="I340" s="45" t="s">
        <v>9</v>
      </c>
      <c r="J340" s="45" t="s">
        <v>9</v>
      </c>
      <c r="K340" s="45" t="s">
        <v>9</v>
      </c>
      <c r="L340" s="25" t="str">
        <f t="shared" si="27"/>
        <v>De.Elétrica</v>
      </c>
      <c r="M340" s="25" t="str">
        <f t="shared" si="27"/>
        <v>Tensões.Elétricas</v>
      </c>
      <c r="N340" s="25" t="str">
        <f t="shared" si="28"/>
        <v>Tensão Alta</v>
      </c>
      <c r="O340" s="25" t="str">
        <f t="shared" si="28"/>
        <v>Elétrica AT</v>
      </c>
      <c r="P340" s="53" t="s">
        <v>703</v>
      </c>
      <c r="Q340" s="50" t="str">
        <f t="shared" ref="Q340" si="31">_xlfn.TRANSLATE(P340,"pt","es")</f>
        <v>Instalación eléctrica de alta tensión (HV), con voltaje superior a 50 kV.</v>
      </c>
      <c r="R340" s="50" t="str">
        <f t="shared" ref="R340" si="32">_xlfn.TRANSLATE(P340,"pt","en")</f>
        <v>High voltage (HV) electrical installation, with voltage above 50 kV.</v>
      </c>
      <c r="S340" s="55" t="s">
        <v>9</v>
      </c>
      <c r="T340" s="51" t="str">
        <f t="shared" si="30"/>
        <v>De Elétrica</v>
      </c>
      <c r="U340" s="51" t="str">
        <f t="shared" si="30"/>
        <v>Tensões Elétricas</v>
      </c>
      <c r="V340" s="51" t="str">
        <f t="shared" si="30"/>
        <v>Tensão Alta</v>
      </c>
      <c r="W340" s="21" t="s">
        <v>99</v>
      </c>
      <c r="X340" s="42" t="str">
        <f t="shared" si="29"/>
        <v>Key-INTEL-340</v>
      </c>
      <c r="Y340" s="20" t="s">
        <v>94</v>
      </c>
      <c r="Z340" s="52" t="s">
        <v>9</v>
      </c>
      <c r="AA340" s="20" t="s">
        <v>96</v>
      </c>
      <c r="AB340" s="52" t="s">
        <v>9</v>
      </c>
      <c r="AC340" s="52" t="s">
        <v>9</v>
      </c>
      <c r="AD340" s="52" t="s">
        <v>9</v>
      </c>
    </row>
    <row r="341" spans="1:30" s="91" customFormat="1" ht="6.75" customHeight="1" x14ac:dyDescent="0.25">
      <c r="A341" s="41">
        <v>341</v>
      </c>
      <c r="B341" s="1" t="s">
        <v>665</v>
      </c>
      <c r="C341" s="46" t="s">
        <v>666</v>
      </c>
      <c r="D341" s="46" t="s">
        <v>719</v>
      </c>
      <c r="E341" s="46" t="s">
        <v>723</v>
      </c>
      <c r="F341" s="46" t="s">
        <v>669</v>
      </c>
      <c r="G341" s="45" t="s">
        <v>9</v>
      </c>
      <c r="H341" s="45" t="s">
        <v>9</v>
      </c>
      <c r="I341" s="45" t="s">
        <v>9</v>
      </c>
      <c r="J341" s="45" t="s">
        <v>9</v>
      </c>
      <c r="K341" s="45" t="s">
        <v>9</v>
      </c>
      <c r="L341" s="25" t="str">
        <f t="shared" si="27"/>
        <v>De.Elétrica</v>
      </c>
      <c r="M341" s="25" t="str">
        <f t="shared" si="27"/>
        <v>Tensões.Elétricas</v>
      </c>
      <c r="N341" s="25" t="str">
        <f t="shared" si="28"/>
        <v>Tensão Média</v>
      </c>
      <c r="O341" s="25" t="str">
        <f t="shared" si="28"/>
        <v>Elétrica MT</v>
      </c>
      <c r="P341" s="53" t="s">
        <v>701</v>
      </c>
      <c r="Q341" s="50" t="str">
        <f t="shared" ref="Q341:Q342" si="33">_xlfn.TRANSLATE(P341,"pt","es")</f>
        <v>Instalación eléctrica de media tensión (MV), con una tensión nominal generalmente entre 13,8 kV y 34,5 kV. Presente en la industria o en subestaciones.</v>
      </c>
      <c r="R341" s="50" t="str">
        <f t="shared" ref="R341:R342" si="34">_xlfn.TRANSLATE(P341,"pt","en")</f>
        <v>Medium voltage (MV) electrical installation, with a nominal voltage generally between 13.8 kV and 34.5 kV. Present in industry or substations.</v>
      </c>
      <c r="S341" s="55" t="s">
        <v>9</v>
      </c>
      <c r="T341" s="51" t="str">
        <f t="shared" si="30"/>
        <v>De Elétrica</v>
      </c>
      <c r="U341" s="51" t="str">
        <f t="shared" si="30"/>
        <v>Tensões Elétricas</v>
      </c>
      <c r="V341" s="51" t="str">
        <f t="shared" si="30"/>
        <v>Tensão Média</v>
      </c>
      <c r="W341" s="21" t="s">
        <v>99</v>
      </c>
      <c r="X341" s="42" t="str">
        <f t="shared" si="29"/>
        <v>Key-INTEL-341</v>
      </c>
      <c r="Y341" s="20" t="s">
        <v>94</v>
      </c>
      <c r="Z341" s="52" t="s">
        <v>9</v>
      </c>
      <c r="AA341" s="20" t="s">
        <v>96</v>
      </c>
      <c r="AB341" s="52" t="s">
        <v>9</v>
      </c>
      <c r="AC341" s="52" t="s">
        <v>9</v>
      </c>
      <c r="AD341" s="52" t="s">
        <v>9</v>
      </c>
    </row>
    <row r="342" spans="1:30" s="91" customFormat="1" ht="6.75" customHeight="1" x14ac:dyDescent="0.25">
      <c r="A342" s="41">
        <v>342</v>
      </c>
      <c r="B342" s="1" t="s">
        <v>665</v>
      </c>
      <c r="C342" s="46" t="s">
        <v>666</v>
      </c>
      <c r="D342" s="46" t="s">
        <v>719</v>
      </c>
      <c r="E342" s="46" t="s">
        <v>724</v>
      </c>
      <c r="F342" s="46" t="s">
        <v>668</v>
      </c>
      <c r="G342" s="45" t="s">
        <v>9</v>
      </c>
      <c r="H342" s="45" t="s">
        <v>9</v>
      </c>
      <c r="I342" s="45" t="s">
        <v>9</v>
      </c>
      <c r="J342" s="45" t="s">
        <v>9</v>
      </c>
      <c r="K342" s="45" t="s">
        <v>9</v>
      </c>
      <c r="L342" s="25" t="str">
        <f t="shared" si="27"/>
        <v>De.Elétrica</v>
      </c>
      <c r="M342" s="25" t="str">
        <f t="shared" si="27"/>
        <v>Tensões.Elétricas</v>
      </c>
      <c r="N342" s="25" t="str">
        <f t="shared" si="28"/>
        <v>Tensão Baixa</v>
      </c>
      <c r="O342" s="25" t="str">
        <f t="shared" si="28"/>
        <v>Elétrica BT</v>
      </c>
      <c r="P342" s="53" t="s">
        <v>702</v>
      </c>
      <c r="Q342" s="50" t="str">
        <f t="shared" si="33"/>
        <v>Instalación eléctrica de baja tensión (LV), con un voltaje nominal igual o inferior a 1 kV.</v>
      </c>
      <c r="R342" s="50" t="str">
        <f t="shared" si="34"/>
        <v>Low voltage (LV) electrical installation, with a nominal voltage equal to or less than 1 kV.</v>
      </c>
      <c r="S342" s="55" t="s">
        <v>9</v>
      </c>
      <c r="T342" s="51" t="str">
        <f t="shared" si="30"/>
        <v>De Elétrica</v>
      </c>
      <c r="U342" s="51" t="str">
        <f t="shared" si="30"/>
        <v>Tensões Elétricas</v>
      </c>
      <c r="V342" s="51" t="str">
        <f t="shared" si="30"/>
        <v>Tensão Baixa</v>
      </c>
      <c r="W342" s="21" t="s">
        <v>99</v>
      </c>
      <c r="X342" s="42" t="str">
        <f t="shared" si="29"/>
        <v>Key-INTEL-342</v>
      </c>
      <c r="Y342" s="20" t="s">
        <v>94</v>
      </c>
      <c r="Z342" s="52" t="s">
        <v>9</v>
      </c>
      <c r="AA342" s="20" t="s">
        <v>96</v>
      </c>
      <c r="AB342" s="52" t="s">
        <v>9</v>
      </c>
      <c r="AC342" s="52" t="s">
        <v>9</v>
      </c>
      <c r="AD342" s="52" t="s">
        <v>9</v>
      </c>
    </row>
    <row r="343" spans="1:30" s="91" customFormat="1" ht="6.75" customHeight="1" x14ac:dyDescent="0.25">
      <c r="A343" s="41">
        <v>343</v>
      </c>
      <c r="B343" s="1" t="s">
        <v>665</v>
      </c>
      <c r="C343" s="46" t="s">
        <v>666</v>
      </c>
      <c r="D343" s="46" t="s">
        <v>719</v>
      </c>
      <c r="E343" s="46" t="s">
        <v>721</v>
      </c>
      <c r="F343" s="46" t="s">
        <v>725</v>
      </c>
      <c r="G343" s="45" t="s">
        <v>9</v>
      </c>
      <c r="H343" s="45" t="s">
        <v>9</v>
      </c>
      <c r="I343" s="45" t="s">
        <v>9</v>
      </c>
      <c r="J343" s="45" t="s">
        <v>9</v>
      </c>
      <c r="K343" s="45" t="s">
        <v>9</v>
      </c>
      <c r="L343" s="25" t="str">
        <f t="shared" si="27"/>
        <v>De.Elétrica</v>
      </c>
      <c r="M343" s="25" t="str">
        <f t="shared" si="27"/>
        <v>Tensões.Elétricas</v>
      </c>
      <c r="N343" s="25" t="str">
        <f t="shared" si="28"/>
        <v>Circuitos de Elétrica</v>
      </c>
      <c r="O343" s="25" t="str">
        <f t="shared" si="28"/>
        <v>Conexão de Entrada</v>
      </c>
      <c r="P343" s="53" t="s">
        <v>707</v>
      </c>
      <c r="Q343" s="50" t="str">
        <f t="shared" ref="Q343:Q345" si="35">_xlfn.TRANSLATE(P343,"pt","es")</f>
        <v>Circuito de entrada para la conexión a la red energética urbana.</v>
      </c>
      <c r="R343" s="50" t="str">
        <f t="shared" ref="R343:R345" si="36">_xlfn.TRANSLATE(P343,"pt","en")</f>
        <v>Input circuit for connection to the urban energy network.</v>
      </c>
      <c r="S343" s="55" t="s">
        <v>9</v>
      </c>
      <c r="T343" s="51" t="str">
        <f t="shared" si="30"/>
        <v>De Elétrica</v>
      </c>
      <c r="U343" s="51" t="str">
        <f t="shared" si="30"/>
        <v>Tensões Elétricas</v>
      </c>
      <c r="V343" s="51" t="str">
        <f t="shared" si="30"/>
        <v>Circuitos de Elétrica</v>
      </c>
      <c r="W343" s="21" t="s">
        <v>99</v>
      </c>
      <c r="X343" s="42" t="str">
        <f t="shared" si="29"/>
        <v>Key-INTEL-343</v>
      </c>
      <c r="Y343" s="20" t="s">
        <v>94</v>
      </c>
      <c r="Z343" s="52" t="s">
        <v>9</v>
      </c>
      <c r="AA343" s="20" t="s">
        <v>96</v>
      </c>
      <c r="AB343" s="52" t="s">
        <v>9</v>
      </c>
      <c r="AC343" s="52" t="s">
        <v>9</v>
      </c>
      <c r="AD343" s="52" t="s">
        <v>9</v>
      </c>
    </row>
    <row r="344" spans="1:30" s="91" customFormat="1" ht="6.75" customHeight="1" x14ac:dyDescent="0.25">
      <c r="A344" s="41">
        <v>344</v>
      </c>
      <c r="B344" s="1" t="s">
        <v>665</v>
      </c>
      <c r="C344" s="46" t="s">
        <v>666</v>
      </c>
      <c r="D344" s="46" t="s">
        <v>719</v>
      </c>
      <c r="E344" s="46" t="s">
        <v>721</v>
      </c>
      <c r="F344" s="46" t="s">
        <v>706</v>
      </c>
      <c r="G344" s="45" t="s">
        <v>9</v>
      </c>
      <c r="H344" s="45" t="s">
        <v>9</v>
      </c>
      <c r="I344" s="45" t="s">
        <v>9</v>
      </c>
      <c r="J344" s="45" t="s">
        <v>9</v>
      </c>
      <c r="K344" s="45" t="s">
        <v>9</v>
      </c>
      <c r="L344" s="25" t="str">
        <f t="shared" si="27"/>
        <v>De.Elétrica</v>
      </c>
      <c r="M344" s="25" t="str">
        <f t="shared" si="27"/>
        <v>Tensões.Elétricas</v>
      </c>
      <c r="N344" s="25" t="str">
        <f t="shared" si="28"/>
        <v>Circuitos de Elétrica</v>
      </c>
      <c r="O344" s="25" t="str">
        <f t="shared" si="28"/>
        <v>Circuito Condomínio</v>
      </c>
      <c r="P344" s="53" t="s">
        <v>708</v>
      </c>
      <c r="Q344" s="50" t="str">
        <f t="shared" ref="Q344" si="37">_xlfn.TRANSLATE(P344,"pt","es")</f>
        <v>Circuito distribuidor de condominios.</v>
      </c>
      <c r="R344" s="50" t="str">
        <f t="shared" ref="R344" si="38">_xlfn.TRANSLATE(P344,"pt","en")</f>
        <v>Condominium distributor circuit.</v>
      </c>
      <c r="S344" s="55" t="s">
        <v>9</v>
      </c>
      <c r="T344" s="51" t="str">
        <f t="shared" si="30"/>
        <v>De Elétrica</v>
      </c>
      <c r="U344" s="51" t="str">
        <f t="shared" si="30"/>
        <v>Tensões Elétricas</v>
      </c>
      <c r="V344" s="51" t="str">
        <f t="shared" si="30"/>
        <v>Circuitos de Elétrica</v>
      </c>
      <c r="W344" s="21" t="s">
        <v>99</v>
      </c>
      <c r="X344" s="42" t="str">
        <f t="shared" si="29"/>
        <v>Key-INTEL-344</v>
      </c>
      <c r="Y344" s="20" t="s">
        <v>94</v>
      </c>
      <c r="Z344" s="52" t="s">
        <v>9</v>
      </c>
      <c r="AA344" s="20" t="s">
        <v>96</v>
      </c>
      <c r="AB344" s="52" t="s">
        <v>9</v>
      </c>
      <c r="AC344" s="52" t="s">
        <v>9</v>
      </c>
      <c r="AD344" s="52" t="s">
        <v>9</v>
      </c>
    </row>
    <row r="345" spans="1:30" s="91" customFormat="1" ht="6.75" customHeight="1" x14ac:dyDescent="0.25">
      <c r="A345" s="41">
        <v>345</v>
      </c>
      <c r="B345" s="1" t="s">
        <v>665</v>
      </c>
      <c r="C345" s="46" t="s">
        <v>666</v>
      </c>
      <c r="D345" s="46" t="s">
        <v>719</v>
      </c>
      <c r="E345" s="46" t="s">
        <v>721</v>
      </c>
      <c r="F345" s="46" t="s">
        <v>712</v>
      </c>
      <c r="G345" s="45" t="s">
        <v>9</v>
      </c>
      <c r="H345" s="45" t="s">
        <v>9</v>
      </c>
      <c r="I345" s="45" t="s">
        <v>9</v>
      </c>
      <c r="J345" s="45" t="s">
        <v>9</v>
      </c>
      <c r="K345" s="45" t="s">
        <v>9</v>
      </c>
      <c r="L345" s="25" t="str">
        <f t="shared" si="27"/>
        <v>De.Elétrica</v>
      </c>
      <c r="M345" s="25" t="str">
        <f t="shared" si="27"/>
        <v>Tensões.Elétricas</v>
      </c>
      <c r="N345" s="25" t="str">
        <f t="shared" si="28"/>
        <v>Circuitos de Elétrica</v>
      </c>
      <c r="O345" s="25" t="str">
        <f t="shared" si="28"/>
        <v>Circuito Unidade</v>
      </c>
      <c r="P345" s="53" t="s">
        <v>755</v>
      </c>
      <c r="Q345" s="50" t="str">
        <f t="shared" si="35"/>
        <v>Circuito distribuidor de la unidad residencial.</v>
      </c>
      <c r="R345" s="50" t="str">
        <f t="shared" si="36"/>
        <v>Residential unit distributor circuit.</v>
      </c>
      <c r="S345" s="55" t="s">
        <v>9</v>
      </c>
      <c r="T345" s="51" t="str">
        <f t="shared" si="30"/>
        <v>De Elétrica</v>
      </c>
      <c r="U345" s="51" t="str">
        <f t="shared" si="30"/>
        <v>Tensões Elétricas</v>
      </c>
      <c r="V345" s="51" t="str">
        <f t="shared" si="30"/>
        <v>Circuitos de Elétrica</v>
      </c>
      <c r="W345" s="21" t="s">
        <v>99</v>
      </c>
      <c r="X345" s="42" t="str">
        <f t="shared" si="29"/>
        <v>Key-INTEL-345</v>
      </c>
      <c r="Y345" s="20" t="s">
        <v>94</v>
      </c>
      <c r="Z345" s="52" t="s">
        <v>9</v>
      </c>
      <c r="AA345" s="20" t="s">
        <v>96</v>
      </c>
      <c r="AB345" s="52" t="s">
        <v>9</v>
      </c>
      <c r="AC345" s="52" t="s">
        <v>9</v>
      </c>
      <c r="AD345" s="52" t="s">
        <v>9</v>
      </c>
    </row>
    <row r="346" spans="1:30" s="91" customFormat="1" ht="6.75" customHeight="1" x14ac:dyDescent="0.25">
      <c r="A346" s="41">
        <v>346</v>
      </c>
      <c r="B346" s="1" t="s">
        <v>665</v>
      </c>
      <c r="C346" s="46" t="s">
        <v>666</v>
      </c>
      <c r="D346" s="46" t="s">
        <v>719</v>
      </c>
      <c r="E346" s="46" t="s">
        <v>720</v>
      </c>
      <c r="F346" s="46" t="s">
        <v>718</v>
      </c>
      <c r="G346" s="45" t="s">
        <v>9</v>
      </c>
      <c r="H346" s="45" t="s">
        <v>9</v>
      </c>
      <c r="I346" s="45" t="s">
        <v>9</v>
      </c>
      <c r="J346" s="45" t="s">
        <v>9</v>
      </c>
      <c r="K346" s="45" t="s">
        <v>9</v>
      </c>
      <c r="L346" s="25" t="str">
        <f t="shared" si="27"/>
        <v>De.Elétrica</v>
      </c>
      <c r="M346" s="25" t="str">
        <f t="shared" si="27"/>
        <v>Tensões.Elétricas</v>
      </c>
      <c r="N346" s="25" t="str">
        <f t="shared" si="28"/>
        <v>Pontos de Elétrica</v>
      </c>
      <c r="O346" s="25" t="str">
        <f t="shared" si="28"/>
        <v>Ponto de Luz</v>
      </c>
      <c r="P346" s="53" t="s">
        <v>709</v>
      </c>
      <c r="Q346" s="50" t="str">
        <f t="shared" ref="Q346" si="39">_xlfn.TRANSLATE(P346,"pt","es")</f>
        <v>Circuito de iluminación de una unidad residencial o comercial.</v>
      </c>
      <c r="R346" s="50" t="str">
        <f t="shared" ref="R346" si="40">_xlfn.TRANSLATE(P346,"pt","en")</f>
        <v>Lighting circuit of a residential or commercial unit.</v>
      </c>
      <c r="S346" s="55" t="s">
        <v>9</v>
      </c>
      <c r="T346" s="51" t="str">
        <f t="shared" si="30"/>
        <v>De Elétrica</v>
      </c>
      <c r="U346" s="51" t="str">
        <f t="shared" si="30"/>
        <v>Tensões Elétricas</v>
      </c>
      <c r="V346" s="51" t="str">
        <f t="shared" si="30"/>
        <v>Pontos de Elétrica</v>
      </c>
      <c r="W346" s="21" t="s">
        <v>99</v>
      </c>
      <c r="X346" s="42" t="str">
        <f t="shared" si="29"/>
        <v>Key-INTEL-346</v>
      </c>
      <c r="Y346" s="20" t="s">
        <v>94</v>
      </c>
      <c r="Z346" s="52" t="s">
        <v>9</v>
      </c>
      <c r="AA346" s="20" t="s">
        <v>95</v>
      </c>
      <c r="AB346" s="52" t="s">
        <v>9</v>
      </c>
      <c r="AC346" s="52" t="s">
        <v>9</v>
      </c>
      <c r="AD346" s="52" t="s">
        <v>9</v>
      </c>
    </row>
    <row r="347" spans="1:30" s="91" customFormat="1" ht="6.75" customHeight="1" x14ac:dyDescent="0.25">
      <c r="A347" s="41">
        <v>347</v>
      </c>
      <c r="B347" s="1" t="s">
        <v>665</v>
      </c>
      <c r="C347" s="46" t="s">
        <v>666</v>
      </c>
      <c r="D347" s="46" t="s">
        <v>719</v>
      </c>
      <c r="E347" s="46" t="s">
        <v>720</v>
      </c>
      <c r="F347" s="46" t="s">
        <v>704</v>
      </c>
      <c r="G347" s="45" t="s">
        <v>9</v>
      </c>
      <c r="H347" s="45" t="s">
        <v>9</v>
      </c>
      <c r="I347" s="45" t="s">
        <v>9</v>
      </c>
      <c r="J347" s="45" t="s">
        <v>9</v>
      </c>
      <c r="K347" s="45" t="s">
        <v>9</v>
      </c>
      <c r="L347" s="25" t="str">
        <f t="shared" si="27"/>
        <v>De.Elétrica</v>
      </c>
      <c r="M347" s="25" t="str">
        <f t="shared" si="27"/>
        <v>Tensões.Elétricas</v>
      </c>
      <c r="N347" s="25" t="str">
        <f t="shared" si="28"/>
        <v>Pontos de Elétrica</v>
      </c>
      <c r="O347" s="25" t="str">
        <f t="shared" si="28"/>
        <v>Tomada TUE</v>
      </c>
      <c r="P347" s="53" t="s">
        <v>710</v>
      </c>
      <c r="Q347" s="50" t="str">
        <f t="shared" ref="Q347:Q348" si="41">_xlfn.TRANSLATE(P347,"pt","es")</f>
        <v>Circuito de uso específico (duchas, aire acondicionado, etc.) de una unidad residencial o comercial.</v>
      </c>
      <c r="R347" s="50" t="str">
        <f t="shared" ref="R347:R348" si="42">_xlfn.TRANSLATE(P347,"pt","en")</f>
        <v>Circuit of specific use sockets (Showers, Air conditioning, etc.) of a residential or commercial unit.</v>
      </c>
      <c r="S347" s="55" t="s">
        <v>9</v>
      </c>
      <c r="T347" s="51" t="str">
        <f t="shared" si="30"/>
        <v>De Elétrica</v>
      </c>
      <c r="U347" s="51" t="str">
        <f t="shared" si="30"/>
        <v>Tensões Elétricas</v>
      </c>
      <c r="V347" s="51" t="str">
        <f t="shared" si="30"/>
        <v>Pontos de Elétrica</v>
      </c>
      <c r="W347" s="21" t="s">
        <v>99</v>
      </c>
      <c r="X347" s="42" t="str">
        <f t="shared" si="29"/>
        <v>Key-INTEL-347</v>
      </c>
      <c r="Y347" s="20" t="s">
        <v>94</v>
      </c>
      <c r="Z347" s="52" t="s">
        <v>9</v>
      </c>
      <c r="AA347" s="20" t="s">
        <v>96</v>
      </c>
      <c r="AB347" s="52" t="s">
        <v>9</v>
      </c>
      <c r="AC347" s="52" t="s">
        <v>9</v>
      </c>
      <c r="AD347" s="52" t="s">
        <v>9</v>
      </c>
    </row>
    <row r="348" spans="1:30" s="91" customFormat="1" ht="6.75" customHeight="1" x14ac:dyDescent="0.25">
      <c r="A348" s="41">
        <v>348</v>
      </c>
      <c r="B348" s="1" t="s">
        <v>665</v>
      </c>
      <c r="C348" s="46" t="s">
        <v>666</v>
      </c>
      <c r="D348" s="46" t="s">
        <v>719</v>
      </c>
      <c r="E348" s="46" t="s">
        <v>720</v>
      </c>
      <c r="F348" s="46" t="s">
        <v>705</v>
      </c>
      <c r="G348" s="45" t="s">
        <v>9</v>
      </c>
      <c r="H348" s="45" t="s">
        <v>9</v>
      </c>
      <c r="I348" s="45" t="s">
        <v>9</v>
      </c>
      <c r="J348" s="45" t="s">
        <v>9</v>
      </c>
      <c r="K348" s="45" t="s">
        <v>9</v>
      </c>
      <c r="L348" s="25" t="str">
        <f t="shared" si="27"/>
        <v>De.Elétrica</v>
      </c>
      <c r="M348" s="25" t="str">
        <f t="shared" si="27"/>
        <v>Tensões.Elétricas</v>
      </c>
      <c r="N348" s="25" t="str">
        <f t="shared" si="28"/>
        <v>Pontos de Elétrica</v>
      </c>
      <c r="O348" s="25" t="str">
        <f t="shared" si="28"/>
        <v>Tomada TUG</v>
      </c>
      <c r="P348" s="53" t="s">
        <v>711</v>
      </c>
      <c r="Q348" s="50" t="str">
        <f t="shared" si="41"/>
        <v>Un circuito de enchufes de uso general (electrodomésticos) de una unidad residencial o comercial.</v>
      </c>
      <c r="R348" s="50" t="str">
        <f t="shared" si="42"/>
        <v>A circuit of general purpose outlets (household appliances) of a residential or commercial unit.</v>
      </c>
      <c r="S348" s="55" t="s">
        <v>9</v>
      </c>
      <c r="T348" s="51" t="str">
        <f t="shared" si="30"/>
        <v>De Elétrica</v>
      </c>
      <c r="U348" s="51" t="str">
        <f t="shared" si="30"/>
        <v>Tensões Elétricas</v>
      </c>
      <c r="V348" s="51" t="str">
        <f t="shared" si="30"/>
        <v>Pontos de Elétrica</v>
      </c>
      <c r="W348" s="21" t="s">
        <v>99</v>
      </c>
      <c r="X348" s="42" t="str">
        <f t="shared" si="29"/>
        <v>Key-INTEL-348</v>
      </c>
      <c r="Y348" s="20" t="s">
        <v>94</v>
      </c>
      <c r="Z348" s="52" t="s">
        <v>9</v>
      </c>
      <c r="AA348" s="20" t="s">
        <v>96</v>
      </c>
      <c r="AB348" s="52" t="s">
        <v>9</v>
      </c>
      <c r="AC348" s="52" t="s">
        <v>9</v>
      </c>
      <c r="AD348" s="52" t="s">
        <v>9</v>
      </c>
    </row>
    <row r="349" spans="1:30" s="91" customFormat="1" ht="6.75" customHeight="1" x14ac:dyDescent="0.25">
      <c r="A349" s="41">
        <v>349</v>
      </c>
      <c r="B349" s="1" t="s">
        <v>1809</v>
      </c>
      <c r="C349" s="46" t="s">
        <v>1810</v>
      </c>
      <c r="D349" s="46" t="s">
        <v>1811</v>
      </c>
      <c r="E349" s="46" t="s">
        <v>1812</v>
      </c>
      <c r="F349" s="46" t="s">
        <v>735</v>
      </c>
      <c r="G349" s="45" t="s">
        <v>9</v>
      </c>
      <c r="H349" s="45" t="s">
        <v>9</v>
      </c>
      <c r="I349" s="45" t="s">
        <v>9</v>
      </c>
      <c r="J349" s="45" t="s">
        <v>9</v>
      </c>
      <c r="K349" s="45" t="s">
        <v>9</v>
      </c>
      <c r="L349" s="25" t="str">
        <f t="shared" si="27"/>
        <v>API.Plataforma</v>
      </c>
      <c r="M349" s="25" t="str">
        <f t="shared" si="27"/>
        <v>API.Macros</v>
      </c>
      <c r="N349" s="25" t="str">
        <f t="shared" si="28"/>
        <v>API Método</v>
      </c>
      <c r="O349" s="25" t="str">
        <f t="shared" si="28"/>
        <v>Função Auxiliar</v>
      </c>
      <c r="P349" s="21" t="s">
        <v>736</v>
      </c>
      <c r="Q349" s="21" t="s">
        <v>737</v>
      </c>
      <c r="R349" s="21" t="s">
        <v>738</v>
      </c>
      <c r="S349" s="55" t="s">
        <v>9</v>
      </c>
      <c r="T349" s="51" t="str">
        <f t="shared" si="30"/>
        <v>API Plataforma</v>
      </c>
      <c r="U349" s="51" t="str">
        <f t="shared" si="30"/>
        <v>API Macros</v>
      </c>
      <c r="V349" s="51" t="str">
        <f t="shared" si="30"/>
        <v>API Método</v>
      </c>
      <c r="W349" s="21" t="s">
        <v>99</v>
      </c>
      <c r="X349" s="42" t="str">
        <f t="shared" si="29"/>
        <v>Key-INTEL-349</v>
      </c>
      <c r="Y349" s="52" t="s">
        <v>9</v>
      </c>
      <c r="Z349" s="52" t="s">
        <v>9</v>
      </c>
      <c r="AA349" s="52" t="s">
        <v>9</v>
      </c>
      <c r="AB349" s="52" t="s">
        <v>9</v>
      </c>
      <c r="AC349" s="52" t="s">
        <v>9</v>
      </c>
      <c r="AD349" s="52" t="s">
        <v>9</v>
      </c>
    </row>
    <row r="350" spans="1:30" s="91" customFormat="1" ht="6.75" customHeight="1" x14ac:dyDescent="0.25">
      <c r="A350" s="41">
        <v>350</v>
      </c>
      <c r="B350" s="1" t="s">
        <v>1809</v>
      </c>
      <c r="C350" s="46" t="s">
        <v>1810</v>
      </c>
      <c r="D350" s="46" t="s">
        <v>1811</v>
      </c>
      <c r="E350" s="46" t="s">
        <v>1812</v>
      </c>
      <c r="F350" s="46" t="s">
        <v>739</v>
      </c>
      <c r="G350" s="45" t="s">
        <v>9</v>
      </c>
      <c r="H350" s="45" t="s">
        <v>9</v>
      </c>
      <c r="I350" s="45" t="s">
        <v>9</v>
      </c>
      <c r="J350" s="45" t="s">
        <v>9</v>
      </c>
      <c r="K350" s="45" t="s">
        <v>9</v>
      </c>
      <c r="L350" s="25" t="str">
        <f t="shared" si="27"/>
        <v>API.Plataforma</v>
      </c>
      <c r="M350" s="25" t="str">
        <f t="shared" si="27"/>
        <v>API.Macros</v>
      </c>
      <c r="N350" s="25" t="str">
        <f t="shared" si="28"/>
        <v>API Método</v>
      </c>
      <c r="O350" s="25" t="str">
        <f t="shared" si="28"/>
        <v>Função Global</v>
      </c>
      <c r="P350" s="21" t="s">
        <v>740</v>
      </c>
      <c r="Q350" s="21" t="s">
        <v>741</v>
      </c>
      <c r="R350" s="21" t="s">
        <v>742</v>
      </c>
      <c r="S350" s="55" t="s">
        <v>9</v>
      </c>
      <c r="T350" s="51" t="str">
        <f t="shared" si="30"/>
        <v>API Plataforma</v>
      </c>
      <c r="U350" s="51" t="str">
        <f t="shared" si="30"/>
        <v>API Macros</v>
      </c>
      <c r="V350" s="51" t="str">
        <f t="shared" si="30"/>
        <v>API Método</v>
      </c>
      <c r="W350" s="21" t="s">
        <v>99</v>
      </c>
      <c r="X350" s="42" t="str">
        <f t="shared" si="29"/>
        <v>Key-INTEL-350</v>
      </c>
      <c r="Y350" s="52" t="s">
        <v>9</v>
      </c>
      <c r="Z350" s="52" t="s">
        <v>9</v>
      </c>
      <c r="AA350" s="52" t="s">
        <v>9</v>
      </c>
      <c r="AB350" s="52" t="s">
        <v>9</v>
      </c>
      <c r="AC350" s="52" t="s">
        <v>9</v>
      </c>
      <c r="AD350" s="52" t="s">
        <v>9</v>
      </c>
    </row>
    <row r="351" spans="1:30" s="91" customFormat="1" ht="6.75" customHeight="1" x14ac:dyDescent="0.25">
      <c r="A351" s="41">
        <v>351</v>
      </c>
      <c r="B351" s="1" t="s">
        <v>1809</v>
      </c>
      <c r="C351" s="46" t="s">
        <v>1810</v>
      </c>
      <c r="D351" s="46" t="s">
        <v>1811</v>
      </c>
      <c r="E351" s="46" t="s">
        <v>1812</v>
      </c>
      <c r="F351" s="46" t="s">
        <v>743</v>
      </c>
      <c r="G351" s="45" t="s">
        <v>9</v>
      </c>
      <c r="H351" s="45" t="s">
        <v>9</v>
      </c>
      <c r="I351" s="45" t="s">
        <v>9</v>
      </c>
      <c r="J351" s="45" t="s">
        <v>9</v>
      </c>
      <c r="K351" s="45" t="s">
        <v>9</v>
      </c>
      <c r="L351" s="25" t="str">
        <f t="shared" si="27"/>
        <v>API.Plataforma</v>
      </c>
      <c r="M351" s="25" t="str">
        <f t="shared" si="27"/>
        <v>API.Macros</v>
      </c>
      <c r="N351" s="25" t="str">
        <f t="shared" si="28"/>
        <v>API Método</v>
      </c>
      <c r="O351" s="25" t="str">
        <f t="shared" si="28"/>
        <v>Função Local</v>
      </c>
      <c r="P351" s="21" t="s">
        <v>744</v>
      </c>
      <c r="Q351" s="21" t="s">
        <v>745</v>
      </c>
      <c r="R351" s="21" t="s">
        <v>746</v>
      </c>
      <c r="S351" s="55" t="s">
        <v>9</v>
      </c>
      <c r="T351" s="51" t="str">
        <f t="shared" si="30"/>
        <v>API Plataforma</v>
      </c>
      <c r="U351" s="51" t="str">
        <f t="shared" si="30"/>
        <v>API Macros</v>
      </c>
      <c r="V351" s="51" t="str">
        <f t="shared" si="30"/>
        <v>API Método</v>
      </c>
      <c r="W351" s="21" t="s">
        <v>99</v>
      </c>
      <c r="X351" s="42" t="str">
        <f t="shared" si="29"/>
        <v>Key-INTEL-351</v>
      </c>
      <c r="Y351" s="52" t="s">
        <v>9</v>
      </c>
      <c r="Z351" s="52" t="s">
        <v>9</v>
      </c>
      <c r="AA351" s="52" t="s">
        <v>9</v>
      </c>
      <c r="AB351" s="52" t="s">
        <v>9</v>
      </c>
      <c r="AC351" s="52" t="s">
        <v>9</v>
      </c>
      <c r="AD351" s="52" t="s">
        <v>9</v>
      </c>
    </row>
    <row r="352" spans="1:30" s="91" customFormat="1" ht="6.75" customHeight="1" x14ac:dyDescent="0.25">
      <c r="A352" s="41">
        <v>352</v>
      </c>
      <c r="B352" s="1" t="s">
        <v>1809</v>
      </c>
      <c r="C352" s="46" t="s">
        <v>1810</v>
      </c>
      <c r="D352" s="46" t="s">
        <v>1811</v>
      </c>
      <c r="E352" s="46" t="s">
        <v>1812</v>
      </c>
      <c r="F352" s="46" t="s">
        <v>747</v>
      </c>
      <c r="G352" s="45" t="s">
        <v>9</v>
      </c>
      <c r="H352" s="45" t="s">
        <v>9</v>
      </c>
      <c r="I352" s="45" t="s">
        <v>9</v>
      </c>
      <c r="J352" s="45" t="s">
        <v>9</v>
      </c>
      <c r="K352" s="45" t="s">
        <v>9</v>
      </c>
      <c r="L352" s="25" t="str">
        <f t="shared" si="27"/>
        <v>API.Plataforma</v>
      </c>
      <c r="M352" s="25" t="str">
        <f t="shared" si="27"/>
        <v>API.Macros</v>
      </c>
      <c r="N352" s="25" t="str">
        <f t="shared" si="28"/>
        <v>API Método</v>
      </c>
      <c r="O352" s="25" t="str">
        <f t="shared" si="28"/>
        <v>Função Filtro</v>
      </c>
      <c r="P352" s="21" t="s">
        <v>748</v>
      </c>
      <c r="Q352" s="21" t="s">
        <v>749</v>
      </c>
      <c r="R352" s="21" t="s">
        <v>750</v>
      </c>
      <c r="S352" s="55" t="s">
        <v>9</v>
      </c>
      <c r="T352" s="51" t="str">
        <f t="shared" si="30"/>
        <v>API Plataforma</v>
      </c>
      <c r="U352" s="51" t="str">
        <f t="shared" si="30"/>
        <v>API Macros</v>
      </c>
      <c r="V352" s="51" t="str">
        <f t="shared" si="30"/>
        <v>API Método</v>
      </c>
      <c r="W352" s="21" t="s">
        <v>99</v>
      </c>
      <c r="X352" s="42" t="str">
        <f t="shared" si="29"/>
        <v>Key-INTEL-352</v>
      </c>
      <c r="Y352" s="52" t="s">
        <v>9</v>
      </c>
      <c r="Z352" s="52" t="s">
        <v>9</v>
      </c>
      <c r="AA352" s="52" t="s">
        <v>9</v>
      </c>
      <c r="AB352" s="52" t="s">
        <v>9</v>
      </c>
      <c r="AC352" s="52" t="s">
        <v>9</v>
      </c>
      <c r="AD352" s="52" t="s">
        <v>9</v>
      </c>
    </row>
    <row r="353" spans="1:30" s="91" customFormat="1" ht="6.75" customHeight="1" x14ac:dyDescent="0.25">
      <c r="A353" s="41">
        <v>353</v>
      </c>
      <c r="B353" s="1" t="s">
        <v>1809</v>
      </c>
      <c r="C353" s="46" t="s">
        <v>1810</v>
      </c>
      <c r="D353" s="46" t="s">
        <v>1814</v>
      </c>
      <c r="E353" s="46" t="s">
        <v>1813</v>
      </c>
      <c r="F353" s="46" t="s">
        <v>751</v>
      </c>
      <c r="G353" s="45" t="s">
        <v>9</v>
      </c>
      <c r="H353" s="45" t="s">
        <v>9</v>
      </c>
      <c r="I353" s="45" t="s">
        <v>9</v>
      </c>
      <c r="J353" s="45" t="s">
        <v>9</v>
      </c>
      <c r="K353" s="45" t="s">
        <v>9</v>
      </c>
      <c r="L353" s="25" t="str">
        <f t="shared" si="27"/>
        <v>API.Plataforma</v>
      </c>
      <c r="M353" s="25" t="str">
        <f t="shared" si="27"/>
        <v>API.Macros.Visuais</v>
      </c>
      <c r="N353" s="25" t="str">
        <f t="shared" si="28"/>
        <v>API Método Visual</v>
      </c>
      <c r="O353" s="25" t="str">
        <f t="shared" si="28"/>
        <v>Bloco de Código</v>
      </c>
      <c r="P353" s="21" t="s">
        <v>752</v>
      </c>
      <c r="Q353" s="21" t="s">
        <v>753</v>
      </c>
      <c r="R353" s="21" t="s">
        <v>754</v>
      </c>
      <c r="S353" s="55" t="s">
        <v>9</v>
      </c>
      <c r="T353" s="51" t="str">
        <f t="shared" si="30"/>
        <v>API Plataforma</v>
      </c>
      <c r="U353" s="51" t="str">
        <f t="shared" si="30"/>
        <v>API Macros Visuais</v>
      </c>
      <c r="V353" s="51" t="str">
        <f t="shared" si="30"/>
        <v>API Método Visual</v>
      </c>
      <c r="W353" s="21" t="s">
        <v>99</v>
      </c>
      <c r="X353" s="42" t="str">
        <f t="shared" si="29"/>
        <v>Key-INTEL-353</v>
      </c>
      <c r="Y353" s="52" t="s">
        <v>9</v>
      </c>
      <c r="Z353" s="52" t="s">
        <v>9</v>
      </c>
      <c r="AA353" s="52" t="s">
        <v>9</v>
      </c>
      <c r="AB353" s="52" t="s">
        <v>9</v>
      </c>
      <c r="AC353" s="52" t="s">
        <v>9</v>
      </c>
      <c r="AD353" s="52" t="s">
        <v>9</v>
      </c>
    </row>
  </sheetData>
  <sortState xmlns:xlrd2="http://schemas.microsoft.com/office/spreadsheetml/2017/richdata2" ref="A83:AC418">
    <sortCondition ref="F83:F418"/>
  </sortState>
  <phoneticPr fontId="1" type="noConversion"/>
  <conditionalFormatting sqref="A2:A353">
    <cfRule type="cellIs" dxfId="25" priority="16" operator="equal">
      <formula>"null"</formula>
    </cfRule>
  </conditionalFormatting>
  <conditionalFormatting sqref="E80:E82">
    <cfRule type="cellIs" dxfId="24" priority="15" operator="equal">
      <formula>"null"</formula>
    </cfRule>
  </conditionalFormatting>
  <conditionalFormatting sqref="F2:F82">
    <cfRule type="duplicateValues" dxfId="23" priority="1"/>
  </conditionalFormatting>
  <conditionalFormatting sqref="F83:F1048576 F1">
    <cfRule type="duplicateValues" dxfId="22" priority="166"/>
  </conditionalFormatting>
  <conditionalFormatting sqref="F83:F1048576">
    <cfRule type="duplicateValues" dxfId="21" priority="183"/>
  </conditionalFormatting>
  <conditionalFormatting sqref="P61:P64">
    <cfRule type="cellIs" dxfId="20" priority="10" operator="equal">
      <formula>"null"</formula>
    </cfRule>
  </conditionalFormatting>
  <conditionalFormatting sqref="P70:P73 AE70:XFD73 P75:P82 AE75:XFD82">
    <cfRule type="cellIs" dxfId="19" priority="13" operator="equal">
      <formula>"null"</formula>
    </cfRule>
  </conditionalFormatting>
  <conditionalFormatting sqref="Q7:Q8 Y7:Y8 AA7:AA8">
    <cfRule type="cellIs" dxfId="18" priority="3" operator="equal">
      <formula>"null"</formula>
    </cfRule>
  </conditionalFormatting>
  <conditionalFormatting sqref="R2:R13 B2:B82">
    <cfRule type="cellIs" dxfId="17" priority="4" operator="equal">
      <formula>"null"</formula>
    </cfRule>
  </conditionalFormatting>
  <conditionalFormatting sqref="R25:R60 Y39:Y60">
    <cfRule type="cellIs" dxfId="16" priority="9" operator="equal">
      <formula>"null"</formula>
    </cfRule>
  </conditionalFormatting>
  <conditionalFormatting sqref="R65:R82">
    <cfRule type="cellIs" dxfId="15" priority="6" operator="equal">
      <formula>"null"</formula>
    </cfRule>
  </conditionalFormatting>
  <conditionalFormatting sqref="Y2:Y6 AA2:AA6 AC2:AC6 Y9:Y15 AC9:AC36 Y25:Y36 AC74">
    <cfRule type="cellIs" dxfId="14" priority="14" operator="equal">
      <formula>"null"</formula>
    </cfRule>
  </conditionalFormatting>
  <conditionalFormatting sqref="Y74">
    <cfRule type="cellIs" dxfId="13" priority="5" operator="equal">
      <formula>"null"</formula>
    </cfRule>
  </conditionalFormatting>
  <conditionalFormatting sqref="AA9:AA82">
    <cfRule type="cellIs" dxfId="12" priority="8" operator="equal">
      <formula>"null"</formula>
    </cfRule>
  </conditionalFormatting>
  <conditionalFormatting sqref="AC7:AC8">
    <cfRule type="cellIs" dxfId="11" priority="2" operator="equal">
      <formula>"null"</formula>
    </cfRule>
  </conditionalFormatting>
  <conditionalFormatting sqref="AC39:AC60">
    <cfRule type="cellIs" dxfId="10" priority="7" operator="equal">
      <formula>"null"</formula>
    </cfRule>
  </conditionalFormatting>
  <conditionalFormatting sqref="AC65:AC69 Y66 Y69">
    <cfRule type="cellIs" dxfId="9" priority="12" operator="equal">
      <formula>"null"</formula>
    </cfRule>
  </conditionalFormatting>
  <conditionalFormatting sqref="AE61:XFD64">
    <cfRule type="cellIs" dxfId="8" priority="11" operator="equal">
      <formula>"null"</formula>
    </cfRule>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2"/>
  <sheetViews>
    <sheetView zoomScale="180" zoomScaleNormal="180" workbookViewId="0">
      <selection activeCell="C17" sqref="C17"/>
    </sheetView>
  </sheetViews>
  <sheetFormatPr defaultColWidth="11.140625" defaultRowHeight="8.25" x14ac:dyDescent="0.15"/>
  <cols>
    <col min="1" max="1" width="2.85546875" style="9" customWidth="1"/>
    <col min="2" max="10" width="6.5703125" style="10" customWidth="1"/>
    <col min="11" max="21" width="6.5703125" style="8" customWidth="1"/>
    <col min="22" max="16384" width="11.140625" style="8"/>
  </cols>
  <sheetData>
    <row r="1" spans="1:21" s="4" customFormat="1" ht="16.5" x14ac:dyDescent="0.15">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15">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sheetData>
  <conditionalFormatting sqref="A1:XFD1048576">
    <cfRule type="cellIs" dxfId="7"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5"/>
  <dimension ref="A1:G2"/>
  <sheetViews>
    <sheetView zoomScale="280" zoomScaleNormal="280" workbookViewId="0">
      <pane ySplit="1" topLeftCell="A2" activePane="bottomLeft" state="frozen"/>
      <selection activeCell="B1" sqref="B1"/>
      <selection pane="bottomLeft" activeCell="E7" sqref="E7"/>
    </sheetView>
  </sheetViews>
  <sheetFormatPr defaultColWidth="9.140625" defaultRowHeight="8.25" customHeight="1" x14ac:dyDescent="0.25"/>
  <cols>
    <col min="1" max="1" width="2.140625" style="17" customWidth="1"/>
    <col min="2" max="2" width="5.85546875" style="16" bestFit="1" customWidth="1"/>
    <col min="3" max="3" width="11.28515625" style="16" bestFit="1" customWidth="1"/>
    <col min="4" max="7" width="10.85546875" style="16" bestFit="1" customWidth="1"/>
  </cols>
  <sheetData>
    <row r="1" spans="1:7" ht="33" customHeight="1" x14ac:dyDescent="0.25">
      <c r="A1" s="22">
        <v>0</v>
      </c>
      <c r="B1" s="18" t="s">
        <v>70</v>
      </c>
      <c r="C1" s="19" t="s">
        <v>71</v>
      </c>
      <c r="D1" s="19" t="s">
        <v>72</v>
      </c>
      <c r="E1" s="19" t="s">
        <v>72</v>
      </c>
      <c r="F1" s="19" t="s">
        <v>72</v>
      </c>
      <c r="G1" s="19" t="s">
        <v>72</v>
      </c>
    </row>
    <row r="2" spans="1:7" ht="8.25" customHeight="1" x14ac:dyDescent="0.25">
      <c r="A2" s="23">
        <v>2</v>
      </c>
      <c r="B2" s="21" t="s">
        <v>9</v>
      </c>
      <c r="C2" s="21" t="s">
        <v>9</v>
      </c>
      <c r="D2" s="21" t="s">
        <v>9</v>
      </c>
      <c r="E2" s="21" t="s">
        <v>9</v>
      </c>
      <c r="F2" s="21" t="s">
        <v>9</v>
      </c>
      <c r="G2" s="21" t="s">
        <v>9</v>
      </c>
    </row>
  </sheetData>
  <sortState xmlns:xlrd2="http://schemas.microsoft.com/office/spreadsheetml/2017/richdata2" ref="A2:G2">
    <sortCondition ref="A1:A2"/>
  </sortState>
  <phoneticPr fontId="1" type="noConversion"/>
  <conditionalFormatting sqref="A1:G1 B3:G1048576">
    <cfRule type="containsText" dxfId="6" priority="5" operator="containsText" text="null">
      <formula>NOT(ISERROR(SEARCH("null",A1)))</formula>
    </cfRule>
  </conditionalFormatting>
  <conditionalFormatting sqref="B2">
    <cfRule type="duplicateValues" dxfId="5" priority="1449"/>
    <cfRule type="duplicateValues" dxfId="4" priority="1450"/>
  </conditionalFormatting>
  <conditionalFormatting sqref="B3:B1048576 A1:B1">
    <cfRule type="duplicateValues" dxfId="3" priority="6"/>
  </conditionalFormatting>
  <conditionalFormatting sqref="B3:B1048576 B1">
    <cfRule type="duplicateValues" dxfId="2" priority="4"/>
  </conditionalFormatting>
  <conditionalFormatting sqref="B2:G2">
    <cfRule type="containsText" dxfId="1"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525-EDFB-44CB-9009-6752AEDD7340}">
  <sheetPr codeName="Planilha4"/>
  <dimension ref="A1:AG34"/>
  <sheetViews>
    <sheetView tabSelected="1" zoomScale="190" zoomScaleNormal="190" workbookViewId="0">
      <selection activeCell="K6" sqref="K6"/>
    </sheetView>
  </sheetViews>
  <sheetFormatPr defaultColWidth="11.5703125" defaultRowHeight="7.5" customHeight="1" x14ac:dyDescent="0.25"/>
  <cols>
    <col min="1" max="1" width="3" customWidth="1"/>
    <col min="2" max="2" width="9" bestFit="1" customWidth="1"/>
    <col min="3" max="3" width="11.85546875" bestFit="1" customWidth="1"/>
    <col min="4" max="4" width="8.7109375" bestFit="1" customWidth="1"/>
    <col min="5" max="5" width="9" bestFit="1" customWidth="1"/>
    <col min="6" max="6" width="9.140625" customWidth="1"/>
    <col min="7" max="7" width="3.42578125" bestFit="1" customWidth="1"/>
    <col min="8" max="8" width="9.42578125" customWidth="1"/>
    <col min="9" max="9" width="3.42578125" bestFit="1" customWidth="1"/>
    <col min="10" max="10" width="9.42578125" customWidth="1"/>
    <col min="11" max="11" width="3.42578125" bestFit="1" customWidth="1"/>
    <col min="12" max="12" width="4.5703125" customWidth="1"/>
    <col min="13" max="13" width="63.42578125" customWidth="1"/>
    <col min="14" max="14" width="4.28515625" customWidth="1"/>
    <col min="15" max="15" width="6.28515625" bestFit="1" customWidth="1"/>
    <col min="16" max="16" width="4.85546875" bestFit="1" customWidth="1"/>
    <col min="17" max="17" width="10" customWidth="1"/>
    <col min="18" max="18" width="8.28515625" bestFit="1" customWidth="1"/>
    <col min="19" max="19" width="10.28515625" customWidth="1"/>
    <col min="20" max="20" width="7.85546875" customWidth="1"/>
    <col min="21" max="21" width="19" customWidth="1"/>
    <col min="22" max="22" width="6.85546875" customWidth="1"/>
    <col min="23" max="23" width="23.5703125" customWidth="1"/>
    <col min="24" max="24" width="4.85546875" customWidth="1"/>
    <col min="25" max="25" width="16.42578125" customWidth="1"/>
    <col min="26" max="26" width="5.7109375" customWidth="1"/>
    <col min="27" max="27" width="7.140625" customWidth="1"/>
    <col min="28" max="28" width="2.42578125" bestFit="1" customWidth="1"/>
    <col min="29" max="29" width="17.140625" bestFit="1" customWidth="1"/>
    <col min="30" max="30" width="4.7109375" customWidth="1"/>
    <col min="31" max="31" width="11.140625" customWidth="1"/>
    <col min="32" max="32" width="6.85546875" customWidth="1"/>
    <col min="33" max="33" width="7.85546875" customWidth="1"/>
  </cols>
  <sheetData>
    <row r="1" spans="1:33" ht="17.25" customHeight="1" x14ac:dyDescent="0.25">
      <c r="A1" s="64" t="s">
        <v>10</v>
      </c>
      <c r="B1" s="65" t="s">
        <v>64</v>
      </c>
      <c r="C1" s="65" t="s">
        <v>65</v>
      </c>
      <c r="D1" s="66" t="s">
        <v>66</v>
      </c>
      <c r="E1" s="66" t="s">
        <v>69</v>
      </c>
      <c r="F1" s="66" t="s">
        <v>66</v>
      </c>
      <c r="G1" s="66" t="s">
        <v>69</v>
      </c>
      <c r="H1" s="66" t="s">
        <v>66</v>
      </c>
      <c r="I1" s="66" t="s">
        <v>69</v>
      </c>
      <c r="J1" s="66" t="s">
        <v>66</v>
      </c>
      <c r="K1" s="66" t="s">
        <v>69</v>
      </c>
      <c r="L1" s="66" t="s">
        <v>66</v>
      </c>
      <c r="M1" s="66" t="s">
        <v>69</v>
      </c>
      <c r="N1" s="67" t="s">
        <v>67</v>
      </c>
      <c r="O1" s="66" t="s">
        <v>69</v>
      </c>
      <c r="P1" s="66" t="s">
        <v>66</v>
      </c>
      <c r="Q1" s="66" t="s">
        <v>69</v>
      </c>
      <c r="R1" s="67" t="s">
        <v>67</v>
      </c>
      <c r="S1" s="66" t="s">
        <v>69</v>
      </c>
      <c r="T1" s="66" t="s">
        <v>66</v>
      </c>
      <c r="U1" s="66" t="s">
        <v>69</v>
      </c>
      <c r="V1" s="66" t="s">
        <v>66</v>
      </c>
      <c r="W1" s="66" t="s">
        <v>69</v>
      </c>
      <c r="X1" s="66" t="s">
        <v>66</v>
      </c>
      <c r="Y1" s="66" t="s">
        <v>69</v>
      </c>
      <c r="Z1" s="66" t="s">
        <v>66</v>
      </c>
      <c r="AA1" s="66" t="s">
        <v>69</v>
      </c>
      <c r="AB1" s="66" t="s">
        <v>66</v>
      </c>
      <c r="AC1" s="66" t="s">
        <v>69</v>
      </c>
      <c r="AD1" s="66" t="s">
        <v>66</v>
      </c>
      <c r="AE1" s="66" t="s">
        <v>69</v>
      </c>
      <c r="AF1" s="66" t="s">
        <v>66</v>
      </c>
      <c r="AG1" s="66" t="s">
        <v>69</v>
      </c>
    </row>
    <row r="2" spans="1:33" ht="7.5" customHeight="1" x14ac:dyDescent="0.25">
      <c r="A2" s="68">
        <v>1</v>
      </c>
      <c r="B2" s="69" t="s">
        <v>1725</v>
      </c>
      <c r="C2" s="70" t="s">
        <v>665</v>
      </c>
      <c r="D2" s="71" t="s">
        <v>9</v>
      </c>
      <c r="E2" s="72" t="s">
        <v>9</v>
      </c>
      <c r="F2" s="100" t="s">
        <v>9</v>
      </c>
      <c r="G2" s="78" t="s">
        <v>9</v>
      </c>
      <c r="H2" s="100" t="s">
        <v>9</v>
      </c>
      <c r="I2" s="78" t="s">
        <v>9</v>
      </c>
      <c r="J2" s="100" t="s">
        <v>9</v>
      </c>
      <c r="K2" s="78" t="s">
        <v>9</v>
      </c>
      <c r="L2" s="73" t="s">
        <v>68</v>
      </c>
      <c r="M2" s="74" t="s">
        <v>1726</v>
      </c>
      <c r="N2" s="75" t="s">
        <v>9</v>
      </c>
      <c r="O2" s="76" t="s">
        <v>9</v>
      </c>
      <c r="P2" s="75" t="s">
        <v>9</v>
      </c>
      <c r="Q2" s="76" t="s">
        <v>9</v>
      </c>
      <c r="R2" s="75" t="s">
        <v>9</v>
      </c>
      <c r="S2" s="76" t="s">
        <v>9</v>
      </c>
      <c r="T2" s="75" t="s">
        <v>9</v>
      </c>
      <c r="U2" s="76" t="s">
        <v>9</v>
      </c>
      <c r="V2" s="75" t="s">
        <v>9</v>
      </c>
      <c r="W2" s="76" t="s">
        <v>9</v>
      </c>
      <c r="X2" s="75" t="s">
        <v>9</v>
      </c>
      <c r="Y2" s="76" t="s">
        <v>9</v>
      </c>
      <c r="Z2" s="75" t="s">
        <v>9</v>
      </c>
      <c r="AA2" s="76" t="s">
        <v>9</v>
      </c>
      <c r="AB2" s="75" t="s">
        <v>9</v>
      </c>
      <c r="AC2" s="76" t="s">
        <v>1359</v>
      </c>
      <c r="AD2" s="75" t="s">
        <v>9</v>
      </c>
      <c r="AE2" s="76" t="s">
        <v>9</v>
      </c>
      <c r="AF2" s="75" t="s">
        <v>9</v>
      </c>
      <c r="AG2" s="76" t="s">
        <v>9</v>
      </c>
    </row>
    <row r="3" spans="1:33" ht="7.5" customHeight="1" x14ac:dyDescent="0.25">
      <c r="A3" s="68">
        <v>2</v>
      </c>
      <c r="B3" s="69" t="s">
        <v>726</v>
      </c>
      <c r="C3" s="70" t="s">
        <v>725</v>
      </c>
      <c r="D3" s="77" t="s">
        <v>1647</v>
      </c>
      <c r="E3" s="72" t="s">
        <v>1725</v>
      </c>
      <c r="F3" s="100" t="s">
        <v>9</v>
      </c>
      <c r="G3" s="78" t="s">
        <v>9</v>
      </c>
      <c r="H3" s="100" t="s">
        <v>9</v>
      </c>
      <c r="I3" s="78" t="s">
        <v>9</v>
      </c>
      <c r="J3" s="100" t="s">
        <v>9</v>
      </c>
      <c r="K3" s="78" t="s">
        <v>9</v>
      </c>
      <c r="L3" s="73" t="s">
        <v>68</v>
      </c>
      <c r="M3" s="74" t="s">
        <v>1731</v>
      </c>
      <c r="N3" s="75" t="s">
        <v>694</v>
      </c>
      <c r="O3" s="76" t="s">
        <v>714</v>
      </c>
      <c r="P3" s="75" t="s">
        <v>9</v>
      </c>
      <c r="Q3" s="76" t="s">
        <v>9</v>
      </c>
      <c r="R3" s="75" t="s">
        <v>9</v>
      </c>
      <c r="S3" s="76" t="s">
        <v>9</v>
      </c>
      <c r="T3" s="75" t="s">
        <v>9</v>
      </c>
      <c r="U3" s="76" t="s">
        <v>9</v>
      </c>
      <c r="V3" s="75" t="s">
        <v>9</v>
      </c>
      <c r="W3" s="76" t="s">
        <v>9</v>
      </c>
      <c r="X3" s="75" t="s">
        <v>9</v>
      </c>
      <c r="Y3" s="76" t="s">
        <v>9</v>
      </c>
      <c r="Z3" s="75" t="s">
        <v>9</v>
      </c>
      <c r="AA3" s="76" t="s">
        <v>9</v>
      </c>
      <c r="AB3" s="75" t="s">
        <v>672</v>
      </c>
      <c r="AC3" s="76" t="s">
        <v>698</v>
      </c>
      <c r="AD3" s="75" t="s">
        <v>674</v>
      </c>
      <c r="AE3" s="78" t="s">
        <v>699</v>
      </c>
      <c r="AF3" s="79" t="s">
        <v>9</v>
      </c>
      <c r="AG3" s="78" t="s">
        <v>9</v>
      </c>
    </row>
    <row r="4" spans="1:33" ht="7.5" customHeight="1" x14ac:dyDescent="0.25">
      <c r="A4" s="68">
        <v>3</v>
      </c>
      <c r="B4" s="69" t="s">
        <v>1673</v>
      </c>
      <c r="C4" s="70" t="s">
        <v>1366</v>
      </c>
      <c r="D4" s="77" t="s">
        <v>1647</v>
      </c>
      <c r="E4" s="72" t="s">
        <v>1725</v>
      </c>
      <c r="F4" s="100" t="s">
        <v>9</v>
      </c>
      <c r="G4" s="78" t="s">
        <v>9</v>
      </c>
      <c r="H4" s="100" t="s">
        <v>9</v>
      </c>
      <c r="I4" s="78" t="s">
        <v>9</v>
      </c>
      <c r="J4" s="100" t="s">
        <v>9</v>
      </c>
      <c r="K4" s="78" t="s">
        <v>9</v>
      </c>
      <c r="L4" s="73" t="s">
        <v>68</v>
      </c>
      <c r="M4" s="74" t="s">
        <v>1727</v>
      </c>
      <c r="N4" s="75" t="s">
        <v>9</v>
      </c>
      <c r="O4" s="76" t="s">
        <v>9</v>
      </c>
      <c r="P4" s="75" t="s">
        <v>9</v>
      </c>
      <c r="Q4" s="76" t="s">
        <v>9</v>
      </c>
      <c r="R4" s="75" t="s">
        <v>9</v>
      </c>
      <c r="S4" s="76" t="s">
        <v>9</v>
      </c>
      <c r="T4" s="75" t="s">
        <v>9</v>
      </c>
      <c r="U4" s="76" t="s">
        <v>9</v>
      </c>
      <c r="V4" s="75" t="s">
        <v>9</v>
      </c>
      <c r="W4" s="76" t="s">
        <v>9</v>
      </c>
      <c r="X4" s="75" t="s">
        <v>9</v>
      </c>
      <c r="Y4" s="76" t="s">
        <v>9</v>
      </c>
      <c r="Z4" s="75" t="s">
        <v>9</v>
      </c>
      <c r="AA4" s="76" t="s">
        <v>9</v>
      </c>
      <c r="AB4" s="75" t="s">
        <v>9</v>
      </c>
      <c r="AC4" s="76" t="s">
        <v>1359</v>
      </c>
      <c r="AD4" s="75" t="s">
        <v>9</v>
      </c>
      <c r="AE4" s="76" t="s">
        <v>9</v>
      </c>
      <c r="AF4" s="75" t="s">
        <v>9</v>
      </c>
      <c r="AG4" s="76" t="s">
        <v>9</v>
      </c>
    </row>
    <row r="5" spans="1:33" ht="7.5" customHeight="1" x14ac:dyDescent="0.25">
      <c r="A5" s="68">
        <v>4</v>
      </c>
      <c r="B5" s="69" t="s">
        <v>1674</v>
      </c>
      <c r="C5" s="70" t="s">
        <v>1365</v>
      </c>
      <c r="D5" s="77" t="s">
        <v>1647</v>
      </c>
      <c r="E5" s="72" t="s">
        <v>1725</v>
      </c>
      <c r="F5" s="100" t="s">
        <v>9</v>
      </c>
      <c r="G5" s="78" t="s">
        <v>9</v>
      </c>
      <c r="H5" s="100" t="s">
        <v>9</v>
      </c>
      <c r="I5" s="78" t="s">
        <v>9</v>
      </c>
      <c r="J5" s="100" t="s">
        <v>9</v>
      </c>
      <c r="K5" s="78" t="s">
        <v>9</v>
      </c>
      <c r="L5" s="73" t="s">
        <v>68</v>
      </c>
      <c r="M5" s="74" t="s">
        <v>1728</v>
      </c>
      <c r="N5" s="75" t="s">
        <v>9</v>
      </c>
      <c r="O5" s="76" t="s">
        <v>9</v>
      </c>
      <c r="P5" s="75" t="s">
        <v>9</v>
      </c>
      <c r="Q5" s="76" t="s">
        <v>9</v>
      </c>
      <c r="R5" s="75" t="s">
        <v>9</v>
      </c>
      <c r="S5" s="76" t="s">
        <v>9</v>
      </c>
      <c r="T5" s="75" t="s">
        <v>9</v>
      </c>
      <c r="U5" s="76" t="s">
        <v>9</v>
      </c>
      <c r="V5" s="75" t="s">
        <v>9</v>
      </c>
      <c r="W5" s="76" t="s">
        <v>9</v>
      </c>
      <c r="X5" s="75" t="s">
        <v>9</v>
      </c>
      <c r="Y5" s="76" t="s">
        <v>9</v>
      </c>
      <c r="Z5" s="75" t="s">
        <v>9</v>
      </c>
      <c r="AA5" s="76" t="s">
        <v>9</v>
      </c>
      <c r="AB5" s="75" t="s">
        <v>672</v>
      </c>
      <c r="AC5" s="76" t="s">
        <v>698</v>
      </c>
      <c r="AD5" s="75" t="s">
        <v>9</v>
      </c>
      <c r="AE5" s="78" t="s">
        <v>9</v>
      </c>
      <c r="AF5" s="79" t="s">
        <v>9</v>
      </c>
      <c r="AG5" s="78" t="s">
        <v>9</v>
      </c>
    </row>
    <row r="6" spans="1:33" ht="7.5" customHeight="1" x14ac:dyDescent="0.25">
      <c r="A6" s="68">
        <v>5</v>
      </c>
      <c r="B6" s="69" t="s">
        <v>1667</v>
      </c>
      <c r="C6" s="70" t="s">
        <v>1638</v>
      </c>
      <c r="D6" s="77" t="s">
        <v>1647</v>
      </c>
      <c r="E6" s="72" t="s">
        <v>1725</v>
      </c>
      <c r="F6" s="100" t="s">
        <v>9</v>
      </c>
      <c r="G6" s="78" t="s">
        <v>9</v>
      </c>
      <c r="H6" s="100" t="s">
        <v>9</v>
      </c>
      <c r="I6" s="78" t="s">
        <v>9</v>
      </c>
      <c r="J6" s="100" t="s">
        <v>9</v>
      </c>
      <c r="K6" s="78" t="s">
        <v>9</v>
      </c>
      <c r="L6" s="73" t="s">
        <v>68</v>
      </c>
      <c r="M6" s="74" t="s">
        <v>1729</v>
      </c>
      <c r="N6" s="75" t="s">
        <v>9</v>
      </c>
      <c r="O6" s="76" t="s">
        <v>9</v>
      </c>
      <c r="P6" s="75" t="s">
        <v>9</v>
      </c>
      <c r="Q6" s="76" t="s">
        <v>9</v>
      </c>
      <c r="R6" s="75" t="s">
        <v>9</v>
      </c>
      <c r="S6" s="76" t="s">
        <v>9</v>
      </c>
      <c r="T6" s="75" t="s">
        <v>9</v>
      </c>
      <c r="U6" s="76" t="s">
        <v>9</v>
      </c>
      <c r="V6" s="75" t="s">
        <v>9</v>
      </c>
      <c r="W6" s="76" t="s">
        <v>9</v>
      </c>
      <c r="X6" s="75" t="s">
        <v>9</v>
      </c>
      <c r="Y6" s="76" t="s">
        <v>9</v>
      </c>
      <c r="Z6" s="75" t="s">
        <v>9</v>
      </c>
      <c r="AA6" s="76" t="s">
        <v>9</v>
      </c>
      <c r="AB6" s="75" t="s">
        <v>9</v>
      </c>
      <c r="AC6" s="76" t="s">
        <v>9</v>
      </c>
      <c r="AD6" s="75" t="s">
        <v>9</v>
      </c>
      <c r="AE6" s="76" t="s">
        <v>9</v>
      </c>
      <c r="AF6" s="75" t="s">
        <v>9</v>
      </c>
      <c r="AG6" s="76" t="s">
        <v>9</v>
      </c>
    </row>
    <row r="7" spans="1:33" ht="7.5" customHeight="1" x14ac:dyDescent="0.25">
      <c r="A7" s="68">
        <v>6</v>
      </c>
      <c r="B7" s="69" t="s">
        <v>1675</v>
      </c>
      <c r="C7" s="70" t="s">
        <v>1365</v>
      </c>
      <c r="D7" s="77" t="s">
        <v>1647</v>
      </c>
      <c r="E7" s="72" t="s">
        <v>1725</v>
      </c>
      <c r="F7" s="100" t="s">
        <v>9</v>
      </c>
      <c r="G7" s="78" t="s">
        <v>9</v>
      </c>
      <c r="H7" s="100" t="s">
        <v>9</v>
      </c>
      <c r="I7" s="78" t="s">
        <v>9</v>
      </c>
      <c r="J7" s="100" t="s">
        <v>9</v>
      </c>
      <c r="K7" s="78" t="s">
        <v>9</v>
      </c>
      <c r="L7" s="73" t="s">
        <v>68</v>
      </c>
      <c r="M7" s="74" t="s">
        <v>1730</v>
      </c>
      <c r="N7" s="75" t="s">
        <v>9</v>
      </c>
      <c r="O7" s="76" t="s">
        <v>9</v>
      </c>
      <c r="P7" s="75" t="s">
        <v>9</v>
      </c>
      <c r="Q7" s="76" t="s">
        <v>9</v>
      </c>
      <c r="R7" s="75" t="s">
        <v>9</v>
      </c>
      <c r="S7" s="76" t="s">
        <v>9</v>
      </c>
      <c r="T7" s="75" t="s">
        <v>9</v>
      </c>
      <c r="U7" s="76" t="s">
        <v>9</v>
      </c>
      <c r="V7" s="75" t="s">
        <v>9</v>
      </c>
      <c r="W7" s="76" t="s">
        <v>9</v>
      </c>
      <c r="X7" s="75" t="s">
        <v>9</v>
      </c>
      <c r="Y7" s="76" t="s">
        <v>9</v>
      </c>
      <c r="Z7" s="75" t="s">
        <v>9</v>
      </c>
      <c r="AA7" s="76" t="s">
        <v>9</v>
      </c>
      <c r="AB7" s="75" t="s">
        <v>9</v>
      </c>
      <c r="AC7" s="76" t="s">
        <v>9</v>
      </c>
      <c r="AD7" s="75" t="s">
        <v>9</v>
      </c>
      <c r="AE7" s="76" t="s">
        <v>9</v>
      </c>
      <c r="AF7" s="75" t="s">
        <v>9</v>
      </c>
      <c r="AG7" s="76" t="s">
        <v>9</v>
      </c>
    </row>
    <row r="8" spans="1:33" ht="7.5" customHeight="1" x14ac:dyDescent="0.25">
      <c r="A8" s="68">
        <v>7</v>
      </c>
      <c r="B8" s="69" t="s">
        <v>713</v>
      </c>
      <c r="C8" s="70" t="s">
        <v>706</v>
      </c>
      <c r="D8" s="77" t="s">
        <v>696</v>
      </c>
      <c r="E8" s="80" t="s">
        <v>726</v>
      </c>
      <c r="F8" s="100" t="s">
        <v>9</v>
      </c>
      <c r="G8" s="78" t="s">
        <v>9</v>
      </c>
      <c r="H8" s="100" t="s">
        <v>9</v>
      </c>
      <c r="I8" s="78" t="s">
        <v>9</v>
      </c>
      <c r="J8" s="100" t="s">
        <v>9</v>
      </c>
      <c r="K8" s="78" t="s">
        <v>9</v>
      </c>
      <c r="L8" s="73" t="s">
        <v>68</v>
      </c>
      <c r="M8" s="74" t="s">
        <v>715</v>
      </c>
      <c r="N8" s="75" t="s">
        <v>694</v>
      </c>
      <c r="O8" s="76" t="s">
        <v>695</v>
      </c>
      <c r="P8" s="75" t="s">
        <v>9</v>
      </c>
      <c r="Q8" s="76" t="s">
        <v>9</v>
      </c>
      <c r="R8" s="75" t="s">
        <v>9</v>
      </c>
      <c r="S8" s="76" t="s">
        <v>9</v>
      </c>
      <c r="T8" s="75" t="s">
        <v>9</v>
      </c>
      <c r="U8" s="76" t="s">
        <v>9</v>
      </c>
      <c r="V8" s="75" t="s">
        <v>9</v>
      </c>
      <c r="W8" s="76" t="s">
        <v>9</v>
      </c>
      <c r="X8" s="75" t="s">
        <v>9</v>
      </c>
      <c r="Y8" s="76" t="s">
        <v>9</v>
      </c>
      <c r="Z8" s="75" t="s">
        <v>9</v>
      </c>
      <c r="AA8" s="76" t="s">
        <v>9</v>
      </c>
      <c r="AB8" s="75" t="s">
        <v>672</v>
      </c>
      <c r="AC8" s="76" t="s">
        <v>698</v>
      </c>
      <c r="AD8" s="75" t="s">
        <v>674</v>
      </c>
      <c r="AE8" s="78" t="s">
        <v>699</v>
      </c>
      <c r="AF8" s="79" t="s">
        <v>9</v>
      </c>
      <c r="AG8" s="78" t="s">
        <v>9</v>
      </c>
    </row>
    <row r="9" spans="1:33" ht="7.5" customHeight="1" x14ac:dyDescent="0.25">
      <c r="A9" s="68">
        <v>8</v>
      </c>
      <c r="B9" s="69" t="s">
        <v>717</v>
      </c>
      <c r="C9" s="70" t="s">
        <v>712</v>
      </c>
      <c r="D9" s="77" t="s">
        <v>696</v>
      </c>
      <c r="E9" s="80" t="s">
        <v>713</v>
      </c>
      <c r="F9" s="100" t="s">
        <v>9</v>
      </c>
      <c r="G9" s="78" t="s">
        <v>9</v>
      </c>
      <c r="H9" s="100" t="s">
        <v>9</v>
      </c>
      <c r="I9" s="78" t="s">
        <v>9</v>
      </c>
      <c r="J9" s="100" t="s">
        <v>9</v>
      </c>
      <c r="K9" s="78" t="s">
        <v>9</v>
      </c>
      <c r="L9" s="73" t="s">
        <v>68</v>
      </c>
      <c r="M9" s="74" t="s">
        <v>716</v>
      </c>
      <c r="N9" s="75" t="s">
        <v>694</v>
      </c>
      <c r="O9" s="76" t="s">
        <v>697</v>
      </c>
      <c r="P9" s="75" t="s">
        <v>9</v>
      </c>
      <c r="Q9" s="76" t="s">
        <v>9</v>
      </c>
      <c r="R9" s="75" t="s">
        <v>9</v>
      </c>
      <c r="S9" s="76" t="s">
        <v>9</v>
      </c>
      <c r="T9" s="75" t="s">
        <v>9</v>
      </c>
      <c r="U9" s="76" t="s">
        <v>9</v>
      </c>
      <c r="V9" s="75" t="s">
        <v>9</v>
      </c>
      <c r="W9" s="76" t="s">
        <v>9</v>
      </c>
      <c r="X9" s="75" t="s">
        <v>9</v>
      </c>
      <c r="Y9" s="76" t="s">
        <v>9</v>
      </c>
      <c r="Z9" s="75" t="s">
        <v>9</v>
      </c>
      <c r="AA9" s="76" t="s">
        <v>9</v>
      </c>
      <c r="AB9" s="75" t="s">
        <v>672</v>
      </c>
      <c r="AC9" s="76" t="s">
        <v>698</v>
      </c>
      <c r="AD9" s="75" t="s">
        <v>674</v>
      </c>
      <c r="AE9" s="78" t="s">
        <v>699</v>
      </c>
      <c r="AF9" s="79" t="s">
        <v>9</v>
      </c>
      <c r="AG9" s="78" t="s">
        <v>9</v>
      </c>
    </row>
    <row r="10" spans="1:33" ht="7.5" customHeight="1" x14ac:dyDescent="0.25">
      <c r="A10" s="68">
        <v>9</v>
      </c>
      <c r="B10" s="69" t="s">
        <v>1640</v>
      </c>
      <c r="C10" s="70" t="s">
        <v>578</v>
      </c>
      <c r="D10" s="77" t="s">
        <v>73</v>
      </c>
      <c r="E10" s="81" t="s">
        <v>1667</v>
      </c>
      <c r="F10" s="100" t="s">
        <v>9</v>
      </c>
      <c r="G10" s="78" t="s">
        <v>9</v>
      </c>
      <c r="H10" s="100" t="s">
        <v>9</v>
      </c>
      <c r="I10" s="78" t="s">
        <v>9</v>
      </c>
      <c r="J10" s="100" t="s">
        <v>9</v>
      </c>
      <c r="K10" s="78" t="s">
        <v>9</v>
      </c>
      <c r="L10" s="75" t="s">
        <v>68</v>
      </c>
      <c r="M10" s="76" t="s">
        <v>1641</v>
      </c>
      <c r="N10" s="75" t="s">
        <v>9</v>
      </c>
      <c r="O10" s="76" t="s">
        <v>9</v>
      </c>
      <c r="P10" s="75" t="s">
        <v>9</v>
      </c>
      <c r="Q10" s="76" t="s">
        <v>9</v>
      </c>
      <c r="R10" s="75" t="s">
        <v>9</v>
      </c>
      <c r="S10" s="76" t="s">
        <v>9</v>
      </c>
      <c r="T10" s="75" t="s">
        <v>9</v>
      </c>
      <c r="U10" s="76" t="s">
        <v>9</v>
      </c>
      <c r="V10" s="75" t="s">
        <v>87</v>
      </c>
      <c r="W10" s="76" t="s">
        <v>1642</v>
      </c>
      <c r="X10" s="75" t="s">
        <v>86</v>
      </c>
      <c r="Y10" s="76" t="s">
        <v>1643</v>
      </c>
      <c r="Z10" s="75" t="s">
        <v>9</v>
      </c>
      <c r="AA10" s="76" t="s">
        <v>9</v>
      </c>
      <c r="AB10" s="75" t="s">
        <v>9</v>
      </c>
      <c r="AC10" s="76" t="s">
        <v>9</v>
      </c>
      <c r="AD10" s="75" t="s">
        <v>9</v>
      </c>
      <c r="AE10" s="76" t="s">
        <v>9</v>
      </c>
      <c r="AF10" s="75" t="s">
        <v>9</v>
      </c>
      <c r="AG10" s="76" t="s">
        <v>9</v>
      </c>
    </row>
    <row r="11" spans="1:33" ht="7.5" customHeight="1" x14ac:dyDescent="0.25">
      <c r="A11" s="68">
        <v>10</v>
      </c>
      <c r="B11" s="69" t="s">
        <v>1644</v>
      </c>
      <c r="C11" s="70" t="s">
        <v>578</v>
      </c>
      <c r="D11" s="77" t="s">
        <v>73</v>
      </c>
      <c r="E11" s="81" t="s">
        <v>1667</v>
      </c>
      <c r="F11" s="100" t="s">
        <v>9</v>
      </c>
      <c r="G11" s="78" t="s">
        <v>9</v>
      </c>
      <c r="H11" s="100" t="s">
        <v>9</v>
      </c>
      <c r="I11" s="78" t="s">
        <v>9</v>
      </c>
      <c r="J11" s="100" t="s">
        <v>9</v>
      </c>
      <c r="K11" s="78" t="s">
        <v>9</v>
      </c>
      <c r="L11" s="75" t="s">
        <v>68</v>
      </c>
      <c r="M11" s="76" t="s">
        <v>1645</v>
      </c>
      <c r="N11" s="75" t="s">
        <v>9</v>
      </c>
      <c r="O11" s="76" t="s">
        <v>9</v>
      </c>
      <c r="P11" s="75" t="s">
        <v>9</v>
      </c>
      <c r="Q11" s="76" t="s">
        <v>9</v>
      </c>
      <c r="R11" s="75" t="s">
        <v>9</v>
      </c>
      <c r="S11" s="76" t="s">
        <v>9</v>
      </c>
      <c r="T11" s="75" t="s">
        <v>9</v>
      </c>
      <c r="U11" s="76" t="s">
        <v>9</v>
      </c>
      <c r="V11" s="75" t="s">
        <v>87</v>
      </c>
      <c r="W11" s="76" t="s">
        <v>1642</v>
      </c>
      <c r="X11" s="75" t="s">
        <v>86</v>
      </c>
      <c r="Y11" s="76" t="s">
        <v>1643</v>
      </c>
      <c r="Z11" s="75" t="s">
        <v>9</v>
      </c>
      <c r="AA11" s="76" t="s">
        <v>9</v>
      </c>
      <c r="AB11" s="75" t="s">
        <v>9</v>
      </c>
      <c r="AC11" s="76" t="s">
        <v>9</v>
      </c>
      <c r="AD11" s="75" t="s">
        <v>9</v>
      </c>
      <c r="AE11" s="76" t="s">
        <v>9</v>
      </c>
      <c r="AF11" s="75" t="s">
        <v>9</v>
      </c>
      <c r="AG11" s="76" t="s">
        <v>9</v>
      </c>
    </row>
    <row r="12" spans="1:33" ht="7.5" customHeight="1" x14ac:dyDescent="0.25">
      <c r="A12" s="68">
        <v>11</v>
      </c>
      <c r="B12" s="82" t="s">
        <v>734</v>
      </c>
      <c r="C12" s="83" t="s">
        <v>705</v>
      </c>
      <c r="D12" s="77" t="s">
        <v>700</v>
      </c>
      <c r="E12" s="80" t="s">
        <v>717</v>
      </c>
      <c r="F12" s="100" t="s">
        <v>1871</v>
      </c>
      <c r="G12" s="78">
        <v>10</v>
      </c>
      <c r="H12" s="100" t="s">
        <v>1873</v>
      </c>
      <c r="I12" s="78">
        <v>127</v>
      </c>
      <c r="J12" s="100" t="s">
        <v>1872</v>
      </c>
      <c r="K12" s="78">
        <v>100</v>
      </c>
      <c r="L12" s="73" t="s">
        <v>68</v>
      </c>
      <c r="M12" s="74" t="s">
        <v>1874</v>
      </c>
      <c r="N12" s="75" t="s">
        <v>9</v>
      </c>
      <c r="O12" s="76" t="s">
        <v>9</v>
      </c>
      <c r="P12" s="75" t="s">
        <v>97</v>
      </c>
      <c r="Q12" s="76" t="s">
        <v>407</v>
      </c>
      <c r="R12" s="75" t="s">
        <v>593</v>
      </c>
      <c r="S12" s="76" t="s">
        <v>406</v>
      </c>
      <c r="T12" s="75" t="s">
        <v>1653</v>
      </c>
      <c r="U12" s="76" t="s">
        <v>1654</v>
      </c>
      <c r="V12" s="75" t="s">
        <v>87</v>
      </c>
      <c r="W12" s="76" t="s">
        <v>603</v>
      </c>
      <c r="X12" s="75" t="s">
        <v>86</v>
      </c>
      <c r="Y12" s="76" t="s">
        <v>604</v>
      </c>
      <c r="Z12" s="75" t="s">
        <v>85</v>
      </c>
      <c r="AA12" s="76" t="s">
        <v>605</v>
      </c>
      <c r="AB12" s="75" t="s">
        <v>672</v>
      </c>
      <c r="AC12" s="76" t="s">
        <v>698</v>
      </c>
      <c r="AD12" s="75" t="s">
        <v>674</v>
      </c>
      <c r="AE12" s="78" t="s">
        <v>693</v>
      </c>
      <c r="AF12" s="79" t="s">
        <v>9</v>
      </c>
      <c r="AG12" s="78" t="s">
        <v>9</v>
      </c>
    </row>
    <row r="13" spans="1:33" ht="7.5" customHeight="1" x14ac:dyDescent="0.25">
      <c r="A13" s="68">
        <v>12</v>
      </c>
      <c r="B13" s="82" t="s">
        <v>727</v>
      </c>
      <c r="C13" s="83" t="s">
        <v>705</v>
      </c>
      <c r="D13" s="77" t="s">
        <v>700</v>
      </c>
      <c r="E13" s="80" t="s">
        <v>717</v>
      </c>
      <c r="F13" s="100" t="s">
        <v>1871</v>
      </c>
      <c r="G13" s="78">
        <v>10</v>
      </c>
      <c r="H13" s="100" t="s">
        <v>1873</v>
      </c>
      <c r="I13" s="78">
        <v>127</v>
      </c>
      <c r="J13" s="100" t="s">
        <v>1872</v>
      </c>
      <c r="K13" s="78">
        <v>100</v>
      </c>
      <c r="L13" s="73" t="s">
        <v>68</v>
      </c>
      <c r="M13" s="74" t="s">
        <v>1874</v>
      </c>
      <c r="N13" s="75" t="s">
        <v>9</v>
      </c>
      <c r="O13" s="76" t="s">
        <v>9</v>
      </c>
      <c r="P13" s="75" t="s">
        <v>97</v>
      </c>
      <c r="Q13" s="76" t="s">
        <v>407</v>
      </c>
      <c r="R13" s="75" t="s">
        <v>593</v>
      </c>
      <c r="S13" s="76" t="s">
        <v>406</v>
      </c>
      <c r="T13" s="75" t="s">
        <v>1653</v>
      </c>
      <c r="U13" s="76" t="s">
        <v>1654</v>
      </c>
      <c r="V13" s="75" t="s">
        <v>87</v>
      </c>
      <c r="W13" s="76" t="s">
        <v>603</v>
      </c>
      <c r="X13" s="75" t="s">
        <v>86</v>
      </c>
      <c r="Y13" s="76" t="s">
        <v>604</v>
      </c>
      <c r="Z13" s="75" t="s">
        <v>85</v>
      </c>
      <c r="AA13" s="76" t="s">
        <v>605</v>
      </c>
      <c r="AB13" s="75" t="s">
        <v>672</v>
      </c>
      <c r="AC13" s="76" t="s">
        <v>698</v>
      </c>
      <c r="AD13" s="75" t="s">
        <v>674</v>
      </c>
      <c r="AE13" s="78" t="s">
        <v>693</v>
      </c>
      <c r="AF13" s="79" t="s">
        <v>9</v>
      </c>
      <c r="AG13" s="78" t="s">
        <v>9</v>
      </c>
    </row>
    <row r="14" spans="1:33" ht="7.5" customHeight="1" x14ac:dyDescent="0.25">
      <c r="A14" s="68">
        <v>13</v>
      </c>
      <c r="B14" s="82" t="s">
        <v>728</v>
      </c>
      <c r="C14" s="83" t="s">
        <v>705</v>
      </c>
      <c r="D14" s="77" t="s">
        <v>700</v>
      </c>
      <c r="E14" s="80" t="s">
        <v>717</v>
      </c>
      <c r="F14" s="100" t="s">
        <v>1871</v>
      </c>
      <c r="G14" s="78">
        <v>10</v>
      </c>
      <c r="H14" s="100" t="s">
        <v>1873</v>
      </c>
      <c r="I14" s="78">
        <v>127</v>
      </c>
      <c r="J14" s="100" t="s">
        <v>1872</v>
      </c>
      <c r="K14" s="78">
        <v>100</v>
      </c>
      <c r="L14" s="73" t="s">
        <v>68</v>
      </c>
      <c r="M14" s="74" t="s">
        <v>1874</v>
      </c>
      <c r="N14" s="75" t="s">
        <v>9</v>
      </c>
      <c r="O14" s="76" t="s">
        <v>9</v>
      </c>
      <c r="P14" s="75" t="s">
        <v>97</v>
      </c>
      <c r="Q14" s="76" t="s">
        <v>407</v>
      </c>
      <c r="R14" s="75" t="s">
        <v>593</v>
      </c>
      <c r="S14" s="76" t="s">
        <v>406</v>
      </c>
      <c r="T14" s="75" t="s">
        <v>1653</v>
      </c>
      <c r="U14" s="76" t="s">
        <v>1654</v>
      </c>
      <c r="V14" s="75" t="s">
        <v>87</v>
      </c>
      <c r="W14" s="76" t="s">
        <v>603</v>
      </c>
      <c r="X14" s="75" t="s">
        <v>86</v>
      </c>
      <c r="Y14" s="76" t="s">
        <v>604</v>
      </c>
      <c r="Z14" s="75" t="s">
        <v>85</v>
      </c>
      <c r="AA14" s="76" t="s">
        <v>605</v>
      </c>
      <c r="AB14" s="75" t="s">
        <v>672</v>
      </c>
      <c r="AC14" s="76" t="s">
        <v>698</v>
      </c>
      <c r="AD14" s="75" t="s">
        <v>674</v>
      </c>
      <c r="AE14" s="78" t="s">
        <v>693</v>
      </c>
      <c r="AF14" s="79" t="s">
        <v>9</v>
      </c>
      <c r="AG14" s="78" t="s">
        <v>9</v>
      </c>
    </row>
    <row r="15" spans="1:33" ht="7.5" customHeight="1" x14ac:dyDescent="0.25">
      <c r="A15" s="68">
        <v>14</v>
      </c>
      <c r="B15" s="82" t="s">
        <v>729</v>
      </c>
      <c r="C15" s="83" t="s">
        <v>705</v>
      </c>
      <c r="D15" s="77" t="s">
        <v>700</v>
      </c>
      <c r="E15" s="80" t="s">
        <v>717</v>
      </c>
      <c r="F15" s="100" t="s">
        <v>1871</v>
      </c>
      <c r="G15" s="78">
        <v>10</v>
      </c>
      <c r="H15" s="100" t="s">
        <v>1873</v>
      </c>
      <c r="I15" s="78">
        <v>127</v>
      </c>
      <c r="J15" s="100" t="s">
        <v>1872</v>
      </c>
      <c r="K15" s="78">
        <v>100</v>
      </c>
      <c r="L15" s="73" t="s">
        <v>68</v>
      </c>
      <c r="M15" s="74" t="s">
        <v>1874</v>
      </c>
      <c r="N15" s="75" t="s">
        <v>9</v>
      </c>
      <c r="O15" s="76" t="s">
        <v>9</v>
      </c>
      <c r="P15" s="75" t="s">
        <v>97</v>
      </c>
      <c r="Q15" s="76" t="s">
        <v>407</v>
      </c>
      <c r="R15" s="75" t="s">
        <v>593</v>
      </c>
      <c r="S15" s="76" t="s">
        <v>406</v>
      </c>
      <c r="T15" s="75" t="s">
        <v>1653</v>
      </c>
      <c r="U15" s="76" t="s">
        <v>1654</v>
      </c>
      <c r="V15" s="75" t="s">
        <v>87</v>
      </c>
      <c r="W15" s="76" t="s">
        <v>603</v>
      </c>
      <c r="X15" s="75" t="s">
        <v>86</v>
      </c>
      <c r="Y15" s="76" t="s">
        <v>604</v>
      </c>
      <c r="Z15" s="75" t="s">
        <v>85</v>
      </c>
      <c r="AA15" s="76" t="s">
        <v>605</v>
      </c>
      <c r="AB15" s="75" t="s">
        <v>672</v>
      </c>
      <c r="AC15" s="76" t="s">
        <v>698</v>
      </c>
      <c r="AD15" s="75" t="s">
        <v>674</v>
      </c>
      <c r="AE15" s="78" t="s">
        <v>693</v>
      </c>
      <c r="AF15" s="79" t="s">
        <v>9</v>
      </c>
      <c r="AG15" s="78" t="s">
        <v>9</v>
      </c>
    </row>
    <row r="16" spans="1:33" ht="7.5" customHeight="1" x14ac:dyDescent="0.25">
      <c r="A16" s="68">
        <v>15</v>
      </c>
      <c r="B16" s="82" t="s">
        <v>730</v>
      </c>
      <c r="C16" s="83" t="s">
        <v>705</v>
      </c>
      <c r="D16" s="77" t="s">
        <v>700</v>
      </c>
      <c r="E16" s="80" t="s">
        <v>717</v>
      </c>
      <c r="F16" s="100" t="s">
        <v>1871</v>
      </c>
      <c r="G16" s="78">
        <v>10</v>
      </c>
      <c r="H16" s="100" t="s">
        <v>1873</v>
      </c>
      <c r="I16" s="78">
        <v>127</v>
      </c>
      <c r="J16" s="100" t="s">
        <v>1872</v>
      </c>
      <c r="K16" s="78">
        <v>100</v>
      </c>
      <c r="L16" s="73" t="s">
        <v>68</v>
      </c>
      <c r="M16" s="74" t="s">
        <v>1874</v>
      </c>
      <c r="N16" s="75" t="s">
        <v>9</v>
      </c>
      <c r="O16" s="76" t="s">
        <v>9</v>
      </c>
      <c r="P16" s="75" t="s">
        <v>97</v>
      </c>
      <c r="Q16" s="76" t="s">
        <v>407</v>
      </c>
      <c r="R16" s="75" t="s">
        <v>593</v>
      </c>
      <c r="S16" s="76" t="s">
        <v>406</v>
      </c>
      <c r="T16" s="75" t="s">
        <v>1653</v>
      </c>
      <c r="U16" s="76" t="s">
        <v>1654</v>
      </c>
      <c r="V16" s="75" t="s">
        <v>87</v>
      </c>
      <c r="W16" s="76" t="s">
        <v>603</v>
      </c>
      <c r="X16" s="75" t="s">
        <v>86</v>
      </c>
      <c r="Y16" s="76" t="s">
        <v>604</v>
      </c>
      <c r="Z16" s="75" t="s">
        <v>85</v>
      </c>
      <c r="AA16" s="76" t="s">
        <v>605</v>
      </c>
      <c r="AB16" s="75" t="s">
        <v>672</v>
      </c>
      <c r="AC16" s="76" t="s">
        <v>698</v>
      </c>
      <c r="AD16" s="75" t="s">
        <v>674</v>
      </c>
      <c r="AE16" s="78" t="s">
        <v>693</v>
      </c>
      <c r="AF16" s="79" t="s">
        <v>9</v>
      </c>
      <c r="AG16" s="78" t="s">
        <v>9</v>
      </c>
    </row>
    <row r="17" spans="1:33" ht="7.5" customHeight="1" x14ac:dyDescent="0.25">
      <c r="A17" s="68">
        <v>16</v>
      </c>
      <c r="B17" s="82" t="s">
        <v>731</v>
      </c>
      <c r="C17" s="83" t="s">
        <v>705</v>
      </c>
      <c r="D17" s="77" t="s">
        <v>700</v>
      </c>
      <c r="E17" s="80" t="s">
        <v>717</v>
      </c>
      <c r="F17" s="100" t="s">
        <v>1871</v>
      </c>
      <c r="G17" s="78">
        <v>10</v>
      </c>
      <c r="H17" s="100" t="s">
        <v>1873</v>
      </c>
      <c r="I17" s="78">
        <v>127</v>
      </c>
      <c r="J17" s="100" t="s">
        <v>1872</v>
      </c>
      <c r="K17" s="78">
        <v>100</v>
      </c>
      <c r="L17" s="73" t="s">
        <v>68</v>
      </c>
      <c r="M17" s="74" t="s">
        <v>1874</v>
      </c>
      <c r="N17" s="75" t="s">
        <v>9</v>
      </c>
      <c r="O17" s="76" t="s">
        <v>9</v>
      </c>
      <c r="P17" s="75" t="s">
        <v>97</v>
      </c>
      <c r="Q17" s="76" t="s">
        <v>407</v>
      </c>
      <c r="R17" s="75" t="s">
        <v>593</v>
      </c>
      <c r="S17" s="76" t="s">
        <v>406</v>
      </c>
      <c r="T17" s="75" t="s">
        <v>1653</v>
      </c>
      <c r="U17" s="76" t="s">
        <v>1654</v>
      </c>
      <c r="V17" s="75" t="s">
        <v>87</v>
      </c>
      <c r="W17" s="76" t="s">
        <v>603</v>
      </c>
      <c r="X17" s="75" t="s">
        <v>86</v>
      </c>
      <c r="Y17" s="76" t="s">
        <v>604</v>
      </c>
      <c r="Z17" s="75" t="s">
        <v>85</v>
      </c>
      <c r="AA17" s="76" t="s">
        <v>605</v>
      </c>
      <c r="AB17" s="75" t="s">
        <v>672</v>
      </c>
      <c r="AC17" s="76" t="s">
        <v>698</v>
      </c>
      <c r="AD17" s="75" t="s">
        <v>674</v>
      </c>
      <c r="AE17" s="78" t="s">
        <v>693</v>
      </c>
      <c r="AF17" s="79" t="s">
        <v>9</v>
      </c>
      <c r="AG17" s="78" t="s">
        <v>9</v>
      </c>
    </row>
    <row r="18" spans="1:33" ht="7.5" customHeight="1" x14ac:dyDescent="0.25">
      <c r="A18" s="68">
        <v>17</v>
      </c>
      <c r="B18" s="82" t="s">
        <v>732</v>
      </c>
      <c r="C18" s="83" t="s">
        <v>705</v>
      </c>
      <c r="D18" s="77" t="s">
        <v>700</v>
      </c>
      <c r="E18" s="80" t="s">
        <v>717</v>
      </c>
      <c r="F18" s="100" t="s">
        <v>1871</v>
      </c>
      <c r="G18" s="78">
        <v>10</v>
      </c>
      <c r="H18" s="100" t="s">
        <v>1873</v>
      </c>
      <c r="I18" s="78">
        <v>127</v>
      </c>
      <c r="J18" s="100" t="s">
        <v>1872</v>
      </c>
      <c r="K18" s="78">
        <v>100</v>
      </c>
      <c r="L18" s="73" t="s">
        <v>68</v>
      </c>
      <c r="M18" s="74" t="s">
        <v>1874</v>
      </c>
      <c r="N18" s="75" t="s">
        <v>9</v>
      </c>
      <c r="O18" s="76" t="s">
        <v>9</v>
      </c>
      <c r="P18" s="75" t="s">
        <v>97</v>
      </c>
      <c r="Q18" s="76" t="s">
        <v>407</v>
      </c>
      <c r="R18" s="75" t="s">
        <v>593</v>
      </c>
      <c r="S18" s="76" t="s">
        <v>406</v>
      </c>
      <c r="T18" s="75" t="s">
        <v>1653</v>
      </c>
      <c r="U18" s="76" t="s">
        <v>1654</v>
      </c>
      <c r="V18" s="75" t="s">
        <v>87</v>
      </c>
      <c r="W18" s="76" t="s">
        <v>603</v>
      </c>
      <c r="X18" s="75" t="s">
        <v>86</v>
      </c>
      <c r="Y18" s="76" t="s">
        <v>604</v>
      </c>
      <c r="Z18" s="75" t="s">
        <v>85</v>
      </c>
      <c r="AA18" s="76" t="s">
        <v>605</v>
      </c>
      <c r="AB18" s="75" t="s">
        <v>672</v>
      </c>
      <c r="AC18" s="76" t="s">
        <v>698</v>
      </c>
      <c r="AD18" s="75" t="s">
        <v>674</v>
      </c>
      <c r="AE18" s="78" t="s">
        <v>693</v>
      </c>
      <c r="AF18" s="79" t="s">
        <v>9</v>
      </c>
      <c r="AG18" s="78" t="s">
        <v>9</v>
      </c>
    </row>
    <row r="19" spans="1:33" ht="7.5" customHeight="1" x14ac:dyDescent="0.25">
      <c r="A19" s="68">
        <v>18</v>
      </c>
      <c r="B19" s="82" t="s">
        <v>733</v>
      </c>
      <c r="C19" s="83" t="s">
        <v>705</v>
      </c>
      <c r="D19" s="77" t="s">
        <v>700</v>
      </c>
      <c r="E19" s="80" t="s">
        <v>717</v>
      </c>
      <c r="F19" s="100" t="s">
        <v>1871</v>
      </c>
      <c r="G19" s="78">
        <v>10</v>
      </c>
      <c r="H19" s="100" t="s">
        <v>1873</v>
      </c>
      <c r="I19" s="78">
        <v>127</v>
      </c>
      <c r="J19" s="100" t="s">
        <v>1872</v>
      </c>
      <c r="K19" s="78">
        <v>100</v>
      </c>
      <c r="L19" s="73" t="s">
        <v>68</v>
      </c>
      <c r="M19" s="74" t="s">
        <v>1874</v>
      </c>
      <c r="N19" s="75" t="s">
        <v>9</v>
      </c>
      <c r="O19" s="76" t="s">
        <v>9</v>
      </c>
      <c r="P19" s="75" t="s">
        <v>97</v>
      </c>
      <c r="Q19" s="76" t="s">
        <v>407</v>
      </c>
      <c r="R19" s="75" t="s">
        <v>593</v>
      </c>
      <c r="S19" s="76" t="s">
        <v>406</v>
      </c>
      <c r="T19" s="75" t="s">
        <v>1653</v>
      </c>
      <c r="U19" s="76" t="s">
        <v>1654</v>
      </c>
      <c r="V19" s="75" t="s">
        <v>87</v>
      </c>
      <c r="W19" s="76" t="s">
        <v>603</v>
      </c>
      <c r="X19" s="75" t="s">
        <v>86</v>
      </c>
      <c r="Y19" s="76" t="s">
        <v>604</v>
      </c>
      <c r="Z19" s="75" t="s">
        <v>85</v>
      </c>
      <c r="AA19" s="76" t="s">
        <v>605</v>
      </c>
      <c r="AB19" s="75" t="s">
        <v>672</v>
      </c>
      <c r="AC19" s="76" t="s">
        <v>698</v>
      </c>
      <c r="AD19" s="75" t="s">
        <v>674</v>
      </c>
      <c r="AE19" s="78" t="s">
        <v>693</v>
      </c>
      <c r="AF19" s="79" t="s">
        <v>9</v>
      </c>
      <c r="AG19" s="78" t="s">
        <v>9</v>
      </c>
    </row>
    <row r="20" spans="1:33" ht="7.5" customHeight="1" x14ac:dyDescent="0.25">
      <c r="A20" s="68">
        <v>19</v>
      </c>
      <c r="B20" s="69" t="s">
        <v>1646</v>
      </c>
      <c r="C20" s="70" t="s">
        <v>578</v>
      </c>
      <c r="D20" s="77" t="s">
        <v>1647</v>
      </c>
      <c r="E20" s="81" t="s">
        <v>1640</v>
      </c>
      <c r="F20" s="100" t="s">
        <v>9</v>
      </c>
      <c r="G20" s="78" t="s">
        <v>9</v>
      </c>
      <c r="H20" s="100" t="s">
        <v>9</v>
      </c>
      <c r="I20" s="78" t="s">
        <v>9</v>
      </c>
      <c r="J20" s="100" t="s">
        <v>9</v>
      </c>
      <c r="K20" s="78" t="s">
        <v>9</v>
      </c>
      <c r="L20" s="75" t="s">
        <v>68</v>
      </c>
      <c r="M20" s="76" t="s">
        <v>1668</v>
      </c>
      <c r="N20" s="75" t="s">
        <v>9</v>
      </c>
      <c r="O20" s="76" t="s">
        <v>9</v>
      </c>
      <c r="P20" s="75" t="s">
        <v>9</v>
      </c>
      <c r="Q20" s="76" t="s">
        <v>9</v>
      </c>
      <c r="R20" s="75" t="s">
        <v>9</v>
      </c>
      <c r="S20" s="76" t="s">
        <v>9</v>
      </c>
      <c r="T20" s="75" t="s">
        <v>9</v>
      </c>
      <c r="U20" s="76" t="s">
        <v>9</v>
      </c>
      <c r="V20" s="75" t="s">
        <v>87</v>
      </c>
      <c r="W20" s="76" t="s">
        <v>1642</v>
      </c>
      <c r="X20" s="75" t="s">
        <v>86</v>
      </c>
      <c r="Y20" s="76" t="s">
        <v>1643</v>
      </c>
      <c r="Z20" s="75" t="s">
        <v>9</v>
      </c>
      <c r="AA20" s="76" t="s">
        <v>9</v>
      </c>
      <c r="AB20" s="75" t="s">
        <v>9</v>
      </c>
      <c r="AC20" s="76" t="s">
        <v>9</v>
      </c>
      <c r="AD20" s="75" t="s">
        <v>9</v>
      </c>
      <c r="AE20" s="76" t="s">
        <v>9</v>
      </c>
      <c r="AF20" s="75" t="s">
        <v>9</v>
      </c>
      <c r="AG20" s="76" t="s">
        <v>9</v>
      </c>
    </row>
    <row r="21" spans="1:33" ht="7.5" customHeight="1" x14ac:dyDescent="0.25">
      <c r="A21" s="68">
        <v>20</v>
      </c>
      <c r="B21" s="69" t="s">
        <v>1648</v>
      </c>
      <c r="C21" s="70" t="s">
        <v>578</v>
      </c>
      <c r="D21" s="77" t="s">
        <v>1647</v>
      </c>
      <c r="E21" s="81" t="s">
        <v>1644</v>
      </c>
      <c r="F21" s="100" t="s">
        <v>9</v>
      </c>
      <c r="G21" s="78" t="s">
        <v>9</v>
      </c>
      <c r="H21" s="100" t="s">
        <v>9</v>
      </c>
      <c r="I21" s="78" t="s">
        <v>9</v>
      </c>
      <c r="J21" s="100" t="s">
        <v>9</v>
      </c>
      <c r="K21" s="78" t="s">
        <v>9</v>
      </c>
      <c r="L21" s="75" t="s">
        <v>68</v>
      </c>
      <c r="M21" s="76" t="s">
        <v>1669</v>
      </c>
      <c r="N21" s="75" t="s">
        <v>9</v>
      </c>
      <c r="O21" s="76" t="s">
        <v>9</v>
      </c>
      <c r="P21" s="75" t="s">
        <v>9</v>
      </c>
      <c r="Q21" s="76" t="s">
        <v>9</v>
      </c>
      <c r="R21" s="75" t="s">
        <v>9</v>
      </c>
      <c r="S21" s="76" t="s">
        <v>9</v>
      </c>
      <c r="T21" s="75" t="s">
        <v>9</v>
      </c>
      <c r="U21" s="76" t="s">
        <v>9</v>
      </c>
      <c r="V21" s="75" t="s">
        <v>87</v>
      </c>
      <c r="W21" s="76" t="s">
        <v>1642</v>
      </c>
      <c r="X21" s="75" t="s">
        <v>86</v>
      </c>
      <c r="Y21" s="76" t="s">
        <v>1643</v>
      </c>
      <c r="Z21" s="75" t="s">
        <v>9</v>
      </c>
      <c r="AA21" s="76" t="s">
        <v>9</v>
      </c>
      <c r="AB21" s="75" t="s">
        <v>9</v>
      </c>
      <c r="AC21" s="76" t="s">
        <v>9</v>
      </c>
      <c r="AD21" s="75" t="s">
        <v>9</v>
      </c>
      <c r="AE21" s="76" t="s">
        <v>9</v>
      </c>
      <c r="AF21" s="75" t="s">
        <v>9</v>
      </c>
      <c r="AG21" s="76" t="s">
        <v>9</v>
      </c>
    </row>
    <row r="22" spans="1:33" ht="7.5" customHeight="1" x14ac:dyDescent="0.25">
      <c r="A22" s="68">
        <v>21</v>
      </c>
      <c r="B22" s="82" t="s">
        <v>1649</v>
      </c>
      <c r="C22" s="84" t="s">
        <v>1536</v>
      </c>
      <c r="D22" s="77" t="s">
        <v>73</v>
      </c>
      <c r="E22" s="80" t="s">
        <v>1648</v>
      </c>
      <c r="F22" s="100" t="s">
        <v>9</v>
      </c>
      <c r="G22" s="78" t="s">
        <v>9</v>
      </c>
      <c r="H22" s="100" t="s">
        <v>9</v>
      </c>
      <c r="I22" s="78" t="s">
        <v>9</v>
      </c>
      <c r="J22" s="100" t="s">
        <v>9</v>
      </c>
      <c r="K22" s="78" t="s">
        <v>9</v>
      </c>
      <c r="L22" s="73" t="s">
        <v>68</v>
      </c>
      <c r="M22" s="74" t="s">
        <v>1650</v>
      </c>
      <c r="N22" s="75" t="s">
        <v>9</v>
      </c>
      <c r="O22" s="76" t="s">
        <v>9</v>
      </c>
      <c r="P22" s="75" t="s">
        <v>97</v>
      </c>
      <c r="Q22" s="76" t="s">
        <v>1652</v>
      </c>
      <c r="R22" s="75" t="s">
        <v>593</v>
      </c>
      <c r="S22" s="76" t="s">
        <v>1651</v>
      </c>
      <c r="T22" s="75" t="s">
        <v>1653</v>
      </c>
      <c r="U22" s="76" t="s">
        <v>1654</v>
      </c>
      <c r="V22" s="75" t="s">
        <v>87</v>
      </c>
      <c r="W22" s="76" t="s">
        <v>1655</v>
      </c>
      <c r="X22" s="75" t="s">
        <v>86</v>
      </c>
      <c r="Y22" s="76" t="s">
        <v>1656</v>
      </c>
      <c r="Z22" s="75" t="s">
        <v>85</v>
      </c>
      <c r="AA22" s="76" t="s">
        <v>1657</v>
      </c>
      <c r="AB22" s="75" t="s">
        <v>672</v>
      </c>
      <c r="AC22" s="76" t="s">
        <v>1670</v>
      </c>
      <c r="AD22" s="75" t="s">
        <v>674</v>
      </c>
      <c r="AE22" s="78" t="s">
        <v>1671</v>
      </c>
      <c r="AF22" s="75" t="s">
        <v>9</v>
      </c>
      <c r="AG22" s="76" t="s">
        <v>9</v>
      </c>
    </row>
    <row r="23" spans="1:33" ht="7.5" customHeight="1" x14ac:dyDescent="0.25">
      <c r="A23" s="68">
        <v>22</v>
      </c>
      <c r="B23" s="82" t="s">
        <v>1658</v>
      </c>
      <c r="C23" s="84" t="s">
        <v>1536</v>
      </c>
      <c r="D23" s="77" t="s">
        <v>73</v>
      </c>
      <c r="E23" s="80" t="s">
        <v>1648</v>
      </c>
      <c r="F23" s="100" t="s">
        <v>9</v>
      </c>
      <c r="G23" s="78" t="s">
        <v>9</v>
      </c>
      <c r="H23" s="100" t="s">
        <v>9</v>
      </c>
      <c r="I23" s="78" t="s">
        <v>9</v>
      </c>
      <c r="J23" s="100" t="s">
        <v>9</v>
      </c>
      <c r="K23" s="78" t="s">
        <v>9</v>
      </c>
      <c r="L23" s="73" t="s">
        <v>68</v>
      </c>
      <c r="M23" s="74" t="s">
        <v>1650</v>
      </c>
      <c r="N23" s="75" t="s">
        <v>9</v>
      </c>
      <c r="O23" s="76" t="s">
        <v>9</v>
      </c>
      <c r="P23" s="75" t="s">
        <v>97</v>
      </c>
      <c r="Q23" s="76" t="s">
        <v>1652</v>
      </c>
      <c r="R23" s="75" t="s">
        <v>593</v>
      </c>
      <c r="S23" s="76" t="s">
        <v>1651</v>
      </c>
      <c r="T23" s="75" t="s">
        <v>1653</v>
      </c>
      <c r="U23" s="76" t="s">
        <v>1654</v>
      </c>
      <c r="V23" s="75" t="s">
        <v>87</v>
      </c>
      <c r="W23" s="76" t="s">
        <v>1655</v>
      </c>
      <c r="X23" s="75" t="s">
        <v>86</v>
      </c>
      <c r="Y23" s="76" t="s">
        <v>1656</v>
      </c>
      <c r="Z23" s="75" t="s">
        <v>85</v>
      </c>
      <c r="AA23" s="76" t="s">
        <v>1657</v>
      </c>
      <c r="AB23" s="75" t="s">
        <v>9</v>
      </c>
      <c r="AC23" s="76" t="s">
        <v>1670</v>
      </c>
      <c r="AD23" s="75" t="s">
        <v>674</v>
      </c>
      <c r="AE23" s="78" t="s">
        <v>1671</v>
      </c>
      <c r="AF23" s="75" t="s">
        <v>9</v>
      </c>
      <c r="AG23" s="76" t="s">
        <v>9</v>
      </c>
    </row>
    <row r="24" spans="1:33" ht="7.5" customHeight="1" x14ac:dyDescent="0.25">
      <c r="A24" s="68">
        <v>23</v>
      </c>
      <c r="B24" s="82" t="s">
        <v>1659</v>
      </c>
      <c r="C24" s="84" t="s">
        <v>1536</v>
      </c>
      <c r="D24" s="77" t="s">
        <v>73</v>
      </c>
      <c r="E24" s="80" t="s">
        <v>1648</v>
      </c>
      <c r="F24" s="100" t="s">
        <v>9</v>
      </c>
      <c r="G24" s="78" t="s">
        <v>9</v>
      </c>
      <c r="H24" s="100" t="s">
        <v>9</v>
      </c>
      <c r="I24" s="78" t="s">
        <v>9</v>
      </c>
      <c r="J24" s="100" t="s">
        <v>9</v>
      </c>
      <c r="K24" s="78" t="s">
        <v>9</v>
      </c>
      <c r="L24" s="73" t="s">
        <v>68</v>
      </c>
      <c r="M24" s="74" t="s">
        <v>1650</v>
      </c>
      <c r="N24" s="75" t="s">
        <v>9</v>
      </c>
      <c r="O24" s="76" t="s">
        <v>9</v>
      </c>
      <c r="P24" s="75" t="s">
        <v>97</v>
      </c>
      <c r="Q24" s="76" t="s">
        <v>1652</v>
      </c>
      <c r="R24" s="75" t="s">
        <v>593</v>
      </c>
      <c r="S24" s="76" t="s">
        <v>1651</v>
      </c>
      <c r="T24" s="75" t="s">
        <v>1653</v>
      </c>
      <c r="U24" s="76" t="s">
        <v>1654</v>
      </c>
      <c r="V24" s="75" t="s">
        <v>87</v>
      </c>
      <c r="W24" s="76" t="s">
        <v>1655</v>
      </c>
      <c r="X24" s="75" t="s">
        <v>86</v>
      </c>
      <c r="Y24" s="76" t="s">
        <v>1656</v>
      </c>
      <c r="Z24" s="75" t="s">
        <v>85</v>
      </c>
      <c r="AA24" s="76" t="s">
        <v>1657</v>
      </c>
      <c r="AB24" s="75" t="s">
        <v>9</v>
      </c>
      <c r="AC24" s="76" t="s">
        <v>1670</v>
      </c>
      <c r="AD24" s="75" t="s">
        <v>674</v>
      </c>
      <c r="AE24" s="78" t="s">
        <v>1671</v>
      </c>
      <c r="AF24" s="75" t="s">
        <v>9</v>
      </c>
      <c r="AG24" s="76" t="s">
        <v>9</v>
      </c>
    </row>
    <row r="25" spans="1:33" ht="7.5" customHeight="1" x14ac:dyDescent="0.25">
      <c r="A25" s="68">
        <v>24</v>
      </c>
      <c r="B25" s="82" t="s">
        <v>1660</v>
      </c>
      <c r="C25" s="84" t="s">
        <v>1536</v>
      </c>
      <c r="D25" s="77" t="s">
        <v>73</v>
      </c>
      <c r="E25" s="80" t="s">
        <v>1648</v>
      </c>
      <c r="F25" s="100" t="s">
        <v>9</v>
      </c>
      <c r="G25" s="78" t="s">
        <v>9</v>
      </c>
      <c r="H25" s="100" t="s">
        <v>9</v>
      </c>
      <c r="I25" s="78" t="s">
        <v>9</v>
      </c>
      <c r="J25" s="100" t="s">
        <v>9</v>
      </c>
      <c r="K25" s="78" t="s">
        <v>9</v>
      </c>
      <c r="L25" s="73" t="s">
        <v>68</v>
      </c>
      <c r="M25" s="74" t="s">
        <v>1650</v>
      </c>
      <c r="N25" s="75" t="s">
        <v>9</v>
      </c>
      <c r="O25" s="76" t="s">
        <v>9</v>
      </c>
      <c r="P25" s="75" t="s">
        <v>97</v>
      </c>
      <c r="Q25" s="76" t="s">
        <v>1652</v>
      </c>
      <c r="R25" s="75" t="s">
        <v>593</v>
      </c>
      <c r="S25" s="76" t="s">
        <v>1651</v>
      </c>
      <c r="T25" s="75" t="s">
        <v>1653</v>
      </c>
      <c r="U25" s="76" t="s">
        <v>1654</v>
      </c>
      <c r="V25" s="75" t="s">
        <v>87</v>
      </c>
      <c r="W25" s="76" t="s">
        <v>1655</v>
      </c>
      <c r="X25" s="75" t="s">
        <v>86</v>
      </c>
      <c r="Y25" s="76" t="s">
        <v>1656</v>
      </c>
      <c r="Z25" s="75" t="s">
        <v>85</v>
      </c>
      <c r="AA25" s="76" t="s">
        <v>1657</v>
      </c>
      <c r="AB25" s="75" t="s">
        <v>9</v>
      </c>
      <c r="AC25" s="76" t="s">
        <v>1670</v>
      </c>
      <c r="AD25" s="75" t="s">
        <v>674</v>
      </c>
      <c r="AE25" s="78" t="s">
        <v>1671</v>
      </c>
      <c r="AF25" s="75" t="s">
        <v>9</v>
      </c>
      <c r="AG25" s="76" t="s">
        <v>9</v>
      </c>
    </row>
    <row r="26" spans="1:33" ht="7.5" customHeight="1" x14ac:dyDescent="0.25">
      <c r="A26" s="68">
        <v>25</v>
      </c>
      <c r="B26" s="82" t="s">
        <v>1661</v>
      </c>
      <c r="C26" s="84" t="s">
        <v>1540</v>
      </c>
      <c r="D26" s="77" t="s">
        <v>73</v>
      </c>
      <c r="E26" s="80" t="s">
        <v>1646</v>
      </c>
      <c r="F26" s="100" t="s">
        <v>9</v>
      </c>
      <c r="G26" s="78" t="s">
        <v>9</v>
      </c>
      <c r="H26" s="100" t="s">
        <v>9</v>
      </c>
      <c r="I26" s="78" t="s">
        <v>9</v>
      </c>
      <c r="J26" s="100" t="s">
        <v>9</v>
      </c>
      <c r="K26" s="78" t="s">
        <v>9</v>
      </c>
      <c r="L26" s="73" t="s">
        <v>68</v>
      </c>
      <c r="M26" s="74" t="s">
        <v>1662</v>
      </c>
      <c r="N26" s="75" t="s">
        <v>9</v>
      </c>
      <c r="O26" s="76" t="s">
        <v>9</v>
      </c>
      <c r="P26" s="75" t="s">
        <v>97</v>
      </c>
      <c r="Q26" s="76" t="s">
        <v>1663</v>
      </c>
      <c r="R26" s="75" t="s">
        <v>593</v>
      </c>
      <c r="S26" s="76" t="s">
        <v>1651</v>
      </c>
      <c r="T26" s="75" t="s">
        <v>1653</v>
      </c>
      <c r="U26" s="76" t="s">
        <v>1654</v>
      </c>
      <c r="V26" s="75" t="s">
        <v>87</v>
      </c>
      <c r="W26" s="76" t="s">
        <v>1655</v>
      </c>
      <c r="X26" s="75" t="s">
        <v>86</v>
      </c>
      <c r="Y26" s="76" t="s">
        <v>1656</v>
      </c>
      <c r="Z26" s="75" t="s">
        <v>85</v>
      </c>
      <c r="AA26" s="76" t="s">
        <v>1657</v>
      </c>
      <c r="AB26" s="75" t="s">
        <v>9</v>
      </c>
      <c r="AC26" s="76" t="s">
        <v>1670</v>
      </c>
      <c r="AD26" s="75" t="s">
        <v>674</v>
      </c>
      <c r="AE26" s="78" t="s">
        <v>1671</v>
      </c>
      <c r="AF26" s="75" t="s">
        <v>9</v>
      </c>
      <c r="AG26" s="76" t="s">
        <v>9</v>
      </c>
    </row>
    <row r="27" spans="1:33" ht="7.5" customHeight="1" x14ac:dyDescent="0.25">
      <c r="A27" s="68">
        <v>26</v>
      </c>
      <c r="B27" s="82" t="s">
        <v>1664</v>
      </c>
      <c r="C27" s="84" t="s">
        <v>1540</v>
      </c>
      <c r="D27" s="77" t="s">
        <v>73</v>
      </c>
      <c r="E27" s="80" t="s">
        <v>1646</v>
      </c>
      <c r="F27" s="100" t="s">
        <v>9</v>
      </c>
      <c r="G27" s="78" t="s">
        <v>9</v>
      </c>
      <c r="H27" s="100" t="s">
        <v>9</v>
      </c>
      <c r="I27" s="78" t="s">
        <v>9</v>
      </c>
      <c r="J27" s="100" t="s">
        <v>9</v>
      </c>
      <c r="K27" s="78" t="s">
        <v>9</v>
      </c>
      <c r="L27" s="73" t="s">
        <v>68</v>
      </c>
      <c r="M27" s="74" t="s">
        <v>1662</v>
      </c>
      <c r="N27" s="75" t="s">
        <v>9</v>
      </c>
      <c r="O27" s="76" t="s">
        <v>9</v>
      </c>
      <c r="P27" s="75" t="s">
        <v>97</v>
      </c>
      <c r="Q27" s="76" t="s">
        <v>1663</v>
      </c>
      <c r="R27" s="75" t="s">
        <v>593</v>
      </c>
      <c r="S27" s="76" t="s">
        <v>1651</v>
      </c>
      <c r="T27" s="75" t="s">
        <v>1653</v>
      </c>
      <c r="U27" s="76" t="s">
        <v>1654</v>
      </c>
      <c r="V27" s="75" t="s">
        <v>87</v>
      </c>
      <c r="W27" s="76" t="s">
        <v>1655</v>
      </c>
      <c r="X27" s="75" t="s">
        <v>86</v>
      </c>
      <c r="Y27" s="76" t="s">
        <v>1656</v>
      </c>
      <c r="Z27" s="75" t="s">
        <v>85</v>
      </c>
      <c r="AA27" s="76" t="s">
        <v>1657</v>
      </c>
      <c r="AB27" s="75" t="s">
        <v>9</v>
      </c>
      <c r="AC27" s="76" t="s">
        <v>1670</v>
      </c>
      <c r="AD27" s="75" t="s">
        <v>674</v>
      </c>
      <c r="AE27" s="78" t="s">
        <v>1671</v>
      </c>
      <c r="AF27" s="75" t="s">
        <v>9</v>
      </c>
      <c r="AG27" s="76" t="s">
        <v>9</v>
      </c>
    </row>
    <row r="28" spans="1:33" ht="7.5" customHeight="1" x14ac:dyDescent="0.25">
      <c r="A28" s="68">
        <v>27</v>
      </c>
      <c r="B28" s="82" t="s">
        <v>1665</v>
      </c>
      <c r="C28" s="84" t="s">
        <v>1540</v>
      </c>
      <c r="D28" s="77" t="s">
        <v>73</v>
      </c>
      <c r="E28" s="80" t="s">
        <v>1646</v>
      </c>
      <c r="F28" s="100" t="s">
        <v>9</v>
      </c>
      <c r="G28" s="78" t="s">
        <v>9</v>
      </c>
      <c r="H28" s="100" t="s">
        <v>9</v>
      </c>
      <c r="I28" s="78" t="s">
        <v>9</v>
      </c>
      <c r="J28" s="100" t="s">
        <v>9</v>
      </c>
      <c r="K28" s="78" t="s">
        <v>9</v>
      </c>
      <c r="L28" s="73" t="s">
        <v>68</v>
      </c>
      <c r="M28" s="74" t="s">
        <v>1662</v>
      </c>
      <c r="N28" s="75" t="s">
        <v>9</v>
      </c>
      <c r="O28" s="76" t="s">
        <v>9</v>
      </c>
      <c r="P28" s="75" t="s">
        <v>97</v>
      </c>
      <c r="Q28" s="76" t="s">
        <v>1663</v>
      </c>
      <c r="R28" s="75" t="s">
        <v>593</v>
      </c>
      <c r="S28" s="76" t="s">
        <v>1651</v>
      </c>
      <c r="T28" s="75" t="s">
        <v>1653</v>
      </c>
      <c r="U28" s="76" t="s">
        <v>1654</v>
      </c>
      <c r="V28" s="75" t="s">
        <v>87</v>
      </c>
      <c r="W28" s="76" t="s">
        <v>1655</v>
      </c>
      <c r="X28" s="75" t="s">
        <v>86</v>
      </c>
      <c r="Y28" s="76" t="s">
        <v>1656</v>
      </c>
      <c r="Z28" s="75" t="s">
        <v>85</v>
      </c>
      <c r="AA28" s="76" t="s">
        <v>1657</v>
      </c>
      <c r="AB28" s="75" t="s">
        <v>9</v>
      </c>
      <c r="AC28" s="76" t="s">
        <v>1670</v>
      </c>
      <c r="AD28" s="75" t="s">
        <v>674</v>
      </c>
      <c r="AE28" s="78" t="s">
        <v>1671</v>
      </c>
      <c r="AF28" s="75" t="s">
        <v>9</v>
      </c>
      <c r="AG28" s="76" t="s">
        <v>9</v>
      </c>
    </row>
    <row r="29" spans="1:33" ht="7.5" customHeight="1" x14ac:dyDescent="0.25">
      <c r="A29" s="68">
        <v>28</v>
      </c>
      <c r="B29" s="82" t="s">
        <v>1666</v>
      </c>
      <c r="C29" s="84" t="s">
        <v>1540</v>
      </c>
      <c r="D29" s="77" t="s">
        <v>73</v>
      </c>
      <c r="E29" s="80" t="s">
        <v>1646</v>
      </c>
      <c r="F29" s="100" t="s">
        <v>9</v>
      </c>
      <c r="G29" s="78" t="s">
        <v>9</v>
      </c>
      <c r="H29" s="100" t="s">
        <v>9</v>
      </c>
      <c r="I29" s="78" t="s">
        <v>9</v>
      </c>
      <c r="J29" s="100" t="s">
        <v>9</v>
      </c>
      <c r="K29" s="78" t="s">
        <v>9</v>
      </c>
      <c r="L29" s="73" t="s">
        <v>68</v>
      </c>
      <c r="M29" s="74" t="s">
        <v>1662</v>
      </c>
      <c r="N29" s="75" t="s">
        <v>9</v>
      </c>
      <c r="O29" s="76" t="s">
        <v>9</v>
      </c>
      <c r="P29" s="75" t="s">
        <v>97</v>
      </c>
      <c r="Q29" s="76" t="s">
        <v>1663</v>
      </c>
      <c r="R29" s="75" t="s">
        <v>593</v>
      </c>
      <c r="S29" s="76" t="s">
        <v>1651</v>
      </c>
      <c r="T29" s="75" t="s">
        <v>1653</v>
      </c>
      <c r="U29" s="76" t="s">
        <v>1654</v>
      </c>
      <c r="V29" s="75" t="s">
        <v>87</v>
      </c>
      <c r="W29" s="76" t="s">
        <v>1655</v>
      </c>
      <c r="X29" s="75" t="s">
        <v>86</v>
      </c>
      <c r="Y29" s="76" t="s">
        <v>1656</v>
      </c>
      <c r="Z29" s="75" t="s">
        <v>85</v>
      </c>
      <c r="AA29" s="76" t="s">
        <v>1657</v>
      </c>
      <c r="AB29" s="75" t="s">
        <v>9</v>
      </c>
      <c r="AC29" s="76" t="s">
        <v>1670</v>
      </c>
      <c r="AD29" s="75" t="s">
        <v>674</v>
      </c>
      <c r="AE29" s="78" t="s">
        <v>1671</v>
      </c>
      <c r="AF29" s="75" t="s">
        <v>9</v>
      </c>
      <c r="AG29" s="76" t="s">
        <v>9</v>
      </c>
    </row>
    <row r="30" spans="1:33" ht="7.5" customHeight="1" x14ac:dyDescent="0.25">
      <c r="A30" s="68">
        <v>29</v>
      </c>
      <c r="B30" s="82" t="s">
        <v>670</v>
      </c>
      <c r="C30" s="85" t="s">
        <v>747</v>
      </c>
      <c r="D30" s="71" t="s">
        <v>9</v>
      </c>
      <c r="E30" s="72" t="s">
        <v>9</v>
      </c>
      <c r="F30" s="100" t="s">
        <v>9</v>
      </c>
      <c r="G30" s="78" t="s">
        <v>9</v>
      </c>
      <c r="H30" s="100" t="s">
        <v>9</v>
      </c>
      <c r="I30" s="78" t="s">
        <v>9</v>
      </c>
      <c r="J30" s="100" t="s">
        <v>9</v>
      </c>
      <c r="K30" s="78" t="s">
        <v>9</v>
      </c>
      <c r="L30" s="86" t="s">
        <v>68</v>
      </c>
      <c r="M30" s="78" t="s">
        <v>671</v>
      </c>
      <c r="N30" s="75" t="s">
        <v>9</v>
      </c>
      <c r="O30" s="76" t="s">
        <v>9</v>
      </c>
      <c r="P30" s="75" t="s">
        <v>9</v>
      </c>
      <c r="Q30" s="76" t="s">
        <v>9</v>
      </c>
      <c r="R30" s="75" t="s">
        <v>9</v>
      </c>
      <c r="S30" s="76" t="s">
        <v>9</v>
      </c>
      <c r="T30" s="75" t="s">
        <v>9</v>
      </c>
      <c r="U30" s="76" t="s">
        <v>9</v>
      </c>
      <c r="V30" s="75" t="s">
        <v>9</v>
      </c>
      <c r="W30" s="76" t="s">
        <v>9</v>
      </c>
      <c r="X30" s="75" t="s">
        <v>9</v>
      </c>
      <c r="Y30" s="76" t="s">
        <v>9</v>
      </c>
      <c r="Z30" s="75" t="s">
        <v>9</v>
      </c>
      <c r="AA30" s="76" t="s">
        <v>9</v>
      </c>
      <c r="AB30" s="75" t="s">
        <v>672</v>
      </c>
      <c r="AC30" s="76" t="s">
        <v>673</v>
      </c>
      <c r="AD30" s="75" t="s">
        <v>674</v>
      </c>
      <c r="AE30" s="78" t="s">
        <v>675</v>
      </c>
      <c r="AF30" s="87" t="str">
        <f t="shared" ref="AF30:AF34" si="0">IF(AG30="null", "null", "método.revit")</f>
        <v>método.revit</v>
      </c>
      <c r="AG30" s="88" t="s">
        <v>676</v>
      </c>
    </row>
    <row r="31" spans="1:33" ht="7.5" customHeight="1" x14ac:dyDescent="0.25">
      <c r="A31" s="68">
        <v>30</v>
      </c>
      <c r="B31" s="82" t="s">
        <v>677</v>
      </c>
      <c r="C31" s="85" t="s">
        <v>747</v>
      </c>
      <c r="D31" s="71" t="s">
        <v>9</v>
      </c>
      <c r="E31" s="72" t="s">
        <v>9</v>
      </c>
      <c r="F31" s="100" t="s">
        <v>9</v>
      </c>
      <c r="G31" s="78" t="s">
        <v>9</v>
      </c>
      <c r="H31" s="100" t="s">
        <v>9</v>
      </c>
      <c r="I31" s="78" t="s">
        <v>9</v>
      </c>
      <c r="J31" s="100" t="s">
        <v>9</v>
      </c>
      <c r="K31" s="78" t="s">
        <v>9</v>
      </c>
      <c r="L31" s="86" t="s">
        <v>68</v>
      </c>
      <c r="M31" s="78" t="s">
        <v>678</v>
      </c>
      <c r="N31" s="75" t="s">
        <v>9</v>
      </c>
      <c r="O31" s="76" t="s">
        <v>9</v>
      </c>
      <c r="P31" s="75" t="s">
        <v>9</v>
      </c>
      <c r="Q31" s="76" t="s">
        <v>9</v>
      </c>
      <c r="R31" s="75" t="s">
        <v>9</v>
      </c>
      <c r="S31" s="76" t="s">
        <v>9</v>
      </c>
      <c r="T31" s="75" t="s">
        <v>9</v>
      </c>
      <c r="U31" s="76" t="s">
        <v>9</v>
      </c>
      <c r="V31" s="75" t="s">
        <v>9</v>
      </c>
      <c r="W31" s="76" t="s">
        <v>9</v>
      </c>
      <c r="X31" s="75" t="s">
        <v>9</v>
      </c>
      <c r="Y31" s="76" t="s">
        <v>9</v>
      </c>
      <c r="Z31" s="75" t="s">
        <v>9</v>
      </c>
      <c r="AA31" s="76" t="s">
        <v>9</v>
      </c>
      <c r="AB31" s="75" t="s">
        <v>672</v>
      </c>
      <c r="AC31" s="76" t="s">
        <v>673</v>
      </c>
      <c r="AD31" s="75" t="s">
        <v>674</v>
      </c>
      <c r="AE31" s="78" t="s">
        <v>679</v>
      </c>
      <c r="AF31" s="87" t="str">
        <f t="shared" si="0"/>
        <v>método.revit</v>
      </c>
      <c r="AG31" s="88" t="s">
        <v>680</v>
      </c>
    </row>
    <row r="32" spans="1:33" ht="7.5" customHeight="1" x14ac:dyDescent="0.25">
      <c r="A32" s="68">
        <v>31</v>
      </c>
      <c r="B32" s="82" t="s">
        <v>681</v>
      </c>
      <c r="C32" s="85" t="s">
        <v>747</v>
      </c>
      <c r="D32" s="71" t="s">
        <v>9</v>
      </c>
      <c r="E32" s="72" t="s">
        <v>9</v>
      </c>
      <c r="F32" s="100" t="s">
        <v>9</v>
      </c>
      <c r="G32" s="78" t="s">
        <v>9</v>
      </c>
      <c r="H32" s="100" t="s">
        <v>9</v>
      </c>
      <c r="I32" s="78" t="s">
        <v>9</v>
      </c>
      <c r="J32" s="100" t="s">
        <v>9</v>
      </c>
      <c r="K32" s="78" t="s">
        <v>9</v>
      </c>
      <c r="L32" s="86" t="s">
        <v>68</v>
      </c>
      <c r="M32" s="78" t="s">
        <v>682</v>
      </c>
      <c r="N32" s="75" t="s">
        <v>9</v>
      </c>
      <c r="O32" s="76" t="s">
        <v>9</v>
      </c>
      <c r="P32" s="75" t="s">
        <v>9</v>
      </c>
      <c r="Q32" s="76" t="s">
        <v>9</v>
      </c>
      <c r="R32" s="75" t="s">
        <v>9</v>
      </c>
      <c r="S32" s="76" t="s">
        <v>9</v>
      </c>
      <c r="T32" s="75" t="s">
        <v>9</v>
      </c>
      <c r="U32" s="76" t="s">
        <v>9</v>
      </c>
      <c r="V32" s="75" t="s">
        <v>9</v>
      </c>
      <c r="W32" s="76" t="s">
        <v>9</v>
      </c>
      <c r="X32" s="75" t="s">
        <v>9</v>
      </c>
      <c r="Y32" s="76" t="s">
        <v>9</v>
      </c>
      <c r="Z32" s="75" t="s">
        <v>9</v>
      </c>
      <c r="AA32" s="76" t="s">
        <v>9</v>
      </c>
      <c r="AB32" s="75" t="s">
        <v>672</v>
      </c>
      <c r="AC32" s="76" t="s">
        <v>673</v>
      </c>
      <c r="AD32" s="75" t="s">
        <v>674</v>
      </c>
      <c r="AE32" s="78" t="s">
        <v>683</v>
      </c>
      <c r="AF32" s="87" t="str">
        <f t="shared" si="0"/>
        <v>método.revit</v>
      </c>
      <c r="AG32" s="88" t="s">
        <v>684</v>
      </c>
    </row>
    <row r="33" spans="1:33" ht="7.5" customHeight="1" x14ac:dyDescent="0.25">
      <c r="A33" s="68">
        <v>32</v>
      </c>
      <c r="B33" s="82" t="s">
        <v>685</v>
      </c>
      <c r="C33" s="85" t="s">
        <v>747</v>
      </c>
      <c r="D33" s="71" t="s">
        <v>9</v>
      </c>
      <c r="E33" s="72" t="s">
        <v>9</v>
      </c>
      <c r="F33" s="100" t="s">
        <v>9</v>
      </c>
      <c r="G33" s="78" t="s">
        <v>9</v>
      </c>
      <c r="H33" s="100" t="s">
        <v>9</v>
      </c>
      <c r="I33" s="78" t="s">
        <v>9</v>
      </c>
      <c r="J33" s="100" t="s">
        <v>9</v>
      </c>
      <c r="K33" s="78" t="s">
        <v>9</v>
      </c>
      <c r="L33" s="86" t="s">
        <v>68</v>
      </c>
      <c r="M33" s="78" t="s">
        <v>686</v>
      </c>
      <c r="N33" s="75" t="s">
        <v>9</v>
      </c>
      <c r="O33" s="76" t="s">
        <v>9</v>
      </c>
      <c r="P33" s="75" t="s">
        <v>9</v>
      </c>
      <c r="Q33" s="76" t="s">
        <v>9</v>
      </c>
      <c r="R33" s="75" t="s">
        <v>9</v>
      </c>
      <c r="S33" s="76" t="s">
        <v>9</v>
      </c>
      <c r="T33" s="75" t="s">
        <v>9</v>
      </c>
      <c r="U33" s="76" t="s">
        <v>9</v>
      </c>
      <c r="V33" s="75" t="s">
        <v>9</v>
      </c>
      <c r="W33" s="76" t="s">
        <v>9</v>
      </c>
      <c r="X33" s="75" t="s">
        <v>9</v>
      </c>
      <c r="Y33" s="76" t="s">
        <v>9</v>
      </c>
      <c r="Z33" s="75" t="s">
        <v>9</v>
      </c>
      <c r="AA33" s="76" t="s">
        <v>9</v>
      </c>
      <c r="AB33" s="75" t="s">
        <v>672</v>
      </c>
      <c r="AC33" s="76" t="s">
        <v>673</v>
      </c>
      <c r="AD33" s="75" t="s">
        <v>674</v>
      </c>
      <c r="AE33" s="78" t="s">
        <v>687</v>
      </c>
      <c r="AF33" s="87" t="str">
        <f t="shared" si="0"/>
        <v>método.revit</v>
      </c>
      <c r="AG33" s="88" t="s">
        <v>688</v>
      </c>
    </row>
    <row r="34" spans="1:33" ht="7.5" customHeight="1" x14ac:dyDescent="0.25">
      <c r="A34" s="68">
        <v>33</v>
      </c>
      <c r="B34" s="82" t="s">
        <v>689</v>
      </c>
      <c r="C34" s="85" t="s">
        <v>747</v>
      </c>
      <c r="D34" s="71" t="s">
        <v>9</v>
      </c>
      <c r="E34" s="72" t="s">
        <v>9</v>
      </c>
      <c r="F34" s="100" t="s">
        <v>9</v>
      </c>
      <c r="G34" s="78" t="s">
        <v>9</v>
      </c>
      <c r="H34" s="100" t="s">
        <v>9</v>
      </c>
      <c r="I34" s="78" t="s">
        <v>9</v>
      </c>
      <c r="J34" s="100" t="s">
        <v>9</v>
      </c>
      <c r="K34" s="78" t="s">
        <v>9</v>
      </c>
      <c r="L34" s="86" t="s">
        <v>68</v>
      </c>
      <c r="M34" s="78" t="s">
        <v>690</v>
      </c>
      <c r="N34" s="75" t="s">
        <v>9</v>
      </c>
      <c r="O34" s="76" t="s">
        <v>9</v>
      </c>
      <c r="P34" s="75" t="s">
        <v>9</v>
      </c>
      <c r="Q34" s="76" t="s">
        <v>9</v>
      </c>
      <c r="R34" s="75" t="s">
        <v>9</v>
      </c>
      <c r="S34" s="76" t="s">
        <v>9</v>
      </c>
      <c r="T34" s="75" t="s">
        <v>9</v>
      </c>
      <c r="U34" s="76" t="s">
        <v>9</v>
      </c>
      <c r="V34" s="75" t="s">
        <v>9</v>
      </c>
      <c r="W34" s="76" t="s">
        <v>9</v>
      </c>
      <c r="X34" s="75" t="s">
        <v>9</v>
      </c>
      <c r="Y34" s="76" t="s">
        <v>9</v>
      </c>
      <c r="Z34" s="75" t="s">
        <v>9</v>
      </c>
      <c r="AA34" s="76" t="s">
        <v>9</v>
      </c>
      <c r="AB34" s="75" t="s">
        <v>672</v>
      </c>
      <c r="AC34" s="76" t="s">
        <v>673</v>
      </c>
      <c r="AD34" s="75" t="s">
        <v>674</v>
      </c>
      <c r="AE34" s="78" t="s">
        <v>691</v>
      </c>
      <c r="AF34" s="87" t="str">
        <f t="shared" si="0"/>
        <v>método.revit</v>
      </c>
      <c r="AG34" s="88" t="s">
        <v>692</v>
      </c>
    </row>
  </sheetData>
  <phoneticPr fontId="1" type="noConversion"/>
  <conditionalFormatting sqref="B1:B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2026-09-18T18:55:41Z</dcterms:modified>
  <dc:language>pt-BR</dc:language>
</cp:coreProperties>
</file>