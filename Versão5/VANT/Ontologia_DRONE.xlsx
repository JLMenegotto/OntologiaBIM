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VANT\"/>
    </mc:Choice>
  </mc:AlternateContent>
  <xr:revisionPtr revIDLastSave="0" documentId="13_ncr:1_{8A37DB05-191A-4A21-975C-A3650FC18083}" xr6:coauthVersionLast="47" xr6:coauthVersionMax="47" xr10:uidLastSave="{00000000-0000-0000-0000-000000000000}"/>
  <bookViews>
    <workbookView xWindow="-103" yWindow="-103" windowWidth="22149" windowHeight="13200" tabRatio="527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31" l="1"/>
  <c r="W3" i="39" l="1"/>
  <c r="W4" i="39"/>
  <c r="W5" i="39"/>
  <c r="W6" i="39"/>
  <c r="W7" i="39"/>
  <c r="W8" i="39"/>
  <c r="L8" i="39"/>
  <c r="M8" i="39"/>
  <c r="N8" i="39"/>
  <c r="O8" i="39"/>
  <c r="O3" i="39"/>
  <c r="N3" i="39"/>
  <c r="M3" i="39"/>
  <c r="L3" i="39"/>
  <c r="O7" i="39"/>
  <c r="N7" i="39"/>
  <c r="M7" i="39"/>
  <c r="L7" i="39"/>
  <c r="B23" i="31"/>
  <c r="Q8" i="39"/>
  <c r="Q3" i="39"/>
  <c r="Q7" i="39"/>
  <c r="AA3" i="39"/>
  <c r="AA4" i="39"/>
  <c r="AA5" i="39"/>
  <c r="AA6" i="39"/>
  <c r="AA7" i="39"/>
  <c r="AA8" i="39"/>
  <c r="AA2" i="39"/>
  <c r="W2" i="39" l="1"/>
  <c r="O2" i="39"/>
  <c r="N2" i="39"/>
  <c r="M2" i="39"/>
  <c r="L2" i="39"/>
  <c r="O6" i="39"/>
  <c r="N6" i="39"/>
  <c r="M6" i="39"/>
  <c r="L6" i="39"/>
  <c r="O5" i="39"/>
  <c r="N5" i="39"/>
  <c r="M5" i="39"/>
  <c r="L5" i="39"/>
  <c r="L4" i="39"/>
  <c r="Q2" i="39"/>
  <c r="Q6" i="39"/>
  <c r="Q5" i="39"/>
  <c r="Q4" i="39"/>
  <c r="O4" i="39" l="1"/>
  <c r="N4" i="39"/>
  <c r="M4" i="39"/>
  <c r="B18" i="31"/>
  <c r="B6" i="31" l="1"/>
  <c r="B5" i="31"/>
</calcChain>
</file>

<file path=xl/sharedStrings.xml><?xml version="1.0" encoding="utf-8"?>
<sst xmlns="http://schemas.openxmlformats.org/spreadsheetml/2006/main" count="490" uniqueCount="141">
  <si>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</si>
  <si>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</si>
  <si>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</si>
  <si>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</si>
  <si>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</si>
  <si>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</si>
  <si>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</si>
  <si>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</si>
  <si>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</si>
  <si>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</si>
  <si>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</si>
  <si>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</si>
  <si>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</si>
  <si>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</si>
  <si>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</si>
  <si>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</si>
  <si>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</si>
  <si>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</si>
  <si>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</si>
  <si>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</si>
  <si>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</si>
  <si>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</si>
  <si>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</si>
  <si>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</si>
  <si>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</si>
  <si>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</si>
  <si>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</si>
  <si>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</si>
  <si>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</si>
  <si>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</si>
  <si>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</si>
  <si>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</si>
  <si>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</si>
  <si>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</si>
  <si>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</si>
  <si>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</si>
  <si>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</si>
  <si>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</si>
  <si>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</si>
  <si>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</si>
  <si>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</si>
  <si>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</si>
  <si>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</si>
  <si>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</si>
  <si>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</si>
  <si>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</si>
  <si>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</si>
  <si>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</si>
  <si>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</si>
  <si>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</si>
  <si>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</si>
  <si>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</si>
  <si>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</si>
  <si>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</si>
  <si>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</si>
  <si>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</si>
  <si>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</si>
  <si>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</si>
  <si>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</si>
  <si>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</si>
  <si>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</si>
  <si>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</si>
  <si>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</si>
  <si>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</si>
  <si>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</si>
  <si>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</si>
  <si>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</si>
  <si>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</si>
  <si>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</si>
  <si>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</si>
  <si>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</si>
  <si>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</si>
  <si>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</si>
  <si>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</si>
  <si>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</si>
  <si>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</si>
  <si>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</si>
  <si>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</si>
  <si>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</si>
  <si>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</si>
  <si>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</si>
  <si>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Vistoria</t>
  </si>
  <si>
    <t>Manutenção</t>
  </si>
  <si>
    <t>Operação</t>
  </si>
  <si>
    <t>Voo.Autônomo</t>
  </si>
  <si>
    <t>Voo.Manual</t>
  </si>
  <si>
    <t>De.Campo</t>
  </si>
  <si>
    <t>Vistoria realizada em campo.</t>
  </si>
  <si>
    <t>Drone</t>
  </si>
  <si>
    <t>É uma aeronave tipo drone ou UAS.</t>
  </si>
  <si>
    <t>Voo manual de realizado com drone.</t>
  </si>
  <si>
    <t>Voo autônomo realizado com drone.</t>
  </si>
  <si>
    <t>modelo</t>
  </si>
  <si>
    <t>DJI001</t>
  </si>
  <si>
    <t>Voo1</t>
  </si>
  <si>
    <t>Voo2</t>
  </si>
  <si>
    <t>"É um voo de drone autônomo"</t>
  </si>
  <si>
    <t>Data</t>
  </si>
  <si>
    <t>Data01</t>
  </si>
  <si>
    <t>é.data</t>
  </si>
  <si>
    <t>data</t>
  </si>
  <si>
    <t>"É data de voo de vistoria"</t>
  </si>
  <si>
    <t>é.drone</t>
  </si>
  <si>
    <t>Plano01</t>
  </si>
  <si>
    <t>Voo.Plano</t>
  </si>
  <si>
    <t>Plano de voo autônomo.</t>
  </si>
  <si>
    <t>"Mavic 2 Pro"</t>
  </si>
  <si>
    <t>"É aparelho de drone modelo Mavic"</t>
  </si>
  <si>
    <t>é.voo.realizado</t>
  </si>
  <si>
    <t>Data02</t>
  </si>
  <si>
    <t>Plano02</t>
  </si>
  <si>
    <t>Drones</t>
  </si>
  <si>
    <t>Classes e indivíduos de voos de manutenção com drones.</t>
  </si>
  <si>
    <t>Formalizar dados para realização de voos com drones.</t>
  </si>
  <si>
    <t>BancoIma02</t>
  </si>
  <si>
    <t>BancoIma01</t>
  </si>
  <si>
    <t>Banco.Imagens</t>
  </si>
  <si>
    <t>Banco de imagens e vídeos dos voos.</t>
  </si>
  <si>
    <t>url</t>
  </si>
  <si>
    <t>"http://ufrj//ct//vistorias//predio//banco01"</t>
  </si>
  <si>
    <t>"http://ufrj//ct//vistorias//predio//banco02"</t>
  </si>
  <si>
    <t>"É o banco de imagens de voo de manutenção predial"</t>
  </si>
  <si>
    <t>"VG_CT_Principal_2024_CT_Telhado_A_A_2024_08_08_08_18.kml"</t>
  </si>
  <si>
    <t>"VG_CT_Principal_2024_CT_Eixos_E1_E1_2024_08_08_08_14.kml"</t>
  </si>
  <si>
    <t>"É um voo de drone autônomo sobre o CT da UFRJ"</t>
  </si>
  <si>
    <t>"É um voo de drone autônomo realizado sobre o CT da UFRJ"</t>
  </si>
  <si>
    <t>"08/08/2024"</t>
  </si>
  <si>
    <t>formato.kml</t>
  </si>
  <si>
    <t>Temporal</t>
  </si>
  <si>
    <t>Evento</t>
  </si>
  <si>
    <t>Calendário</t>
  </si>
  <si>
    <t>Data da realização do evento de vistoria.</t>
  </si>
  <si>
    <t>Manutenção predial</t>
  </si>
  <si>
    <t>é.pertencente.a</t>
  </si>
  <si>
    <t>"É um plano de voo planejado para o drone Mavic 2"</t>
  </si>
  <si>
    <t>CategoriaRvt</t>
  </si>
  <si>
    <t>ClasseIfc</t>
  </si>
  <si>
    <t>ABNT</t>
  </si>
  <si>
    <t>000 Translate Classe 5</t>
  </si>
  <si>
    <t>Prof. José Luis Menegotto DEG/POLI/UFRJ</t>
  </si>
  <si>
    <t>Explanation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</si>
</sst>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0" fontId="8" fillId="18" borderId="3" xfId="0" applyFont="1" applyFill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left" vertical="center" wrapText="1"/>
    </xf>
    <xf numFmtId="0" fontId="8" fillId="13" borderId="3" xfId="0" applyFont="1" applyFill="1" applyBorder="1" applyAlignment="1">
      <alignment vertical="center" wrapText="1"/>
    </xf>
    <xf numFmtId="0" fontId="8" fillId="18" borderId="2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left" vertical="center"/>
    </xf>
    <xf numFmtId="0" fontId="8" fillId="18" borderId="3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14" fontId="7" fillId="8" borderId="1" xfId="0" applyNumberFormat="1" applyFont="1" applyFill="1" applyBorder="1" applyAlignment="1">
      <alignment vertical="center"/>
    </xf>
    <xf numFmtId="0" fontId="2" fillId="8" borderId="1" xfId="0" quotePrefix="1" applyFont="1" applyFill="1" applyBorder="1" applyAlignment="1">
      <alignment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left" vertical="center" wrapText="1"/>
    </xf>
    <xf numFmtId="0" fontId="3" fillId="22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B24"/>
  <sheetViews>
    <sheetView tabSelected="1" zoomScale="205" zoomScaleNormal="205" workbookViewId="0">
      <pane ySplit="1" topLeftCell="A12" activePane="bottomLeft" state="frozen"/>
      <selection pane="bottomLeft" activeCell="A24" sqref="A24:XFD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16384" width="9.15234375" style="13"/>
  </cols>
  <sheetData>
    <row r="1" spans="1:2" s="10" customFormat="1" ht="21.75" customHeight="1" x14ac:dyDescent="0.4">
      <c r="A1" s="1" t="s">
        <v>3</v>
      </c>
      <c r="B1" s="1" t="s">
        <v>2</v>
      </c>
    </row>
    <row r="2" spans="1:2" ht="9" customHeight="1" x14ac:dyDescent="0.2">
      <c r="A2" s="2" t="s">
        <v>17</v>
      </c>
      <c r="B2" s="2" t="s">
        <v>80</v>
      </c>
    </row>
    <row r="3" spans="1:2" ht="9" customHeight="1" x14ac:dyDescent="0.2">
      <c r="A3" s="2" t="s">
        <v>18</v>
      </c>
      <c r="B3" s="3" t="s">
        <v>111</v>
      </c>
    </row>
    <row r="4" spans="1:2" ht="9" customHeight="1" x14ac:dyDescent="0.2">
      <c r="A4" s="2" t="s">
        <v>7</v>
      </c>
      <c r="B4" s="2" t="s">
        <v>19</v>
      </c>
    </row>
    <row r="5" spans="1:2" ht="9" customHeight="1" x14ac:dyDescent="0.2">
      <c r="A5" s="2" t="s">
        <v>6</v>
      </c>
      <c r="B5" s="2" t="str">
        <f>_xlfn.CONCAT(B4,"Prop")</f>
        <v>BIMProp</v>
      </c>
    </row>
    <row r="6" spans="1:2" ht="9" customHeight="1" x14ac:dyDescent="0.2">
      <c r="A6" s="2" t="s">
        <v>8</v>
      </c>
      <c r="B6" s="2" t="str">
        <f>_xlfn.CONCAT(B4,"Data")</f>
        <v>BIMData</v>
      </c>
    </row>
    <row r="7" spans="1:2" ht="9" customHeight="1" x14ac:dyDescent="0.2">
      <c r="A7" s="2" t="s">
        <v>4</v>
      </c>
      <c r="B7" s="2" t="s">
        <v>32</v>
      </c>
    </row>
    <row r="8" spans="1:2" s="53" customFormat="1" ht="8.25" customHeight="1" x14ac:dyDescent="0.4">
      <c r="A8" s="2" t="s">
        <v>5</v>
      </c>
      <c r="B8" s="2" t="s">
        <v>139</v>
      </c>
    </row>
    <row r="9" spans="1:2" ht="9" customHeight="1" x14ac:dyDescent="0.2">
      <c r="A9" s="2" t="s">
        <v>20</v>
      </c>
      <c r="B9" s="2" t="s">
        <v>21</v>
      </c>
    </row>
    <row r="10" spans="1:2" ht="9" customHeight="1" x14ac:dyDescent="0.2">
      <c r="A10" s="2" t="s">
        <v>22</v>
      </c>
      <c r="B10" s="2" t="s">
        <v>12</v>
      </c>
    </row>
    <row r="11" spans="1:2" ht="9" customHeight="1" x14ac:dyDescent="0.2">
      <c r="A11" s="2" t="s">
        <v>0</v>
      </c>
      <c r="B11" s="2" t="s">
        <v>12</v>
      </c>
    </row>
    <row r="12" spans="1:2" ht="9" customHeight="1" x14ac:dyDescent="0.2">
      <c r="A12" s="2" t="s">
        <v>1</v>
      </c>
      <c r="B12" s="2" t="s">
        <v>12</v>
      </c>
    </row>
    <row r="13" spans="1:2" ht="9" customHeight="1" x14ac:dyDescent="0.2">
      <c r="A13" s="2" t="s">
        <v>23</v>
      </c>
      <c r="B13" s="2" t="s">
        <v>12</v>
      </c>
    </row>
    <row r="14" spans="1:2" ht="9" customHeight="1" x14ac:dyDescent="0.2">
      <c r="A14" s="2" t="s">
        <v>24</v>
      </c>
      <c r="B14" s="2" t="s">
        <v>12</v>
      </c>
    </row>
    <row r="15" spans="1:2" ht="9" customHeight="1" x14ac:dyDescent="0.2">
      <c r="A15" s="2" t="s">
        <v>25</v>
      </c>
      <c r="B15" s="2" t="s">
        <v>12</v>
      </c>
    </row>
    <row r="16" spans="1:2" ht="9" customHeight="1" x14ac:dyDescent="0.2">
      <c r="A16" s="2" t="s">
        <v>26</v>
      </c>
      <c r="B16" s="2" t="s">
        <v>12</v>
      </c>
    </row>
    <row r="17" spans="1:2" ht="9" customHeight="1" x14ac:dyDescent="0.2">
      <c r="A17" s="2" t="s">
        <v>10</v>
      </c>
      <c r="B17" s="4" t="s">
        <v>112</v>
      </c>
    </row>
    <row r="18" spans="1:2" ht="9" customHeight="1" x14ac:dyDescent="0.2">
      <c r="A18" s="2" t="s">
        <v>27</v>
      </c>
      <c r="B18" s="5">
        <f ca="1">NOW()</f>
        <v>45992.397566898151</v>
      </c>
    </row>
    <row r="19" spans="1:2" ht="9" customHeight="1" x14ac:dyDescent="0.2">
      <c r="A19" s="2" t="s">
        <v>28</v>
      </c>
      <c r="B19" s="2" t="s">
        <v>12</v>
      </c>
    </row>
    <row r="20" spans="1:2" ht="9" customHeight="1" x14ac:dyDescent="0.2">
      <c r="A20" s="2" t="s">
        <v>29</v>
      </c>
      <c r="B20" s="2" t="s">
        <v>12</v>
      </c>
    </row>
    <row r="21" spans="1:2" ht="9" customHeight="1" x14ac:dyDescent="0.2">
      <c r="A21" s="2" t="s">
        <v>11</v>
      </c>
      <c r="B21" s="2" t="s">
        <v>12</v>
      </c>
    </row>
    <row r="22" spans="1:2" ht="10.5" customHeight="1" x14ac:dyDescent="0.2">
      <c r="A22" s="4" t="s">
        <v>33</v>
      </c>
      <c r="B22" s="6" t="s">
        <v>113</v>
      </c>
    </row>
    <row r="23" spans="1:2" ht="10.5" customHeight="1" x14ac:dyDescent="0.2">
      <c r="A23" s="4" t="s">
        <v>34</v>
      </c>
      <c r="B23" s="6" t="str">
        <f>_xlfn.TRANSLATE(B22,"pt","es")</f>
        <v>Formalizar los datos de los vuelos de drones.</v>
      </c>
    </row>
    <row r="24" spans="1:2" s="53" customFormat="1" ht="9.75" customHeight="1" x14ac:dyDescent="0.4">
      <c r="A24" s="4" t="s">
        <v>140</v>
      </c>
      <c r="B24" s="6" t="str">
        <f>_xlfn.TRANSLATE(B22,"pt","en")</f>
        <v>Formalize data for drone flights.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8"/>
  <sheetViews>
    <sheetView topLeftCell="R1" zoomScale="265" zoomScaleNormal="265" workbookViewId="0">
      <pane ySplit="1" topLeftCell="A2" activePane="bottomLeft" state="frozen"/>
      <selection pane="bottomLeft" activeCell="AA2" sqref="AA2:AA8"/>
    </sheetView>
  </sheetViews>
  <sheetFormatPr defaultColWidth="9.15234375" defaultRowHeight="8.5" customHeight="1" x14ac:dyDescent="0.4"/>
  <cols>
    <col min="1" max="1" width="1.84375" customWidth="1"/>
    <col min="2" max="2" width="4.3046875" customWidth="1"/>
    <col min="3" max="3" width="5.3046875" customWidth="1"/>
    <col min="4" max="4" width="5.84375" customWidth="1"/>
    <col min="5" max="5" width="4.69140625" customWidth="1"/>
    <col min="6" max="6" width="6.53515625" customWidth="1"/>
    <col min="7" max="11" width="6.3828125" bestFit="1" customWidth="1"/>
    <col min="12" max="12" width="5" bestFit="1" customWidth="1"/>
    <col min="13" max="13" width="6.15234375" customWidth="1"/>
    <col min="14" max="14" width="5.53515625" customWidth="1"/>
    <col min="15" max="15" width="7.15234375" customWidth="1"/>
    <col min="16" max="16" width="20.3046875" bestFit="1" customWidth="1"/>
    <col min="17" max="17" width="23.1523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9" customWidth="1"/>
    <col min="23" max="23" width="6.3046875" customWidth="1"/>
    <col min="26" max="26" width="5.15234375" bestFit="1" customWidth="1"/>
    <col min="27" max="27" width="17" bestFit="1" customWidth="1"/>
  </cols>
  <sheetData>
    <row r="1" spans="1:27" ht="40.200000000000003" customHeight="1" x14ac:dyDescent="0.4">
      <c r="A1" s="28" t="s">
        <v>35</v>
      </c>
      <c r="B1" s="36" t="s">
        <v>60</v>
      </c>
      <c r="C1" s="36" t="s">
        <v>61</v>
      </c>
      <c r="D1" s="36" t="s">
        <v>62</v>
      </c>
      <c r="E1" s="36" t="s">
        <v>63</v>
      </c>
      <c r="F1" s="36" t="s">
        <v>64</v>
      </c>
      <c r="G1" s="34" t="s">
        <v>65</v>
      </c>
      <c r="H1" s="34" t="s">
        <v>66</v>
      </c>
      <c r="I1" s="34" t="s">
        <v>67</v>
      </c>
      <c r="J1" s="34" t="s">
        <v>68</v>
      </c>
      <c r="K1" s="34" t="s">
        <v>69</v>
      </c>
      <c r="L1" s="29" t="s">
        <v>70</v>
      </c>
      <c r="M1" s="29" t="s">
        <v>71</v>
      </c>
      <c r="N1" s="29" t="s">
        <v>72</v>
      </c>
      <c r="O1" s="29" t="s">
        <v>73</v>
      </c>
      <c r="P1" s="29" t="s">
        <v>74</v>
      </c>
      <c r="Q1" s="29" t="s">
        <v>75</v>
      </c>
      <c r="R1" s="30" t="s">
        <v>76</v>
      </c>
      <c r="S1" s="29" t="s">
        <v>36</v>
      </c>
      <c r="T1" s="29" t="s">
        <v>77</v>
      </c>
      <c r="U1" s="29" t="s">
        <v>38</v>
      </c>
      <c r="V1" s="29" t="s">
        <v>37</v>
      </c>
      <c r="W1" s="31" t="s">
        <v>59</v>
      </c>
      <c r="X1" s="29" t="s">
        <v>135</v>
      </c>
      <c r="Y1" s="29" t="s">
        <v>136</v>
      </c>
      <c r="Z1" s="29" t="s">
        <v>137</v>
      </c>
      <c r="AA1" s="51" t="s">
        <v>138</v>
      </c>
    </row>
    <row r="2" spans="1:27" ht="7.4" customHeight="1" x14ac:dyDescent="0.4">
      <c r="A2" s="25">
        <v>2</v>
      </c>
      <c r="B2" s="18" t="s">
        <v>78</v>
      </c>
      <c r="C2" s="18" t="s">
        <v>83</v>
      </c>
      <c r="D2" s="18" t="s">
        <v>82</v>
      </c>
      <c r="E2" s="18" t="s">
        <v>81</v>
      </c>
      <c r="F2" s="18" t="s">
        <v>88</v>
      </c>
      <c r="G2" s="35" t="s">
        <v>9</v>
      </c>
      <c r="H2" s="35" t="s">
        <v>9</v>
      </c>
      <c r="I2" s="35" t="s">
        <v>9</v>
      </c>
      <c r="J2" s="35" t="s">
        <v>9</v>
      </c>
      <c r="K2" s="35" t="s">
        <v>9</v>
      </c>
      <c r="L2" s="26" t="str">
        <f t="shared" ref="L2:L3" si="0">_xlfn.CONCAT(SUBSTITUTE(C2,"1.",""))</f>
        <v>Operação</v>
      </c>
      <c r="M2" s="26" t="str">
        <f t="shared" ref="M2:O7" si="1">_xlfn.CONCAT(SUBSTITUTE(D2,"."," "))</f>
        <v>Manutenção</v>
      </c>
      <c r="N2" s="26" t="str">
        <f t="shared" si="1"/>
        <v>Vistoria</v>
      </c>
      <c r="O2" s="26" t="str">
        <f t="shared" si="1"/>
        <v>Drone</v>
      </c>
      <c r="P2" s="26" t="s">
        <v>89</v>
      </c>
      <c r="Q2" s="32" t="str">
        <f>_xlfn.TRANSLATE(P2,"pt","es")</f>
        <v>Se trata de una aeronave tipo dron o UAS.</v>
      </c>
      <c r="R2" s="27" t="s">
        <v>12</v>
      </c>
      <c r="S2" s="27" t="s">
        <v>12</v>
      </c>
      <c r="T2" s="27" t="s">
        <v>12</v>
      </c>
      <c r="U2" s="27" t="s">
        <v>12</v>
      </c>
      <c r="V2" s="27" t="s">
        <v>132</v>
      </c>
      <c r="W2" s="33" t="str">
        <f t="shared" ref="W2:W8" si="2">CONCATENATE("Key.",LEFT(C2,3),".",A2)</f>
        <v>Key.Ope.2</v>
      </c>
      <c r="X2" s="50" t="s">
        <v>9</v>
      </c>
      <c r="Y2" s="50" t="s">
        <v>9</v>
      </c>
      <c r="Z2" s="50" t="s">
        <v>9</v>
      </c>
      <c r="AA2" s="52" t="str">
        <f>_xlfn.TRANSLATE(P2,"pt","en")</f>
        <v>It is a drone-type aircraft or UAS.</v>
      </c>
    </row>
    <row r="3" spans="1:27" ht="7.4" customHeight="1" x14ac:dyDescent="0.4">
      <c r="A3" s="25">
        <v>3</v>
      </c>
      <c r="B3" s="18" t="s">
        <v>78</v>
      </c>
      <c r="C3" s="18" t="s">
        <v>83</v>
      </c>
      <c r="D3" s="18" t="s">
        <v>82</v>
      </c>
      <c r="E3" s="18" t="s">
        <v>81</v>
      </c>
      <c r="F3" s="18" t="s">
        <v>104</v>
      </c>
      <c r="G3" s="35" t="s">
        <v>9</v>
      </c>
      <c r="H3" s="35" t="s">
        <v>9</v>
      </c>
      <c r="I3" s="35" t="s">
        <v>9</v>
      </c>
      <c r="J3" s="35" t="s">
        <v>9</v>
      </c>
      <c r="K3" s="35" t="s">
        <v>9</v>
      </c>
      <c r="L3" s="26" t="str">
        <f t="shared" si="0"/>
        <v>Operação</v>
      </c>
      <c r="M3" s="26" t="str">
        <f t="shared" si="1"/>
        <v>Manutenção</v>
      </c>
      <c r="N3" s="26" t="str">
        <f t="shared" si="1"/>
        <v>Vistoria</v>
      </c>
      <c r="O3" s="26" t="str">
        <f t="shared" si="1"/>
        <v>Voo Plano</v>
      </c>
      <c r="P3" s="26" t="s">
        <v>105</v>
      </c>
      <c r="Q3" s="32" t="str">
        <f>_xlfn.TRANSLATE(P3,"pt","es")</f>
        <v>Plan de vuelo autónomo.</v>
      </c>
      <c r="R3" s="27" t="s">
        <v>12</v>
      </c>
      <c r="S3" s="27" t="s">
        <v>12</v>
      </c>
      <c r="T3" s="27" t="s">
        <v>12</v>
      </c>
      <c r="U3" s="27" t="s">
        <v>12</v>
      </c>
      <c r="V3" s="27" t="s">
        <v>132</v>
      </c>
      <c r="W3" s="33" t="str">
        <f t="shared" si="2"/>
        <v>Key.Ope.3</v>
      </c>
      <c r="X3" s="50" t="s">
        <v>9</v>
      </c>
      <c r="Y3" s="50" t="s">
        <v>9</v>
      </c>
      <c r="Z3" s="50" t="s">
        <v>9</v>
      </c>
      <c r="AA3" s="52" t="str">
        <f t="shared" ref="AA3:AA8" si="3">_xlfn.TRANSLATE(P3,"pt","en")</f>
        <v>Autonomous flight plan.</v>
      </c>
    </row>
    <row r="4" spans="1:27" ht="7.4" customHeight="1" x14ac:dyDescent="0.4">
      <c r="A4" s="25">
        <v>4</v>
      </c>
      <c r="B4" s="18" t="s">
        <v>78</v>
      </c>
      <c r="C4" s="18" t="s">
        <v>83</v>
      </c>
      <c r="D4" s="18" t="s">
        <v>82</v>
      </c>
      <c r="E4" s="18" t="s">
        <v>81</v>
      </c>
      <c r="F4" s="18" t="s">
        <v>84</v>
      </c>
      <c r="G4" s="35" t="s">
        <v>9</v>
      </c>
      <c r="H4" s="35" t="s">
        <v>9</v>
      </c>
      <c r="I4" s="35" t="s">
        <v>9</v>
      </c>
      <c r="J4" s="35" t="s">
        <v>9</v>
      </c>
      <c r="K4" s="35" t="s">
        <v>9</v>
      </c>
      <c r="L4" s="26" t="str">
        <f t="shared" ref="L4" si="4">_xlfn.CONCAT(SUBSTITUTE(C4,"1.",""))</f>
        <v>Operação</v>
      </c>
      <c r="M4" s="26" t="str">
        <f t="shared" si="1"/>
        <v>Manutenção</v>
      </c>
      <c r="N4" s="26" t="str">
        <f t="shared" si="1"/>
        <v>Vistoria</v>
      </c>
      <c r="O4" s="26" t="str">
        <f t="shared" si="1"/>
        <v>Voo Autônomo</v>
      </c>
      <c r="P4" s="26" t="s">
        <v>91</v>
      </c>
      <c r="Q4" s="32" t="str">
        <f>_xlfn.TRANSLATE(P4,"pt","es")</f>
        <v>Vuelo autónomo realizado con dron.</v>
      </c>
      <c r="R4" s="27" t="s">
        <v>12</v>
      </c>
      <c r="S4" s="27" t="s">
        <v>12</v>
      </c>
      <c r="T4" s="27" t="s">
        <v>12</v>
      </c>
      <c r="U4" s="27" t="s">
        <v>12</v>
      </c>
      <c r="V4" s="27" t="s">
        <v>132</v>
      </c>
      <c r="W4" s="33" t="str">
        <f t="shared" si="2"/>
        <v>Key.Ope.4</v>
      </c>
      <c r="X4" s="50" t="s">
        <v>9</v>
      </c>
      <c r="Y4" s="50" t="s">
        <v>9</v>
      </c>
      <c r="Z4" s="50" t="s">
        <v>9</v>
      </c>
      <c r="AA4" s="52" t="str">
        <f t="shared" si="3"/>
        <v>Autonomous flight carried out with a drone.</v>
      </c>
    </row>
    <row r="5" spans="1:27" ht="7.4" customHeight="1" x14ac:dyDescent="0.4">
      <c r="A5" s="25">
        <v>5</v>
      </c>
      <c r="B5" s="18" t="s">
        <v>78</v>
      </c>
      <c r="C5" s="18" t="s">
        <v>83</v>
      </c>
      <c r="D5" s="18" t="s">
        <v>82</v>
      </c>
      <c r="E5" s="18" t="s">
        <v>81</v>
      </c>
      <c r="F5" s="18" t="s">
        <v>85</v>
      </c>
      <c r="G5" s="35" t="s">
        <v>9</v>
      </c>
      <c r="H5" s="35" t="s">
        <v>9</v>
      </c>
      <c r="I5" s="35" t="s">
        <v>9</v>
      </c>
      <c r="J5" s="35" t="s">
        <v>9</v>
      </c>
      <c r="K5" s="35" t="s">
        <v>9</v>
      </c>
      <c r="L5" s="26" t="str">
        <f t="shared" ref="L5:L6" si="5">_xlfn.CONCAT(SUBSTITUTE(C5,"1.",""))</f>
        <v>Operação</v>
      </c>
      <c r="M5" s="26" t="str">
        <f t="shared" si="1"/>
        <v>Manutenção</v>
      </c>
      <c r="N5" s="26" t="str">
        <f t="shared" si="1"/>
        <v>Vistoria</v>
      </c>
      <c r="O5" s="26" t="str">
        <f t="shared" si="1"/>
        <v>Voo Manual</v>
      </c>
      <c r="P5" s="26" t="s">
        <v>90</v>
      </c>
      <c r="Q5" s="32" t="str">
        <f t="shared" ref="Q5:Q7" si="6">_xlfn.TRANSLATE(P5,"pt","es")</f>
        <v>Vuelo manual realizado con dron.</v>
      </c>
      <c r="R5" s="27" t="s">
        <v>12</v>
      </c>
      <c r="S5" s="27" t="s">
        <v>12</v>
      </c>
      <c r="T5" s="27" t="s">
        <v>12</v>
      </c>
      <c r="U5" s="27" t="s">
        <v>12</v>
      </c>
      <c r="V5" s="27" t="s">
        <v>132</v>
      </c>
      <c r="W5" s="33" t="str">
        <f t="shared" si="2"/>
        <v>Key.Ope.5</v>
      </c>
      <c r="X5" s="50" t="s">
        <v>9</v>
      </c>
      <c r="Y5" s="50" t="s">
        <v>9</v>
      </c>
      <c r="Z5" s="50" t="s">
        <v>9</v>
      </c>
      <c r="AA5" s="52" t="str">
        <f t="shared" si="3"/>
        <v>Manual flight carried out with drone.</v>
      </c>
    </row>
    <row r="6" spans="1:27" ht="7.4" customHeight="1" x14ac:dyDescent="0.4">
      <c r="A6" s="25">
        <v>6</v>
      </c>
      <c r="B6" s="18" t="s">
        <v>78</v>
      </c>
      <c r="C6" s="18" t="s">
        <v>83</v>
      </c>
      <c r="D6" s="18" t="s">
        <v>82</v>
      </c>
      <c r="E6" s="18" t="s">
        <v>81</v>
      </c>
      <c r="F6" s="18" t="s">
        <v>86</v>
      </c>
      <c r="G6" s="35" t="s">
        <v>9</v>
      </c>
      <c r="H6" s="35" t="s">
        <v>9</v>
      </c>
      <c r="I6" s="35" t="s">
        <v>9</v>
      </c>
      <c r="J6" s="35" t="s">
        <v>9</v>
      </c>
      <c r="K6" s="35" t="s">
        <v>9</v>
      </c>
      <c r="L6" s="26" t="str">
        <f t="shared" si="5"/>
        <v>Operação</v>
      </c>
      <c r="M6" s="26" t="str">
        <f t="shared" si="1"/>
        <v>Manutenção</v>
      </c>
      <c r="N6" s="26" t="str">
        <f t="shared" si="1"/>
        <v>Vistoria</v>
      </c>
      <c r="O6" s="26" t="str">
        <f t="shared" si="1"/>
        <v>De Campo</v>
      </c>
      <c r="P6" s="26" t="s">
        <v>87</v>
      </c>
      <c r="Q6" s="32" t="str">
        <f t="shared" si="6"/>
        <v>Inspección realizada en campo.</v>
      </c>
      <c r="R6" s="27" t="s">
        <v>12</v>
      </c>
      <c r="S6" s="27" t="s">
        <v>12</v>
      </c>
      <c r="T6" s="27" t="s">
        <v>12</v>
      </c>
      <c r="U6" s="27" t="s">
        <v>12</v>
      </c>
      <c r="V6" s="27" t="s">
        <v>132</v>
      </c>
      <c r="W6" s="33" t="str">
        <f t="shared" si="2"/>
        <v>Key.Ope.6</v>
      </c>
      <c r="X6" s="50" t="s">
        <v>9</v>
      </c>
      <c r="Y6" s="50" t="s">
        <v>9</v>
      </c>
      <c r="Z6" s="50" t="s">
        <v>9</v>
      </c>
      <c r="AA6" s="52" t="str">
        <f t="shared" si="3"/>
        <v>Inspection carried out in the field.</v>
      </c>
    </row>
    <row r="7" spans="1:27" ht="7.4" customHeight="1" x14ac:dyDescent="0.4">
      <c r="A7" s="25">
        <v>7</v>
      </c>
      <c r="B7" s="18" t="s">
        <v>78</v>
      </c>
      <c r="C7" s="18" t="s">
        <v>83</v>
      </c>
      <c r="D7" s="18" t="s">
        <v>82</v>
      </c>
      <c r="E7" s="18" t="s">
        <v>81</v>
      </c>
      <c r="F7" s="18" t="s">
        <v>116</v>
      </c>
      <c r="G7" s="35" t="s">
        <v>9</v>
      </c>
      <c r="H7" s="35" t="s">
        <v>9</v>
      </c>
      <c r="I7" s="35" t="s">
        <v>9</v>
      </c>
      <c r="J7" s="35" t="s">
        <v>9</v>
      </c>
      <c r="K7" s="35" t="s">
        <v>9</v>
      </c>
      <c r="L7" s="26" t="str">
        <f t="shared" ref="L7" si="7">_xlfn.CONCAT(SUBSTITUTE(C7,"1.",""))</f>
        <v>Operação</v>
      </c>
      <c r="M7" s="26" t="str">
        <f t="shared" si="1"/>
        <v>Manutenção</v>
      </c>
      <c r="N7" s="26" t="str">
        <f t="shared" si="1"/>
        <v>Vistoria</v>
      </c>
      <c r="O7" s="26" t="str">
        <f t="shared" si="1"/>
        <v>Banco Imagens</v>
      </c>
      <c r="P7" s="26" t="s">
        <v>117</v>
      </c>
      <c r="Q7" s="32" t="str">
        <f t="shared" si="6"/>
        <v>Imágenes y videos de archivo de los vuelos.</v>
      </c>
      <c r="R7" s="27" t="s">
        <v>12</v>
      </c>
      <c r="S7" s="27" t="s">
        <v>12</v>
      </c>
      <c r="T7" s="27" t="s">
        <v>12</v>
      </c>
      <c r="U7" s="27" t="s">
        <v>12</v>
      </c>
      <c r="V7" s="27" t="s">
        <v>132</v>
      </c>
      <c r="W7" s="33" t="str">
        <f t="shared" si="2"/>
        <v>Key.Ope.7</v>
      </c>
      <c r="X7" s="50" t="s">
        <v>9</v>
      </c>
      <c r="Y7" s="50" t="s">
        <v>9</v>
      </c>
      <c r="Z7" s="50" t="s">
        <v>9</v>
      </c>
      <c r="AA7" s="52" t="str">
        <f t="shared" si="3"/>
        <v>Stock images and videos of the flights.</v>
      </c>
    </row>
    <row r="8" spans="1:27" ht="7.4" customHeight="1" x14ac:dyDescent="0.4">
      <c r="A8" s="25">
        <v>8</v>
      </c>
      <c r="B8" s="18" t="s">
        <v>78</v>
      </c>
      <c r="C8" s="48" t="s">
        <v>128</v>
      </c>
      <c r="D8" s="48" t="s">
        <v>129</v>
      </c>
      <c r="E8" s="49" t="s">
        <v>130</v>
      </c>
      <c r="F8" s="18" t="s">
        <v>97</v>
      </c>
      <c r="G8" s="35" t="s">
        <v>9</v>
      </c>
      <c r="H8" s="35" t="s">
        <v>9</v>
      </c>
      <c r="I8" s="35" t="s">
        <v>9</v>
      </c>
      <c r="J8" s="35" t="s">
        <v>9</v>
      </c>
      <c r="K8" s="35" t="s">
        <v>9</v>
      </c>
      <c r="L8" s="26" t="str">
        <f t="shared" ref="L8" si="8">_xlfn.CONCAT(SUBSTITUTE(C8,"1.",""))</f>
        <v>Temporal</v>
      </c>
      <c r="M8" s="26" t="str">
        <f t="shared" ref="M8" si="9">_xlfn.CONCAT(SUBSTITUTE(D8,"."," "))</f>
        <v>Evento</v>
      </c>
      <c r="N8" s="26" t="str">
        <f t="shared" ref="N8" si="10">_xlfn.CONCAT(SUBSTITUTE(E8,"."," "))</f>
        <v>Calendário</v>
      </c>
      <c r="O8" s="26" t="str">
        <f t="shared" ref="O8" si="11">_xlfn.CONCAT(SUBSTITUTE(F8,"."," "))</f>
        <v>Data</v>
      </c>
      <c r="P8" s="26" t="s">
        <v>131</v>
      </c>
      <c r="Q8" s="32" t="str">
        <f t="shared" ref="Q8" si="12">_xlfn.TRANSLATE(P8,"pt","es")</f>
        <v>Fecha del evento de inspección.</v>
      </c>
      <c r="R8" s="27" t="s">
        <v>12</v>
      </c>
      <c r="S8" s="27" t="s">
        <v>12</v>
      </c>
      <c r="T8" s="27" t="s">
        <v>12</v>
      </c>
      <c r="U8" s="27" t="s">
        <v>12</v>
      </c>
      <c r="V8" s="27" t="s">
        <v>132</v>
      </c>
      <c r="W8" s="33" t="str">
        <f t="shared" si="2"/>
        <v>Key.Tem.8</v>
      </c>
      <c r="X8" s="50" t="s">
        <v>9</v>
      </c>
      <c r="Y8" s="50" t="s">
        <v>9</v>
      </c>
      <c r="Z8" s="50" t="s">
        <v>9</v>
      </c>
      <c r="AA8" s="52" t="str">
        <f t="shared" si="3"/>
        <v>Date of the inspection event.</v>
      </c>
    </row>
  </sheetData>
  <conditionalFormatting sqref="F1"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</conditionalFormatting>
  <conditionalFormatting sqref="F1:F5">
    <cfRule type="duplicateValues" dxfId="6" priority="153"/>
  </conditionalFormatting>
  <conditionalFormatting sqref="F9:F1048576 F1:F5">
    <cfRule type="duplicateValues" dxfId="5" priority="4"/>
  </conditionalFormatting>
  <conditionalFormatting sqref="G1:O1">
    <cfRule type="cellIs" dxfId="4" priority="6" operator="equal">
      <formula>"null"</formula>
    </cfRule>
  </conditionalFormatting>
  <conditionalFormatting sqref="AA1:AA8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3"/>
  </cols>
  <sheetData>
    <row r="1" spans="1:21" ht="7.75" x14ac:dyDescent="0.2">
      <c r="A1" s="21">
        <v>1</v>
      </c>
      <c r="B1" s="22" t="s">
        <v>39</v>
      </c>
      <c r="C1" s="22" t="s">
        <v>40</v>
      </c>
      <c r="D1" s="22" t="s">
        <v>41</v>
      </c>
      <c r="E1" s="22" t="s">
        <v>42</v>
      </c>
      <c r="F1" s="22" t="s">
        <v>43</v>
      </c>
      <c r="G1" s="22" t="s">
        <v>44</v>
      </c>
      <c r="H1" s="22" t="s">
        <v>45</v>
      </c>
      <c r="I1" s="22" t="s">
        <v>46</v>
      </c>
      <c r="J1" s="22" t="s">
        <v>47</v>
      </c>
      <c r="K1" s="22" t="s">
        <v>48</v>
      </c>
      <c r="L1" s="22" t="s">
        <v>49</v>
      </c>
      <c r="M1" s="22" t="s">
        <v>50</v>
      </c>
      <c r="N1" s="22" t="s">
        <v>51</v>
      </c>
      <c r="O1" s="22" t="s">
        <v>52</v>
      </c>
      <c r="P1" s="22" t="s">
        <v>53</v>
      </c>
      <c r="Q1" s="22" t="s">
        <v>54</v>
      </c>
      <c r="R1" s="22" t="s">
        <v>55</v>
      </c>
      <c r="S1" s="22" t="s">
        <v>56</v>
      </c>
      <c r="T1" s="22" t="s">
        <v>57</v>
      </c>
      <c r="U1" s="22" t="s">
        <v>58</v>
      </c>
    </row>
    <row r="2" spans="1:21" ht="7.75" x14ac:dyDescent="0.2">
      <c r="A2" s="21">
        <v>2</v>
      </c>
      <c r="B2" s="24" t="s">
        <v>9</v>
      </c>
      <c r="C2" s="24" t="s">
        <v>9</v>
      </c>
      <c r="D2" s="24" t="s">
        <v>9</v>
      </c>
      <c r="E2" s="24" t="s">
        <v>9</v>
      </c>
      <c r="F2" s="24" t="s">
        <v>9</v>
      </c>
      <c r="G2" s="24" t="s">
        <v>9</v>
      </c>
      <c r="H2" s="24" t="s">
        <v>9</v>
      </c>
      <c r="I2" s="24" t="s">
        <v>9</v>
      </c>
      <c r="J2" s="24" t="s">
        <v>9</v>
      </c>
      <c r="K2" s="24" t="s">
        <v>9</v>
      </c>
      <c r="L2" s="24" t="s">
        <v>9</v>
      </c>
      <c r="M2" s="24" t="s">
        <v>9</v>
      </c>
      <c r="N2" s="24" t="s">
        <v>9</v>
      </c>
      <c r="O2" s="24" t="s">
        <v>9</v>
      </c>
      <c r="P2" s="24" t="s">
        <v>9</v>
      </c>
      <c r="Q2" s="24" t="s">
        <v>9</v>
      </c>
      <c r="R2" s="24" t="s">
        <v>9</v>
      </c>
      <c r="S2" s="24" t="s">
        <v>9</v>
      </c>
      <c r="T2" s="24" t="s">
        <v>9</v>
      </c>
      <c r="U2" s="24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6" sqref="B6"/>
    </sheetView>
  </sheetViews>
  <sheetFormatPr defaultColWidth="9.15234375" defaultRowHeight="6.75" customHeight="1" x14ac:dyDescent="0.2"/>
  <cols>
    <col min="1" max="1" width="3" style="13" bestFit="1" customWidth="1"/>
    <col min="2" max="2" width="7.84375" style="13" customWidth="1"/>
    <col min="3" max="3" width="7.69140625" style="13" customWidth="1"/>
    <col min="4" max="4" width="7.38281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79</v>
      </c>
      <c r="D1" s="9" t="s">
        <v>79</v>
      </c>
    </row>
    <row r="2" spans="1:4" ht="6.75" customHeight="1" x14ac:dyDescent="0.2">
      <c r="A2" s="7">
        <v>2</v>
      </c>
      <c r="B2" s="37" t="s">
        <v>9</v>
      </c>
      <c r="C2" s="38" t="s">
        <v>9</v>
      </c>
      <c r="D2" s="3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Y10"/>
  <sheetViews>
    <sheetView topLeftCell="G1" zoomScale="295" zoomScaleNormal="295" workbookViewId="0">
      <pane ySplit="1" topLeftCell="A2" activePane="bottomLeft" state="frozen"/>
      <selection pane="bottomLeft" activeCell="G13" sqref="G13"/>
    </sheetView>
  </sheetViews>
  <sheetFormatPr defaultColWidth="9.15234375" defaultRowHeight="6.75" customHeight="1" x14ac:dyDescent="0.4"/>
  <cols>
    <col min="1" max="1" width="1.69140625" bestFit="1" customWidth="1"/>
    <col min="2" max="2" width="6.3046875" customWidth="1"/>
    <col min="3" max="3" width="7.15234375" customWidth="1"/>
    <col min="4" max="4" width="3.3828125" bestFit="1" customWidth="1"/>
    <col min="5" max="5" width="16.3828125" bestFit="1" customWidth="1"/>
    <col min="6" max="6" width="7.15234375" customWidth="1"/>
    <col min="7" max="7" width="22.84375" customWidth="1"/>
    <col min="8" max="8" width="2.69140625" bestFit="1" customWidth="1"/>
    <col min="9" max="9" width="3.15234375" bestFit="1" customWidth="1"/>
    <col min="10" max="10" width="4" bestFit="1" customWidth="1"/>
    <col min="11" max="11" width="24.3046875" bestFit="1" customWidth="1"/>
    <col min="12" max="12" width="4.84375" bestFit="1" customWidth="1"/>
    <col min="13" max="13" width="27.53515625" bestFit="1" customWidth="1"/>
    <col min="14" max="14" width="9.15234375" customWidth="1"/>
    <col min="15" max="15" width="7.3046875" customWidth="1"/>
    <col min="16" max="16" width="2.3828125" bestFit="1" customWidth="1"/>
    <col min="17" max="17" width="2.84375" bestFit="1" customWidth="1"/>
    <col min="18" max="18" width="2.3828125" bestFit="1" customWidth="1"/>
    <col min="19" max="19" width="2.84375" bestFit="1" customWidth="1"/>
    <col min="20" max="20" width="2.3828125" bestFit="1" customWidth="1"/>
    <col min="21" max="21" width="2.84375" bestFit="1" customWidth="1"/>
    <col min="22" max="22" width="2.3828125" bestFit="1" customWidth="1"/>
    <col min="23" max="23" width="2.84375" bestFit="1" customWidth="1"/>
    <col min="24" max="24" width="2.3828125" bestFit="1" customWidth="1"/>
    <col min="25" max="25" width="2.84375" bestFit="1" customWidth="1"/>
  </cols>
  <sheetData>
    <row r="1" spans="1:25" ht="24.75" customHeight="1" x14ac:dyDescent="0.4">
      <c r="A1" s="14" t="s">
        <v>30</v>
      </c>
      <c r="B1" s="15" t="s">
        <v>13</v>
      </c>
      <c r="C1" s="15" t="s">
        <v>14</v>
      </c>
      <c r="D1" s="39" t="s">
        <v>15</v>
      </c>
      <c r="E1" s="15" t="s">
        <v>2</v>
      </c>
      <c r="F1" s="39" t="s">
        <v>15</v>
      </c>
      <c r="G1" s="39" t="s">
        <v>2</v>
      </c>
      <c r="H1" s="39" t="s">
        <v>15</v>
      </c>
      <c r="I1" s="39" t="s">
        <v>2</v>
      </c>
      <c r="J1" s="39" t="s">
        <v>15</v>
      </c>
      <c r="K1" s="39" t="s">
        <v>2</v>
      </c>
      <c r="L1" s="39" t="s">
        <v>15</v>
      </c>
      <c r="M1" s="39" t="s">
        <v>2</v>
      </c>
      <c r="N1" s="43" t="s">
        <v>31</v>
      </c>
      <c r="O1" s="15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43" t="s">
        <v>2</v>
      </c>
      <c r="X1" s="15" t="s">
        <v>15</v>
      </c>
      <c r="Y1" s="43" t="s">
        <v>2</v>
      </c>
    </row>
    <row r="2" spans="1:25" ht="6.75" customHeight="1" x14ac:dyDescent="0.4">
      <c r="A2" s="16">
        <v>2</v>
      </c>
      <c r="B2" s="17" t="s">
        <v>98</v>
      </c>
      <c r="C2" s="18" t="s">
        <v>97</v>
      </c>
      <c r="D2" s="44" t="s">
        <v>100</v>
      </c>
      <c r="E2" s="46" t="s">
        <v>126</v>
      </c>
      <c r="F2" s="42" t="s">
        <v>16</v>
      </c>
      <c r="G2" s="20" t="s">
        <v>101</v>
      </c>
      <c r="H2" s="44" t="s">
        <v>9</v>
      </c>
      <c r="I2" s="45" t="s">
        <v>9</v>
      </c>
      <c r="J2" s="44" t="s">
        <v>9</v>
      </c>
      <c r="K2" s="45" t="s">
        <v>9</v>
      </c>
      <c r="L2" s="44" t="s">
        <v>9</v>
      </c>
      <c r="M2" s="45" t="s">
        <v>9</v>
      </c>
      <c r="N2" s="44" t="s">
        <v>9</v>
      </c>
      <c r="O2" s="45" t="s">
        <v>9</v>
      </c>
      <c r="P2" s="44" t="s">
        <v>9</v>
      </c>
      <c r="Q2" s="45" t="s">
        <v>9</v>
      </c>
      <c r="R2" s="42" t="s">
        <v>9</v>
      </c>
      <c r="S2" s="20" t="s">
        <v>9</v>
      </c>
      <c r="T2" s="42" t="s">
        <v>9</v>
      </c>
      <c r="U2" s="20" t="s">
        <v>9</v>
      </c>
      <c r="V2" s="42" t="s">
        <v>9</v>
      </c>
      <c r="W2" s="20" t="s">
        <v>9</v>
      </c>
      <c r="X2" s="42" t="s">
        <v>9</v>
      </c>
      <c r="Y2" s="20" t="s">
        <v>9</v>
      </c>
    </row>
    <row r="3" spans="1:25" ht="6.75" customHeight="1" x14ac:dyDescent="0.4">
      <c r="A3" s="16">
        <v>3</v>
      </c>
      <c r="B3" s="17" t="s">
        <v>109</v>
      </c>
      <c r="C3" s="18" t="s">
        <v>97</v>
      </c>
      <c r="D3" s="44" t="s">
        <v>100</v>
      </c>
      <c r="E3" s="46" t="s">
        <v>126</v>
      </c>
      <c r="F3" s="42" t="s">
        <v>16</v>
      </c>
      <c r="G3" s="20" t="s">
        <v>101</v>
      </c>
      <c r="H3" s="44" t="s">
        <v>9</v>
      </c>
      <c r="I3" s="45" t="s">
        <v>9</v>
      </c>
      <c r="J3" s="44" t="s">
        <v>9</v>
      </c>
      <c r="K3" s="45" t="s">
        <v>9</v>
      </c>
      <c r="L3" s="44" t="s">
        <v>9</v>
      </c>
      <c r="M3" s="45" t="s">
        <v>9</v>
      </c>
      <c r="N3" s="44" t="s">
        <v>9</v>
      </c>
      <c r="O3" s="45" t="s">
        <v>9</v>
      </c>
      <c r="P3" s="44" t="s">
        <v>9</v>
      </c>
      <c r="Q3" s="45" t="s">
        <v>9</v>
      </c>
      <c r="R3" s="42" t="s">
        <v>9</v>
      </c>
      <c r="S3" s="20" t="s">
        <v>9</v>
      </c>
      <c r="T3" s="42" t="s">
        <v>9</v>
      </c>
      <c r="U3" s="20" t="s">
        <v>9</v>
      </c>
      <c r="V3" s="42" t="s">
        <v>9</v>
      </c>
      <c r="W3" s="20" t="s">
        <v>9</v>
      </c>
      <c r="X3" s="42" t="s">
        <v>9</v>
      </c>
      <c r="Y3" s="20" t="s">
        <v>9</v>
      </c>
    </row>
    <row r="4" spans="1:25" ht="6.75" customHeight="1" x14ac:dyDescent="0.4">
      <c r="A4" s="16">
        <v>4</v>
      </c>
      <c r="B4" s="17" t="s">
        <v>93</v>
      </c>
      <c r="C4" s="18" t="s">
        <v>88</v>
      </c>
      <c r="D4" s="42" t="s">
        <v>92</v>
      </c>
      <c r="E4" s="20" t="s">
        <v>106</v>
      </c>
      <c r="F4" s="42" t="s">
        <v>16</v>
      </c>
      <c r="G4" s="20" t="s">
        <v>107</v>
      </c>
      <c r="H4" s="44" t="s">
        <v>9</v>
      </c>
      <c r="I4" s="45" t="s">
        <v>9</v>
      </c>
      <c r="J4" s="44" t="s">
        <v>9</v>
      </c>
      <c r="K4" s="45" t="s">
        <v>9</v>
      </c>
      <c r="L4" s="44" t="s">
        <v>9</v>
      </c>
      <c r="M4" s="45" t="s">
        <v>9</v>
      </c>
      <c r="N4" s="44" t="s">
        <v>9</v>
      </c>
      <c r="O4" s="45" t="s">
        <v>9</v>
      </c>
      <c r="P4" s="44" t="s">
        <v>9</v>
      </c>
      <c r="Q4" s="45" t="s">
        <v>9</v>
      </c>
      <c r="R4" s="42" t="s">
        <v>9</v>
      </c>
      <c r="S4" s="20" t="s">
        <v>9</v>
      </c>
      <c r="T4" s="42" t="s">
        <v>9</v>
      </c>
      <c r="U4" s="20" t="s">
        <v>9</v>
      </c>
      <c r="V4" s="42" t="s">
        <v>9</v>
      </c>
      <c r="W4" s="20" t="s">
        <v>9</v>
      </c>
      <c r="X4" s="42" t="s">
        <v>9</v>
      </c>
      <c r="Y4" s="20" t="s">
        <v>9</v>
      </c>
    </row>
    <row r="5" spans="1:25" ht="6.75" customHeight="1" x14ac:dyDescent="0.4">
      <c r="A5" s="16">
        <v>5</v>
      </c>
      <c r="B5" s="17" t="s">
        <v>115</v>
      </c>
      <c r="C5" s="18" t="s">
        <v>116</v>
      </c>
      <c r="D5" s="44" t="s">
        <v>118</v>
      </c>
      <c r="E5" s="47" t="s">
        <v>119</v>
      </c>
      <c r="F5" s="42" t="s">
        <v>16</v>
      </c>
      <c r="G5" s="20" t="s">
        <v>121</v>
      </c>
      <c r="H5" s="44" t="s">
        <v>9</v>
      </c>
      <c r="I5" s="45" t="s">
        <v>9</v>
      </c>
      <c r="J5" s="42" t="s">
        <v>16</v>
      </c>
      <c r="K5" s="20" t="s">
        <v>96</v>
      </c>
      <c r="L5" s="42" t="s">
        <v>9</v>
      </c>
      <c r="M5" s="20" t="s">
        <v>9</v>
      </c>
      <c r="N5" s="44" t="s">
        <v>9</v>
      </c>
      <c r="O5" s="45" t="s">
        <v>9</v>
      </c>
      <c r="P5" s="42" t="s">
        <v>9</v>
      </c>
      <c r="Q5" s="20" t="s">
        <v>9</v>
      </c>
      <c r="R5" s="42" t="s">
        <v>9</v>
      </c>
      <c r="S5" s="20" t="s">
        <v>9</v>
      </c>
      <c r="T5" s="42" t="s">
        <v>9</v>
      </c>
      <c r="U5" s="20" t="s">
        <v>9</v>
      </c>
      <c r="V5" s="42" t="s">
        <v>9</v>
      </c>
      <c r="W5" s="20" t="s">
        <v>9</v>
      </c>
      <c r="X5" s="42" t="s">
        <v>9</v>
      </c>
      <c r="Y5" s="20" t="s">
        <v>9</v>
      </c>
    </row>
    <row r="6" spans="1:25" ht="6.75" customHeight="1" x14ac:dyDescent="0.4">
      <c r="A6" s="16">
        <v>6</v>
      </c>
      <c r="B6" s="17" t="s">
        <v>114</v>
      </c>
      <c r="C6" s="18" t="s">
        <v>116</v>
      </c>
      <c r="D6" s="44" t="s">
        <v>118</v>
      </c>
      <c r="E6" s="47" t="s">
        <v>120</v>
      </c>
      <c r="F6" s="42" t="s">
        <v>16</v>
      </c>
      <c r="G6" s="20" t="s">
        <v>121</v>
      </c>
      <c r="H6" s="44" t="s">
        <v>9</v>
      </c>
      <c r="I6" s="45" t="s">
        <v>9</v>
      </c>
      <c r="J6" s="42" t="s">
        <v>16</v>
      </c>
      <c r="K6" s="20" t="s">
        <v>96</v>
      </c>
      <c r="L6" s="42" t="s">
        <v>9</v>
      </c>
      <c r="M6" s="20" t="s">
        <v>9</v>
      </c>
      <c r="N6" s="44" t="s">
        <v>9</v>
      </c>
      <c r="O6" s="45" t="s">
        <v>9</v>
      </c>
      <c r="P6" s="42" t="s">
        <v>9</v>
      </c>
      <c r="Q6" s="20" t="s">
        <v>9</v>
      </c>
      <c r="R6" s="42" t="s">
        <v>9</v>
      </c>
      <c r="S6" s="20" t="s">
        <v>9</v>
      </c>
      <c r="T6" s="42" t="s">
        <v>9</v>
      </c>
      <c r="U6" s="20" t="s">
        <v>9</v>
      </c>
      <c r="V6" s="42" t="s">
        <v>9</v>
      </c>
      <c r="W6" s="20" t="s">
        <v>9</v>
      </c>
      <c r="X6" s="42" t="s">
        <v>9</v>
      </c>
      <c r="Y6" s="20" t="s">
        <v>9</v>
      </c>
    </row>
    <row r="7" spans="1:25" ht="6.75" customHeight="1" x14ac:dyDescent="0.4">
      <c r="A7" s="16">
        <v>7</v>
      </c>
      <c r="B7" s="17" t="s">
        <v>103</v>
      </c>
      <c r="C7" s="18" t="s">
        <v>104</v>
      </c>
      <c r="D7" s="40" t="s">
        <v>102</v>
      </c>
      <c r="E7" s="19" t="s">
        <v>93</v>
      </c>
      <c r="F7" s="42" t="s">
        <v>16</v>
      </c>
      <c r="G7" s="20" t="s">
        <v>134</v>
      </c>
      <c r="H7" s="44" t="s">
        <v>9</v>
      </c>
      <c r="I7" s="45" t="s">
        <v>9</v>
      </c>
      <c r="J7" s="42" t="s">
        <v>16</v>
      </c>
      <c r="K7" s="20" t="s">
        <v>124</v>
      </c>
      <c r="L7" s="42" t="s">
        <v>9</v>
      </c>
      <c r="M7" s="20" t="s">
        <v>9</v>
      </c>
      <c r="N7" s="44" t="s">
        <v>9</v>
      </c>
      <c r="O7" s="45" t="s">
        <v>9</v>
      </c>
      <c r="P7" s="42" t="s">
        <v>9</v>
      </c>
      <c r="Q7" s="20" t="s">
        <v>9</v>
      </c>
      <c r="R7" s="42" t="s">
        <v>9</v>
      </c>
      <c r="S7" s="20" t="s">
        <v>9</v>
      </c>
      <c r="T7" s="42" t="s">
        <v>9</v>
      </c>
      <c r="U7" s="20" t="s">
        <v>9</v>
      </c>
      <c r="V7" s="42" t="s">
        <v>9</v>
      </c>
      <c r="W7" s="20" t="s">
        <v>9</v>
      </c>
      <c r="X7" s="42" t="s">
        <v>9</v>
      </c>
      <c r="Y7" s="20" t="s">
        <v>9</v>
      </c>
    </row>
    <row r="8" spans="1:25" ht="6.75" customHeight="1" x14ac:dyDescent="0.4">
      <c r="A8" s="16">
        <v>8</v>
      </c>
      <c r="B8" s="17" t="s">
        <v>110</v>
      </c>
      <c r="C8" s="18" t="s">
        <v>104</v>
      </c>
      <c r="D8" s="40" t="s">
        <v>102</v>
      </c>
      <c r="E8" s="19" t="s">
        <v>93</v>
      </c>
      <c r="F8" s="42" t="s">
        <v>16</v>
      </c>
      <c r="G8" s="20" t="s">
        <v>134</v>
      </c>
      <c r="H8" s="44" t="s">
        <v>9</v>
      </c>
      <c r="I8" s="45" t="s">
        <v>9</v>
      </c>
      <c r="J8" s="42" t="s">
        <v>16</v>
      </c>
      <c r="K8" s="20" t="s">
        <v>124</v>
      </c>
      <c r="L8" s="42" t="s">
        <v>9</v>
      </c>
      <c r="M8" s="20" t="s">
        <v>9</v>
      </c>
      <c r="N8" s="44" t="s">
        <v>9</v>
      </c>
      <c r="O8" s="45" t="s">
        <v>9</v>
      </c>
      <c r="P8" s="42" t="s">
        <v>9</v>
      </c>
      <c r="Q8" s="20" t="s">
        <v>9</v>
      </c>
      <c r="R8" s="42" t="s">
        <v>9</v>
      </c>
      <c r="S8" s="20" t="s">
        <v>9</v>
      </c>
      <c r="T8" s="42" t="s">
        <v>9</v>
      </c>
      <c r="U8" s="20" t="s">
        <v>9</v>
      </c>
      <c r="V8" s="42" t="s">
        <v>9</v>
      </c>
      <c r="W8" s="20" t="s">
        <v>9</v>
      </c>
      <c r="X8" s="42" t="s">
        <v>9</v>
      </c>
      <c r="Y8" s="20" t="s">
        <v>9</v>
      </c>
    </row>
    <row r="9" spans="1:25" ht="6.75" customHeight="1" x14ac:dyDescent="0.4">
      <c r="A9" s="16">
        <v>9</v>
      </c>
      <c r="B9" s="17" t="s">
        <v>94</v>
      </c>
      <c r="C9" s="18" t="s">
        <v>84</v>
      </c>
      <c r="D9" s="40" t="s">
        <v>102</v>
      </c>
      <c r="E9" s="19" t="s">
        <v>93</v>
      </c>
      <c r="F9" s="40" t="s">
        <v>108</v>
      </c>
      <c r="G9" s="41" t="s">
        <v>103</v>
      </c>
      <c r="H9" s="40" t="s">
        <v>99</v>
      </c>
      <c r="I9" s="41" t="s">
        <v>98</v>
      </c>
      <c r="J9" s="42" t="s">
        <v>16</v>
      </c>
      <c r="K9" s="20" t="s">
        <v>125</v>
      </c>
      <c r="L9" s="42" t="s">
        <v>127</v>
      </c>
      <c r="M9" s="20" t="s">
        <v>123</v>
      </c>
      <c r="N9" s="40" t="s">
        <v>133</v>
      </c>
      <c r="O9" s="41" t="s">
        <v>115</v>
      </c>
      <c r="P9" s="42" t="s">
        <v>9</v>
      </c>
      <c r="Q9" s="20" t="s">
        <v>9</v>
      </c>
      <c r="R9" s="42" t="s">
        <v>9</v>
      </c>
      <c r="S9" s="20" t="s">
        <v>9</v>
      </c>
      <c r="T9" s="42" t="s">
        <v>9</v>
      </c>
      <c r="U9" s="20" t="s">
        <v>9</v>
      </c>
      <c r="V9" s="42" t="s">
        <v>9</v>
      </c>
      <c r="W9" s="20" t="s">
        <v>9</v>
      </c>
      <c r="X9" s="42" t="s">
        <v>9</v>
      </c>
      <c r="Y9" s="20" t="s">
        <v>9</v>
      </c>
    </row>
    <row r="10" spans="1:25" ht="6.75" customHeight="1" x14ac:dyDescent="0.4">
      <c r="A10" s="16">
        <v>10</v>
      </c>
      <c r="B10" s="17" t="s">
        <v>95</v>
      </c>
      <c r="C10" s="18" t="s">
        <v>84</v>
      </c>
      <c r="D10" s="40" t="s">
        <v>102</v>
      </c>
      <c r="E10" s="19" t="s">
        <v>93</v>
      </c>
      <c r="F10" s="40" t="s">
        <v>108</v>
      </c>
      <c r="G10" s="41" t="s">
        <v>110</v>
      </c>
      <c r="H10" s="40" t="s">
        <v>99</v>
      </c>
      <c r="I10" s="41" t="s">
        <v>109</v>
      </c>
      <c r="J10" s="42" t="s">
        <v>16</v>
      </c>
      <c r="K10" s="20" t="s">
        <v>125</v>
      </c>
      <c r="L10" s="42" t="s">
        <v>127</v>
      </c>
      <c r="M10" s="20" t="s">
        <v>122</v>
      </c>
      <c r="N10" s="40" t="s">
        <v>133</v>
      </c>
      <c r="O10" s="41" t="s">
        <v>114</v>
      </c>
      <c r="P10" s="42" t="s">
        <v>9</v>
      </c>
      <c r="Q10" s="20" t="s">
        <v>9</v>
      </c>
      <c r="R10" s="42" t="s">
        <v>9</v>
      </c>
      <c r="S10" s="20" t="s">
        <v>9</v>
      </c>
      <c r="T10" s="42" t="s">
        <v>9</v>
      </c>
      <c r="U10" s="20" t="s">
        <v>9</v>
      </c>
      <c r="V10" s="42" t="s">
        <v>9</v>
      </c>
      <c r="W10" s="20" t="s">
        <v>9</v>
      </c>
      <c r="X10" s="42" t="s">
        <v>9</v>
      </c>
      <c r="Y10" s="20" t="s">
        <v>9</v>
      </c>
    </row>
  </sheetData>
  <phoneticPr fontId="9" type="noConversion"/>
  <conditionalFormatting sqref="B1:B10">
    <cfRule type="duplicateValues" dxfId="2" priority="151"/>
    <cfRule type="duplicateValues" dxfId="1" priority="152"/>
  </conditionalFormatting>
  <conditionalFormatting sqref="B1:B1048576">
    <cfRule type="duplicateValues" dxfId="0" priority="14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2025-12-01T12:34:38Z</dcterms:modified>
</cp:coreProperties>
</file>