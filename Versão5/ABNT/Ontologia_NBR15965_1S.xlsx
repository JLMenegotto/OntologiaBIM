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14CD8DD-CBD7-42B6-A864-8C1B11C3ECEF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0" i="8" l="1"/>
  <c r="P309" i="8"/>
  <c r="P308" i="8"/>
  <c r="P307" i="8"/>
  <c r="P306" i="8"/>
  <c r="X28" i="4" l="1"/>
  <c r="V28" i="4"/>
  <c r="U28" i="4"/>
  <c r="T28" i="4"/>
  <c r="O28" i="4"/>
  <c r="N28" i="4"/>
  <c r="M28" i="4"/>
  <c r="L28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V15" i="4" l="1"/>
  <c r="V16" i="4"/>
  <c r="V17" i="4"/>
  <c r="V18" i="4"/>
  <c r="V19" i="4"/>
  <c r="V20" i="4"/>
  <c r="V21" i="4"/>
  <c r="V22" i="4"/>
  <c r="V23" i="4"/>
  <c r="V24" i="4"/>
  <c r="V25" i="4"/>
  <c r="V26" i="4"/>
  <c r="V27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O19" i="4"/>
  <c r="N19" i="4"/>
  <c r="M19" i="4"/>
  <c r="L19" i="4"/>
  <c r="O18" i="4"/>
  <c r="N18" i="4"/>
  <c r="M18" i="4"/>
  <c r="L18" i="4"/>
  <c r="O17" i="4"/>
  <c r="N17" i="4"/>
  <c r="M17" i="4"/>
  <c r="L17" i="4"/>
  <c r="O16" i="4"/>
  <c r="N16" i="4"/>
  <c r="M16" i="4"/>
  <c r="L16" i="4"/>
  <c r="O15" i="4"/>
  <c r="N15" i="4"/>
  <c r="M15" i="4"/>
  <c r="L15" i="4"/>
  <c r="B20" i="9"/>
  <c r="B21" i="9" s="1"/>
  <c r="B18" i="9" l="1"/>
  <c r="B6" i="9"/>
  <c r="B5" i="9"/>
</calcChain>
</file>

<file path=xl/sharedStrings.xml><?xml version="1.0" encoding="utf-8"?>
<sst xmlns="http://schemas.openxmlformats.org/spreadsheetml/2006/main" count="10640" uniqueCount="926">
  <si>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</si>
  <si>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</si>
  <si>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</si>
  <si>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</si>
  <si>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</si>
  <si>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</si>
  <si>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</si>
  <si>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</si>
  <si>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</si>
  <si>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</si>
  <si>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</si>
  <si>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</si>
  <si>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</si>
  <si>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</si>
  <si>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</si>
  <si>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</si>
  <si>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</si>
  <si>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</si>
  <si>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</si>
  <si>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</si>
  <si>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</si>
  <si>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</si>
  <si>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</si>
  <si>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</si>
  <si>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</si>
  <si>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</si>
  <si>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</si>
  <si>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</si>
  <si>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</si>
  <si>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</si>
  <si>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</si>
  <si>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</si>
  <si>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</si>
  <si>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</si>
  <si>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</si>
  <si>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</si>
  <si>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</si>
  <si>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</si>
  <si>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</si>
  <si>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</si>
  <si>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</si>
  <si>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</si>
  <si>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</si>
  <si>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</si>
  <si>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</si>
  <si>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</si>
  <si>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</si>
  <si>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</si>
  <si>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</si>
  <si>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</si>
  <si>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</si>
  <si>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</si>
  <si>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</si>
  <si>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</si>
  <si>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</si>
  <si>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</si>
  <si>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</si>
  <si>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</si>
  <si>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</si>
  <si>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</si>
  <si>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</si>
  <si>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</si>
  <si>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</si>
  <si>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</si>
  <si>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</si>
  <si>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</si>
  <si>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</si>
  <si>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</si>
  <si>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</si>
  <si>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</si>
  <si>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</si>
  <si>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</si>
  <si>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</si>
  <si>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</si>
  <si>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</si>
  <si>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</si>
  <si>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</si>
  <si>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</si>
  <si>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</si>
  <si>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</si>
  <si>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</si>
  <si>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</si>
  <si>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</si>
  <si>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</si>
  <si>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</si>
  <si>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</si>
  <si>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</si>
  <si>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</si>
  <si>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</si>
  <si>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</si>
  <si>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</si>
  <si>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</si>
  <si>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</si>
  <si>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</si>
  <si>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</si>
  <si>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</si>
  <si>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</si>
  <si>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</si>
  <si>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</si>
  <si>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</si>
  <si>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</si>
  <si>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</si>
  <si>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</si>
  <si>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</si>
  <si>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</si>
  <si>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</si>
  <si>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</si>
  <si>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</si>
  <si>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</si>
  <si>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</si>
  <si>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</si>
  <si>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</si>
  <si>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</si>
  <si>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</si>
  <si>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</si>
  <si>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</si>
  <si>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</si>
  <si>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</si>
  <si>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</si>
  <si>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</si>
  <si>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</si>
  <si>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</si>
  <si>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</si>
  <si>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</si>
  <si>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</si>
  <si>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</si>
  <si>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</si>
  <si>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</si>
  <si>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</si>
  <si>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</si>
  <si>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</si>
  <si>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</si>
  <si>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</si>
  <si>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</si>
  <si>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</si>
  <si>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</si>
  <si>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</si>
  <si>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</si>
  <si>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</si>
  <si>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</si>
  <si>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</si>
  <si>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</si>
  <si>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</si>
  <si>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</si>
  <si>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</si>
  <si>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</si>
  <si>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</si>
  <si>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</si>
  <si>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</si>
  <si>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</si>
  <si>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</si>
  <si>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</si>
  <si>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</si>
  <si>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</si>
  <si>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</si>
  <si>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</si>
  <si>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</si>
  <si>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</si>
  <si>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</si>
  <si>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</si>
  <si>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</si>
  <si>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</si>
  <si>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</si>
  <si>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</si>
  <si>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</si>
  <si>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</si>
  <si>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</si>
  <si>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</si>
  <si>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</si>
  <si>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</si>
  <si>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</si>
  <si>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</si>
  <si>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</si>
  <si>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</si>
  <si>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</si>
  <si>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</si>
  <si>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</si>
  <si>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</si>
  <si>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</si>
  <si>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</si>
  <si>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</si>
  <si>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</si>
  <si>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</si>
  <si>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</si>
  <si>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</si>
  <si>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</si>
  <si>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</si>
  <si>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</si>
  <si>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</si>
  <si>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</si>
  <si>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</si>
  <si>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</si>
  <si>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</si>
  <si>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</si>
  <si>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</si>
  <si>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</si>
  <si>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</si>
  <si>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</si>
  <si>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</si>
  <si>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</si>
  <si>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</si>
  <si>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</si>
  <si>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</si>
  <si>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</si>
  <si>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</si>
  <si>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</si>
  <si>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</si>
  <si>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</si>
  <si>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</si>
  <si>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</si>
  <si>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</si>
  <si>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</si>
  <si>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</si>
  <si>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</si>
  <si>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</si>
  <si>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</si>
  <si>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</si>
  <si>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</si>
  <si>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</si>
  <si>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</si>
  <si>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</si>
  <si>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</si>
  <si>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</si>
  <si>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</si>
  <si>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</si>
  <si>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</si>
  <si>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</si>
  <si>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</si>
  <si>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</si>
  <si>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</si>
  <si>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</si>
  <si>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</si>
  <si>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</si>
  <si>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</si>
  <si>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</si>
  <si>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</si>
  <si>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</si>
  <si>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</si>
  <si>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</si>
  <si>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</si>
  <si>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</si>
  <si>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</si>
  <si>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</si>
  <si>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</si>
  <si>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</si>
  <si>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</si>
  <si>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</si>
  <si>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</si>
  <si>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</si>
  <si>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</si>
  <si>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</si>
  <si>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</si>
  <si>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</si>
  <si>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</si>
  <si>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</si>
  <si>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</si>
  <si>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</si>
  <si>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</si>
  <si>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</si>
  <si>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</si>
  <si>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</si>
  <si>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</si>
  <si>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</si>
  <si>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</si>
  <si>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</si>
  <si>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</si>
  <si>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</si>
  <si>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</si>
  <si>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</si>
  <si>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</si>
  <si>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</si>
  <si>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</si>
  <si>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</si>
  <si>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</si>
  <si>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</si>
  <si>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</si>
  <si>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</si>
  <si>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</si>
  <si>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</si>
  <si>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</si>
  <si>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</si>
  <si>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</si>
  <si>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</si>
  <si>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</si>
  <si>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</si>
  <si>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</si>
  <si>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</si>
  <si>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</si>
  <si>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</si>
  <si>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</si>
  <si>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</si>
  <si>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</si>
  <si>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</si>
  <si>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</si>
  <si>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</si>
  <si>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</si>
  <si>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</si>
  <si>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</si>
  <si>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</si>
  <si>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</si>
  <si>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</si>
  <si>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</si>
  <si>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</si>
  <si>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</si>
  <si>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</si>
  <si>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</si>
  <si>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</si>
  <si>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</si>
  <si>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</si>
  <si>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</si>
  <si>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</si>
  <si>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</si>
  <si>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</si>
  <si>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</si>
  <si>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</si>
  <si>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</si>
  <si>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</si>
  <si>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</si>
  <si>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</si>
  <si>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</si>
  <si>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</si>
  <si>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</si>
  <si>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</si>
  <si>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</si>
  <si>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</si>
  <si>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</si>
  <si>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</si>
  <si>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</si>
  <si>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</si>
  <si>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</si>
  <si>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</si>
  <si>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</si>
  <si>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</si>
  <si>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</si>
  <si>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</si>
  <si>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</si>
  <si>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</si>
  <si>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</si>
  <si>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</si>
  <si>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</si>
  <si>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</si>
  <si>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</si>
  <si>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</si>
  <si>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</si>
  <si>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</si>
  <si>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</si>
  <si>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</si>
  <si>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</si>
  <si>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</si>
  <si>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</si>
  <si>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</si>
  <si>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</si>
  <si>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</si>
  <si>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</si>
  <si>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</si>
  <si>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</si>
  <si>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</si>
  <si>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</si>
  <si>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</si>
  <si>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</si>
  <si>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</si>
  <si>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</si>
  <si>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</si>
  <si>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</si>
  <si>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</si>
  <si>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</si>
  <si>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</si>
  <si>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</si>
  <si>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</si>
  <si>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</si>
  <si>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</si>
  <si>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</si>
  <si>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</si>
  <si>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</si>
  <si>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</si>
  <si>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</si>
  <si>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</si>
  <si>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</si>
  <si>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</si>
  <si>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</si>
  <si>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</si>
  <si>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</si>
  <si>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</si>
  <si>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</si>
  <si>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</si>
  <si>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</si>
  <si>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</si>
  <si>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</si>
  <si>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</si>
  <si>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</si>
  <si>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</si>
  <si>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</si>
  <si>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</si>
  <si>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</si>
  <si>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</si>
  <si>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</si>
  <si>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</si>
  <si>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</si>
  <si>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</si>
  <si>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</si>
  <si>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</si>
  <si>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</si>
  <si>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</si>
  <si>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</si>
  <si>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</si>
  <si>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</si>
  <si>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</si>
  <si>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</si>
  <si>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</si>
  <si>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</si>
  <si>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</si>
  <si>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</si>
  <si>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</si>
  <si>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</si>
  <si>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</si>
  <si>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</si>
  <si>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</si>
  <si>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</si>
  <si>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</si>
  <si>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</si>
  <si>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</si>
  <si>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</si>
  <si>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</si>
  <si>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</si>
  <si>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</si>
  <si>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</si>
  <si>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</si>
  <si>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</si>
  <si>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</si>
  <si>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</si>
  <si>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</si>
  <si>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</si>
  <si>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</si>
  <si>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</si>
  <si>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</si>
  <si>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</si>
  <si>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</si>
  <si>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</si>
  <si>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</si>
  <si>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</si>
  <si>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</si>
  <si>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</si>
  <si>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</si>
  <si>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</si>
  <si>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</si>
  <si>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</si>
  <si>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</si>
  <si>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</si>
  <si>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</si>
  <si>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</si>
  <si>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</si>
  <si>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</si>
  <si>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</si>
  <si>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</si>
  <si>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</si>
  <si>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</si>
  <si>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</si>
  <si>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</si>
  <si>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</si>
  <si>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</si>
  <si>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</si>
  <si>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</si>
  <si>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</si>
  <si>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</si>
  <si>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</si>
  <si>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</si>
  <si>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</si>
  <si>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</si>
  <si>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</si>
  <si>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</si>
  <si>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</si>
  <si>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</si>
  <si>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</si>
  <si>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</si>
  <si>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</si>
  <si>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</si>
  <si>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</si>
  <si>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</si>
  <si>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</si>
  <si>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</si>
  <si>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</si>
  <si>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</si>
  <si>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</si>
  <si>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</si>
  <si>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</si>
  <si>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</si>
  <si>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</si>
  <si>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</si>
  <si>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</si>
  <si>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</si>
  <si>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</si>
  <si>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</si>
  <si>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</si>
  <si>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</si>
  <si>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</si>
  <si>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</si>
  <si>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</si>
  <si>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</si>
  <si>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</si>
  <si>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</si>
  <si>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</si>
  <si>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</si>
  <si>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</si>
  <si>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</si>
  <si>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</si>
  <si>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</si>
  <si>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</si>
  <si>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</si>
  <si>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</si>
  <si>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</si>
  <si>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</si>
  <si>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</si>
  <si>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</si>
  <si>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</si>
  <si>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</si>
  <si>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</si>
  <si>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</si>
  <si>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</si>
  <si>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</si>
  <si>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</si>
  <si>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</si>
  <si>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</si>
  <si>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</si>
  <si>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</si>
  <si>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</si>
  <si>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</si>
  <si>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</si>
  <si>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</si>
  <si>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</si>
  <si>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</si>
  <si>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</si>
  <si>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</si>
  <si>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</si>
  <si>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</si>
  <si>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</si>
  <si>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</si>
  <si>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</si>
  <si>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</si>
  <si>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</si>
  <si>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</si>
  <si>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</si>
  <si>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</si>
  <si>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</si>
  <si>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</si>
  <si>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</si>
  <si>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</si>
  <si>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</si>
  <si>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</si>
  <si>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</si>
  <si>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</si>
  <si>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</si>
  <si>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</si>
  <si>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</si>
  <si>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</si>
  <si>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</si>
  <si>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</si>
  <si>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</si>
  <si>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</si>
  <si>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</si>
  <si>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</si>
  <si>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</si>
  <si>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</si>
  <si>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</si>
  <si>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</si>
  <si>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</si>
  <si>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</si>
  <si>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</si>
  <si>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</si>
  <si>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</si>
  <si>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</si>
  <si>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</si>
  <si>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</si>
  <si>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</si>
  <si>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</si>
  <si>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</si>
  <si>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</si>
  <si>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</si>
  <si>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</si>
  <si>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</si>
  <si>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</si>
  <si>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</si>
  <si>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</si>
  <si>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</si>
  <si>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</si>
  <si>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</si>
  <si>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</si>
  <si>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</si>
  <si>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</si>
  <si>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</si>
  <si>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</si>
  <si>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</si>
  <si>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</si>
  <si>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</si>
  <si>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</si>
  <si>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</si>
  <si>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</si>
  <si>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</si>
  <si>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</si>
  <si>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</si>
  <si>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</si>
  <si>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</si>
  <si>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</si>
  <si>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</si>
  <si>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</si>
  <si>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</si>
  <si>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</si>
  <si>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</si>
  <si>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</si>
  <si>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</si>
  <si>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</si>
  <si>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</si>
  <si>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</si>
  <si>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</si>
  <si>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</si>
  <si>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</si>
  <si>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</si>
  <si>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</si>
  <si>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</si>
  <si>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</si>
  <si>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</si>
  <si>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</si>
  <si>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</si>
  <si>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</si>
  <si>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</si>
  <si>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</si>
  <si>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</si>
  <si>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</si>
  <si>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</si>
  <si>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</si>
  <si>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</si>
  <si>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</si>
  <si>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</si>
  <si>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</si>
  <si>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</si>
  <si>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</si>
  <si>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</si>
  <si>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</si>
  <si>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</si>
  <si>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</si>
  <si>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</si>
  <si>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</si>
  <si>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</si>
  <si>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</si>
  <si>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</si>
  <si>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</si>
  <si>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</si>
  <si>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</si>
  <si>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</si>
  <si>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</si>
  <si>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</si>
  <si>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</si>
  <si>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</si>
  <si>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</si>
  <si>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</si>
  <si>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</si>
  <si>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</si>
  <si>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</si>
  <si>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</si>
  <si>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</si>
  <si>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</si>
  <si>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</si>
  <si>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</si>
  <si>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</si>
  <si>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</si>
  <si>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</si>
  <si>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</si>
  <si>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</si>
  <si>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</si>
  <si>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</si>
  <si>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</si>
  <si>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</si>
  <si>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</si>
  <si>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</si>
  <si>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</si>
  <si>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</si>
  <si>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</si>
  <si>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</si>
  <si>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</si>
  <si>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</si>
  <si>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</si>
  <si>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</si>
  <si>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</si>
  <si>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</si>
  <si>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</si>
  <si>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</si>
  <si>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</si>
  <si>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</si>
  <si>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</si>
  <si>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</si>
  <si>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</si>
  <si>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</si>
  <si>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</si>
  <si>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</si>
  <si>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</si>
  <si>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</si>
  <si>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</si>
  <si>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</si>
  <si>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</si>
  <si>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</si>
  <si>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</si>
  <si>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</si>
  <si>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</si>
  <si>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</si>
  <si>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</si>
  <si>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</si>
  <si>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Interdisciplinar</t>
  </si>
  <si>
    <t>0M</t>
  </si>
  <si>
    <t>0P</t>
  </si>
  <si>
    <t>1D</t>
  </si>
  <si>
    <t>1F</t>
  </si>
  <si>
    <t>2C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</si>
  <si>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</si>
  <si>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</si>
  <si>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</si>
  <si>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</si>
  <si>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</si>
  <si>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</si>
  <si>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</si>
  <si>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</si>
  <si>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</si>
  <si>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</si>
  <si>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</si>
  <si>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</si>
  <si>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</si>
  <si>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</si>
  <si>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</si>
  <si>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</si>
  <si>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</si>
  <si>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</si>
  <si>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</si>
  <si>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</si>
  <si>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</si>
  <si>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</si>
  <si>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</si>
  <si>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</si>
  <si>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</si>
  <si>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</si>
  <si>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</si>
  <si>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</si>
  <si>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</si>
  <si>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</si>
  <si>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</si>
  <si>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</si>
  <si>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</si>
  <si>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</si>
  <si>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</si>
  <si>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</si>
  <si>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</si>
  <si>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</si>
  <si>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</si>
  <si>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</si>
  <si>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</si>
  <si>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</si>
  <si>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</si>
  <si>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</si>
  <si>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</si>
  <si>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</si>
  <si>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</si>
  <si>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</si>
  <si>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</si>
  <si>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</si>
  <si>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</si>
  <si>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</si>
  <si>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</si>
  <si>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</si>
  <si>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</si>
  <si>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</si>
  <si>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</si>
  <si>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</si>
  <si>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</si>
  <si>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</si>
  <si>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</si>
  <si>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</si>
  <si>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</si>
  <si>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</si>
  <si>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</si>
  <si>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</si>
  <si>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</si>
  <si>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</si>
  <si>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</si>
  <si>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</si>
  <si>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</si>
  <si>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</si>
  <si>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</si>
  <si>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</si>
  <si>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</si>
  <si>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</si>
  <si>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</si>
  <si>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</si>
  <si>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</si>
  <si>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</si>
  <si>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</si>
  <si>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</si>
  <si>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</si>
  <si>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</si>
  <si>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</si>
  <si>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</si>
  <si>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</si>
  <si>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</si>
  <si>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</si>
  <si>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</si>
  <si>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</si>
  <si>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</si>
  <si>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</si>
  <si>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</si>
  <si>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</si>
  <si>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</si>
  <si>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</si>
  <si>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</si>
  <si>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</si>
  <si>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</si>
  <si>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</si>
  <si>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</si>
  <si>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</si>
  <si>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</si>
  <si>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</si>
  <si>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</si>
  <si>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</si>
  <si>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</si>
  <si>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</si>
  <si>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</si>
  <si>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</si>
  <si>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</si>
  <si>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</si>
  <si>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</si>
  <si>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</si>
  <si>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</si>
  <si>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</si>
  <si>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</si>
  <si>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</si>
  <si>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</si>
  <si>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</si>
  <si>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</si>
  <si>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</si>
  <si>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</si>
  <si>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</si>
  <si>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</si>
  <si>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</si>
  <si>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</si>
  <si>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</si>
  <si>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</si>
  <si>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</si>
  <si>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</si>
  <si>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</si>
  <si>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</si>
  <si>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</si>
  <si>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</si>
  <si>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</si>
  <si>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</si>
  <si>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</si>
  <si>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</si>
  <si>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</si>
  <si>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</si>
  <si>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</si>
  <si>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</si>
  <si>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</si>
  <si>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</si>
  <si>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</si>
  <si>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</si>
  <si>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</si>
  <si>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</si>
  <si>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</si>
  <si>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</si>
  <si>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</si>
  <si>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</si>
  <si>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</si>
  <si>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</si>
  <si>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</si>
  <si>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</si>
  <si>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</si>
  <si>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Transactional services</t>
  </si>
  <si>
    <t>Administrative services</t>
  </si>
  <si>
    <t>Communication Services</t>
  </si>
  <si>
    <t>Conceptualization Services</t>
  </si>
  <si>
    <t>Information services</t>
  </si>
  <si>
    <t>Organization Services</t>
  </si>
  <si>
    <t>Project Development Services</t>
  </si>
  <si>
    <t>Document Services</t>
  </si>
  <si>
    <t>Implementation Services</t>
  </si>
  <si>
    <t>Building Operation Services</t>
  </si>
  <si>
    <t>Support Services</t>
  </si>
  <si>
    <t>Government Services</t>
  </si>
  <si>
    <t>Additional services</t>
  </si>
  <si>
    <t>Servicios transaccionales</t>
  </si>
  <si>
    <t>Servicios administrativos</t>
  </si>
  <si>
    <t>Servicios de comunicación</t>
  </si>
  <si>
    <t>Servicios de Conceptualización</t>
  </si>
  <si>
    <t>Servicios de información</t>
  </si>
  <si>
    <t>Servicios de organización</t>
  </si>
  <si>
    <t>Servicios de Desarrollo de Proyectos</t>
  </si>
  <si>
    <t>Servicios de Documentos</t>
  </si>
  <si>
    <t>Servicios de Implementación</t>
  </si>
  <si>
    <t>Servicios de Operación de Edificios</t>
  </si>
  <si>
    <t>Servicios de apoyo</t>
  </si>
  <si>
    <t>Servicios gubernamentales</t>
  </si>
  <si>
    <t>Servicios adicionales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</si>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</sst>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0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7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5" fillId="0" borderId="0" xfId="0" applyFont="1"/>
    <xf numFmtId="0" fontId="7" fillId="20" borderId="1" xfId="0" applyFont="1" applyFill="1" applyBorder="1" applyAlignment="1">
      <alignment vertical="center" wrapText="1"/>
    </xf>
    <xf numFmtId="0" fontId="4" fillId="24" borderId="1" xfId="0" applyFont="1" applyFill="1" applyBorder="1" applyAlignment="1">
      <alignment vertical="center" wrapText="1"/>
    </xf>
    <xf numFmtId="0" fontId="7" fillId="28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left" vertical="center"/>
    </xf>
    <xf numFmtId="0" fontId="7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75D7255F-4B16-4C61-A12B-6DBA4ACA1970}"/>
  </cellStyles>
  <dxfs count="31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39"/>
  <sheetViews>
    <sheetView topLeftCell="A19" zoomScale="190" zoomScaleNormal="190" workbookViewId="0">
      <selection activeCell="A27" sqref="A27:XFD39"/>
    </sheetView>
  </sheetViews>
  <sheetFormatPr defaultRowHeight="9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38" t="s">
        <v>688</v>
      </c>
    </row>
    <row r="2" spans="1:3" ht="7.9" customHeight="1" x14ac:dyDescent="0.2">
      <c r="A2" s="3" t="s">
        <v>307</v>
      </c>
      <c r="B2" s="3" t="s">
        <v>680</v>
      </c>
      <c r="C2" s="39" t="s">
        <v>689</v>
      </c>
    </row>
    <row r="3" spans="1:3" ht="7.9" customHeight="1" x14ac:dyDescent="0.2">
      <c r="A3" s="3" t="s">
        <v>308</v>
      </c>
      <c r="B3" s="3" t="s">
        <v>305</v>
      </c>
      <c r="C3" s="39" t="s">
        <v>689</v>
      </c>
    </row>
    <row r="4" spans="1:3" ht="7.9" customHeight="1" x14ac:dyDescent="0.2">
      <c r="A4" s="4" t="s">
        <v>5</v>
      </c>
      <c r="B4" s="4" t="s">
        <v>633</v>
      </c>
      <c r="C4" s="39" t="s">
        <v>689</v>
      </c>
    </row>
    <row r="5" spans="1:3" ht="7.9" customHeight="1" x14ac:dyDescent="0.2">
      <c r="A5" s="4" t="s">
        <v>6</v>
      </c>
      <c r="B5" s="4" t="str">
        <f>_xlfn.CONCAT(B4,"Prop")</f>
        <v>BIMProp</v>
      </c>
      <c r="C5" s="39" t="s">
        <v>689</v>
      </c>
    </row>
    <row r="6" spans="1:3" ht="7.9" customHeight="1" x14ac:dyDescent="0.2">
      <c r="A6" s="4" t="s">
        <v>7</v>
      </c>
      <c r="B6" s="4" t="str">
        <f>_xlfn.CONCAT(B4,"Data")</f>
        <v>BIMData</v>
      </c>
      <c r="C6" s="39" t="s">
        <v>689</v>
      </c>
    </row>
    <row r="7" spans="1:3" ht="7.9" customHeight="1" x14ac:dyDescent="0.2">
      <c r="A7" s="4" t="s">
        <v>8</v>
      </c>
      <c r="B7" s="4" t="s">
        <v>323</v>
      </c>
      <c r="C7" s="39" t="s">
        <v>689</v>
      </c>
    </row>
    <row r="8" spans="1:3" ht="7.9" customHeight="1" x14ac:dyDescent="0.2">
      <c r="A8" s="36" t="s">
        <v>9</v>
      </c>
      <c r="B8" s="36" t="s">
        <v>687</v>
      </c>
      <c r="C8" s="39" t="s">
        <v>689</v>
      </c>
    </row>
    <row r="9" spans="1:3" ht="7.9" customHeight="1" x14ac:dyDescent="0.2">
      <c r="A9" s="4" t="s">
        <v>309</v>
      </c>
      <c r="B9" s="4" t="s">
        <v>310</v>
      </c>
      <c r="C9" s="39" t="s">
        <v>689</v>
      </c>
    </row>
    <row r="10" spans="1:3" ht="7.9" customHeight="1" x14ac:dyDescent="0.2">
      <c r="A10" s="4" t="s">
        <v>311</v>
      </c>
      <c r="B10" s="4" t="s">
        <v>16</v>
      </c>
      <c r="C10" s="39" t="s">
        <v>689</v>
      </c>
    </row>
    <row r="11" spans="1:3" ht="7.9" customHeight="1" x14ac:dyDescent="0.2">
      <c r="A11" s="4" t="s">
        <v>312</v>
      </c>
      <c r="B11" s="4" t="s">
        <v>322</v>
      </c>
      <c r="C11" s="39" t="s">
        <v>689</v>
      </c>
    </row>
    <row r="12" spans="1:3" ht="7.9" customHeight="1" x14ac:dyDescent="0.2">
      <c r="A12" s="4" t="s">
        <v>10</v>
      </c>
      <c r="B12" s="4" t="s">
        <v>17</v>
      </c>
      <c r="C12" s="39" t="s">
        <v>689</v>
      </c>
    </row>
    <row r="13" spans="1:3" ht="7.9" customHeight="1" x14ac:dyDescent="0.2">
      <c r="A13" s="4" t="s">
        <v>313</v>
      </c>
      <c r="B13" s="4" t="s">
        <v>304</v>
      </c>
      <c r="C13" s="39" t="s">
        <v>689</v>
      </c>
    </row>
    <row r="14" spans="1:3" ht="7.9" customHeight="1" x14ac:dyDescent="0.2">
      <c r="A14" s="4" t="s">
        <v>314</v>
      </c>
      <c r="B14" s="4" t="s">
        <v>11</v>
      </c>
      <c r="C14" s="39" t="s">
        <v>689</v>
      </c>
    </row>
    <row r="15" spans="1:3" ht="7.9" customHeight="1" x14ac:dyDescent="0.2">
      <c r="A15" s="4" t="s">
        <v>315</v>
      </c>
      <c r="B15" s="4" t="s">
        <v>11</v>
      </c>
      <c r="C15" s="39" t="s">
        <v>689</v>
      </c>
    </row>
    <row r="16" spans="1:3" ht="7.9" customHeight="1" x14ac:dyDescent="0.2">
      <c r="A16" s="4" t="s">
        <v>316</v>
      </c>
      <c r="B16" s="4" t="s">
        <v>11</v>
      </c>
      <c r="C16" s="39" t="s">
        <v>689</v>
      </c>
    </row>
    <row r="17" spans="1:3" ht="7.9" customHeight="1" x14ac:dyDescent="0.2">
      <c r="A17" s="4" t="s">
        <v>12</v>
      </c>
      <c r="B17" s="4" t="s">
        <v>13</v>
      </c>
      <c r="C17" s="39" t="s">
        <v>689</v>
      </c>
    </row>
    <row r="18" spans="1:3" ht="7.9" customHeight="1" x14ac:dyDescent="0.2">
      <c r="A18" s="4" t="s">
        <v>317</v>
      </c>
      <c r="B18" s="5">
        <f ca="1">NOW()</f>
        <v>46258.544145138891</v>
      </c>
      <c r="C18" s="39" t="s">
        <v>689</v>
      </c>
    </row>
    <row r="19" spans="1:3" ht="7.9" customHeight="1" x14ac:dyDescent="0.2">
      <c r="A19" s="4" t="s">
        <v>698</v>
      </c>
      <c r="B19" s="5" t="s">
        <v>693</v>
      </c>
      <c r="C19" s="39" t="s">
        <v>689</v>
      </c>
    </row>
    <row r="20" spans="1:3" ht="7.9" customHeight="1" x14ac:dyDescent="0.2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" customHeight="1" x14ac:dyDescent="0.2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" customHeight="1" x14ac:dyDescent="0.2">
      <c r="A22" s="4" t="s">
        <v>306</v>
      </c>
      <c r="B22" s="4" t="s">
        <v>11</v>
      </c>
      <c r="C22" s="39" t="s">
        <v>689</v>
      </c>
    </row>
    <row r="23" spans="1:3" ht="7.9" customHeight="1" x14ac:dyDescent="0.2">
      <c r="A23" s="4" t="s">
        <v>318</v>
      </c>
      <c r="B23" s="4" t="s">
        <v>11</v>
      </c>
      <c r="C23" s="39" t="s">
        <v>689</v>
      </c>
    </row>
    <row r="24" spans="1:3" ht="7.9" customHeight="1" x14ac:dyDescent="0.2">
      <c r="A24" s="6" t="s">
        <v>324</v>
      </c>
      <c r="B24" s="6" t="s">
        <v>325</v>
      </c>
      <c r="C24" s="39" t="s">
        <v>689</v>
      </c>
    </row>
    <row r="25" spans="1:3" ht="7.9" customHeight="1" x14ac:dyDescent="0.2">
      <c r="A25" s="6" t="s">
        <v>326</v>
      </c>
      <c r="B25" s="6" t="s">
        <v>327</v>
      </c>
      <c r="C25" s="39" t="s">
        <v>690</v>
      </c>
    </row>
    <row r="26" spans="1:3" ht="7.9" customHeight="1" x14ac:dyDescent="0.2">
      <c r="A26" s="36" t="s">
        <v>685</v>
      </c>
      <c r="B26" s="37" t="s">
        <v>686</v>
      </c>
      <c r="C26" s="39" t="s">
        <v>691</v>
      </c>
    </row>
    <row r="27" spans="1:3" ht="8.25" customHeight="1" x14ac:dyDescent="0.2">
      <c r="A27" s="36" t="s">
        <v>827</v>
      </c>
      <c r="B27" s="56" t="s">
        <v>828</v>
      </c>
      <c r="C27" s="39" t="s">
        <v>689</v>
      </c>
    </row>
    <row r="28" spans="1:3" ht="8.25" customHeight="1" x14ac:dyDescent="0.2">
      <c r="A28" s="36" t="s">
        <v>829</v>
      </c>
      <c r="B28" s="57" t="s">
        <v>830</v>
      </c>
      <c r="C28" s="39" t="s">
        <v>689</v>
      </c>
    </row>
    <row r="29" spans="1:3" ht="8.25" customHeight="1" x14ac:dyDescent="0.2">
      <c r="A29" s="36" t="s">
        <v>831</v>
      </c>
      <c r="B29" s="57" t="s">
        <v>832</v>
      </c>
      <c r="C29" s="39" t="s">
        <v>689</v>
      </c>
    </row>
    <row r="30" spans="1:3" s="58" customFormat="1" ht="8.25" customHeight="1" x14ac:dyDescent="0.15">
      <c r="A30" s="36" t="s">
        <v>833</v>
      </c>
      <c r="B30" s="6" t="s">
        <v>834</v>
      </c>
      <c r="C30" s="39" t="s">
        <v>689</v>
      </c>
    </row>
    <row r="31" spans="1:3" s="58" customFormat="1" ht="8.25" customHeight="1" x14ac:dyDescent="0.15">
      <c r="A31" s="36" t="s">
        <v>835</v>
      </c>
      <c r="B31" s="6" t="s">
        <v>836</v>
      </c>
      <c r="C31" s="39" t="s">
        <v>689</v>
      </c>
    </row>
    <row r="32" spans="1:3" s="58" customFormat="1" ht="8.25" customHeight="1" x14ac:dyDescent="0.15">
      <c r="A32" s="36" t="s">
        <v>837</v>
      </c>
      <c r="B32" s="6" t="s">
        <v>838</v>
      </c>
      <c r="C32" s="39" t="s">
        <v>689</v>
      </c>
    </row>
    <row r="33" spans="1:3" s="58" customFormat="1" ht="8.25" customHeight="1" x14ac:dyDescent="0.15">
      <c r="A33" s="36" t="s">
        <v>839</v>
      </c>
      <c r="B33" s="59" t="s">
        <v>840</v>
      </c>
      <c r="C33" s="39" t="s">
        <v>689</v>
      </c>
    </row>
    <row r="34" spans="1:3" s="58" customFormat="1" ht="8.25" customHeight="1" x14ac:dyDescent="0.15">
      <c r="A34" s="36" t="s">
        <v>841</v>
      </c>
      <c r="B34" s="59" t="s">
        <v>842</v>
      </c>
      <c r="C34" s="39" t="s">
        <v>689</v>
      </c>
    </row>
    <row r="35" spans="1:3" s="58" customFormat="1" ht="8.25" customHeight="1" x14ac:dyDescent="0.15">
      <c r="A35" s="36" t="s">
        <v>843</v>
      </c>
      <c r="B35" s="6" t="s">
        <v>844</v>
      </c>
      <c r="C35" s="39" t="s">
        <v>689</v>
      </c>
    </row>
    <row r="36" spans="1:3" s="58" customFormat="1" ht="8.25" customHeight="1" x14ac:dyDescent="0.15">
      <c r="A36" s="36" t="s">
        <v>845</v>
      </c>
      <c r="B36" s="59" t="s">
        <v>846</v>
      </c>
      <c r="C36" s="39" t="s">
        <v>689</v>
      </c>
    </row>
    <row r="37" spans="1:3" s="58" customFormat="1" ht="8.25" customHeight="1" x14ac:dyDescent="0.15">
      <c r="A37" s="36" t="s">
        <v>847</v>
      </c>
      <c r="B37" s="6" t="s">
        <v>848</v>
      </c>
      <c r="C37" s="39" t="s">
        <v>689</v>
      </c>
    </row>
    <row r="38" spans="1:3" ht="9.9499999999999993" customHeight="1" x14ac:dyDescent="0.2">
      <c r="A38" s="4" t="s">
        <v>849</v>
      </c>
      <c r="B38" s="60" t="s">
        <v>850</v>
      </c>
      <c r="C38" s="39" t="s">
        <v>689</v>
      </c>
    </row>
    <row r="39" spans="1:3" s="62" customFormat="1" ht="9.6" customHeight="1" x14ac:dyDescent="0.15">
      <c r="A39" s="36" t="s">
        <v>851</v>
      </c>
      <c r="B39" s="61" t="s">
        <v>852</v>
      </c>
      <c r="C39" s="39" t="s">
        <v>689</v>
      </c>
    </row>
  </sheetData>
  <hyperlinks>
    <hyperlink ref="B27" r:id="rId1" xr:uid="{9BF71058-C383-44BC-A74B-ECE963D64DA6}"/>
    <hyperlink ref="B29" r:id="rId2" xr:uid="{5A982D2F-07F6-452C-A1A5-6F1E4BE3C3B7}"/>
    <hyperlink ref="B28" r:id="rId3" xr:uid="{7178BAF0-2889-4AE8-A340-43020EF117B5}"/>
    <hyperlink ref="B38" r:id="rId4" xr:uid="{81A486FE-DA42-427E-98D3-B95ADB1E2290}"/>
    <hyperlink ref="B39" r:id="rId5" location="categoria_888" xr:uid="{0DF7099B-0B78-4FE6-B5A6-DEA2F02693C0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C28"/>
  <sheetViews>
    <sheetView zoomScale="160" zoomScaleNormal="160" workbookViewId="0">
      <pane ySplit="1" topLeftCell="A2" activePane="bottomLeft" state="frozen"/>
      <selection pane="bottomLeft" activeCell="A2" sqref="A2:A28"/>
    </sheetView>
  </sheetViews>
  <sheetFormatPr defaultRowHeight="6.75" customHeight="1" x14ac:dyDescent="0.2"/>
  <cols>
    <col min="1" max="1" width="2.83203125" bestFit="1" customWidth="1"/>
    <col min="2" max="2" width="7.33203125" style="27" bestFit="1" customWidth="1"/>
    <col min="3" max="3" width="8.1640625" style="27" bestFit="1" customWidth="1"/>
    <col min="4" max="4" width="10.5" style="27" bestFit="1" customWidth="1"/>
    <col min="5" max="5" width="9.6640625" style="27" bestFit="1" customWidth="1"/>
    <col min="6" max="6" width="16.1640625" style="27" bestFit="1" customWidth="1"/>
    <col min="7" max="11" width="8.5" style="27" bestFit="1" customWidth="1"/>
    <col min="12" max="12" width="9.33203125" bestFit="1" customWidth="1"/>
    <col min="13" max="13" width="10.5" bestFit="1" customWidth="1"/>
    <col min="14" max="14" width="9.6640625" bestFit="1" customWidth="1"/>
    <col min="15" max="15" width="16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27" bestFit="1" customWidth="1"/>
    <col min="20" max="20" width="8.1640625" bestFit="1" customWidth="1"/>
    <col min="21" max="21" width="10.5" bestFit="1" customWidth="1"/>
    <col min="22" max="22" width="9.6640625" bestFit="1" customWidth="1"/>
    <col min="23" max="23" width="10" bestFit="1" customWidth="1"/>
    <col min="24" max="24" width="9.83203125" style="27" bestFit="1" customWidth="1"/>
    <col min="25" max="25" width="45.1640625" bestFit="1" customWidth="1"/>
    <col min="26" max="26" width="9" bestFit="1" customWidth="1"/>
    <col min="27" max="27" width="44.83203125" bestFit="1" customWidth="1"/>
    <col min="28" max="28" width="8" bestFit="1" customWidth="1"/>
    <col min="29" max="29" width="8.1640625" bestFit="1" customWidth="1"/>
  </cols>
  <sheetData>
    <row r="1" spans="1:29" ht="26.25" customHeight="1" x14ac:dyDescent="0.2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34" t="s">
        <v>684</v>
      </c>
      <c r="S1" s="17" t="s">
        <v>678</v>
      </c>
      <c r="T1" s="17" t="s">
        <v>634</v>
      </c>
      <c r="U1" s="17" t="s">
        <v>654</v>
      </c>
      <c r="V1" s="17" t="s">
        <v>636</v>
      </c>
      <c r="W1" s="17" t="s">
        <v>635</v>
      </c>
      <c r="X1" s="55" t="s">
        <v>655</v>
      </c>
      <c r="Y1" s="17" t="s">
        <v>682</v>
      </c>
      <c r="Z1" s="17" t="s">
        <v>868</v>
      </c>
      <c r="AA1" s="17" t="s">
        <v>683</v>
      </c>
      <c r="AB1" s="17" t="s">
        <v>869</v>
      </c>
      <c r="AC1" s="17" t="s">
        <v>656</v>
      </c>
    </row>
    <row r="2" spans="1:29" ht="7.5" customHeight="1" x14ac:dyDescent="0.2">
      <c r="A2" s="46">
        <v>2</v>
      </c>
      <c r="B2" s="47" t="s">
        <v>853</v>
      </c>
      <c r="C2" s="26" t="s">
        <v>854</v>
      </c>
      <c r="D2" s="26" t="s">
        <v>656</v>
      </c>
      <c r="E2" s="26" t="s">
        <v>732</v>
      </c>
      <c r="F2" s="19" t="s">
        <v>733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49" t="str">
        <f t="shared" ref="L2:N14" si="0">CONCATENATE("", C2)</f>
        <v>Normativos</v>
      </c>
      <c r="M2" s="49" t="str">
        <f t="shared" si="0"/>
        <v>ABNT</v>
      </c>
      <c r="N2" s="49" t="str">
        <f t="shared" si="0"/>
        <v>NBR.Parte</v>
      </c>
      <c r="O2" s="49" t="str">
        <f t="shared" ref="O2:O14" si="1">F2</f>
        <v>NBR.0M</v>
      </c>
      <c r="P2" s="49" t="s">
        <v>788</v>
      </c>
      <c r="Q2" s="49" t="s">
        <v>789</v>
      </c>
      <c r="R2" s="51" t="s">
        <v>790</v>
      </c>
      <c r="S2" s="35" t="s">
        <v>321</v>
      </c>
      <c r="T2" s="50" t="str">
        <f t="shared" ref="T2:V14" si="2">SUBSTITUTE(C2, "_", " ")</f>
        <v>Normativos</v>
      </c>
      <c r="U2" s="50" t="str">
        <f t="shared" si="2"/>
        <v>ABNT</v>
      </c>
      <c r="V2" s="49" t="str">
        <f t="shared" si="2"/>
        <v>NBR.Parte</v>
      </c>
      <c r="W2" s="35" t="s">
        <v>705</v>
      </c>
      <c r="X2" s="54" t="str">
        <f t="shared" ref="X2:X14" si="3">CONCATENATE("Key-ABNT-",A2)</f>
        <v>Key-ABNT-2</v>
      </c>
      <c r="Y2" s="35" t="s">
        <v>863</v>
      </c>
      <c r="Z2" s="35" t="s">
        <v>856</v>
      </c>
      <c r="AA2" s="35" t="s">
        <v>864</v>
      </c>
      <c r="AB2" s="35" t="s">
        <v>856</v>
      </c>
      <c r="AC2" s="35" t="s">
        <v>706</v>
      </c>
    </row>
    <row r="3" spans="1:29" ht="7.5" customHeight="1" x14ac:dyDescent="0.2">
      <c r="A3" s="46">
        <v>3</v>
      </c>
      <c r="B3" s="47" t="s">
        <v>853</v>
      </c>
      <c r="C3" s="26" t="s">
        <v>854</v>
      </c>
      <c r="D3" s="26" t="s">
        <v>656</v>
      </c>
      <c r="E3" s="26" t="s">
        <v>732</v>
      </c>
      <c r="F3" s="19" t="s">
        <v>734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49" t="str">
        <f t="shared" si="0"/>
        <v>Normativos</v>
      </c>
      <c r="M3" s="49" t="str">
        <f t="shared" si="0"/>
        <v>ABNT</v>
      </c>
      <c r="N3" s="49" t="str">
        <f t="shared" si="0"/>
        <v>NBR.Parte</v>
      </c>
      <c r="O3" s="49" t="str">
        <f t="shared" si="1"/>
        <v>NBR.0P</v>
      </c>
      <c r="P3" s="49" t="s">
        <v>791</v>
      </c>
      <c r="Q3" s="49" t="s">
        <v>792</v>
      </c>
      <c r="R3" s="51" t="s">
        <v>793</v>
      </c>
      <c r="S3" s="35" t="s">
        <v>321</v>
      </c>
      <c r="T3" s="50" t="str">
        <f t="shared" si="2"/>
        <v>Normativos</v>
      </c>
      <c r="U3" s="50" t="str">
        <f t="shared" si="2"/>
        <v>ABNT</v>
      </c>
      <c r="V3" s="49" t="str">
        <f t="shared" si="2"/>
        <v>NBR.Parte</v>
      </c>
      <c r="W3" s="35" t="s">
        <v>705</v>
      </c>
      <c r="X3" s="54" t="str">
        <f t="shared" si="3"/>
        <v>Key-ABNT-3</v>
      </c>
      <c r="Y3" s="35" t="s">
        <v>865</v>
      </c>
      <c r="Z3" s="35" t="s">
        <v>856</v>
      </c>
      <c r="AA3" s="35" t="s">
        <v>866</v>
      </c>
      <c r="AB3" s="35" t="s">
        <v>856</v>
      </c>
      <c r="AC3" s="35" t="s">
        <v>707</v>
      </c>
    </row>
    <row r="4" spans="1:29" ht="7.5" customHeight="1" x14ac:dyDescent="0.2">
      <c r="A4" s="46">
        <v>4</v>
      </c>
      <c r="B4" s="47" t="s">
        <v>853</v>
      </c>
      <c r="C4" s="26" t="s">
        <v>854</v>
      </c>
      <c r="D4" s="26" t="s">
        <v>656</v>
      </c>
      <c r="E4" s="26" t="s">
        <v>732</v>
      </c>
      <c r="F4" s="19" t="s">
        <v>735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49" t="str">
        <f t="shared" si="0"/>
        <v>Normativos</v>
      </c>
      <c r="M4" s="49" t="str">
        <f t="shared" si="0"/>
        <v>ABNT</v>
      </c>
      <c r="N4" s="49" t="str">
        <f t="shared" si="0"/>
        <v>NBR.Parte</v>
      </c>
      <c r="O4" s="49" t="str">
        <f t="shared" si="1"/>
        <v>NBR.1D</v>
      </c>
      <c r="P4" s="49" t="s">
        <v>794</v>
      </c>
      <c r="Q4" s="49" t="s">
        <v>795</v>
      </c>
      <c r="R4" s="51" t="s">
        <v>796</v>
      </c>
      <c r="S4" s="35" t="s">
        <v>321</v>
      </c>
      <c r="T4" s="50" t="str">
        <f t="shared" si="2"/>
        <v>Normativos</v>
      </c>
      <c r="U4" s="50" t="str">
        <f t="shared" si="2"/>
        <v>ABNT</v>
      </c>
      <c r="V4" s="49" t="str">
        <f t="shared" si="2"/>
        <v>NBR.Parte</v>
      </c>
      <c r="W4" s="35" t="s">
        <v>705</v>
      </c>
      <c r="X4" s="54" t="str">
        <f t="shared" si="3"/>
        <v>Key-ABNT-4</v>
      </c>
      <c r="Y4" s="35" t="s">
        <v>856</v>
      </c>
      <c r="Z4" s="35" t="s">
        <v>856</v>
      </c>
      <c r="AA4" s="35" t="s">
        <v>857</v>
      </c>
      <c r="AB4" s="35" t="s">
        <v>856</v>
      </c>
      <c r="AC4" s="35" t="s">
        <v>708</v>
      </c>
    </row>
    <row r="5" spans="1:29" ht="7.5" customHeight="1" x14ac:dyDescent="0.2">
      <c r="A5" s="46">
        <v>5</v>
      </c>
      <c r="B5" s="47" t="s">
        <v>853</v>
      </c>
      <c r="C5" s="26" t="s">
        <v>854</v>
      </c>
      <c r="D5" s="26" t="s">
        <v>656</v>
      </c>
      <c r="E5" s="26" t="s">
        <v>732</v>
      </c>
      <c r="F5" s="19" t="s">
        <v>736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49" t="str">
        <f t="shared" si="0"/>
        <v>Normativos</v>
      </c>
      <c r="M5" s="49" t="str">
        <f t="shared" si="0"/>
        <v>ABNT</v>
      </c>
      <c r="N5" s="49" t="str">
        <f t="shared" si="0"/>
        <v>NBR.Parte</v>
      </c>
      <c r="O5" s="49" t="str">
        <f t="shared" si="1"/>
        <v>NBR.1F</v>
      </c>
      <c r="P5" s="49" t="s">
        <v>797</v>
      </c>
      <c r="Q5" s="49" t="s">
        <v>798</v>
      </c>
      <c r="R5" s="51" t="s">
        <v>799</v>
      </c>
      <c r="S5" s="35" t="s">
        <v>321</v>
      </c>
      <c r="T5" s="50" t="str">
        <f t="shared" si="2"/>
        <v>Normativos</v>
      </c>
      <c r="U5" s="50" t="str">
        <f t="shared" si="2"/>
        <v>ABNT</v>
      </c>
      <c r="V5" s="49" t="str">
        <f t="shared" si="2"/>
        <v>NBR.Parte</v>
      </c>
      <c r="W5" s="35" t="s">
        <v>705</v>
      </c>
      <c r="X5" s="54" t="str">
        <f t="shared" si="3"/>
        <v>Key-ABNT-5</v>
      </c>
      <c r="Y5" s="35" t="s">
        <v>858</v>
      </c>
      <c r="Z5" s="35" t="s">
        <v>856</v>
      </c>
      <c r="AA5" s="35" t="s">
        <v>859</v>
      </c>
      <c r="AB5" s="35" t="s">
        <v>856</v>
      </c>
      <c r="AC5" s="35" t="s">
        <v>709</v>
      </c>
    </row>
    <row r="6" spans="1:29" ht="7.5" customHeight="1" x14ac:dyDescent="0.2">
      <c r="A6" s="46">
        <v>6</v>
      </c>
      <c r="B6" s="47" t="s">
        <v>853</v>
      </c>
      <c r="C6" s="26" t="s">
        <v>854</v>
      </c>
      <c r="D6" s="26" t="s">
        <v>656</v>
      </c>
      <c r="E6" s="26" t="s">
        <v>732</v>
      </c>
      <c r="F6" s="19" t="s">
        <v>737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49" t="str">
        <f t="shared" si="0"/>
        <v>Normativos</v>
      </c>
      <c r="M6" s="49" t="str">
        <f t="shared" si="0"/>
        <v>ABNT</v>
      </c>
      <c r="N6" s="49" t="str">
        <f t="shared" si="0"/>
        <v>NBR.Parte</v>
      </c>
      <c r="O6" s="49" t="str">
        <f t="shared" si="1"/>
        <v>NBR.1S</v>
      </c>
      <c r="P6" s="49" t="s">
        <v>800</v>
      </c>
      <c r="Q6" s="49" t="s">
        <v>801</v>
      </c>
      <c r="R6" s="51" t="s">
        <v>802</v>
      </c>
      <c r="S6" s="35" t="s">
        <v>321</v>
      </c>
      <c r="T6" s="50" t="str">
        <f t="shared" si="2"/>
        <v>Normativos</v>
      </c>
      <c r="U6" s="50" t="str">
        <f t="shared" si="2"/>
        <v>ABNT</v>
      </c>
      <c r="V6" s="49" t="str">
        <f t="shared" si="2"/>
        <v>NBR.Parte</v>
      </c>
      <c r="W6" s="35" t="s">
        <v>705</v>
      </c>
      <c r="X6" s="54" t="str">
        <f t="shared" si="3"/>
        <v>Key-ABNT-6</v>
      </c>
      <c r="Y6" s="35" t="s">
        <v>856</v>
      </c>
      <c r="Z6" s="35" t="s">
        <v>856</v>
      </c>
      <c r="AA6" s="35" t="s">
        <v>857</v>
      </c>
      <c r="AB6" s="35" t="s">
        <v>856</v>
      </c>
      <c r="AC6" s="35" t="s">
        <v>624</v>
      </c>
    </row>
    <row r="7" spans="1:29" ht="7.5" customHeight="1" x14ac:dyDescent="0.2">
      <c r="A7" s="46">
        <v>7</v>
      </c>
      <c r="B7" s="47" t="s">
        <v>853</v>
      </c>
      <c r="C7" s="26" t="s">
        <v>854</v>
      </c>
      <c r="D7" s="26" t="s">
        <v>656</v>
      </c>
      <c r="E7" s="26" t="s">
        <v>732</v>
      </c>
      <c r="F7" s="19" t="s">
        <v>738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49" t="str">
        <f t="shared" si="0"/>
        <v>Normativos</v>
      </c>
      <c r="M7" s="49" t="str">
        <f t="shared" si="0"/>
        <v>ABNT</v>
      </c>
      <c r="N7" s="49" t="str">
        <f t="shared" si="0"/>
        <v>NBR.Parte</v>
      </c>
      <c r="O7" s="49" t="str">
        <f t="shared" si="1"/>
        <v>NBR.2C</v>
      </c>
      <c r="P7" s="49" t="s">
        <v>803</v>
      </c>
      <c r="Q7" s="49" t="s">
        <v>804</v>
      </c>
      <c r="R7" s="51" t="s">
        <v>805</v>
      </c>
      <c r="S7" s="35" t="s">
        <v>321</v>
      </c>
      <c r="T7" s="50" t="str">
        <f t="shared" si="2"/>
        <v>Normativos</v>
      </c>
      <c r="U7" s="50" t="str">
        <f t="shared" si="2"/>
        <v>ABNT</v>
      </c>
      <c r="V7" s="49" t="str">
        <f t="shared" si="2"/>
        <v>NBR.Parte</v>
      </c>
      <c r="W7" s="35" t="s">
        <v>705</v>
      </c>
      <c r="X7" s="54" t="str">
        <f t="shared" si="3"/>
        <v>Key-ABNT-7</v>
      </c>
      <c r="Y7" s="35" t="s">
        <v>856</v>
      </c>
      <c r="Z7" s="35" t="s">
        <v>856</v>
      </c>
      <c r="AA7" s="35" t="s">
        <v>856</v>
      </c>
      <c r="AB7" s="35" t="s">
        <v>856</v>
      </c>
      <c r="AC7" s="35" t="s">
        <v>710</v>
      </c>
    </row>
    <row r="8" spans="1:29" ht="7.5" customHeight="1" x14ac:dyDescent="0.2">
      <c r="A8" s="46">
        <v>8</v>
      </c>
      <c r="B8" s="47" t="s">
        <v>853</v>
      </c>
      <c r="C8" s="26" t="s">
        <v>854</v>
      </c>
      <c r="D8" s="26" t="s">
        <v>656</v>
      </c>
      <c r="E8" s="26" t="s">
        <v>732</v>
      </c>
      <c r="F8" s="19" t="s">
        <v>739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49" t="str">
        <f t="shared" si="0"/>
        <v>Normativos</v>
      </c>
      <c r="M8" s="49" t="str">
        <f t="shared" si="0"/>
        <v>ABNT</v>
      </c>
      <c r="N8" s="49" t="str">
        <f t="shared" si="0"/>
        <v>NBR.Parte</v>
      </c>
      <c r="O8" s="49" t="str">
        <f t="shared" si="1"/>
        <v>NBR.2N</v>
      </c>
      <c r="P8" s="49" t="s">
        <v>806</v>
      </c>
      <c r="Q8" s="49" t="s">
        <v>807</v>
      </c>
      <c r="R8" s="51" t="s">
        <v>808</v>
      </c>
      <c r="S8" s="35" t="s">
        <v>321</v>
      </c>
      <c r="T8" s="50" t="str">
        <f t="shared" si="2"/>
        <v>Normativos</v>
      </c>
      <c r="U8" s="50" t="str">
        <f t="shared" si="2"/>
        <v>ABNT</v>
      </c>
      <c r="V8" s="49" t="str">
        <f t="shared" si="2"/>
        <v>NBR.Parte</v>
      </c>
      <c r="W8" s="35" t="s">
        <v>705</v>
      </c>
      <c r="X8" s="54" t="str">
        <f t="shared" si="3"/>
        <v>Key-ABNT-8</v>
      </c>
      <c r="Y8" s="35" t="s">
        <v>856</v>
      </c>
      <c r="Z8" s="35" t="s">
        <v>856</v>
      </c>
      <c r="AA8" s="35" t="s">
        <v>856</v>
      </c>
      <c r="AB8" s="35" t="s">
        <v>856</v>
      </c>
      <c r="AC8" s="35" t="s">
        <v>711</v>
      </c>
    </row>
    <row r="9" spans="1:29" ht="7.5" customHeight="1" x14ac:dyDescent="0.2">
      <c r="A9" s="46">
        <v>9</v>
      </c>
      <c r="B9" s="47" t="s">
        <v>853</v>
      </c>
      <c r="C9" s="26" t="s">
        <v>854</v>
      </c>
      <c r="D9" s="26" t="s">
        <v>656</v>
      </c>
      <c r="E9" s="26" t="s">
        <v>732</v>
      </c>
      <c r="F9" s="19" t="s">
        <v>740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49" t="str">
        <f t="shared" si="0"/>
        <v>Normativos</v>
      </c>
      <c r="M9" s="49" t="str">
        <f t="shared" si="0"/>
        <v>ABNT</v>
      </c>
      <c r="N9" s="49" t="str">
        <f t="shared" si="0"/>
        <v>NBR.Parte</v>
      </c>
      <c r="O9" s="49" t="str">
        <f t="shared" si="1"/>
        <v>NBR.2Q</v>
      </c>
      <c r="P9" s="49" t="s">
        <v>809</v>
      </c>
      <c r="Q9" s="49" t="s">
        <v>810</v>
      </c>
      <c r="R9" s="51" t="s">
        <v>811</v>
      </c>
      <c r="S9" s="35" t="s">
        <v>321</v>
      </c>
      <c r="T9" s="50" t="str">
        <f t="shared" si="2"/>
        <v>Normativos</v>
      </c>
      <c r="U9" s="50" t="str">
        <f t="shared" si="2"/>
        <v>ABNT</v>
      </c>
      <c r="V9" s="49" t="str">
        <f t="shared" si="2"/>
        <v>NBR.Parte</v>
      </c>
      <c r="W9" s="35" t="s">
        <v>705</v>
      </c>
      <c r="X9" s="54" t="str">
        <f t="shared" si="3"/>
        <v>Key-ABNT-9</v>
      </c>
      <c r="Y9" s="35" t="s">
        <v>856</v>
      </c>
      <c r="Z9" s="35" t="s">
        <v>856</v>
      </c>
      <c r="AA9" s="35" t="s">
        <v>856</v>
      </c>
      <c r="AB9" s="35" t="s">
        <v>856</v>
      </c>
      <c r="AC9" s="35" t="s">
        <v>712</v>
      </c>
    </row>
    <row r="10" spans="1:29" ht="7.5" customHeight="1" x14ac:dyDescent="0.2">
      <c r="A10" s="46">
        <v>10</v>
      </c>
      <c r="B10" s="47" t="s">
        <v>853</v>
      </c>
      <c r="C10" s="26" t="s">
        <v>854</v>
      </c>
      <c r="D10" s="26" t="s">
        <v>656</v>
      </c>
      <c r="E10" s="26" t="s">
        <v>732</v>
      </c>
      <c r="F10" s="19" t="s">
        <v>741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49" t="str">
        <f t="shared" si="0"/>
        <v>Normativos</v>
      </c>
      <c r="M10" s="49" t="str">
        <f t="shared" si="0"/>
        <v>ABNT</v>
      </c>
      <c r="N10" s="49" t="str">
        <f t="shared" si="0"/>
        <v>NBR.Parte</v>
      </c>
      <c r="O10" s="49" t="str">
        <f t="shared" si="1"/>
        <v>NBR.3E</v>
      </c>
      <c r="P10" s="49" t="s">
        <v>812</v>
      </c>
      <c r="Q10" s="49" t="s">
        <v>813</v>
      </c>
      <c r="R10" s="51" t="s">
        <v>814</v>
      </c>
      <c r="S10" s="35" t="s">
        <v>321</v>
      </c>
      <c r="T10" s="50" t="str">
        <f t="shared" si="2"/>
        <v>Normativos</v>
      </c>
      <c r="U10" s="50" t="str">
        <f t="shared" si="2"/>
        <v>ABNT</v>
      </c>
      <c r="V10" s="49" t="str">
        <f t="shared" si="2"/>
        <v>NBR.Parte</v>
      </c>
      <c r="W10" s="35" t="s">
        <v>705</v>
      </c>
      <c r="X10" s="54" t="str">
        <f t="shared" si="3"/>
        <v>Key-ABNT-10</v>
      </c>
      <c r="Y10" s="35" t="s">
        <v>856</v>
      </c>
      <c r="Z10" s="35" t="s">
        <v>856</v>
      </c>
      <c r="AA10" s="35" t="s">
        <v>856</v>
      </c>
      <c r="AB10" s="35" t="s">
        <v>856</v>
      </c>
      <c r="AC10" s="35" t="s">
        <v>713</v>
      </c>
    </row>
    <row r="11" spans="1:29" ht="7.5" customHeight="1" x14ac:dyDescent="0.2">
      <c r="A11" s="46">
        <v>11</v>
      </c>
      <c r="B11" s="47" t="s">
        <v>853</v>
      </c>
      <c r="C11" s="26" t="s">
        <v>854</v>
      </c>
      <c r="D11" s="26" t="s">
        <v>656</v>
      </c>
      <c r="E11" s="26" t="s">
        <v>732</v>
      </c>
      <c r="F11" s="19" t="s">
        <v>742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49" t="str">
        <f t="shared" si="0"/>
        <v>Normativos</v>
      </c>
      <c r="M11" s="49" t="str">
        <f t="shared" si="0"/>
        <v>ABNT</v>
      </c>
      <c r="N11" s="49" t="str">
        <f t="shared" si="0"/>
        <v>NBR.Parte</v>
      </c>
      <c r="O11" s="49" t="str">
        <f t="shared" si="1"/>
        <v>NBR.3R</v>
      </c>
      <c r="P11" s="49" t="s">
        <v>815</v>
      </c>
      <c r="Q11" s="49" t="s">
        <v>816</v>
      </c>
      <c r="R11" s="51" t="s">
        <v>817</v>
      </c>
      <c r="S11" s="35" t="s">
        <v>321</v>
      </c>
      <c r="T11" s="50" t="str">
        <f t="shared" si="2"/>
        <v>Normativos</v>
      </c>
      <c r="U11" s="50" t="str">
        <f t="shared" si="2"/>
        <v>ABNT</v>
      </c>
      <c r="V11" s="49" t="str">
        <f t="shared" si="2"/>
        <v>NBR.Parte</v>
      </c>
      <c r="W11" s="35" t="s">
        <v>705</v>
      </c>
      <c r="X11" s="54" t="str">
        <f t="shared" si="3"/>
        <v>Key-ABNT-11</v>
      </c>
      <c r="Y11" s="35" t="s">
        <v>856</v>
      </c>
      <c r="Z11" s="35" t="s">
        <v>856</v>
      </c>
      <c r="AA11" s="35" t="s">
        <v>856</v>
      </c>
      <c r="AB11" s="35" t="s">
        <v>856</v>
      </c>
      <c r="AC11" s="35" t="s">
        <v>714</v>
      </c>
    </row>
    <row r="12" spans="1:29" ht="7.5" customHeight="1" x14ac:dyDescent="0.2">
      <c r="A12" s="46">
        <v>12</v>
      </c>
      <c r="B12" s="47" t="s">
        <v>853</v>
      </c>
      <c r="C12" s="26" t="s">
        <v>854</v>
      </c>
      <c r="D12" s="26" t="s">
        <v>656</v>
      </c>
      <c r="E12" s="26" t="s">
        <v>732</v>
      </c>
      <c r="F12" s="19" t="s">
        <v>743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49" t="str">
        <f t="shared" si="0"/>
        <v>Normativos</v>
      </c>
      <c r="M12" s="49" t="str">
        <f t="shared" si="0"/>
        <v>ABNT</v>
      </c>
      <c r="N12" s="49" t="str">
        <f t="shared" si="0"/>
        <v>NBR.Parte</v>
      </c>
      <c r="O12" s="49" t="str">
        <f t="shared" si="1"/>
        <v>NBR.4A</v>
      </c>
      <c r="P12" s="49" t="s">
        <v>818</v>
      </c>
      <c r="Q12" s="49" t="s">
        <v>819</v>
      </c>
      <c r="R12" s="51" t="s">
        <v>820</v>
      </c>
      <c r="S12" s="35" t="s">
        <v>321</v>
      </c>
      <c r="T12" s="50" t="str">
        <f t="shared" si="2"/>
        <v>Normativos</v>
      </c>
      <c r="U12" s="50" t="str">
        <f t="shared" si="2"/>
        <v>ABNT</v>
      </c>
      <c r="V12" s="49" t="str">
        <f t="shared" si="2"/>
        <v>NBR.Parte</v>
      </c>
      <c r="W12" s="35" t="s">
        <v>705</v>
      </c>
      <c r="X12" s="54" t="str">
        <f t="shared" si="3"/>
        <v>Key-ABNT-12</v>
      </c>
      <c r="Y12" s="35" t="s">
        <v>860</v>
      </c>
      <c r="Z12" s="35" t="s">
        <v>856</v>
      </c>
      <c r="AA12" s="35" t="s">
        <v>867</v>
      </c>
      <c r="AB12" s="35" t="s">
        <v>856</v>
      </c>
      <c r="AC12" s="35" t="s">
        <v>715</v>
      </c>
    </row>
    <row r="13" spans="1:29" ht="7.5" customHeight="1" x14ac:dyDescent="0.2">
      <c r="A13" s="46">
        <v>13</v>
      </c>
      <c r="B13" s="47" t="s">
        <v>853</v>
      </c>
      <c r="C13" s="26" t="s">
        <v>854</v>
      </c>
      <c r="D13" s="26" t="s">
        <v>656</v>
      </c>
      <c r="E13" s="26" t="s">
        <v>732</v>
      </c>
      <c r="F13" s="19" t="s">
        <v>744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49" t="str">
        <f t="shared" si="0"/>
        <v>Normativos</v>
      </c>
      <c r="M13" s="49" t="str">
        <f t="shared" si="0"/>
        <v>ABNT</v>
      </c>
      <c r="N13" s="49" t="str">
        <f t="shared" si="0"/>
        <v>NBR.Parte</v>
      </c>
      <c r="O13" s="49" t="str">
        <f t="shared" si="1"/>
        <v>NBR.4U</v>
      </c>
      <c r="P13" s="49" t="s">
        <v>821</v>
      </c>
      <c r="Q13" s="49" t="s">
        <v>822</v>
      </c>
      <c r="R13" s="51" t="s">
        <v>823</v>
      </c>
      <c r="S13" s="35" t="s">
        <v>321</v>
      </c>
      <c r="T13" s="50" t="str">
        <f t="shared" si="2"/>
        <v>Normativos</v>
      </c>
      <c r="U13" s="50" t="str">
        <f t="shared" si="2"/>
        <v>ABNT</v>
      </c>
      <c r="V13" s="49" t="str">
        <f t="shared" si="2"/>
        <v>NBR.Parte</v>
      </c>
      <c r="W13" s="35" t="s">
        <v>705</v>
      </c>
      <c r="X13" s="54" t="str">
        <f t="shared" si="3"/>
        <v>Key-ABNT-13</v>
      </c>
      <c r="Y13" s="35" t="s">
        <v>860</v>
      </c>
      <c r="Z13" s="35" t="s">
        <v>856</v>
      </c>
      <c r="AA13" s="35" t="s">
        <v>867</v>
      </c>
      <c r="AB13" s="35" t="s">
        <v>856</v>
      </c>
      <c r="AC13" s="35" t="s">
        <v>716</v>
      </c>
    </row>
    <row r="14" spans="1:29" ht="7.5" customHeight="1" x14ac:dyDescent="0.2">
      <c r="A14" s="46">
        <v>14</v>
      </c>
      <c r="B14" s="47" t="s">
        <v>853</v>
      </c>
      <c r="C14" s="26" t="s">
        <v>854</v>
      </c>
      <c r="D14" s="26" t="s">
        <v>656</v>
      </c>
      <c r="E14" s="26" t="s">
        <v>732</v>
      </c>
      <c r="F14" s="19" t="s">
        <v>745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49" t="str">
        <f t="shared" si="0"/>
        <v>Normativos</v>
      </c>
      <c r="M14" s="49" t="str">
        <f t="shared" si="0"/>
        <v>ABNT</v>
      </c>
      <c r="N14" s="49" t="str">
        <f t="shared" si="0"/>
        <v>NBR.Parte</v>
      </c>
      <c r="O14" s="49" t="str">
        <f t="shared" si="1"/>
        <v>NBR.5I</v>
      </c>
      <c r="P14" s="49" t="s">
        <v>824</v>
      </c>
      <c r="Q14" s="49" t="s">
        <v>825</v>
      </c>
      <c r="R14" s="51" t="s">
        <v>826</v>
      </c>
      <c r="S14" s="35" t="s">
        <v>321</v>
      </c>
      <c r="T14" s="50" t="str">
        <f t="shared" si="2"/>
        <v>Normativos</v>
      </c>
      <c r="U14" s="50" t="str">
        <f t="shared" si="2"/>
        <v>ABNT</v>
      </c>
      <c r="V14" s="49" t="str">
        <f t="shared" si="2"/>
        <v>NBR.Parte</v>
      </c>
      <c r="W14" s="35" t="s">
        <v>705</v>
      </c>
      <c r="X14" s="54" t="str">
        <f t="shared" si="3"/>
        <v>Key-ABNT-14</v>
      </c>
      <c r="Y14" s="63" t="s">
        <v>861</v>
      </c>
      <c r="Z14" s="35" t="s">
        <v>856</v>
      </c>
      <c r="AA14" s="64" t="s">
        <v>862</v>
      </c>
      <c r="AB14" s="35" t="s">
        <v>856</v>
      </c>
      <c r="AC14" s="35" t="s">
        <v>717</v>
      </c>
    </row>
    <row r="15" spans="1:29" ht="7.5" customHeight="1" x14ac:dyDescent="0.2">
      <c r="A15" s="46">
        <v>15</v>
      </c>
      <c r="B15" s="47" t="s">
        <v>853</v>
      </c>
      <c r="C15" s="26" t="s">
        <v>854</v>
      </c>
      <c r="D15" s="26" t="s">
        <v>855</v>
      </c>
      <c r="E15" s="26" t="s">
        <v>785</v>
      </c>
      <c r="F15" s="12" t="s">
        <v>772</v>
      </c>
      <c r="G15" s="48" t="s">
        <v>321</v>
      </c>
      <c r="H15" s="48" t="s">
        <v>321</v>
      </c>
      <c r="I15" s="48" t="s">
        <v>321</v>
      </c>
      <c r="J15" s="48" t="s">
        <v>321</v>
      </c>
      <c r="K15" s="48" t="s">
        <v>321</v>
      </c>
      <c r="L15" s="49" t="str">
        <f t="shared" ref="L15:N27" si="4">CONCATENATE("", C15)</f>
        <v>Normativos</v>
      </c>
      <c r="M15" s="49" t="str">
        <f t="shared" si="4"/>
        <v>NBR.Temáticas</v>
      </c>
      <c r="N15" s="49" t="str">
        <f t="shared" si="4"/>
        <v>NBR.Serviços</v>
      </c>
      <c r="O15" s="49" t="str">
        <f t="shared" ref="O15:O27" si="5">F15</f>
        <v>NBR.S.Transacional</v>
      </c>
      <c r="P15" s="35" t="s">
        <v>748</v>
      </c>
      <c r="Q15" s="35" t="s">
        <v>883</v>
      </c>
      <c r="R15" s="35" t="s">
        <v>870</v>
      </c>
      <c r="S15" s="35" t="s">
        <v>321</v>
      </c>
      <c r="T15" s="50" t="str">
        <f t="shared" ref="T15:V17" si="6">SUBSTITUTE(C15, "_", " ")</f>
        <v>Normativos</v>
      </c>
      <c r="U15" s="50" t="str">
        <f t="shared" si="6"/>
        <v>NBR.Temáticas</v>
      </c>
      <c r="V15" s="49" t="str">
        <f t="shared" si="6"/>
        <v>NBR.Serviços</v>
      </c>
      <c r="W15" s="35" t="s">
        <v>705</v>
      </c>
      <c r="X15" s="54" t="str">
        <f t="shared" ref="X15:X28" si="7">CONCATENATE("Key-ABNT-",A15)</f>
        <v>Key-ABNT-15</v>
      </c>
      <c r="Y15" s="35" t="s">
        <v>856</v>
      </c>
      <c r="Z15" s="35" t="s">
        <v>856</v>
      </c>
      <c r="AA15" s="35" t="s">
        <v>857</v>
      </c>
      <c r="AB15" s="35" t="s">
        <v>856</v>
      </c>
      <c r="AC15" s="50" t="s">
        <v>746</v>
      </c>
    </row>
    <row r="16" spans="1:29" ht="7.5" customHeight="1" x14ac:dyDescent="0.2">
      <c r="A16" s="46">
        <v>16</v>
      </c>
      <c r="B16" s="47" t="s">
        <v>853</v>
      </c>
      <c r="C16" s="26" t="s">
        <v>854</v>
      </c>
      <c r="D16" s="26" t="s">
        <v>855</v>
      </c>
      <c r="E16" s="26" t="s">
        <v>785</v>
      </c>
      <c r="F16" s="12" t="s">
        <v>773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49" t="str">
        <f t="shared" si="4"/>
        <v>Normativos</v>
      </c>
      <c r="M16" s="49" t="str">
        <f t="shared" si="4"/>
        <v>NBR.Temáticas</v>
      </c>
      <c r="N16" s="49" t="str">
        <f t="shared" si="4"/>
        <v>NBR.Serviços</v>
      </c>
      <c r="O16" s="49" t="str">
        <f t="shared" si="5"/>
        <v>NBR.S.Administrativo</v>
      </c>
      <c r="P16" s="49" t="s">
        <v>749</v>
      </c>
      <c r="Q16" s="35" t="s">
        <v>884</v>
      </c>
      <c r="R16" s="35" t="s">
        <v>871</v>
      </c>
      <c r="S16" s="35" t="s">
        <v>321</v>
      </c>
      <c r="T16" s="50" t="str">
        <f t="shared" si="6"/>
        <v>Normativos</v>
      </c>
      <c r="U16" s="50" t="str">
        <f t="shared" si="6"/>
        <v>NBR.Temáticas</v>
      </c>
      <c r="V16" s="49" t="str">
        <f t="shared" si="6"/>
        <v>NBR.Serviços</v>
      </c>
      <c r="W16" s="35" t="s">
        <v>705</v>
      </c>
      <c r="X16" s="54" t="str">
        <f t="shared" si="7"/>
        <v>Key-ABNT-16</v>
      </c>
      <c r="Y16" s="35" t="s">
        <v>856</v>
      </c>
      <c r="Z16" s="35" t="s">
        <v>856</v>
      </c>
      <c r="AA16" s="35" t="s">
        <v>857</v>
      </c>
      <c r="AB16" s="35" t="s">
        <v>856</v>
      </c>
      <c r="AC16" s="50" t="s">
        <v>747</v>
      </c>
    </row>
    <row r="17" spans="1:29" ht="7.5" customHeight="1" x14ac:dyDescent="0.2">
      <c r="A17" s="46">
        <v>17</v>
      </c>
      <c r="B17" s="47" t="s">
        <v>853</v>
      </c>
      <c r="C17" s="26" t="s">
        <v>854</v>
      </c>
      <c r="D17" s="26" t="s">
        <v>855</v>
      </c>
      <c r="E17" s="26" t="s">
        <v>785</v>
      </c>
      <c r="F17" s="12" t="s">
        <v>774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49" t="str">
        <f t="shared" si="4"/>
        <v>Normativos</v>
      </c>
      <c r="M17" s="49" t="str">
        <f t="shared" si="4"/>
        <v>NBR.Temáticas</v>
      </c>
      <c r="N17" s="49" t="str">
        <f t="shared" si="4"/>
        <v>NBR.Serviços</v>
      </c>
      <c r="O17" s="49" t="str">
        <f t="shared" si="5"/>
        <v>NBR.S.Comunicação</v>
      </c>
      <c r="P17" s="49" t="s">
        <v>750</v>
      </c>
      <c r="Q17" s="35" t="s">
        <v>885</v>
      </c>
      <c r="R17" s="35" t="s">
        <v>872</v>
      </c>
      <c r="S17" s="35" t="s">
        <v>321</v>
      </c>
      <c r="T17" s="50" t="str">
        <f t="shared" si="6"/>
        <v>Normativos</v>
      </c>
      <c r="U17" s="50" t="str">
        <f t="shared" si="6"/>
        <v>NBR.Temáticas</v>
      </c>
      <c r="V17" s="49" t="str">
        <f t="shared" si="6"/>
        <v>NBR.Serviços</v>
      </c>
      <c r="W17" s="35" t="s">
        <v>705</v>
      </c>
      <c r="X17" s="54" t="str">
        <f t="shared" si="7"/>
        <v>Key-ABNT-17</v>
      </c>
      <c r="Y17" s="35" t="s">
        <v>856</v>
      </c>
      <c r="Z17" s="35" t="s">
        <v>856</v>
      </c>
      <c r="AA17" s="35" t="s">
        <v>857</v>
      </c>
      <c r="AB17" s="35" t="s">
        <v>856</v>
      </c>
      <c r="AC17" s="50" t="s">
        <v>761</v>
      </c>
    </row>
    <row r="18" spans="1:29" ht="7.5" customHeight="1" x14ac:dyDescent="0.2">
      <c r="A18" s="46">
        <v>18</v>
      </c>
      <c r="B18" s="47" t="s">
        <v>853</v>
      </c>
      <c r="C18" s="26" t="s">
        <v>854</v>
      </c>
      <c r="D18" s="26" t="s">
        <v>855</v>
      </c>
      <c r="E18" s="26" t="s">
        <v>785</v>
      </c>
      <c r="F18" s="12" t="s">
        <v>775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49" t="str">
        <f t="shared" si="4"/>
        <v>Normativos</v>
      </c>
      <c r="M18" s="49" t="str">
        <f t="shared" si="4"/>
        <v>NBR.Temáticas</v>
      </c>
      <c r="N18" s="49" t="str">
        <f t="shared" si="4"/>
        <v>NBR.Serviços</v>
      </c>
      <c r="O18" s="49" t="str">
        <f t="shared" si="5"/>
        <v>NBR.S.Conceituação</v>
      </c>
      <c r="P18" s="49" t="s">
        <v>751</v>
      </c>
      <c r="Q18" s="35" t="s">
        <v>886</v>
      </c>
      <c r="R18" s="35" t="s">
        <v>873</v>
      </c>
      <c r="S18" s="35" t="s">
        <v>321</v>
      </c>
      <c r="T18" s="50" t="str">
        <f t="shared" ref="T18:V27" si="8">SUBSTITUTE(C18, "_", " ")</f>
        <v>Normativos</v>
      </c>
      <c r="U18" s="50" t="str">
        <f t="shared" si="8"/>
        <v>NBR.Temáticas</v>
      </c>
      <c r="V18" s="49" t="str">
        <f t="shared" si="8"/>
        <v>NBR.Serviços</v>
      </c>
      <c r="W18" s="35" t="s">
        <v>705</v>
      </c>
      <c r="X18" s="54" t="str">
        <f t="shared" si="7"/>
        <v>Key-ABNT-18</v>
      </c>
      <c r="Y18" s="35" t="s">
        <v>856</v>
      </c>
      <c r="Z18" s="35" t="s">
        <v>856</v>
      </c>
      <c r="AA18" s="35" t="s">
        <v>857</v>
      </c>
      <c r="AB18" s="35" t="s">
        <v>856</v>
      </c>
      <c r="AC18" s="50" t="s">
        <v>762</v>
      </c>
    </row>
    <row r="19" spans="1:29" ht="7.5" customHeight="1" x14ac:dyDescent="0.2">
      <c r="A19" s="46">
        <v>19</v>
      </c>
      <c r="B19" s="47" t="s">
        <v>853</v>
      </c>
      <c r="C19" s="26" t="s">
        <v>854</v>
      </c>
      <c r="D19" s="26" t="s">
        <v>855</v>
      </c>
      <c r="E19" s="26" t="s">
        <v>785</v>
      </c>
      <c r="F19" s="12" t="s">
        <v>776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49" t="str">
        <f t="shared" si="4"/>
        <v>Normativos</v>
      </c>
      <c r="M19" s="49" t="str">
        <f t="shared" si="4"/>
        <v>NBR.Temáticas</v>
      </c>
      <c r="N19" s="49" t="str">
        <f t="shared" si="4"/>
        <v>NBR.Serviços</v>
      </c>
      <c r="O19" s="49" t="str">
        <f t="shared" si="5"/>
        <v>NBR.S.Informação</v>
      </c>
      <c r="P19" s="49" t="s">
        <v>752</v>
      </c>
      <c r="Q19" s="35" t="s">
        <v>887</v>
      </c>
      <c r="R19" s="35" t="s">
        <v>874</v>
      </c>
      <c r="S19" s="35" t="s">
        <v>321</v>
      </c>
      <c r="T19" s="50" t="str">
        <f t="shared" si="8"/>
        <v>Normativos</v>
      </c>
      <c r="U19" s="50" t="str">
        <f t="shared" si="8"/>
        <v>NBR.Temáticas</v>
      </c>
      <c r="V19" s="49" t="str">
        <f t="shared" si="8"/>
        <v>NBR.Serviços</v>
      </c>
      <c r="W19" s="35" t="s">
        <v>705</v>
      </c>
      <c r="X19" s="54" t="str">
        <f t="shared" si="7"/>
        <v>Key-ABNT-19</v>
      </c>
      <c r="Y19" s="35" t="s">
        <v>856</v>
      </c>
      <c r="Z19" s="35" t="s">
        <v>856</v>
      </c>
      <c r="AA19" s="35" t="s">
        <v>857</v>
      </c>
      <c r="AB19" s="35" t="s">
        <v>856</v>
      </c>
      <c r="AC19" s="50" t="s">
        <v>765</v>
      </c>
    </row>
    <row r="20" spans="1:29" ht="7.5" customHeight="1" x14ac:dyDescent="0.2">
      <c r="A20" s="46">
        <v>20</v>
      </c>
      <c r="B20" s="47" t="s">
        <v>853</v>
      </c>
      <c r="C20" s="26" t="s">
        <v>854</v>
      </c>
      <c r="D20" s="26" t="s">
        <v>855</v>
      </c>
      <c r="E20" s="26" t="s">
        <v>785</v>
      </c>
      <c r="F20" s="12" t="s">
        <v>777</v>
      </c>
      <c r="G20" s="29" t="s">
        <v>321</v>
      </c>
      <c r="H20" s="29" t="s">
        <v>321</v>
      </c>
      <c r="I20" s="29" t="s">
        <v>321</v>
      </c>
      <c r="J20" s="29" t="s">
        <v>321</v>
      </c>
      <c r="K20" s="29" t="s">
        <v>321</v>
      </c>
      <c r="L20" s="49" t="str">
        <f t="shared" si="4"/>
        <v>Normativos</v>
      </c>
      <c r="M20" s="49" t="str">
        <f t="shared" si="4"/>
        <v>NBR.Temáticas</v>
      </c>
      <c r="N20" s="49" t="str">
        <f t="shared" si="4"/>
        <v>NBR.Serviços</v>
      </c>
      <c r="O20" s="49" t="str">
        <f t="shared" si="5"/>
        <v>NBR.S.Organização</v>
      </c>
      <c r="P20" s="49" t="s">
        <v>753</v>
      </c>
      <c r="Q20" s="35" t="s">
        <v>888</v>
      </c>
      <c r="R20" s="35" t="s">
        <v>875</v>
      </c>
      <c r="S20" s="35" t="s">
        <v>321</v>
      </c>
      <c r="T20" s="50" t="str">
        <f t="shared" si="8"/>
        <v>Normativos</v>
      </c>
      <c r="U20" s="50" t="str">
        <f t="shared" si="8"/>
        <v>NBR.Temáticas</v>
      </c>
      <c r="V20" s="49" t="str">
        <f t="shared" si="8"/>
        <v>NBR.Serviços</v>
      </c>
      <c r="W20" s="35" t="s">
        <v>705</v>
      </c>
      <c r="X20" s="54" t="str">
        <f t="shared" si="7"/>
        <v>Key-ABNT-20</v>
      </c>
      <c r="Y20" s="35" t="s">
        <v>856</v>
      </c>
      <c r="Z20" s="35" t="s">
        <v>856</v>
      </c>
      <c r="AA20" s="35" t="s">
        <v>857</v>
      </c>
      <c r="AB20" s="35" t="s">
        <v>856</v>
      </c>
      <c r="AC20" s="50" t="s">
        <v>766</v>
      </c>
    </row>
    <row r="21" spans="1:29" ht="7.5" customHeight="1" x14ac:dyDescent="0.2">
      <c r="A21" s="46">
        <v>21</v>
      </c>
      <c r="B21" s="47" t="s">
        <v>853</v>
      </c>
      <c r="C21" s="26" t="s">
        <v>854</v>
      </c>
      <c r="D21" s="26" t="s">
        <v>855</v>
      </c>
      <c r="E21" s="26" t="s">
        <v>785</v>
      </c>
      <c r="F21" s="12" t="s">
        <v>778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49" t="str">
        <f t="shared" si="4"/>
        <v>Normativos</v>
      </c>
      <c r="M21" s="49" t="str">
        <f t="shared" si="4"/>
        <v>NBR.Temáticas</v>
      </c>
      <c r="N21" s="49" t="str">
        <f t="shared" si="4"/>
        <v>NBR.Serviços</v>
      </c>
      <c r="O21" s="49" t="str">
        <f t="shared" si="5"/>
        <v>NBR.S.Projetual</v>
      </c>
      <c r="P21" s="49" t="s">
        <v>754</v>
      </c>
      <c r="Q21" s="35" t="s">
        <v>889</v>
      </c>
      <c r="R21" s="35" t="s">
        <v>876</v>
      </c>
      <c r="S21" s="35" t="s">
        <v>321</v>
      </c>
      <c r="T21" s="50" t="str">
        <f t="shared" si="8"/>
        <v>Normativos</v>
      </c>
      <c r="U21" s="50" t="str">
        <f t="shared" si="8"/>
        <v>NBR.Temáticas</v>
      </c>
      <c r="V21" s="49" t="str">
        <f t="shared" si="8"/>
        <v>NBR.Serviços</v>
      </c>
      <c r="W21" s="35" t="s">
        <v>705</v>
      </c>
      <c r="X21" s="54" t="str">
        <f t="shared" si="7"/>
        <v>Key-ABNT-21</v>
      </c>
      <c r="Y21" s="35" t="s">
        <v>856</v>
      </c>
      <c r="Z21" s="35" t="s">
        <v>856</v>
      </c>
      <c r="AA21" s="35" t="s">
        <v>857</v>
      </c>
      <c r="AB21" s="35" t="s">
        <v>856</v>
      </c>
      <c r="AC21" s="50" t="s">
        <v>763</v>
      </c>
    </row>
    <row r="22" spans="1:29" ht="7.5" customHeight="1" x14ac:dyDescent="0.2">
      <c r="A22" s="46">
        <v>22</v>
      </c>
      <c r="B22" s="47" t="s">
        <v>853</v>
      </c>
      <c r="C22" s="26" t="s">
        <v>854</v>
      </c>
      <c r="D22" s="26" t="s">
        <v>855</v>
      </c>
      <c r="E22" s="26" t="s">
        <v>785</v>
      </c>
      <c r="F22" s="12" t="s">
        <v>779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49" t="str">
        <f t="shared" si="4"/>
        <v>Normativos</v>
      </c>
      <c r="M22" s="49" t="str">
        <f t="shared" si="4"/>
        <v>NBR.Temáticas</v>
      </c>
      <c r="N22" s="49" t="str">
        <f t="shared" si="4"/>
        <v>NBR.Serviços</v>
      </c>
      <c r="O22" s="49" t="str">
        <f t="shared" si="5"/>
        <v>NBR.S.Documental</v>
      </c>
      <c r="P22" s="49" t="s">
        <v>755</v>
      </c>
      <c r="Q22" s="35" t="s">
        <v>890</v>
      </c>
      <c r="R22" s="35" t="s">
        <v>877</v>
      </c>
      <c r="S22" s="35" t="s">
        <v>321</v>
      </c>
      <c r="T22" s="50" t="str">
        <f t="shared" si="8"/>
        <v>Normativos</v>
      </c>
      <c r="U22" s="50" t="str">
        <f t="shared" si="8"/>
        <v>NBR.Temáticas</v>
      </c>
      <c r="V22" s="49" t="str">
        <f t="shared" si="8"/>
        <v>NBR.Serviços</v>
      </c>
      <c r="W22" s="35" t="s">
        <v>705</v>
      </c>
      <c r="X22" s="54" t="str">
        <f t="shared" si="7"/>
        <v>Key-ABNT-22</v>
      </c>
      <c r="Y22" s="35" t="s">
        <v>856</v>
      </c>
      <c r="Z22" s="35" t="s">
        <v>856</v>
      </c>
      <c r="AA22" s="35" t="s">
        <v>857</v>
      </c>
      <c r="AB22" s="35" t="s">
        <v>856</v>
      </c>
      <c r="AC22" s="50" t="s">
        <v>764</v>
      </c>
    </row>
    <row r="23" spans="1:29" ht="7.5" customHeight="1" x14ac:dyDescent="0.2">
      <c r="A23" s="46">
        <v>23</v>
      </c>
      <c r="B23" s="47" t="s">
        <v>853</v>
      </c>
      <c r="C23" s="26" t="s">
        <v>854</v>
      </c>
      <c r="D23" s="26" t="s">
        <v>855</v>
      </c>
      <c r="E23" s="26" t="s">
        <v>785</v>
      </c>
      <c r="F23" s="12" t="s">
        <v>780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49" t="str">
        <f t="shared" si="4"/>
        <v>Normativos</v>
      </c>
      <c r="M23" s="49" t="str">
        <f t="shared" si="4"/>
        <v>NBR.Temáticas</v>
      </c>
      <c r="N23" s="49" t="str">
        <f t="shared" si="4"/>
        <v>NBR.Serviços</v>
      </c>
      <c r="O23" s="49" t="str">
        <f t="shared" si="5"/>
        <v>NBR.S.Implementação</v>
      </c>
      <c r="P23" s="49" t="s">
        <v>756</v>
      </c>
      <c r="Q23" s="35" t="s">
        <v>891</v>
      </c>
      <c r="R23" s="35" t="s">
        <v>878</v>
      </c>
      <c r="S23" s="35" t="s">
        <v>321</v>
      </c>
      <c r="T23" s="50" t="str">
        <f t="shared" si="8"/>
        <v>Normativos</v>
      </c>
      <c r="U23" s="50" t="str">
        <f t="shared" si="8"/>
        <v>NBR.Temáticas</v>
      </c>
      <c r="V23" s="49" t="str">
        <f t="shared" si="8"/>
        <v>NBR.Serviços</v>
      </c>
      <c r="W23" s="35" t="s">
        <v>705</v>
      </c>
      <c r="X23" s="54" t="str">
        <f t="shared" si="7"/>
        <v>Key-ABNT-23</v>
      </c>
      <c r="Y23" s="35" t="s">
        <v>856</v>
      </c>
      <c r="Z23" s="35" t="s">
        <v>856</v>
      </c>
      <c r="AA23" s="35" t="s">
        <v>857</v>
      </c>
      <c r="AB23" s="35" t="s">
        <v>856</v>
      </c>
      <c r="AC23" s="50" t="s">
        <v>767</v>
      </c>
    </row>
    <row r="24" spans="1:29" ht="7.5" customHeight="1" x14ac:dyDescent="0.2">
      <c r="A24" s="46">
        <v>24</v>
      </c>
      <c r="B24" s="47" t="s">
        <v>853</v>
      </c>
      <c r="C24" s="26" t="s">
        <v>854</v>
      </c>
      <c r="D24" s="26" t="s">
        <v>855</v>
      </c>
      <c r="E24" s="26" t="s">
        <v>785</v>
      </c>
      <c r="F24" s="12" t="s">
        <v>781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49" t="str">
        <f t="shared" si="4"/>
        <v>Normativos</v>
      </c>
      <c r="M24" s="49" t="str">
        <f t="shared" si="4"/>
        <v>NBR.Temáticas</v>
      </c>
      <c r="N24" s="49" t="str">
        <f t="shared" si="4"/>
        <v>NBR.Serviços</v>
      </c>
      <c r="O24" s="49" t="str">
        <f t="shared" si="5"/>
        <v>NBR.S.Operação.Predial</v>
      </c>
      <c r="P24" s="49" t="s">
        <v>757</v>
      </c>
      <c r="Q24" s="35" t="s">
        <v>892</v>
      </c>
      <c r="R24" s="35" t="s">
        <v>879</v>
      </c>
      <c r="S24" s="35" t="s">
        <v>321</v>
      </c>
      <c r="T24" s="50" t="str">
        <f t="shared" si="8"/>
        <v>Normativos</v>
      </c>
      <c r="U24" s="50" t="str">
        <f t="shared" si="8"/>
        <v>NBR.Temáticas</v>
      </c>
      <c r="V24" s="49" t="str">
        <f t="shared" si="8"/>
        <v>NBR.Serviços</v>
      </c>
      <c r="W24" s="35" t="s">
        <v>705</v>
      </c>
      <c r="X24" s="54" t="str">
        <f t="shared" si="7"/>
        <v>Key-ABNT-24</v>
      </c>
      <c r="Y24" s="35" t="s">
        <v>856</v>
      </c>
      <c r="Z24" s="35" t="s">
        <v>856</v>
      </c>
      <c r="AA24" s="35" t="s">
        <v>857</v>
      </c>
      <c r="AB24" s="35" t="s">
        <v>856</v>
      </c>
      <c r="AC24" s="50" t="s">
        <v>768</v>
      </c>
    </row>
    <row r="25" spans="1:29" ht="7.5" customHeight="1" x14ac:dyDescent="0.2">
      <c r="A25" s="46">
        <v>25</v>
      </c>
      <c r="B25" s="47" t="s">
        <v>853</v>
      </c>
      <c r="C25" s="26" t="s">
        <v>854</v>
      </c>
      <c r="D25" s="26" t="s">
        <v>855</v>
      </c>
      <c r="E25" s="26" t="s">
        <v>785</v>
      </c>
      <c r="F25" s="12" t="s">
        <v>782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49" t="str">
        <f t="shared" si="4"/>
        <v>Normativos</v>
      </c>
      <c r="M25" s="49" t="str">
        <f t="shared" si="4"/>
        <v>NBR.Temáticas</v>
      </c>
      <c r="N25" s="49" t="str">
        <f t="shared" si="4"/>
        <v>NBR.Serviços</v>
      </c>
      <c r="O25" s="49" t="str">
        <f t="shared" si="5"/>
        <v>NBR.S.Suporte</v>
      </c>
      <c r="P25" s="49" t="s">
        <v>758</v>
      </c>
      <c r="Q25" s="35" t="s">
        <v>893</v>
      </c>
      <c r="R25" s="35" t="s">
        <v>880</v>
      </c>
      <c r="S25" s="35" t="s">
        <v>321</v>
      </c>
      <c r="T25" s="50" t="str">
        <f t="shared" si="8"/>
        <v>Normativos</v>
      </c>
      <c r="U25" s="50" t="str">
        <f t="shared" si="8"/>
        <v>NBR.Temáticas</v>
      </c>
      <c r="V25" s="49" t="str">
        <f t="shared" si="8"/>
        <v>NBR.Serviços</v>
      </c>
      <c r="W25" s="35" t="s">
        <v>705</v>
      </c>
      <c r="X25" s="54" t="str">
        <f t="shared" si="7"/>
        <v>Key-ABNT-25</v>
      </c>
      <c r="Y25" s="35" t="s">
        <v>856</v>
      </c>
      <c r="Z25" s="35" t="s">
        <v>856</v>
      </c>
      <c r="AA25" s="35" t="s">
        <v>857</v>
      </c>
      <c r="AB25" s="35" t="s">
        <v>856</v>
      </c>
      <c r="AC25" s="50" t="s">
        <v>769</v>
      </c>
    </row>
    <row r="26" spans="1:29" ht="7.5" customHeight="1" x14ac:dyDescent="0.2">
      <c r="A26" s="46">
        <v>26</v>
      </c>
      <c r="B26" s="47" t="s">
        <v>853</v>
      </c>
      <c r="C26" s="26" t="s">
        <v>854</v>
      </c>
      <c r="D26" s="26" t="s">
        <v>855</v>
      </c>
      <c r="E26" s="26" t="s">
        <v>785</v>
      </c>
      <c r="F26" s="12" t="s">
        <v>783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49" t="str">
        <f t="shared" si="4"/>
        <v>Normativos</v>
      </c>
      <c r="M26" s="49" t="str">
        <f t="shared" si="4"/>
        <v>NBR.Temáticas</v>
      </c>
      <c r="N26" s="49" t="str">
        <f t="shared" si="4"/>
        <v>NBR.Serviços</v>
      </c>
      <c r="O26" s="49" t="str">
        <f t="shared" si="5"/>
        <v>NBR.S.Governo</v>
      </c>
      <c r="P26" s="49" t="s">
        <v>759</v>
      </c>
      <c r="Q26" s="35" t="s">
        <v>894</v>
      </c>
      <c r="R26" s="35" t="s">
        <v>881</v>
      </c>
      <c r="S26" s="35" t="s">
        <v>321</v>
      </c>
      <c r="T26" s="50" t="str">
        <f t="shared" si="8"/>
        <v>Normativos</v>
      </c>
      <c r="U26" s="50" t="str">
        <f t="shared" si="8"/>
        <v>NBR.Temáticas</v>
      </c>
      <c r="V26" s="49" t="str">
        <f t="shared" si="8"/>
        <v>NBR.Serviços</v>
      </c>
      <c r="W26" s="35" t="s">
        <v>705</v>
      </c>
      <c r="X26" s="54" t="str">
        <f t="shared" si="7"/>
        <v>Key-ABNT-26</v>
      </c>
      <c r="Y26" s="35" t="s">
        <v>856</v>
      </c>
      <c r="Z26" s="35" t="s">
        <v>856</v>
      </c>
      <c r="AA26" s="35" t="s">
        <v>857</v>
      </c>
      <c r="AB26" s="35" t="s">
        <v>856</v>
      </c>
      <c r="AC26" s="50" t="s">
        <v>770</v>
      </c>
    </row>
    <row r="27" spans="1:29" ht="7.5" customHeight="1" x14ac:dyDescent="0.2">
      <c r="A27" s="46">
        <v>27</v>
      </c>
      <c r="B27" s="47" t="s">
        <v>853</v>
      </c>
      <c r="C27" s="26" t="s">
        <v>854</v>
      </c>
      <c r="D27" s="26" t="s">
        <v>855</v>
      </c>
      <c r="E27" s="26" t="s">
        <v>785</v>
      </c>
      <c r="F27" s="12" t="s">
        <v>784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49" t="str">
        <f t="shared" si="4"/>
        <v>Normativos</v>
      </c>
      <c r="M27" s="49" t="str">
        <f t="shared" si="4"/>
        <v>NBR.Temáticas</v>
      </c>
      <c r="N27" s="49" t="str">
        <f t="shared" si="4"/>
        <v>NBR.Serviços</v>
      </c>
      <c r="O27" s="49" t="str">
        <f t="shared" si="5"/>
        <v>NBR.S.Adicional</v>
      </c>
      <c r="P27" s="49" t="s">
        <v>760</v>
      </c>
      <c r="Q27" s="35" t="s">
        <v>895</v>
      </c>
      <c r="R27" s="35" t="s">
        <v>882</v>
      </c>
      <c r="S27" s="35" t="s">
        <v>321</v>
      </c>
      <c r="T27" s="50" t="str">
        <f t="shared" si="8"/>
        <v>Normativos</v>
      </c>
      <c r="U27" s="50" t="str">
        <f t="shared" si="8"/>
        <v>NBR.Temáticas</v>
      </c>
      <c r="V27" s="49" t="str">
        <f t="shared" si="8"/>
        <v>NBR.Serviços</v>
      </c>
      <c r="W27" s="35" t="s">
        <v>705</v>
      </c>
      <c r="X27" s="54" t="str">
        <f t="shared" si="7"/>
        <v>Key-ABNT-27</v>
      </c>
      <c r="Y27" s="35" t="s">
        <v>856</v>
      </c>
      <c r="Z27" s="35" t="s">
        <v>856</v>
      </c>
      <c r="AA27" s="35" t="s">
        <v>857</v>
      </c>
      <c r="AB27" s="35" t="s">
        <v>856</v>
      </c>
      <c r="AC27" s="50" t="s">
        <v>771</v>
      </c>
    </row>
    <row r="28" spans="1:29" s="32" customFormat="1" ht="6.75" customHeight="1" x14ac:dyDescent="0.2">
      <c r="A28" s="46">
        <v>28</v>
      </c>
      <c r="B28" s="47" t="s">
        <v>896</v>
      </c>
      <c r="C28" s="26" t="s">
        <v>897</v>
      </c>
      <c r="D28" s="26" t="s">
        <v>898</v>
      </c>
      <c r="E28" s="26" t="s">
        <v>899</v>
      </c>
      <c r="F28" s="26" t="s">
        <v>900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49" t="str">
        <f t="shared" ref="L28:O28" si="9">SUBSTITUTE(CONCATENATE("", C28), ".", " ")</f>
        <v>De API</v>
      </c>
      <c r="M28" s="49" t="str">
        <f t="shared" si="9"/>
        <v>Métodos</v>
      </c>
      <c r="N28" s="49" t="str">
        <f t="shared" si="9"/>
        <v>Macros</v>
      </c>
      <c r="O28" s="49" t="str">
        <f t="shared" si="9"/>
        <v>API Revit</v>
      </c>
      <c r="P28" s="35" t="s">
        <v>901</v>
      </c>
      <c r="Q28" s="35" t="s">
        <v>902</v>
      </c>
      <c r="R28" s="35" t="s">
        <v>903</v>
      </c>
      <c r="S28" s="35" t="s">
        <v>321</v>
      </c>
      <c r="T28" s="35" t="str">
        <f t="shared" ref="T28:V28" si="10">SUBSTITUTE(C28, ".", " ")</f>
        <v>De API</v>
      </c>
      <c r="U28" s="35" t="str">
        <f t="shared" si="10"/>
        <v>Métodos</v>
      </c>
      <c r="V28" s="50" t="str">
        <f t="shared" si="10"/>
        <v>Macros</v>
      </c>
      <c r="W28" s="35" t="s">
        <v>705</v>
      </c>
      <c r="X28" s="54" t="str">
        <f t="shared" si="7"/>
        <v>Key-ABNT-28</v>
      </c>
      <c r="Y28" s="65" t="s">
        <v>321</v>
      </c>
      <c r="Z28" s="65" t="s">
        <v>321</v>
      </c>
      <c r="AA28" s="65" t="s">
        <v>321</v>
      </c>
      <c r="AB28" s="65" t="s">
        <v>321</v>
      </c>
      <c r="AC28" s="65" t="s">
        <v>321</v>
      </c>
    </row>
  </sheetData>
  <conditionalFormatting sqref="A2:B28">
    <cfRule type="cellIs" dxfId="30" priority="2" operator="equal">
      <formula>"null"</formula>
    </cfRule>
  </conditionalFormatting>
  <conditionalFormatting sqref="F2:F14">
    <cfRule type="duplicateValues" dxfId="29" priority="13"/>
  </conditionalFormatting>
  <conditionalFormatting sqref="F15">
    <cfRule type="duplicateValues" dxfId="28" priority="43"/>
    <cfRule type="duplicateValues" dxfId="27" priority="44"/>
    <cfRule type="duplicateValues" dxfId="26" priority="45"/>
    <cfRule type="duplicateValues" dxfId="25" priority="46"/>
  </conditionalFormatting>
  <conditionalFormatting sqref="F28">
    <cfRule type="duplicateValues" dxfId="24" priority="3"/>
  </conditionalFormatting>
  <conditionalFormatting sqref="R1:R28">
    <cfRule type="cellIs" dxfId="23" priority="1" operator="equal">
      <formula>"null"</formula>
    </cfRule>
  </conditionalFormatting>
  <conditionalFormatting sqref="Y2 AA2">
    <cfRule type="cellIs" dxfId="22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2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3">
        <v>1</v>
      </c>
      <c r="B1" s="24" t="s">
        <v>320</v>
      </c>
      <c r="C1" s="24" t="s">
        <v>679</v>
      </c>
    </row>
    <row r="2" spans="1:3" x14ac:dyDescent="0.2">
      <c r="A2" s="14">
        <v>2</v>
      </c>
      <c r="B2" s="25" t="s">
        <v>321</v>
      </c>
      <c r="C2" s="25" t="s">
        <v>321</v>
      </c>
    </row>
  </sheetData>
  <conditionalFormatting sqref="A1:A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AG310"/>
  <sheetViews>
    <sheetView tabSelected="1" topLeftCell="K276" zoomScale="145" zoomScaleNormal="145" workbookViewId="0">
      <selection activeCell="P306" sqref="P306:Q310"/>
    </sheetView>
  </sheetViews>
  <sheetFormatPr defaultRowHeight="7.5" customHeight="1" x14ac:dyDescent="0.2"/>
  <cols>
    <col min="1" max="1" width="2.5" style="2" bestFit="1" customWidth="1"/>
    <col min="2" max="2" width="8.1640625" style="2" bestFit="1" customWidth="1"/>
    <col min="3" max="3" width="12.6640625" style="2" bestFit="1" customWidth="1"/>
    <col min="4" max="4" width="8.1640625" style="2" bestFit="1" customWidth="1"/>
    <col min="5" max="5" width="5.83203125" style="2" bestFit="1" customWidth="1"/>
    <col min="6" max="6" width="3.832031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5.83203125" bestFit="1" customWidth="1"/>
    <col min="12" max="12" width="4.83203125" bestFit="1" customWidth="1"/>
    <col min="13" max="13" width="20.6640625" bestFit="1" customWidth="1"/>
    <col min="14" max="14" width="5.33203125" bestFit="1" customWidth="1"/>
    <col min="15" max="15" width="43.33203125" style="32" bestFit="1" customWidth="1"/>
    <col min="16" max="16" width="7.5" bestFit="1" customWidth="1"/>
    <col min="17" max="17" width="11" bestFit="1" customWidth="1"/>
    <col min="18" max="18" width="5.164062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10.83203125" customWidth="1"/>
    <col min="25" max="25" width="7.83203125" bestFit="1" customWidth="1"/>
    <col min="26" max="26" width="10.83203125" customWidth="1"/>
    <col min="27" max="27" width="6" bestFit="1" customWidth="1"/>
    <col min="28" max="28" width="10.83203125" customWidth="1"/>
    <col min="29" max="29" width="7.5" bestFit="1" customWidth="1"/>
    <col min="30" max="30" width="10.83203125" customWidth="1"/>
    <col min="31" max="31" width="7.1640625" bestFit="1" customWidth="1"/>
    <col min="32" max="32" width="10.83203125" customWidth="1"/>
    <col min="33" max="33" width="7.1640625" bestFit="1" customWidth="1"/>
  </cols>
  <sheetData>
    <row r="1" spans="1:33" ht="15" customHeight="1" x14ac:dyDescent="0.2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  <c r="Z1" s="8" t="s">
        <v>2</v>
      </c>
      <c r="AA1" s="8" t="s">
        <v>3</v>
      </c>
      <c r="AB1" s="8" t="s">
        <v>2</v>
      </c>
      <c r="AC1" s="8" t="s">
        <v>3</v>
      </c>
      <c r="AD1" s="8" t="s">
        <v>2</v>
      </c>
      <c r="AE1" s="8" t="s">
        <v>3</v>
      </c>
      <c r="AF1" s="8" t="s">
        <v>2</v>
      </c>
      <c r="AG1" s="8" t="s">
        <v>3</v>
      </c>
    </row>
    <row r="2" spans="1:33" s="2" customFormat="1" ht="8.25" customHeight="1" x14ac:dyDescent="0.2">
      <c r="A2" s="9">
        <v>2</v>
      </c>
      <c r="B2" s="40" t="s">
        <v>625</v>
      </c>
      <c r="C2" s="11" t="s">
        <v>854</v>
      </c>
      <c r="D2" s="52" t="s">
        <v>321</v>
      </c>
      <c r="E2" s="53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718</v>
      </c>
      <c r="L2" s="41" t="s">
        <v>681</v>
      </c>
      <c r="M2" s="33" t="s">
        <v>719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52" t="s">
        <v>321</v>
      </c>
      <c r="Y2" s="53" t="s">
        <v>321</v>
      </c>
      <c r="Z2" s="52" t="s">
        <v>321</v>
      </c>
      <c r="AA2" s="53" t="s">
        <v>321</v>
      </c>
      <c r="AB2" s="52" t="s">
        <v>321</v>
      </c>
      <c r="AC2" s="53" t="s">
        <v>321</v>
      </c>
      <c r="AD2" s="52" t="s">
        <v>321</v>
      </c>
      <c r="AE2" s="53" t="s">
        <v>321</v>
      </c>
      <c r="AF2" s="52" t="s">
        <v>321</v>
      </c>
      <c r="AG2" s="53" t="s">
        <v>321</v>
      </c>
    </row>
    <row r="3" spans="1:33" ht="7.5" customHeight="1" x14ac:dyDescent="0.2">
      <c r="A3" s="9">
        <v>3</v>
      </c>
      <c r="B3" s="10" t="s">
        <v>631</v>
      </c>
      <c r="C3" s="11" t="s">
        <v>732</v>
      </c>
      <c r="D3" s="52" t="s">
        <v>720</v>
      </c>
      <c r="E3" s="53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718</v>
      </c>
      <c r="L3" s="41" t="s">
        <v>681</v>
      </c>
      <c r="M3" s="33" t="s">
        <v>787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52" t="s">
        <v>321</v>
      </c>
      <c r="Y3" s="53" t="s">
        <v>321</v>
      </c>
      <c r="Z3" s="52" t="s">
        <v>321</v>
      </c>
      <c r="AA3" s="53" t="s">
        <v>321</v>
      </c>
      <c r="AB3" s="52" t="s">
        <v>321</v>
      </c>
      <c r="AC3" s="53" t="s">
        <v>321</v>
      </c>
      <c r="AD3" s="52" t="s">
        <v>321</v>
      </c>
      <c r="AE3" s="53" t="s">
        <v>321</v>
      </c>
      <c r="AF3" s="52" t="s">
        <v>321</v>
      </c>
      <c r="AG3" s="53" t="s">
        <v>321</v>
      </c>
    </row>
    <row r="4" spans="1:33" ht="7.5" customHeight="1" x14ac:dyDescent="0.2">
      <c r="A4" s="9">
        <v>4</v>
      </c>
      <c r="B4" s="10" t="s">
        <v>624</v>
      </c>
      <c r="C4" s="12" t="s">
        <v>737</v>
      </c>
      <c r="D4" s="52" t="s">
        <v>720</v>
      </c>
      <c r="E4" s="53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718</v>
      </c>
      <c r="L4" s="41" t="s">
        <v>681</v>
      </c>
      <c r="M4" s="33" t="s">
        <v>786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52" t="s">
        <v>920</v>
      </c>
      <c r="Y4" s="53" t="s">
        <v>904</v>
      </c>
      <c r="Z4" s="52" t="s">
        <v>920</v>
      </c>
      <c r="AA4" s="53" t="s">
        <v>908</v>
      </c>
      <c r="AB4" s="52" t="s">
        <v>920</v>
      </c>
      <c r="AC4" s="53" t="s">
        <v>911</v>
      </c>
      <c r="AD4" s="52" t="s">
        <v>920</v>
      </c>
      <c r="AE4" s="53" t="s">
        <v>914</v>
      </c>
      <c r="AF4" s="52" t="s">
        <v>920</v>
      </c>
      <c r="AG4" s="53" t="s">
        <v>917</v>
      </c>
    </row>
    <row r="5" spans="1:33" ht="7.5" customHeight="1" x14ac:dyDescent="0.2">
      <c r="A5" s="9">
        <v>5</v>
      </c>
      <c r="B5" s="10" t="s">
        <v>328</v>
      </c>
      <c r="C5" s="12" t="s">
        <v>772</v>
      </c>
      <c r="D5" s="52" t="s">
        <v>720</v>
      </c>
      <c r="E5" s="53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721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52" t="s">
        <v>920</v>
      </c>
      <c r="Y5" s="53" t="s">
        <v>904</v>
      </c>
      <c r="Z5" s="52" t="s">
        <v>920</v>
      </c>
      <c r="AA5" s="53" t="s">
        <v>908</v>
      </c>
      <c r="AB5" s="52" t="s">
        <v>920</v>
      </c>
      <c r="AC5" s="53" t="s">
        <v>911</v>
      </c>
      <c r="AD5" s="52" t="s">
        <v>920</v>
      </c>
      <c r="AE5" s="53" t="s">
        <v>914</v>
      </c>
      <c r="AF5" s="52" t="s">
        <v>920</v>
      </c>
      <c r="AG5" s="53" t="s">
        <v>917</v>
      </c>
    </row>
    <row r="6" spans="1:33" ht="7.5" customHeight="1" x14ac:dyDescent="0.2">
      <c r="A6" s="9">
        <v>6</v>
      </c>
      <c r="B6" s="13" t="s">
        <v>329</v>
      </c>
      <c r="C6" s="12" t="s">
        <v>772</v>
      </c>
      <c r="D6" s="52" t="s">
        <v>720</v>
      </c>
      <c r="E6" s="53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721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52" t="s">
        <v>920</v>
      </c>
      <c r="Y6" s="53" t="s">
        <v>904</v>
      </c>
      <c r="Z6" s="52" t="s">
        <v>920</v>
      </c>
      <c r="AA6" s="53" t="s">
        <v>908</v>
      </c>
      <c r="AB6" s="52" t="s">
        <v>920</v>
      </c>
      <c r="AC6" s="53" t="s">
        <v>911</v>
      </c>
      <c r="AD6" s="52" t="s">
        <v>920</v>
      </c>
      <c r="AE6" s="53" t="s">
        <v>914</v>
      </c>
      <c r="AF6" s="52" t="s">
        <v>920</v>
      </c>
      <c r="AG6" s="53" t="s">
        <v>917</v>
      </c>
    </row>
    <row r="7" spans="1:33" ht="7.5" customHeight="1" x14ac:dyDescent="0.2">
      <c r="A7" s="9">
        <v>7</v>
      </c>
      <c r="B7" s="13" t="s">
        <v>330</v>
      </c>
      <c r="C7" s="12" t="s">
        <v>772</v>
      </c>
      <c r="D7" s="52" t="s">
        <v>720</v>
      </c>
      <c r="E7" s="53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721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52" t="s">
        <v>920</v>
      </c>
      <c r="Y7" s="53" t="s">
        <v>904</v>
      </c>
      <c r="Z7" s="52" t="s">
        <v>920</v>
      </c>
      <c r="AA7" s="53" t="s">
        <v>908</v>
      </c>
      <c r="AB7" s="52" t="s">
        <v>920</v>
      </c>
      <c r="AC7" s="53" t="s">
        <v>911</v>
      </c>
      <c r="AD7" s="52" t="s">
        <v>920</v>
      </c>
      <c r="AE7" s="53" t="s">
        <v>914</v>
      </c>
      <c r="AF7" s="52" t="s">
        <v>920</v>
      </c>
      <c r="AG7" s="53" t="s">
        <v>917</v>
      </c>
    </row>
    <row r="8" spans="1:33" ht="7.5" customHeight="1" x14ac:dyDescent="0.2">
      <c r="A8" s="9">
        <v>8</v>
      </c>
      <c r="B8" s="13" t="s">
        <v>331</v>
      </c>
      <c r="C8" s="12" t="s">
        <v>772</v>
      </c>
      <c r="D8" s="52" t="s">
        <v>720</v>
      </c>
      <c r="E8" s="53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721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52" t="s">
        <v>920</v>
      </c>
      <c r="Y8" s="53" t="s">
        <v>904</v>
      </c>
      <c r="Z8" s="52" t="s">
        <v>920</v>
      </c>
      <c r="AA8" s="53" t="s">
        <v>908</v>
      </c>
      <c r="AB8" s="52" t="s">
        <v>920</v>
      </c>
      <c r="AC8" s="53" t="s">
        <v>911</v>
      </c>
      <c r="AD8" s="52" t="s">
        <v>920</v>
      </c>
      <c r="AE8" s="53" t="s">
        <v>914</v>
      </c>
      <c r="AF8" s="52" t="s">
        <v>920</v>
      </c>
      <c r="AG8" s="53" t="s">
        <v>917</v>
      </c>
    </row>
    <row r="9" spans="1:33" ht="7.5" customHeight="1" x14ac:dyDescent="0.2">
      <c r="A9" s="9">
        <v>9</v>
      </c>
      <c r="B9" s="13" t="s">
        <v>332</v>
      </c>
      <c r="C9" s="12" t="s">
        <v>772</v>
      </c>
      <c r="D9" s="52" t="s">
        <v>720</v>
      </c>
      <c r="E9" s="53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721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52" t="s">
        <v>920</v>
      </c>
      <c r="Y9" s="53" t="s">
        <v>904</v>
      </c>
      <c r="Z9" s="52" t="s">
        <v>920</v>
      </c>
      <c r="AA9" s="53" t="s">
        <v>908</v>
      </c>
      <c r="AB9" s="52" t="s">
        <v>920</v>
      </c>
      <c r="AC9" s="53" t="s">
        <v>911</v>
      </c>
      <c r="AD9" s="52" t="s">
        <v>920</v>
      </c>
      <c r="AE9" s="53" t="s">
        <v>914</v>
      </c>
      <c r="AF9" s="52" t="s">
        <v>920</v>
      </c>
      <c r="AG9" s="53" t="s">
        <v>917</v>
      </c>
    </row>
    <row r="10" spans="1:33" ht="7.5" customHeight="1" x14ac:dyDescent="0.2">
      <c r="A10" s="9">
        <v>10</v>
      </c>
      <c r="B10" s="13" t="s">
        <v>333</v>
      </c>
      <c r="C10" s="12" t="s">
        <v>772</v>
      </c>
      <c r="D10" s="52" t="s">
        <v>720</v>
      </c>
      <c r="E10" s="53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721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52" t="s">
        <v>920</v>
      </c>
      <c r="Y10" s="53" t="s">
        <v>904</v>
      </c>
      <c r="Z10" s="52" t="s">
        <v>920</v>
      </c>
      <c r="AA10" s="53" t="s">
        <v>908</v>
      </c>
      <c r="AB10" s="52" t="s">
        <v>920</v>
      </c>
      <c r="AC10" s="53" t="s">
        <v>911</v>
      </c>
      <c r="AD10" s="52" t="s">
        <v>920</v>
      </c>
      <c r="AE10" s="53" t="s">
        <v>914</v>
      </c>
      <c r="AF10" s="52" t="s">
        <v>920</v>
      </c>
      <c r="AG10" s="53" t="s">
        <v>917</v>
      </c>
    </row>
    <row r="11" spans="1:33" ht="7.5" customHeight="1" x14ac:dyDescent="0.2">
      <c r="A11" s="9">
        <v>11</v>
      </c>
      <c r="B11" s="13" t="s">
        <v>334</v>
      </c>
      <c r="C11" s="12" t="s">
        <v>772</v>
      </c>
      <c r="D11" s="52" t="s">
        <v>720</v>
      </c>
      <c r="E11" s="53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721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52" t="s">
        <v>920</v>
      </c>
      <c r="Y11" s="53" t="s">
        <v>904</v>
      </c>
      <c r="Z11" s="52" t="s">
        <v>920</v>
      </c>
      <c r="AA11" s="53" t="s">
        <v>908</v>
      </c>
      <c r="AB11" s="52" t="s">
        <v>920</v>
      </c>
      <c r="AC11" s="53" t="s">
        <v>911</v>
      </c>
      <c r="AD11" s="52" t="s">
        <v>920</v>
      </c>
      <c r="AE11" s="53" t="s">
        <v>914</v>
      </c>
      <c r="AF11" s="52" t="s">
        <v>920</v>
      </c>
      <c r="AG11" s="53" t="s">
        <v>917</v>
      </c>
    </row>
    <row r="12" spans="1:33" ht="7.5" customHeight="1" x14ac:dyDescent="0.2">
      <c r="A12" s="9">
        <v>12</v>
      </c>
      <c r="B12" s="13" t="s">
        <v>335</v>
      </c>
      <c r="C12" s="12" t="s">
        <v>772</v>
      </c>
      <c r="D12" s="52" t="s">
        <v>720</v>
      </c>
      <c r="E12" s="53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721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52" t="s">
        <v>920</v>
      </c>
      <c r="Y12" s="53" t="s">
        <v>904</v>
      </c>
      <c r="Z12" s="52" t="s">
        <v>920</v>
      </c>
      <c r="AA12" s="53" t="s">
        <v>908</v>
      </c>
      <c r="AB12" s="52" t="s">
        <v>920</v>
      </c>
      <c r="AC12" s="53" t="s">
        <v>911</v>
      </c>
      <c r="AD12" s="52" t="s">
        <v>920</v>
      </c>
      <c r="AE12" s="53" t="s">
        <v>914</v>
      </c>
      <c r="AF12" s="52" t="s">
        <v>920</v>
      </c>
      <c r="AG12" s="53" t="s">
        <v>917</v>
      </c>
    </row>
    <row r="13" spans="1:33" ht="7.5" customHeight="1" x14ac:dyDescent="0.2">
      <c r="A13" s="9">
        <v>13</v>
      </c>
      <c r="B13" s="13" t="s">
        <v>336</v>
      </c>
      <c r="C13" s="12" t="s">
        <v>772</v>
      </c>
      <c r="D13" s="52" t="s">
        <v>720</v>
      </c>
      <c r="E13" s="53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721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52" t="s">
        <v>920</v>
      </c>
      <c r="Y13" s="53" t="s">
        <v>904</v>
      </c>
      <c r="Z13" s="52" t="s">
        <v>920</v>
      </c>
      <c r="AA13" s="53" t="s">
        <v>908</v>
      </c>
      <c r="AB13" s="52" t="s">
        <v>920</v>
      </c>
      <c r="AC13" s="53" t="s">
        <v>911</v>
      </c>
      <c r="AD13" s="52" t="s">
        <v>920</v>
      </c>
      <c r="AE13" s="53" t="s">
        <v>914</v>
      </c>
      <c r="AF13" s="52" t="s">
        <v>920</v>
      </c>
      <c r="AG13" s="53" t="s">
        <v>917</v>
      </c>
    </row>
    <row r="14" spans="1:33" ht="7.5" customHeight="1" x14ac:dyDescent="0.2">
      <c r="A14" s="9">
        <v>14</v>
      </c>
      <c r="B14" s="13" t="s">
        <v>337</v>
      </c>
      <c r="C14" s="12" t="s">
        <v>772</v>
      </c>
      <c r="D14" s="52" t="s">
        <v>720</v>
      </c>
      <c r="E14" s="53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721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52" t="s">
        <v>920</v>
      </c>
      <c r="Y14" s="53" t="s">
        <v>904</v>
      </c>
      <c r="Z14" s="52" t="s">
        <v>920</v>
      </c>
      <c r="AA14" s="53" t="s">
        <v>908</v>
      </c>
      <c r="AB14" s="52" t="s">
        <v>920</v>
      </c>
      <c r="AC14" s="53" t="s">
        <v>911</v>
      </c>
      <c r="AD14" s="52" t="s">
        <v>920</v>
      </c>
      <c r="AE14" s="53" t="s">
        <v>914</v>
      </c>
      <c r="AF14" s="52" t="s">
        <v>920</v>
      </c>
      <c r="AG14" s="53" t="s">
        <v>917</v>
      </c>
    </row>
    <row r="15" spans="1:33" ht="7.5" customHeight="1" x14ac:dyDescent="0.2">
      <c r="A15" s="9">
        <v>15</v>
      </c>
      <c r="B15" s="13" t="s">
        <v>338</v>
      </c>
      <c r="C15" s="12" t="s">
        <v>772</v>
      </c>
      <c r="D15" s="52" t="s">
        <v>720</v>
      </c>
      <c r="E15" s="53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721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52" t="s">
        <v>920</v>
      </c>
      <c r="Y15" s="53" t="s">
        <v>904</v>
      </c>
      <c r="Z15" s="52" t="s">
        <v>920</v>
      </c>
      <c r="AA15" s="53" t="s">
        <v>908</v>
      </c>
      <c r="AB15" s="52" t="s">
        <v>920</v>
      </c>
      <c r="AC15" s="53" t="s">
        <v>911</v>
      </c>
      <c r="AD15" s="52" t="s">
        <v>920</v>
      </c>
      <c r="AE15" s="53" t="s">
        <v>914</v>
      </c>
      <c r="AF15" s="52" t="s">
        <v>920</v>
      </c>
      <c r="AG15" s="53" t="s">
        <v>917</v>
      </c>
    </row>
    <row r="16" spans="1:33" ht="7.5" customHeight="1" x14ac:dyDescent="0.2">
      <c r="A16" s="9">
        <v>16</v>
      </c>
      <c r="B16" s="13" t="s">
        <v>339</v>
      </c>
      <c r="C16" s="12" t="s">
        <v>772</v>
      </c>
      <c r="D16" s="52" t="s">
        <v>720</v>
      </c>
      <c r="E16" s="53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721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52" t="s">
        <v>920</v>
      </c>
      <c r="Y16" s="53" t="s">
        <v>904</v>
      </c>
      <c r="Z16" s="52" t="s">
        <v>920</v>
      </c>
      <c r="AA16" s="53" t="s">
        <v>908</v>
      </c>
      <c r="AB16" s="52" t="s">
        <v>920</v>
      </c>
      <c r="AC16" s="53" t="s">
        <v>911</v>
      </c>
      <c r="AD16" s="52" t="s">
        <v>920</v>
      </c>
      <c r="AE16" s="53" t="s">
        <v>914</v>
      </c>
      <c r="AF16" s="52" t="s">
        <v>920</v>
      </c>
      <c r="AG16" s="53" t="s">
        <v>917</v>
      </c>
    </row>
    <row r="17" spans="1:33" ht="7.5" customHeight="1" x14ac:dyDescent="0.2">
      <c r="A17" s="9">
        <v>17</v>
      </c>
      <c r="B17" s="13" t="s">
        <v>340</v>
      </c>
      <c r="C17" s="12" t="s">
        <v>772</v>
      </c>
      <c r="D17" s="52" t="s">
        <v>720</v>
      </c>
      <c r="E17" s="53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721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52" t="s">
        <v>920</v>
      </c>
      <c r="Y17" s="53" t="s">
        <v>904</v>
      </c>
      <c r="Z17" s="52" t="s">
        <v>920</v>
      </c>
      <c r="AA17" s="53" t="s">
        <v>908</v>
      </c>
      <c r="AB17" s="52" t="s">
        <v>920</v>
      </c>
      <c r="AC17" s="53" t="s">
        <v>911</v>
      </c>
      <c r="AD17" s="52" t="s">
        <v>920</v>
      </c>
      <c r="AE17" s="53" t="s">
        <v>914</v>
      </c>
      <c r="AF17" s="52" t="s">
        <v>920</v>
      </c>
      <c r="AG17" s="53" t="s">
        <v>917</v>
      </c>
    </row>
    <row r="18" spans="1:33" ht="7.5" customHeight="1" x14ac:dyDescent="0.2">
      <c r="A18" s="9">
        <v>18</v>
      </c>
      <c r="B18" s="13" t="s">
        <v>341</v>
      </c>
      <c r="C18" s="12" t="s">
        <v>772</v>
      </c>
      <c r="D18" s="52" t="s">
        <v>720</v>
      </c>
      <c r="E18" s="53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721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52" t="s">
        <v>920</v>
      </c>
      <c r="Y18" s="53" t="s">
        <v>904</v>
      </c>
      <c r="Z18" s="52" t="s">
        <v>920</v>
      </c>
      <c r="AA18" s="53" t="s">
        <v>908</v>
      </c>
      <c r="AB18" s="52" t="s">
        <v>920</v>
      </c>
      <c r="AC18" s="53" t="s">
        <v>911</v>
      </c>
      <c r="AD18" s="52" t="s">
        <v>920</v>
      </c>
      <c r="AE18" s="53" t="s">
        <v>914</v>
      </c>
      <c r="AF18" s="52" t="s">
        <v>920</v>
      </c>
      <c r="AG18" s="53" t="s">
        <v>917</v>
      </c>
    </row>
    <row r="19" spans="1:33" ht="7.5" customHeight="1" x14ac:dyDescent="0.2">
      <c r="A19" s="9">
        <v>19</v>
      </c>
      <c r="B19" s="13" t="s">
        <v>342</v>
      </c>
      <c r="C19" s="12" t="s">
        <v>772</v>
      </c>
      <c r="D19" s="52" t="s">
        <v>720</v>
      </c>
      <c r="E19" s="53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721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52" t="s">
        <v>920</v>
      </c>
      <c r="Y19" s="53" t="s">
        <v>904</v>
      </c>
      <c r="Z19" s="52" t="s">
        <v>920</v>
      </c>
      <c r="AA19" s="53" t="s">
        <v>908</v>
      </c>
      <c r="AB19" s="52" t="s">
        <v>920</v>
      </c>
      <c r="AC19" s="53" t="s">
        <v>911</v>
      </c>
      <c r="AD19" s="52" t="s">
        <v>920</v>
      </c>
      <c r="AE19" s="53" t="s">
        <v>914</v>
      </c>
      <c r="AF19" s="52" t="s">
        <v>920</v>
      </c>
      <c r="AG19" s="53" t="s">
        <v>917</v>
      </c>
    </row>
    <row r="20" spans="1:33" ht="7.5" customHeight="1" x14ac:dyDescent="0.2">
      <c r="A20" s="9">
        <v>20</v>
      </c>
      <c r="B20" s="13" t="s">
        <v>343</v>
      </c>
      <c r="C20" s="12" t="s">
        <v>772</v>
      </c>
      <c r="D20" s="52" t="s">
        <v>720</v>
      </c>
      <c r="E20" s="53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721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52" t="s">
        <v>920</v>
      </c>
      <c r="Y20" s="53" t="s">
        <v>904</v>
      </c>
      <c r="Z20" s="52" t="s">
        <v>920</v>
      </c>
      <c r="AA20" s="53" t="s">
        <v>908</v>
      </c>
      <c r="AB20" s="52" t="s">
        <v>920</v>
      </c>
      <c r="AC20" s="53" t="s">
        <v>911</v>
      </c>
      <c r="AD20" s="52" t="s">
        <v>920</v>
      </c>
      <c r="AE20" s="53" t="s">
        <v>914</v>
      </c>
      <c r="AF20" s="52" t="s">
        <v>920</v>
      </c>
      <c r="AG20" s="53" t="s">
        <v>917</v>
      </c>
    </row>
    <row r="21" spans="1:33" ht="7.5" customHeight="1" x14ac:dyDescent="0.2">
      <c r="A21" s="9">
        <v>21</v>
      </c>
      <c r="B21" s="13" t="s">
        <v>344</v>
      </c>
      <c r="C21" s="12" t="s">
        <v>772</v>
      </c>
      <c r="D21" s="52" t="s">
        <v>720</v>
      </c>
      <c r="E21" s="53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721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52" t="s">
        <v>920</v>
      </c>
      <c r="Y21" s="53" t="s">
        <v>904</v>
      </c>
      <c r="Z21" s="52" t="s">
        <v>920</v>
      </c>
      <c r="AA21" s="53" t="s">
        <v>908</v>
      </c>
      <c r="AB21" s="52" t="s">
        <v>920</v>
      </c>
      <c r="AC21" s="53" t="s">
        <v>911</v>
      </c>
      <c r="AD21" s="52" t="s">
        <v>920</v>
      </c>
      <c r="AE21" s="53" t="s">
        <v>914</v>
      </c>
      <c r="AF21" s="52" t="s">
        <v>920</v>
      </c>
      <c r="AG21" s="53" t="s">
        <v>917</v>
      </c>
    </row>
    <row r="22" spans="1:33" ht="7.5" customHeight="1" x14ac:dyDescent="0.2">
      <c r="A22" s="9">
        <v>22</v>
      </c>
      <c r="B22" s="13" t="s">
        <v>345</v>
      </c>
      <c r="C22" s="12" t="s">
        <v>772</v>
      </c>
      <c r="D22" s="52" t="s">
        <v>720</v>
      </c>
      <c r="E22" s="53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721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52" t="s">
        <v>920</v>
      </c>
      <c r="Y22" s="53" t="s">
        <v>904</v>
      </c>
      <c r="Z22" s="52" t="s">
        <v>920</v>
      </c>
      <c r="AA22" s="53" t="s">
        <v>908</v>
      </c>
      <c r="AB22" s="52" t="s">
        <v>920</v>
      </c>
      <c r="AC22" s="53" t="s">
        <v>911</v>
      </c>
      <c r="AD22" s="52" t="s">
        <v>920</v>
      </c>
      <c r="AE22" s="53" t="s">
        <v>914</v>
      </c>
      <c r="AF22" s="52" t="s">
        <v>920</v>
      </c>
      <c r="AG22" s="53" t="s">
        <v>917</v>
      </c>
    </row>
    <row r="23" spans="1:33" ht="7.5" customHeight="1" x14ac:dyDescent="0.2">
      <c r="A23" s="9">
        <v>23</v>
      </c>
      <c r="B23" s="13" t="s">
        <v>346</v>
      </c>
      <c r="C23" s="12" t="s">
        <v>772</v>
      </c>
      <c r="D23" s="52" t="s">
        <v>720</v>
      </c>
      <c r="E23" s="53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721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52" t="s">
        <v>920</v>
      </c>
      <c r="Y23" s="53" t="s">
        <v>904</v>
      </c>
      <c r="Z23" s="52" t="s">
        <v>920</v>
      </c>
      <c r="AA23" s="53" t="s">
        <v>908</v>
      </c>
      <c r="AB23" s="52" t="s">
        <v>920</v>
      </c>
      <c r="AC23" s="53" t="s">
        <v>911</v>
      </c>
      <c r="AD23" s="52" t="s">
        <v>920</v>
      </c>
      <c r="AE23" s="53" t="s">
        <v>914</v>
      </c>
      <c r="AF23" s="52" t="s">
        <v>920</v>
      </c>
      <c r="AG23" s="53" t="s">
        <v>917</v>
      </c>
    </row>
    <row r="24" spans="1:33" ht="7.5" customHeight="1" x14ac:dyDescent="0.2">
      <c r="A24" s="9">
        <v>24</v>
      </c>
      <c r="B24" s="13" t="s">
        <v>347</v>
      </c>
      <c r="C24" s="12" t="s">
        <v>772</v>
      </c>
      <c r="D24" s="52" t="s">
        <v>720</v>
      </c>
      <c r="E24" s="53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721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52" t="s">
        <v>920</v>
      </c>
      <c r="Y24" s="53" t="s">
        <v>904</v>
      </c>
      <c r="Z24" s="52" t="s">
        <v>920</v>
      </c>
      <c r="AA24" s="53" t="s">
        <v>908</v>
      </c>
      <c r="AB24" s="52" t="s">
        <v>920</v>
      </c>
      <c r="AC24" s="53" t="s">
        <v>911</v>
      </c>
      <c r="AD24" s="52" t="s">
        <v>920</v>
      </c>
      <c r="AE24" s="53" t="s">
        <v>914</v>
      </c>
      <c r="AF24" s="52" t="s">
        <v>920</v>
      </c>
      <c r="AG24" s="53" t="s">
        <v>917</v>
      </c>
    </row>
    <row r="25" spans="1:33" ht="7.5" customHeight="1" x14ac:dyDescent="0.2">
      <c r="A25" s="9">
        <v>25</v>
      </c>
      <c r="B25" s="13" t="s">
        <v>348</v>
      </c>
      <c r="C25" s="12" t="s">
        <v>772</v>
      </c>
      <c r="D25" s="52" t="s">
        <v>720</v>
      </c>
      <c r="E25" s="53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721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52" t="s">
        <v>920</v>
      </c>
      <c r="Y25" s="53" t="s">
        <v>904</v>
      </c>
      <c r="Z25" s="52" t="s">
        <v>920</v>
      </c>
      <c r="AA25" s="53" t="s">
        <v>908</v>
      </c>
      <c r="AB25" s="52" t="s">
        <v>920</v>
      </c>
      <c r="AC25" s="53" t="s">
        <v>911</v>
      </c>
      <c r="AD25" s="52" t="s">
        <v>920</v>
      </c>
      <c r="AE25" s="53" t="s">
        <v>914</v>
      </c>
      <c r="AF25" s="52" t="s">
        <v>920</v>
      </c>
      <c r="AG25" s="53" t="s">
        <v>917</v>
      </c>
    </row>
    <row r="26" spans="1:33" ht="7.5" customHeight="1" x14ac:dyDescent="0.2">
      <c r="A26" s="9">
        <v>26</v>
      </c>
      <c r="B26" s="13" t="s">
        <v>349</v>
      </c>
      <c r="C26" s="12" t="s">
        <v>772</v>
      </c>
      <c r="D26" s="52" t="s">
        <v>720</v>
      </c>
      <c r="E26" s="53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721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52" t="s">
        <v>920</v>
      </c>
      <c r="Y26" s="53" t="s">
        <v>904</v>
      </c>
      <c r="Z26" s="52" t="s">
        <v>920</v>
      </c>
      <c r="AA26" s="53" t="s">
        <v>908</v>
      </c>
      <c r="AB26" s="52" t="s">
        <v>920</v>
      </c>
      <c r="AC26" s="53" t="s">
        <v>911</v>
      </c>
      <c r="AD26" s="52" t="s">
        <v>920</v>
      </c>
      <c r="AE26" s="53" t="s">
        <v>914</v>
      </c>
      <c r="AF26" s="52" t="s">
        <v>920</v>
      </c>
      <c r="AG26" s="53" t="s">
        <v>917</v>
      </c>
    </row>
    <row r="27" spans="1:33" ht="7.5" customHeight="1" x14ac:dyDescent="0.2">
      <c r="A27" s="9">
        <v>27</v>
      </c>
      <c r="B27" s="13" t="s">
        <v>350</v>
      </c>
      <c r="C27" s="12" t="s">
        <v>772</v>
      </c>
      <c r="D27" s="52" t="s">
        <v>720</v>
      </c>
      <c r="E27" s="53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721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52" t="s">
        <v>920</v>
      </c>
      <c r="Y27" s="53" t="s">
        <v>904</v>
      </c>
      <c r="Z27" s="52" t="s">
        <v>920</v>
      </c>
      <c r="AA27" s="53" t="s">
        <v>908</v>
      </c>
      <c r="AB27" s="52" t="s">
        <v>920</v>
      </c>
      <c r="AC27" s="53" t="s">
        <v>911</v>
      </c>
      <c r="AD27" s="52" t="s">
        <v>920</v>
      </c>
      <c r="AE27" s="53" t="s">
        <v>914</v>
      </c>
      <c r="AF27" s="52" t="s">
        <v>920</v>
      </c>
      <c r="AG27" s="53" t="s">
        <v>917</v>
      </c>
    </row>
    <row r="28" spans="1:33" ht="7.5" customHeight="1" x14ac:dyDescent="0.2">
      <c r="A28" s="9">
        <v>28</v>
      </c>
      <c r="B28" s="13" t="s">
        <v>351</v>
      </c>
      <c r="C28" s="12" t="s">
        <v>772</v>
      </c>
      <c r="D28" s="52" t="s">
        <v>720</v>
      </c>
      <c r="E28" s="53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721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52" t="s">
        <v>920</v>
      </c>
      <c r="Y28" s="53" t="s">
        <v>904</v>
      </c>
      <c r="Z28" s="52" t="s">
        <v>920</v>
      </c>
      <c r="AA28" s="53" t="s">
        <v>908</v>
      </c>
      <c r="AB28" s="52" t="s">
        <v>920</v>
      </c>
      <c r="AC28" s="53" t="s">
        <v>911</v>
      </c>
      <c r="AD28" s="52" t="s">
        <v>920</v>
      </c>
      <c r="AE28" s="53" t="s">
        <v>914</v>
      </c>
      <c r="AF28" s="52" t="s">
        <v>920</v>
      </c>
      <c r="AG28" s="53" t="s">
        <v>917</v>
      </c>
    </row>
    <row r="29" spans="1:33" ht="7.5" customHeight="1" x14ac:dyDescent="0.2">
      <c r="A29" s="9">
        <v>29</v>
      </c>
      <c r="B29" s="13" t="s">
        <v>352</v>
      </c>
      <c r="C29" s="12" t="s">
        <v>772</v>
      </c>
      <c r="D29" s="52" t="s">
        <v>720</v>
      </c>
      <c r="E29" s="53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721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52" t="s">
        <v>920</v>
      </c>
      <c r="Y29" s="53" t="s">
        <v>904</v>
      </c>
      <c r="Z29" s="52" t="s">
        <v>920</v>
      </c>
      <c r="AA29" s="53" t="s">
        <v>908</v>
      </c>
      <c r="AB29" s="52" t="s">
        <v>920</v>
      </c>
      <c r="AC29" s="53" t="s">
        <v>911</v>
      </c>
      <c r="AD29" s="52" t="s">
        <v>920</v>
      </c>
      <c r="AE29" s="53" t="s">
        <v>914</v>
      </c>
      <c r="AF29" s="52" t="s">
        <v>920</v>
      </c>
      <c r="AG29" s="53" t="s">
        <v>917</v>
      </c>
    </row>
    <row r="30" spans="1:33" ht="7.5" customHeight="1" x14ac:dyDescent="0.2">
      <c r="A30" s="9">
        <v>30</v>
      </c>
      <c r="B30" s="13" t="s">
        <v>353</v>
      </c>
      <c r="C30" s="12" t="s">
        <v>772</v>
      </c>
      <c r="D30" s="52" t="s">
        <v>720</v>
      </c>
      <c r="E30" s="53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721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52" t="s">
        <v>920</v>
      </c>
      <c r="Y30" s="53" t="s">
        <v>904</v>
      </c>
      <c r="Z30" s="52" t="s">
        <v>920</v>
      </c>
      <c r="AA30" s="53" t="s">
        <v>908</v>
      </c>
      <c r="AB30" s="52" t="s">
        <v>920</v>
      </c>
      <c r="AC30" s="53" t="s">
        <v>911</v>
      </c>
      <c r="AD30" s="52" t="s">
        <v>920</v>
      </c>
      <c r="AE30" s="53" t="s">
        <v>914</v>
      </c>
      <c r="AF30" s="52" t="s">
        <v>920</v>
      </c>
      <c r="AG30" s="53" t="s">
        <v>917</v>
      </c>
    </row>
    <row r="31" spans="1:33" ht="7.5" customHeight="1" x14ac:dyDescent="0.2">
      <c r="A31" s="9">
        <v>31</v>
      </c>
      <c r="B31" s="13" t="s">
        <v>354</v>
      </c>
      <c r="C31" s="12" t="s">
        <v>772</v>
      </c>
      <c r="D31" s="52" t="s">
        <v>720</v>
      </c>
      <c r="E31" s="53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721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52" t="s">
        <v>920</v>
      </c>
      <c r="Y31" s="53" t="s">
        <v>904</v>
      </c>
      <c r="Z31" s="52" t="s">
        <v>920</v>
      </c>
      <c r="AA31" s="53" t="s">
        <v>908</v>
      </c>
      <c r="AB31" s="52" t="s">
        <v>920</v>
      </c>
      <c r="AC31" s="53" t="s">
        <v>911</v>
      </c>
      <c r="AD31" s="52" t="s">
        <v>920</v>
      </c>
      <c r="AE31" s="53" t="s">
        <v>914</v>
      </c>
      <c r="AF31" s="52" t="s">
        <v>920</v>
      </c>
      <c r="AG31" s="53" t="s">
        <v>917</v>
      </c>
    </row>
    <row r="32" spans="1:33" ht="7.5" customHeight="1" x14ac:dyDescent="0.2">
      <c r="A32" s="9">
        <v>32</v>
      </c>
      <c r="B32" s="10" t="s">
        <v>355</v>
      </c>
      <c r="C32" s="12" t="s">
        <v>773</v>
      </c>
      <c r="D32" s="52" t="s">
        <v>720</v>
      </c>
      <c r="E32" s="53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722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52" t="s">
        <v>920</v>
      </c>
      <c r="Y32" s="53" t="s">
        <v>904</v>
      </c>
      <c r="Z32" s="52" t="s">
        <v>920</v>
      </c>
      <c r="AA32" s="53" t="s">
        <v>908</v>
      </c>
      <c r="AB32" s="52" t="s">
        <v>920</v>
      </c>
      <c r="AC32" s="53" t="s">
        <v>911</v>
      </c>
      <c r="AD32" s="52" t="s">
        <v>920</v>
      </c>
      <c r="AE32" s="53" t="s">
        <v>914</v>
      </c>
      <c r="AF32" s="52" t="s">
        <v>920</v>
      </c>
      <c r="AG32" s="53" t="s">
        <v>917</v>
      </c>
    </row>
    <row r="33" spans="1:33" ht="7.5" customHeight="1" x14ac:dyDescent="0.2">
      <c r="A33" s="9">
        <v>33</v>
      </c>
      <c r="B33" s="13" t="s">
        <v>356</v>
      </c>
      <c r="C33" s="12" t="s">
        <v>773</v>
      </c>
      <c r="D33" s="52" t="s">
        <v>720</v>
      </c>
      <c r="E33" s="53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722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52" t="s">
        <v>920</v>
      </c>
      <c r="Y33" s="53" t="s">
        <v>904</v>
      </c>
      <c r="Z33" s="52" t="s">
        <v>920</v>
      </c>
      <c r="AA33" s="53" t="s">
        <v>908</v>
      </c>
      <c r="AB33" s="52" t="s">
        <v>920</v>
      </c>
      <c r="AC33" s="53" t="s">
        <v>911</v>
      </c>
      <c r="AD33" s="52" t="s">
        <v>920</v>
      </c>
      <c r="AE33" s="53" t="s">
        <v>914</v>
      </c>
      <c r="AF33" s="52" t="s">
        <v>920</v>
      </c>
      <c r="AG33" s="53" t="s">
        <v>917</v>
      </c>
    </row>
    <row r="34" spans="1:33" ht="7.5" customHeight="1" x14ac:dyDescent="0.2">
      <c r="A34" s="9">
        <v>34</v>
      </c>
      <c r="B34" s="13" t="s">
        <v>357</v>
      </c>
      <c r="C34" s="12" t="s">
        <v>773</v>
      </c>
      <c r="D34" s="52" t="s">
        <v>720</v>
      </c>
      <c r="E34" s="53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722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52" t="s">
        <v>920</v>
      </c>
      <c r="Y34" s="53" t="s">
        <v>904</v>
      </c>
      <c r="Z34" s="52" t="s">
        <v>920</v>
      </c>
      <c r="AA34" s="53" t="s">
        <v>908</v>
      </c>
      <c r="AB34" s="52" t="s">
        <v>920</v>
      </c>
      <c r="AC34" s="53" t="s">
        <v>911</v>
      </c>
      <c r="AD34" s="52" t="s">
        <v>920</v>
      </c>
      <c r="AE34" s="53" t="s">
        <v>914</v>
      </c>
      <c r="AF34" s="52" t="s">
        <v>920</v>
      </c>
      <c r="AG34" s="53" t="s">
        <v>917</v>
      </c>
    </row>
    <row r="35" spans="1:33" ht="7.5" customHeight="1" x14ac:dyDescent="0.2">
      <c r="A35" s="9">
        <v>35</v>
      </c>
      <c r="B35" s="13" t="s">
        <v>358</v>
      </c>
      <c r="C35" s="12" t="s">
        <v>773</v>
      </c>
      <c r="D35" s="52" t="s">
        <v>720</v>
      </c>
      <c r="E35" s="53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722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52" t="s">
        <v>920</v>
      </c>
      <c r="Y35" s="53" t="s">
        <v>904</v>
      </c>
      <c r="Z35" s="52" t="s">
        <v>920</v>
      </c>
      <c r="AA35" s="53" t="s">
        <v>908</v>
      </c>
      <c r="AB35" s="52" t="s">
        <v>920</v>
      </c>
      <c r="AC35" s="53" t="s">
        <v>911</v>
      </c>
      <c r="AD35" s="52" t="s">
        <v>920</v>
      </c>
      <c r="AE35" s="53" t="s">
        <v>914</v>
      </c>
      <c r="AF35" s="52" t="s">
        <v>920</v>
      </c>
      <c r="AG35" s="53" t="s">
        <v>917</v>
      </c>
    </row>
    <row r="36" spans="1:33" ht="7.5" customHeight="1" x14ac:dyDescent="0.2">
      <c r="A36" s="9">
        <v>36</v>
      </c>
      <c r="B36" s="13" t="s">
        <v>359</v>
      </c>
      <c r="C36" s="12" t="s">
        <v>773</v>
      </c>
      <c r="D36" s="52" t="s">
        <v>720</v>
      </c>
      <c r="E36" s="53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722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52" t="s">
        <v>920</v>
      </c>
      <c r="Y36" s="53" t="s">
        <v>904</v>
      </c>
      <c r="Z36" s="52" t="s">
        <v>920</v>
      </c>
      <c r="AA36" s="53" t="s">
        <v>908</v>
      </c>
      <c r="AB36" s="52" t="s">
        <v>920</v>
      </c>
      <c r="AC36" s="53" t="s">
        <v>911</v>
      </c>
      <c r="AD36" s="52" t="s">
        <v>920</v>
      </c>
      <c r="AE36" s="53" t="s">
        <v>914</v>
      </c>
      <c r="AF36" s="52" t="s">
        <v>920</v>
      </c>
      <c r="AG36" s="53" t="s">
        <v>917</v>
      </c>
    </row>
    <row r="37" spans="1:33" ht="7.5" customHeight="1" x14ac:dyDescent="0.2">
      <c r="A37" s="9">
        <v>37</v>
      </c>
      <c r="B37" s="13" t="s">
        <v>360</v>
      </c>
      <c r="C37" s="12" t="s">
        <v>773</v>
      </c>
      <c r="D37" s="52" t="s">
        <v>720</v>
      </c>
      <c r="E37" s="53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722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52" t="s">
        <v>920</v>
      </c>
      <c r="Y37" s="53" t="s">
        <v>904</v>
      </c>
      <c r="Z37" s="52" t="s">
        <v>920</v>
      </c>
      <c r="AA37" s="53" t="s">
        <v>908</v>
      </c>
      <c r="AB37" s="52" t="s">
        <v>920</v>
      </c>
      <c r="AC37" s="53" t="s">
        <v>911</v>
      </c>
      <c r="AD37" s="52" t="s">
        <v>920</v>
      </c>
      <c r="AE37" s="53" t="s">
        <v>914</v>
      </c>
      <c r="AF37" s="52" t="s">
        <v>920</v>
      </c>
      <c r="AG37" s="53" t="s">
        <v>917</v>
      </c>
    </row>
    <row r="38" spans="1:33" ht="7.5" customHeight="1" x14ac:dyDescent="0.2">
      <c r="A38" s="9">
        <v>38</v>
      </c>
      <c r="B38" s="13" t="s">
        <v>361</v>
      </c>
      <c r="C38" s="12" t="s">
        <v>773</v>
      </c>
      <c r="D38" s="52" t="s">
        <v>720</v>
      </c>
      <c r="E38" s="53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722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52" t="s">
        <v>920</v>
      </c>
      <c r="Y38" s="53" t="s">
        <v>904</v>
      </c>
      <c r="Z38" s="52" t="s">
        <v>920</v>
      </c>
      <c r="AA38" s="53" t="s">
        <v>908</v>
      </c>
      <c r="AB38" s="52" t="s">
        <v>920</v>
      </c>
      <c r="AC38" s="53" t="s">
        <v>911</v>
      </c>
      <c r="AD38" s="52" t="s">
        <v>920</v>
      </c>
      <c r="AE38" s="53" t="s">
        <v>914</v>
      </c>
      <c r="AF38" s="52" t="s">
        <v>920</v>
      </c>
      <c r="AG38" s="53" t="s">
        <v>917</v>
      </c>
    </row>
    <row r="39" spans="1:33" ht="7.5" customHeight="1" x14ac:dyDescent="0.2">
      <c r="A39" s="9">
        <v>39</v>
      </c>
      <c r="B39" s="13" t="s">
        <v>362</v>
      </c>
      <c r="C39" s="12" t="s">
        <v>773</v>
      </c>
      <c r="D39" s="52" t="s">
        <v>720</v>
      </c>
      <c r="E39" s="53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722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52" t="s">
        <v>920</v>
      </c>
      <c r="Y39" s="53" t="s">
        <v>904</v>
      </c>
      <c r="Z39" s="52" t="s">
        <v>920</v>
      </c>
      <c r="AA39" s="53" t="s">
        <v>908</v>
      </c>
      <c r="AB39" s="52" t="s">
        <v>920</v>
      </c>
      <c r="AC39" s="53" t="s">
        <v>911</v>
      </c>
      <c r="AD39" s="52" t="s">
        <v>920</v>
      </c>
      <c r="AE39" s="53" t="s">
        <v>914</v>
      </c>
      <c r="AF39" s="52" t="s">
        <v>920</v>
      </c>
      <c r="AG39" s="53" t="s">
        <v>917</v>
      </c>
    </row>
    <row r="40" spans="1:33" ht="7.5" customHeight="1" x14ac:dyDescent="0.2">
      <c r="A40" s="9">
        <v>40</v>
      </c>
      <c r="B40" s="13" t="s">
        <v>363</v>
      </c>
      <c r="C40" s="12" t="s">
        <v>773</v>
      </c>
      <c r="D40" s="52" t="s">
        <v>720</v>
      </c>
      <c r="E40" s="53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722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52" t="s">
        <v>920</v>
      </c>
      <c r="Y40" s="53" t="s">
        <v>904</v>
      </c>
      <c r="Z40" s="52" t="s">
        <v>920</v>
      </c>
      <c r="AA40" s="53" t="s">
        <v>908</v>
      </c>
      <c r="AB40" s="52" t="s">
        <v>920</v>
      </c>
      <c r="AC40" s="53" t="s">
        <v>911</v>
      </c>
      <c r="AD40" s="52" t="s">
        <v>920</v>
      </c>
      <c r="AE40" s="53" t="s">
        <v>914</v>
      </c>
      <c r="AF40" s="52" t="s">
        <v>920</v>
      </c>
      <c r="AG40" s="53" t="s">
        <v>917</v>
      </c>
    </row>
    <row r="41" spans="1:33" ht="7.5" customHeight="1" x14ac:dyDescent="0.2">
      <c r="A41" s="9">
        <v>41</v>
      </c>
      <c r="B41" s="13" t="s">
        <v>364</v>
      </c>
      <c r="C41" s="12" t="s">
        <v>773</v>
      </c>
      <c r="D41" s="52" t="s">
        <v>720</v>
      </c>
      <c r="E41" s="53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722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52" t="s">
        <v>920</v>
      </c>
      <c r="Y41" s="53" t="s">
        <v>904</v>
      </c>
      <c r="Z41" s="52" t="s">
        <v>920</v>
      </c>
      <c r="AA41" s="53" t="s">
        <v>908</v>
      </c>
      <c r="AB41" s="52" t="s">
        <v>920</v>
      </c>
      <c r="AC41" s="53" t="s">
        <v>911</v>
      </c>
      <c r="AD41" s="52" t="s">
        <v>920</v>
      </c>
      <c r="AE41" s="53" t="s">
        <v>914</v>
      </c>
      <c r="AF41" s="52" t="s">
        <v>920</v>
      </c>
      <c r="AG41" s="53" t="s">
        <v>917</v>
      </c>
    </row>
    <row r="42" spans="1:33" ht="7.5" customHeight="1" x14ac:dyDescent="0.2">
      <c r="A42" s="9">
        <v>42</v>
      </c>
      <c r="B42" s="13" t="s">
        <v>365</v>
      </c>
      <c r="C42" s="12" t="s">
        <v>773</v>
      </c>
      <c r="D42" s="52" t="s">
        <v>720</v>
      </c>
      <c r="E42" s="53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722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52" t="s">
        <v>920</v>
      </c>
      <c r="Y42" s="53" t="s">
        <v>904</v>
      </c>
      <c r="Z42" s="52" t="s">
        <v>920</v>
      </c>
      <c r="AA42" s="53" t="s">
        <v>908</v>
      </c>
      <c r="AB42" s="52" t="s">
        <v>920</v>
      </c>
      <c r="AC42" s="53" t="s">
        <v>911</v>
      </c>
      <c r="AD42" s="52" t="s">
        <v>920</v>
      </c>
      <c r="AE42" s="53" t="s">
        <v>914</v>
      </c>
      <c r="AF42" s="52" t="s">
        <v>920</v>
      </c>
      <c r="AG42" s="53" t="s">
        <v>917</v>
      </c>
    </row>
    <row r="43" spans="1:33" ht="7.5" customHeight="1" x14ac:dyDescent="0.2">
      <c r="A43" s="9">
        <v>43</v>
      </c>
      <c r="B43" s="13" t="s">
        <v>366</v>
      </c>
      <c r="C43" s="12" t="s">
        <v>773</v>
      </c>
      <c r="D43" s="52" t="s">
        <v>720</v>
      </c>
      <c r="E43" s="53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722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52" t="s">
        <v>920</v>
      </c>
      <c r="Y43" s="53" t="s">
        <v>904</v>
      </c>
      <c r="Z43" s="52" t="s">
        <v>920</v>
      </c>
      <c r="AA43" s="53" t="s">
        <v>908</v>
      </c>
      <c r="AB43" s="52" t="s">
        <v>920</v>
      </c>
      <c r="AC43" s="53" t="s">
        <v>911</v>
      </c>
      <c r="AD43" s="52" t="s">
        <v>920</v>
      </c>
      <c r="AE43" s="53" t="s">
        <v>914</v>
      </c>
      <c r="AF43" s="52" t="s">
        <v>920</v>
      </c>
      <c r="AG43" s="53" t="s">
        <v>917</v>
      </c>
    </row>
    <row r="44" spans="1:33" ht="7.5" customHeight="1" x14ac:dyDescent="0.2">
      <c r="A44" s="9">
        <v>44</v>
      </c>
      <c r="B44" s="13" t="s">
        <v>367</v>
      </c>
      <c r="C44" s="12" t="s">
        <v>773</v>
      </c>
      <c r="D44" s="52" t="s">
        <v>720</v>
      </c>
      <c r="E44" s="53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722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52" t="s">
        <v>920</v>
      </c>
      <c r="Y44" s="53" t="s">
        <v>904</v>
      </c>
      <c r="Z44" s="52" t="s">
        <v>920</v>
      </c>
      <c r="AA44" s="53" t="s">
        <v>908</v>
      </c>
      <c r="AB44" s="52" t="s">
        <v>920</v>
      </c>
      <c r="AC44" s="53" t="s">
        <v>911</v>
      </c>
      <c r="AD44" s="52" t="s">
        <v>920</v>
      </c>
      <c r="AE44" s="53" t="s">
        <v>914</v>
      </c>
      <c r="AF44" s="52" t="s">
        <v>920</v>
      </c>
      <c r="AG44" s="53" t="s">
        <v>917</v>
      </c>
    </row>
    <row r="45" spans="1:33" ht="7.5" customHeight="1" x14ac:dyDescent="0.2">
      <c r="A45" s="9">
        <v>45</v>
      </c>
      <c r="B45" s="45" t="s">
        <v>702</v>
      </c>
      <c r="C45" s="12" t="s">
        <v>773</v>
      </c>
      <c r="D45" s="52" t="s">
        <v>720</v>
      </c>
      <c r="E45" s="53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722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52" t="s">
        <v>920</v>
      </c>
      <c r="Y45" s="53" t="s">
        <v>904</v>
      </c>
      <c r="Z45" s="52" t="s">
        <v>920</v>
      </c>
      <c r="AA45" s="53" t="s">
        <v>908</v>
      </c>
      <c r="AB45" s="52" t="s">
        <v>920</v>
      </c>
      <c r="AC45" s="53" t="s">
        <v>911</v>
      </c>
      <c r="AD45" s="52" t="s">
        <v>920</v>
      </c>
      <c r="AE45" s="53" t="s">
        <v>914</v>
      </c>
      <c r="AF45" s="52" t="s">
        <v>920</v>
      </c>
      <c r="AG45" s="53" t="s">
        <v>917</v>
      </c>
    </row>
    <row r="46" spans="1:33" ht="7.5" customHeight="1" x14ac:dyDescent="0.2">
      <c r="A46" s="9">
        <v>46</v>
      </c>
      <c r="B46" s="13" t="s">
        <v>368</v>
      </c>
      <c r="C46" s="12" t="s">
        <v>773</v>
      </c>
      <c r="D46" s="52" t="s">
        <v>720</v>
      </c>
      <c r="E46" s="53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722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52" t="s">
        <v>920</v>
      </c>
      <c r="Y46" s="53" t="s">
        <v>904</v>
      </c>
      <c r="Z46" s="52" t="s">
        <v>920</v>
      </c>
      <c r="AA46" s="53" t="s">
        <v>908</v>
      </c>
      <c r="AB46" s="52" t="s">
        <v>920</v>
      </c>
      <c r="AC46" s="53" t="s">
        <v>911</v>
      </c>
      <c r="AD46" s="52" t="s">
        <v>920</v>
      </c>
      <c r="AE46" s="53" t="s">
        <v>914</v>
      </c>
      <c r="AF46" s="52" t="s">
        <v>920</v>
      </c>
      <c r="AG46" s="53" t="s">
        <v>917</v>
      </c>
    </row>
    <row r="47" spans="1:33" ht="7.5" customHeight="1" x14ac:dyDescent="0.2">
      <c r="A47" s="9">
        <v>47</v>
      </c>
      <c r="B47" s="45" t="s">
        <v>703</v>
      </c>
      <c r="C47" s="12" t="s">
        <v>773</v>
      </c>
      <c r="D47" s="52" t="s">
        <v>720</v>
      </c>
      <c r="E47" s="53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722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52" t="s">
        <v>920</v>
      </c>
      <c r="Y47" s="53" t="s">
        <v>904</v>
      </c>
      <c r="Z47" s="52" t="s">
        <v>920</v>
      </c>
      <c r="AA47" s="53" t="s">
        <v>908</v>
      </c>
      <c r="AB47" s="52" t="s">
        <v>920</v>
      </c>
      <c r="AC47" s="53" t="s">
        <v>911</v>
      </c>
      <c r="AD47" s="52" t="s">
        <v>920</v>
      </c>
      <c r="AE47" s="53" t="s">
        <v>914</v>
      </c>
      <c r="AF47" s="52" t="s">
        <v>920</v>
      </c>
      <c r="AG47" s="53" t="s">
        <v>917</v>
      </c>
    </row>
    <row r="48" spans="1:33" ht="7.5" customHeight="1" x14ac:dyDescent="0.2">
      <c r="A48" s="9">
        <v>48</v>
      </c>
      <c r="B48" s="13" t="s">
        <v>369</v>
      </c>
      <c r="C48" s="12" t="s">
        <v>773</v>
      </c>
      <c r="D48" s="52" t="s">
        <v>720</v>
      </c>
      <c r="E48" s="53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722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52" t="s">
        <v>920</v>
      </c>
      <c r="Y48" s="53" t="s">
        <v>904</v>
      </c>
      <c r="Z48" s="52" t="s">
        <v>920</v>
      </c>
      <c r="AA48" s="53" t="s">
        <v>908</v>
      </c>
      <c r="AB48" s="52" t="s">
        <v>920</v>
      </c>
      <c r="AC48" s="53" t="s">
        <v>911</v>
      </c>
      <c r="AD48" s="52" t="s">
        <v>920</v>
      </c>
      <c r="AE48" s="53" t="s">
        <v>914</v>
      </c>
      <c r="AF48" s="52" t="s">
        <v>920</v>
      </c>
      <c r="AG48" s="53" t="s">
        <v>917</v>
      </c>
    </row>
    <row r="49" spans="1:33" ht="7.5" customHeight="1" x14ac:dyDescent="0.2">
      <c r="A49" s="9">
        <v>49</v>
      </c>
      <c r="B49" s="13" t="s">
        <v>370</v>
      </c>
      <c r="C49" s="12" t="s">
        <v>773</v>
      </c>
      <c r="D49" s="52" t="s">
        <v>720</v>
      </c>
      <c r="E49" s="53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722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52" t="s">
        <v>920</v>
      </c>
      <c r="Y49" s="53" t="s">
        <v>904</v>
      </c>
      <c r="Z49" s="52" t="s">
        <v>920</v>
      </c>
      <c r="AA49" s="53" t="s">
        <v>908</v>
      </c>
      <c r="AB49" s="52" t="s">
        <v>920</v>
      </c>
      <c r="AC49" s="53" t="s">
        <v>911</v>
      </c>
      <c r="AD49" s="52" t="s">
        <v>920</v>
      </c>
      <c r="AE49" s="53" t="s">
        <v>914</v>
      </c>
      <c r="AF49" s="52" t="s">
        <v>920</v>
      </c>
      <c r="AG49" s="53" t="s">
        <v>917</v>
      </c>
    </row>
    <row r="50" spans="1:33" ht="7.5" customHeight="1" x14ac:dyDescent="0.2">
      <c r="A50" s="9">
        <v>50</v>
      </c>
      <c r="B50" s="13" t="s">
        <v>371</v>
      </c>
      <c r="C50" s="12" t="s">
        <v>773</v>
      </c>
      <c r="D50" s="52" t="s">
        <v>720</v>
      </c>
      <c r="E50" s="53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722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52" t="s">
        <v>920</v>
      </c>
      <c r="Y50" s="53" t="s">
        <v>904</v>
      </c>
      <c r="Z50" s="52" t="s">
        <v>920</v>
      </c>
      <c r="AA50" s="53" t="s">
        <v>908</v>
      </c>
      <c r="AB50" s="52" t="s">
        <v>920</v>
      </c>
      <c r="AC50" s="53" t="s">
        <v>911</v>
      </c>
      <c r="AD50" s="52" t="s">
        <v>920</v>
      </c>
      <c r="AE50" s="53" t="s">
        <v>914</v>
      </c>
      <c r="AF50" s="52" t="s">
        <v>920</v>
      </c>
      <c r="AG50" s="53" t="s">
        <v>917</v>
      </c>
    </row>
    <row r="51" spans="1:33" ht="7.5" customHeight="1" x14ac:dyDescent="0.2">
      <c r="A51" s="9">
        <v>51</v>
      </c>
      <c r="B51" s="13" t="s">
        <v>372</v>
      </c>
      <c r="C51" s="12" t="s">
        <v>773</v>
      </c>
      <c r="D51" s="52" t="s">
        <v>720</v>
      </c>
      <c r="E51" s="53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722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52" t="s">
        <v>920</v>
      </c>
      <c r="Y51" s="53" t="s">
        <v>904</v>
      </c>
      <c r="Z51" s="52" t="s">
        <v>920</v>
      </c>
      <c r="AA51" s="53" t="s">
        <v>908</v>
      </c>
      <c r="AB51" s="52" t="s">
        <v>920</v>
      </c>
      <c r="AC51" s="53" t="s">
        <v>911</v>
      </c>
      <c r="AD51" s="52" t="s">
        <v>920</v>
      </c>
      <c r="AE51" s="53" t="s">
        <v>914</v>
      </c>
      <c r="AF51" s="52" t="s">
        <v>920</v>
      </c>
      <c r="AG51" s="53" t="s">
        <v>917</v>
      </c>
    </row>
    <row r="52" spans="1:33" ht="7.5" customHeight="1" x14ac:dyDescent="0.2">
      <c r="A52" s="9">
        <v>52</v>
      </c>
      <c r="B52" s="13" t="s">
        <v>373</v>
      </c>
      <c r="C52" s="12" t="s">
        <v>773</v>
      </c>
      <c r="D52" s="52" t="s">
        <v>720</v>
      </c>
      <c r="E52" s="53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722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52" t="s">
        <v>920</v>
      </c>
      <c r="Y52" s="53" t="s">
        <v>904</v>
      </c>
      <c r="Z52" s="52" t="s">
        <v>920</v>
      </c>
      <c r="AA52" s="53" t="s">
        <v>908</v>
      </c>
      <c r="AB52" s="52" t="s">
        <v>920</v>
      </c>
      <c r="AC52" s="53" t="s">
        <v>911</v>
      </c>
      <c r="AD52" s="52" t="s">
        <v>920</v>
      </c>
      <c r="AE52" s="53" t="s">
        <v>914</v>
      </c>
      <c r="AF52" s="52" t="s">
        <v>920</v>
      </c>
      <c r="AG52" s="53" t="s">
        <v>917</v>
      </c>
    </row>
    <row r="53" spans="1:33" ht="7.5" customHeight="1" x14ac:dyDescent="0.2">
      <c r="A53" s="9">
        <v>53</v>
      </c>
      <c r="B53" s="45" t="s">
        <v>701</v>
      </c>
      <c r="C53" s="12" t="s">
        <v>773</v>
      </c>
      <c r="D53" s="52" t="s">
        <v>720</v>
      </c>
      <c r="E53" s="53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722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52" t="s">
        <v>920</v>
      </c>
      <c r="Y53" s="53" t="s">
        <v>904</v>
      </c>
      <c r="Z53" s="52" t="s">
        <v>920</v>
      </c>
      <c r="AA53" s="53" t="s">
        <v>908</v>
      </c>
      <c r="AB53" s="52" t="s">
        <v>920</v>
      </c>
      <c r="AC53" s="53" t="s">
        <v>911</v>
      </c>
      <c r="AD53" s="52" t="s">
        <v>920</v>
      </c>
      <c r="AE53" s="53" t="s">
        <v>914</v>
      </c>
      <c r="AF53" s="52" t="s">
        <v>920</v>
      </c>
      <c r="AG53" s="53" t="s">
        <v>917</v>
      </c>
    </row>
    <row r="54" spans="1:33" ht="7.5" customHeight="1" x14ac:dyDescent="0.2">
      <c r="A54" s="9">
        <v>54</v>
      </c>
      <c r="B54" s="10" t="s">
        <v>374</v>
      </c>
      <c r="C54" s="12" t="s">
        <v>774</v>
      </c>
      <c r="D54" s="52" t="s">
        <v>720</v>
      </c>
      <c r="E54" s="53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723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52" t="s">
        <v>920</v>
      </c>
      <c r="Y54" s="53" t="s">
        <v>904</v>
      </c>
      <c r="Z54" s="52" t="s">
        <v>920</v>
      </c>
      <c r="AA54" s="53" t="s">
        <v>908</v>
      </c>
      <c r="AB54" s="52" t="s">
        <v>920</v>
      </c>
      <c r="AC54" s="53" t="s">
        <v>911</v>
      </c>
      <c r="AD54" s="52" t="s">
        <v>920</v>
      </c>
      <c r="AE54" s="53" t="s">
        <v>914</v>
      </c>
      <c r="AF54" s="52" t="s">
        <v>920</v>
      </c>
      <c r="AG54" s="53" t="s">
        <v>917</v>
      </c>
    </row>
    <row r="55" spans="1:33" ht="7.5" customHeight="1" x14ac:dyDescent="0.2">
      <c r="A55" s="9">
        <v>55</v>
      </c>
      <c r="B55" s="13" t="s">
        <v>375</v>
      </c>
      <c r="C55" s="12" t="s">
        <v>774</v>
      </c>
      <c r="D55" s="52" t="s">
        <v>720</v>
      </c>
      <c r="E55" s="53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723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52" t="s">
        <v>920</v>
      </c>
      <c r="Y55" s="53" t="s">
        <v>904</v>
      </c>
      <c r="Z55" s="52" t="s">
        <v>920</v>
      </c>
      <c r="AA55" s="53" t="s">
        <v>908</v>
      </c>
      <c r="AB55" s="52" t="s">
        <v>920</v>
      </c>
      <c r="AC55" s="53" t="s">
        <v>911</v>
      </c>
      <c r="AD55" s="52" t="s">
        <v>920</v>
      </c>
      <c r="AE55" s="53" t="s">
        <v>914</v>
      </c>
      <c r="AF55" s="52" t="s">
        <v>920</v>
      </c>
      <c r="AG55" s="53" t="s">
        <v>917</v>
      </c>
    </row>
    <row r="56" spans="1:33" ht="7.5" customHeight="1" x14ac:dyDescent="0.2">
      <c r="A56" s="9">
        <v>56</v>
      </c>
      <c r="B56" s="13" t="s">
        <v>376</v>
      </c>
      <c r="C56" s="12" t="s">
        <v>774</v>
      </c>
      <c r="D56" s="52" t="s">
        <v>720</v>
      </c>
      <c r="E56" s="53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723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52" t="s">
        <v>920</v>
      </c>
      <c r="Y56" s="53" t="s">
        <v>904</v>
      </c>
      <c r="Z56" s="52" t="s">
        <v>920</v>
      </c>
      <c r="AA56" s="53" t="s">
        <v>908</v>
      </c>
      <c r="AB56" s="52" t="s">
        <v>920</v>
      </c>
      <c r="AC56" s="53" t="s">
        <v>911</v>
      </c>
      <c r="AD56" s="52" t="s">
        <v>920</v>
      </c>
      <c r="AE56" s="53" t="s">
        <v>914</v>
      </c>
      <c r="AF56" s="52" t="s">
        <v>920</v>
      </c>
      <c r="AG56" s="53" t="s">
        <v>917</v>
      </c>
    </row>
    <row r="57" spans="1:33" ht="7.5" customHeight="1" x14ac:dyDescent="0.2">
      <c r="A57" s="9">
        <v>57</v>
      </c>
      <c r="B57" s="13" t="s">
        <v>377</v>
      </c>
      <c r="C57" s="12" t="s">
        <v>774</v>
      </c>
      <c r="D57" s="52" t="s">
        <v>720</v>
      </c>
      <c r="E57" s="53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723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52" t="s">
        <v>920</v>
      </c>
      <c r="Y57" s="53" t="s">
        <v>904</v>
      </c>
      <c r="Z57" s="52" t="s">
        <v>920</v>
      </c>
      <c r="AA57" s="53" t="s">
        <v>908</v>
      </c>
      <c r="AB57" s="52" t="s">
        <v>920</v>
      </c>
      <c r="AC57" s="53" t="s">
        <v>911</v>
      </c>
      <c r="AD57" s="52" t="s">
        <v>920</v>
      </c>
      <c r="AE57" s="53" t="s">
        <v>914</v>
      </c>
      <c r="AF57" s="52" t="s">
        <v>920</v>
      </c>
      <c r="AG57" s="53" t="s">
        <v>917</v>
      </c>
    </row>
    <row r="58" spans="1:33" ht="7.5" customHeight="1" x14ac:dyDescent="0.2">
      <c r="A58" s="9">
        <v>58</v>
      </c>
      <c r="B58" s="13" t="s">
        <v>378</v>
      </c>
      <c r="C58" s="12" t="s">
        <v>774</v>
      </c>
      <c r="D58" s="52" t="s">
        <v>720</v>
      </c>
      <c r="E58" s="53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723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52" t="s">
        <v>920</v>
      </c>
      <c r="Y58" s="53" t="s">
        <v>904</v>
      </c>
      <c r="Z58" s="52" t="s">
        <v>920</v>
      </c>
      <c r="AA58" s="53" t="s">
        <v>908</v>
      </c>
      <c r="AB58" s="52" t="s">
        <v>920</v>
      </c>
      <c r="AC58" s="53" t="s">
        <v>911</v>
      </c>
      <c r="AD58" s="52" t="s">
        <v>920</v>
      </c>
      <c r="AE58" s="53" t="s">
        <v>914</v>
      </c>
      <c r="AF58" s="52" t="s">
        <v>920</v>
      </c>
      <c r="AG58" s="53" t="s">
        <v>917</v>
      </c>
    </row>
    <row r="59" spans="1:33" ht="7.5" customHeight="1" x14ac:dyDescent="0.2">
      <c r="A59" s="9">
        <v>59</v>
      </c>
      <c r="B59" s="13" t="s">
        <v>379</v>
      </c>
      <c r="C59" s="12" t="s">
        <v>774</v>
      </c>
      <c r="D59" s="52" t="s">
        <v>720</v>
      </c>
      <c r="E59" s="53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723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52" t="s">
        <v>920</v>
      </c>
      <c r="Y59" s="53" t="s">
        <v>904</v>
      </c>
      <c r="Z59" s="52" t="s">
        <v>920</v>
      </c>
      <c r="AA59" s="53" t="s">
        <v>908</v>
      </c>
      <c r="AB59" s="52" t="s">
        <v>920</v>
      </c>
      <c r="AC59" s="53" t="s">
        <v>911</v>
      </c>
      <c r="AD59" s="52" t="s">
        <v>920</v>
      </c>
      <c r="AE59" s="53" t="s">
        <v>914</v>
      </c>
      <c r="AF59" s="52" t="s">
        <v>920</v>
      </c>
      <c r="AG59" s="53" t="s">
        <v>917</v>
      </c>
    </row>
    <row r="60" spans="1:33" ht="7.5" customHeight="1" x14ac:dyDescent="0.2">
      <c r="A60" s="9">
        <v>60</v>
      </c>
      <c r="B60" s="13" t="s">
        <v>380</v>
      </c>
      <c r="C60" s="12" t="s">
        <v>774</v>
      </c>
      <c r="D60" s="52" t="s">
        <v>720</v>
      </c>
      <c r="E60" s="53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723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52" t="s">
        <v>920</v>
      </c>
      <c r="Y60" s="53" t="s">
        <v>904</v>
      </c>
      <c r="Z60" s="52" t="s">
        <v>920</v>
      </c>
      <c r="AA60" s="53" t="s">
        <v>908</v>
      </c>
      <c r="AB60" s="52" t="s">
        <v>920</v>
      </c>
      <c r="AC60" s="53" t="s">
        <v>911</v>
      </c>
      <c r="AD60" s="52" t="s">
        <v>920</v>
      </c>
      <c r="AE60" s="53" t="s">
        <v>914</v>
      </c>
      <c r="AF60" s="52" t="s">
        <v>920</v>
      </c>
      <c r="AG60" s="53" t="s">
        <v>917</v>
      </c>
    </row>
    <row r="61" spans="1:33" ht="7.5" customHeight="1" x14ac:dyDescent="0.2">
      <c r="A61" s="9">
        <v>61</v>
      </c>
      <c r="B61" s="13" t="s">
        <v>381</v>
      </c>
      <c r="C61" s="12" t="s">
        <v>774</v>
      </c>
      <c r="D61" s="52" t="s">
        <v>720</v>
      </c>
      <c r="E61" s="53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723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52" t="s">
        <v>920</v>
      </c>
      <c r="Y61" s="53" t="s">
        <v>904</v>
      </c>
      <c r="Z61" s="52" t="s">
        <v>920</v>
      </c>
      <c r="AA61" s="53" t="s">
        <v>908</v>
      </c>
      <c r="AB61" s="52" t="s">
        <v>920</v>
      </c>
      <c r="AC61" s="53" t="s">
        <v>911</v>
      </c>
      <c r="AD61" s="52" t="s">
        <v>920</v>
      </c>
      <c r="AE61" s="53" t="s">
        <v>914</v>
      </c>
      <c r="AF61" s="52" t="s">
        <v>920</v>
      </c>
      <c r="AG61" s="53" t="s">
        <v>917</v>
      </c>
    </row>
    <row r="62" spans="1:33" ht="7.5" customHeight="1" x14ac:dyDescent="0.2">
      <c r="A62" s="9">
        <v>62</v>
      </c>
      <c r="B62" s="13" t="s">
        <v>382</v>
      </c>
      <c r="C62" s="12" t="s">
        <v>774</v>
      </c>
      <c r="D62" s="52" t="s">
        <v>720</v>
      </c>
      <c r="E62" s="53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723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52" t="s">
        <v>920</v>
      </c>
      <c r="Y62" s="53" t="s">
        <v>904</v>
      </c>
      <c r="Z62" s="52" t="s">
        <v>920</v>
      </c>
      <c r="AA62" s="53" t="s">
        <v>908</v>
      </c>
      <c r="AB62" s="52" t="s">
        <v>920</v>
      </c>
      <c r="AC62" s="53" t="s">
        <v>911</v>
      </c>
      <c r="AD62" s="52" t="s">
        <v>920</v>
      </c>
      <c r="AE62" s="53" t="s">
        <v>914</v>
      </c>
      <c r="AF62" s="52" t="s">
        <v>920</v>
      </c>
      <c r="AG62" s="53" t="s">
        <v>917</v>
      </c>
    </row>
    <row r="63" spans="1:33" ht="7.5" customHeight="1" x14ac:dyDescent="0.2">
      <c r="A63" s="9">
        <v>63</v>
      </c>
      <c r="B63" s="13" t="s">
        <v>383</v>
      </c>
      <c r="C63" s="12" t="s">
        <v>774</v>
      </c>
      <c r="D63" s="52" t="s">
        <v>720</v>
      </c>
      <c r="E63" s="53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723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52" t="s">
        <v>920</v>
      </c>
      <c r="Y63" s="53" t="s">
        <v>904</v>
      </c>
      <c r="Z63" s="52" t="s">
        <v>920</v>
      </c>
      <c r="AA63" s="53" t="s">
        <v>908</v>
      </c>
      <c r="AB63" s="52" t="s">
        <v>920</v>
      </c>
      <c r="AC63" s="53" t="s">
        <v>911</v>
      </c>
      <c r="AD63" s="52" t="s">
        <v>920</v>
      </c>
      <c r="AE63" s="53" t="s">
        <v>914</v>
      </c>
      <c r="AF63" s="52" t="s">
        <v>920</v>
      </c>
      <c r="AG63" s="53" t="s">
        <v>917</v>
      </c>
    </row>
    <row r="64" spans="1:33" ht="7.5" customHeight="1" x14ac:dyDescent="0.2">
      <c r="A64" s="9">
        <v>64</v>
      </c>
      <c r="B64" s="13" t="s">
        <v>384</v>
      </c>
      <c r="C64" s="12" t="s">
        <v>774</v>
      </c>
      <c r="D64" s="52" t="s">
        <v>720</v>
      </c>
      <c r="E64" s="53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723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52" t="s">
        <v>920</v>
      </c>
      <c r="Y64" s="53" t="s">
        <v>904</v>
      </c>
      <c r="Z64" s="52" t="s">
        <v>920</v>
      </c>
      <c r="AA64" s="53" t="s">
        <v>908</v>
      </c>
      <c r="AB64" s="52" t="s">
        <v>920</v>
      </c>
      <c r="AC64" s="53" t="s">
        <v>911</v>
      </c>
      <c r="AD64" s="52" t="s">
        <v>920</v>
      </c>
      <c r="AE64" s="53" t="s">
        <v>914</v>
      </c>
      <c r="AF64" s="52" t="s">
        <v>920</v>
      </c>
      <c r="AG64" s="53" t="s">
        <v>917</v>
      </c>
    </row>
    <row r="65" spans="1:33" ht="7.5" customHeight="1" x14ac:dyDescent="0.2">
      <c r="A65" s="9">
        <v>65</v>
      </c>
      <c r="B65" s="13" t="s">
        <v>385</v>
      </c>
      <c r="C65" s="12" t="s">
        <v>774</v>
      </c>
      <c r="D65" s="52" t="s">
        <v>720</v>
      </c>
      <c r="E65" s="53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723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52" t="s">
        <v>920</v>
      </c>
      <c r="Y65" s="53" t="s">
        <v>904</v>
      </c>
      <c r="Z65" s="52" t="s">
        <v>920</v>
      </c>
      <c r="AA65" s="53" t="s">
        <v>908</v>
      </c>
      <c r="AB65" s="52" t="s">
        <v>920</v>
      </c>
      <c r="AC65" s="53" t="s">
        <v>911</v>
      </c>
      <c r="AD65" s="52" t="s">
        <v>920</v>
      </c>
      <c r="AE65" s="53" t="s">
        <v>914</v>
      </c>
      <c r="AF65" s="52" t="s">
        <v>920</v>
      </c>
      <c r="AG65" s="53" t="s">
        <v>917</v>
      </c>
    </row>
    <row r="66" spans="1:33" ht="7.5" customHeight="1" x14ac:dyDescent="0.2">
      <c r="A66" s="9">
        <v>66</v>
      </c>
      <c r="B66" s="13" t="s">
        <v>386</v>
      </c>
      <c r="C66" s="12" t="s">
        <v>774</v>
      </c>
      <c r="D66" s="52" t="s">
        <v>720</v>
      </c>
      <c r="E66" s="53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723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52" t="s">
        <v>920</v>
      </c>
      <c r="Y66" s="53" t="s">
        <v>904</v>
      </c>
      <c r="Z66" s="52" t="s">
        <v>920</v>
      </c>
      <c r="AA66" s="53" t="s">
        <v>908</v>
      </c>
      <c r="AB66" s="52" t="s">
        <v>920</v>
      </c>
      <c r="AC66" s="53" t="s">
        <v>911</v>
      </c>
      <c r="AD66" s="52" t="s">
        <v>920</v>
      </c>
      <c r="AE66" s="53" t="s">
        <v>914</v>
      </c>
      <c r="AF66" s="52" t="s">
        <v>920</v>
      </c>
      <c r="AG66" s="53" t="s">
        <v>917</v>
      </c>
    </row>
    <row r="67" spans="1:33" ht="7.5" customHeight="1" x14ac:dyDescent="0.2">
      <c r="A67" s="9">
        <v>67</v>
      </c>
      <c r="B67" s="13" t="s">
        <v>387</v>
      </c>
      <c r="C67" s="12" t="s">
        <v>774</v>
      </c>
      <c r="D67" s="52" t="s">
        <v>720</v>
      </c>
      <c r="E67" s="53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723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52" t="s">
        <v>920</v>
      </c>
      <c r="Y67" s="53" t="s">
        <v>904</v>
      </c>
      <c r="Z67" s="52" t="s">
        <v>920</v>
      </c>
      <c r="AA67" s="53" t="s">
        <v>908</v>
      </c>
      <c r="AB67" s="52" t="s">
        <v>920</v>
      </c>
      <c r="AC67" s="53" t="s">
        <v>911</v>
      </c>
      <c r="AD67" s="52" t="s">
        <v>920</v>
      </c>
      <c r="AE67" s="53" t="s">
        <v>914</v>
      </c>
      <c r="AF67" s="52" t="s">
        <v>920</v>
      </c>
      <c r="AG67" s="53" t="s">
        <v>917</v>
      </c>
    </row>
    <row r="68" spans="1:33" ht="7.5" customHeight="1" x14ac:dyDescent="0.2">
      <c r="A68" s="9">
        <v>68</v>
      </c>
      <c r="B68" s="13" t="s">
        <v>388</v>
      </c>
      <c r="C68" s="12" t="s">
        <v>774</v>
      </c>
      <c r="D68" s="52" t="s">
        <v>720</v>
      </c>
      <c r="E68" s="53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723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52" t="s">
        <v>920</v>
      </c>
      <c r="Y68" s="53" t="s">
        <v>904</v>
      </c>
      <c r="Z68" s="52" t="s">
        <v>920</v>
      </c>
      <c r="AA68" s="53" t="s">
        <v>908</v>
      </c>
      <c r="AB68" s="52" t="s">
        <v>920</v>
      </c>
      <c r="AC68" s="53" t="s">
        <v>911</v>
      </c>
      <c r="AD68" s="52" t="s">
        <v>920</v>
      </c>
      <c r="AE68" s="53" t="s">
        <v>914</v>
      </c>
      <c r="AF68" s="52" t="s">
        <v>920</v>
      </c>
      <c r="AG68" s="53" t="s">
        <v>917</v>
      </c>
    </row>
    <row r="69" spans="1:33" ht="7.5" customHeight="1" x14ac:dyDescent="0.2">
      <c r="A69" s="9">
        <v>69</v>
      </c>
      <c r="B69" s="13" t="s">
        <v>389</v>
      </c>
      <c r="C69" s="12" t="s">
        <v>774</v>
      </c>
      <c r="D69" s="52" t="s">
        <v>720</v>
      </c>
      <c r="E69" s="53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723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52" t="s">
        <v>920</v>
      </c>
      <c r="Y69" s="53" t="s">
        <v>904</v>
      </c>
      <c r="Z69" s="52" t="s">
        <v>920</v>
      </c>
      <c r="AA69" s="53" t="s">
        <v>908</v>
      </c>
      <c r="AB69" s="52" t="s">
        <v>920</v>
      </c>
      <c r="AC69" s="53" t="s">
        <v>911</v>
      </c>
      <c r="AD69" s="52" t="s">
        <v>920</v>
      </c>
      <c r="AE69" s="53" t="s">
        <v>914</v>
      </c>
      <c r="AF69" s="52" t="s">
        <v>920</v>
      </c>
      <c r="AG69" s="53" t="s">
        <v>917</v>
      </c>
    </row>
    <row r="70" spans="1:33" ht="7.5" customHeight="1" x14ac:dyDescent="0.2">
      <c r="A70" s="9">
        <v>70</v>
      </c>
      <c r="B70" s="13" t="s">
        <v>390</v>
      </c>
      <c r="C70" s="12" t="s">
        <v>774</v>
      </c>
      <c r="D70" s="52" t="s">
        <v>720</v>
      </c>
      <c r="E70" s="53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723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52" t="s">
        <v>920</v>
      </c>
      <c r="Y70" s="53" t="s">
        <v>904</v>
      </c>
      <c r="Z70" s="52" t="s">
        <v>920</v>
      </c>
      <c r="AA70" s="53" t="s">
        <v>908</v>
      </c>
      <c r="AB70" s="52" t="s">
        <v>920</v>
      </c>
      <c r="AC70" s="53" t="s">
        <v>911</v>
      </c>
      <c r="AD70" s="52" t="s">
        <v>920</v>
      </c>
      <c r="AE70" s="53" t="s">
        <v>914</v>
      </c>
      <c r="AF70" s="52" t="s">
        <v>920</v>
      </c>
      <c r="AG70" s="53" t="s">
        <v>917</v>
      </c>
    </row>
    <row r="71" spans="1:33" ht="7.5" customHeight="1" x14ac:dyDescent="0.2">
      <c r="A71" s="9">
        <v>71</v>
      </c>
      <c r="B71" s="13" t="s">
        <v>391</v>
      </c>
      <c r="C71" s="12" t="s">
        <v>774</v>
      </c>
      <c r="D71" s="52" t="s">
        <v>720</v>
      </c>
      <c r="E71" s="53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723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52" t="s">
        <v>920</v>
      </c>
      <c r="Y71" s="53" t="s">
        <v>904</v>
      </c>
      <c r="Z71" s="52" t="s">
        <v>920</v>
      </c>
      <c r="AA71" s="53" t="s">
        <v>908</v>
      </c>
      <c r="AB71" s="52" t="s">
        <v>920</v>
      </c>
      <c r="AC71" s="53" t="s">
        <v>911</v>
      </c>
      <c r="AD71" s="52" t="s">
        <v>920</v>
      </c>
      <c r="AE71" s="53" t="s">
        <v>914</v>
      </c>
      <c r="AF71" s="52" t="s">
        <v>920</v>
      </c>
      <c r="AG71" s="53" t="s">
        <v>917</v>
      </c>
    </row>
    <row r="72" spans="1:33" ht="7.5" customHeight="1" x14ac:dyDescent="0.2">
      <c r="A72" s="9">
        <v>72</v>
      </c>
      <c r="B72" s="13" t="s">
        <v>392</v>
      </c>
      <c r="C72" s="12" t="s">
        <v>774</v>
      </c>
      <c r="D72" s="52" t="s">
        <v>720</v>
      </c>
      <c r="E72" s="53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723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52" t="s">
        <v>920</v>
      </c>
      <c r="Y72" s="53" t="s">
        <v>904</v>
      </c>
      <c r="Z72" s="52" t="s">
        <v>920</v>
      </c>
      <c r="AA72" s="53" t="s">
        <v>908</v>
      </c>
      <c r="AB72" s="52" t="s">
        <v>920</v>
      </c>
      <c r="AC72" s="53" t="s">
        <v>911</v>
      </c>
      <c r="AD72" s="52" t="s">
        <v>920</v>
      </c>
      <c r="AE72" s="53" t="s">
        <v>914</v>
      </c>
      <c r="AF72" s="52" t="s">
        <v>920</v>
      </c>
      <c r="AG72" s="53" t="s">
        <v>917</v>
      </c>
    </row>
    <row r="73" spans="1:33" ht="7.5" customHeight="1" x14ac:dyDescent="0.2">
      <c r="A73" s="9">
        <v>73</v>
      </c>
      <c r="B73" s="13" t="s">
        <v>393</v>
      </c>
      <c r="C73" s="12" t="s">
        <v>774</v>
      </c>
      <c r="D73" s="52" t="s">
        <v>720</v>
      </c>
      <c r="E73" s="53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723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52" t="s">
        <v>920</v>
      </c>
      <c r="Y73" s="53" t="s">
        <v>904</v>
      </c>
      <c r="Z73" s="52" t="s">
        <v>920</v>
      </c>
      <c r="AA73" s="53" t="s">
        <v>908</v>
      </c>
      <c r="AB73" s="52" t="s">
        <v>920</v>
      </c>
      <c r="AC73" s="53" t="s">
        <v>911</v>
      </c>
      <c r="AD73" s="52" t="s">
        <v>920</v>
      </c>
      <c r="AE73" s="53" t="s">
        <v>914</v>
      </c>
      <c r="AF73" s="52" t="s">
        <v>920</v>
      </c>
      <c r="AG73" s="53" t="s">
        <v>917</v>
      </c>
    </row>
    <row r="74" spans="1:33" ht="7.5" customHeight="1" x14ac:dyDescent="0.2">
      <c r="A74" s="9">
        <v>74</v>
      </c>
      <c r="B74" s="13" t="s">
        <v>394</v>
      </c>
      <c r="C74" s="12" t="s">
        <v>774</v>
      </c>
      <c r="D74" s="52" t="s">
        <v>720</v>
      </c>
      <c r="E74" s="53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723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52" t="s">
        <v>920</v>
      </c>
      <c r="Y74" s="53" t="s">
        <v>904</v>
      </c>
      <c r="Z74" s="52" t="s">
        <v>920</v>
      </c>
      <c r="AA74" s="53" t="s">
        <v>908</v>
      </c>
      <c r="AB74" s="52" t="s">
        <v>920</v>
      </c>
      <c r="AC74" s="53" t="s">
        <v>911</v>
      </c>
      <c r="AD74" s="52" t="s">
        <v>920</v>
      </c>
      <c r="AE74" s="53" t="s">
        <v>914</v>
      </c>
      <c r="AF74" s="52" t="s">
        <v>920</v>
      </c>
      <c r="AG74" s="53" t="s">
        <v>917</v>
      </c>
    </row>
    <row r="75" spans="1:33" ht="7.5" customHeight="1" x14ac:dyDescent="0.2">
      <c r="A75" s="9">
        <v>75</v>
      </c>
      <c r="B75" s="13" t="s">
        <v>395</v>
      </c>
      <c r="C75" s="12" t="s">
        <v>774</v>
      </c>
      <c r="D75" s="52" t="s">
        <v>720</v>
      </c>
      <c r="E75" s="53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723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52" t="s">
        <v>920</v>
      </c>
      <c r="Y75" s="53" t="s">
        <v>904</v>
      </c>
      <c r="Z75" s="52" t="s">
        <v>920</v>
      </c>
      <c r="AA75" s="53" t="s">
        <v>908</v>
      </c>
      <c r="AB75" s="52" t="s">
        <v>920</v>
      </c>
      <c r="AC75" s="53" t="s">
        <v>911</v>
      </c>
      <c r="AD75" s="52" t="s">
        <v>920</v>
      </c>
      <c r="AE75" s="53" t="s">
        <v>914</v>
      </c>
      <c r="AF75" s="52" t="s">
        <v>920</v>
      </c>
      <c r="AG75" s="53" t="s">
        <v>917</v>
      </c>
    </row>
    <row r="76" spans="1:33" ht="7.5" customHeight="1" x14ac:dyDescent="0.2">
      <c r="A76" s="9">
        <v>76</v>
      </c>
      <c r="B76" s="10" t="s">
        <v>396</v>
      </c>
      <c r="C76" s="12" t="s">
        <v>775</v>
      </c>
      <c r="D76" s="52" t="s">
        <v>720</v>
      </c>
      <c r="E76" s="53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724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52" t="s">
        <v>920</v>
      </c>
      <c r="Y76" s="53" t="s">
        <v>904</v>
      </c>
      <c r="Z76" s="52" t="s">
        <v>920</v>
      </c>
      <c r="AA76" s="53" t="s">
        <v>908</v>
      </c>
      <c r="AB76" s="52" t="s">
        <v>920</v>
      </c>
      <c r="AC76" s="53" t="s">
        <v>911</v>
      </c>
      <c r="AD76" s="52" t="s">
        <v>920</v>
      </c>
      <c r="AE76" s="53" t="s">
        <v>914</v>
      </c>
      <c r="AF76" s="52" t="s">
        <v>920</v>
      </c>
      <c r="AG76" s="53" t="s">
        <v>917</v>
      </c>
    </row>
    <row r="77" spans="1:33" ht="7.5" customHeight="1" x14ac:dyDescent="0.2">
      <c r="A77" s="9">
        <v>77</v>
      </c>
      <c r="B77" s="13" t="s">
        <v>397</v>
      </c>
      <c r="C77" s="12" t="s">
        <v>775</v>
      </c>
      <c r="D77" s="52" t="s">
        <v>720</v>
      </c>
      <c r="E77" s="53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724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52" t="s">
        <v>920</v>
      </c>
      <c r="Y77" s="53" t="s">
        <v>904</v>
      </c>
      <c r="Z77" s="52" t="s">
        <v>920</v>
      </c>
      <c r="AA77" s="53" t="s">
        <v>908</v>
      </c>
      <c r="AB77" s="52" t="s">
        <v>920</v>
      </c>
      <c r="AC77" s="53" t="s">
        <v>911</v>
      </c>
      <c r="AD77" s="52" t="s">
        <v>920</v>
      </c>
      <c r="AE77" s="53" t="s">
        <v>914</v>
      </c>
      <c r="AF77" s="52" t="s">
        <v>920</v>
      </c>
      <c r="AG77" s="53" t="s">
        <v>917</v>
      </c>
    </row>
    <row r="78" spans="1:33" ht="7.5" customHeight="1" x14ac:dyDescent="0.2">
      <c r="A78" s="9">
        <v>78</v>
      </c>
      <c r="B78" s="13" t="s">
        <v>398</v>
      </c>
      <c r="C78" s="12" t="s">
        <v>775</v>
      </c>
      <c r="D78" s="52" t="s">
        <v>720</v>
      </c>
      <c r="E78" s="53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724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52" t="s">
        <v>920</v>
      </c>
      <c r="Y78" s="53" t="s">
        <v>904</v>
      </c>
      <c r="Z78" s="52" t="s">
        <v>920</v>
      </c>
      <c r="AA78" s="53" t="s">
        <v>908</v>
      </c>
      <c r="AB78" s="52" t="s">
        <v>920</v>
      </c>
      <c r="AC78" s="53" t="s">
        <v>911</v>
      </c>
      <c r="AD78" s="52" t="s">
        <v>920</v>
      </c>
      <c r="AE78" s="53" t="s">
        <v>914</v>
      </c>
      <c r="AF78" s="52" t="s">
        <v>920</v>
      </c>
      <c r="AG78" s="53" t="s">
        <v>917</v>
      </c>
    </row>
    <row r="79" spans="1:33" ht="7.5" customHeight="1" x14ac:dyDescent="0.2">
      <c r="A79" s="9">
        <v>79</v>
      </c>
      <c r="B79" s="13" t="s">
        <v>399</v>
      </c>
      <c r="C79" s="12" t="s">
        <v>775</v>
      </c>
      <c r="D79" s="52" t="s">
        <v>720</v>
      </c>
      <c r="E79" s="53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724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52" t="s">
        <v>920</v>
      </c>
      <c r="Y79" s="53" t="s">
        <v>904</v>
      </c>
      <c r="Z79" s="52" t="s">
        <v>920</v>
      </c>
      <c r="AA79" s="53" t="s">
        <v>908</v>
      </c>
      <c r="AB79" s="52" t="s">
        <v>920</v>
      </c>
      <c r="AC79" s="53" t="s">
        <v>911</v>
      </c>
      <c r="AD79" s="52" t="s">
        <v>920</v>
      </c>
      <c r="AE79" s="53" t="s">
        <v>914</v>
      </c>
      <c r="AF79" s="52" t="s">
        <v>920</v>
      </c>
      <c r="AG79" s="53" t="s">
        <v>917</v>
      </c>
    </row>
    <row r="80" spans="1:33" ht="7.5" customHeight="1" x14ac:dyDescent="0.2">
      <c r="A80" s="9">
        <v>80</v>
      </c>
      <c r="B80" s="13" t="s">
        <v>400</v>
      </c>
      <c r="C80" s="12" t="s">
        <v>775</v>
      </c>
      <c r="D80" s="52" t="s">
        <v>720</v>
      </c>
      <c r="E80" s="53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724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52" t="s">
        <v>920</v>
      </c>
      <c r="Y80" s="53" t="s">
        <v>904</v>
      </c>
      <c r="Z80" s="52" t="s">
        <v>920</v>
      </c>
      <c r="AA80" s="53" t="s">
        <v>908</v>
      </c>
      <c r="AB80" s="52" t="s">
        <v>920</v>
      </c>
      <c r="AC80" s="53" t="s">
        <v>911</v>
      </c>
      <c r="AD80" s="52" t="s">
        <v>920</v>
      </c>
      <c r="AE80" s="53" t="s">
        <v>914</v>
      </c>
      <c r="AF80" s="52" t="s">
        <v>920</v>
      </c>
      <c r="AG80" s="53" t="s">
        <v>917</v>
      </c>
    </row>
    <row r="81" spans="1:33" ht="7.5" customHeight="1" x14ac:dyDescent="0.2">
      <c r="A81" s="9">
        <v>81</v>
      </c>
      <c r="B81" s="13" t="s">
        <v>401</v>
      </c>
      <c r="C81" s="12" t="s">
        <v>775</v>
      </c>
      <c r="D81" s="52" t="s">
        <v>720</v>
      </c>
      <c r="E81" s="53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724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52" t="s">
        <v>920</v>
      </c>
      <c r="Y81" s="53" t="s">
        <v>904</v>
      </c>
      <c r="Z81" s="52" t="s">
        <v>920</v>
      </c>
      <c r="AA81" s="53" t="s">
        <v>908</v>
      </c>
      <c r="AB81" s="52" t="s">
        <v>920</v>
      </c>
      <c r="AC81" s="53" t="s">
        <v>911</v>
      </c>
      <c r="AD81" s="52" t="s">
        <v>920</v>
      </c>
      <c r="AE81" s="53" t="s">
        <v>914</v>
      </c>
      <c r="AF81" s="52" t="s">
        <v>920</v>
      </c>
      <c r="AG81" s="53" t="s">
        <v>917</v>
      </c>
    </row>
    <row r="82" spans="1:33" ht="7.5" customHeight="1" x14ac:dyDescent="0.2">
      <c r="A82" s="9">
        <v>82</v>
      </c>
      <c r="B82" s="13" t="s">
        <v>402</v>
      </c>
      <c r="C82" s="12" t="s">
        <v>775</v>
      </c>
      <c r="D82" s="52" t="s">
        <v>720</v>
      </c>
      <c r="E82" s="53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724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52" t="s">
        <v>920</v>
      </c>
      <c r="Y82" s="53" t="s">
        <v>904</v>
      </c>
      <c r="Z82" s="52" t="s">
        <v>920</v>
      </c>
      <c r="AA82" s="53" t="s">
        <v>908</v>
      </c>
      <c r="AB82" s="52" t="s">
        <v>920</v>
      </c>
      <c r="AC82" s="53" t="s">
        <v>911</v>
      </c>
      <c r="AD82" s="52" t="s">
        <v>920</v>
      </c>
      <c r="AE82" s="53" t="s">
        <v>914</v>
      </c>
      <c r="AF82" s="52" t="s">
        <v>920</v>
      </c>
      <c r="AG82" s="53" t="s">
        <v>917</v>
      </c>
    </row>
    <row r="83" spans="1:33" ht="7.5" customHeight="1" x14ac:dyDescent="0.2">
      <c r="A83" s="9">
        <v>83</v>
      </c>
      <c r="B83" s="13" t="s">
        <v>403</v>
      </c>
      <c r="C83" s="12" t="s">
        <v>775</v>
      </c>
      <c r="D83" s="52" t="s">
        <v>720</v>
      </c>
      <c r="E83" s="53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724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52" t="s">
        <v>920</v>
      </c>
      <c r="Y83" s="53" t="s">
        <v>904</v>
      </c>
      <c r="Z83" s="52" t="s">
        <v>920</v>
      </c>
      <c r="AA83" s="53" t="s">
        <v>908</v>
      </c>
      <c r="AB83" s="52" t="s">
        <v>920</v>
      </c>
      <c r="AC83" s="53" t="s">
        <v>911</v>
      </c>
      <c r="AD83" s="52" t="s">
        <v>920</v>
      </c>
      <c r="AE83" s="53" t="s">
        <v>914</v>
      </c>
      <c r="AF83" s="52" t="s">
        <v>920</v>
      </c>
      <c r="AG83" s="53" t="s">
        <v>917</v>
      </c>
    </row>
    <row r="84" spans="1:33" ht="7.5" customHeight="1" x14ac:dyDescent="0.2">
      <c r="A84" s="9">
        <v>84</v>
      </c>
      <c r="B84" s="13" t="s">
        <v>404</v>
      </c>
      <c r="C84" s="12" t="s">
        <v>775</v>
      </c>
      <c r="D84" s="52" t="s">
        <v>720</v>
      </c>
      <c r="E84" s="53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724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52" t="s">
        <v>920</v>
      </c>
      <c r="Y84" s="53" t="s">
        <v>904</v>
      </c>
      <c r="Z84" s="52" t="s">
        <v>920</v>
      </c>
      <c r="AA84" s="53" t="s">
        <v>908</v>
      </c>
      <c r="AB84" s="52" t="s">
        <v>920</v>
      </c>
      <c r="AC84" s="53" t="s">
        <v>911</v>
      </c>
      <c r="AD84" s="52" t="s">
        <v>920</v>
      </c>
      <c r="AE84" s="53" t="s">
        <v>914</v>
      </c>
      <c r="AF84" s="52" t="s">
        <v>920</v>
      </c>
      <c r="AG84" s="53" t="s">
        <v>917</v>
      </c>
    </row>
    <row r="85" spans="1:33" ht="7.5" customHeight="1" x14ac:dyDescent="0.2">
      <c r="A85" s="9">
        <v>85</v>
      </c>
      <c r="B85" s="13" t="s">
        <v>405</v>
      </c>
      <c r="C85" s="12" t="s">
        <v>775</v>
      </c>
      <c r="D85" s="52" t="s">
        <v>720</v>
      </c>
      <c r="E85" s="53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724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52" t="s">
        <v>920</v>
      </c>
      <c r="Y85" s="53" t="s">
        <v>904</v>
      </c>
      <c r="Z85" s="52" t="s">
        <v>920</v>
      </c>
      <c r="AA85" s="53" t="s">
        <v>908</v>
      </c>
      <c r="AB85" s="52" t="s">
        <v>920</v>
      </c>
      <c r="AC85" s="53" t="s">
        <v>911</v>
      </c>
      <c r="AD85" s="52" t="s">
        <v>920</v>
      </c>
      <c r="AE85" s="53" t="s">
        <v>914</v>
      </c>
      <c r="AF85" s="52" t="s">
        <v>920</v>
      </c>
      <c r="AG85" s="53" t="s">
        <v>917</v>
      </c>
    </row>
    <row r="86" spans="1:33" ht="7.5" customHeight="1" x14ac:dyDescent="0.2">
      <c r="A86" s="9">
        <v>86</v>
      </c>
      <c r="B86" s="13" t="s">
        <v>406</v>
      </c>
      <c r="C86" s="12" t="s">
        <v>775</v>
      </c>
      <c r="D86" s="52" t="s">
        <v>720</v>
      </c>
      <c r="E86" s="53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724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52" t="s">
        <v>920</v>
      </c>
      <c r="Y86" s="53" t="s">
        <v>904</v>
      </c>
      <c r="Z86" s="52" t="s">
        <v>920</v>
      </c>
      <c r="AA86" s="53" t="s">
        <v>908</v>
      </c>
      <c r="AB86" s="52" t="s">
        <v>920</v>
      </c>
      <c r="AC86" s="53" t="s">
        <v>911</v>
      </c>
      <c r="AD86" s="52" t="s">
        <v>920</v>
      </c>
      <c r="AE86" s="53" t="s">
        <v>914</v>
      </c>
      <c r="AF86" s="52" t="s">
        <v>920</v>
      </c>
      <c r="AG86" s="53" t="s">
        <v>917</v>
      </c>
    </row>
    <row r="87" spans="1:33" ht="7.5" customHeight="1" x14ac:dyDescent="0.2">
      <c r="A87" s="9">
        <v>87</v>
      </c>
      <c r="B87" s="13" t="s">
        <v>407</v>
      </c>
      <c r="C87" s="12" t="s">
        <v>775</v>
      </c>
      <c r="D87" s="52" t="s">
        <v>720</v>
      </c>
      <c r="E87" s="53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724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52" t="s">
        <v>920</v>
      </c>
      <c r="Y87" s="53" t="s">
        <v>904</v>
      </c>
      <c r="Z87" s="52" t="s">
        <v>920</v>
      </c>
      <c r="AA87" s="53" t="s">
        <v>908</v>
      </c>
      <c r="AB87" s="52" t="s">
        <v>920</v>
      </c>
      <c r="AC87" s="53" t="s">
        <v>911</v>
      </c>
      <c r="AD87" s="52" t="s">
        <v>920</v>
      </c>
      <c r="AE87" s="53" t="s">
        <v>914</v>
      </c>
      <c r="AF87" s="52" t="s">
        <v>920</v>
      </c>
      <c r="AG87" s="53" t="s">
        <v>917</v>
      </c>
    </row>
    <row r="88" spans="1:33" ht="7.5" customHeight="1" x14ac:dyDescent="0.2">
      <c r="A88" s="9">
        <v>88</v>
      </c>
      <c r="B88" s="13" t="s">
        <v>408</v>
      </c>
      <c r="C88" s="12" t="s">
        <v>775</v>
      </c>
      <c r="D88" s="52" t="s">
        <v>720</v>
      </c>
      <c r="E88" s="53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724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52" t="s">
        <v>920</v>
      </c>
      <c r="Y88" s="53" t="s">
        <v>904</v>
      </c>
      <c r="Z88" s="52" t="s">
        <v>920</v>
      </c>
      <c r="AA88" s="53" t="s">
        <v>908</v>
      </c>
      <c r="AB88" s="52" t="s">
        <v>920</v>
      </c>
      <c r="AC88" s="53" t="s">
        <v>911</v>
      </c>
      <c r="AD88" s="52" t="s">
        <v>920</v>
      </c>
      <c r="AE88" s="53" t="s">
        <v>914</v>
      </c>
      <c r="AF88" s="52" t="s">
        <v>920</v>
      </c>
      <c r="AG88" s="53" t="s">
        <v>917</v>
      </c>
    </row>
    <row r="89" spans="1:33" ht="7.5" customHeight="1" x14ac:dyDescent="0.2">
      <c r="A89" s="9">
        <v>89</v>
      </c>
      <c r="B89" s="13" t="s">
        <v>409</v>
      </c>
      <c r="C89" s="12" t="s">
        <v>775</v>
      </c>
      <c r="D89" s="52" t="s">
        <v>720</v>
      </c>
      <c r="E89" s="53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724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52" t="s">
        <v>920</v>
      </c>
      <c r="Y89" s="53" t="s">
        <v>904</v>
      </c>
      <c r="Z89" s="52" t="s">
        <v>920</v>
      </c>
      <c r="AA89" s="53" t="s">
        <v>908</v>
      </c>
      <c r="AB89" s="52" t="s">
        <v>920</v>
      </c>
      <c r="AC89" s="53" t="s">
        <v>911</v>
      </c>
      <c r="AD89" s="52" t="s">
        <v>920</v>
      </c>
      <c r="AE89" s="53" t="s">
        <v>914</v>
      </c>
      <c r="AF89" s="52" t="s">
        <v>920</v>
      </c>
      <c r="AG89" s="53" t="s">
        <v>917</v>
      </c>
    </row>
    <row r="90" spans="1:33" ht="7.5" customHeight="1" x14ac:dyDescent="0.2">
      <c r="A90" s="9">
        <v>90</v>
      </c>
      <c r="B90" s="13" t="s">
        <v>410</v>
      </c>
      <c r="C90" s="12" t="s">
        <v>775</v>
      </c>
      <c r="D90" s="52" t="s">
        <v>720</v>
      </c>
      <c r="E90" s="53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724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52" t="s">
        <v>920</v>
      </c>
      <c r="Y90" s="53" t="s">
        <v>904</v>
      </c>
      <c r="Z90" s="52" t="s">
        <v>920</v>
      </c>
      <c r="AA90" s="53" t="s">
        <v>908</v>
      </c>
      <c r="AB90" s="52" t="s">
        <v>920</v>
      </c>
      <c r="AC90" s="53" t="s">
        <v>911</v>
      </c>
      <c r="AD90" s="52" t="s">
        <v>920</v>
      </c>
      <c r="AE90" s="53" t="s">
        <v>914</v>
      </c>
      <c r="AF90" s="52" t="s">
        <v>920</v>
      </c>
      <c r="AG90" s="53" t="s">
        <v>917</v>
      </c>
    </row>
    <row r="91" spans="1:33" ht="7.5" customHeight="1" x14ac:dyDescent="0.2">
      <c r="A91" s="9">
        <v>91</v>
      </c>
      <c r="B91" s="13" t="s">
        <v>411</v>
      </c>
      <c r="C91" s="12" t="s">
        <v>775</v>
      </c>
      <c r="D91" s="52" t="s">
        <v>720</v>
      </c>
      <c r="E91" s="53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724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52" t="s">
        <v>920</v>
      </c>
      <c r="Y91" s="53" t="s">
        <v>904</v>
      </c>
      <c r="Z91" s="52" t="s">
        <v>920</v>
      </c>
      <c r="AA91" s="53" t="s">
        <v>908</v>
      </c>
      <c r="AB91" s="52" t="s">
        <v>920</v>
      </c>
      <c r="AC91" s="53" t="s">
        <v>911</v>
      </c>
      <c r="AD91" s="52" t="s">
        <v>920</v>
      </c>
      <c r="AE91" s="53" t="s">
        <v>914</v>
      </c>
      <c r="AF91" s="52" t="s">
        <v>920</v>
      </c>
      <c r="AG91" s="53" t="s">
        <v>917</v>
      </c>
    </row>
    <row r="92" spans="1:33" ht="7.5" customHeight="1" x14ac:dyDescent="0.2">
      <c r="A92" s="9">
        <v>92</v>
      </c>
      <c r="B92" s="13" t="s">
        <v>412</v>
      </c>
      <c r="C92" s="12" t="s">
        <v>775</v>
      </c>
      <c r="D92" s="52" t="s">
        <v>720</v>
      </c>
      <c r="E92" s="53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724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52" t="s">
        <v>920</v>
      </c>
      <c r="Y92" s="53" t="s">
        <v>904</v>
      </c>
      <c r="Z92" s="52" t="s">
        <v>920</v>
      </c>
      <c r="AA92" s="53" t="s">
        <v>908</v>
      </c>
      <c r="AB92" s="52" t="s">
        <v>920</v>
      </c>
      <c r="AC92" s="53" t="s">
        <v>911</v>
      </c>
      <c r="AD92" s="52" t="s">
        <v>920</v>
      </c>
      <c r="AE92" s="53" t="s">
        <v>914</v>
      </c>
      <c r="AF92" s="52" t="s">
        <v>920</v>
      </c>
      <c r="AG92" s="53" t="s">
        <v>917</v>
      </c>
    </row>
    <row r="93" spans="1:33" ht="7.5" customHeight="1" x14ac:dyDescent="0.2">
      <c r="A93" s="9">
        <v>93</v>
      </c>
      <c r="B93" s="13" t="s">
        <v>413</v>
      </c>
      <c r="C93" s="12" t="s">
        <v>775</v>
      </c>
      <c r="D93" s="52" t="s">
        <v>720</v>
      </c>
      <c r="E93" s="53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724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52" t="s">
        <v>920</v>
      </c>
      <c r="Y93" s="53" t="s">
        <v>904</v>
      </c>
      <c r="Z93" s="52" t="s">
        <v>920</v>
      </c>
      <c r="AA93" s="53" t="s">
        <v>908</v>
      </c>
      <c r="AB93" s="52" t="s">
        <v>920</v>
      </c>
      <c r="AC93" s="53" t="s">
        <v>911</v>
      </c>
      <c r="AD93" s="52" t="s">
        <v>920</v>
      </c>
      <c r="AE93" s="53" t="s">
        <v>914</v>
      </c>
      <c r="AF93" s="52" t="s">
        <v>920</v>
      </c>
      <c r="AG93" s="53" t="s">
        <v>917</v>
      </c>
    </row>
    <row r="94" spans="1:33" ht="7.5" customHeight="1" x14ac:dyDescent="0.2">
      <c r="A94" s="9">
        <v>94</v>
      </c>
      <c r="B94" s="13" t="s">
        <v>414</v>
      </c>
      <c r="C94" s="12" t="s">
        <v>775</v>
      </c>
      <c r="D94" s="52" t="s">
        <v>720</v>
      </c>
      <c r="E94" s="53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724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52" t="s">
        <v>920</v>
      </c>
      <c r="Y94" s="53" t="s">
        <v>904</v>
      </c>
      <c r="Z94" s="52" t="s">
        <v>920</v>
      </c>
      <c r="AA94" s="53" t="s">
        <v>908</v>
      </c>
      <c r="AB94" s="52" t="s">
        <v>920</v>
      </c>
      <c r="AC94" s="53" t="s">
        <v>911</v>
      </c>
      <c r="AD94" s="52" t="s">
        <v>920</v>
      </c>
      <c r="AE94" s="53" t="s">
        <v>914</v>
      </c>
      <c r="AF94" s="52" t="s">
        <v>920</v>
      </c>
      <c r="AG94" s="53" t="s">
        <v>917</v>
      </c>
    </row>
    <row r="95" spans="1:33" ht="7.5" customHeight="1" x14ac:dyDescent="0.2">
      <c r="A95" s="9">
        <v>95</v>
      </c>
      <c r="B95" s="13" t="s">
        <v>415</v>
      </c>
      <c r="C95" s="12" t="s">
        <v>775</v>
      </c>
      <c r="D95" s="52" t="s">
        <v>720</v>
      </c>
      <c r="E95" s="53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724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52" t="s">
        <v>920</v>
      </c>
      <c r="Y95" s="53" t="s">
        <v>904</v>
      </c>
      <c r="Z95" s="52" t="s">
        <v>920</v>
      </c>
      <c r="AA95" s="53" t="s">
        <v>908</v>
      </c>
      <c r="AB95" s="52" t="s">
        <v>920</v>
      </c>
      <c r="AC95" s="53" t="s">
        <v>911</v>
      </c>
      <c r="AD95" s="52" t="s">
        <v>920</v>
      </c>
      <c r="AE95" s="53" t="s">
        <v>914</v>
      </c>
      <c r="AF95" s="52" t="s">
        <v>920</v>
      </c>
      <c r="AG95" s="53" t="s">
        <v>917</v>
      </c>
    </row>
    <row r="96" spans="1:33" ht="7.5" customHeight="1" x14ac:dyDescent="0.2">
      <c r="A96" s="9">
        <v>96</v>
      </c>
      <c r="B96" s="13" t="s">
        <v>416</v>
      </c>
      <c r="C96" s="12" t="s">
        <v>775</v>
      </c>
      <c r="D96" s="52" t="s">
        <v>720</v>
      </c>
      <c r="E96" s="53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724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52" t="s">
        <v>920</v>
      </c>
      <c r="Y96" s="53" t="s">
        <v>904</v>
      </c>
      <c r="Z96" s="52" t="s">
        <v>920</v>
      </c>
      <c r="AA96" s="53" t="s">
        <v>908</v>
      </c>
      <c r="AB96" s="52" t="s">
        <v>920</v>
      </c>
      <c r="AC96" s="53" t="s">
        <v>911</v>
      </c>
      <c r="AD96" s="52" t="s">
        <v>920</v>
      </c>
      <c r="AE96" s="53" t="s">
        <v>914</v>
      </c>
      <c r="AF96" s="52" t="s">
        <v>920</v>
      </c>
      <c r="AG96" s="53" t="s">
        <v>917</v>
      </c>
    </row>
    <row r="97" spans="1:33" ht="7.5" customHeight="1" x14ac:dyDescent="0.2">
      <c r="A97" s="9">
        <v>97</v>
      </c>
      <c r="B97" s="13" t="s">
        <v>417</v>
      </c>
      <c r="C97" s="12" t="s">
        <v>775</v>
      </c>
      <c r="D97" s="52" t="s">
        <v>720</v>
      </c>
      <c r="E97" s="53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724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52" t="s">
        <v>920</v>
      </c>
      <c r="Y97" s="53" t="s">
        <v>904</v>
      </c>
      <c r="Z97" s="52" t="s">
        <v>920</v>
      </c>
      <c r="AA97" s="53" t="s">
        <v>908</v>
      </c>
      <c r="AB97" s="52" t="s">
        <v>920</v>
      </c>
      <c r="AC97" s="53" t="s">
        <v>911</v>
      </c>
      <c r="AD97" s="52" t="s">
        <v>920</v>
      </c>
      <c r="AE97" s="53" t="s">
        <v>914</v>
      </c>
      <c r="AF97" s="52" t="s">
        <v>920</v>
      </c>
      <c r="AG97" s="53" t="s">
        <v>917</v>
      </c>
    </row>
    <row r="98" spans="1:33" ht="7.5" customHeight="1" x14ac:dyDescent="0.2">
      <c r="A98" s="9">
        <v>98</v>
      </c>
      <c r="B98" s="13" t="s">
        <v>418</v>
      </c>
      <c r="C98" s="12" t="s">
        <v>775</v>
      </c>
      <c r="D98" s="52" t="s">
        <v>720</v>
      </c>
      <c r="E98" s="53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724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52" t="s">
        <v>920</v>
      </c>
      <c r="Y98" s="53" t="s">
        <v>904</v>
      </c>
      <c r="Z98" s="52" t="s">
        <v>920</v>
      </c>
      <c r="AA98" s="53" t="s">
        <v>908</v>
      </c>
      <c r="AB98" s="52" t="s">
        <v>920</v>
      </c>
      <c r="AC98" s="53" t="s">
        <v>911</v>
      </c>
      <c r="AD98" s="52" t="s">
        <v>920</v>
      </c>
      <c r="AE98" s="53" t="s">
        <v>914</v>
      </c>
      <c r="AF98" s="52" t="s">
        <v>920</v>
      </c>
      <c r="AG98" s="53" t="s">
        <v>917</v>
      </c>
    </row>
    <row r="99" spans="1:33" ht="7.5" customHeight="1" x14ac:dyDescent="0.2">
      <c r="A99" s="9">
        <v>99</v>
      </c>
      <c r="B99" s="13" t="s">
        <v>419</v>
      </c>
      <c r="C99" s="12" t="s">
        <v>775</v>
      </c>
      <c r="D99" s="52" t="s">
        <v>720</v>
      </c>
      <c r="E99" s="53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724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52" t="s">
        <v>920</v>
      </c>
      <c r="Y99" s="53" t="s">
        <v>904</v>
      </c>
      <c r="Z99" s="52" t="s">
        <v>920</v>
      </c>
      <c r="AA99" s="53" t="s">
        <v>908</v>
      </c>
      <c r="AB99" s="52" t="s">
        <v>920</v>
      </c>
      <c r="AC99" s="53" t="s">
        <v>911</v>
      </c>
      <c r="AD99" s="52" t="s">
        <v>920</v>
      </c>
      <c r="AE99" s="53" t="s">
        <v>914</v>
      </c>
      <c r="AF99" s="52" t="s">
        <v>920</v>
      </c>
      <c r="AG99" s="53" t="s">
        <v>917</v>
      </c>
    </row>
    <row r="100" spans="1:33" ht="7.5" customHeight="1" x14ac:dyDescent="0.2">
      <c r="A100" s="9">
        <v>100</v>
      </c>
      <c r="B100" s="13" t="s">
        <v>420</v>
      </c>
      <c r="C100" s="12" t="s">
        <v>775</v>
      </c>
      <c r="D100" s="52" t="s">
        <v>720</v>
      </c>
      <c r="E100" s="53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724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52" t="s">
        <v>920</v>
      </c>
      <c r="Y100" s="53" t="s">
        <v>904</v>
      </c>
      <c r="Z100" s="52" t="s">
        <v>920</v>
      </c>
      <c r="AA100" s="53" t="s">
        <v>908</v>
      </c>
      <c r="AB100" s="52" t="s">
        <v>920</v>
      </c>
      <c r="AC100" s="53" t="s">
        <v>911</v>
      </c>
      <c r="AD100" s="52" t="s">
        <v>920</v>
      </c>
      <c r="AE100" s="53" t="s">
        <v>914</v>
      </c>
      <c r="AF100" s="52" t="s">
        <v>920</v>
      </c>
      <c r="AG100" s="53" t="s">
        <v>917</v>
      </c>
    </row>
    <row r="101" spans="1:33" ht="7.5" customHeight="1" x14ac:dyDescent="0.2">
      <c r="A101" s="9">
        <v>101</v>
      </c>
      <c r="B101" s="13" t="s">
        <v>421</v>
      </c>
      <c r="C101" s="12" t="s">
        <v>775</v>
      </c>
      <c r="D101" s="52" t="s">
        <v>720</v>
      </c>
      <c r="E101" s="53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724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52" t="s">
        <v>920</v>
      </c>
      <c r="Y101" s="53" t="s">
        <v>904</v>
      </c>
      <c r="Z101" s="52" t="s">
        <v>920</v>
      </c>
      <c r="AA101" s="53" t="s">
        <v>908</v>
      </c>
      <c r="AB101" s="52" t="s">
        <v>920</v>
      </c>
      <c r="AC101" s="53" t="s">
        <v>911</v>
      </c>
      <c r="AD101" s="52" t="s">
        <v>920</v>
      </c>
      <c r="AE101" s="53" t="s">
        <v>914</v>
      </c>
      <c r="AF101" s="52" t="s">
        <v>920</v>
      </c>
      <c r="AG101" s="53" t="s">
        <v>917</v>
      </c>
    </row>
    <row r="102" spans="1:33" ht="7.5" customHeight="1" x14ac:dyDescent="0.2">
      <c r="A102" s="9">
        <v>102</v>
      </c>
      <c r="B102" s="13" t="s">
        <v>422</v>
      </c>
      <c r="C102" s="12" t="s">
        <v>775</v>
      </c>
      <c r="D102" s="52" t="s">
        <v>720</v>
      </c>
      <c r="E102" s="53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724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52" t="s">
        <v>920</v>
      </c>
      <c r="Y102" s="53" t="s">
        <v>904</v>
      </c>
      <c r="Z102" s="52" t="s">
        <v>920</v>
      </c>
      <c r="AA102" s="53" t="s">
        <v>908</v>
      </c>
      <c r="AB102" s="52" t="s">
        <v>920</v>
      </c>
      <c r="AC102" s="53" t="s">
        <v>911</v>
      </c>
      <c r="AD102" s="52" t="s">
        <v>920</v>
      </c>
      <c r="AE102" s="53" t="s">
        <v>914</v>
      </c>
      <c r="AF102" s="52" t="s">
        <v>920</v>
      </c>
      <c r="AG102" s="53" t="s">
        <v>917</v>
      </c>
    </row>
    <row r="103" spans="1:33" ht="7.5" customHeight="1" x14ac:dyDescent="0.2">
      <c r="A103" s="9">
        <v>103</v>
      </c>
      <c r="B103" s="13" t="s">
        <v>423</v>
      </c>
      <c r="C103" s="12" t="s">
        <v>776</v>
      </c>
      <c r="D103" s="52" t="s">
        <v>720</v>
      </c>
      <c r="E103" s="53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725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52" t="s">
        <v>920</v>
      </c>
      <c r="Y103" s="53" t="s">
        <v>904</v>
      </c>
      <c r="Z103" s="52" t="s">
        <v>920</v>
      </c>
      <c r="AA103" s="53" t="s">
        <v>908</v>
      </c>
      <c r="AB103" s="52" t="s">
        <v>920</v>
      </c>
      <c r="AC103" s="53" t="s">
        <v>911</v>
      </c>
      <c r="AD103" s="52" t="s">
        <v>920</v>
      </c>
      <c r="AE103" s="53" t="s">
        <v>914</v>
      </c>
      <c r="AF103" s="52" t="s">
        <v>920</v>
      </c>
      <c r="AG103" s="53" t="s">
        <v>917</v>
      </c>
    </row>
    <row r="104" spans="1:33" ht="7.5" customHeight="1" x14ac:dyDescent="0.2">
      <c r="A104" s="9">
        <v>104</v>
      </c>
      <c r="B104" s="13" t="s">
        <v>424</v>
      </c>
      <c r="C104" s="12" t="s">
        <v>776</v>
      </c>
      <c r="D104" s="52" t="s">
        <v>720</v>
      </c>
      <c r="E104" s="53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725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52" t="s">
        <v>920</v>
      </c>
      <c r="Y104" s="53" t="s">
        <v>904</v>
      </c>
      <c r="Z104" s="52" t="s">
        <v>920</v>
      </c>
      <c r="AA104" s="53" t="s">
        <v>908</v>
      </c>
      <c r="AB104" s="52" t="s">
        <v>920</v>
      </c>
      <c r="AC104" s="53" t="s">
        <v>911</v>
      </c>
      <c r="AD104" s="52" t="s">
        <v>920</v>
      </c>
      <c r="AE104" s="53" t="s">
        <v>914</v>
      </c>
      <c r="AF104" s="52" t="s">
        <v>920</v>
      </c>
      <c r="AG104" s="53" t="s">
        <v>917</v>
      </c>
    </row>
    <row r="105" spans="1:33" ht="7.5" customHeight="1" x14ac:dyDescent="0.2">
      <c r="A105" s="9">
        <v>105</v>
      </c>
      <c r="B105" s="13" t="s">
        <v>425</v>
      </c>
      <c r="C105" s="12" t="s">
        <v>776</v>
      </c>
      <c r="D105" s="52" t="s">
        <v>720</v>
      </c>
      <c r="E105" s="53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725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52" t="s">
        <v>920</v>
      </c>
      <c r="Y105" s="53" t="s">
        <v>904</v>
      </c>
      <c r="Z105" s="52" t="s">
        <v>920</v>
      </c>
      <c r="AA105" s="53" t="s">
        <v>908</v>
      </c>
      <c r="AB105" s="52" t="s">
        <v>920</v>
      </c>
      <c r="AC105" s="53" t="s">
        <v>911</v>
      </c>
      <c r="AD105" s="52" t="s">
        <v>920</v>
      </c>
      <c r="AE105" s="53" t="s">
        <v>914</v>
      </c>
      <c r="AF105" s="52" t="s">
        <v>920</v>
      </c>
      <c r="AG105" s="53" t="s">
        <v>917</v>
      </c>
    </row>
    <row r="106" spans="1:33" ht="7.5" customHeight="1" x14ac:dyDescent="0.2">
      <c r="A106" s="9">
        <v>106</v>
      </c>
      <c r="B106" s="13" t="s">
        <v>426</v>
      </c>
      <c r="C106" s="12" t="s">
        <v>776</v>
      </c>
      <c r="D106" s="52" t="s">
        <v>720</v>
      </c>
      <c r="E106" s="53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725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52" t="s">
        <v>920</v>
      </c>
      <c r="Y106" s="53" t="s">
        <v>904</v>
      </c>
      <c r="Z106" s="52" t="s">
        <v>920</v>
      </c>
      <c r="AA106" s="53" t="s">
        <v>908</v>
      </c>
      <c r="AB106" s="52" t="s">
        <v>920</v>
      </c>
      <c r="AC106" s="53" t="s">
        <v>911</v>
      </c>
      <c r="AD106" s="52" t="s">
        <v>920</v>
      </c>
      <c r="AE106" s="53" t="s">
        <v>914</v>
      </c>
      <c r="AF106" s="52" t="s">
        <v>920</v>
      </c>
      <c r="AG106" s="53" t="s">
        <v>917</v>
      </c>
    </row>
    <row r="107" spans="1:33" ht="7.5" customHeight="1" x14ac:dyDescent="0.2">
      <c r="A107" s="9">
        <v>107</v>
      </c>
      <c r="B107" s="13" t="s">
        <v>427</v>
      </c>
      <c r="C107" s="12" t="s">
        <v>776</v>
      </c>
      <c r="D107" s="52" t="s">
        <v>720</v>
      </c>
      <c r="E107" s="53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725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52" t="s">
        <v>920</v>
      </c>
      <c r="Y107" s="53" t="s">
        <v>904</v>
      </c>
      <c r="Z107" s="52" t="s">
        <v>920</v>
      </c>
      <c r="AA107" s="53" t="s">
        <v>908</v>
      </c>
      <c r="AB107" s="52" t="s">
        <v>920</v>
      </c>
      <c r="AC107" s="53" t="s">
        <v>911</v>
      </c>
      <c r="AD107" s="52" t="s">
        <v>920</v>
      </c>
      <c r="AE107" s="53" t="s">
        <v>914</v>
      </c>
      <c r="AF107" s="52" t="s">
        <v>920</v>
      </c>
      <c r="AG107" s="53" t="s">
        <v>917</v>
      </c>
    </row>
    <row r="108" spans="1:33" ht="7.5" customHeight="1" x14ac:dyDescent="0.2">
      <c r="A108" s="9">
        <v>108</v>
      </c>
      <c r="B108" s="13" t="s">
        <v>428</v>
      </c>
      <c r="C108" s="12" t="s">
        <v>776</v>
      </c>
      <c r="D108" s="52" t="s">
        <v>720</v>
      </c>
      <c r="E108" s="53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725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52" t="s">
        <v>920</v>
      </c>
      <c r="Y108" s="53" t="s">
        <v>904</v>
      </c>
      <c r="Z108" s="52" t="s">
        <v>920</v>
      </c>
      <c r="AA108" s="53" t="s">
        <v>908</v>
      </c>
      <c r="AB108" s="52" t="s">
        <v>920</v>
      </c>
      <c r="AC108" s="53" t="s">
        <v>911</v>
      </c>
      <c r="AD108" s="52" t="s">
        <v>920</v>
      </c>
      <c r="AE108" s="53" t="s">
        <v>914</v>
      </c>
      <c r="AF108" s="52" t="s">
        <v>920</v>
      </c>
      <c r="AG108" s="53" t="s">
        <v>917</v>
      </c>
    </row>
    <row r="109" spans="1:33" ht="7.5" customHeight="1" x14ac:dyDescent="0.2">
      <c r="A109" s="9">
        <v>109</v>
      </c>
      <c r="B109" s="13" t="s">
        <v>429</v>
      </c>
      <c r="C109" s="12" t="s">
        <v>776</v>
      </c>
      <c r="D109" s="52" t="s">
        <v>720</v>
      </c>
      <c r="E109" s="53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725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52" t="s">
        <v>920</v>
      </c>
      <c r="Y109" s="53" t="s">
        <v>904</v>
      </c>
      <c r="Z109" s="52" t="s">
        <v>920</v>
      </c>
      <c r="AA109" s="53" t="s">
        <v>908</v>
      </c>
      <c r="AB109" s="52" t="s">
        <v>920</v>
      </c>
      <c r="AC109" s="53" t="s">
        <v>911</v>
      </c>
      <c r="AD109" s="52" t="s">
        <v>920</v>
      </c>
      <c r="AE109" s="53" t="s">
        <v>914</v>
      </c>
      <c r="AF109" s="52" t="s">
        <v>920</v>
      </c>
      <c r="AG109" s="53" t="s">
        <v>917</v>
      </c>
    </row>
    <row r="110" spans="1:33" ht="7.5" customHeight="1" x14ac:dyDescent="0.2">
      <c r="A110" s="9">
        <v>110</v>
      </c>
      <c r="B110" s="13" t="s">
        <v>430</v>
      </c>
      <c r="C110" s="12" t="s">
        <v>776</v>
      </c>
      <c r="D110" s="52" t="s">
        <v>720</v>
      </c>
      <c r="E110" s="53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725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52" t="s">
        <v>920</v>
      </c>
      <c r="Y110" s="53" t="s">
        <v>904</v>
      </c>
      <c r="Z110" s="52" t="s">
        <v>920</v>
      </c>
      <c r="AA110" s="53" t="s">
        <v>908</v>
      </c>
      <c r="AB110" s="52" t="s">
        <v>920</v>
      </c>
      <c r="AC110" s="53" t="s">
        <v>911</v>
      </c>
      <c r="AD110" s="52" t="s">
        <v>920</v>
      </c>
      <c r="AE110" s="53" t="s">
        <v>914</v>
      </c>
      <c r="AF110" s="52" t="s">
        <v>920</v>
      </c>
      <c r="AG110" s="53" t="s">
        <v>917</v>
      </c>
    </row>
    <row r="111" spans="1:33" ht="7.5" customHeight="1" x14ac:dyDescent="0.2">
      <c r="A111" s="9">
        <v>111</v>
      </c>
      <c r="B111" s="13" t="s">
        <v>431</v>
      </c>
      <c r="C111" s="12" t="s">
        <v>776</v>
      </c>
      <c r="D111" s="52" t="s">
        <v>720</v>
      </c>
      <c r="E111" s="53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725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52" t="s">
        <v>920</v>
      </c>
      <c r="Y111" s="53" t="s">
        <v>904</v>
      </c>
      <c r="Z111" s="52" t="s">
        <v>920</v>
      </c>
      <c r="AA111" s="53" t="s">
        <v>908</v>
      </c>
      <c r="AB111" s="52" t="s">
        <v>920</v>
      </c>
      <c r="AC111" s="53" t="s">
        <v>911</v>
      </c>
      <c r="AD111" s="52" t="s">
        <v>920</v>
      </c>
      <c r="AE111" s="53" t="s">
        <v>914</v>
      </c>
      <c r="AF111" s="52" t="s">
        <v>920</v>
      </c>
      <c r="AG111" s="53" t="s">
        <v>917</v>
      </c>
    </row>
    <row r="112" spans="1:33" ht="7.5" customHeight="1" x14ac:dyDescent="0.2">
      <c r="A112" s="9">
        <v>112</v>
      </c>
      <c r="B112" s="13" t="s">
        <v>432</v>
      </c>
      <c r="C112" s="12" t="s">
        <v>776</v>
      </c>
      <c r="D112" s="52" t="s">
        <v>720</v>
      </c>
      <c r="E112" s="53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725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52" t="s">
        <v>920</v>
      </c>
      <c r="Y112" s="53" t="s">
        <v>904</v>
      </c>
      <c r="Z112" s="52" t="s">
        <v>920</v>
      </c>
      <c r="AA112" s="53" t="s">
        <v>908</v>
      </c>
      <c r="AB112" s="52" t="s">
        <v>920</v>
      </c>
      <c r="AC112" s="53" t="s">
        <v>911</v>
      </c>
      <c r="AD112" s="52" t="s">
        <v>920</v>
      </c>
      <c r="AE112" s="53" t="s">
        <v>914</v>
      </c>
      <c r="AF112" s="52" t="s">
        <v>920</v>
      </c>
      <c r="AG112" s="53" t="s">
        <v>917</v>
      </c>
    </row>
    <row r="113" spans="1:33" ht="7.5" customHeight="1" x14ac:dyDescent="0.2">
      <c r="A113" s="9">
        <v>113</v>
      </c>
      <c r="B113" s="13" t="s">
        <v>433</v>
      </c>
      <c r="C113" s="12" t="s">
        <v>776</v>
      </c>
      <c r="D113" s="52" t="s">
        <v>720</v>
      </c>
      <c r="E113" s="53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725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52" t="s">
        <v>920</v>
      </c>
      <c r="Y113" s="53" t="s">
        <v>904</v>
      </c>
      <c r="Z113" s="52" t="s">
        <v>920</v>
      </c>
      <c r="AA113" s="53" t="s">
        <v>908</v>
      </c>
      <c r="AB113" s="52" t="s">
        <v>920</v>
      </c>
      <c r="AC113" s="53" t="s">
        <v>911</v>
      </c>
      <c r="AD113" s="52" t="s">
        <v>920</v>
      </c>
      <c r="AE113" s="53" t="s">
        <v>914</v>
      </c>
      <c r="AF113" s="52" t="s">
        <v>920</v>
      </c>
      <c r="AG113" s="53" t="s">
        <v>917</v>
      </c>
    </row>
    <row r="114" spans="1:33" ht="7.5" customHeight="1" x14ac:dyDescent="0.2">
      <c r="A114" s="9">
        <v>114</v>
      </c>
      <c r="B114" s="13" t="s">
        <v>434</v>
      </c>
      <c r="C114" s="12" t="s">
        <v>776</v>
      </c>
      <c r="D114" s="52" t="s">
        <v>720</v>
      </c>
      <c r="E114" s="53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725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52" t="s">
        <v>920</v>
      </c>
      <c r="Y114" s="53" t="s">
        <v>904</v>
      </c>
      <c r="Z114" s="52" t="s">
        <v>920</v>
      </c>
      <c r="AA114" s="53" t="s">
        <v>908</v>
      </c>
      <c r="AB114" s="52" t="s">
        <v>920</v>
      </c>
      <c r="AC114" s="53" t="s">
        <v>911</v>
      </c>
      <c r="AD114" s="52" t="s">
        <v>920</v>
      </c>
      <c r="AE114" s="53" t="s">
        <v>914</v>
      </c>
      <c r="AF114" s="52" t="s">
        <v>920</v>
      </c>
      <c r="AG114" s="53" t="s">
        <v>917</v>
      </c>
    </row>
    <row r="115" spans="1:33" ht="7.5" customHeight="1" x14ac:dyDescent="0.2">
      <c r="A115" s="9">
        <v>115</v>
      </c>
      <c r="B115" s="13" t="s">
        <v>435</v>
      </c>
      <c r="C115" s="12" t="s">
        <v>776</v>
      </c>
      <c r="D115" s="52" t="s">
        <v>720</v>
      </c>
      <c r="E115" s="53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725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52" t="s">
        <v>920</v>
      </c>
      <c r="Y115" s="53" t="s">
        <v>904</v>
      </c>
      <c r="Z115" s="52" t="s">
        <v>920</v>
      </c>
      <c r="AA115" s="53" t="s">
        <v>908</v>
      </c>
      <c r="AB115" s="52" t="s">
        <v>920</v>
      </c>
      <c r="AC115" s="53" t="s">
        <v>911</v>
      </c>
      <c r="AD115" s="52" t="s">
        <v>920</v>
      </c>
      <c r="AE115" s="53" t="s">
        <v>914</v>
      </c>
      <c r="AF115" s="52" t="s">
        <v>920</v>
      </c>
      <c r="AG115" s="53" t="s">
        <v>917</v>
      </c>
    </row>
    <row r="116" spans="1:33" ht="7.5" customHeight="1" x14ac:dyDescent="0.2">
      <c r="A116" s="9">
        <v>116</v>
      </c>
      <c r="B116" s="13" t="s">
        <v>436</v>
      </c>
      <c r="C116" s="12" t="s">
        <v>776</v>
      </c>
      <c r="D116" s="52" t="s">
        <v>720</v>
      </c>
      <c r="E116" s="53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725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52" t="s">
        <v>920</v>
      </c>
      <c r="Y116" s="53" t="s">
        <v>904</v>
      </c>
      <c r="Z116" s="52" t="s">
        <v>920</v>
      </c>
      <c r="AA116" s="53" t="s">
        <v>908</v>
      </c>
      <c r="AB116" s="52" t="s">
        <v>920</v>
      </c>
      <c r="AC116" s="53" t="s">
        <v>911</v>
      </c>
      <c r="AD116" s="52" t="s">
        <v>920</v>
      </c>
      <c r="AE116" s="53" t="s">
        <v>914</v>
      </c>
      <c r="AF116" s="52" t="s">
        <v>920</v>
      </c>
      <c r="AG116" s="53" t="s">
        <v>917</v>
      </c>
    </row>
    <row r="117" spans="1:33" ht="7.5" customHeight="1" x14ac:dyDescent="0.2">
      <c r="A117" s="9">
        <v>117</v>
      </c>
      <c r="B117" s="13" t="s">
        <v>437</v>
      </c>
      <c r="C117" s="12" t="s">
        <v>776</v>
      </c>
      <c r="D117" s="52" t="s">
        <v>720</v>
      </c>
      <c r="E117" s="53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725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52" t="s">
        <v>920</v>
      </c>
      <c r="Y117" s="53" t="s">
        <v>904</v>
      </c>
      <c r="Z117" s="52" t="s">
        <v>920</v>
      </c>
      <c r="AA117" s="53" t="s">
        <v>908</v>
      </c>
      <c r="AB117" s="52" t="s">
        <v>920</v>
      </c>
      <c r="AC117" s="53" t="s">
        <v>911</v>
      </c>
      <c r="AD117" s="52" t="s">
        <v>920</v>
      </c>
      <c r="AE117" s="53" t="s">
        <v>914</v>
      </c>
      <c r="AF117" s="52" t="s">
        <v>920</v>
      </c>
      <c r="AG117" s="53" t="s">
        <v>917</v>
      </c>
    </row>
    <row r="118" spans="1:33" ht="7.5" customHeight="1" x14ac:dyDescent="0.2">
      <c r="A118" s="9">
        <v>118</v>
      </c>
      <c r="B118" s="13" t="s">
        <v>438</v>
      </c>
      <c r="C118" s="12" t="s">
        <v>776</v>
      </c>
      <c r="D118" s="52" t="s">
        <v>720</v>
      </c>
      <c r="E118" s="53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725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52" t="s">
        <v>920</v>
      </c>
      <c r="Y118" s="53" t="s">
        <v>904</v>
      </c>
      <c r="Z118" s="52" t="s">
        <v>920</v>
      </c>
      <c r="AA118" s="53" t="s">
        <v>908</v>
      </c>
      <c r="AB118" s="52" t="s">
        <v>920</v>
      </c>
      <c r="AC118" s="53" t="s">
        <v>911</v>
      </c>
      <c r="AD118" s="52" t="s">
        <v>920</v>
      </c>
      <c r="AE118" s="53" t="s">
        <v>914</v>
      </c>
      <c r="AF118" s="52" t="s">
        <v>920</v>
      </c>
      <c r="AG118" s="53" t="s">
        <v>917</v>
      </c>
    </row>
    <row r="119" spans="1:33" ht="7.5" customHeight="1" x14ac:dyDescent="0.2">
      <c r="A119" s="9">
        <v>119</v>
      </c>
      <c r="B119" s="13" t="s">
        <v>439</v>
      </c>
      <c r="C119" s="12" t="s">
        <v>776</v>
      </c>
      <c r="D119" s="52" t="s">
        <v>720</v>
      </c>
      <c r="E119" s="53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725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52" t="s">
        <v>920</v>
      </c>
      <c r="Y119" s="53" t="s">
        <v>904</v>
      </c>
      <c r="Z119" s="52" t="s">
        <v>920</v>
      </c>
      <c r="AA119" s="53" t="s">
        <v>908</v>
      </c>
      <c r="AB119" s="52" t="s">
        <v>920</v>
      </c>
      <c r="AC119" s="53" t="s">
        <v>911</v>
      </c>
      <c r="AD119" s="52" t="s">
        <v>920</v>
      </c>
      <c r="AE119" s="53" t="s">
        <v>914</v>
      </c>
      <c r="AF119" s="52" t="s">
        <v>920</v>
      </c>
      <c r="AG119" s="53" t="s">
        <v>917</v>
      </c>
    </row>
    <row r="120" spans="1:33" ht="7.5" customHeight="1" x14ac:dyDescent="0.2">
      <c r="A120" s="9">
        <v>120</v>
      </c>
      <c r="B120" s="45" t="s">
        <v>440</v>
      </c>
      <c r="C120" s="12" t="s">
        <v>776</v>
      </c>
      <c r="D120" s="52" t="s">
        <v>720</v>
      </c>
      <c r="E120" s="53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725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52" t="s">
        <v>920</v>
      </c>
      <c r="Y120" s="53" t="s">
        <v>904</v>
      </c>
      <c r="Z120" s="52" t="s">
        <v>920</v>
      </c>
      <c r="AA120" s="53" t="s">
        <v>908</v>
      </c>
      <c r="AB120" s="52" t="s">
        <v>920</v>
      </c>
      <c r="AC120" s="53" t="s">
        <v>911</v>
      </c>
      <c r="AD120" s="52" t="s">
        <v>920</v>
      </c>
      <c r="AE120" s="53" t="s">
        <v>914</v>
      </c>
      <c r="AF120" s="52" t="s">
        <v>920</v>
      </c>
      <c r="AG120" s="53" t="s">
        <v>917</v>
      </c>
    </row>
    <row r="121" spans="1:33" ht="7.5" customHeight="1" x14ac:dyDescent="0.2">
      <c r="A121" s="9">
        <v>121</v>
      </c>
      <c r="B121" s="45" t="s">
        <v>700</v>
      </c>
      <c r="C121" s="12" t="s">
        <v>776</v>
      </c>
      <c r="D121" s="52" t="s">
        <v>720</v>
      </c>
      <c r="E121" s="53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725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52" t="s">
        <v>920</v>
      </c>
      <c r="Y121" s="53" t="s">
        <v>904</v>
      </c>
      <c r="Z121" s="52" t="s">
        <v>920</v>
      </c>
      <c r="AA121" s="53" t="s">
        <v>908</v>
      </c>
      <c r="AB121" s="52" t="s">
        <v>920</v>
      </c>
      <c r="AC121" s="53" t="s">
        <v>911</v>
      </c>
      <c r="AD121" s="52" t="s">
        <v>920</v>
      </c>
      <c r="AE121" s="53" t="s">
        <v>914</v>
      </c>
      <c r="AF121" s="52" t="s">
        <v>920</v>
      </c>
      <c r="AG121" s="53" t="s">
        <v>917</v>
      </c>
    </row>
    <row r="122" spans="1:33" ht="7.5" customHeight="1" x14ac:dyDescent="0.2">
      <c r="A122" s="9">
        <v>122</v>
      </c>
      <c r="B122" s="13" t="s">
        <v>441</v>
      </c>
      <c r="C122" s="12" t="s">
        <v>777</v>
      </c>
      <c r="D122" s="52" t="s">
        <v>720</v>
      </c>
      <c r="E122" s="53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52" t="s">
        <v>920</v>
      </c>
      <c r="Y122" s="53" t="s">
        <v>904</v>
      </c>
      <c r="Z122" s="52" t="s">
        <v>920</v>
      </c>
      <c r="AA122" s="53" t="s">
        <v>908</v>
      </c>
      <c r="AB122" s="52" t="s">
        <v>920</v>
      </c>
      <c r="AC122" s="53" t="s">
        <v>911</v>
      </c>
      <c r="AD122" s="52" t="s">
        <v>920</v>
      </c>
      <c r="AE122" s="53" t="s">
        <v>914</v>
      </c>
      <c r="AF122" s="52" t="s">
        <v>920</v>
      </c>
      <c r="AG122" s="53" t="s">
        <v>917</v>
      </c>
    </row>
    <row r="123" spans="1:33" ht="7.5" customHeight="1" x14ac:dyDescent="0.2">
      <c r="A123" s="9">
        <v>123</v>
      </c>
      <c r="B123" s="13" t="s">
        <v>442</v>
      </c>
      <c r="C123" s="12" t="s">
        <v>777</v>
      </c>
      <c r="D123" s="52" t="s">
        <v>720</v>
      </c>
      <c r="E123" s="53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52" t="s">
        <v>920</v>
      </c>
      <c r="Y123" s="53" t="s">
        <v>904</v>
      </c>
      <c r="Z123" s="52" t="s">
        <v>920</v>
      </c>
      <c r="AA123" s="53" t="s">
        <v>908</v>
      </c>
      <c r="AB123" s="52" t="s">
        <v>920</v>
      </c>
      <c r="AC123" s="53" t="s">
        <v>911</v>
      </c>
      <c r="AD123" s="52" t="s">
        <v>920</v>
      </c>
      <c r="AE123" s="53" t="s">
        <v>914</v>
      </c>
      <c r="AF123" s="52" t="s">
        <v>920</v>
      </c>
      <c r="AG123" s="53" t="s">
        <v>917</v>
      </c>
    </row>
    <row r="124" spans="1:33" ht="7.5" customHeight="1" x14ac:dyDescent="0.2">
      <c r="A124" s="9">
        <v>124</v>
      </c>
      <c r="B124" s="13" t="s">
        <v>443</v>
      </c>
      <c r="C124" s="12" t="s">
        <v>777</v>
      </c>
      <c r="D124" s="52" t="s">
        <v>720</v>
      </c>
      <c r="E124" s="53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52" t="s">
        <v>920</v>
      </c>
      <c r="Y124" s="53" t="s">
        <v>904</v>
      </c>
      <c r="Z124" s="52" t="s">
        <v>920</v>
      </c>
      <c r="AA124" s="53" t="s">
        <v>908</v>
      </c>
      <c r="AB124" s="52" t="s">
        <v>920</v>
      </c>
      <c r="AC124" s="53" t="s">
        <v>911</v>
      </c>
      <c r="AD124" s="52" t="s">
        <v>920</v>
      </c>
      <c r="AE124" s="53" t="s">
        <v>914</v>
      </c>
      <c r="AF124" s="52" t="s">
        <v>920</v>
      </c>
      <c r="AG124" s="53" t="s">
        <v>917</v>
      </c>
    </row>
    <row r="125" spans="1:33" ht="7.5" customHeight="1" x14ac:dyDescent="0.2">
      <c r="A125" s="9">
        <v>125</v>
      </c>
      <c r="B125" s="13" t="s">
        <v>444</v>
      </c>
      <c r="C125" s="12" t="s">
        <v>777</v>
      </c>
      <c r="D125" s="52" t="s">
        <v>720</v>
      </c>
      <c r="E125" s="53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52" t="s">
        <v>920</v>
      </c>
      <c r="Y125" s="53" t="s">
        <v>904</v>
      </c>
      <c r="Z125" s="52" t="s">
        <v>920</v>
      </c>
      <c r="AA125" s="53" t="s">
        <v>908</v>
      </c>
      <c r="AB125" s="52" t="s">
        <v>920</v>
      </c>
      <c r="AC125" s="53" t="s">
        <v>911</v>
      </c>
      <c r="AD125" s="52" t="s">
        <v>920</v>
      </c>
      <c r="AE125" s="53" t="s">
        <v>914</v>
      </c>
      <c r="AF125" s="52" t="s">
        <v>920</v>
      </c>
      <c r="AG125" s="53" t="s">
        <v>917</v>
      </c>
    </row>
    <row r="126" spans="1:33" ht="7.5" customHeight="1" x14ac:dyDescent="0.2">
      <c r="A126" s="9">
        <v>126</v>
      </c>
      <c r="B126" s="13" t="s">
        <v>445</v>
      </c>
      <c r="C126" s="12" t="s">
        <v>777</v>
      </c>
      <c r="D126" s="52" t="s">
        <v>720</v>
      </c>
      <c r="E126" s="53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52" t="s">
        <v>920</v>
      </c>
      <c r="Y126" s="53" t="s">
        <v>904</v>
      </c>
      <c r="Z126" s="52" t="s">
        <v>920</v>
      </c>
      <c r="AA126" s="53" t="s">
        <v>908</v>
      </c>
      <c r="AB126" s="52" t="s">
        <v>920</v>
      </c>
      <c r="AC126" s="53" t="s">
        <v>911</v>
      </c>
      <c r="AD126" s="52" t="s">
        <v>920</v>
      </c>
      <c r="AE126" s="53" t="s">
        <v>914</v>
      </c>
      <c r="AF126" s="52" t="s">
        <v>920</v>
      </c>
      <c r="AG126" s="53" t="s">
        <v>917</v>
      </c>
    </row>
    <row r="127" spans="1:33" ht="7.5" customHeight="1" x14ac:dyDescent="0.2">
      <c r="A127" s="9">
        <v>127</v>
      </c>
      <c r="B127" s="13" t="s">
        <v>446</v>
      </c>
      <c r="C127" s="12" t="s">
        <v>777</v>
      </c>
      <c r="D127" s="52" t="s">
        <v>720</v>
      </c>
      <c r="E127" s="53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52" t="s">
        <v>920</v>
      </c>
      <c r="Y127" s="53" t="s">
        <v>904</v>
      </c>
      <c r="Z127" s="52" t="s">
        <v>920</v>
      </c>
      <c r="AA127" s="53" t="s">
        <v>908</v>
      </c>
      <c r="AB127" s="52" t="s">
        <v>920</v>
      </c>
      <c r="AC127" s="53" t="s">
        <v>911</v>
      </c>
      <c r="AD127" s="52" t="s">
        <v>920</v>
      </c>
      <c r="AE127" s="53" t="s">
        <v>914</v>
      </c>
      <c r="AF127" s="52" t="s">
        <v>920</v>
      </c>
      <c r="AG127" s="53" t="s">
        <v>917</v>
      </c>
    </row>
    <row r="128" spans="1:33" ht="7.5" customHeight="1" x14ac:dyDescent="0.2">
      <c r="A128" s="9">
        <v>128</v>
      </c>
      <c r="B128" s="13" t="s">
        <v>447</v>
      </c>
      <c r="C128" s="12" t="s">
        <v>777</v>
      </c>
      <c r="D128" s="52" t="s">
        <v>720</v>
      </c>
      <c r="E128" s="53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52" t="s">
        <v>920</v>
      </c>
      <c r="Y128" s="53" t="s">
        <v>904</v>
      </c>
      <c r="Z128" s="52" t="s">
        <v>920</v>
      </c>
      <c r="AA128" s="53" t="s">
        <v>908</v>
      </c>
      <c r="AB128" s="52" t="s">
        <v>920</v>
      </c>
      <c r="AC128" s="53" t="s">
        <v>911</v>
      </c>
      <c r="AD128" s="52" t="s">
        <v>920</v>
      </c>
      <c r="AE128" s="53" t="s">
        <v>914</v>
      </c>
      <c r="AF128" s="52" t="s">
        <v>920</v>
      </c>
      <c r="AG128" s="53" t="s">
        <v>917</v>
      </c>
    </row>
    <row r="129" spans="1:33" ht="7.5" customHeight="1" x14ac:dyDescent="0.2">
      <c r="A129" s="9">
        <v>129</v>
      </c>
      <c r="B129" s="13" t="s">
        <v>448</v>
      </c>
      <c r="C129" s="12" t="s">
        <v>777</v>
      </c>
      <c r="D129" s="52" t="s">
        <v>720</v>
      </c>
      <c r="E129" s="53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52" t="s">
        <v>920</v>
      </c>
      <c r="Y129" s="53" t="s">
        <v>904</v>
      </c>
      <c r="Z129" s="52" t="s">
        <v>920</v>
      </c>
      <c r="AA129" s="53" t="s">
        <v>908</v>
      </c>
      <c r="AB129" s="52" t="s">
        <v>920</v>
      </c>
      <c r="AC129" s="53" t="s">
        <v>911</v>
      </c>
      <c r="AD129" s="52" t="s">
        <v>920</v>
      </c>
      <c r="AE129" s="53" t="s">
        <v>914</v>
      </c>
      <c r="AF129" s="52" t="s">
        <v>920</v>
      </c>
      <c r="AG129" s="53" t="s">
        <v>917</v>
      </c>
    </row>
    <row r="130" spans="1:33" ht="7.5" customHeight="1" x14ac:dyDescent="0.2">
      <c r="A130" s="9">
        <v>130</v>
      </c>
      <c r="B130" s="13" t="s">
        <v>449</v>
      </c>
      <c r="C130" s="12" t="s">
        <v>777</v>
      </c>
      <c r="D130" s="52" t="s">
        <v>720</v>
      </c>
      <c r="E130" s="53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52" t="s">
        <v>920</v>
      </c>
      <c r="Y130" s="53" t="s">
        <v>904</v>
      </c>
      <c r="Z130" s="52" t="s">
        <v>920</v>
      </c>
      <c r="AA130" s="53" t="s">
        <v>908</v>
      </c>
      <c r="AB130" s="52" t="s">
        <v>920</v>
      </c>
      <c r="AC130" s="53" t="s">
        <v>911</v>
      </c>
      <c r="AD130" s="52" t="s">
        <v>920</v>
      </c>
      <c r="AE130" s="53" t="s">
        <v>914</v>
      </c>
      <c r="AF130" s="52" t="s">
        <v>920</v>
      </c>
      <c r="AG130" s="53" t="s">
        <v>917</v>
      </c>
    </row>
    <row r="131" spans="1:33" ht="7.5" customHeight="1" x14ac:dyDescent="0.2">
      <c r="A131" s="9">
        <v>131</v>
      </c>
      <c r="B131" s="13" t="s">
        <v>450</v>
      </c>
      <c r="C131" s="12" t="s">
        <v>777</v>
      </c>
      <c r="D131" s="52" t="s">
        <v>720</v>
      </c>
      <c r="E131" s="53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52" t="s">
        <v>920</v>
      </c>
      <c r="Y131" s="53" t="s">
        <v>904</v>
      </c>
      <c r="Z131" s="52" t="s">
        <v>920</v>
      </c>
      <c r="AA131" s="53" t="s">
        <v>908</v>
      </c>
      <c r="AB131" s="52" t="s">
        <v>920</v>
      </c>
      <c r="AC131" s="53" t="s">
        <v>911</v>
      </c>
      <c r="AD131" s="52" t="s">
        <v>920</v>
      </c>
      <c r="AE131" s="53" t="s">
        <v>914</v>
      </c>
      <c r="AF131" s="52" t="s">
        <v>920</v>
      </c>
      <c r="AG131" s="53" t="s">
        <v>917</v>
      </c>
    </row>
    <row r="132" spans="1:33" ht="7.5" customHeight="1" x14ac:dyDescent="0.2">
      <c r="A132" s="9">
        <v>132</v>
      </c>
      <c r="B132" s="13" t="s">
        <v>451</v>
      </c>
      <c r="C132" s="12" t="s">
        <v>777</v>
      </c>
      <c r="D132" s="52" t="s">
        <v>720</v>
      </c>
      <c r="E132" s="53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52" t="s">
        <v>920</v>
      </c>
      <c r="Y132" s="53" t="s">
        <v>904</v>
      </c>
      <c r="Z132" s="52" t="s">
        <v>920</v>
      </c>
      <c r="AA132" s="53" t="s">
        <v>908</v>
      </c>
      <c r="AB132" s="52" t="s">
        <v>920</v>
      </c>
      <c r="AC132" s="53" t="s">
        <v>911</v>
      </c>
      <c r="AD132" s="52" t="s">
        <v>920</v>
      </c>
      <c r="AE132" s="53" t="s">
        <v>914</v>
      </c>
      <c r="AF132" s="52" t="s">
        <v>920</v>
      </c>
      <c r="AG132" s="53" t="s">
        <v>917</v>
      </c>
    </row>
    <row r="133" spans="1:33" ht="7.5" customHeight="1" x14ac:dyDescent="0.2">
      <c r="A133" s="9">
        <v>133</v>
      </c>
      <c r="B133" s="13" t="s">
        <v>452</v>
      </c>
      <c r="C133" s="12" t="s">
        <v>778</v>
      </c>
      <c r="D133" s="52" t="s">
        <v>720</v>
      </c>
      <c r="E133" s="53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52" t="s">
        <v>920</v>
      </c>
      <c r="Y133" s="53" t="s">
        <v>904</v>
      </c>
      <c r="Z133" s="52" t="s">
        <v>920</v>
      </c>
      <c r="AA133" s="53" t="s">
        <v>908</v>
      </c>
      <c r="AB133" s="52" t="s">
        <v>920</v>
      </c>
      <c r="AC133" s="53" t="s">
        <v>911</v>
      </c>
      <c r="AD133" s="52" t="s">
        <v>920</v>
      </c>
      <c r="AE133" s="53" t="s">
        <v>914</v>
      </c>
      <c r="AF133" s="52" t="s">
        <v>920</v>
      </c>
      <c r="AG133" s="53" t="s">
        <v>917</v>
      </c>
    </row>
    <row r="134" spans="1:33" ht="7.5" customHeight="1" x14ac:dyDescent="0.2">
      <c r="A134" s="9">
        <v>134</v>
      </c>
      <c r="B134" s="10" t="s">
        <v>453</v>
      </c>
      <c r="C134" s="12" t="s">
        <v>778</v>
      </c>
      <c r="D134" s="52" t="s">
        <v>720</v>
      </c>
      <c r="E134" s="53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726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52" t="s">
        <v>920</v>
      </c>
      <c r="Y134" s="53" t="s">
        <v>904</v>
      </c>
      <c r="Z134" s="52" t="s">
        <v>920</v>
      </c>
      <c r="AA134" s="53" t="s">
        <v>908</v>
      </c>
      <c r="AB134" s="52" t="s">
        <v>920</v>
      </c>
      <c r="AC134" s="53" t="s">
        <v>911</v>
      </c>
      <c r="AD134" s="52" t="s">
        <v>920</v>
      </c>
      <c r="AE134" s="53" t="s">
        <v>914</v>
      </c>
      <c r="AF134" s="52" t="s">
        <v>920</v>
      </c>
      <c r="AG134" s="53" t="s">
        <v>917</v>
      </c>
    </row>
    <row r="135" spans="1:33" ht="7.5" customHeight="1" x14ac:dyDescent="0.2">
      <c r="A135" s="9">
        <v>135</v>
      </c>
      <c r="B135" s="13" t="s">
        <v>454</v>
      </c>
      <c r="C135" s="12" t="s">
        <v>778</v>
      </c>
      <c r="D135" s="52" t="s">
        <v>720</v>
      </c>
      <c r="E135" s="53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726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52" t="s">
        <v>920</v>
      </c>
      <c r="Y135" s="53" t="s">
        <v>904</v>
      </c>
      <c r="Z135" s="52" t="s">
        <v>920</v>
      </c>
      <c r="AA135" s="53" t="s">
        <v>908</v>
      </c>
      <c r="AB135" s="52" t="s">
        <v>920</v>
      </c>
      <c r="AC135" s="53" t="s">
        <v>911</v>
      </c>
      <c r="AD135" s="52" t="s">
        <v>920</v>
      </c>
      <c r="AE135" s="53" t="s">
        <v>914</v>
      </c>
      <c r="AF135" s="52" t="s">
        <v>920</v>
      </c>
      <c r="AG135" s="53" t="s">
        <v>917</v>
      </c>
    </row>
    <row r="136" spans="1:33" ht="7.5" customHeight="1" x14ac:dyDescent="0.2">
      <c r="A136" s="9">
        <v>136</v>
      </c>
      <c r="B136" s="13" t="s">
        <v>455</v>
      </c>
      <c r="C136" s="12" t="s">
        <v>778</v>
      </c>
      <c r="D136" s="52" t="s">
        <v>720</v>
      </c>
      <c r="E136" s="53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726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52" t="s">
        <v>920</v>
      </c>
      <c r="Y136" s="53" t="s">
        <v>904</v>
      </c>
      <c r="Z136" s="52" t="s">
        <v>920</v>
      </c>
      <c r="AA136" s="53" t="s">
        <v>908</v>
      </c>
      <c r="AB136" s="52" t="s">
        <v>920</v>
      </c>
      <c r="AC136" s="53" t="s">
        <v>911</v>
      </c>
      <c r="AD136" s="52" t="s">
        <v>920</v>
      </c>
      <c r="AE136" s="53" t="s">
        <v>914</v>
      </c>
      <c r="AF136" s="52" t="s">
        <v>920</v>
      </c>
      <c r="AG136" s="53" t="s">
        <v>917</v>
      </c>
    </row>
    <row r="137" spans="1:33" ht="7.5" customHeight="1" x14ac:dyDescent="0.2">
      <c r="A137" s="9">
        <v>137</v>
      </c>
      <c r="B137" s="13" t="s">
        <v>456</v>
      </c>
      <c r="C137" s="12" t="s">
        <v>778</v>
      </c>
      <c r="D137" s="52" t="s">
        <v>720</v>
      </c>
      <c r="E137" s="53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726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52" t="s">
        <v>920</v>
      </c>
      <c r="Y137" s="53" t="s">
        <v>904</v>
      </c>
      <c r="Z137" s="52" t="s">
        <v>920</v>
      </c>
      <c r="AA137" s="53" t="s">
        <v>908</v>
      </c>
      <c r="AB137" s="52" t="s">
        <v>920</v>
      </c>
      <c r="AC137" s="53" t="s">
        <v>911</v>
      </c>
      <c r="AD137" s="52" t="s">
        <v>920</v>
      </c>
      <c r="AE137" s="53" t="s">
        <v>914</v>
      </c>
      <c r="AF137" s="52" t="s">
        <v>920</v>
      </c>
      <c r="AG137" s="53" t="s">
        <v>917</v>
      </c>
    </row>
    <row r="138" spans="1:33" ht="7.5" customHeight="1" x14ac:dyDescent="0.2">
      <c r="A138" s="9">
        <v>138</v>
      </c>
      <c r="B138" s="13" t="s">
        <v>457</v>
      </c>
      <c r="C138" s="12" t="s">
        <v>778</v>
      </c>
      <c r="D138" s="52" t="s">
        <v>720</v>
      </c>
      <c r="E138" s="53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726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52" t="s">
        <v>920</v>
      </c>
      <c r="Y138" s="53" t="s">
        <v>904</v>
      </c>
      <c r="Z138" s="52" t="s">
        <v>920</v>
      </c>
      <c r="AA138" s="53" t="s">
        <v>908</v>
      </c>
      <c r="AB138" s="52" t="s">
        <v>920</v>
      </c>
      <c r="AC138" s="53" t="s">
        <v>911</v>
      </c>
      <c r="AD138" s="52" t="s">
        <v>920</v>
      </c>
      <c r="AE138" s="53" t="s">
        <v>914</v>
      </c>
      <c r="AF138" s="52" t="s">
        <v>920</v>
      </c>
      <c r="AG138" s="53" t="s">
        <v>917</v>
      </c>
    </row>
    <row r="139" spans="1:33" ht="7.5" customHeight="1" x14ac:dyDescent="0.2">
      <c r="A139" s="9">
        <v>139</v>
      </c>
      <c r="B139" s="13" t="s">
        <v>458</v>
      </c>
      <c r="C139" s="12" t="s">
        <v>778</v>
      </c>
      <c r="D139" s="52" t="s">
        <v>720</v>
      </c>
      <c r="E139" s="53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726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52" t="s">
        <v>920</v>
      </c>
      <c r="Y139" s="53" t="s">
        <v>904</v>
      </c>
      <c r="Z139" s="52" t="s">
        <v>920</v>
      </c>
      <c r="AA139" s="53" t="s">
        <v>908</v>
      </c>
      <c r="AB139" s="52" t="s">
        <v>920</v>
      </c>
      <c r="AC139" s="53" t="s">
        <v>911</v>
      </c>
      <c r="AD139" s="52" t="s">
        <v>920</v>
      </c>
      <c r="AE139" s="53" t="s">
        <v>914</v>
      </c>
      <c r="AF139" s="52" t="s">
        <v>920</v>
      </c>
      <c r="AG139" s="53" t="s">
        <v>917</v>
      </c>
    </row>
    <row r="140" spans="1:33" ht="7.5" customHeight="1" x14ac:dyDescent="0.2">
      <c r="A140" s="9">
        <v>140</v>
      </c>
      <c r="B140" s="13" t="s">
        <v>459</v>
      </c>
      <c r="C140" s="12" t="s">
        <v>778</v>
      </c>
      <c r="D140" s="52" t="s">
        <v>720</v>
      </c>
      <c r="E140" s="53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726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52" t="s">
        <v>920</v>
      </c>
      <c r="Y140" s="53" t="s">
        <v>904</v>
      </c>
      <c r="Z140" s="52" t="s">
        <v>920</v>
      </c>
      <c r="AA140" s="53" t="s">
        <v>908</v>
      </c>
      <c r="AB140" s="52" t="s">
        <v>920</v>
      </c>
      <c r="AC140" s="53" t="s">
        <v>911</v>
      </c>
      <c r="AD140" s="52" t="s">
        <v>920</v>
      </c>
      <c r="AE140" s="53" t="s">
        <v>914</v>
      </c>
      <c r="AF140" s="52" t="s">
        <v>920</v>
      </c>
      <c r="AG140" s="53" t="s">
        <v>917</v>
      </c>
    </row>
    <row r="141" spans="1:33" ht="7.5" customHeight="1" x14ac:dyDescent="0.2">
      <c r="A141" s="9">
        <v>141</v>
      </c>
      <c r="B141" s="13" t="s">
        <v>460</v>
      </c>
      <c r="C141" s="12" t="s">
        <v>778</v>
      </c>
      <c r="D141" s="52" t="s">
        <v>720</v>
      </c>
      <c r="E141" s="53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726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52" t="s">
        <v>920</v>
      </c>
      <c r="Y141" s="53" t="s">
        <v>904</v>
      </c>
      <c r="Z141" s="52" t="s">
        <v>920</v>
      </c>
      <c r="AA141" s="53" t="s">
        <v>908</v>
      </c>
      <c r="AB141" s="52" t="s">
        <v>920</v>
      </c>
      <c r="AC141" s="53" t="s">
        <v>911</v>
      </c>
      <c r="AD141" s="52" t="s">
        <v>920</v>
      </c>
      <c r="AE141" s="53" t="s">
        <v>914</v>
      </c>
      <c r="AF141" s="52" t="s">
        <v>920</v>
      </c>
      <c r="AG141" s="53" t="s">
        <v>917</v>
      </c>
    </row>
    <row r="142" spans="1:33" ht="7.5" customHeight="1" x14ac:dyDescent="0.2">
      <c r="A142" s="9">
        <v>142</v>
      </c>
      <c r="B142" s="13" t="s">
        <v>461</v>
      </c>
      <c r="C142" s="12" t="s">
        <v>778</v>
      </c>
      <c r="D142" s="52" t="s">
        <v>720</v>
      </c>
      <c r="E142" s="53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726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52" t="s">
        <v>920</v>
      </c>
      <c r="Y142" s="53" t="s">
        <v>904</v>
      </c>
      <c r="Z142" s="52" t="s">
        <v>920</v>
      </c>
      <c r="AA142" s="53" t="s">
        <v>908</v>
      </c>
      <c r="AB142" s="52" t="s">
        <v>920</v>
      </c>
      <c r="AC142" s="53" t="s">
        <v>911</v>
      </c>
      <c r="AD142" s="52" t="s">
        <v>920</v>
      </c>
      <c r="AE142" s="53" t="s">
        <v>914</v>
      </c>
      <c r="AF142" s="52" t="s">
        <v>920</v>
      </c>
      <c r="AG142" s="53" t="s">
        <v>917</v>
      </c>
    </row>
    <row r="143" spans="1:33" ht="7.5" customHeight="1" x14ac:dyDescent="0.2">
      <c r="A143" s="9">
        <v>143</v>
      </c>
      <c r="B143" s="13" t="s">
        <v>462</v>
      </c>
      <c r="C143" s="12" t="s">
        <v>778</v>
      </c>
      <c r="D143" s="52" t="s">
        <v>720</v>
      </c>
      <c r="E143" s="53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726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52" t="s">
        <v>920</v>
      </c>
      <c r="Y143" s="53" t="s">
        <v>904</v>
      </c>
      <c r="Z143" s="52" t="s">
        <v>920</v>
      </c>
      <c r="AA143" s="53" t="s">
        <v>908</v>
      </c>
      <c r="AB143" s="52" t="s">
        <v>920</v>
      </c>
      <c r="AC143" s="53" t="s">
        <v>911</v>
      </c>
      <c r="AD143" s="52" t="s">
        <v>920</v>
      </c>
      <c r="AE143" s="53" t="s">
        <v>914</v>
      </c>
      <c r="AF143" s="52" t="s">
        <v>920</v>
      </c>
      <c r="AG143" s="53" t="s">
        <v>917</v>
      </c>
    </row>
    <row r="144" spans="1:33" ht="7.5" customHeight="1" x14ac:dyDescent="0.2">
      <c r="A144" s="9">
        <v>144</v>
      </c>
      <c r="B144" s="13" t="s">
        <v>463</v>
      </c>
      <c r="C144" s="12" t="s">
        <v>778</v>
      </c>
      <c r="D144" s="52" t="s">
        <v>720</v>
      </c>
      <c r="E144" s="53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726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52" t="s">
        <v>920</v>
      </c>
      <c r="Y144" s="53" t="s">
        <v>904</v>
      </c>
      <c r="Z144" s="52" t="s">
        <v>920</v>
      </c>
      <c r="AA144" s="53" t="s">
        <v>908</v>
      </c>
      <c r="AB144" s="52" t="s">
        <v>920</v>
      </c>
      <c r="AC144" s="53" t="s">
        <v>911</v>
      </c>
      <c r="AD144" s="52" t="s">
        <v>920</v>
      </c>
      <c r="AE144" s="53" t="s">
        <v>914</v>
      </c>
      <c r="AF144" s="52" t="s">
        <v>920</v>
      </c>
      <c r="AG144" s="53" t="s">
        <v>917</v>
      </c>
    </row>
    <row r="145" spans="1:33" ht="7.5" customHeight="1" x14ac:dyDescent="0.2">
      <c r="A145" s="9">
        <v>145</v>
      </c>
      <c r="B145" s="13" t="s">
        <v>464</v>
      </c>
      <c r="C145" s="12" t="s">
        <v>778</v>
      </c>
      <c r="D145" s="52" t="s">
        <v>720</v>
      </c>
      <c r="E145" s="53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726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52" t="s">
        <v>920</v>
      </c>
      <c r="Y145" s="53" t="s">
        <v>904</v>
      </c>
      <c r="Z145" s="52" t="s">
        <v>920</v>
      </c>
      <c r="AA145" s="53" t="s">
        <v>908</v>
      </c>
      <c r="AB145" s="52" t="s">
        <v>920</v>
      </c>
      <c r="AC145" s="53" t="s">
        <v>911</v>
      </c>
      <c r="AD145" s="52" t="s">
        <v>920</v>
      </c>
      <c r="AE145" s="53" t="s">
        <v>914</v>
      </c>
      <c r="AF145" s="52" t="s">
        <v>920</v>
      </c>
      <c r="AG145" s="53" t="s">
        <v>917</v>
      </c>
    </row>
    <row r="146" spans="1:33" ht="7.5" customHeight="1" x14ac:dyDescent="0.2">
      <c r="A146" s="9">
        <v>146</v>
      </c>
      <c r="B146" s="10" t="s">
        <v>465</v>
      </c>
      <c r="C146" s="12" t="s">
        <v>779</v>
      </c>
      <c r="D146" s="52" t="s">
        <v>720</v>
      </c>
      <c r="E146" s="53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727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52" t="s">
        <v>920</v>
      </c>
      <c r="Y146" s="53" t="s">
        <v>904</v>
      </c>
      <c r="Z146" s="52" t="s">
        <v>920</v>
      </c>
      <c r="AA146" s="53" t="s">
        <v>908</v>
      </c>
      <c r="AB146" s="52" t="s">
        <v>920</v>
      </c>
      <c r="AC146" s="53" t="s">
        <v>911</v>
      </c>
      <c r="AD146" s="52" t="s">
        <v>920</v>
      </c>
      <c r="AE146" s="53" t="s">
        <v>914</v>
      </c>
      <c r="AF146" s="52" t="s">
        <v>920</v>
      </c>
      <c r="AG146" s="53" t="s">
        <v>917</v>
      </c>
    </row>
    <row r="147" spans="1:33" ht="7.5" customHeight="1" x14ac:dyDescent="0.2">
      <c r="A147" s="9">
        <v>147</v>
      </c>
      <c r="B147" s="13" t="s">
        <v>466</v>
      </c>
      <c r="C147" s="12" t="s">
        <v>779</v>
      </c>
      <c r="D147" s="52" t="s">
        <v>720</v>
      </c>
      <c r="E147" s="53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727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52" t="s">
        <v>920</v>
      </c>
      <c r="Y147" s="53" t="s">
        <v>904</v>
      </c>
      <c r="Z147" s="52" t="s">
        <v>920</v>
      </c>
      <c r="AA147" s="53" t="s">
        <v>908</v>
      </c>
      <c r="AB147" s="52" t="s">
        <v>920</v>
      </c>
      <c r="AC147" s="53" t="s">
        <v>911</v>
      </c>
      <c r="AD147" s="52" t="s">
        <v>920</v>
      </c>
      <c r="AE147" s="53" t="s">
        <v>914</v>
      </c>
      <c r="AF147" s="52" t="s">
        <v>920</v>
      </c>
      <c r="AG147" s="53" t="s">
        <v>917</v>
      </c>
    </row>
    <row r="148" spans="1:33" ht="7.5" customHeight="1" x14ac:dyDescent="0.2">
      <c r="A148" s="9">
        <v>148</v>
      </c>
      <c r="B148" s="13" t="s">
        <v>467</v>
      </c>
      <c r="C148" s="12" t="s">
        <v>779</v>
      </c>
      <c r="D148" s="52" t="s">
        <v>720</v>
      </c>
      <c r="E148" s="53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727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52" t="s">
        <v>920</v>
      </c>
      <c r="Y148" s="53" t="s">
        <v>904</v>
      </c>
      <c r="Z148" s="52" t="s">
        <v>920</v>
      </c>
      <c r="AA148" s="53" t="s">
        <v>908</v>
      </c>
      <c r="AB148" s="52" t="s">
        <v>920</v>
      </c>
      <c r="AC148" s="53" t="s">
        <v>911</v>
      </c>
      <c r="AD148" s="52" t="s">
        <v>920</v>
      </c>
      <c r="AE148" s="53" t="s">
        <v>914</v>
      </c>
      <c r="AF148" s="52" t="s">
        <v>920</v>
      </c>
      <c r="AG148" s="53" t="s">
        <v>917</v>
      </c>
    </row>
    <row r="149" spans="1:33" ht="7.5" customHeight="1" x14ac:dyDescent="0.2">
      <c r="A149" s="9">
        <v>149</v>
      </c>
      <c r="B149" s="13" t="s">
        <v>468</v>
      </c>
      <c r="C149" s="12" t="s">
        <v>779</v>
      </c>
      <c r="D149" s="52" t="s">
        <v>720</v>
      </c>
      <c r="E149" s="53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727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52" t="s">
        <v>920</v>
      </c>
      <c r="Y149" s="53" t="s">
        <v>904</v>
      </c>
      <c r="Z149" s="52" t="s">
        <v>920</v>
      </c>
      <c r="AA149" s="53" t="s">
        <v>908</v>
      </c>
      <c r="AB149" s="52" t="s">
        <v>920</v>
      </c>
      <c r="AC149" s="53" t="s">
        <v>911</v>
      </c>
      <c r="AD149" s="52" t="s">
        <v>920</v>
      </c>
      <c r="AE149" s="53" t="s">
        <v>914</v>
      </c>
      <c r="AF149" s="52" t="s">
        <v>920</v>
      </c>
      <c r="AG149" s="53" t="s">
        <v>917</v>
      </c>
    </row>
    <row r="150" spans="1:33" ht="7.5" customHeight="1" x14ac:dyDescent="0.2">
      <c r="A150" s="9">
        <v>150</v>
      </c>
      <c r="B150" s="13" t="s">
        <v>469</v>
      </c>
      <c r="C150" s="12" t="s">
        <v>779</v>
      </c>
      <c r="D150" s="52" t="s">
        <v>720</v>
      </c>
      <c r="E150" s="53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727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52" t="s">
        <v>920</v>
      </c>
      <c r="Y150" s="53" t="s">
        <v>904</v>
      </c>
      <c r="Z150" s="52" t="s">
        <v>920</v>
      </c>
      <c r="AA150" s="53" t="s">
        <v>908</v>
      </c>
      <c r="AB150" s="52" t="s">
        <v>920</v>
      </c>
      <c r="AC150" s="53" t="s">
        <v>911</v>
      </c>
      <c r="AD150" s="52" t="s">
        <v>920</v>
      </c>
      <c r="AE150" s="53" t="s">
        <v>914</v>
      </c>
      <c r="AF150" s="52" t="s">
        <v>920</v>
      </c>
      <c r="AG150" s="53" t="s">
        <v>917</v>
      </c>
    </row>
    <row r="151" spans="1:33" ht="7.5" customHeight="1" x14ac:dyDescent="0.2">
      <c r="A151" s="9">
        <v>151</v>
      </c>
      <c r="B151" s="13" t="s">
        <v>470</v>
      </c>
      <c r="C151" s="12" t="s">
        <v>779</v>
      </c>
      <c r="D151" s="52" t="s">
        <v>720</v>
      </c>
      <c r="E151" s="53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727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52" t="s">
        <v>920</v>
      </c>
      <c r="Y151" s="53" t="s">
        <v>904</v>
      </c>
      <c r="Z151" s="52" t="s">
        <v>920</v>
      </c>
      <c r="AA151" s="53" t="s">
        <v>908</v>
      </c>
      <c r="AB151" s="52" t="s">
        <v>920</v>
      </c>
      <c r="AC151" s="53" t="s">
        <v>911</v>
      </c>
      <c r="AD151" s="52" t="s">
        <v>920</v>
      </c>
      <c r="AE151" s="53" t="s">
        <v>914</v>
      </c>
      <c r="AF151" s="52" t="s">
        <v>920</v>
      </c>
      <c r="AG151" s="53" t="s">
        <v>917</v>
      </c>
    </row>
    <row r="152" spans="1:33" ht="7.5" customHeight="1" x14ac:dyDescent="0.2">
      <c r="A152" s="9">
        <v>152</v>
      </c>
      <c r="B152" s="13" t="s">
        <v>471</v>
      </c>
      <c r="C152" s="12" t="s">
        <v>779</v>
      </c>
      <c r="D152" s="52" t="s">
        <v>720</v>
      </c>
      <c r="E152" s="53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727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52" t="s">
        <v>920</v>
      </c>
      <c r="Y152" s="53" t="s">
        <v>904</v>
      </c>
      <c r="Z152" s="52" t="s">
        <v>920</v>
      </c>
      <c r="AA152" s="53" t="s">
        <v>908</v>
      </c>
      <c r="AB152" s="52" t="s">
        <v>920</v>
      </c>
      <c r="AC152" s="53" t="s">
        <v>911</v>
      </c>
      <c r="AD152" s="52" t="s">
        <v>920</v>
      </c>
      <c r="AE152" s="53" t="s">
        <v>914</v>
      </c>
      <c r="AF152" s="52" t="s">
        <v>920</v>
      </c>
      <c r="AG152" s="53" t="s">
        <v>917</v>
      </c>
    </row>
    <row r="153" spans="1:33" ht="7.5" customHeight="1" x14ac:dyDescent="0.2">
      <c r="A153" s="9">
        <v>153</v>
      </c>
      <c r="B153" s="13" t="s">
        <v>472</v>
      </c>
      <c r="C153" s="12" t="s">
        <v>779</v>
      </c>
      <c r="D153" s="52" t="s">
        <v>720</v>
      </c>
      <c r="E153" s="53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727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52" t="s">
        <v>920</v>
      </c>
      <c r="Y153" s="53" t="s">
        <v>904</v>
      </c>
      <c r="Z153" s="52" t="s">
        <v>920</v>
      </c>
      <c r="AA153" s="53" t="s">
        <v>908</v>
      </c>
      <c r="AB153" s="52" t="s">
        <v>920</v>
      </c>
      <c r="AC153" s="53" t="s">
        <v>911</v>
      </c>
      <c r="AD153" s="52" t="s">
        <v>920</v>
      </c>
      <c r="AE153" s="53" t="s">
        <v>914</v>
      </c>
      <c r="AF153" s="52" t="s">
        <v>920</v>
      </c>
      <c r="AG153" s="53" t="s">
        <v>917</v>
      </c>
    </row>
    <row r="154" spans="1:33" ht="7.5" customHeight="1" x14ac:dyDescent="0.2">
      <c r="A154" s="9">
        <v>154</v>
      </c>
      <c r="B154" s="13" t="s">
        <v>473</v>
      </c>
      <c r="C154" s="12" t="s">
        <v>779</v>
      </c>
      <c r="D154" s="52" t="s">
        <v>720</v>
      </c>
      <c r="E154" s="53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727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52" t="s">
        <v>920</v>
      </c>
      <c r="Y154" s="53" t="s">
        <v>904</v>
      </c>
      <c r="Z154" s="52" t="s">
        <v>920</v>
      </c>
      <c r="AA154" s="53" t="s">
        <v>908</v>
      </c>
      <c r="AB154" s="52" t="s">
        <v>920</v>
      </c>
      <c r="AC154" s="53" t="s">
        <v>911</v>
      </c>
      <c r="AD154" s="52" t="s">
        <v>920</v>
      </c>
      <c r="AE154" s="53" t="s">
        <v>914</v>
      </c>
      <c r="AF154" s="52" t="s">
        <v>920</v>
      </c>
      <c r="AG154" s="53" t="s">
        <v>917</v>
      </c>
    </row>
    <row r="155" spans="1:33" ht="7.5" customHeight="1" x14ac:dyDescent="0.2">
      <c r="A155" s="9">
        <v>155</v>
      </c>
      <c r="B155" s="13" t="s">
        <v>474</v>
      </c>
      <c r="C155" s="12" t="s">
        <v>779</v>
      </c>
      <c r="D155" s="52" t="s">
        <v>720</v>
      </c>
      <c r="E155" s="53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727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52" t="s">
        <v>920</v>
      </c>
      <c r="Y155" s="53" t="s">
        <v>904</v>
      </c>
      <c r="Z155" s="52" t="s">
        <v>920</v>
      </c>
      <c r="AA155" s="53" t="s">
        <v>908</v>
      </c>
      <c r="AB155" s="52" t="s">
        <v>920</v>
      </c>
      <c r="AC155" s="53" t="s">
        <v>911</v>
      </c>
      <c r="AD155" s="52" t="s">
        <v>920</v>
      </c>
      <c r="AE155" s="53" t="s">
        <v>914</v>
      </c>
      <c r="AF155" s="52" t="s">
        <v>920</v>
      </c>
      <c r="AG155" s="53" t="s">
        <v>917</v>
      </c>
    </row>
    <row r="156" spans="1:33" ht="7.5" customHeight="1" x14ac:dyDescent="0.2">
      <c r="A156" s="9">
        <v>156</v>
      </c>
      <c r="B156" s="13" t="s">
        <v>475</v>
      </c>
      <c r="C156" s="12" t="s">
        <v>779</v>
      </c>
      <c r="D156" s="52" t="s">
        <v>720</v>
      </c>
      <c r="E156" s="53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727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52" t="s">
        <v>920</v>
      </c>
      <c r="Y156" s="53" t="s">
        <v>904</v>
      </c>
      <c r="Z156" s="52" t="s">
        <v>920</v>
      </c>
      <c r="AA156" s="53" t="s">
        <v>908</v>
      </c>
      <c r="AB156" s="52" t="s">
        <v>920</v>
      </c>
      <c r="AC156" s="53" t="s">
        <v>911</v>
      </c>
      <c r="AD156" s="52" t="s">
        <v>920</v>
      </c>
      <c r="AE156" s="53" t="s">
        <v>914</v>
      </c>
      <c r="AF156" s="52" t="s">
        <v>920</v>
      </c>
      <c r="AG156" s="53" t="s">
        <v>917</v>
      </c>
    </row>
    <row r="157" spans="1:33" ht="7.5" customHeight="1" x14ac:dyDescent="0.2">
      <c r="A157" s="9">
        <v>157</v>
      </c>
      <c r="B157" s="13" t="s">
        <v>476</v>
      </c>
      <c r="C157" s="12" t="s">
        <v>779</v>
      </c>
      <c r="D157" s="52" t="s">
        <v>720</v>
      </c>
      <c r="E157" s="53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727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52" t="s">
        <v>920</v>
      </c>
      <c r="Y157" s="53" t="s">
        <v>904</v>
      </c>
      <c r="Z157" s="52" t="s">
        <v>920</v>
      </c>
      <c r="AA157" s="53" t="s">
        <v>908</v>
      </c>
      <c r="AB157" s="52" t="s">
        <v>920</v>
      </c>
      <c r="AC157" s="53" t="s">
        <v>911</v>
      </c>
      <c r="AD157" s="52" t="s">
        <v>920</v>
      </c>
      <c r="AE157" s="53" t="s">
        <v>914</v>
      </c>
      <c r="AF157" s="52" t="s">
        <v>920</v>
      </c>
      <c r="AG157" s="53" t="s">
        <v>917</v>
      </c>
    </row>
    <row r="158" spans="1:33" ht="7.5" customHeight="1" x14ac:dyDescent="0.2">
      <c r="A158" s="9">
        <v>158</v>
      </c>
      <c r="B158" s="13" t="s">
        <v>477</v>
      </c>
      <c r="C158" s="12" t="s">
        <v>779</v>
      </c>
      <c r="D158" s="52" t="s">
        <v>720</v>
      </c>
      <c r="E158" s="53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727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52" t="s">
        <v>920</v>
      </c>
      <c r="Y158" s="53" t="s">
        <v>904</v>
      </c>
      <c r="Z158" s="52" t="s">
        <v>920</v>
      </c>
      <c r="AA158" s="53" t="s">
        <v>908</v>
      </c>
      <c r="AB158" s="52" t="s">
        <v>920</v>
      </c>
      <c r="AC158" s="53" t="s">
        <v>911</v>
      </c>
      <c r="AD158" s="52" t="s">
        <v>920</v>
      </c>
      <c r="AE158" s="53" t="s">
        <v>914</v>
      </c>
      <c r="AF158" s="52" t="s">
        <v>920</v>
      </c>
      <c r="AG158" s="53" t="s">
        <v>917</v>
      </c>
    </row>
    <row r="159" spans="1:33" ht="7.5" customHeight="1" x14ac:dyDescent="0.2">
      <c r="A159" s="9">
        <v>159</v>
      </c>
      <c r="B159" s="13" t="s">
        <v>478</v>
      </c>
      <c r="C159" s="12" t="s">
        <v>779</v>
      </c>
      <c r="D159" s="52" t="s">
        <v>720</v>
      </c>
      <c r="E159" s="53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727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52" t="s">
        <v>920</v>
      </c>
      <c r="Y159" s="53" t="s">
        <v>904</v>
      </c>
      <c r="Z159" s="52" t="s">
        <v>920</v>
      </c>
      <c r="AA159" s="53" t="s">
        <v>908</v>
      </c>
      <c r="AB159" s="52" t="s">
        <v>920</v>
      </c>
      <c r="AC159" s="53" t="s">
        <v>911</v>
      </c>
      <c r="AD159" s="52" t="s">
        <v>920</v>
      </c>
      <c r="AE159" s="53" t="s">
        <v>914</v>
      </c>
      <c r="AF159" s="52" t="s">
        <v>920</v>
      </c>
      <c r="AG159" s="53" t="s">
        <v>917</v>
      </c>
    </row>
    <row r="160" spans="1:33" ht="7.5" customHeight="1" x14ac:dyDescent="0.2">
      <c r="A160" s="9">
        <v>160</v>
      </c>
      <c r="B160" s="13" t="s">
        <v>479</v>
      </c>
      <c r="C160" s="12" t="s">
        <v>779</v>
      </c>
      <c r="D160" s="52" t="s">
        <v>720</v>
      </c>
      <c r="E160" s="53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727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52" t="s">
        <v>920</v>
      </c>
      <c r="Y160" s="53" t="s">
        <v>904</v>
      </c>
      <c r="Z160" s="52" t="s">
        <v>920</v>
      </c>
      <c r="AA160" s="53" t="s">
        <v>908</v>
      </c>
      <c r="AB160" s="52" t="s">
        <v>920</v>
      </c>
      <c r="AC160" s="53" t="s">
        <v>911</v>
      </c>
      <c r="AD160" s="52" t="s">
        <v>920</v>
      </c>
      <c r="AE160" s="53" t="s">
        <v>914</v>
      </c>
      <c r="AF160" s="52" t="s">
        <v>920</v>
      </c>
      <c r="AG160" s="53" t="s">
        <v>917</v>
      </c>
    </row>
    <row r="161" spans="1:33" ht="7.5" customHeight="1" x14ac:dyDescent="0.2">
      <c r="A161" s="9">
        <v>161</v>
      </c>
      <c r="B161" s="13" t="s">
        <v>480</v>
      </c>
      <c r="C161" s="12" t="s">
        <v>779</v>
      </c>
      <c r="D161" s="52" t="s">
        <v>720</v>
      </c>
      <c r="E161" s="53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727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52" t="s">
        <v>920</v>
      </c>
      <c r="Y161" s="53" t="s">
        <v>904</v>
      </c>
      <c r="Z161" s="52" t="s">
        <v>920</v>
      </c>
      <c r="AA161" s="53" t="s">
        <v>908</v>
      </c>
      <c r="AB161" s="52" t="s">
        <v>920</v>
      </c>
      <c r="AC161" s="53" t="s">
        <v>911</v>
      </c>
      <c r="AD161" s="52" t="s">
        <v>920</v>
      </c>
      <c r="AE161" s="53" t="s">
        <v>914</v>
      </c>
      <c r="AF161" s="52" t="s">
        <v>920</v>
      </c>
      <c r="AG161" s="53" t="s">
        <v>917</v>
      </c>
    </row>
    <row r="162" spans="1:33" ht="7.5" customHeight="1" x14ac:dyDescent="0.2">
      <c r="A162" s="9">
        <v>162</v>
      </c>
      <c r="B162" s="13" t="s">
        <v>481</v>
      </c>
      <c r="C162" s="12" t="s">
        <v>779</v>
      </c>
      <c r="D162" s="52" t="s">
        <v>720</v>
      </c>
      <c r="E162" s="53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727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52" t="s">
        <v>920</v>
      </c>
      <c r="Y162" s="53" t="s">
        <v>904</v>
      </c>
      <c r="Z162" s="52" t="s">
        <v>920</v>
      </c>
      <c r="AA162" s="53" t="s">
        <v>908</v>
      </c>
      <c r="AB162" s="52" t="s">
        <v>920</v>
      </c>
      <c r="AC162" s="53" t="s">
        <v>911</v>
      </c>
      <c r="AD162" s="52" t="s">
        <v>920</v>
      </c>
      <c r="AE162" s="53" t="s">
        <v>914</v>
      </c>
      <c r="AF162" s="52" t="s">
        <v>920</v>
      </c>
      <c r="AG162" s="53" t="s">
        <v>917</v>
      </c>
    </row>
    <row r="163" spans="1:33" ht="7.5" customHeight="1" x14ac:dyDescent="0.2">
      <c r="A163" s="9">
        <v>163</v>
      </c>
      <c r="B163" s="13" t="s">
        <v>482</v>
      </c>
      <c r="C163" s="12" t="s">
        <v>779</v>
      </c>
      <c r="D163" s="52" t="s">
        <v>720</v>
      </c>
      <c r="E163" s="53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727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52" t="s">
        <v>920</v>
      </c>
      <c r="Y163" s="53" t="s">
        <v>904</v>
      </c>
      <c r="Z163" s="52" t="s">
        <v>920</v>
      </c>
      <c r="AA163" s="53" t="s">
        <v>908</v>
      </c>
      <c r="AB163" s="52" t="s">
        <v>920</v>
      </c>
      <c r="AC163" s="53" t="s">
        <v>911</v>
      </c>
      <c r="AD163" s="52" t="s">
        <v>920</v>
      </c>
      <c r="AE163" s="53" t="s">
        <v>914</v>
      </c>
      <c r="AF163" s="52" t="s">
        <v>920</v>
      </c>
      <c r="AG163" s="53" t="s">
        <v>917</v>
      </c>
    </row>
    <row r="164" spans="1:33" ht="7.5" customHeight="1" x14ac:dyDescent="0.2">
      <c r="A164" s="9">
        <v>164</v>
      </c>
      <c r="B164" s="13" t="s">
        <v>483</v>
      </c>
      <c r="C164" s="12" t="s">
        <v>779</v>
      </c>
      <c r="D164" s="52" t="s">
        <v>720</v>
      </c>
      <c r="E164" s="53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727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52" t="s">
        <v>920</v>
      </c>
      <c r="Y164" s="53" t="s">
        <v>904</v>
      </c>
      <c r="Z164" s="52" t="s">
        <v>920</v>
      </c>
      <c r="AA164" s="53" t="s">
        <v>908</v>
      </c>
      <c r="AB164" s="52" t="s">
        <v>920</v>
      </c>
      <c r="AC164" s="53" t="s">
        <v>911</v>
      </c>
      <c r="AD164" s="52" t="s">
        <v>920</v>
      </c>
      <c r="AE164" s="53" t="s">
        <v>914</v>
      </c>
      <c r="AF164" s="52" t="s">
        <v>920</v>
      </c>
      <c r="AG164" s="53" t="s">
        <v>917</v>
      </c>
    </row>
    <row r="165" spans="1:33" ht="7.5" customHeight="1" x14ac:dyDescent="0.2">
      <c r="A165" s="9">
        <v>165</v>
      </c>
      <c r="B165" s="13" t="s">
        <v>484</v>
      </c>
      <c r="C165" s="12" t="s">
        <v>779</v>
      </c>
      <c r="D165" s="52" t="s">
        <v>720</v>
      </c>
      <c r="E165" s="53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727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52" t="s">
        <v>920</v>
      </c>
      <c r="Y165" s="53" t="s">
        <v>904</v>
      </c>
      <c r="Z165" s="52" t="s">
        <v>920</v>
      </c>
      <c r="AA165" s="53" t="s">
        <v>908</v>
      </c>
      <c r="AB165" s="52" t="s">
        <v>920</v>
      </c>
      <c r="AC165" s="53" t="s">
        <v>911</v>
      </c>
      <c r="AD165" s="52" t="s">
        <v>920</v>
      </c>
      <c r="AE165" s="53" t="s">
        <v>914</v>
      </c>
      <c r="AF165" s="52" t="s">
        <v>920</v>
      </c>
      <c r="AG165" s="53" t="s">
        <v>917</v>
      </c>
    </row>
    <row r="166" spans="1:33" ht="7.5" customHeight="1" x14ac:dyDescent="0.2">
      <c r="A166" s="9">
        <v>166</v>
      </c>
      <c r="B166" s="13" t="s">
        <v>485</v>
      </c>
      <c r="C166" s="12" t="s">
        <v>779</v>
      </c>
      <c r="D166" s="52" t="s">
        <v>720</v>
      </c>
      <c r="E166" s="53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727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52" t="s">
        <v>920</v>
      </c>
      <c r="Y166" s="53" t="s">
        <v>904</v>
      </c>
      <c r="Z166" s="52" t="s">
        <v>920</v>
      </c>
      <c r="AA166" s="53" t="s">
        <v>908</v>
      </c>
      <c r="AB166" s="52" t="s">
        <v>920</v>
      </c>
      <c r="AC166" s="53" t="s">
        <v>911</v>
      </c>
      <c r="AD166" s="52" t="s">
        <v>920</v>
      </c>
      <c r="AE166" s="53" t="s">
        <v>914</v>
      </c>
      <c r="AF166" s="52" t="s">
        <v>920</v>
      </c>
      <c r="AG166" s="53" t="s">
        <v>917</v>
      </c>
    </row>
    <row r="167" spans="1:33" ht="7.5" customHeight="1" x14ac:dyDescent="0.2">
      <c r="A167" s="9">
        <v>167</v>
      </c>
      <c r="B167" s="13" t="s">
        <v>486</v>
      </c>
      <c r="C167" s="12" t="s">
        <v>779</v>
      </c>
      <c r="D167" s="52" t="s">
        <v>720</v>
      </c>
      <c r="E167" s="53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727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52" t="s">
        <v>920</v>
      </c>
      <c r="Y167" s="53" t="s">
        <v>904</v>
      </c>
      <c r="Z167" s="52" t="s">
        <v>920</v>
      </c>
      <c r="AA167" s="53" t="s">
        <v>908</v>
      </c>
      <c r="AB167" s="52" t="s">
        <v>920</v>
      </c>
      <c r="AC167" s="53" t="s">
        <v>911</v>
      </c>
      <c r="AD167" s="52" t="s">
        <v>920</v>
      </c>
      <c r="AE167" s="53" t="s">
        <v>914</v>
      </c>
      <c r="AF167" s="52" t="s">
        <v>920</v>
      </c>
      <c r="AG167" s="53" t="s">
        <v>917</v>
      </c>
    </row>
    <row r="168" spans="1:33" ht="7.5" customHeight="1" x14ac:dyDescent="0.2">
      <c r="A168" s="9">
        <v>168</v>
      </c>
      <c r="B168" s="13" t="s">
        <v>487</v>
      </c>
      <c r="C168" s="12" t="s">
        <v>779</v>
      </c>
      <c r="D168" s="52" t="s">
        <v>720</v>
      </c>
      <c r="E168" s="53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727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52" t="s">
        <v>920</v>
      </c>
      <c r="Y168" s="53" t="s">
        <v>904</v>
      </c>
      <c r="Z168" s="52" t="s">
        <v>920</v>
      </c>
      <c r="AA168" s="53" t="s">
        <v>908</v>
      </c>
      <c r="AB168" s="52" t="s">
        <v>920</v>
      </c>
      <c r="AC168" s="53" t="s">
        <v>911</v>
      </c>
      <c r="AD168" s="52" t="s">
        <v>920</v>
      </c>
      <c r="AE168" s="53" t="s">
        <v>914</v>
      </c>
      <c r="AF168" s="52" t="s">
        <v>920</v>
      </c>
      <c r="AG168" s="53" t="s">
        <v>917</v>
      </c>
    </row>
    <row r="169" spans="1:33" ht="7.5" customHeight="1" x14ac:dyDescent="0.2">
      <c r="A169" s="9">
        <v>169</v>
      </c>
      <c r="B169" s="13" t="s">
        <v>488</v>
      </c>
      <c r="C169" s="12" t="s">
        <v>779</v>
      </c>
      <c r="D169" s="52" t="s">
        <v>720</v>
      </c>
      <c r="E169" s="53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727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52" t="s">
        <v>920</v>
      </c>
      <c r="Y169" s="53" t="s">
        <v>904</v>
      </c>
      <c r="Z169" s="52" t="s">
        <v>920</v>
      </c>
      <c r="AA169" s="53" t="s">
        <v>908</v>
      </c>
      <c r="AB169" s="52" t="s">
        <v>920</v>
      </c>
      <c r="AC169" s="53" t="s">
        <v>911</v>
      </c>
      <c r="AD169" s="52" t="s">
        <v>920</v>
      </c>
      <c r="AE169" s="53" t="s">
        <v>914</v>
      </c>
      <c r="AF169" s="52" t="s">
        <v>920</v>
      </c>
      <c r="AG169" s="53" t="s">
        <v>917</v>
      </c>
    </row>
    <row r="170" spans="1:33" ht="7.5" customHeight="1" x14ac:dyDescent="0.2">
      <c r="A170" s="9">
        <v>170</v>
      </c>
      <c r="B170" s="13" t="s">
        <v>489</v>
      </c>
      <c r="C170" s="12" t="s">
        <v>779</v>
      </c>
      <c r="D170" s="52" t="s">
        <v>720</v>
      </c>
      <c r="E170" s="53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727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52" t="s">
        <v>920</v>
      </c>
      <c r="Y170" s="53" t="s">
        <v>904</v>
      </c>
      <c r="Z170" s="52" t="s">
        <v>920</v>
      </c>
      <c r="AA170" s="53" t="s">
        <v>908</v>
      </c>
      <c r="AB170" s="52" t="s">
        <v>920</v>
      </c>
      <c r="AC170" s="53" t="s">
        <v>911</v>
      </c>
      <c r="AD170" s="52" t="s">
        <v>920</v>
      </c>
      <c r="AE170" s="53" t="s">
        <v>914</v>
      </c>
      <c r="AF170" s="52" t="s">
        <v>920</v>
      </c>
      <c r="AG170" s="53" t="s">
        <v>917</v>
      </c>
    </row>
    <row r="171" spans="1:33" ht="7.5" customHeight="1" x14ac:dyDescent="0.2">
      <c r="A171" s="9">
        <v>171</v>
      </c>
      <c r="B171" s="13" t="s">
        <v>490</v>
      </c>
      <c r="C171" s="12" t="s">
        <v>779</v>
      </c>
      <c r="D171" s="52" t="s">
        <v>720</v>
      </c>
      <c r="E171" s="53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727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52" t="s">
        <v>920</v>
      </c>
      <c r="Y171" s="53" t="s">
        <v>904</v>
      </c>
      <c r="Z171" s="52" t="s">
        <v>920</v>
      </c>
      <c r="AA171" s="53" t="s">
        <v>908</v>
      </c>
      <c r="AB171" s="52" t="s">
        <v>920</v>
      </c>
      <c r="AC171" s="53" t="s">
        <v>911</v>
      </c>
      <c r="AD171" s="52" t="s">
        <v>920</v>
      </c>
      <c r="AE171" s="53" t="s">
        <v>914</v>
      </c>
      <c r="AF171" s="52" t="s">
        <v>920</v>
      </c>
      <c r="AG171" s="53" t="s">
        <v>917</v>
      </c>
    </row>
    <row r="172" spans="1:33" ht="7.5" customHeight="1" x14ac:dyDescent="0.2">
      <c r="A172" s="9">
        <v>172</v>
      </c>
      <c r="B172" s="13" t="s">
        <v>491</v>
      </c>
      <c r="C172" s="12" t="s">
        <v>779</v>
      </c>
      <c r="D172" s="52" t="s">
        <v>720</v>
      </c>
      <c r="E172" s="53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727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52" t="s">
        <v>920</v>
      </c>
      <c r="Y172" s="53" t="s">
        <v>904</v>
      </c>
      <c r="Z172" s="52" t="s">
        <v>920</v>
      </c>
      <c r="AA172" s="53" t="s">
        <v>908</v>
      </c>
      <c r="AB172" s="52" t="s">
        <v>920</v>
      </c>
      <c r="AC172" s="53" t="s">
        <v>911</v>
      </c>
      <c r="AD172" s="52" t="s">
        <v>920</v>
      </c>
      <c r="AE172" s="53" t="s">
        <v>914</v>
      </c>
      <c r="AF172" s="52" t="s">
        <v>920</v>
      </c>
      <c r="AG172" s="53" t="s">
        <v>917</v>
      </c>
    </row>
    <row r="173" spans="1:33" ht="7.5" customHeight="1" x14ac:dyDescent="0.2">
      <c r="A173" s="9">
        <v>173</v>
      </c>
      <c r="B173" s="13" t="s">
        <v>492</v>
      </c>
      <c r="C173" s="12" t="s">
        <v>779</v>
      </c>
      <c r="D173" s="52" t="s">
        <v>720</v>
      </c>
      <c r="E173" s="53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727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52" t="s">
        <v>920</v>
      </c>
      <c r="Y173" s="53" t="s">
        <v>904</v>
      </c>
      <c r="Z173" s="52" t="s">
        <v>920</v>
      </c>
      <c r="AA173" s="53" t="s">
        <v>908</v>
      </c>
      <c r="AB173" s="52" t="s">
        <v>920</v>
      </c>
      <c r="AC173" s="53" t="s">
        <v>911</v>
      </c>
      <c r="AD173" s="52" t="s">
        <v>920</v>
      </c>
      <c r="AE173" s="53" t="s">
        <v>914</v>
      </c>
      <c r="AF173" s="52" t="s">
        <v>920</v>
      </c>
      <c r="AG173" s="53" t="s">
        <v>917</v>
      </c>
    </row>
    <row r="174" spans="1:33" ht="7.5" customHeight="1" x14ac:dyDescent="0.2">
      <c r="A174" s="9">
        <v>174</v>
      </c>
      <c r="B174" s="13" t="s">
        <v>493</v>
      </c>
      <c r="C174" s="12" t="s">
        <v>779</v>
      </c>
      <c r="D174" s="52" t="s">
        <v>720</v>
      </c>
      <c r="E174" s="53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727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52" t="s">
        <v>920</v>
      </c>
      <c r="Y174" s="53" t="s">
        <v>904</v>
      </c>
      <c r="Z174" s="52" t="s">
        <v>920</v>
      </c>
      <c r="AA174" s="53" t="s">
        <v>908</v>
      </c>
      <c r="AB174" s="52" t="s">
        <v>920</v>
      </c>
      <c r="AC174" s="53" t="s">
        <v>911</v>
      </c>
      <c r="AD174" s="52" t="s">
        <v>920</v>
      </c>
      <c r="AE174" s="53" t="s">
        <v>914</v>
      </c>
      <c r="AF174" s="52" t="s">
        <v>920</v>
      </c>
      <c r="AG174" s="53" t="s">
        <v>917</v>
      </c>
    </row>
    <row r="175" spans="1:33" ht="7.5" customHeight="1" x14ac:dyDescent="0.2">
      <c r="A175" s="9">
        <v>175</v>
      </c>
      <c r="B175" s="13" t="s">
        <v>494</v>
      </c>
      <c r="C175" s="12" t="s">
        <v>779</v>
      </c>
      <c r="D175" s="52" t="s">
        <v>720</v>
      </c>
      <c r="E175" s="53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727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52" t="s">
        <v>920</v>
      </c>
      <c r="Y175" s="53" t="s">
        <v>904</v>
      </c>
      <c r="Z175" s="52" t="s">
        <v>920</v>
      </c>
      <c r="AA175" s="53" t="s">
        <v>908</v>
      </c>
      <c r="AB175" s="52" t="s">
        <v>920</v>
      </c>
      <c r="AC175" s="53" t="s">
        <v>911</v>
      </c>
      <c r="AD175" s="52" t="s">
        <v>920</v>
      </c>
      <c r="AE175" s="53" t="s">
        <v>914</v>
      </c>
      <c r="AF175" s="52" t="s">
        <v>920</v>
      </c>
      <c r="AG175" s="53" t="s">
        <v>917</v>
      </c>
    </row>
    <row r="176" spans="1:33" ht="7.5" customHeight="1" x14ac:dyDescent="0.2">
      <c r="A176" s="9">
        <v>176</v>
      </c>
      <c r="B176" s="13" t="s">
        <v>495</v>
      </c>
      <c r="C176" s="12" t="s">
        <v>779</v>
      </c>
      <c r="D176" s="52" t="s">
        <v>720</v>
      </c>
      <c r="E176" s="53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727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52" t="s">
        <v>920</v>
      </c>
      <c r="Y176" s="53" t="s">
        <v>904</v>
      </c>
      <c r="Z176" s="52" t="s">
        <v>920</v>
      </c>
      <c r="AA176" s="53" t="s">
        <v>908</v>
      </c>
      <c r="AB176" s="52" t="s">
        <v>920</v>
      </c>
      <c r="AC176" s="53" t="s">
        <v>911</v>
      </c>
      <c r="AD176" s="52" t="s">
        <v>920</v>
      </c>
      <c r="AE176" s="53" t="s">
        <v>914</v>
      </c>
      <c r="AF176" s="52" t="s">
        <v>920</v>
      </c>
      <c r="AG176" s="53" t="s">
        <v>917</v>
      </c>
    </row>
    <row r="177" spans="1:33" ht="7.5" customHeight="1" x14ac:dyDescent="0.2">
      <c r="A177" s="9">
        <v>177</v>
      </c>
      <c r="B177" s="13" t="s">
        <v>496</v>
      </c>
      <c r="C177" s="12" t="s">
        <v>779</v>
      </c>
      <c r="D177" s="52" t="s">
        <v>720</v>
      </c>
      <c r="E177" s="53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727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52" t="s">
        <v>920</v>
      </c>
      <c r="Y177" s="53" t="s">
        <v>904</v>
      </c>
      <c r="Z177" s="52" t="s">
        <v>920</v>
      </c>
      <c r="AA177" s="53" t="s">
        <v>908</v>
      </c>
      <c r="AB177" s="52" t="s">
        <v>920</v>
      </c>
      <c r="AC177" s="53" t="s">
        <v>911</v>
      </c>
      <c r="AD177" s="52" t="s">
        <v>920</v>
      </c>
      <c r="AE177" s="53" t="s">
        <v>914</v>
      </c>
      <c r="AF177" s="52" t="s">
        <v>920</v>
      </c>
      <c r="AG177" s="53" t="s">
        <v>917</v>
      </c>
    </row>
    <row r="178" spans="1:33" ht="7.5" customHeight="1" x14ac:dyDescent="0.2">
      <c r="A178" s="9">
        <v>178</v>
      </c>
      <c r="B178" s="13" t="s">
        <v>497</v>
      </c>
      <c r="C178" s="12" t="s">
        <v>779</v>
      </c>
      <c r="D178" s="52" t="s">
        <v>720</v>
      </c>
      <c r="E178" s="53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727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52" t="s">
        <v>920</v>
      </c>
      <c r="Y178" s="53" t="s">
        <v>904</v>
      </c>
      <c r="Z178" s="52" t="s">
        <v>920</v>
      </c>
      <c r="AA178" s="53" t="s">
        <v>908</v>
      </c>
      <c r="AB178" s="52" t="s">
        <v>920</v>
      </c>
      <c r="AC178" s="53" t="s">
        <v>911</v>
      </c>
      <c r="AD178" s="52" t="s">
        <v>920</v>
      </c>
      <c r="AE178" s="53" t="s">
        <v>914</v>
      </c>
      <c r="AF178" s="52" t="s">
        <v>920</v>
      </c>
      <c r="AG178" s="53" t="s">
        <v>917</v>
      </c>
    </row>
    <row r="179" spans="1:33" ht="7.5" customHeight="1" x14ac:dyDescent="0.2">
      <c r="A179" s="9">
        <v>179</v>
      </c>
      <c r="B179" s="13" t="s">
        <v>498</v>
      </c>
      <c r="C179" s="12" t="s">
        <v>780</v>
      </c>
      <c r="D179" s="52" t="s">
        <v>720</v>
      </c>
      <c r="E179" s="53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728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52" t="s">
        <v>920</v>
      </c>
      <c r="Y179" s="53" t="s">
        <v>904</v>
      </c>
      <c r="Z179" s="52" t="s">
        <v>920</v>
      </c>
      <c r="AA179" s="53" t="s">
        <v>908</v>
      </c>
      <c r="AB179" s="52" t="s">
        <v>920</v>
      </c>
      <c r="AC179" s="53" t="s">
        <v>911</v>
      </c>
      <c r="AD179" s="52" t="s">
        <v>920</v>
      </c>
      <c r="AE179" s="53" t="s">
        <v>914</v>
      </c>
      <c r="AF179" s="52" t="s">
        <v>920</v>
      </c>
      <c r="AG179" s="53" t="s">
        <v>917</v>
      </c>
    </row>
    <row r="180" spans="1:33" ht="7.5" customHeight="1" x14ac:dyDescent="0.2">
      <c r="A180" s="9">
        <v>180</v>
      </c>
      <c r="B180" s="13" t="s">
        <v>499</v>
      </c>
      <c r="C180" s="12" t="s">
        <v>780</v>
      </c>
      <c r="D180" s="52" t="s">
        <v>720</v>
      </c>
      <c r="E180" s="53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728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52" t="s">
        <v>920</v>
      </c>
      <c r="Y180" s="53" t="s">
        <v>904</v>
      </c>
      <c r="Z180" s="52" t="s">
        <v>920</v>
      </c>
      <c r="AA180" s="53" t="s">
        <v>908</v>
      </c>
      <c r="AB180" s="52" t="s">
        <v>920</v>
      </c>
      <c r="AC180" s="53" t="s">
        <v>911</v>
      </c>
      <c r="AD180" s="52" t="s">
        <v>920</v>
      </c>
      <c r="AE180" s="53" t="s">
        <v>914</v>
      </c>
      <c r="AF180" s="52" t="s">
        <v>920</v>
      </c>
      <c r="AG180" s="53" t="s">
        <v>917</v>
      </c>
    </row>
    <row r="181" spans="1:33" ht="7.5" customHeight="1" x14ac:dyDescent="0.2">
      <c r="A181" s="9">
        <v>181</v>
      </c>
      <c r="B181" s="13" t="s">
        <v>500</v>
      </c>
      <c r="C181" s="12" t="s">
        <v>780</v>
      </c>
      <c r="D181" s="52" t="s">
        <v>720</v>
      </c>
      <c r="E181" s="53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728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52" t="s">
        <v>920</v>
      </c>
      <c r="Y181" s="53" t="s">
        <v>904</v>
      </c>
      <c r="Z181" s="52" t="s">
        <v>920</v>
      </c>
      <c r="AA181" s="53" t="s">
        <v>908</v>
      </c>
      <c r="AB181" s="52" t="s">
        <v>920</v>
      </c>
      <c r="AC181" s="53" t="s">
        <v>911</v>
      </c>
      <c r="AD181" s="52" t="s">
        <v>920</v>
      </c>
      <c r="AE181" s="53" t="s">
        <v>914</v>
      </c>
      <c r="AF181" s="52" t="s">
        <v>920</v>
      </c>
      <c r="AG181" s="53" t="s">
        <v>917</v>
      </c>
    </row>
    <row r="182" spans="1:33" ht="7.5" customHeight="1" x14ac:dyDescent="0.2">
      <c r="A182" s="9">
        <v>182</v>
      </c>
      <c r="B182" s="13" t="s">
        <v>501</v>
      </c>
      <c r="C182" s="12" t="s">
        <v>780</v>
      </c>
      <c r="D182" s="52" t="s">
        <v>720</v>
      </c>
      <c r="E182" s="53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728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52" t="s">
        <v>920</v>
      </c>
      <c r="Y182" s="53" t="s">
        <v>904</v>
      </c>
      <c r="Z182" s="52" t="s">
        <v>920</v>
      </c>
      <c r="AA182" s="53" t="s">
        <v>908</v>
      </c>
      <c r="AB182" s="52" t="s">
        <v>920</v>
      </c>
      <c r="AC182" s="53" t="s">
        <v>911</v>
      </c>
      <c r="AD182" s="52" t="s">
        <v>920</v>
      </c>
      <c r="AE182" s="53" t="s">
        <v>914</v>
      </c>
      <c r="AF182" s="52" t="s">
        <v>920</v>
      </c>
      <c r="AG182" s="53" t="s">
        <v>917</v>
      </c>
    </row>
    <row r="183" spans="1:33" ht="7.5" customHeight="1" x14ac:dyDescent="0.2">
      <c r="A183" s="9">
        <v>183</v>
      </c>
      <c r="B183" s="13" t="s">
        <v>502</v>
      </c>
      <c r="C183" s="12" t="s">
        <v>780</v>
      </c>
      <c r="D183" s="52" t="s">
        <v>720</v>
      </c>
      <c r="E183" s="53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728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52" t="s">
        <v>920</v>
      </c>
      <c r="Y183" s="53" t="s">
        <v>904</v>
      </c>
      <c r="Z183" s="52" t="s">
        <v>920</v>
      </c>
      <c r="AA183" s="53" t="s">
        <v>908</v>
      </c>
      <c r="AB183" s="52" t="s">
        <v>920</v>
      </c>
      <c r="AC183" s="53" t="s">
        <v>911</v>
      </c>
      <c r="AD183" s="52" t="s">
        <v>920</v>
      </c>
      <c r="AE183" s="53" t="s">
        <v>914</v>
      </c>
      <c r="AF183" s="52" t="s">
        <v>920</v>
      </c>
      <c r="AG183" s="53" t="s">
        <v>917</v>
      </c>
    </row>
    <row r="184" spans="1:33" ht="7.5" customHeight="1" x14ac:dyDescent="0.2">
      <c r="A184" s="9">
        <v>184</v>
      </c>
      <c r="B184" s="13" t="s">
        <v>503</v>
      </c>
      <c r="C184" s="12" t="s">
        <v>780</v>
      </c>
      <c r="D184" s="52" t="s">
        <v>720</v>
      </c>
      <c r="E184" s="53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728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52" t="s">
        <v>920</v>
      </c>
      <c r="Y184" s="53" t="s">
        <v>904</v>
      </c>
      <c r="Z184" s="52" t="s">
        <v>920</v>
      </c>
      <c r="AA184" s="53" t="s">
        <v>908</v>
      </c>
      <c r="AB184" s="52" t="s">
        <v>920</v>
      </c>
      <c r="AC184" s="53" t="s">
        <v>911</v>
      </c>
      <c r="AD184" s="52" t="s">
        <v>920</v>
      </c>
      <c r="AE184" s="53" t="s">
        <v>914</v>
      </c>
      <c r="AF184" s="52" t="s">
        <v>920</v>
      </c>
      <c r="AG184" s="53" t="s">
        <v>917</v>
      </c>
    </row>
    <row r="185" spans="1:33" ht="7.5" customHeight="1" x14ac:dyDescent="0.2">
      <c r="A185" s="9">
        <v>185</v>
      </c>
      <c r="B185" s="13" t="s">
        <v>504</v>
      </c>
      <c r="C185" s="12" t="s">
        <v>780</v>
      </c>
      <c r="D185" s="52" t="s">
        <v>720</v>
      </c>
      <c r="E185" s="53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728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52" t="s">
        <v>920</v>
      </c>
      <c r="Y185" s="53" t="s">
        <v>904</v>
      </c>
      <c r="Z185" s="52" t="s">
        <v>920</v>
      </c>
      <c r="AA185" s="53" t="s">
        <v>908</v>
      </c>
      <c r="AB185" s="52" t="s">
        <v>920</v>
      </c>
      <c r="AC185" s="53" t="s">
        <v>911</v>
      </c>
      <c r="AD185" s="52" t="s">
        <v>920</v>
      </c>
      <c r="AE185" s="53" t="s">
        <v>914</v>
      </c>
      <c r="AF185" s="52" t="s">
        <v>920</v>
      </c>
      <c r="AG185" s="53" t="s">
        <v>917</v>
      </c>
    </row>
    <row r="186" spans="1:33" ht="7.5" customHeight="1" x14ac:dyDescent="0.2">
      <c r="A186" s="9">
        <v>186</v>
      </c>
      <c r="B186" s="13" t="s">
        <v>505</v>
      </c>
      <c r="C186" s="12" t="s">
        <v>780</v>
      </c>
      <c r="D186" s="52" t="s">
        <v>720</v>
      </c>
      <c r="E186" s="53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728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52" t="s">
        <v>920</v>
      </c>
      <c r="Y186" s="53" t="s">
        <v>904</v>
      </c>
      <c r="Z186" s="52" t="s">
        <v>920</v>
      </c>
      <c r="AA186" s="53" t="s">
        <v>908</v>
      </c>
      <c r="AB186" s="52" t="s">
        <v>920</v>
      </c>
      <c r="AC186" s="53" t="s">
        <v>911</v>
      </c>
      <c r="AD186" s="52" t="s">
        <v>920</v>
      </c>
      <c r="AE186" s="53" t="s">
        <v>914</v>
      </c>
      <c r="AF186" s="52" t="s">
        <v>920</v>
      </c>
      <c r="AG186" s="53" t="s">
        <v>917</v>
      </c>
    </row>
    <row r="187" spans="1:33" ht="7.5" customHeight="1" x14ac:dyDescent="0.2">
      <c r="A187" s="9">
        <v>187</v>
      </c>
      <c r="B187" s="13" t="s">
        <v>506</v>
      </c>
      <c r="C187" s="12" t="s">
        <v>780</v>
      </c>
      <c r="D187" s="52" t="s">
        <v>720</v>
      </c>
      <c r="E187" s="53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728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52" t="s">
        <v>920</v>
      </c>
      <c r="Y187" s="53" t="s">
        <v>904</v>
      </c>
      <c r="Z187" s="52" t="s">
        <v>920</v>
      </c>
      <c r="AA187" s="53" t="s">
        <v>908</v>
      </c>
      <c r="AB187" s="52" t="s">
        <v>920</v>
      </c>
      <c r="AC187" s="53" t="s">
        <v>911</v>
      </c>
      <c r="AD187" s="52" t="s">
        <v>920</v>
      </c>
      <c r="AE187" s="53" t="s">
        <v>914</v>
      </c>
      <c r="AF187" s="52" t="s">
        <v>920</v>
      </c>
      <c r="AG187" s="53" t="s">
        <v>917</v>
      </c>
    </row>
    <row r="188" spans="1:33" ht="7.5" customHeight="1" x14ac:dyDescent="0.2">
      <c r="A188" s="9">
        <v>188</v>
      </c>
      <c r="B188" s="13" t="s">
        <v>507</v>
      </c>
      <c r="C188" s="12" t="s">
        <v>780</v>
      </c>
      <c r="D188" s="52" t="s">
        <v>720</v>
      </c>
      <c r="E188" s="53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728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52" t="s">
        <v>920</v>
      </c>
      <c r="Y188" s="53" t="s">
        <v>904</v>
      </c>
      <c r="Z188" s="52" t="s">
        <v>920</v>
      </c>
      <c r="AA188" s="53" t="s">
        <v>908</v>
      </c>
      <c r="AB188" s="52" t="s">
        <v>920</v>
      </c>
      <c r="AC188" s="53" t="s">
        <v>911</v>
      </c>
      <c r="AD188" s="52" t="s">
        <v>920</v>
      </c>
      <c r="AE188" s="53" t="s">
        <v>914</v>
      </c>
      <c r="AF188" s="52" t="s">
        <v>920</v>
      </c>
      <c r="AG188" s="53" t="s">
        <v>917</v>
      </c>
    </row>
    <row r="189" spans="1:33" ht="7.5" customHeight="1" x14ac:dyDescent="0.2">
      <c r="A189" s="9">
        <v>189</v>
      </c>
      <c r="B189" s="13" t="s">
        <v>508</v>
      </c>
      <c r="C189" s="12" t="s">
        <v>780</v>
      </c>
      <c r="D189" s="52" t="s">
        <v>720</v>
      </c>
      <c r="E189" s="53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728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52" t="s">
        <v>920</v>
      </c>
      <c r="Y189" s="53" t="s">
        <v>904</v>
      </c>
      <c r="Z189" s="52" t="s">
        <v>920</v>
      </c>
      <c r="AA189" s="53" t="s">
        <v>908</v>
      </c>
      <c r="AB189" s="52" t="s">
        <v>920</v>
      </c>
      <c r="AC189" s="53" t="s">
        <v>911</v>
      </c>
      <c r="AD189" s="52" t="s">
        <v>920</v>
      </c>
      <c r="AE189" s="53" t="s">
        <v>914</v>
      </c>
      <c r="AF189" s="52" t="s">
        <v>920</v>
      </c>
      <c r="AG189" s="53" t="s">
        <v>917</v>
      </c>
    </row>
    <row r="190" spans="1:33" ht="7.5" customHeight="1" x14ac:dyDescent="0.2">
      <c r="A190" s="9">
        <v>190</v>
      </c>
      <c r="B190" s="13" t="s">
        <v>509</v>
      </c>
      <c r="C190" s="12" t="s">
        <v>780</v>
      </c>
      <c r="D190" s="52" t="s">
        <v>720</v>
      </c>
      <c r="E190" s="53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728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52" t="s">
        <v>920</v>
      </c>
      <c r="Y190" s="53" t="s">
        <v>904</v>
      </c>
      <c r="Z190" s="52" t="s">
        <v>920</v>
      </c>
      <c r="AA190" s="53" t="s">
        <v>908</v>
      </c>
      <c r="AB190" s="52" t="s">
        <v>920</v>
      </c>
      <c r="AC190" s="53" t="s">
        <v>911</v>
      </c>
      <c r="AD190" s="52" t="s">
        <v>920</v>
      </c>
      <c r="AE190" s="53" t="s">
        <v>914</v>
      </c>
      <c r="AF190" s="52" t="s">
        <v>920</v>
      </c>
      <c r="AG190" s="53" t="s">
        <v>917</v>
      </c>
    </row>
    <row r="191" spans="1:33" ht="7.5" customHeight="1" x14ac:dyDescent="0.2">
      <c r="A191" s="9">
        <v>191</v>
      </c>
      <c r="B191" s="13" t="s">
        <v>510</v>
      </c>
      <c r="C191" s="12" t="s">
        <v>780</v>
      </c>
      <c r="D191" s="52" t="s">
        <v>720</v>
      </c>
      <c r="E191" s="53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728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52" t="s">
        <v>920</v>
      </c>
      <c r="Y191" s="53" t="s">
        <v>904</v>
      </c>
      <c r="Z191" s="52" t="s">
        <v>920</v>
      </c>
      <c r="AA191" s="53" t="s">
        <v>908</v>
      </c>
      <c r="AB191" s="52" t="s">
        <v>920</v>
      </c>
      <c r="AC191" s="53" t="s">
        <v>911</v>
      </c>
      <c r="AD191" s="52" t="s">
        <v>920</v>
      </c>
      <c r="AE191" s="53" t="s">
        <v>914</v>
      </c>
      <c r="AF191" s="52" t="s">
        <v>920</v>
      </c>
      <c r="AG191" s="53" t="s">
        <v>917</v>
      </c>
    </row>
    <row r="192" spans="1:33" ht="7.5" customHeight="1" x14ac:dyDescent="0.2">
      <c r="A192" s="9">
        <v>192</v>
      </c>
      <c r="B192" s="13" t="s">
        <v>511</v>
      </c>
      <c r="C192" s="12" t="s">
        <v>780</v>
      </c>
      <c r="D192" s="52" t="s">
        <v>720</v>
      </c>
      <c r="E192" s="53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728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52" t="s">
        <v>920</v>
      </c>
      <c r="Y192" s="53" t="s">
        <v>904</v>
      </c>
      <c r="Z192" s="52" t="s">
        <v>920</v>
      </c>
      <c r="AA192" s="53" t="s">
        <v>908</v>
      </c>
      <c r="AB192" s="52" t="s">
        <v>920</v>
      </c>
      <c r="AC192" s="53" t="s">
        <v>911</v>
      </c>
      <c r="AD192" s="52" t="s">
        <v>920</v>
      </c>
      <c r="AE192" s="53" t="s">
        <v>914</v>
      </c>
      <c r="AF192" s="52" t="s">
        <v>920</v>
      </c>
      <c r="AG192" s="53" t="s">
        <v>917</v>
      </c>
    </row>
    <row r="193" spans="1:33" ht="7.5" customHeight="1" x14ac:dyDescent="0.2">
      <c r="A193" s="9">
        <v>193</v>
      </c>
      <c r="B193" s="13" t="s">
        <v>512</v>
      </c>
      <c r="C193" s="12" t="s">
        <v>780</v>
      </c>
      <c r="D193" s="52" t="s">
        <v>720</v>
      </c>
      <c r="E193" s="53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728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52" t="s">
        <v>920</v>
      </c>
      <c r="Y193" s="53" t="s">
        <v>904</v>
      </c>
      <c r="Z193" s="52" t="s">
        <v>920</v>
      </c>
      <c r="AA193" s="53" t="s">
        <v>908</v>
      </c>
      <c r="AB193" s="52" t="s">
        <v>920</v>
      </c>
      <c r="AC193" s="53" t="s">
        <v>911</v>
      </c>
      <c r="AD193" s="52" t="s">
        <v>920</v>
      </c>
      <c r="AE193" s="53" t="s">
        <v>914</v>
      </c>
      <c r="AF193" s="52" t="s">
        <v>920</v>
      </c>
      <c r="AG193" s="53" t="s">
        <v>917</v>
      </c>
    </row>
    <row r="194" spans="1:33" ht="7.5" customHeight="1" x14ac:dyDescent="0.2">
      <c r="A194" s="9">
        <v>194</v>
      </c>
      <c r="B194" s="13" t="s">
        <v>513</v>
      </c>
      <c r="C194" s="12" t="s">
        <v>780</v>
      </c>
      <c r="D194" s="52" t="s">
        <v>720</v>
      </c>
      <c r="E194" s="53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728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52" t="s">
        <v>920</v>
      </c>
      <c r="Y194" s="53" t="s">
        <v>904</v>
      </c>
      <c r="Z194" s="52" t="s">
        <v>920</v>
      </c>
      <c r="AA194" s="53" t="s">
        <v>908</v>
      </c>
      <c r="AB194" s="52" t="s">
        <v>920</v>
      </c>
      <c r="AC194" s="53" t="s">
        <v>911</v>
      </c>
      <c r="AD194" s="52" t="s">
        <v>920</v>
      </c>
      <c r="AE194" s="53" t="s">
        <v>914</v>
      </c>
      <c r="AF194" s="52" t="s">
        <v>920</v>
      </c>
      <c r="AG194" s="53" t="s">
        <v>917</v>
      </c>
    </row>
    <row r="195" spans="1:33" ht="7.5" customHeight="1" x14ac:dyDescent="0.2">
      <c r="A195" s="9">
        <v>195</v>
      </c>
      <c r="B195" s="13" t="s">
        <v>514</v>
      </c>
      <c r="C195" s="12" t="s">
        <v>780</v>
      </c>
      <c r="D195" s="52" t="s">
        <v>720</v>
      </c>
      <c r="E195" s="53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728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52" t="s">
        <v>920</v>
      </c>
      <c r="Y195" s="53" t="s">
        <v>904</v>
      </c>
      <c r="Z195" s="52" t="s">
        <v>920</v>
      </c>
      <c r="AA195" s="53" t="s">
        <v>908</v>
      </c>
      <c r="AB195" s="52" t="s">
        <v>920</v>
      </c>
      <c r="AC195" s="53" t="s">
        <v>911</v>
      </c>
      <c r="AD195" s="52" t="s">
        <v>920</v>
      </c>
      <c r="AE195" s="53" t="s">
        <v>914</v>
      </c>
      <c r="AF195" s="52" t="s">
        <v>920</v>
      </c>
      <c r="AG195" s="53" t="s">
        <v>917</v>
      </c>
    </row>
    <row r="196" spans="1:33" ht="7.5" customHeight="1" x14ac:dyDescent="0.2">
      <c r="A196" s="9">
        <v>196</v>
      </c>
      <c r="B196" s="13" t="s">
        <v>515</v>
      </c>
      <c r="C196" s="12" t="s">
        <v>780</v>
      </c>
      <c r="D196" s="52" t="s">
        <v>720</v>
      </c>
      <c r="E196" s="53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728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52" t="s">
        <v>920</v>
      </c>
      <c r="Y196" s="53" t="s">
        <v>904</v>
      </c>
      <c r="Z196" s="52" t="s">
        <v>920</v>
      </c>
      <c r="AA196" s="53" t="s">
        <v>908</v>
      </c>
      <c r="AB196" s="52" t="s">
        <v>920</v>
      </c>
      <c r="AC196" s="53" t="s">
        <v>911</v>
      </c>
      <c r="AD196" s="52" t="s">
        <v>920</v>
      </c>
      <c r="AE196" s="53" t="s">
        <v>914</v>
      </c>
      <c r="AF196" s="52" t="s">
        <v>920</v>
      </c>
      <c r="AG196" s="53" t="s">
        <v>917</v>
      </c>
    </row>
    <row r="197" spans="1:33" ht="7.5" customHeight="1" x14ac:dyDescent="0.2">
      <c r="A197" s="9">
        <v>197</v>
      </c>
      <c r="B197" s="13" t="s">
        <v>516</v>
      </c>
      <c r="C197" s="12" t="s">
        <v>780</v>
      </c>
      <c r="D197" s="52" t="s">
        <v>720</v>
      </c>
      <c r="E197" s="53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728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52" t="s">
        <v>920</v>
      </c>
      <c r="Y197" s="53" t="s">
        <v>904</v>
      </c>
      <c r="Z197" s="52" t="s">
        <v>920</v>
      </c>
      <c r="AA197" s="53" t="s">
        <v>908</v>
      </c>
      <c r="AB197" s="52" t="s">
        <v>920</v>
      </c>
      <c r="AC197" s="53" t="s">
        <v>911</v>
      </c>
      <c r="AD197" s="52" t="s">
        <v>920</v>
      </c>
      <c r="AE197" s="53" t="s">
        <v>914</v>
      </c>
      <c r="AF197" s="52" t="s">
        <v>920</v>
      </c>
      <c r="AG197" s="53" t="s">
        <v>917</v>
      </c>
    </row>
    <row r="198" spans="1:33" ht="7.5" customHeight="1" x14ac:dyDescent="0.2">
      <c r="A198" s="9">
        <v>198</v>
      </c>
      <c r="B198" s="13" t="s">
        <v>517</v>
      </c>
      <c r="C198" s="12" t="s">
        <v>780</v>
      </c>
      <c r="D198" s="52" t="s">
        <v>720</v>
      </c>
      <c r="E198" s="53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728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52" t="s">
        <v>920</v>
      </c>
      <c r="Y198" s="53" t="s">
        <v>904</v>
      </c>
      <c r="Z198" s="52" t="s">
        <v>920</v>
      </c>
      <c r="AA198" s="53" t="s">
        <v>908</v>
      </c>
      <c r="AB198" s="52" t="s">
        <v>920</v>
      </c>
      <c r="AC198" s="53" t="s">
        <v>911</v>
      </c>
      <c r="AD198" s="52" t="s">
        <v>920</v>
      </c>
      <c r="AE198" s="53" t="s">
        <v>914</v>
      </c>
      <c r="AF198" s="52" t="s">
        <v>920</v>
      </c>
      <c r="AG198" s="53" t="s">
        <v>917</v>
      </c>
    </row>
    <row r="199" spans="1:33" ht="7.5" customHeight="1" x14ac:dyDescent="0.2">
      <c r="A199" s="9">
        <v>199</v>
      </c>
      <c r="B199" s="13" t="s">
        <v>518</v>
      </c>
      <c r="C199" s="12" t="s">
        <v>780</v>
      </c>
      <c r="D199" s="52" t="s">
        <v>720</v>
      </c>
      <c r="E199" s="53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728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52" t="s">
        <v>920</v>
      </c>
      <c r="Y199" s="53" t="s">
        <v>904</v>
      </c>
      <c r="Z199" s="52" t="s">
        <v>920</v>
      </c>
      <c r="AA199" s="53" t="s">
        <v>908</v>
      </c>
      <c r="AB199" s="52" t="s">
        <v>920</v>
      </c>
      <c r="AC199" s="53" t="s">
        <v>911</v>
      </c>
      <c r="AD199" s="52" t="s">
        <v>920</v>
      </c>
      <c r="AE199" s="53" t="s">
        <v>914</v>
      </c>
      <c r="AF199" s="52" t="s">
        <v>920</v>
      </c>
      <c r="AG199" s="53" t="s">
        <v>917</v>
      </c>
    </row>
    <row r="200" spans="1:33" ht="7.5" customHeight="1" x14ac:dyDescent="0.2">
      <c r="A200" s="9">
        <v>200</v>
      </c>
      <c r="B200" s="13" t="s">
        <v>519</v>
      </c>
      <c r="C200" s="12" t="s">
        <v>780</v>
      </c>
      <c r="D200" s="52" t="s">
        <v>720</v>
      </c>
      <c r="E200" s="53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728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52" t="s">
        <v>920</v>
      </c>
      <c r="Y200" s="53" t="s">
        <v>904</v>
      </c>
      <c r="Z200" s="52" t="s">
        <v>920</v>
      </c>
      <c r="AA200" s="53" t="s">
        <v>908</v>
      </c>
      <c r="AB200" s="52" t="s">
        <v>920</v>
      </c>
      <c r="AC200" s="53" t="s">
        <v>911</v>
      </c>
      <c r="AD200" s="52" t="s">
        <v>920</v>
      </c>
      <c r="AE200" s="53" t="s">
        <v>914</v>
      </c>
      <c r="AF200" s="52" t="s">
        <v>920</v>
      </c>
      <c r="AG200" s="53" t="s">
        <v>917</v>
      </c>
    </row>
    <row r="201" spans="1:33" ht="7.5" customHeight="1" x14ac:dyDescent="0.2">
      <c r="A201" s="9">
        <v>201</v>
      </c>
      <c r="B201" s="13" t="s">
        <v>520</v>
      </c>
      <c r="C201" s="12" t="s">
        <v>780</v>
      </c>
      <c r="D201" s="52" t="s">
        <v>720</v>
      </c>
      <c r="E201" s="53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728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52" t="s">
        <v>920</v>
      </c>
      <c r="Y201" s="53" t="s">
        <v>904</v>
      </c>
      <c r="Z201" s="52" t="s">
        <v>920</v>
      </c>
      <c r="AA201" s="53" t="s">
        <v>908</v>
      </c>
      <c r="AB201" s="52" t="s">
        <v>920</v>
      </c>
      <c r="AC201" s="53" t="s">
        <v>911</v>
      </c>
      <c r="AD201" s="52" t="s">
        <v>920</v>
      </c>
      <c r="AE201" s="53" t="s">
        <v>914</v>
      </c>
      <c r="AF201" s="52" t="s">
        <v>920</v>
      </c>
      <c r="AG201" s="53" t="s">
        <v>917</v>
      </c>
    </row>
    <row r="202" spans="1:33" ht="7.5" customHeight="1" x14ac:dyDescent="0.2">
      <c r="A202" s="9">
        <v>202</v>
      </c>
      <c r="B202" s="13" t="s">
        <v>521</v>
      </c>
      <c r="C202" s="12" t="s">
        <v>780</v>
      </c>
      <c r="D202" s="52" t="s">
        <v>720</v>
      </c>
      <c r="E202" s="53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728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52" t="s">
        <v>920</v>
      </c>
      <c r="Y202" s="53" t="s">
        <v>904</v>
      </c>
      <c r="Z202" s="52" t="s">
        <v>920</v>
      </c>
      <c r="AA202" s="53" t="s">
        <v>908</v>
      </c>
      <c r="AB202" s="52" t="s">
        <v>920</v>
      </c>
      <c r="AC202" s="53" t="s">
        <v>911</v>
      </c>
      <c r="AD202" s="52" t="s">
        <v>920</v>
      </c>
      <c r="AE202" s="53" t="s">
        <v>914</v>
      </c>
      <c r="AF202" s="52" t="s">
        <v>920</v>
      </c>
      <c r="AG202" s="53" t="s">
        <v>917</v>
      </c>
    </row>
    <row r="203" spans="1:33" ht="7.5" customHeight="1" x14ac:dyDescent="0.2">
      <c r="A203" s="9">
        <v>203</v>
      </c>
      <c r="B203" s="13" t="s">
        <v>522</v>
      </c>
      <c r="C203" s="12" t="s">
        <v>780</v>
      </c>
      <c r="D203" s="52" t="s">
        <v>720</v>
      </c>
      <c r="E203" s="53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728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52" t="s">
        <v>920</v>
      </c>
      <c r="Y203" s="53" t="s">
        <v>904</v>
      </c>
      <c r="Z203" s="52" t="s">
        <v>920</v>
      </c>
      <c r="AA203" s="53" t="s">
        <v>908</v>
      </c>
      <c r="AB203" s="52" t="s">
        <v>920</v>
      </c>
      <c r="AC203" s="53" t="s">
        <v>911</v>
      </c>
      <c r="AD203" s="52" t="s">
        <v>920</v>
      </c>
      <c r="AE203" s="53" t="s">
        <v>914</v>
      </c>
      <c r="AF203" s="52" t="s">
        <v>920</v>
      </c>
      <c r="AG203" s="53" t="s">
        <v>917</v>
      </c>
    </row>
    <row r="204" spans="1:33" ht="7.5" customHeight="1" x14ac:dyDescent="0.2">
      <c r="A204" s="9">
        <v>204</v>
      </c>
      <c r="B204" s="13" t="s">
        <v>523</v>
      </c>
      <c r="C204" s="12" t="s">
        <v>780</v>
      </c>
      <c r="D204" s="52" t="s">
        <v>720</v>
      </c>
      <c r="E204" s="53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728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52" t="s">
        <v>920</v>
      </c>
      <c r="Y204" s="53" t="s">
        <v>904</v>
      </c>
      <c r="Z204" s="52" t="s">
        <v>920</v>
      </c>
      <c r="AA204" s="53" t="s">
        <v>908</v>
      </c>
      <c r="AB204" s="52" t="s">
        <v>920</v>
      </c>
      <c r="AC204" s="53" t="s">
        <v>911</v>
      </c>
      <c r="AD204" s="52" t="s">
        <v>920</v>
      </c>
      <c r="AE204" s="53" t="s">
        <v>914</v>
      </c>
      <c r="AF204" s="52" t="s">
        <v>920</v>
      </c>
      <c r="AG204" s="53" t="s">
        <v>917</v>
      </c>
    </row>
    <row r="205" spans="1:33" ht="7.5" customHeight="1" x14ac:dyDescent="0.2">
      <c r="A205" s="9">
        <v>205</v>
      </c>
      <c r="B205" s="13" t="s">
        <v>524</v>
      </c>
      <c r="C205" s="12" t="s">
        <v>780</v>
      </c>
      <c r="D205" s="52" t="s">
        <v>720</v>
      </c>
      <c r="E205" s="53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728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52" t="s">
        <v>920</v>
      </c>
      <c r="Y205" s="53" t="s">
        <v>904</v>
      </c>
      <c r="Z205" s="52" t="s">
        <v>920</v>
      </c>
      <c r="AA205" s="53" t="s">
        <v>908</v>
      </c>
      <c r="AB205" s="52" t="s">
        <v>920</v>
      </c>
      <c r="AC205" s="53" t="s">
        <v>911</v>
      </c>
      <c r="AD205" s="52" t="s">
        <v>920</v>
      </c>
      <c r="AE205" s="53" t="s">
        <v>914</v>
      </c>
      <c r="AF205" s="52" t="s">
        <v>920</v>
      </c>
      <c r="AG205" s="53" t="s">
        <v>917</v>
      </c>
    </row>
    <row r="206" spans="1:33" ht="7.5" customHeight="1" x14ac:dyDescent="0.2">
      <c r="A206" s="9">
        <v>206</v>
      </c>
      <c r="B206" s="13" t="s">
        <v>525</v>
      </c>
      <c r="C206" s="12" t="s">
        <v>780</v>
      </c>
      <c r="D206" s="52" t="s">
        <v>720</v>
      </c>
      <c r="E206" s="53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728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52" t="s">
        <v>920</v>
      </c>
      <c r="Y206" s="53" t="s">
        <v>904</v>
      </c>
      <c r="Z206" s="52" t="s">
        <v>920</v>
      </c>
      <c r="AA206" s="53" t="s">
        <v>908</v>
      </c>
      <c r="AB206" s="52" t="s">
        <v>920</v>
      </c>
      <c r="AC206" s="53" t="s">
        <v>911</v>
      </c>
      <c r="AD206" s="52" t="s">
        <v>920</v>
      </c>
      <c r="AE206" s="53" t="s">
        <v>914</v>
      </c>
      <c r="AF206" s="52" t="s">
        <v>920</v>
      </c>
      <c r="AG206" s="53" t="s">
        <v>917</v>
      </c>
    </row>
    <row r="207" spans="1:33" ht="7.5" customHeight="1" x14ac:dyDescent="0.2">
      <c r="A207" s="9">
        <v>207</v>
      </c>
      <c r="B207" s="13" t="s">
        <v>526</v>
      </c>
      <c r="C207" s="12" t="s">
        <v>780</v>
      </c>
      <c r="D207" s="52" t="s">
        <v>720</v>
      </c>
      <c r="E207" s="53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728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52" t="s">
        <v>920</v>
      </c>
      <c r="Y207" s="53" t="s">
        <v>904</v>
      </c>
      <c r="Z207" s="52" t="s">
        <v>920</v>
      </c>
      <c r="AA207" s="53" t="s">
        <v>908</v>
      </c>
      <c r="AB207" s="52" t="s">
        <v>920</v>
      </c>
      <c r="AC207" s="53" t="s">
        <v>911</v>
      </c>
      <c r="AD207" s="52" t="s">
        <v>920</v>
      </c>
      <c r="AE207" s="53" t="s">
        <v>914</v>
      </c>
      <c r="AF207" s="52" t="s">
        <v>920</v>
      </c>
      <c r="AG207" s="53" t="s">
        <v>917</v>
      </c>
    </row>
    <row r="208" spans="1:33" ht="7.5" customHeight="1" x14ac:dyDescent="0.2">
      <c r="A208" s="9">
        <v>208</v>
      </c>
      <c r="B208" s="13" t="s">
        <v>527</v>
      </c>
      <c r="C208" s="12" t="s">
        <v>780</v>
      </c>
      <c r="D208" s="52" t="s">
        <v>720</v>
      </c>
      <c r="E208" s="53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728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52" t="s">
        <v>920</v>
      </c>
      <c r="Y208" s="53" t="s">
        <v>904</v>
      </c>
      <c r="Z208" s="52" t="s">
        <v>920</v>
      </c>
      <c r="AA208" s="53" t="s">
        <v>908</v>
      </c>
      <c r="AB208" s="52" t="s">
        <v>920</v>
      </c>
      <c r="AC208" s="53" t="s">
        <v>911</v>
      </c>
      <c r="AD208" s="52" t="s">
        <v>920</v>
      </c>
      <c r="AE208" s="53" t="s">
        <v>914</v>
      </c>
      <c r="AF208" s="52" t="s">
        <v>920</v>
      </c>
      <c r="AG208" s="53" t="s">
        <v>917</v>
      </c>
    </row>
    <row r="209" spans="1:33" ht="7.5" customHeight="1" x14ac:dyDescent="0.2">
      <c r="A209" s="9">
        <v>209</v>
      </c>
      <c r="B209" s="13" t="s">
        <v>528</v>
      </c>
      <c r="C209" s="12" t="s">
        <v>780</v>
      </c>
      <c r="D209" s="52" t="s">
        <v>720</v>
      </c>
      <c r="E209" s="53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728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52" t="s">
        <v>920</v>
      </c>
      <c r="Y209" s="53" t="s">
        <v>904</v>
      </c>
      <c r="Z209" s="52" t="s">
        <v>920</v>
      </c>
      <c r="AA209" s="53" t="s">
        <v>908</v>
      </c>
      <c r="AB209" s="52" t="s">
        <v>920</v>
      </c>
      <c r="AC209" s="53" t="s">
        <v>911</v>
      </c>
      <c r="AD209" s="52" t="s">
        <v>920</v>
      </c>
      <c r="AE209" s="53" t="s">
        <v>914</v>
      </c>
      <c r="AF209" s="52" t="s">
        <v>920</v>
      </c>
      <c r="AG209" s="53" t="s">
        <v>917</v>
      </c>
    </row>
    <row r="210" spans="1:33" ht="7.5" customHeight="1" x14ac:dyDescent="0.2">
      <c r="A210" s="9">
        <v>210</v>
      </c>
      <c r="B210" s="13" t="s">
        <v>529</v>
      </c>
      <c r="C210" s="12" t="s">
        <v>780</v>
      </c>
      <c r="D210" s="52" t="s">
        <v>720</v>
      </c>
      <c r="E210" s="53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728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52" t="s">
        <v>920</v>
      </c>
      <c r="Y210" s="53" t="s">
        <v>904</v>
      </c>
      <c r="Z210" s="52" t="s">
        <v>920</v>
      </c>
      <c r="AA210" s="53" t="s">
        <v>908</v>
      </c>
      <c r="AB210" s="52" t="s">
        <v>920</v>
      </c>
      <c r="AC210" s="53" t="s">
        <v>911</v>
      </c>
      <c r="AD210" s="52" t="s">
        <v>920</v>
      </c>
      <c r="AE210" s="53" t="s">
        <v>914</v>
      </c>
      <c r="AF210" s="52" t="s">
        <v>920</v>
      </c>
      <c r="AG210" s="53" t="s">
        <v>917</v>
      </c>
    </row>
    <row r="211" spans="1:33" ht="7.5" customHeight="1" x14ac:dyDescent="0.2">
      <c r="A211" s="9">
        <v>211</v>
      </c>
      <c r="B211" s="13" t="s">
        <v>530</v>
      </c>
      <c r="C211" s="12" t="s">
        <v>780</v>
      </c>
      <c r="D211" s="52" t="s">
        <v>720</v>
      </c>
      <c r="E211" s="53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728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52" t="s">
        <v>920</v>
      </c>
      <c r="Y211" s="53" t="s">
        <v>904</v>
      </c>
      <c r="Z211" s="52" t="s">
        <v>920</v>
      </c>
      <c r="AA211" s="53" t="s">
        <v>908</v>
      </c>
      <c r="AB211" s="52" t="s">
        <v>920</v>
      </c>
      <c r="AC211" s="53" t="s">
        <v>911</v>
      </c>
      <c r="AD211" s="52" t="s">
        <v>920</v>
      </c>
      <c r="AE211" s="53" t="s">
        <v>914</v>
      </c>
      <c r="AF211" s="52" t="s">
        <v>920</v>
      </c>
      <c r="AG211" s="53" t="s">
        <v>917</v>
      </c>
    </row>
    <row r="212" spans="1:33" ht="7.5" customHeight="1" x14ac:dyDescent="0.2">
      <c r="A212" s="9">
        <v>212</v>
      </c>
      <c r="B212" s="13" t="s">
        <v>531</v>
      </c>
      <c r="C212" s="12" t="s">
        <v>780</v>
      </c>
      <c r="D212" s="52" t="s">
        <v>720</v>
      </c>
      <c r="E212" s="53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728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52" t="s">
        <v>920</v>
      </c>
      <c r="Y212" s="53" t="s">
        <v>904</v>
      </c>
      <c r="Z212" s="52" t="s">
        <v>920</v>
      </c>
      <c r="AA212" s="53" t="s">
        <v>908</v>
      </c>
      <c r="AB212" s="52" t="s">
        <v>920</v>
      </c>
      <c r="AC212" s="53" t="s">
        <v>911</v>
      </c>
      <c r="AD212" s="52" t="s">
        <v>920</v>
      </c>
      <c r="AE212" s="53" t="s">
        <v>914</v>
      </c>
      <c r="AF212" s="52" t="s">
        <v>920</v>
      </c>
      <c r="AG212" s="53" t="s">
        <v>917</v>
      </c>
    </row>
    <row r="213" spans="1:33" ht="7.5" customHeight="1" x14ac:dyDescent="0.2">
      <c r="A213" s="9">
        <v>213</v>
      </c>
      <c r="B213" s="13" t="s">
        <v>532</v>
      </c>
      <c r="C213" s="12" t="s">
        <v>780</v>
      </c>
      <c r="D213" s="52" t="s">
        <v>720</v>
      </c>
      <c r="E213" s="53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728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52" t="s">
        <v>920</v>
      </c>
      <c r="Y213" s="53" t="s">
        <v>904</v>
      </c>
      <c r="Z213" s="52" t="s">
        <v>920</v>
      </c>
      <c r="AA213" s="53" t="s">
        <v>908</v>
      </c>
      <c r="AB213" s="52" t="s">
        <v>920</v>
      </c>
      <c r="AC213" s="53" t="s">
        <v>911</v>
      </c>
      <c r="AD213" s="52" t="s">
        <v>920</v>
      </c>
      <c r="AE213" s="53" t="s">
        <v>914</v>
      </c>
      <c r="AF213" s="52" t="s">
        <v>920</v>
      </c>
      <c r="AG213" s="53" t="s">
        <v>917</v>
      </c>
    </row>
    <row r="214" spans="1:33" ht="7.5" customHeight="1" x14ac:dyDescent="0.2">
      <c r="A214" s="9">
        <v>214</v>
      </c>
      <c r="B214" s="13" t="s">
        <v>533</v>
      </c>
      <c r="C214" s="12" t="s">
        <v>780</v>
      </c>
      <c r="D214" s="52" t="s">
        <v>720</v>
      </c>
      <c r="E214" s="53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728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52" t="s">
        <v>920</v>
      </c>
      <c r="Y214" s="53" t="s">
        <v>904</v>
      </c>
      <c r="Z214" s="52" t="s">
        <v>920</v>
      </c>
      <c r="AA214" s="53" t="s">
        <v>908</v>
      </c>
      <c r="AB214" s="52" t="s">
        <v>920</v>
      </c>
      <c r="AC214" s="53" t="s">
        <v>911</v>
      </c>
      <c r="AD214" s="52" t="s">
        <v>920</v>
      </c>
      <c r="AE214" s="53" t="s">
        <v>914</v>
      </c>
      <c r="AF214" s="52" t="s">
        <v>920</v>
      </c>
      <c r="AG214" s="53" t="s">
        <v>917</v>
      </c>
    </row>
    <row r="215" spans="1:33" ht="7.5" customHeight="1" x14ac:dyDescent="0.2">
      <c r="A215" s="9">
        <v>215</v>
      </c>
      <c r="B215" s="13" t="s">
        <v>534</v>
      </c>
      <c r="C215" s="12" t="s">
        <v>780</v>
      </c>
      <c r="D215" s="52" t="s">
        <v>720</v>
      </c>
      <c r="E215" s="53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728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52" t="s">
        <v>920</v>
      </c>
      <c r="Y215" s="53" t="s">
        <v>904</v>
      </c>
      <c r="Z215" s="52" t="s">
        <v>920</v>
      </c>
      <c r="AA215" s="53" t="s">
        <v>908</v>
      </c>
      <c r="AB215" s="52" t="s">
        <v>920</v>
      </c>
      <c r="AC215" s="53" t="s">
        <v>911</v>
      </c>
      <c r="AD215" s="52" t="s">
        <v>920</v>
      </c>
      <c r="AE215" s="53" t="s">
        <v>914</v>
      </c>
      <c r="AF215" s="52" t="s">
        <v>920</v>
      </c>
      <c r="AG215" s="53" t="s">
        <v>917</v>
      </c>
    </row>
    <row r="216" spans="1:33" ht="7.5" customHeight="1" x14ac:dyDescent="0.2">
      <c r="A216" s="9">
        <v>216</v>
      </c>
      <c r="B216" s="13" t="s">
        <v>535</v>
      </c>
      <c r="C216" s="12" t="s">
        <v>780</v>
      </c>
      <c r="D216" s="52" t="s">
        <v>720</v>
      </c>
      <c r="E216" s="53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728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52" t="s">
        <v>920</v>
      </c>
      <c r="Y216" s="53" t="s">
        <v>904</v>
      </c>
      <c r="Z216" s="52" t="s">
        <v>920</v>
      </c>
      <c r="AA216" s="53" t="s">
        <v>908</v>
      </c>
      <c r="AB216" s="52" t="s">
        <v>920</v>
      </c>
      <c r="AC216" s="53" t="s">
        <v>911</v>
      </c>
      <c r="AD216" s="52" t="s">
        <v>920</v>
      </c>
      <c r="AE216" s="53" t="s">
        <v>914</v>
      </c>
      <c r="AF216" s="52" t="s">
        <v>920</v>
      </c>
      <c r="AG216" s="53" t="s">
        <v>917</v>
      </c>
    </row>
    <row r="217" spans="1:33" ht="7.5" customHeight="1" x14ac:dyDescent="0.2">
      <c r="A217" s="9">
        <v>217</v>
      </c>
      <c r="B217" s="13" t="s">
        <v>536</v>
      </c>
      <c r="C217" s="12" t="s">
        <v>780</v>
      </c>
      <c r="D217" s="52" t="s">
        <v>720</v>
      </c>
      <c r="E217" s="53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728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52" t="s">
        <v>920</v>
      </c>
      <c r="Y217" s="53" t="s">
        <v>904</v>
      </c>
      <c r="Z217" s="52" t="s">
        <v>920</v>
      </c>
      <c r="AA217" s="53" t="s">
        <v>908</v>
      </c>
      <c r="AB217" s="52" t="s">
        <v>920</v>
      </c>
      <c r="AC217" s="53" t="s">
        <v>911</v>
      </c>
      <c r="AD217" s="52" t="s">
        <v>920</v>
      </c>
      <c r="AE217" s="53" t="s">
        <v>914</v>
      </c>
      <c r="AF217" s="52" t="s">
        <v>920</v>
      </c>
      <c r="AG217" s="53" t="s">
        <v>917</v>
      </c>
    </row>
    <row r="218" spans="1:33" ht="7.5" customHeight="1" x14ac:dyDescent="0.2">
      <c r="A218" s="9">
        <v>218</v>
      </c>
      <c r="B218" s="13" t="s">
        <v>537</v>
      </c>
      <c r="C218" s="12" t="s">
        <v>780</v>
      </c>
      <c r="D218" s="52" t="s">
        <v>720</v>
      </c>
      <c r="E218" s="53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728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52" t="s">
        <v>920</v>
      </c>
      <c r="Y218" s="53" t="s">
        <v>904</v>
      </c>
      <c r="Z218" s="52" t="s">
        <v>920</v>
      </c>
      <c r="AA218" s="53" t="s">
        <v>908</v>
      </c>
      <c r="AB218" s="52" t="s">
        <v>920</v>
      </c>
      <c r="AC218" s="53" t="s">
        <v>911</v>
      </c>
      <c r="AD218" s="52" t="s">
        <v>920</v>
      </c>
      <c r="AE218" s="53" t="s">
        <v>914</v>
      </c>
      <c r="AF218" s="52" t="s">
        <v>920</v>
      </c>
      <c r="AG218" s="53" t="s">
        <v>917</v>
      </c>
    </row>
    <row r="219" spans="1:33" ht="7.5" customHeight="1" x14ac:dyDescent="0.2">
      <c r="A219" s="9">
        <v>219</v>
      </c>
      <c r="B219" s="13" t="s">
        <v>538</v>
      </c>
      <c r="C219" s="12" t="s">
        <v>780</v>
      </c>
      <c r="D219" s="52" t="s">
        <v>720</v>
      </c>
      <c r="E219" s="53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728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52" t="s">
        <v>920</v>
      </c>
      <c r="Y219" s="53" t="s">
        <v>904</v>
      </c>
      <c r="Z219" s="52" t="s">
        <v>920</v>
      </c>
      <c r="AA219" s="53" t="s">
        <v>908</v>
      </c>
      <c r="AB219" s="52" t="s">
        <v>920</v>
      </c>
      <c r="AC219" s="53" t="s">
        <v>911</v>
      </c>
      <c r="AD219" s="52" t="s">
        <v>920</v>
      </c>
      <c r="AE219" s="53" t="s">
        <v>914</v>
      </c>
      <c r="AF219" s="52" t="s">
        <v>920</v>
      </c>
      <c r="AG219" s="53" t="s">
        <v>917</v>
      </c>
    </row>
    <row r="220" spans="1:33" ht="7.5" customHeight="1" x14ac:dyDescent="0.2">
      <c r="A220" s="9">
        <v>220</v>
      </c>
      <c r="B220" s="13" t="s">
        <v>539</v>
      </c>
      <c r="C220" s="12" t="s">
        <v>780</v>
      </c>
      <c r="D220" s="52" t="s">
        <v>720</v>
      </c>
      <c r="E220" s="53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728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52" t="s">
        <v>920</v>
      </c>
      <c r="Y220" s="53" t="s">
        <v>904</v>
      </c>
      <c r="Z220" s="52" t="s">
        <v>920</v>
      </c>
      <c r="AA220" s="53" t="s">
        <v>908</v>
      </c>
      <c r="AB220" s="52" t="s">
        <v>920</v>
      </c>
      <c r="AC220" s="53" t="s">
        <v>911</v>
      </c>
      <c r="AD220" s="52" t="s">
        <v>920</v>
      </c>
      <c r="AE220" s="53" t="s">
        <v>914</v>
      </c>
      <c r="AF220" s="52" t="s">
        <v>920</v>
      </c>
      <c r="AG220" s="53" t="s">
        <v>917</v>
      </c>
    </row>
    <row r="221" spans="1:33" ht="7.5" customHeight="1" x14ac:dyDescent="0.2">
      <c r="A221" s="9">
        <v>221</v>
      </c>
      <c r="B221" s="13" t="s">
        <v>540</v>
      </c>
      <c r="C221" s="12" t="s">
        <v>780</v>
      </c>
      <c r="D221" s="52" t="s">
        <v>720</v>
      </c>
      <c r="E221" s="53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728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52" t="s">
        <v>920</v>
      </c>
      <c r="Y221" s="53" t="s">
        <v>904</v>
      </c>
      <c r="Z221" s="52" t="s">
        <v>920</v>
      </c>
      <c r="AA221" s="53" t="s">
        <v>908</v>
      </c>
      <c r="AB221" s="52" t="s">
        <v>920</v>
      </c>
      <c r="AC221" s="53" t="s">
        <v>911</v>
      </c>
      <c r="AD221" s="52" t="s">
        <v>920</v>
      </c>
      <c r="AE221" s="53" t="s">
        <v>914</v>
      </c>
      <c r="AF221" s="52" t="s">
        <v>920</v>
      </c>
      <c r="AG221" s="53" t="s">
        <v>917</v>
      </c>
    </row>
    <row r="222" spans="1:33" ht="7.5" customHeight="1" x14ac:dyDescent="0.2">
      <c r="A222" s="9">
        <v>222</v>
      </c>
      <c r="B222" s="13" t="s">
        <v>541</v>
      </c>
      <c r="C222" s="12" t="s">
        <v>780</v>
      </c>
      <c r="D222" s="52" t="s">
        <v>720</v>
      </c>
      <c r="E222" s="53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728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52" t="s">
        <v>920</v>
      </c>
      <c r="Y222" s="53" t="s">
        <v>904</v>
      </c>
      <c r="Z222" s="52" t="s">
        <v>920</v>
      </c>
      <c r="AA222" s="53" t="s">
        <v>908</v>
      </c>
      <c r="AB222" s="52" t="s">
        <v>920</v>
      </c>
      <c r="AC222" s="53" t="s">
        <v>911</v>
      </c>
      <c r="AD222" s="52" t="s">
        <v>920</v>
      </c>
      <c r="AE222" s="53" t="s">
        <v>914</v>
      </c>
      <c r="AF222" s="52" t="s">
        <v>920</v>
      </c>
      <c r="AG222" s="53" t="s">
        <v>917</v>
      </c>
    </row>
    <row r="223" spans="1:33" ht="7.5" customHeight="1" x14ac:dyDescent="0.2">
      <c r="A223" s="9">
        <v>223</v>
      </c>
      <c r="B223" s="13" t="s">
        <v>542</v>
      </c>
      <c r="C223" s="12" t="s">
        <v>780</v>
      </c>
      <c r="D223" s="52" t="s">
        <v>720</v>
      </c>
      <c r="E223" s="53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728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52" t="s">
        <v>920</v>
      </c>
      <c r="Y223" s="53" t="s">
        <v>904</v>
      </c>
      <c r="Z223" s="52" t="s">
        <v>920</v>
      </c>
      <c r="AA223" s="53" t="s">
        <v>908</v>
      </c>
      <c r="AB223" s="52" t="s">
        <v>920</v>
      </c>
      <c r="AC223" s="53" t="s">
        <v>911</v>
      </c>
      <c r="AD223" s="52" t="s">
        <v>920</v>
      </c>
      <c r="AE223" s="53" t="s">
        <v>914</v>
      </c>
      <c r="AF223" s="52" t="s">
        <v>920</v>
      </c>
      <c r="AG223" s="53" t="s">
        <v>917</v>
      </c>
    </row>
    <row r="224" spans="1:33" ht="7.5" customHeight="1" x14ac:dyDescent="0.2">
      <c r="A224" s="9">
        <v>224</v>
      </c>
      <c r="B224" s="13" t="s">
        <v>543</v>
      </c>
      <c r="C224" s="12" t="s">
        <v>780</v>
      </c>
      <c r="D224" s="52" t="s">
        <v>720</v>
      </c>
      <c r="E224" s="53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728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52" t="s">
        <v>920</v>
      </c>
      <c r="Y224" s="53" t="s">
        <v>904</v>
      </c>
      <c r="Z224" s="52" t="s">
        <v>920</v>
      </c>
      <c r="AA224" s="53" t="s">
        <v>908</v>
      </c>
      <c r="AB224" s="52" t="s">
        <v>920</v>
      </c>
      <c r="AC224" s="53" t="s">
        <v>911</v>
      </c>
      <c r="AD224" s="52" t="s">
        <v>920</v>
      </c>
      <c r="AE224" s="53" t="s">
        <v>914</v>
      </c>
      <c r="AF224" s="52" t="s">
        <v>920</v>
      </c>
      <c r="AG224" s="53" t="s">
        <v>917</v>
      </c>
    </row>
    <row r="225" spans="1:33" ht="7.5" customHeight="1" x14ac:dyDescent="0.2">
      <c r="A225" s="9">
        <v>225</v>
      </c>
      <c r="B225" s="13" t="s">
        <v>544</v>
      </c>
      <c r="C225" s="12" t="s">
        <v>780</v>
      </c>
      <c r="D225" s="52" t="s">
        <v>720</v>
      </c>
      <c r="E225" s="53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728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52" t="s">
        <v>920</v>
      </c>
      <c r="Y225" s="53" t="s">
        <v>904</v>
      </c>
      <c r="Z225" s="52" t="s">
        <v>920</v>
      </c>
      <c r="AA225" s="53" t="s">
        <v>908</v>
      </c>
      <c r="AB225" s="52" t="s">
        <v>920</v>
      </c>
      <c r="AC225" s="53" t="s">
        <v>911</v>
      </c>
      <c r="AD225" s="52" t="s">
        <v>920</v>
      </c>
      <c r="AE225" s="53" t="s">
        <v>914</v>
      </c>
      <c r="AF225" s="52" t="s">
        <v>920</v>
      </c>
      <c r="AG225" s="53" t="s">
        <v>917</v>
      </c>
    </row>
    <row r="226" spans="1:33" ht="7.5" customHeight="1" x14ac:dyDescent="0.2">
      <c r="A226" s="9">
        <v>226</v>
      </c>
      <c r="B226" s="13" t="s">
        <v>545</v>
      </c>
      <c r="C226" s="12" t="s">
        <v>780</v>
      </c>
      <c r="D226" s="52" t="s">
        <v>720</v>
      </c>
      <c r="E226" s="53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728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52" t="s">
        <v>920</v>
      </c>
      <c r="Y226" s="53" t="s">
        <v>904</v>
      </c>
      <c r="Z226" s="52" t="s">
        <v>920</v>
      </c>
      <c r="AA226" s="53" t="s">
        <v>908</v>
      </c>
      <c r="AB226" s="52" t="s">
        <v>920</v>
      </c>
      <c r="AC226" s="53" t="s">
        <v>911</v>
      </c>
      <c r="AD226" s="52" t="s">
        <v>920</v>
      </c>
      <c r="AE226" s="53" t="s">
        <v>914</v>
      </c>
      <c r="AF226" s="52" t="s">
        <v>920</v>
      </c>
      <c r="AG226" s="53" t="s">
        <v>917</v>
      </c>
    </row>
    <row r="227" spans="1:33" ht="7.5" customHeight="1" x14ac:dyDescent="0.2">
      <c r="A227" s="9">
        <v>227</v>
      </c>
      <c r="B227" s="13" t="s">
        <v>546</v>
      </c>
      <c r="C227" s="12" t="s">
        <v>780</v>
      </c>
      <c r="D227" s="52" t="s">
        <v>720</v>
      </c>
      <c r="E227" s="53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728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52" t="s">
        <v>920</v>
      </c>
      <c r="Y227" s="53" t="s">
        <v>904</v>
      </c>
      <c r="Z227" s="52" t="s">
        <v>920</v>
      </c>
      <c r="AA227" s="53" t="s">
        <v>908</v>
      </c>
      <c r="AB227" s="52" t="s">
        <v>920</v>
      </c>
      <c r="AC227" s="53" t="s">
        <v>911</v>
      </c>
      <c r="AD227" s="52" t="s">
        <v>920</v>
      </c>
      <c r="AE227" s="53" t="s">
        <v>914</v>
      </c>
      <c r="AF227" s="52" t="s">
        <v>920</v>
      </c>
      <c r="AG227" s="53" t="s">
        <v>917</v>
      </c>
    </row>
    <row r="228" spans="1:33" ht="7.5" customHeight="1" x14ac:dyDescent="0.2">
      <c r="A228" s="9">
        <v>228</v>
      </c>
      <c r="B228" s="13" t="s">
        <v>547</v>
      </c>
      <c r="C228" s="12" t="s">
        <v>780</v>
      </c>
      <c r="D228" s="52" t="s">
        <v>720</v>
      </c>
      <c r="E228" s="53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728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52" t="s">
        <v>920</v>
      </c>
      <c r="Y228" s="53" t="s">
        <v>904</v>
      </c>
      <c r="Z228" s="52" t="s">
        <v>920</v>
      </c>
      <c r="AA228" s="53" t="s">
        <v>908</v>
      </c>
      <c r="AB228" s="52" t="s">
        <v>920</v>
      </c>
      <c r="AC228" s="53" t="s">
        <v>911</v>
      </c>
      <c r="AD228" s="52" t="s">
        <v>920</v>
      </c>
      <c r="AE228" s="53" t="s">
        <v>914</v>
      </c>
      <c r="AF228" s="52" t="s">
        <v>920</v>
      </c>
      <c r="AG228" s="53" t="s">
        <v>917</v>
      </c>
    </row>
    <row r="229" spans="1:33" ht="7.5" customHeight="1" x14ac:dyDescent="0.2">
      <c r="A229" s="9">
        <v>229</v>
      </c>
      <c r="B229" s="13" t="s">
        <v>548</v>
      </c>
      <c r="C229" s="12" t="s">
        <v>780</v>
      </c>
      <c r="D229" s="52" t="s">
        <v>720</v>
      </c>
      <c r="E229" s="53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728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52" t="s">
        <v>920</v>
      </c>
      <c r="Y229" s="53" t="s">
        <v>904</v>
      </c>
      <c r="Z229" s="52" t="s">
        <v>920</v>
      </c>
      <c r="AA229" s="53" t="s">
        <v>908</v>
      </c>
      <c r="AB229" s="52" t="s">
        <v>920</v>
      </c>
      <c r="AC229" s="53" t="s">
        <v>911</v>
      </c>
      <c r="AD229" s="52" t="s">
        <v>920</v>
      </c>
      <c r="AE229" s="53" t="s">
        <v>914</v>
      </c>
      <c r="AF229" s="52" t="s">
        <v>920</v>
      </c>
      <c r="AG229" s="53" t="s">
        <v>917</v>
      </c>
    </row>
    <row r="230" spans="1:33" ht="7.5" customHeight="1" x14ac:dyDescent="0.2">
      <c r="A230" s="9">
        <v>230</v>
      </c>
      <c r="B230" s="13" t="s">
        <v>549</v>
      </c>
      <c r="C230" s="12" t="s">
        <v>780</v>
      </c>
      <c r="D230" s="52" t="s">
        <v>720</v>
      </c>
      <c r="E230" s="53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728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52" t="s">
        <v>920</v>
      </c>
      <c r="Y230" s="53" t="s">
        <v>904</v>
      </c>
      <c r="Z230" s="52" t="s">
        <v>920</v>
      </c>
      <c r="AA230" s="53" t="s">
        <v>908</v>
      </c>
      <c r="AB230" s="52" t="s">
        <v>920</v>
      </c>
      <c r="AC230" s="53" t="s">
        <v>911</v>
      </c>
      <c r="AD230" s="52" t="s">
        <v>920</v>
      </c>
      <c r="AE230" s="53" t="s">
        <v>914</v>
      </c>
      <c r="AF230" s="52" t="s">
        <v>920</v>
      </c>
      <c r="AG230" s="53" t="s">
        <v>917</v>
      </c>
    </row>
    <row r="231" spans="1:33" ht="7.5" customHeight="1" x14ac:dyDescent="0.2">
      <c r="A231" s="9">
        <v>231</v>
      </c>
      <c r="B231" s="13" t="s">
        <v>550</v>
      </c>
      <c r="C231" s="12" t="s">
        <v>780</v>
      </c>
      <c r="D231" s="52" t="s">
        <v>720</v>
      </c>
      <c r="E231" s="53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728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52" t="s">
        <v>920</v>
      </c>
      <c r="Y231" s="53" t="s">
        <v>904</v>
      </c>
      <c r="Z231" s="52" t="s">
        <v>920</v>
      </c>
      <c r="AA231" s="53" t="s">
        <v>908</v>
      </c>
      <c r="AB231" s="52" t="s">
        <v>920</v>
      </c>
      <c r="AC231" s="53" t="s">
        <v>911</v>
      </c>
      <c r="AD231" s="52" t="s">
        <v>920</v>
      </c>
      <c r="AE231" s="53" t="s">
        <v>914</v>
      </c>
      <c r="AF231" s="52" t="s">
        <v>920</v>
      </c>
      <c r="AG231" s="53" t="s">
        <v>917</v>
      </c>
    </row>
    <row r="232" spans="1:33" ht="7.5" customHeight="1" x14ac:dyDescent="0.2">
      <c r="A232" s="9">
        <v>232</v>
      </c>
      <c r="B232" s="13" t="s">
        <v>551</v>
      </c>
      <c r="C232" s="12" t="s">
        <v>780</v>
      </c>
      <c r="D232" s="52" t="s">
        <v>720</v>
      </c>
      <c r="E232" s="53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728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52" t="s">
        <v>920</v>
      </c>
      <c r="Y232" s="53" t="s">
        <v>904</v>
      </c>
      <c r="Z232" s="52" t="s">
        <v>920</v>
      </c>
      <c r="AA232" s="53" t="s">
        <v>908</v>
      </c>
      <c r="AB232" s="52" t="s">
        <v>920</v>
      </c>
      <c r="AC232" s="53" t="s">
        <v>911</v>
      </c>
      <c r="AD232" s="52" t="s">
        <v>920</v>
      </c>
      <c r="AE232" s="53" t="s">
        <v>914</v>
      </c>
      <c r="AF232" s="52" t="s">
        <v>920</v>
      </c>
      <c r="AG232" s="53" t="s">
        <v>917</v>
      </c>
    </row>
    <row r="233" spans="1:33" ht="7.5" customHeight="1" x14ac:dyDescent="0.2">
      <c r="A233" s="9">
        <v>233</v>
      </c>
      <c r="B233" s="13" t="s">
        <v>552</v>
      </c>
      <c r="C233" s="12" t="s">
        <v>780</v>
      </c>
      <c r="D233" s="52" t="s">
        <v>720</v>
      </c>
      <c r="E233" s="53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728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52" t="s">
        <v>920</v>
      </c>
      <c r="Y233" s="53" t="s">
        <v>904</v>
      </c>
      <c r="Z233" s="52" t="s">
        <v>920</v>
      </c>
      <c r="AA233" s="53" t="s">
        <v>908</v>
      </c>
      <c r="AB233" s="52" t="s">
        <v>920</v>
      </c>
      <c r="AC233" s="53" t="s">
        <v>911</v>
      </c>
      <c r="AD233" s="52" t="s">
        <v>920</v>
      </c>
      <c r="AE233" s="53" t="s">
        <v>914</v>
      </c>
      <c r="AF233" s="52" t="s">
        <v>920</v>
      </c>
      <c r="AG233" s="53" t="s">
        <v>917</v>
      </c>
    </row>
    <row r="234" spans="1:33" ht="7.5" customHeight="1" x14ac:dyDescent="0.2">
      <c r="A234" s="9">
        <v>234</v>
      </c>
      <c r="B234" s="13" t="s">
        <v>553</v>
      </c>
      <c r="C234" s="12" t="s">
        <v>780</v>
      </c>
      <c r="D234" s="52" t="s">
        <v>720</v>
      </c>
      <c r="E234" s="53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728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52" t="s">
        <v>920</v>
      </c>
      <c r="Y234" s="53" t="s">
        <v>904</v>
      </c>
      <c r="Z234" s="52" t="s">
        <v>920</v>
      </c>
      <c r="AA234" s="53" t="s">
        <v>908</v>
      </c>
      <c r="AB234" s="52" t="s">
        <v>920</v>
      </c>
      <c r="AC234" s="53" t="s">
        <v>911</v>
      </c>
      <c r="AD234" s="52" t="s">
        <v>920</v>
      </c>
      <c r="AE234" s="53" t="s">
        <v>914</v>
      </c>
      <c r="AF234" s="52" t="s">
        <v>920</v>
      </c>
      <c r="AG234" s="53" t="s">
        <v>917</v>
      </c>
    </row>
    <row r="235" spans="1:33" ht="7.5" customHeight="1" x14ac:dyDescent="0.2">
      <c r="A235" s="9">
        <v>235</v>
      </c>
      <c r="B235" s="13" t="s">
        <v>554</v>
      </c>
      <c r="C235" s="12" t="s">
        <v>780</v>
      </c>
      <c r="D235" s="52" t="s">
        <v>720</v>
      </c>
      <c r="E235" s="53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728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52" t="s">
        <v>920</v>
      </c>
      <c r="Y235" s="53" t="s">
        <v>904</v>
      </c>
      <c r="Z235" s="52" t="s">
        <v>920</v>
      </c>
      <c r="AA235" s="53" t="s">
        <v>908</v>
      </c>
      <c r="AB235" s="52" t="s">
        <v>920</v>
      </c>
      <c r="AC235" s="53" t="s">
        <v>911</v>
      </c>
      <c r="AD235" s="52" t="s">
        <v>920</v>
      </c>
      <c r="AE235" s="53" t="s">
        <v>914</v>
      </c>
      <c r="AF235" s="52" t="s">
        <v>920</v>
      </c>
      <c r="AG235" s="53" t="s">
        <v>917</v>
      </c>
    </row>
    <row r="236" spans="1:33" ht="7.5" customHeight="1" x14ac:dyDescent="0.2">
      <c r="A236" s="9">
        <v>236</v>
      </c>
      <c r="B236" s="13" t="s">
        <v>555</v>
      </c>
      <c r="C236" s="12" t="s">
        <v>780</v>
      </c>
      <c r="D236" s="52" t="s">
        <v>720</v>
      </c>
      <c r="E236" s="53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728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52" t="s">
        <v>920</v>
      </c>
      <c r="Y236" s="53" t="s">
        <v>904</v>
      </c>
      <c r="Z236" s="52" t="s">
        <v>920</v>
      </c>
      <c r="AA236" s="53" t="s">
        <v>908</v>
      </c>
      <c r="AB236" s="52" t="s">
        <v>920</v>
      </c>
      <c r="AC236" s="53" t="s">
        <v>911</v>
      </c>
      <c r="AD236" s="52" t="s">
        <v>920</v>
      </c>
      <c r="AE236" s="53" t="s">
        <v>914</v>
      </c>
      <c r="AF236" s="52" t="s">
        <v>920</v>
      </c>
      <c r="AG236" s="53" t="s">
        <v>917</v>
      </c>
    </row>
    <row r="237" spans="1:33" ht="7.5" customHeight="1" x14ac:dyDescent="0.2">
      <c r="A237" s="9">
        <v>237</v>
      </c>
      <c r="B237" s="13" t="s">
        <v>556</v>
      </c>
      <c r="C237" s="12" t="s">
        <v>780</v>
      </c>
      <c r="D237" s="52" t="s">
        <v>720</v>
      </c>
      <c r="E237" s="53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728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52" t="s">
        <v>920</v>
      </c>
      <c r="Y237" s="53" t="s">
        <v>904</v>
      </c>
      <c r="Z237" s="52" t="s">
        <v>920</v>
      </c>
      <c r="AA237" s="53" t="s">
        <v>908</v>
      </c>
      <c r="AB237" s="52" t="s">
        <v>920</v>
      </c>
      <c r="AC237" s="53" t="s">
        <v>911</v>
      </c>
      <c r="AD237" s="52" t="s">
        <v>920</v>
      </c>
      <c r="AE237" s="53" t="s">
        <v>914</v>
      </c>
      <c r="AF237" s="52" t="s">
        <v>920</v>
      </c>
      <c r="AG237" s="53" t="s">
        <v>917</v>
      </c>
    </row>
    <row r="238" spans="1:33" ht="7.5" customHeight="1" x14ac:dyDescent="0.2">
      <c r="A238" s="9">
        <v>238</v>
      </c>
      <c r="B238" s="45" t="s">
        <v>704</v>
      </c>
      <c r="C238" s="12" t="s">
        <v>780</v>
      </c>
      <c r="D238" s="52" t="s">
        <v>720</v>
      </c>
      <c r="E238" s="53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728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52" t="s">
        <v>920</v>
      </c>
      <c r="Y238" s="53" t="s">
        <v>904</v>
      </c>
      <c r="Z238" s="52" t="s">
        <v>920</v>
      </c>
      <c r="AA238" s="53" t="s">
        <v>908</v>
      </c>
      <c r="AB238" s="52" t="s">
        <v>920</v>
      </c>
      <c r="AC238" s="53" t="s">
        <v>911</v>
      </c>
      <c r="AD238" s="52" t="s">
        <v>920</v>
      </c>
      <c r="AE238" s="53" t="s">
        <v>914</v>
      </c>
      <c r="AF238" s="52" t="s">
        <v>920</v>
      </c>
      <c r="AG238" s="53" t="s">
        <v>917</v>
      </c>
    </row>
    <row r="239" spans="1:33" ht="7.5" customHeight="1" x14ac:dyDescent="0.2">
      <c r="A239" s="9">
        <v>239</v>
      </c>
      <c r="B239" s="13" t="s">
        <v>557</v>
      </c>
      <c r="C239" s="12" t="s">
        <v>780</v>
      </c>
      <c r="D239" s="52" t="s">
        <v>720</v>
      </c>
      <c r="E239" s="53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728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52" t="s">
        <v>920</v>
      </c>
      <c r="Y239" s="53" t="s">
        <v>904</v>
      </c>
      <c r="Z239" s="52" t="s">
        <v>920</v>
      </c>
      <c r="AA239" s="53" t="s">
        <v>908</v>
      </c>
      <c r="AB239" s="52" t="s">
        <v>920</v>
      </c>
      <c r="AC239" s="53" t="s">
        <v>911</v>
      </c>
      <c r="AD239" s="52" t="s">
        <v>920</v>
      </c>
      <c r="AE239" s="53" t="s">
        <v>914</v>
      </c>
      <c r="AF239" s="52" t="s">
        <v>920</v>
      </c>
      <c r="AG239" s="53" t="s">
        <v>917</v>
      </c>
    </row>
    <row r="240" spans="1:33" ht="7.5" customHeight="1" x14ac:dyDescent="0.2">
      <c r="A240" s="9">
        <v>240</v>
      </c>
      <c r="B240" s="13" t="s">
        <v>558</v>
      </c>
      <c r="C240" s="12" t="s">
        <v>780</v>
      </c>
      <c r="D240" s="52" t="s">
        <v>720</v>
      </c>
      <c r="E240" s="53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728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52" t="s">
        <v>920</v>
      </c>
      <c r="Y240" s="53" t="s">
        <v>904</v>
      </c>
      <c r="Z240" s="52" t="s">
        <v>920</v>
      </c>
      <c r="AA240" s="53" t="s">
        <v>908</v>
      </c>
      <c r="AB240" s="52" t="s">
        <v>920</v>
      </c>
      <c r="AC240" s="53" t="s">
        <v>911</v>
      </c>
      <c r="AD240" s="52" t="s">
        <v>920</v>
      </c>
      <c r="AE240" s="53" t="s">
        <v>914</v>
      </c>
      <c r="AF240" s="52" t="s">
        <v>920</v>
      </c>
      <c r="AG240" s="53" t="s">
        <v>917</v>
      </c>
    </row>
    <row r="241" spans="1:33" ht="7.5" customHeight="1" x14ac:dyDescent="0.2">
      <c r="A241" s="9">
        <v>241</v>
      </c>
      <c r="B241" s="13" t="s">
        <v>559</v>
      </c>
      <c r="C241" s="12" t="s">
        <v>780</v>
      </c>
      <c r="D241" s="52" t="s">
        <v>720</v>
      </c>
      <c r="E241" s="53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728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52" t="s">
        <v>920</v>
      </c>
      <c r="Y241" s="53" t="s">
        <v>904</v>
      </c>
      <c r="Z241" s="52" t="s">
        <v>920</v>
      </c>
      <c r="AA241" s="53" t="s">
        <v>908</v>
      </c>
      <c r="AB241" s="52" t="s">
        <v>920</v>
      </c>
      <c r="AC241" s="53" t="s">
        <v>911</v>
      </c>
      <c r="AD241" s="52" t="s">
        <v>920</v>
      </c>
      <c r="AE241" s="53" t="s">
        <v>914</v>
      </c>
      <c r="AF241" s="52" t="s">
        <v>920</v>
      </c>
      <c r="AG241" s="53" t="s">
        <v>917</v>
      </c>
    </row>
    <row r="242" spans="1:33" ht="7.5" customHeight="1" x14ac:dyDescent="0.2">
      <c r="A242" s="9">
        <v>242</v>
      </c>
      <c r="B242" s="13" t="s">
        <v>560</v>
      </c>
      <c r="C242" s="12" t="s">
        <v>780</v>
      </c>
      <c r="D242" s="52" t="s">
        <v>720</v>
      </c>
      <c r="E242" s="53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728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52" t="s">
        <v>920</v>
      </c>
      <c r="Y242" s="53" t="s">
        <v>904</v>
      </c>
      <c r="Z242" s="52" t="s">
        <v>920</v>
      </c>
      <c r="AA242" s="53" t="s">
        <v>908</v>
      </c>
      <c r="AB242" s="52" t="s">
        <v>920</v>
      </c>
      <c r="AC242" s="53" t="s">
        <v>911</v>
      </c>
      <c r="AD242" s="52" t="s">
        <v>920</v>
      </c>
      <c r="AE242" s="53" t="s">
        <v>914</v>
      </c>
      <c r="AF242" s="52" t="s">
        <v>920</v>
      </c>
      <c r="AG242" s="53" t="s">
        <v>917</v>
      </c>
    </row>
    <row r="243" spans="1:33" ht="7.5" customHeight="1" x14ac:dyDescent="0.2">
      <c r="A243" s="9">
        <v>243</v>
      </c>
      <c r="B243" s="13" t="s">
        <v>561</v>
      </c>
      <c r="C243" s="12" t="s">
        <v>780</v>
      </c>
      <c r="D243" s="52" t="s">
        <v>720</v>
      </c>
      <c r="E243" s="53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728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52" t="s">
        <v>920</v>
      </c>
      <c r="Y243" s="53" t="s">
        <v>904</v>
      </c>
      <c r="Z243" s="52" t="s">
        <v>920</v>
      </c>
      <c r="AA243" s="53" t="s">
        <v>908</v>
      </c>
      <c r="AB243" s="52" t="s">
        <v>920</v>
      </c>
      <c r="AC243" s="53" t="s">
        <v>911</v>
      </c>
      <c r="AD243" s="52" t="s">
        <v>920</v>
      </c>
      <c r="AE243" s="53" t="s">
        <v>914</v>
      </c>
      <c r="AF243" s="52" t="s">
        <v>920</v>
      </c>
      <c r="AG243" s="53" t="s">
        <v>917</v>
      </c>
    </row>
    <row r="244" spans="1:33" ht="7.5" customHeight="1" x14ac:dyDescent="0.2">
      <c r="A244" s="9">
        <v>244</v>
      </c>
      <c r="B244" s="13" t="s">
        <v>562</v>
      </c>
      <c r="C244" s="12" t="s">
        <v>780</v>
      </c>
      <c r="D244" s="52" t="s">
        <v>720</v>
      </c>
      <c r="E244" s="53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728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52" t="s">
        <v>920</v>
      </c>
      <c r="Y244" s="53" t="s">
        <v>904</v>
      </c>
      <c r="Z244" s="52" t="s">
        <v>920</v>
      </c>
      <c r="AA244" s="53" t="s">
        <v>908</v>
      </c>
      <c r="AB244" s="52" t="s">
        <v>920</v>
      </c>
      <c r="AC244" s="53" t="s">
        <v>911</v>
      </c>
      <c r="AD244" s="52" t="s">
        <v>920</v>
      </c>
      <c r="AE244" s="53" t="s">
        <v>914</v>
      </c>
      <c r="AF244" s="52" t="s">
        <v>920</v>
      </c>
      <c r="AG244" s="53" t="s">
        <v>917</v>
      </c>
    </row>
    <row r="245" spans="1:33" ht="7.5" customHeight="1" x14ac:dyDescent="0.2">
      <c r="A245" s="9">
        <v>245</v>
      </c>
      <c r="B245" s="13" t="s">
        <v>563</v>
      </c>
      <c r="C245" s="12" t="s">
        <v>780</v>
      </c>
      <c r="D245" s="52" t="s">
        <v>720</v>
      </c>
      <c r="E245" s="53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728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52" t="s">
        <v>920</v>
      </c>
      <c r="Y245" s="53" t="s">
        <v>904</v>
      </c>
      <c r="Z245" s="52" t="s">
        <v>920</v>
      </c>
      <c r="AA245" s="53" t="s">
        <v>908</v>
      </c>
      <c r="AB245" s="52" t="s">
        <v>920</v>
      </c>
      <c r="AC245" s="53" t="s">
        <v>911</v>
      </c>
      <c r="AD245" s="52" t="s">
        <v>920</v>
      </c>
      <c r="AE245" s="53" t="s">
        <v>914</v>
      </c>
      <c r="AF245" s="52" t="s">
        <v>920</v>
      </c>
      <c r="AG245" s="53" t="s">
        <v>917</v>
      </c>
    </row>
    <row r="246" spans="1:33" ht="7.5" customHeight="1" x14ac:dyDescent="0.2">
      <c r="A246" s="9">
        <v>246</v>
      </c>
      <c r="B246" s="13" t="s">
        <v>564</v>
      </c>
      <c r="C246" s="12" t="s">
        <v>780</v>
      </c>
      <c r="D246" s="52" t="s">
        <v>720</v>
      </c>
      <c r="E246" s="53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728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52" t="s">
        <v>920</v>
      </c>
      <c r="Y246" s="53" t="s">
        <v>904</v>
      </c>
      <c r="Z246" s="52" t="s">
        <v>920</v>
      </c>
      <c r="AA246" s="53" t="s">
        <v>908</v>
      </c>
      <c r="AB246" s="52" t="s">
        <v>920</v>
      </c>
      <c r="AC246" s="53" t="s">
        <v>911</v>
      </c>
      <c r="AD246" s="52" t="s">
        <v>920</v>
      </c>
      <c r="AE246" s="53" t="s">
        <v>914</v>
      </c>
      <c r="AF246" s="52" t="s">
        <v>920</v>
      </c>
      <c r="AG246" s="53" t="s">
        <v>917</v>
      </c>
    </row>
    <row r="247" spans="1:33" ht="7.5" customHeight="1" x14ac:dyDescent="0.2">
      <c r="A247" s="9">
        <v>247</v>
      </c>
      <c r="B247" s="13" t="s">
        <v>565</v>
      </c>
      <c r="C247" s="12" t="s">
        <v>781</v>
      </c>
      <c r="D247" s="52" t="s">
        <v>720</v>
      </c>
      <c r="E247" s="53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729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52" t="s">
        <v>920</v>
      </c>
      <c r="Y247" s="53" t="s">
        <v>904</v>
      </c>
      <c r="Z247" s="52" t="s">
        <v>920</v>
      </c>
      <c r="AA247" s="53" t="s">
        <v>908</v>
      </c>
      <c r="AB247" s="52" t="s">
        <v>920</v>
      </c>
      <c r="AC247" s="53" t="s">
        <v>911</v>
      </c>
      <c r="AD247" s="52" t="s">
        <v>920</v>
      </c>
      <c r="AE247" s="53" t="s">
        <v>914</v>
      </c>
      <c r="AF247" s="52" t="s">
        <v>920</v>
      </c>
      <c r="AG247" s="53" t="s">
        <v>917</v>
      </c>
    </row>
    <row r="248" spans="1:33" ht="7.5" customHeight="1" x14ac:dyDescent="0.2">
      <c r="A248" s="9">
        <v>248</v>
      </c>
      <c r="B248" s="13" t="s">
        <v>566</v>
      </c>
      <c r="C248" s="12" t="s">
        <v>781</v>
      </c>
      <c r="D248" s="52" t="s">
        <v>720</v>
      </c>
      <c r="E248" s="53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729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52" t="s">
        <v>920</v>
      </c>
      <c r="Y248" s="53" t="s">
        <v>904</v>
      </c>
      <c r="Z248" s="52" t="s">
        <v>920</v>
      </c>
      <c r="AA248" s="53" t="s">
        <v>908</v>
      </c>
      <c r="AB248" s="52" t="s">
        <v>920</v>
      </c>
      <c r="AC248" s="53" t="s">
        <v>911</v>
      </c>
      <c r="AD248" s="52" t="s">
        <v>920</v>
      </c>
      <c r="AE248" s="53" t="s">
        <v>914</v>
      </c>
      <c r="AF248" s="52" t="s">
        <v>920</v>
      </c>
      <c r="AG248" s="53" t="s">
        <v>917</v>
      </c>
    </row>
    <row r="249" spans="1:33" ht="7.5" customHeight="1" x14ac:dyDescent="0.2">
      <c r="A249" s="9">
        <v>249</v>
      </c>
      <c r="B249" s="13" t="s">
        <v>567</v>
      </c>
      <c r="C249" s="12" t="s">
        <v>781</v>
      </c>
      <c r="D249" s="52" t="s">
        <v>720</v>
      </c>
      <c r="E249" s="53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729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52" t="s">
        <v>920</v>
      </c>
      <c r="Y249" s="53" t="s">
        <v>904</v>
      </c>
      <c r="Z249" s="52" t="s">
        <v>920</v>
      </c>
      <c r="AA249" s="53" t="s">
        <v>908</v>
      </c>
      <c r="AB249" s="52" t="s">
        <v>920</v>
      </c>
      <c r="AC249" s="53" t="s">
        <v>911</v>
      </c>
      <c r="AD249" s="52" t="s">
        <v>920</v>
      </c>
      <c r="AE249" s="53" t="s">
        <v>914</v>
      </c>
      <c r="AF249" s="52" t="s">
        <v>920</v>
      </c>
      <c r="AG249" s="53" t="s">
        <v>917</v>
      </c>
    </row>
    <row r="250" spans="1:33" ht="7.5" customHeight="1" x14ac:dyDescent="0.2">
      <c r="A250" s="9">
        <v>250</v>
      </c>
      <c r="B250" s="13" t="s">
        <v>568</v>
      </c>
      <c r="C250" s="12" t="s">
        <v>781</v>
      </c>
      <c r="D250" s="52" t="s">
        <v>720</v>
      </c>
      <c r="E250" s="53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729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52" t="s">
        <v>920</v>
      </c>
      <c r="Y250" s="53" t="s">
        <v>904</v>
      </c>
      <c r="Z250" s="52" t="s">
        <v>920</v>
      </c>
      <c r="AA250" s="53" t="s">
        <v>908</v>
      </c>
      <c r="AB250" s="52" t="s">
        <v>920</v>
      </c>
      <c r="AC250" s="53" t="s">
        <v>911</v>
      </c>
      <c r="AD250" s="52" t="s">
        <v>920</v>
      </c>
      <c r="AE250" s="53" t="s">
        <v>914</v>
      </c>
      <c r="AF250" s="52" t="s">
        <v>920</v>
      </c>
      <c r="AG250" s="53" t="s">
        <v>917</v>
      </c>
    </row>
    <row r="251" spans="1:33" ht="7.5" customHeight="1" x14ac:dyDescent="0.2">
      <c r="A251" s="9">
        <v>251</v>
      </c>
      <c r="B251" s="13" t="s">
        <v>569</v>
      </c>
      <c r="C251" s="12" t="s">
        <v>781</v>
      </c>
      <c r="D251" s="52" t="s">
        <v>720</v>
      </c>
      <c r="E251" s="53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729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52" t="s">
        <v>920</v>
      </c>
      <c r="Y251" s="53" t="s">
        <v>904</v>
      </c>
      <c r="Z251" s="52" t="s">
        <v>920</v>
      </c>
      <c r="AA251" s="53" t="s">
        <v>908</v>
      </c>
      <c r="AB251" s="52" t="s">
        <v>920</v>
      </c>
      <c r="AC251" s="53" t="s">
        <v>911</v>
      </c>
      <c r="AD251" s="52" t="s">
        <v>920</v>
      </c>
      <c r="AE251" s="53" t="s">
        <v>914</v>
      </c>
      <c r="AF251" s="52" t="s">
        <v>920</v>
      </c>
      <c r="AG251" s="53" t="s">
        <v>917</v>
      </c>
    </row>
    <row r="252" spans="1:33" ht="7.5" customHeight="1" x14ac:dyDescent="0.2">
      <c r="A252" s="9">
        <v>252</v>
      </c>
      <c r="B252" s="13" t="s">
        <v>570</v>
      </c>
      <c r="C252" s="12" t="s">
        <v>781</v>
      </c>
      <c r="D252" s="52" t="s">
        <v>720</v>
      </c>
      <c r="E252" s="53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729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52" t="s">
        <v>920</v>
      </c>
      <c r="Y252" s="53" t="s">
        <v>904</v>
      </c>
      <c r="Z252" s="52" t="s">
        <v>920</v>
      </c>
      <c r="AA252" s="53" t="s">
        <v>908</v>
      </c>
      <c r="AB252" s="52" t="s">
        <v>920</v>
      </c>
      <c r="AC252" s="53" t="s">
        <v>911</v>
      </c>
      <c r="AD252" s="52" t="s">
        <v>920</v>
      </c>
      <c r="AE252" s="53" t="s">
        <v>914</v>
      </c>
      <c r="AF252" s="52" t="s">
        <v>920</v>
      </c>
      <c r="AG252" s="53" t="s">
        <v>917</v>
      </c>
    </row>
    <row r="253" spans="1:33" ht="7.5" customHeight="1" x14ac:dyDescent="0.2">
      <c r="A253" s="9">
        <v>253</v>
      </c>
      <c r="B253" s="13" t="s">
        <v>571</v>
      </c>
      <c r="C253" s="12" t="s">
        <v>781</v>
      </c>
      <c r="D253" s="52" t="s">
        <v>720</v>
      </c>
      <c r="E253" s="53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729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52" t="s">
        <v>920</v>
      </c>
      <c r="Y253" s="53" t="s">
        <v>904</v>
      </c>
      <c r="Z253" s="52" t="s">
        <v>920</v>
      </c>
      <c r="AA253" s="53" t="s">
        <v>908</v>
      </c>
      <c r="AB253" s="52" t="s">
        <v>920</v>
      </c>
      <c r="AC253" s="53" t="s">
        <v>911</v>
      </c>
      <c r="AD253" s="52" t="s">
        <v>920</v>
      </c>
      <c r="AE253" s="53" t="s">
        <v>914</v>
      </c>
      <c r="AF253" s="52" t="s">
        <v>920</v>
      </c>
      <c r="AG253" s="53" t="s">
        <v>917</v>
      </c>
    </row>
    <row r="254" spans="1:33" ht="7.5" customHeight="1" x14ac:dyDescent="0.2">
      <c r="A254" s="9">
        <v>254</v>
      </c>
      <c r="B254" s="13" t="s">
        <v>572</v>
      </c>
      <c r="C254" s="12" t="s">
        <v>781</v>
      </c>
      <c r="D254" s="52" t="s">
        <v>720</v>
      </c>
      <c r="E254" s="53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729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52" t="s">
        <v>920</v>
      </c>
      <c r="Y254" s="53" t="s">
        <v>904</v>
      </c>
      <c r="Z254" s="52" t="s">
        <v>920</v>
      </c>
      <c r="AA254" s="53" t="s">
        <v>908</v>
      </c>
      <c r="AB254" s="52" t="s">
        <v>920</v>
      </c>
      <c r="AC254" s="53" t="s">
        <v>911</v>
      </c>
      <c r="AD254" s="52" t="s">
        <v>920</v>
      </c>
      <c r="AE254" s="53" t="s">
        <v>914</v>
      </c>
      <c r="AF254" s="52" t="s">
        <v>920</v>
      </c>
      <c r="AG254" s="53" t="s">
        <v>917</v>
      </c>
    </row>
    <row r="255" spans="1:33" ht="7.5" customHeight="1" x14ac:dyDescent="0.2">
      <c r="A255" s="9">
        <v>255</v>
      </c>
      <c r="B255" s="13" t="s">
        <v>573</v>
      </c>
      <c r="C255" s="12" t="s">
        <v>781</v>
      </c>
      <c r="D255" s="52" t="s">
        <v>720</v>
      </c>
      <c r="E255" s="53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729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52" t="s">
        <v>920</v>
      </c>
      <c r="Y255" s="53" t="s">
        <v>904</v>
      </c>
      <c r="Z255" s="52" t="s">
        <v>920</v>
      </c>
      <c r="AA255" s="53" t="s">
        <v>908</v>
      </c>
      <c r="AB255" s="52" t="s">
        <v>920</v>
      </c>
      <c r="AC255" s="53" t="s">
        <v>911</v>
      </c>
      <c r="AD255" s="52" t="s">
        <v>920</v>
      </c>
      <c r="AE255" s="53" t="s">
        <v>914</v>
      </c>
      <c r="AF255" s="52" t="s">
        <v>920</v>
      </c>
      <c r="AG255" s="53" t="s">
        <v>917</v>
      </c>
    </row>
    <row r="256" spans="1:33" ht="7.5" customHeight="1" x14ac:dyDescent="0.2">
      <c r="A256" s="9">
        <v>256</v>
      </c>
      <c r="B256" s="13" t="s">
        <v>574</v>
      </c>
      <c r="C256" s="12" t="s">
        <v>781</v>
      </c>
      <c r="D256" s="52" t="s">
        <v>720</v>
      </c>
      <c r="E256" s="53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729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52" t="s">
        <v>920</v>
      </c>
      <c r="Y256" s="53" t="s">
        <v>904</v>
      </c>
      <c r="Z256" s="52" t="s">
        <v>920</v>
      </c>
      <c r="AA256" s="53" t="s">
        <v>908</v>
      </c>
      <c r="AB256" s="52" t="s">
        <v>920</v>
      </c>
      <c r="AC256" s="53" t="s">
        <v>911</v>
      </c>
      <c r="AD256" s="52" t="s">
        <v>920</v>
      </c>
      <c r="AE256" s="53" t="s">
        <v>914</v>
      </c>
      <c r="AF256" s="52" t="s">
        <v>920</v>
      </c>
      <c r="AG256" s="53" t="s">
        <v>917</v>
      </c>
    </row>
    <row r="257" spans="1:33" ht="7.5" customHeight="1" x14ac:dyDescent="0.2">
      <c r="A257" s="9">
        <v>257</v>
      </c>
      <c r="B257" s="13" t="s">
        <v>575</v>
      </c>
      <c r="C257" s="12" t="s">
        <v>781</v>
      </c>
      <c r="D257" s="52" t="s">
        <v>720</v>
      </c>
      <c r="E257" s="53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729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52" t="s">
        <v>920</v>
      </c>
      <c r="Y257" s="53" t="s">
        <v>904</v>
      </c>
      <c r="Z257" s="52" t="s">
        <v>920</v>
      </c>
      <c r="AA257" s="53" t="s">
        <v>908</v>
      </c>
      <c r="AB257" s="52" t="s">
        <v>920</v>
      </c>
      <c r="AC257" s="53" t="s">
        <v>911</v>
      </c>
      <c r="AD257" s="52" t="s">
        <v>920</v>
      </c>
      <c r="AE257" s="53" t="s">
        <v>914</v>
      </c>
      <c r="AF257" s="52" t="s">
        <v>920</v>
      </c>
      <c r="AG257" s="53" t="s">
        <v>917</v>
      </c>
    </row>
    <row r="258" spans="1:33" ht="7.5" customHeight="1" x14ac:dyDescent="0.2">
      <c r="A258" s="9">
        <v>258</v>
      </c>
      <c r="B258" s="13" t="s">
        <v>576</v>
      </c>
      <c r="C258" s="12" t="s">
        <v>781</v>
      </c>
      <c r="D258" s="52" t="s">
        <v>720</v>
      </c>
      <c r="E258" s="53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729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52" t="s">
        <v>920</v>
      </c>
      <c r="Y258" s="53" t="s">
        <v>904</v>
      </c>
      <c r="Z258" s="52" t="s">
        <v>920</v>
      </c>
      <c r="AA258" s="53" t="s">
        <v>908</v>
      </c>
      <c r="AB258" s="52" t="s">
        <v>920</v>
      </c>
      <c r="AC258" s="53" t="s">
        <v>911</v>
      </c>
      <c r="AD258" s="52" t="s">
        <v>920</v>
      </c>
      <c r="AE258" s="53" t="s">
        <v>914</v>
      </c>
      <c r="AF258" s="52" t="s">
        <v>920</v>
      </c>
      <c r="AG258" s="53" t="s">
        <v>917</v>
      </c>
    </row>
    <row r="259" spans="1:33" ht="7.5" customHeight="1" x14ac:dyDescent="0.2">
      <c r="A259" s="9">
        <v>259</v>
      </c>
      <c r="B259" s="13" t="s">
        <v>577</v>
      </c>
      <c r="C259" s="12" t="s">
        <v>781</v>
      </c>
      <c r="D259" s="52" t="s">
        <v>720</v>
      </c>
      <c r="E259" s="53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729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52" t="s">
        <v>920</v>
      </c>
      <c r="Y259" s="53" t="s">
        <v>904</v>
      </c>
      <c r="Z259" s="52" t="s">
        <v>920</v>
      </c>
      <c r="AA259" s="53" t="s">
        <v>908</v>
      </c>
      <c r="AB259" s="52" t="s">
        <v>920</v>
      </c>
      <c r="AC259" s="53" t="s">
        <v>911</v>
      </c>
      <c r="AD259" s="52" t="s">
        <v>920</v>
      </c>
      <c r="AE259" s="53" t="s">
        <v>914</v>
      </c>
      <c r="AF259" s="52" t="s">
        <v>920</v>
      </c>
      <c r="AG259" s="53" t="s">
        <v>917</v>
      </c>
    </row>
    <row r="260" spans="1:33" ht="7.5" customHeight="1" x14ac:dyDescent="0.2">
      <c r="A260" s="9">
        <v>260</v>
      </c>
      <c r="B260" s="13" t="s">
        <v>578</v>
      </c>
      <c r="C260" s="12" t="s">
        <v>781</v>
      </c>
      <c r="D260" s="52" t="s">
        <v>720</v>
      </c>
      <c r="E260" s="53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729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52" t="s">
        <v>920</v>
      </c>
      <c r="Y260" s="53" t="s">
        <v>904</v>
      </c>
      <c r="Z260" s="52" t="s">
        <v>920</v>
      </c>
      <c r="AA260" s="53" t="s">
        <v>908</v>
      </c>
      <c r="AB260" s="52" t="s">
        <v>920</v>
      </c>
      <c r="AC260" s="53" t="s">
        <v>911</v>
      </c>
      <c r="AD260" s="52" t="s">
        <v>920</v>
      </c>
      <c r="AE260" s="53" t="s">
        <v>914</v>
      </c>
      <c r="AF260" s="52" t="s">
        <v>920</v>
      </c>
      <c r="AG260" s="53" t="s">
        <v>917</v>
      </c>
    </row>
    <row r="261" spans="1:33" ht="7.5" customHeight="1" x14ac:dyDescent="0.2">
      <c r="A261" s="9">
        <v>261</v>
      </c>
      <c r="B261" s="13" t="s">
        <v>579</v>
      </c>
      <c r="C261" s="12" t="s">
        <v>781</v>
      </c>
      <c r="D261" s="52" t="s">
        <v>720</v>
      </c>
      <c r="E261" s="53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729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52" t="s">
        <v>920</v>
      </c>
      <c r="Y261" s="53" t="s">
        <v>904</v>
      </c>
      <c r="Z261" s="52" t="s">
        <v>920</v>
      </c>
      <c r="AA261" s="53" t="s">
        <v>908</v>
      </c>
      <c r="AB261" s="52" t="s">
        <v>920</v>
      </c>
      <c r="AC261" s="53" t="s">
        <v>911</v>
      </c>
      <c r="AD261" s="52" t="s">
        <v>920</v>
      </c>
      <c r="AE261" s="53" t="s">
        <v>914</v>
      </c>
      <c r="AF261" s="52" t="s">
        <v>920</v>
      </c>
      <c r="AG261" s="53" t="s">
        <v>917</v>
      </c>
    </row>
    <row r="262" spans="1:33" ht="7.5" customHeight="1" x14ac:dyDescent="0.2">
      <c r="A262" s="9">
        <v>262</v>
      </c>
      <c r="B262" s="13" t="s">
        <v>580</v>
      </c>
      <c r="C262" s="12" t="s">
        <v>782</v>
      </c>
      <c r="D262" s="52" t="s">
        <v>720</v>
      </c>
      <c r="E262" s="53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52" t="s">
        <v>920</v>
      </c>
      <c r="Y262" s="53" t="s">
        <v>904</v>
      </c>
      <c r="Z262" s="52" t="s">
        <v>920</v>
      </c>
      <c r="AA262" s="53" t="s">
        <v>908</v>
      </c>
      <c r="AB262" s="52" t="s">
        <v>920</v>
      </c>
      <c r="AC262" s="53" t="s">
        <v>911</v>
      </c>
      <c r="AD262" s="52" t="s">
        <v>920</v>
      </c>
      <c r="AE262" s="53" t="s">
        <v>914</v>
      </c>
      <c r="AF262" s="52" t="s">
        <v>920</v>
      </c>
      <c r="AG262" s="53" t="s">
        <v>917</v>
      </c>
    </row>
    <row r="263" spans="1:33" ht="7.5" customHeight="1" x14ac:dyDescent="0.2">
      <c r="A263" s="9">
        <v>263</v>
      </c>
      <c r="B263" s="13" t="s">
        <v>581</v>
      </c>
      <c r="C263" s="12" t="s">
        <v>782</v>
      </c>
      <c r="D263" s="52" t="s">
        <v>720</v>
      </c>
      <c r="E263" s="53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52" t="s">
        <v>920</v>
      </c>
      <c r="Y263" s="53" t="s">
        <v>904</v>
      </c>
      <c r="Z263" s="52" t="s">
        <v>920</v>
      </c>
      <c r="AA263" s="53" t="s">
        <v>908</v>
      </c>
      <c r="AB263" s="52" t="s">
        <v>920</v>
      </c>
      <c r="AC263" s="53" t="s">
        <v>911</v>
      </c>
      <c r="AD263" s="52" t="s">
        <v>920</v>
      </c>
      <c r="AE263" s="53" t="s">
        <v>914</v>
      </c>
      <c r="AF263" s="52" t="s">
        <v>920</v>
      </c>
      <c r="AG263" s="53" t="s">
        <v>917</v>
      </c>
    </row>
    <row r="264" spans="1:33" ht="7.5" customHeight="1" x14ac:dyDescent="0.2">
      <c r="A264" s="9">
        <v>264</v>
      </c>
      <c r="B264" s="13" t="s">
        <v>582</v>
      </c>
      <c r="C264" s="12" t="s">
        <v>782</v>
      </c>
      <c r="D264" s="52" t="s">
        <v>720</v>
      </c>
      <c r="E264" s="53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52" t="s">
        <v>920</v>
      </c>
      <c r="Y264" s="53" t="s">
        <v>904</v>
      </c>
      <c r="Z264" s="52" t="s">
        <v>920</v>
      </c>
      <c r="AA264" s="53" t="s">
        <v>908</v>
      </c>
      <c r="AB264" s="52" t="s">
        <v>920</v>
      </c>
      <c r="AC264" s="53" t="s">
        <v>911</v>
      </c>
      <c r="AD264" s="52" t="s">
        <v>920</v>
      </c>
      <c r="AE264" s="53" t="s">
        <v>914</v>
      </c>
      <c r="AF264" s="52" t="s">
        <v>920</v>
      </c>
      <c r="AG264" s="53" t="s">
        <v>917</v>
      </c>
    </row>
    <row r="265" spans="1:33" ht="7.5" customHeight="1" x14ac:dyDescent="0.2">
      <c r="A265" s="9">
        <v>265</v>
      </c>
      <c r="B265" s="13" t="s">
        <v>583</v>
      </c>
      <c r="C265" s="12" t="s">
        <v>782</v>
      </c>
      <c r="D265" s="52" t="s">
        <v>720</v>
      </c>
      <c r="E265" s="53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52" t="s">
        <v>920</v>
      </c>
      <c r="Y265" s="53" t="s">
        <v>904</v>
      </c>
      <c r="Z265" s="52" t="s">
        <v>920</v>
      </c>
      <c r="AA265" s="53" t="s">
        <v>908</v>
      </c>
      <c r="AB265" s="52" t="s">
        <v>920</v>
      </c>
      <c r="AC265" s="53" t="s">
        <v>911</v>
      </c>
      <c r="AD265" s="52" t="s">
        <v>920</v>
      </c>
      <c r="AE265" s="53" t="s">
        <v>914</v>
      </c>
      <c r="AF265" s="52" t="s">
        <v>920</v>
      </c>
      <c r="AG265" s="53" t="s">
        <v>917</v>
      </c>
    </row>
    <row r="266" spans="1:33" ht="7.5" customHeight="1" x14ac:dyDescent="0.2">
      <c r="A266" s="9">
        <v>266</v>
      </c>
      <c r="B266" s="13" t="s">
        <v>584</v>
      </c>
      <c r="C266" s="12" t="s">
        <v>782</v>
      </c>
      <c r="D266" s="52" t="s">
        <v>720</v>
      </c>
      <c r="E266" s="53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52" t="s">
        <v>920</v>
      </c>
      <c r="Y266" s="53" t="s">
        <v>904</v>
      </c>
      <c r="Z266" s="52" t="s">
        <v>920</v>
      </c>
      <c r="AA266" s="53" t="s">
        <v>908</v>
      </c>
      <c r="AB266" s="52" t="s">
        <v>920</v>
      </c>
      <c r="AC266" s="53" t="s">
        <v>911</v>
      </c>
      <c r="AD266" s="52" t="s">
        <v>920</v>
      </c>
      <c r="AE266" s="53" t="s">
        <v>914</v>
      </c>
      <c r="AF266" s="52" t="s">
        <v>920</v>
      </c>
      <c r="AG266" s="53" t="s">
        <v>917</v>
      </c>
    </row>
    <row r="267" spans="1:33" ht="7.5" customHeight="1" x14ac:dyDescent="0.2">
      <c r="A267" s="9">
        <v>267</v>
      </c>
      <c r="B267" s="13" t="s">
        <v>585</v>
      </c>
      <c r="C267" s="12" t="s">
        <v>782</v>
      </c>
      <c r="D267" s="52" t="s">
        <v>720</v>
      </c>
      <c r="E267" s="53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52" t="s">
        <v>920</v>
      </c>
      <c r="Y267" s="53" t="s">
        <v>904</v>
      </c>
      <c r="Z267" s="52" t="s">
        <v>920</v>
      </c>
      <c r="AA267" s="53" t="s">
        <v>908</v>
      </c>
      <c r="AB267" s="52" t="s">
        <v>920</v>
      </c>
      <c r="AC267" s="53" t="s">
        <v>911</v>
      </c>
      <c r="AD267" s="52" t="s">
        <v>920</v>
      </c>
      <c r="AE267" s="53" t="s">
        <v>914</v>
      </c>
      <c r="AF267" s="52" t="s">
        <v>920</v>
      </c>
      <c r="AG267" s="53" t="s">
        <v>917</v>
      </c>
    </row>
    <row r="268" spans="1:33" ht="7.5" customHeight="1" x14ac:dyDescent="0.2">
      <c r="A268" s="9">
        <v>268</v>
      </c>
      <c r="B268" s="13" t="s">
        <v>586</v>
      </c>
      <c r="C268" s="12" t="s">
        <v>782</v>
      </c>
      <c r="D268" s="52" t="s">
        <v>720</v>
      </c>
      <c r="E268" s="53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52" t="s">
        <v>920</v>
      </c>
      <c r="Y268" s="53" t="s">
        <v>904</v>
      </c>
      <c r="Z268" s="52" t="s">
        <v>920</v>
      </c>
      <c r="AA268" s="53" t="s">
        <v>908</v>
      </c>
      <c r="AB268" s="52" t="s">
        <v>920</v>
      </c>
      <c r="AC268" s="53" t="s">
        <v>911</v>
      </c>
      <c r="AD268" s="52" t="s">
        <v>920</v>
      </c>
      <c r="AE268" s="53" t="s">
        <v>914</v>
      </c>
      <c r="AF268" s="52" t="s">
        <v>920</v>
      </c>
      <c r="AG268" s="53" t="s">
        <v>917</v>
      </c>
    </row>
    <row r="269" spans="1:33" ht="7.5" customHeight="1" x14ac:dyDescent="0.2">
      <c r="A269" s="9">
        <v>269</v>
      </c>
      <c r="B269" s="13" t="s">
        <v>587</v>
      </c>
      <c r="C269" s="12" t="s">
        <v>782</v>
      </c>
      <c r="D269" s="52" t="s">
        <v>720</v>
      </c>
      <c r="E269" s="53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52" t="s">
        <v>920</v>
      </c>
      <c r="Y269" s="53" t="s">
        <v>904</v>
      </c>
      <c r="Z269" s="52" t="s">
        <v>920</v>
      </c>
      <c r="AA269" s="53" t="s">
        <v>908</v>
      </c>
      <c r="AB269" s="52" t="s">
        <v>920</v>
      </c>
      <c r="AC269" s="53" t="s">
        <v>911</v>
      </c>
      <c r="AD269" s="52" t="s">
        <v>920</v>
      </c>
      <c r="AE269" s="53" t="s">
        <v>914</v>
      </c>
      <c r="AF269" s="52" t="s">
        <v>920</v>
      </c>
      <c r="AG269" s="53" t="s">
        <v>917</v>
      </c>
    </row>
    <row r="270" spans="1:33" ht="7.5" customHeight="1" x14ac:dyDescent="0.2">
      <c r="A270" s="9">
        <v>270</v>
      </c>
      <c r="B270" s="13" t="s">
        <v>588</v>
      </c>
      <c r="C270" s="12" t="s">
        <v>782</v>
      </c>
      <c r="D270" s="52" t="s">
        <v>720</v>
      </c>
      <c r="E270" s="53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52" t="s">
        <v>920</v>
      </c>
      <c r="Y270" s="53" t="s">
        <v>904</v>
      </c>
      <c r="Z270" s="52" t="s">
        <v>920</v>
      </c>
      <c r="AA270" s="53" t="s">
        <v>908</v>
      </c>
      <c r="AB270" s="52" t="s">
        <v>920</v>
      </c>
      <c r="AC270" s="53" t="s">
        <v>911</v>
      </c>
      <c r="AD270" s="52" t="s">
        <v>920</v>
      </c>
      <c r="AE270" s="53" t="s">
        <v>914</v>
      </c>
      <c r="AF270" s="52" t="s">
        <v>920</v>
      </c>
      <c r="AG270" s="53" t="s">
        <v>917</v>
      </c>
    </row>
    <row r="271" spans="1:33" ht="7.5" customHeight="1" x14ac:dyDescent="0.2">
      <c r="A271" s="9">
        <v>271</v>
      </c>
      <c r="B271" s="13" t="s">
        <v>589</v>
      </c>
      <c r="C271" s="12" t="s">
        <v>782</v>
      </c>
      <c r="D271" s="52" t="s">
        <v>720</v>
      </c>
      <c r="E271" s="53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52" t="s">
        <v>920</v>
      </c>
      <c r="Y271" s="53" t="s">
        <v>904</v>
      </c>
      <c r="Z271" s="52" t="s">
        <v>920</v>
      </c>
      <c r="AA271" s="53" t="s">
        <v>908</v>
      </c>
      <c r="AB271" s="52" t="s">
        <v>920</v>
      </c>
      <c r="AC271" s="53" t="s">
        <v>911</v>
      </c>
      <c r="AD271" s="52" t="s">
        <v>920</v>
      </c>
      <c r="AE271" s="53" t="s">
        <v>914</v>
      </c>
      <c r="AF271" s="52" t="s">
        <v>920</v>
      </c>
      <c r="AG271" s="53" t="s">
        <v>917</v>
      </c>
    </row>
    <row r="272" spans="1:33" ht="7.5" customHeight="1" x14ac:dyDescent="0.2">
      <c r="A272" s="9">
        <v>272</v>
      </c>
      <c r="B272" s="13" t="s">
        <v>590</v>
      </c>
      <c r="C272" s="12" t="s">
        <v>782</v>
      </c>
      <c r="D272" s="52" t="s">
        <v>720</v>
      </c>
      <c r="E272" s="53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52" t="s">
        <v>920</v>
      </c>
      <c r="Y272" s="53" t="s">
        <v>904</v>
      </c>
      <c r="Z272" s="52" t="s">
        <v>920</v>
      </c>
      <c r="AA272" s="53" t="s">
        <v>908</v>
      </c>
      <c r="AB272" s="52" t="s">
        <v>920</v>
      </c>
      <c r="AC272" s="53" t="s">
        <v>911</v>
      </c>
      <c r="AD272" s="52" t="s">
        <v>920</v>
      </c>
      <c r="AE272" s="53" t="s">
        <v>914</v>
      </c>
      <c r="AF272" s="52" t="s">
        <v>920</v>
      </c>
      <c r="AG272" s="53" t="s">
        <v>917</v>
      </c>
    </row>
    <row r="273" spans="1:33" ht="7.5" customHeight="1" x14ac:dyDescent="0.2">
      <c r="A273" s="9">
        <v>273</v>
      </c>
      <c r="B273" s="13" t="s">
        <v>591</v>
      </c>
      <c r="C273" s="12" t="s">
        <v>782</v>
      </c>
      <c r="D273" s="52" t="s">
        <v>720</v>
      </c>
      <c r="E273" s="53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52" t="s">
        <v>920</v>
      </c>
      <c r="Y273" s="53" t="s">
        <v>904</v>
      </c>
      <c r="Z273" s="52" t="s">
        <v>920</v>
      </c>
      <c r="AA273" s="53" t="s">
        <v>908</v>
      </c>
      <c r="AB273" s="52" t="s">
        <v>920</v>
      </c>
      <c r="AC273" s="53" t="s">
        <v>911</v>
      </c>
      <c r="AD273" s="52" t="s">
        <v>920</v>
      </c>
      <c r="AE273" s="53" t="s">
        <v>914</v>
      </c>
      <c r="AF273" s="52" t="s">
        <v>920</v>
      </c>
      <c r="AG273" s="53" t="s">
        <v>917</v>
      </c>
    </row>
    <row r="274" spans="1:33" ht="7.5" customHeight="1" x14ac:dyDescent="0.2">
      <c r="A274" s="9">
        <v>274</v>
      </c>
      <c r="B274" s="13" t="s">
        <v>592</v>
      </c>
      <c r="C274" s="12" t="s">
        <v>782</v>
      </c>
      <c r="D274" s="52" t="s">
        <v>720</v>
      </c>
      <c r="E274" s="53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52" t="s">
        <v>920</v>
      </c>
      <c r="Y274" s="53" t="s">
        <v>904</v>
      </c>
      <c r="Z274" s="52" t="s">
        <v>920</v>
      </c>
      <c r="AA274" s="53" t="s">
        <v>908</v>
      </c>
      <c r="AB274" s="52" t="s">
        <v>920</v>
      </c>
      <c r="AC274" s="53" t="s">
        <v>911</v>
      </c>
      <c r="AD274" s="52" t="s">
        <v>920</v>
      </c>
      <c r="AE274" s="53" t="s">
        <v>914</v>
      </c>
      <c r="AF274" s="52" t="s">
        <v>920</v>
      </c>
      <c r="AG274" s="53" t="s">
        <v>917</v>
      </c>
    </row>
    <row r="275" spans="1:33" ht="7.5" customHeight="1" x14ac:dyDescent="0.2">
      <c r="A275" s="9">
        <v>275</v>
      </c>
      <c r="B275" s="13" t="s">
        <v>593</v>
      </c>
      <c r="C275" s="12" t="s">
        <v>782</v>
      </c>
      <c r="D275" s="52" t="s">
        <v>720</v>
      </c>
      <c r="E275" s="53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52" t="s">
        <v>920</v>
      </c>
      <c r="Y275" s="53" t="s">
        <v>904</v>
      </c>
      <c r="Z275" s="52" t="s">
        <v>920</v>
      </c>
      <c r="AA275" s="53" t="s">
        <v>908</v>
      </c>
      <c r="AB275" s="52" t="s">
        <v>920</v>
      </c>
      <c r="AC275" s="53" t="s">
        <v>911</v>
      </c>
      <c r="AD275" s="52" t="s">
        <v>920</v>
      </c>
      <c r="AE275" s="53" t="s">
        <v>914</v>
      </c>
      <c r="AF275" s="52" t="s">
        <v>920</v>
      </c>
      <c r="AG275" s="53" t="s">
        <v>917</v>
      </c>
    </row>
    <row r="276" spans="1:33" ht="7.5" customHeight="1" x14ac:dyDescent="0.2">
      <c r="A276" s="9">
        <v>276</v>
      </c>
      <c r="B276" s="13" t="s">
        <v>594</v>
      </c>
      <c r="C276" s="12" t="s">
        <v>782</v>
      </c>
      <c r="D276" s="52" t="s">
        <v>720</v>
      </c>
      <c r="E276" s="53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52" t="s">
        <v>920</v>
      </c>
      <c r="Y276" s="53" t="s">
        <v>904</v>
      </c>
      <c r="Z276" s="52" t="s">
        <v>920</v>
      </c>
      <c r="AA276" s="53" t="s">
        <v>908</v>
      </c>
      <c r="AB276" s="52" t="s">
        <v>920</v>
      </c>
      <c r="AC276" s="53" t="s">
        <v>911</v>
      </c>
      <c r="AD276" s="52" t="s">
        <v>920</v>
      </c>
      <c r="AE276" s="53" t="s">
        <v>914</v>
      </c>
      <c r="AF276" s="52" t="s">
        <v>920</v>
      </c>
      <c r="AG276" s="53" t="s">
        <v>917</v>
      </c>
    </row>
    <row r="277" spans="1:33" ht="7.5" customHeight="1" x14ac:dyDescent="0.2">
      <c r="A277" s="9">
        <v>277</v>
      </c>
      <c r="B277" s="13" t="s">
        <v>595</v>
      </c>
      <c r="C277" s="12" t="s">
        <v>782</v>
      </c>
      <c r="D277" s="52" t="s">
        <v>720</v>
      </c>
      <c r="E277" s="53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52" t="s">
        <v>920</v>
      </c>
      <c r="Y277" s="53" t="s">
        <v>904</v>
      </c>
      <c r="Z277" s="52" t="s">
        <v>920</v>
      </c>
      <c r="AA277" s="53" t="s">
        <v>908</v>
      </c>
      <c r="AB277" s="52" t="s">
        <v>920</v>
      </c>
      <c r="AC277" s="53" t="s">
        <v>911</v>
      </c>
      <c r="AD277" s="52" t="s">
        <v>920</v>
      </c>
      <c r="AE277" s="53" t="s">
        <v>914</v>
      </c>
      <c r="AF277" s="52" t="s">
        <v>920</v>
      </c>
      <c r="AG277" s="53" t="s">
        <v>917</v>
      </c>
    </row>
    <row r="278" spans="1:33" ht="7.5" customHeight="1" x14ac:dyDescent="0.2">
      <c r="A278" s="9">
        <v>278</v>
      </c>
      <c r="B278" s="13" t="s">
        <v>596</v>
      </c>
      <c r="C278" s="12" t="s">
        <v>782</v>
      </c>
      <c r="D278" s="52" t="s">
        <v>720</v>
      </c>
      <c r="E278" s="53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52" t="s">
        <v>920</v>
      </c>
      <c r="Y278" s="53" t="s">
        <v>904</v>
      </c>
      <c r="Z278" s="52" t="s">
        <v>920</v>
      </c>
      <c r="AA278" s="53" t="s">
        <v>908</v>
      </c>
      <c r="AB278" s="52" t="s">
        <v>920</v>
      </c>
      <c r="AC278" s="53" t="s">
        <v>911</v>
      </c>
      <c r="AD278" s="52" t="s">
        <v>920</v>
      </c>
      <c r="AE278" s="53" t="s">
        <v>914</v>
      </c>
      <c r="AF278" s="52" t="s">
        <v>920</v>
      </c>
      <c r="AG278" s="53" t="s">
        <v>917</v>
      </c>
    </row>
    <row r="279" spans="1:33" ht="7.5" customHeight="1" x14ac:dyDescent="0.2">
      <c r="A279" s="9">
        <v>279</v>
      </c>
      <c r="B279" s="13" t="s">
        <v>597</v>
      </c>
      <c r="C279" s="12" t="s">
        <v>782</v>
      </c>
      <c r="D279" s="52" t="s">
        <v>720</v>
      </c>
      <c r="E279" s="53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52" t="s">
        <v>920</v>
      </c>
      <c r="Y279" s="53" t="s">
        <v>904</v>
      </c>
      <c r="Z279" s="52" t="s">
        <v>920</v>
      </c>
      <c r="AA279" s="53" t="s">
        <v>908</v>
      </c>
      <c r="AB279" s="52" t="s">
        <v>920</v>
      </c>
      <c r="AC279" s="53" t="s">
        <v>911</v>
      </c>
      <c r="AD279" s="52" t="s">
        <v>920</v>
      </c>
      <c r="AE279" s="53" t="s">
        <v>914</v>
      </c>
      <c r="AF279" s="52" t="s">
        <v>920</v>
      </c>
      <c r="AG279" s="53" t="s">
        <v>917</v>
      </c>
    </row>
    <row r="280" spans="1:33" ht="7.5" customHeight="1" x14ac:dyDescent="0.2">
      <c r="A280" s="9">
        <v>280</v>
      </c>
      <c r="B280" s="13" t="s">
        <v>598</v>
      </c>
      <c r="C280" s="12" t="s">
        <v>782</v>
      </c>
      <c r="D280" s="52" t="s">
        <v>720</v>
      </c>
      <c r="E280" s="53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52" t="s">
        <v>920</v>
      </c>
      <c r="Y280" s="53" t="s">
        <v>904</v>
      </c>
      <c r="Z280" s="52" t="s">
        <v>920</v>
      </c>
      <c r="AA280" s="53" t="s">
        <v>908</v>
      </c>
      <c r="AB280" s="52" t="s">
        <v>920</v>
      </c>
      <c r="AC280" s="53" t="s">
        <v>911</v>
      </c>
      <c r="AD280" s="52" t="s">
        <v>920</v>
      </c>
      <c r="AE280" s="53" t="s">
        <v>914</v>
      </c>
      <c r="AF280" s="52" t="s">
        <v>920</v>
      </c>
      <c r="AG280" s="53" t="s">
        <v>917</v>
      </c>
    </row>
    <row r="281" spans="1:33" ht="7.5" customHeight="1" x14ac:dyDescent="0.2">
      <c r="A281" s="9">
        <v>281</v>
      </c>
      <c r="B281" s="13" t="s">
        <v>599</v>
      </c>
      <c r="C281" s="12" t="s">
        <v>782</v>
      </c>
      <c r="D281" s="52" t="s">
        <v>720</v>
      </c>
      <c r="E281" s="53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52" t="s">
        <v>920</v>
      </c>
      <c r="Y281" s="53" t="s">
        <v>904</v>
      </c>
      <c r="Z281" s="52" t="s">
        <v>920</v>
      </c>
      <c r="AA281" s="53" t="s">
        <v>908</v>
      </c>
      <c r="AB281" s="52" t="s">
        <v>920</v>
      </c>
      <c r="AC281" s="53" t="s">
        <v>911</v>
      </c>
      <c r="AD281" s="52" t="s">
        <v>920</v>
      </c>
      <c r="AE281" s="53" t="s">
        <v>914</v>
      </c>
      <c r="AF281" s="52" t="s">
        <v>920</v>
      </c>
      <c r="AG281" s="53" t="s">
        <v>917</v>
      </c>
    </row>
    <row r="282" spans="1:33" ht="7.5" customHeight="1" x14ac:dyDescent="0.2">
      <c r="A282" s="9">
        <v>282</v>
      </c>
      <c r="B282" s="13" t="s">
        <v>600</v>
      </c>
      <c r="C282" s="12" t="s">
        <v>782</v>
      </c>
      <c r="D282" s="52" t="s">
        <v>720</v>
      </c>
      <c r="E282" s="53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52" t="s">
        <v>920</v>
      </c>
      <c r="Y282" s="53" t="s">
        <v>904</v>
      </c>
      <c r="Z282" s="52" t="s">
        <v>920</v>
      </c>
      <c r="AA282" s="53" t="s">
        <v>908</v>
      </c>
      <c r="AB282" s="52" t="s">
        <v>920</v>
      </c>
      <c r="AC282" s="53" t="s">
        <v>911</v>
      </c>
      <c r="AD282" s="52" t="s">
        <v>920</v>
      </c>
      <c r="AE282" s="53" t="s">
        <v>914</v>
      </c>
      <c r="AF282" s="52" t="s">
        <v>920</v>
      </c>
      <c r="AG282" s="53" t="s">
        <v>917</v>
      </c>
    </row>
    <row r="283" spans="1:33" ht="7.5" customHeight="1" x14ac:dyDescent="0.2">
      <c r="A283" s="9">
        <v>283</v>
      </c>
      <c r="B283" s="13" t="s">
        <v>601</v>
      </c>
      <c r="C283" s="12" t="s">
        <v>782</v>
      </c>
      <c r="D283" s="52" t="s">
        <v>720</v>
      </c>
      <c r="E283" s="53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52" t="s">
        <v>920</v>
      </c>
      <c r="Y283" s="53" t="s">
        <v>904</v>
      </c>
      <c r="Z283" s="52" t="s">
        <v>920</v>
      </c>
      <c r="AA283" s="53" t="s">
        <v>908</v>
      </c>
      <c r="AB283" s="52" t="s">
        <v>920</v>
      </c>
      <c r="AC283" s="53" t="s">
        <v>911</v>
      </c>
      <c r="AD283" s="52" t="s">
        <v>920</v>
      </c>
      <c r="AE283" s="53" t="s">
        <v>914</v>
      </c>
      <c r="AF283" s="52" t="s">
        <v>920</v>
      </c>
      <c r="AG283" s="53" t="s">
        <v>917</v>
      </c>
    </row>
    <row r="284" spans="1:33" ht="7.5" customHeight="1" x14ac:dyDescent="0.2">
      <c r="A284" s="9">
        <v>284</v>
      </c>
      <c r="B284" s="13" t="s">
        <v>602</v>
      </c>
      <c r="C284" s="12" t="s">
        <v>782</v>
      </c>
      <c r="D284" s="52" t="s">
        <v>720</v>
      </c>
      <c r="E284" s="53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52" t="s">
        <v>920</v>
      </c>
      <c r="Y284" s="53" t="s">
        <v>904</v>
      </c>
      <c r="Z284" s="52" t="s">
        <v>920</v>
      </c>
      <c r="AA284" s="53" t="s">
        <v>908</v>
      </c>
      <c r="AB284" s="52" t="s">
        <v>920</v>
      </c>
      <c r="AC284" s="53" t="s">
        <v>911</v>
      </c>
      <c r="AD284" s="52" t="s">
        <v>920</v>
      </c>
      <c r="AE284" s="53" t="s">
        <v>914</v>
      </c>
      <c r="AF284" s="52" t="s">
        <v>920</v>
      </c>
      <c r="AG284" s="53" t="s">
        <v>917</v>
      </c>
    </row>
    <row r="285" spans="1:33" ht="7.5" customHeight="1" x14ac:dyDescent="0.2">
      <c r="A285" s="9">
        <v>285</v>
      </c>
      <c r="B285" s="13" t="s">
        <v>603</v>
      </c>
      <c r="C285" s="12" t="s">
        <v>782</v>
      </c>
      <c r="D285" s="52" t="s">
        <v>720</v>
      </c>
      <c r="E285" s="53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52" t="s">
        <v>920</v>
      </c>
      <c r="Y285" s="53" t="s">
        <v>904</v>
      </c>
      <c r="Z285" s="52" t="s">
        <v>920</v>
      </c>
      <c r="AA285" s="53" t="s">
        <v>908</v>
      </c>
      <c r="AB285" s="52" t="s">
        <v>920</v>
      </c>
      <c r="AC285" s="53" t="s">
        <v>911</v>
      </c>
      <c r="AD285" s="52" t="s">
        <v>920</v>
      </c>
      <c r="AE285" s="53" t="s">
        <v>914</v>
      </c>
      <c r="AF285" s="52" t="s">
        <v>920</v>
      </c>
      <c r="AG285" s="53" t="s">
        <v>917</v>
      </c>
    </row>
    <row r="286" spans="1:33" ht="7.5" customHeight="1" x14ac:dyDescent="0.2">
      <c r="A286" s="9">
        <v>286</v>
      </c>
      <c r="B286" s="13" t="s">
        <v>604</v>
      </c>
      <c r="C286" s="12" t="s">
        <v>782</v>
      </c>
      <c r="D286" s="52" t="s">
        <v>720</v>
      </c>
      <c r="E286" s="53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52" t="s">
        <v>920</v>
      </c>
      <c r="Y286" s="53" t="s">
        <v>904</v>
      </c>
      <c r="Z286" s="52" t="s">
        <v>920</v>
      </c>
      <c r="AA286" s="53" t="s">
        <v>908</v>
      </c>
      <c r="AB286" s="52" t="s">
        <v>920</v>
      </c>
      <c r="AC286" s="53" t="s">
        <v>911</v>
      </c>
      <c r="AD286" s="52" t="s">
        <v>920</v>
      </c>
      <c r="AE286" s="53" t="s">
        <v>914</v>
      </c>
      <c r="AF286" s="52" t="s">
        <v>920</v>
      </c>
      <c r="AG286" s="53" t="s">
        <v>917</v>
      </c>
    </row>
    <row r="287" spans="1:33" ht="7.5" customHeight="1" x14ac:dyDescent="0.2">
      <c r="A287" s="9">
        <v>287</v>
      </c>
      <c r="B287" s="13" t="s">
        <v>605</v>
      </c>
      <c r="C287" s="12" t="s">
        <v>783</v>
      </c>
      <c r="D287" s="52" t="s">
        <v>720</v>
      </c>
      <c r="E287" s="53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730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52" t="s">
        <v>920</v>
      </c>
      <c r="Y287" s="53" t="s">
        <v>904</v>
      </c>
      <c r="Z287" s="52" t="s">
        <v>920</v>
      </c>
      <c r="AA287" s="53" t="s">
        <v>908</v>
      </c>
      <c r="AB287" s="52" t="s">
        <v>920</v>
      </c>
      <c r="AC287" s="53" t="s">
        <v>911</v>
      </c>
      <c r="AD287" s="52" t="s">
        <v>920</v>
      </c>
      <c r="AE287" s="53" t="s">
        <v>914</v>
      </c>
      <c r="AF287" s="52" t="s">
        <v>920</v>
      </c>
      <c r="AG287" s="53" t="s">
        <v>917</v>
      </c>
    </row>
    <row r="288" spans="1:33" ht="7.5" customHeight="1" x14ac:dyDescent="0.2">
      <c r="A288" s="9">
        <v>288</v>
      </c>
      <c r="B288" s="13" t="s">
        <v>606</v>
      </c>
      <c r="C288" s="12" t="s">
        <v>783</v>
      </c>
      <c r="D288" s="52" t="s">
        <v>720</v>
      </c>
      <c r="E288" s="53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730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52" t="s">
        <v>920</v>
      </c>
      <c r="Y288" s="53" t="s">
        <v>904</v>
      </c>
      <c r="Z288" s="52" t="s">
        <v>920</v>
      </c>
      <c r="AA288" s="53" t="s">
        <v>908</v>
      </c>
      <c r="AB288" s="52" t="s">
        <v>920</v>
      </c>
      <c r="AC288" s="53" t="s">
        <v>911</v>
      </c>
      <c r="AD288" s="52" t="s">
        <v>920</v>
      </c>
      <c r="AE288" s="53" t="s">
        <v>914</v>
      </c>
      <c r="AF288" s="52" t="s">
        <v>920</v>
      </c>
      <c r="AG288" s="53" t="s">
        <v>917</v>
      </c>
    </row>
    <row r="289" spans="1:33" ht="7.5" customHeight="1" x14ac:dyDescent="0.2">
      <c r="A289" s="9">
        <v>289</v>
      </c>
      <c r="B289" s="13" t="s">
        <v>607</v>
      </c>
      <c r="C289" s="12" t="s">
        <v>783</v>
      </c>
      <c r="D289" s="52" t="s">
        <v>720</v>
      </c>
      <c r="E289" s="53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730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52" t="s">
        <v>920</v>
      </c>
      <c r="Y289" s="53" t="s">
        <v>904</v>
      </c>
      <c r="Z289" s="52" t="s">
        <v>920</v>
      </c>
      <c r="AA289" s="53" t="s">
        <v>908</v>
      </c>
      <c r="AB289" s="52" t="s">
        <v>920</v>
      </c>
      <c r="AC289" s="53" t="s">
        <v>911</v>
      </c>
      <c r="AD289" s="52" t="s">
        <v>920</v>
      </c>
      <c r="AE289" s="53" t="s">
        <v>914</v>
      </c>
      <c r="AF289" s="52" t="s">
        <v>920</v>
      </c>
      <c r="AG289" s="53" t="s">
        <v>917</v>
      </c>
    </row>
    <row r="290" spans="1:33" ht="7.5" customHeight="1" x14ac:dyDescent="0.2">
      <c r="A290" s="9">
        <v>290</v>
      </c>
      <c r="B290" s="13" t="s">
        <v>608</v>
      </c>
      <c r="C290" s="12" t="s">
        <v>783</v>
      </c>
      <c r="D290" s="52" t="s">
        <v>720</v>
      </c>
      <c r="E290" s="53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730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52" t="s">
        <v>920</v>
      </c>
      <c r="Y290" s="53" t="s">
        <v>904</v>
      </c>
      <c r="Z290" s="52" t="s">
        <v>920</v>
      </c>
      <c r="AA290" s="53" t="s">
        <v>908</v>
      </c>
      <c r="AB290" s="52" t="s">
        <v>920</v>
      </c>
      <c r="AC290" s="53" t="s">
        <v>911</v>
      </c>
      <c r="AD290" s="52" t="s">
        <v>920</v>
      </c>
      <c r="AE290" s="53" t="s">
        <v>914</v>
      </c>
      <c r="AF290" s="52" t="s">
        <v>920</v>
      </c>
      <c r="AG290" s="53" t="s">
        <v>917</v>
      </c>
    </row>
    <row r="291" spans="1:33" ht="7.5" customHeight="1" x14ac:dyDescent="0.2">
      <c r="A291" s="9">
        <v>291</v>
      </c>
      <c r="B291" s="13" t="s">
        <v>609</v>
      </c>
      <c r="C291" s="12" t="s">
        <v>783</v>
      </c>
      <c r="D291" s="52" t="s">
        <v>720</v>
      </c>
      <c r="E291" s="53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730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52" t="s">
        <v>920</v>
      </c>
      <c r="Y291" s="53" t="s">
        <v>904</v>
      </c>
      <c r="Z291" s="52" t="s">
        <v>920</v>
      </c>
      <c r="AA291" s="53" t="s">
        <v>908</v>
      </c>
      <c r="AB291" s="52" t="s">
        <v>920</v>
      </c>
      <c r="AC291" s="53" t="s">
        <v>911</v>
      </c>
      <c r="AD291" s="52" t="s">
        <v>920</v>
      </c>
      <c r="AE291" s="53" t="s">
        <v>914</v>
      </c>
      <c r="AF291" s="52" t="s">
        <v>920</v>
      </c>
      <c r="AG291" s="53" t="s">
        <v>917</v>
      </c>
    </row>
    <row r="292" spans="1:33" ht="7.5" customHeight="1" x14ac:dyDescent="0.2">
      <c r="A292" s="9">
        <v>292</v>
      </c>
      <c r="B292" s="13" t="s">
        <v>610</v>
      </c>
      <c r="C292" s="12" t="s">
        <v>783</v>
      </c>
      <c r="D292" s="52" t="s">
        <v>720</v>
      </c>
      <c r="E292" s="53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730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52" t="s">
        <v>920</v>
      </c>
      <c r="Y292" s="53" t="s">
        <v>904</v>
      </c>
      <c r="Z292" s="52" t="s">
        <v>920</v>
      </c>
      <c r="AA292" s="53" t="s">
        <v>908</v>
      </c>
      <c r="AB292" s="52" t="s">
        <v>920</v>
      </c>
      <c r="AC292" s="53" t="s">
        <v>911</v>
      </c>
      <c r="AD292" s="52" t="s">
        <v>920</v>
      </c>
      <c r="AE292" s="53" t="s">
        <v>914</v>
      </c>
      <c r="AF292" s="52" t="s">
        <v>920</v>
      </c>
      <c r="AG292" s="53" t="s">
        <v>917</v>
      </c>
    </row>
    <row r="293" spans="1:33" ht="7.5" customHeight="1" x14ac:dyDescent="0.2">
      <c r="A293" s="9">
        <v>293</v>
      </c>
      <c r="B293" s="13" t="s">
        <v>611</v>
      </c>
      <c r="C293" s="12" t="s">
        <v>783</v>
      </c>
      <c r="D293" s="52" t="s">
        <v>720</v>
      </c>
      <c r="E293" s="53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730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52" t="s">
        <v>920</v>
      </c>
      <c r="Y293" s="53" t="s">
        <v>904</v>
      </c>
      <c r="Z293" s="52" t="s">
        <v>920</v>
      </c>
      <c r="AA293" s="53" t="s">
        <v>908</v>
      </c>
      <c r="AB293" s="52" t="s">
        <v>920</v>
      </c>
      <c r="AC293" s="53" t="s">
        <v>911</v>
      </c>
      <c r="AD293" s="52" t="s">
        <v>920</v>
      </c>
      <c r="AE293" s="53" t="s">
        <v>914</v>
      </c>
      <c r="AF293" s="52" t="s">
        <v>920</v>
      </c>
      <c r="AG293" s="53" t="s">
        <v>917</v>
      </c>
    </row>
    <row r="294" spans="1:33" ht="7.5" customHeight="1" x14ac:dyDescent="0.2">
      <c r="A294" s="9">
        <v>294</v>
      </c>
      <c r="B294" s="13" t="s">
        <v>612</v>
      </c>
      <c r="C294" s="12" t="s">
        <v>783</v>
      </c>
      <c r="D294" s="52" t="s">
        <v>720</v>
      </c>
      <c r="E294" s="53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730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52" t="s">
        <v>920</v>
      </c>
      <c r="Y294" s="53" t="s">
        <v>904</v>
      </c>
      <c r="Z294" s="52" t="s">
        <v>920</v>
      </c>
      <c r="AA294" s="53" t="s">
        <v>908</v>
      </c>
      <c r="AB294" s="52" t="s">
        <v>920</v>
      </c>
      <c r="AC294" s="53" t="s">
        <v>911</v>
      </c>
      <c r="AD294" s="52" t="s">
        <v>920</v>
      </c>
      <c r="AE294" s="53" t="s">
        <v>914</v>
      </c>
      <c r="AF294" s="52" t="s">
        <v>920</v>
      </c>
      <c r="AG294" s="53" t="s">
        <v>917</v>
      </c>
    </row>
    <row r="295" spans="1:33" ht="7.5" customHeight="1" x14ac:dyDescent="0.2">
      <c r="A295" s="9">
        <v>295</v>
      </c>
      <c r="B295" s="13" t="s">
        <v>613</v>
      </c>
      <c r="C295" s="12" t="s">
        <v>783</v>
      </c>
      <c r="D295" s="52" t="s">
        <v>720</v>
      </c>
      <c r="E295" s="53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730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52" t="s">
        <v>920</v>
      </c>
      <c r="Y295" s="53" t="s">
        <v>904</v>
      </c>
      <c r="Z295" s="52" t="s">
        <v>920</v>
      </c>
      <c r="AA295" s="53" t="s">
        <v>908</v>
      </c>
      <c r="AB295" s="52" t="s">
        <v>920</v>
      </c>
      <c r="AC295" s="53" t="s">
        <v>911</v>
      </c>
      <c r="AD295" s="52" t="s">
        <v>920</v>
      </c>
      <c r="AE295" s="53" t="s">
        <v>914</v>
      </c>
      <c r="AF295" s="52" t="s">
        <v>920</v>
      </c>
      <c r="AG295" s="53" t="s">
        <v>917</v>
      </c>
    </row>
    <row r="296" spans="1:33" ht="7.5" customHeight="1" x14ac:dyDescent="0.2">
      <c r="A296" s="9">
        <v>296</v>
      </c>
      <c r="B296" s="13" t="s">
        <v>614</v>
      </c>
      <c r="C296" s="12" t="s">
        <v>784</v>
      </c>
      <c r="D296" s="52" t="s">
        <v>720</v>
      </c>
      <c r="E296" s="53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731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52" t="s">
        <v>920</v>
      </c>
      <c r="Y296" s="53" t="s">
        <v>904</v>
      </c>
      <c r="Z296" s="52" t="s">
        <v>920</v>
      </c>
      <c r="AA296" s="53" t="s">
        <v>908</v>
      </c>
      <c r="AB296" s="52" t="s">
        <v>920</v>
      </c>
      <c r="AC296" s="53" t="s">
        <v>911</v>
      </c>
      <c r="AD296" s="52" t="s">
        <v>920</v>
      </c>
      <c r="AE296" s="53" t="s">
        <v>914</v>
      </c>
      <c r="AF296" s="52" t="s">
        <v>920</v>
      </c>
      <c r="AG296" s="53" t="s">
        <v>917</v>
      </c>
    </row>
    <row r="297" spans="1:33" ht="7.5" customHeight="1" x14ac:dyDescent="0.2">
      <c r="A297" s="9">
        <v>297</v>
      </c>
      <c r="B297" s="13" t="s">
        <v>615</v>
      </c>
      <c r="C297" s="12" t="s">
        <v>784</v>
      </c>
      <c r="D297" s="52" t="s">
        <v>720</v>
      </c>
      <c r="E297" s="53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731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52" t="s">
        <v>920</v>
      </c>
      <c r="Y297" s="53" t="s">
        <v>904</v>
      </c>
      <c r="Z297" s="52" t="s">
        <v>920</v>
      </c>
      <c r="AA297" s="53" t="s">
        <v>908</v>
      </c>
      <c r="AB297" s="52" t="s">
        <v>920</v>
      </c>
      <c r="AC297" s="53" t="s">
        <v>911</v>
      </c>
      <c r="AD297" s="52" t="s">
        <v>920</v>
      </c>
      <c r="AE297" s="53" t="s">
        <v>914</v>
      </c>
      <c r="AF297" s="52" t="s">
        <v>920</v>
      </c>
      <c r="AG297" s="53" t="s">
        <v>917</v>
      </c>
    </row>
    <row r="298" spans="1:33" ht="7.5" customHeight="1" x14ac:dyDescent="0.2">
      <c r="A298" s="9">
        <v>298</v>
      </c>
      <c r="B298" s="13" t="s">
        <v>616</v>
      </c>
      <c r="C298" s="12" t="s">
        <v>784</v>
      </c>
      <c r="D298" s="52" t="s">
        <v>720</v>
      </c>
      <c r="E298" s="53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731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52" t="s">
        <v>920</v>
      </c>
      <c r="Y298" s="53" t="s">
        <v>904</v>
      </c>
      <c r="Z298" s="52" t="s">
        <v>920</v>
      </c>
      <c r="AA298" s="53" t="s">
        <v>908</v>
      </c>
      <c r="AB298" s="52" t="s">
        <v>920</v>
      </c>
      <c r="AC298" s="53" t="s">
        <v>911</v>
      </c>
      <c r="AD298" s="52" t="s">
        <v>920</v>
      </c>
      <c r="AE298" s="53" t="s">
        <v>914</v>
      </c>
      <c r="AF298" s="52" t="s">
        <v>920</v>
      </c>
      <c r="AG298" s="53" t="s">
        <v>917</v>
      </c>
    </row>
    <row r="299" spans="1:33" ht="7.5" customHeight="1" x14ac:dyDescent="0.2">
      <c r="A299" s="9">
        <v>299</v>
      </c>
      <c r="B299" s="13" t="s">
        <v>617</v>
      </c>
      <c r="C299" s="12" t="s">
        <v>784</v>
      </c>
      <c r="D299" s="52" t="s">
        <v>720</v>
      </c>
      <c r="E299" s="53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731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52" t="s">
        <v>920</v>
      </c>
      <c r="Y299" s="53" t="s">
        <v>904</v>
      </c>
      <c r="Z299" s="52" t="s">
        <v>920</v>
      </c>
      <c r="AA299" s="53" t="s">
        <v>908</v>
      </c>
      <c r="AB299" s="52" t="s">
        <v>920</v>
      </c>
      <c r="AC299" s="53" t="s">
        <v>911</v>
      </c>
      <c r="AD299" s="52" t="s">
        <v>920</v>
      </c>
      <c r="AE299" s="53" t="s">
        <v>914</v>
      </c>
      <c r="AF299" s="52" t="s">
        <v>920</v>
      </c>
      <c r="AG299" s="53" t="s">
        <v>917</v>
      </c>
    </row>
    <row r="300" spans="1:33" ht="7.5" customHeight="1" x14ac:dyDescent="0.2">
      <c r="A300" s="9">
        <v>300</v>
      </c>
      <c r="B300" s="13" t="s">
        <v>618</v>
      </c>
      <c r="C300" s="12" t="s">
        <v>784</v>
      </c>
      <c r="D300" s="52" t="s">
        <v>720</v>
      </c>
      <c r="E300" s="53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731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52" t="s">
        <v>920</v>
      </c>
      <c r="Y300" s="53" t="s">
        <v>904</v>
      </c>
      <c r="Z300" s="52" t="s">
        <v>920</v>
      </c>
      <c r="AA300" s="53" t="s">
        <v>908</v>
      </c>
      <c r="AB300" s="52" t="s">
        <v>920</v>
      </c>
      <c r="AC300" s="53" t="s">
        <v>911</v>
      </c>
      <c r="AD300" s="52" t="s">
        <v>920</v>
      </c>
      <c r="AE300" s="53" t="s">
        <v>914</v>
      </c>
      <c r="AF300" s="52" t="s">
        <v>920</v>
      </c>
      <c r="AG300" s="53" t="s">
        <v>917</v>
      </c>
    </row>
    <row r="301" spans="1:33" ht="7.5" customHeight="1" x14ac:dyDescent="0.2">
      <c r="A301" s="9">
        <v>301</v>
      </c>
      <c r="B301" s="13" t="s">
        <v>619</v>
      </c>
      <c r="C301" s="12" t="s">
        <v>784</v>
      </c>
      <c r="D301" s="52" t="s">
        <v>720</v>
      </c>
      <c r="E301" s="53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731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52" t="s">
        <v>920</v>
      </c>
      <c r="Y301" s="53" t="s">
        <v>904</v>
      </c>
      <c r="Z301" s="52" t="s">
        <v>920</v>
      </c>
      <c r="AA301" s="53" t="s">
        <v>908</v>
      </c>
      <c r="AB301" s="52" t="s">
        <v>920</v>
      </c>
      <c r="AC301" s="53" t="s">
        <v>911</v>
      </c>
      <c r="AD301" s="52" t="s">
        <v>920</v>
      </c>
      <c r="AE301" s="53" t="s">
        <v>914</v>
      </c>
      <c r="AF301" s="52" t="s">
        <v>920</v>
      </c>
      <c r="AG301" s="53" t="s">
        <v>917</v>
      </c>
    </row>
    <row r="302" spans="1:33" ht="7.5" customHeight="1" x14ac:dyDescent="0.2">
      <c r="A302" s="9">
        <v>302</v>
      </c>
      <c r="B302" s="13" t="s">
        <v>620</v>
      </c>
      <c r="C302" s="12" t="s">
        <v>784</v>
      </c>
      <c r="D302" s="52" t="s">
        <v>720</v>
      </c>
      <c r="E302" s="53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731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52" t="s">
        <v>920</v>
      </c>
      <c r="Y302" s="53" t="s">
        <v>904</v>
      </c>
      <c r="Z302" s="52" t="s">
        <v>920</v>
      </c>
      <c r="AA302" s="53" t="s">
        <v>908</v>
      </c>
      <c r="AB302" s="52" t="s">
        <v>920</v>
      </c>
      <c r="AC302" s="53" t="s">
        <v>911</v>
      </c>
      <c r="AD302" s="52" t="s">
        <v>920</v>
      </c>
      <c r="AE302" s="53" t="s">
        <v>914</v>
      </c>
      <c r="AF302" s="52" t="s">
        <v>920</v>
      </c>
      <c r="AG302" s="53" t="s">
        <v>917</v>
      </c>
    </row>
    <row r="303" spans="1:33" ht="7.5" customHeight="1" x14ac:dyDescent="0.2">
      <c r="A303" s="9">
        <v>303</v>
      </c>
      <c r="B303" s="13" t="s">
        <v>621</v>
      </c>
      <c r="C303" s="12" t="s">
        <v>784</v>
      </c>
      <c r="D303" s="52" t="s">
        <v>720</v>
      </c>
      <c r="E303" s="53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731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52" t="s">
        <v>920</v>
      </c>
      <c r="Y303" s="53" t="s">
        <v>904</v>
      </c>
      <c r="Z303" s="52" t="s">
        <v>920</v>
      </c>
      <c r="AA303" s="53" t="s">
        <v>908</v>
      </c>
      <c r="AB303" s="52" t="s">
        <v>920</v>
      </c>
      <c r="AC303" s="53" t="s">
        <v>911</v>
      </c>
      <c r="AD303" s="52" t="s">
        <v>920</v>
      </c>
      <c r="AE303" s="53" t="s">
        <v>914</v>
      </c>
      <c r="AF303" s="52" t="s">
        <v>920</v>
      </c>
      <c r="AG303" s="53" t="s">
        <v>917</v>
      </c>
    </row>
    <row r="304" spans="1:33" ht="7.5" customHeight="1" x14ac:dyDescent="0.2">
      <c r="A304" s="9">
        <v>304</v>
      </c>
      <c r="B304" s="13" t="s">
        <v>622</v>
      </c>
      <c r="C304" s="12" t="s">
        <v>784</v>
      </c>
      <c r="D304" s="52" t="s">
        <v>720</v>
      </c>
      <c r="E304" s="53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731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52" t="s">
        <v>920</v>
      </c>
      <c r="Y304" s="53" t="s">
        <v>904</v>
      </c>
      <c r="Z304" s="52" t="s">
        <v>920</v>
      </c>
      <c r="AA304" s="53" t="s">
        <v>908</v>
      </c>
      <c r="AB304" s="52" t="s">
        <v>920</v>
      </c>
      <c r="AC304" s="53" t="s">
        <v>911</v>
      </c>
      <c r="AD304" s="52" t="s">
        <v>920</v>
      </c>
      <c r="AE304" s="53" t="s">
        <v>914</v>
      </c>
      <c r="AF304" s="52" t="s">
        <v>920</v>
      </c>
      <c r="AG304" s="53" t="s">
        <v>917</v>
      </c>
    </row>
    <row r="305" spans="1:33" ht="7.5" customHeight="1" x14ac:dyDescent="0.2">
      <c r="A305" s="9">
        <v>305</v>
      </c>
      <c r="B305" s="13" t="s">
        <v>623</v>
      </c>
      <c r="C305" s="12" t="s">
        <v>784</v>
      </c>
      <c r="D305" s="52" t="s">
        <v>720</v>
      </c>
      <c r="E305" s="53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731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52" t="s">
        <v>920</v>
      </c>
      <c r="Y305" s="53" t="s">
        <v>904</v>
      </c>
      <c r="Z305" s="52" t="s">
        <v>920</v>
      </c>
      <c r="AA305" s="53" t="s">
        <v>908</v>
      </c>
      <c r="AB305" s="52" t="s">
        <v>920</v>
      </c>
      <c r="AC305" s="53" t="s">
        <v>911</v>
      </c>
      <c r="AD305" s="52" t="s">
        <v>920</v>
      </c>
      <c r="AE305" s="53" t="s">
        <v>914</v>
      </c>
      <c r="AF305" s="52" t="s">
        <v>920</v>
      </c>
      <c r="AG305" s="53" t="s">
        <v>917</v>
      </c>
    </row>
    <row r="306" spans="1:33" s="2" customFormat="1" ht="6.75" customHeight="1" x14ac:dyDescent="0.2">
      <c r="A306" s="9">
        <v>306</v>
      </c>
      <c r="B306" s="40" t="s">
        <v>904</v>
      </c>
      <c r="C306" s="26" t="s">
        <v>900</v>
      </c>
      <c r="D306" s="52" t="s">
        <v>321</v>
      </c>
      <c r="E306" s="53" t="s">
        <v>321</v>
      </c>
      <c r="F306" s="41" t="s">
        <v>321</v>
      </c>
      <c r="G306" s="33" t="s">
        <v>321</v>
      </c>
      <c r="H306" s="41" t="s">
        <v>321</v>
      </c>
      <c r="I306" s="33" t="s">
        <v>321</v>
      </c>
      <c r="J306" s="41" t="s">
        <v>628</v>
      </c>
      <c r="K306" s="33" t="s">
        <v>905</v>
      </c>
      <c r="L306" s="41" t="s">
        <v>681</v>
      </c>
      <c r="M306" s="33" t="s">
        <v>906</v>
      </c>
      <c r="N306" s="30" t="s">
        <v>1</v>
      </c>
      <c r="O306" s="33" t="s">
        <v>907</v>
      </c>
      <c r="P306" s="68" t="str">
        <f t="shared" ref="P306:P310" si="0">IF(Q306="null", "null", "método.revit")</f>
        <v>método.revit</v>
      </c>
      <c r="Q306" s="69" t="s">
        <v>921</v>
      </c>
      <c r="R306" s="41" t="s">
        <v>321</v>
      </c>
      <c r="S306" s="33" t="s">
        <v>321</v>
      </c>
      <c r="T306" s="66" t="s">
        <v>321</v>
      </c>
      <c r="U306" s="67" t="s">
        <v>321</v>
      </c>
      <c r="V306" s="66" t="s">
        <v>321</v>
      </c>
      <c r="W306" s="67" t="s">
        <v>321</v>
      </c>
      <c r="X306" s="52" t="s">
        <v>920</v>
      </c>
      <c r="Y306" s="53" t="s">
        <v>904</v>
      </c>
      <c r="Z306" s="52" t="s">
        <v>920</v>
      </c>
      <c r="AA306" s="53" t="s">
        <v>908</v>
      </c>
      <c r="AB306" s="52" t="s">
        <v>920</v>
      </c>
      <c r="AC306" s="53" t="s">
        <v>911</v>
      </c>
      <c r="AD306" s="52" t="s">
        <v>920</v>
      </c>
      <c r="AE306" s="53" t="s">
        <v>914</v>
      </c>
      <c r="AF306" s="52" t="s">
        <v>920</v>
      </c>
      <c r="AG306" s="53" t="s">
        <v>917</v>
      </c>
    </row>
    <row r="307" spans="1:33" s="2" customFormat="1" ht="6.75" customHeight="1" x14ac:dyDescent="0.2">
      <c r="A307" s="9">
        <v>307</v>
      </c>
      <c r="B307" s="40" t="s">
        <v>908</v>
      </c>
      <c r="C307" s="26" t="s">
        <v>900</v>
      </c>
      <c r="D307" s="52" t="s">
        <v>321</v>
      </c>
      <c r="E307" s="53" t="s">
        <v>321</v>
      </c>
      <c r="F307" s="41" t="s">
        <v>321</v>
      </c>
      <c r="G307" s="33" t="s">
        <v>321</v>
      </c>
      <c r="H307" s="41" t="s">
        <v>321</v>
      </c>
      <c r="I307" s="33" t="s">
        <v>321</v>
      </c>
      <c r="J307" s="41" t="s">
        <v>628</v>
      </c>
      <c r="K307" s="33" t="s">
        <v>905</v>
      </c>
      <c r="L307" s="41" t="s">
        <v>681</v>
      </c>
      <c r="M307" s="33" t="s">
        <v>909</v>
      </c>
      <c r="N307" s="30" t="s">
        <v>1</v>
      </c>
      <c r="O307" s="33" t="s">
        <v>910</v>
      </c>
      <c r="P307" s="68" t="str">
        <f t="shared" si="0"/>
        <v>método.revit</v>
      </c>
      <c r="Q307" s="69" t="s">
        <v>922</v>
      </c>
      <c r="R307" s="41" t="s">
        <v>321</v>
      </c>
      <c r="S307" s="33" t="s">
        <v>321</v>
      </c>
      <c r="T307" s="66" t="s">
        <v>321</v>
      </c>
      <c r="U307" s="67" t="s">
        <v>321</v>
      </c>
      <c r="V307" s="66" t="s">
        <v>321</v>
      </c>
      <c r="W307" s="67" t="s">
        <v>321</v>
      </c>
      <c r="X307" s="52" t="s">
        <v>920</v>
      </c>
      <c r="Y307" s="53" t="s">
        <v>904</v>
      </c>
      <c r="Z307" s="52" t="s">
        <v>920</v>
      </c>
      <c r="AA307" s="53" t="s">
        <v>908</v>
      </c>
      <c r="AB307" s="52" t="s">
        <v>920</v>
      </c>
      <c r="AC307" s="53" t="s">
        <v>911</v>
      </c>
      <c r="AD307" s="52" t="s">
        <v>920</v>
      </c>
      <c r="AE307" s="53" t="s">
        <v>914</v>
      </c>
      <c r="AF307" s="52" t="s">
        <v>920</v>
      </c>
      <c r="AG307" s="53" t="s">
        <v>917</v>
      </c>
    </row>
    <row r="308" spans="1:33" s="2" customFormat="1" ht="6.75" customHeight="1" x14ac:dyDescent="0.2">
      <c r="A308" s="9">
        <v>308</v>
      </c>
      <c r="B308" s="40" t="s">
        <v>911</v>
      </c>
      <c r="C308" s="26" t="s">
        <v>900</v>
      </c>
      <c r="D308" s="52" t="s">
        <v>321</v>
      </c>
      <c r="E308" s="53" t="s">
        <v>321</v>
      </c>
      <c r="F308" s="41" t="s">
        <v>321</v>
      </c>
      <c r="G308" s="33" t="s">
        <v>321</v>
      </c>
      <c r="H308" s="41" t="s">
        <v>321</v>
      </c>
      <c r="I308" s="33" t="s">
        <v>321</v>
      </c>
      <c r="J308" s="41" t="s">
        <v>628</v>
      </c>
      <c r="K308" s="33" t="s">
        <v>905</v>
      </c>
      <c r="L308" s="41" t="s">
        <v>681</v>
      </c>
      <c r="M308" s="33" t="s">
        <v>912</v>
      </c>
      <c r="N308" s="30" t="s">
        <v>1</v>
      </c>
      <c r="O308" s="33" t="s">
        <v>913</v>
      </c>
      <c r="P308" s="68" t="str">
        <f t="shared" si="0"/>
        <v>método.revit</v>
      </c>
      <c r="Q308" s="69" t="s">
        <v>923</v>
      </c>
      <c r="R308" s="41" t="s">
        <v>321</v>
      </c>
      <c r="S308" s="33" t="s">
        <v>321</v>
      </c>
      <c r="T308" s="66" t="s">
        <v>321</v>
      </c>
      <c r="U308" s="67" t="s">
        <v>321</v>
      </c>
      <c r="V308" s="66" t="s">
        <v>321</v>
      </c>
      <c r="W308" s="67" t="s">
        <v>321</v>
      </c>
      <c r="X308" s="52" t="s">
        <v>920</v>
      </c>
      <c r="Y308" s="53" t="s">
        <v>904</v>
      </c>
      <c r="Z308" s="52" t="s">
        <v>920</v>
      </c>
      <c r="AA308" s="53" t="s">
        <v>908</v>
      </c>
      <c r="AB308" s="52" t="s">
        <v>920</v>
      </c>
      <c r="AC308" s="53" t="s">
        <v>911</v>
      </c>
      <c r="AD308" s="52" t="s">
        <v>920</v>
      </c>
      <c r="AE308" s="53" t="s">
        <v>914</v>
      </c>
      <c r="AF308" s="52" t="s">
        <v>920</v>
      </c>
      <c r="AG308" s="53" t="s">
        <v>917</v>
      </c>
    </row>
    <row r="309" spans="1:33" s="2" customFormat="1" ht="6.75" customHeight="1" x14ac:dyDescent="0.2">
      <c r="A309" s="9">
        <v>309</v>
      </c>
      <c r="B309" s="40" t="s">
        <v>914</v>
      </c>
      <c r="C309" s="26" t="s">
        <v>900</v>
      </c>
      <c r="D309" s="52" t="s">
        <v>321</v>
      </c>
      <c r="E309" s="53" t="s">
        <v>321</v>
      </c>
      <c r="F309" s="41" t="s">
        <v>321</v>
      </c>
      <c r="G309" s="33" t="s">
        <v>321</v>
      </c>
      <c r="H309" s="41" t="s">
        <v>321</v>
      </c>
      <c r="I309" s="33" t="s">
        <v>321</v>
      </c>
      <c r="J309" s="41" t="s">
        <v>628</v>
      </c>
      <c r="K309" s="33" t="s">
        <v>905</v>
      </c>
      <c r="L309" s="41" t="s">
        <v>681</v>
      </c>
      <c r="M309" s="33" t="s">
        <v>915</v>
      </c>
      <c r="N309" s="30" t="s">
        <v>1</v>
      </c>
      <c r="O309" s="33" t="s">
        <v>916</v>
      </c>
      <c r="P309" s="68" t="str">
        <f t="shared" si="0"/>
        <v>método.revit</v>
      </c>
      <c r="Q309" s="69" t="s">
        <v>924</v>
      </c>
      <c r="R309" s="41" t="s">
        <v>321</v>
      </c>
      <c r="S309" s="33" t="s">
        <v>321</v>
      </c>
      <c r="T309" s="66" t="s">
        <v>321</v>
      </c>
      <c r="U309" s="67" t="s">
        <v>321</v>
      </c>
      <c r="V309" s="66" t="s">
        <v>321</v>
      </c>
      <c r="W309" s="67" t="s">
        <v>321</v>
      </c>
      <c r="X309" s="52" t="s">
        <v>920</v>
      </c>
      <c r="Y309" s="53" t="s">
        <v>904</v>
      </c>
      <c r="Z309" s="52" t="s">
        <v>920</v>
      </c>
      <c r="AA309" s="53" t="s">
        <v>908</v>
      </c>
      <c r="AB309" s="52" t="s">
        <v>920</v>
      </c>
      <c r="AC309" s="53" t="s">
        <v>911</v>
      </c>
      <c r="AD309" s="52" t="s">
        <v>920</v>
      </c>
      <c r="AE309" s="53" t="s">
        <v>914</v>
      </c>
      <c r="AF309" s="52" t="s">
        <v>920</v>
      </c>
      <c r="AG309" s="53" t="s">
        <v>917</v>
      </c>
    </row>
    <row r="310" spans="1:33" s="2" customFormat="1" ht="6.75" customHeight="1" x14ac:dyDescent="0.2">
      <c r="A310" s="9">
        <v>310</v>
      </c>
      <c r="B310" s="40" t="s">
        <v>917</v>
      </c>
      <c r="C310" s="26" t="s">
        <v>900</v>
      </c>
      <c r="D310" s="52" t="s">
        <v>321</v>
      </c>
      <c r="E310" s="53" t="s">
        <v>321</v>
      </c>
      <c r="F310" s="41" t="s">
        <v>321</v>
      </c>
      <c r="G310" s="33" t="s">
        <v>321</v>
      </c>
      <c r="H310" s="41" t="s">
        <v>321</v>
      </c>
      <c r="I310" s="33" t="s">
        <v>321</v>
      </c>
      <c r="J310" s="41" t="s">
        <v>628</v>
      </c>
      <c r="K310" s="33" t="s">
        <v>905</v>
      </c>
      <c r="L310" s="41" t="s">
        <v>681</v>
      </c>
      <c r="M310" s="33" t="s">
        <v>918</v>
      </c>
      <c r="N310" s="30" t="s">
        <v>1</v>
      </c>
      <c r="O310" s="33" t="s">
        <v>919</v>
      </c>
      <c r="P310" s="68" t="str">
        <f t="shared" si="0"/>
        <v>método.revit</v>
      </c>
      <c r="Q310" s="69" t="s">
        <v>925</v>
      </c>
      <c r="R310" s="41" t="s">
        <v>321</v>
      </c>
      <c r="S310" s="33" t="s">
        <v>321</v>
      </c>
      <c r="T310" s="66" t="s">
        <v>321</v>
      </c>
      <c r="U310" s="67" t="s">
        <v>321</v>
      </c>
      <c r="V310" s="66" t="s">
        <v>321</v>
      </c>
      <c r="W310" s="67" t="s">
        <v>321</v>
      </c>
      <c r="X310" s="52" t="s">
        <v>920</v>
      </c>
      <c r="Y310" s="53" t="s">
        <v>904</v>
      </c>
      <c r="Z310" s="52" t="s">
        <v>920</v>
      </c>
      <c r="AA310" s="53" t="s">
        <v>908</v>
      </c>
      <c r="AB310" s="52" t="s">
        <v>920</v>
      </c>
      <c r="AC310" s="53" t="s">
        <v>911</v>
      </c>
      <c r="AD310" s="52" t="s">
        <v>920</v>
      </c>
      <c r="AE310" s="53" t="s">
        <v>914</v>
      </c>
      <c r="AF310" s="52" t="s">
        <v>920</v>
      </c>
      <c r="AG310" s="53" t="s">
        <v>917</v>
      </c>
    </row>
  </sheetData>
  <phoneticPr fontId="13" type="noConversion"/>
  <conditionalFormatting sqref="B1:B305 B311:B1048576">
    <cfRule type="duplicateValues" dxfId="19" priority="19"/>
  </conditionalFormatting>
  <conditionalFormatting sqref="B306:B310">
    <cfRule type="duplicateValues" dxfId="18" priority="16"/>
    <cfRule type="duplicateValues" dxfId="17" priority="17"/>
  </conditionalFormatting>
  <conditionalFormatting sqref="F1">
    <cfRule type="cellIs" dxfId="16" priority="29" operator="equal">
      <formula>"null"</formula>
    </cfRule>
  </conditionalFormatting>
  <conditionalFormatting sqref="H1">
    <cfRule type="cellIs" dxfId="15" priority="28" operator="equal">
      <formula>"null"</formula>
    </cfRule>
  </conditionalFormatting>
  <conditionalFormatting sqref="J1">
    <cfRule type="cellIs" dxfId="14" priority="27" operator="equal">
      <formula>"null"</formula>
    </cfRule>
  </conditionalFormatting>
  <conditionalFormatting sqref="L1">
    <cfRule type="cellIs" dxfId="13" priority="18" operator="equal">
      <formula>"null"</formula>
    </cfRule>
  </conditionalFormatting>
  <conditionalFormatting sqref="N1">
    <cfRule type="cellIs" dxfId="12" priority="30" operator="equal">
      <formula>"null"</formula>
    </cfRule>
  </conditionalFormatting>
  <conditionalFormatting sqref="P1">
    <cfRule type="cellIs" dxfId="11" priority="25" operator="equal">
      <formula>"null"</formula>
    </cfRule>
  </conditionalFormatting>
  <conditionalFormatting sqref="R1">
    <cfRule type="cellIs" dxfId="10" priority="24" operator="equal">
      <formula>"null"</formula>
    </cfRule>
  </conditionalFormatting>
  <conditionalFormatting sqref="R306:W310">
    <cfRule type="cellIs" dxfId="9" priority="15" operator="equal">
      <formula>"null"</formula>
    </cfRule>
  </conditionalFormatting>
  <conditionalFormatting sqref="T1">
    <cfRule type="cellIs" dxfId="8" priority="23" operator="equal">
      <formula>"null"</formula>
    </cfRule>
  </conditionalFormatting>
  <conditionalFormatting sqref="T1:AG1 T2:W305 T311:Z1048576 AB311:AB1048576 AD311:AD1048576 AF311:AF1048576">
    <cfRule type="cellIs" dxfId="7" priority="20" operator="equal">
      <formula>"null"</formula>
    </cfRule>
  </conditionalFormatting>
  <conditionalFormatting sqref="V1">
    <cfRule type="cellIs" dxfId="6" priority="22" operator="equal">
      <formula>"null"</formula>
    </cfRule>
  </conditionalFormatting>
  <conditionalFormatting sqref="X1">
    <cfRule type="cellIs" dxfId="5" priority="21" operator="equal">
      <formula>"null"</formula>
    </cfRule>
  </conditionalFormatting>
  <conditionalFormatting sqref="X2:AG310">
    <cfRule type="cellIs" dxfId="4" priority="5" operator="equal">
      <formula>"null"</formula>
    </cfRule>
  </conditionalFormatting>
  <conditionalFormatting sqref="Z1">
    <cfRule type="cellIs" dxfId="3" priority="4" operator="equal">
      <formula>"null"</formula>
    </cfRule>
  </conditionalFormatting>
  <conditionalFormatting sqref="AB1">
    <cfRule type="cellIs" dxfId="2" priority="3" operator="equal">
      <formula>"null"</formula>
    </cfRule>
  </conditionalFormatting>
  <conditionalFormatting sqref="AD1">
    <cfRule type="cellIs" dxfId="1" priority="2" operator="equal">
      <formula>"null"</formula>
    </cfRule>
  </conditionalFormatting>
  <conditionalFormatting sqref="AF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2026-08-24T16:06:35Z</dcterms:modified>
</cp:coreProperties>
</file>